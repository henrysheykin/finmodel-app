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Break-even" sheetId="4" state="visible" r:id="rId6"/>
    <sheet name="Valuation" sheetId="5" state="visible" r:id="rId7"/>
    <sheet name="Sources &amp; Uses" sheetId="6" state="visible" r:id="rId8"/>
    <sheet name="KPIs" sheetId="7" state="visible" r:id="rId9"/>
    <sheet name="Return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<sst xmlns="http://schemas.openxmlformats.org/spreadsheetml/2006/main" count="746" uniqueCount="479">
  <si>
    <t xml:space="preserve">Rental property financial model (early)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</si>
  <si>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</si>
  <si>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</si>
  <si>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</si>
  <si>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</si>
  <si>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</si>
  <si>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</si>
  <si>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</si>
  <si>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</si>
  <si>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</si>
  <si>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</si>
  <si>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</si>
  <si>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</si>
  <si>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</si>
  <si>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</si>
  <si>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</si>
  <si>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Property returns: unlevered and levered IRR, NPV, multiple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</si>
  <si>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</si>
  <si>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</si>
  <si>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</si>
  <si>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</si>
  <si>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</si>
  <si>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</si>
  <si>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</si>
  <si>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</si>
  <si>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</si>
  <si>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</si>
  <si>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</si>
  <si>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</si>
  <si>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</si>
  <si>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</si>
  <si>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</si>
  <si>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</si>
  <si>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</si>
  <si>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</si>
  <si>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</si>
  <si>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</si>
  <si>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</si>
  <si>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</si>
  <si>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</si>
  <si>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</si>
  <si>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</si>
  <si>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</si>
  <si>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</si>
  <si>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</si>
  <si>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</si>
  <si>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</si>
  <si>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</si>
  <si>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</si>
  <si>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</si>
  <si>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</si>
  <si>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</si>
  <si>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</si>
  <si>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</si>
  <si>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</si>
  <si>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</si>
  <si>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Property metrics</t>
  </si>
  <si>
    <t xml:space="preserve">Net operating income (NOI)</t>
  </si>
  <si>
    <t xml:space="preserve">Economic occupancy</t>
  </si>
  <si>
    <t xml:space="preserve">Debt service (interest + principal)</t>
  </si>
  <si>
    <t xml:space="preserve">Debt service coverage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</si>
  <si>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</si>
  <si>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</si>
  <si>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</si>
  <si>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</si>
  <si>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</si>
  <si>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</si>
  <si>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</si>
  <si>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</si>
  <si>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</si>
  <si>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</si>
  <si>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</si>
  <si>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</si>
  <si>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</si>
  <si>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Direct property costs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</si>
  <si>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</si>
  <si>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</si>
  <si>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</si>
  <si>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</si>
  <si>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</si>
  <si>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</si>
  <si>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</si>
  <si>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</si>
  <si>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</si>
  <si>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</si>
  <si>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</si>
  <si>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</si>
  <si>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</si>
  <si>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</si>
  <si>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</si>
  <si>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</si>
  <si>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</si>
  <si>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</si>
  <si>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</si>
  <si>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</si>
  <si>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</si>
  <si>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</si>
  <si>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</si>
  <si>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</si>
  <si>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</si>
  <si>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</si>
  <si>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</si>
  <si>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</si>
  <si>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</si>
  <si>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</si>
  <si>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</si>
  <si>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</si>
  <si>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</si>
  <si>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</si>
  <si>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</si>
  <si>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</si>
  <si>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</si>
  <si>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</si>
  <si>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</si>
  <si>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</si>
  <si>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</si>
  <si>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</si>
  <si>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</si>
  <si>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</si>
  <si>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</si>
  <si>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</si>
  <si>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</si>
  <si>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</si>
  <si>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</si>
  <si>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</si>
  <si>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</si>
  <si>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</si>
  <si>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</si>
  <si>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</si>
  <si>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</si>
  <si>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</si>
  <si>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</si>
  <si>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</si>
  <si>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</si>
  <si>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</si>
  <si>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</si>
  <si>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</si>
  <si>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</si>
  <si>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</si>
  <si>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</si>
  <si>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</si>
  <si>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</si>
  <si>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</si>
  <si>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</si>
  <si>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</si>
  <si>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</si>
  <si>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</si>
  <si>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</si>
  <si>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</si>
  <si>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</si>
  <si>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</si>
  <si>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</si>
  <si>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</si>
  <si>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</si>
  <si>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</si>
  <si>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</si>
  <si>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</si>
  <si>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</si>
  <si>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</si>
  <si>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</si>
  <si>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</si>
  <si>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</si>
  <si>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</si>
  <si>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</si>
  <si>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</si>
  <si>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</si>
  <si>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</si>
  <si>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</si>
  <si>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</si>
  <si>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</si>
  <si>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</si>
  <si>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</si>
  <si>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</si>
  <si>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</si>
  <si>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</si>
  <si>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</si>
  <si>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</si>
  <si>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</si>
  <si>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</si>
  <si>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</si>
  <si>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</si>
  <si>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</si>
  <si>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</si>
  <si>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</si>
  <si>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Rental property financial model (early)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</si>
  <si>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</si>
  <si>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</si>
  <si>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</si>
  <si>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</si>
  <si>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</si>
  <si>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</si>
  <si>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</si>
  <si>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</si>
  <si>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</si>
  <si>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</si>
  <si>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</si>
  <si>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</si>
  <si>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</si>
  <si>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</si>
  <si>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Property metrics ($'000; per-unit rows in $)</t>
  </si>
  <si>
    <t xml:space="preserve">Average rent per unit per month ($)</t>
  </si>
  <si>
    <t xml:space="preserve">Gross potential rent</t>
  </si>
  <si>
    <t xml:space="preserve">Vacancy &amp; credit loss</t>
  </si>
  <si>
    <t xml:space="preserve">Economic occupancy (collected ÷ potential rent)</t>
  </si>
  <si>
    <t xml:space="preserve">Revenue (effective gross income)</t>
  </si>
  <si>
    <t xml:space="preserve">Net operating income (NOI = EBITDA)</t>
  </si>
  <si>
    <t xml:space="preserve">NOI margin</t>
  </si>
  <si>
    <t xml:space="preserve">Operating expense ratio</t>
  </si>
  <si>
    <t xml:space="preserve">NOI per unit ($)</t>
  </si>
  <si>
    <t xml:space="preserve">NOI ÷ purchase price</t>
  </si>
  <si>
    <t xml:space="preserve">Debt service coverage (NOI ÷ debt service)</t>
  </si>
  <si>
    <t xml:space="preserve">Loan balance (year end)</t>
  </si>
  <si>
    <t xml:space="preserve">Loan ÷ purchase price (year end)</t>
  </si>
  <si>
    <t xml:space="preserve">Property returns — purchase, hold and sale</t>
  </si>
  <si>
    <t xml:space="preserve">Live for the selected scenario. Year 0 = purchase; sale at the end of year 5. Cash flows before income tax.</t>
  </si>
  <si>
    <t xml:space="preserve">Purchase (active scenario, from the Inputs sheet)</t>
  </si>
  <si>
    <t xml:space="preserve">Purchase price</t>
  </si>
  <si>
    <t xml:space="preserve">Closing costs</t>
  </si>
  <si>
    <t xml:space="preserve">All-in purchase cost</t>
  </si>
  <si>
    <t xml:space="preserve">Loan drawn at purchase</t>
  </si>
  <si>
    <t xml:space="preserve">Equity invested in the property</t>
  </si>
  <si>
    <t xml:space="preserve">Loan-to-value at purchase</t>
  </si>
  <si>
    <t xml:space="preserve">Cash flows by year</t>
  </si>
  <si>
    <t xml:space="preserve">Year 0</t>
  </si>
  <si>
    <t xml:space="preserve">Purchase incl. closing costs</t>
  </si>
  <si>
    <t xml:space="preserve">Capital reserves (capex other than the purchase)</t>
  </si>
  <si>
    <t xml:space="preserve">Sale proceeds, net of selling costs</t>
  </si>
  <si>
    <t xml:space="preserve">Unlevered cash flow (property, before tax)</t>
  </si>
  <si>
    <t xml:space="preserve">Principal repaid</t>
  </si>
  <si>
    <t xml:space="preserve">Loan balance repaid at sale</t>
  </si>
  <si>
    <t xml:space="preserve">Levered cash flow (equity, before tax)</t>
  </si>
  <si>
    <t xml:space="preserve">Cash-on-cash return (levered cash flow before sale ÷ equity invested)</t>
  </si>
  <si>
    <t xml:space="preserve">Helper: sign of the unlevered cash flow (a zero keeps the previous sign)</t>
  </si>
  <si>
    <t xml:space="preserve">Helper: sign of the levered cash flow (a zero keeps the previous sign)</t>
  </si>
  <si>
    <t xml:space="preserve">Sale at the end of year 5</t>
  </si>
  <si>
    <t xml:space="preserve">Year 6 NOI (year 5 NOI × (1 + rent growth))</t>
  </si>
  <si>
    <t xml:space="preserve">Exit cap rate</t>
  </si>
  <si>
    <t xml:space="preserve">Sale price (next-year NOI ÷ exit cap rate)</t>
  </si>
  <si>
    <t xml:space="preserve">Selling costs</t>
  </si>
  <si>
    <t xml:space="preserve">Net sale proceeds</t>
  </si>
  <si>
    <t xml:space="preserve">Loan balance at the end of year 5</t>
  </si>
  <si>
    <t xml:space="preserve">Net proceeds to equity</t>
  </si>
  <si>
    <t xml:space="preserve">Returns</t>
  </si>
  <si>
    <t xml:space="preserve">Unlevered</t>
  </si>
  <si>
    <t xml:space="preserve">Levered</t>
  </si>
  <si>
    <t xml:space="preserve">Internal rate of return (IRR)</t>
  </si>
  <si>
    <t xml:space="preserve">Helper: IRR starting estimate ((inflows ÷ outflows) ^ (1 ÷ years) − 1)</t>
  </si>
  <si>
    <t xml:space="preserve">Helper: IRR defined (1 = one sign change and inflows ≥ 25% of outflows)</t>
  </si>
  <si>
    <t xml:space="preserve">Discount rate for NPV</t>
  </si>
  <si>
    <t xml:space="preserve">Net present value at the discount rate</t>
  </si>
  <si>
    <t xml:space="preserve">Total profit (sum of cash flows)</t>
  </si>
  <si>
    <t xml:space="preserve">Multiple of money invested (inflows ÷ year-0 outflow)</t>
  </si>
  <si>
    <t xml:space="preserve">Going-in cap rate (year-1 NOI ÷ purchase price)</t>
  </si>
  <si>
    <t xml:space="preserve">IRR and NPV use yearly flows with the purchase at year 0 and the sale at the end of the final year. n/a = no debt service or no equity invested; IRR n/a = the flows change sign more than once (IRR not unique) or return less than 25% of the money put in.</t>
  </si>
  <si>
    <t xml:space="preserve">Inputs — Low / Base / High</t>
  </si>
  <si>
    <t xml:space="preserve">Illustrative assumptions — replace them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</si>
  <si>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</si>
  <si>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</si>
  <si>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</si>
  <si>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</si>
  <si>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</si>
  <si>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</si>
  <si>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</si>
  <si>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Property</t>
  </si>
  <si>
    <t xml:space="preserve">$</t>
  </si>
  <si>
    <t xml:space="preserve">Land share of the price (not depreciated)</t>
  </si>
  <si>
    <t xml:space="preserve">%</t>
  </si>
  <si>
    <t xml:space="preserve">Closing costs, % of price</t>
  </si>
  <si>
    <t xml:space="preserve">Low ≥ Base ≥ High (lower is better)</t>
  </si>
  <si>
    <t xml:space="preserve">Rentable units</t>
  </si>
  <si>
    <t xml:space="preserve">#</t>
  </si>
  <si>
    <t xml:space="preserve">Rent roll</t>
  </si>
  <si>
    <t xml:space="preserve">Average rent per unit per month (year 1)</t>
  </si>
  <si>
    <t xml:space="preserve">Low ≤ Base ≤ High</t>
  </si>
  <si>
    <t xml:space="preserve">Rent growth per year</t>
  </si>
  <si>
    <t xml:space="preserve">Vacancy &amp; credit loss, % of potential rent</t>
  </si>
  <si>
    <t xml:space="preserve">Other income per unit per month (parking, laundry, fees)</t>
  </si>
  <si>
    <t xml:space="preserve">Operating costs</t>
  </si>
  <si>
    <t xml:space="preserve">Repairs &amp; maintenance, % of collected rent</t>
  </si>
  <si>
    <t xml:space="preserve">Owner-paid utilities &amp; common areas per month</t>
  </si>
  <si>
    <t xml:space="preserve">Property tax per year, % of purchase price</t>
  </si>
  <si>
    <t xml:space="preserve">Insurance per unit per year</t>
  </si>
  <si>
    <t xml:space="preserve">Property management fee, % of revenue</t>
  </si>
  <si>
    <t xml:space="preserve">Legal, accounting &amp; other G&amp;A per month</t>
  </si>
  <si>
    <t xml:space="preserve">Operating cost inflation per year</t>
  </si>
  <si>
    <t xml:space="preserve">Capital reserve per unit per year (roofs, appliances)</t>
  </si>
  <si>
    <t xml:space="preserve">Sale &amp; returns</t>
  </si>
  <si>
    <t xml:space="preserve">Exit cap rate (next-year NOI ÷ sale price)</t>
  </si>
  <si>
    <t xml:space="preserve">Selling costs, % of sale price</t>
  </si>
  <si>
    <t xml:space="preserve">Discount rate for NPV (your target return)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</si>
  <si>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</si>
  <si>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</si>
  <si>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</si>
  <si>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</si>
  <si>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</si>
  <si>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</si>
  <si>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</si>
  <si>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</si>
  <si>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</si>
  <si>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</si>
  <si>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</si>
  <si>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</si>
  <si>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</si>
  <si>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</si>
  <si>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</si>
  <si>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</si>
  <si>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</si>
  <si>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</si>
  <si>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</si>
  <si>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</si>
  <si>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</si>
  <si>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</si>
  <si>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</si>
  <si>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Property tax</t>
  </si>
  <si>
    <t xml:space="preserve">Insurance</t>
  </si>
  <si>
    <t xml:space="preserve">Property management</t>
  </si>
  <si>
    <t xml:space="preserve">Legal, accounting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</si>
  <si>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</si>
  <si>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</si>
  <si>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</si>
  <si>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</si>
  <si>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</si>
  <si>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</si>
  <si>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</si>
  <si>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</si>
  <si>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</si>
  <si>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</si>
  <si>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</si>
  <si>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</si>
  <si>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</si>
  <si>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</si>
  <si>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</si>
  <si>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</si>
  <si>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</si>
  <si>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</si>
  <si>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</si>
  <si>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</si>
  <si>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</si>
  <si>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</si>
  <si>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</si>
  <si>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</si>
  <si>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</si>
  <si>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</si>
  <si>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</si>
  <si>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</si>
  <si>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</si>
  <si>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</si>
  <si>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</si>
  <si>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</si>
  <si>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</si>
  <si>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</si>
  <si>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</si>
  <si>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</si>
  <si>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</si>
  <si>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</si>
  <si>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</si>
  <si>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</si>
  <si>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</si>
  <si>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</si>
  <si>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</si>
  <si>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</si>
  <si>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</si>
  <si>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</si>
  <si>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</si>
  <si>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</si>
  <si>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</si>
  <si>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</si>
  <si>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</si>
  <si>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</si>
  <si>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</si>
  <si>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</si>
  <si>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</si>
  <si>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</si>
  <si>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</si>
  <si>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</si>
  <si>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</si>
  <si>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</si>
  <si>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</si>
  <si>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</si>
  <si>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</si>
  <si>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</si>
  <si>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</si>
  <si>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</si>
  <si>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</si>
  <si>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</si>
  <si>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</si>
  <si>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</si>
  <si>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Average rent per unit per month</t>
  </si>
  <si>
    <t xml:space="preserve">Gross potential rent (all units let)</t>
  </si>
  <si>
    <t xml:space="preserve">Other income (parking, laundry, fees)</t>
  </si>
  <si>
    <t xml:space="preserve">Repairs &amp; maintenance</t>
  </si>
  <si>
    <t xml:space="preserve">Owner-paid utilities &amp; common areas</t>
  </si>
  <si>
    <t xml:space="preserve">Profit after depreciation, interest, tax</t>
  </si>
  <si>
    <t xml:space="preserve">Interest on loan (balance after drawdown, start of period)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</si>
  <si>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</si>
  <si>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</si>
  <si>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</si>
  <si>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Property purchase incl. closing costs</t>
  </si>
  <si>
    <t xml:space="preserve">of which land (not depreciated)</t>
  </si>
  <si>
    <t xml:space="preserve">Capital reserve spent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</si>
  <si>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</si>
  <si>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</si>
  <si>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</si>
  <si>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</si>
  <si>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</si>
  <si>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Scheduled loan payment (principal + interest, level)</t>
  </si>
  <si>
    <t xml:space="preserve">Loan repayment (principal)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</si>
  <si>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</si>
  <si>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</si>
  <si>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</si>
  <si>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</si>
  <si>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</si>
  <si>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</si>
  <si>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</si>
  <si>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</si>
  <si>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</si>
  <si>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</si>
  <si>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</si>
  <si>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</si>
  <si>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</si>
  <si>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</si>
  <si>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</si>
  <si>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Total FTE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</si>
  <si>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</si>
  <si>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</si>
  <si>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</si>
  <si>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</si>
  <si>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</si>
  <si>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</si>
  <si>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</si>
  <si>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</si>
  <si>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</si>
  <si>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</si>
  <si>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</si>
  <si>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</si>
  <si>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</si>
  <si>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</si>
  <si>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</si>
  <si>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</si>
  <si>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</si>
  <si>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</si>
  <si>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</si>
  <si>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</si>
  <si>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</si>
  <si>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</si>
  <si>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</si>
  <si>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</si>
  <si>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</si>
  <si>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</si>
  <si>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</si>
  <si>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</si>
  <si>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</si>
  <si>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</si>
  <si>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</si>
  <si>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</si>
  <si>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</si>
  <si>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Returns: NOI ties to EBITDA</t>
  </si>
  <si>
    <t xml:space="preserve">NOI on the Returns sheet equals EBITDA summed over every period</t>
  </si>
  <si>
    <t xml:space="preserve">Returns: purchase ties to capital spending</t>
  </si>
  <si>
    <t xml:space="preserve">Purchase price + closing costs equals the purchase in the capex line</t>
  </si>
  <si>
    <t xml:space="preserve">Returns: loan fully repaid at sale</t>
  </si>
  <si>
    <t xml:space="preserve">Drawdown = principal repaid + balance repaid from the sale</t>
  </si>
  <si>
    <t xml:space="preserve">Returns: IRR discounts cash flows to zero</t>
  </si>
  <si>
    <t xml:space="preserve">NPV of the unlevered cash flows at their IRR is zero</t>
  </si>
  <si>
    <t xml:space="preserve">Returns: levered IRR discounts cash flows to zero</t>
  </si>
  <si>
    <t xml:space="preserve">NPV of the levered cash flows at their IRR is zero</t>
  </si>
  <si>
    <t xml:space="preserve">Debt service covered (DSCR ≥ 1.0x)</t>
  </si>
  <si>
    <t xml:space="preserve">Business warning: NOI does not cover the loan payments in at least one year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</si>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</sst>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0.0\x;\(0.0&quot;x)&quot;;\-"/>
    <numFmt numFmtId="176" formatCode="&quot;Month &quot;0"/>
    <numFmt numFmtId="177" formatCode="\$#,##0.0,,\M"/>
    <numFmt numFmtId="178" formatCode="0%"/>
    <numFmt numFmtId="179" formatCode="0.0\x"/>
    <numFmt numFmtId="180" formatCode="\M0"/>
    <numFmt numFmtId="181" formatCode="\$#,##0,\K"/>
    <numFmt numFmtId="182" formatCode="0"/>
    <numFmt numFmtId="183" formatCode="\$#,##0;&quot;($&quot;#,##0\);\-"/>
    <numFmt numFmtId="184" formatCode="0.0%;\(0.0%\);\-"/>
    <numFmt numFmtId="185" formatCode="0.0\x"/>
    <numFmt numFmtId="186" formatCode="0.000"/>
    <numFmt numFmtId="187" formatCode="\$#,##0.00;&quot;($&quot;#,##0.00\);\-"/>
    <numFmt numFmtId="188" formatCode="[&gt;=1000000]\$#,##0.0,,\M;[&gt;=1000]\$#,##0,\k;\$#,##0"/>
    <numFmt numFmtId="189" formatCode="\$#,##0.00"/>
    <numFmt numFmtId="190" formatCode="0.00\x"/>
    <numFmt numFmtId="191" formatCode="#,##0;\(#,##0\);\-"/>
    <numFmt numFmtId="192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196650</c:v>
                </c:pt>
                <c:pt idx="1">
                  <c:v>202549.5</c:v>
                </c:pt>
                <c:pt idx="2">
                  <c:v>208625.985</c:v>
                </c:pt>
                <c:pt idx="3">
                  <c:v>214884.76455</c:v>
                </c:pt>
                <c:pt idx="4">
                  <c:v>221331.3074865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125340</c:v>
                </c:pt>
                <c:pt idx="1">
                  <c:v>129100.2</c:v>
                </c:pt>
                <c:pt idx="2">
                  <c:v>132973.206</c:v>
                </c:pt>
                <c:pt idx="3">
                  <c:v>136962.40218</c:v>
                </c:pt>
                <c:pt idx="4">
                  <c:v>141071.2742454</c:v>
                </c:pt>
              </c:numCache>
            </c:numRef>
          </c:val>
        </c:ser>
        <c:gapWidth val="60"/>
        <c:overlap val="0"/>
        <c:axId val="60685736"/>
        <c:axId val="72435107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0.637376048817696</c:v>
                </c:pt>
                <c:pt idx="1">
                  <c:v>0.637376048817697</c:v>
                </c:pt>
                <c:pt idx="2">
                  <c:v>0.637376048817697</c:v>
                </c:pt>
                <c:pt idx="3">
                  <c:v>0.637376048817696</c:v>
                </c:pt>
                <c:pt idx="4">
                  <c:v>0.637376048817696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918088"/>
        <c:axId val="45616600"/>
      </c:lineChart>
      <c:catAx>
        <c:axId val="6068573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435107"/>
        <c:crosses val="autoZero"/>
        <c:auto val="1"/>
        <c:lblAlgn val="ctr"/>
        <c:lblOffset val="100"/>
        <c:noMultiLvlLbl val="0"/>
      </c:catAx>
      <c:valAx>
        <c:axId val="724351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685736"/>
        <c:crosses val="autoZero"/>
        <c:crossBetween val="between"/>
      </c:valAx>
      <c:catAx>
        <c:axId val="5791808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616600"/>
        <c:crosses val="autoZero"/>
        <c:auto val="1"/>
        <c:lblAlgn val="ctr"/>
        <c:lblOffset val="100"/>
        <c:noMultiLvlLbl val="0"/>
      </c:catAx>
      <c:valAx>
        <c:axId val="456166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9180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48669.4102445331</c:v>
                </c:pt>
                <c:pt idx="1">
                  <c:v>52421.418980773</c:v>
                </c:pt>
                <c:pt idx="2">
                  <c:v>57253.6988227342</c:v>
                </c:pt>
                <c:pt idx="3">
                  <c:v>62266.3820952929</c:v>
                </c:pt>
                <c:pt idx="4">
                  <c:v>67264.4012334961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-1909000</c:v>
                </c:pt>
                <c:pt idx="1">
                  <c:v>-3605</c:v>
                </c:pt>
                <c:pt idx="2">
                  <c:v>-3713.15</c:v>
                </c:pt>
                <c:pt idx="3">
                  <c:v>-3824.5445</c:v>
                </c:pt>
                <c:pt idx="4">
                  <c:v>-3939.280835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1946587.29437248</c:v>
                </c:pt>
                <c:pt idx="1">
                  <c:v>-14310.9793637598</c:v>
                </c:pt>
                <c:pt idx="2">
                  <c:v>-15269.4121557209</c:v>
                </c:pt>
                <c:pt idx="3">
                  <c:v>-16292.0329667797</c:v>
                </c:pt>
                <c:pt idx="4">
                  <c:v>-17383.1405874514</c:v>
                </c:pt>
              </c:numCache>
            </c:numRef>
          </c:val>
        </c:ser>
        <c:gapWidth val="60"/>
        <c:overlap val="0"/>
        <c:axId val="85717094"/>
        <c:axId val="91167985"/>
      </c:barChart>
      <c:catAx>
        <c:axId val="8571709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167985"/>
        <c:crosses val="autoZero"/>
        <c:auto val="1"/>
        <c:lblAlgn val="ctr"/>
        <c:lblOffset val="100"/>
        <c:noMultiLvlLbl val="0"/>
      </c:catAx>
      <c:valAx>
        <c:axId val="911679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7170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86256.7046170131</c:v>
                </c:pt>
                <c:pt idx="1">
                  <c:v>120762.144234026</c:v>
                </c:pt>
                <c:pt idx="2">
                  <c:v>159033.28090104</c:v>
                </c:pt>
                <c:pt idx="3">
                  <c:v>201183.085529553</c:v>
                </c:pt>
                <c:pt idx="4">
                  <c:v>247125.065340597</c:v>
                </c:pt>
              </c:numCache>
            </c:numRef>
          </c:val>
        </c:ser>
        <c:gapWidth val="60"/>
        <c:overlap val="0"/>
        <c:axId val="74218656"/>
        <c:axId val="36228229"/>
      </c:barChart>
      <c:catAx>
        <c:axId val="7421865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228229"/>
        <c:crosses val="autoZero"/>
        <c:auto val="1"/>
        <c:lblAlgn val="ctr"/>
        <c:lblOffset val="100"/>
        <c:noMultiLvlLbl val="0"/>
      </c:catAx>
      <c:valAx>
        <c:axId val="362282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218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NOI, debt service &amp; coverage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Net operating income (NOI)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\$#,##0,;"($"#,##0,\);\-</c:formatCode>
                <c:ptCount val="5"/>
                <c:pt idx="0">
                  <c:v>125340</c:v>
                </c:pt>
                <c:pt idx="1">
                  <c:v>129100.2</c:v>
                </c:pt>
                <c:pt idx="2">
                  <c:v>132973.206</c:v>
                </c:pt>
                <c:pt idx="3">
                  <c:v>136962.40218</c:v>
                </c:pt>
                <c:pt idx="4">
                  <c:v>141071.2742454</c:v>
                </c:pt>
              </c:numCache>
            </c:numRef>
          </c:val>
        </c:ser>
        <c:ser>
          <c:idx val="1"/>
          <c:order val="1"/>
          <c:tx>
            <c:strRef>
              <c:f>Dashboard!$A$30</c:f>
              <c:strCache>
                <c:ptCount val="1"/>
                <c:pt idx="0">
                  <c:v>Debt service (interest + principal)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Dashboard!$B$30:$F$30</c:f>
              <c:numCache>
                <c:formatCode>\$#,##0,;"($"#,##0,\);\-</c:formatCode>
                <c:ptCount val="5"/>
                <c:pt idx="0">
                  <c:v>91017.7953829868</c:v>
                </c:pt>
                <c:pt idx="1">
                  <c:v>91017.7953829868</c:v>
                </c:pt>
                <c:pt idx="2">
                  <c:v>91017.7953829868</c:v>
                </c:pt>
                <c:pt idx="3">
                  <c:v>91017.7953829868</c:v>
                </c:pt>
                <c:pt idx="4">
                  <c:v>91017.7953829868</c:v>
                </c:pt>
              </c:numCache>
            </c:numRef>
          </c:val>
        </c:ser>
        <c:gapWidth val="60"/>
        <c:overlap val="0"/>
        <c:axId val="21611143"/>
        <c:axId val="47586978"/>
      </c:barChart>
      <c:lineChart>
        <c:grouping val="standard"/>
        <c:varyColors val="0"/>
        <c:ser>
          <c:idx val="2"/>
          <c:order val="2"/>
          <c:tx>
            <c:strRef>
              <c:f>Dashboard!$A$31</c:f>
              <c:strCache>
                <c:ptCount val="1"/>
                <c:pt idx="0">
                  <c:v>Debt service coverage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Dashboard!$B$31:$F$31</c:f>
              <c:numCache>
                <c:formatCode>0.0\x;\(0.0"x)";\-</c:formatCode>
                <c:ptCount val="5"/>
                <c:pt idx="0">
                  <c:v>1.37709334172061</c:v>
                </c:pt>
                <c:pt idx="1">
                  <c:v>1.41840614197223</c:v>
                </c:pt>
                <c:pt idx="2">
                  <c:v>1.4609583262314</c:v>
                </c:pt>
                <c:pt idx="3">
                  <c:v>1.50478707601834</c:v>
                </c:pt>
                <c:pt idx="4">
                  <c:v>1.54993068829889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056984"/>
        <c:axId val="37651561"/>
      </c:lineChart>
      <c:catAx>
        <c:axId val="2161114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586978"/>
        <c:crosses val="autoZero"/>
        <c:auto val="1"/>
        <c:lblAlgn val="ctr"/>
        <c:lblOffset val="100"/>
        <c:noMultiLvlLbl val="0"/>
      </c:catAx>
      <c:valAx>
        <c:axId val="4758697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611143"/>
        <c:crosses val="autoZero"/>
        <c:crossBetween val="between"/>
      </c:valAx>
      <c:catAx>
        <c:axId val="1905698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651561"/>
        <c:crosses val="autoZero"/>
        <c:auto val="1"/>
        <c:lblAlgn val="ctr"/>
        <c:lblOffset val="100"/>
        <c:noMultiLvlLbl val="0"/>
      </c:catAx>
      <c:valAx>
        <c:axId val="37651561"/>
        <c:scaling>
          <c:orientation val="minMax"/>
        </c:scaling>
        <c:delete val="0"/>
        <c:axPos val="r"/>
        <c:numFmt formatCode="0.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0569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16387.5</c:v>
                </c:pt>
                <c:pt idx="1">
                  <c:v>16387.5</c:v>
                </c:pt>
                <c:pt idx="2">
                  <c:v>16387.5</c:v>
                </c:pt>
                <c:pt idx="3">
                  <c:v>16387.5</c:v>
                </c:pt>
                <c:pt idx="4">
                  <c:v>16387.5</c:v>
                </c:pt>
                <c:pt idx="5">
                  <c:v>16387.5</c:v>
                </c:pt>
                <c:pt idx="6">
                  <c:v>16387.5</c:v>
                </c:pt>
                <c:pt idx="7">
                  <c:v>16387.5</c:v>
                </c:pt>
                <c:pt idx="8">
                  <c:v>16387.5</c:v>
                </c:pt>
                <c:pt idx="9">
                  <c:v>16387.5</c:v>
                </c:pt>
                <c:pt idx="10">
                  <c:v>16387.5</c:v>
                </c:pt>
                <c:pt idx="11">
                  <c:v>16387.5</c:v>
                </c:pt>
              </c:numCache>
            </c:numRef>
          </c:val>
        </c:ser>
        <c:gapWidth val="60"/>
        <c:overlap val="0"/>
        <c:axId val="68936817"/>
        <c:axId val="72111800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10445</c:v>
                </c:pt>
                <c:pt idx="1">
                  <c:v>10445</c:v>
                </c:pt>
                <c:pt idx="2">
                  <c:v>10445</c:v>
                </c:pt>
                <c:pt idx="3">
                  <c:v>10445</c:v>
                </c:pt>
                <c:pt idx="4">
                  <c:v>10445</c:v>
                </c:pt>
                <c:pt idx="5">
                  <c:v>10445</c:v>
                </c:pt>
                <c:pt idx="6">
                  <c:v>10445</c:v>
                </c:pt>
                <c:pt idx="7">
                  <c:v>10445</c:v>
                </c:pt>
                <c:pt idx="8">
                  <c:v>10445</c:v>
                </c:pt>
                <c:pt idx="9">
                  <c:v>10445</c:v>
                </c:pt>
                <c:pt idx="10">
                  <c:v>10445</c:v>
                </c:pt>
                <c:pt idx="11">
                  <c:v>10445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-795.097736625515</c:v>
                </c:pt>
                <c:pt idx="1">
                  <c:v>-790.121854193122</c:v>
                </c:pt>
                <c:pt idx="2">
                  <c:v>-785.114142949681</c:v>
                </c:pt>
                <c:pt idx="3">
                  <c:v>-780.07443048913</c:v>
                </c:pt>
                <c:pt idx="4">
                  <c:v>-775.002543471544</c:v>
                </c:pt>
                <c:pt idx="5">
                  <c:v>-769.898307618073</c:v>
                </c:pt>
                <c:pt idx="6">
                  <c:v>-764.761547705854</c:v>
                </c:pt>
                <c:pt idx="7">
                  <c:v>-759.592087562905</c:v>
                </c:pt>
                <c:pt idx="8">
                  <c:v>-754.389750062974</c:v>
                </c:pt>
                <c:pt idx="9">
                  <c:v>-749.154357120377</c:v>
                </c:pt>
                <c:pt idx="10">
                  <c:v>-743.8857296848</c:v>
                </c:pt>
                <c:pt idx="11">
                  <c:v>-738.583687736074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936817"/>
        <c:axId val="72111800"/>
      </c:lineChart>
      <c:catAx>
        <c:axId val="6893681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111800"/>
        <c:crosses val="autoZero"/>
        <c:auto val="1"/>
        <c:lblAlgn val="ctr"/>
        <c:lblOffset val="100"/>
        <c:noMultiLvlLbl val="0"/>
      </c:catAx>
      <c:valAx>
        <c:axId val="721118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9368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4879.5</c:v>
                </c:pt>
                <c:pt idx="1">
                  <c:v>3950.87608819371</c:v>
                </c:pt>
                <c:pt idx="2">
                  <c:v>3956.78400519847</c:v>
                </c:pt>
                <c:pt idx="3">
                  <c:v>3962.72392342034</c:v>
                </c:pt>
                <c:pt idx="4">
                  <c:v>3968.69601619924</c:v>
                </c:pt>
                <c:pt idx="5">
                  <c:v>3974.70045781403</c:v>
                </c:pt>
                <c:pt idx="6">
                  <c:v>3980.73742348756</c:v>
                </c:pt>
                <c:pt idx="7">
                  <c:v>3986.80708939183</c:v>
                </c:pt>
                <c:pt idx="8">
                  <c:v>3992.90963265308</c:v>
                </c:pt>
                <c:pt idx="9">
                  <c:v>3999.04523135699</c:v>
                </c:pt>
                <c:pt idx="10">
                  <c:v>4005.21406455389</c:v>
                </c:pt>
                <c:pt idx="11">
                  <c:v>4011.41631226393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-1905791.66666667</c:v>
                </c:pt>
                <c:pt idx="1">
                  <c:v>-291.666666666667</c:v>
                </c:pt>
                <c:pt idx="2">
                  <c:v>-291.666666666667</c:v>
                </c:pt>
                <c:pt idx="3">
                  <c:v>-291.666666666667</c:v>
                </c:pt>
                <c:pt idx="4">
                  <c:v>-291.666666666667</c:v>
                </c:pt>
                <c:pt idx="5">
                  <c:v>-291.666666666667</c:v>
                </c:pt>
                <c:pt idx="6">
                  <c:v>-291.666666666667</c:v>
                </c:pt>
                <c:pt idx="7">
                  <c:v>-291.666666666667</c:v>
                </c:pt>
                <c:pt idx="8">
                  <c:v>-291.666666666667</c:v>
                </c:pt>
                <c:pt idx="9">
                  <c:v>-291.666666666667</c:v>
                </c:pt>
                <c:pt idx="10">
                  <c:v>-291.666666666667</c:v>
                </c:pt>
                <c:pt idx="11">
                  <c:v>-291.666666666667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1958915.18371808</c:v>
                </c:pt>
                <c:pt idx="1">
                  <c:v>-1090.69237010927</c:v>
                </c:pt>
                <c:pt idx="2">
                  <c:v>-1096.60028711403</c:v>
                </c:pt>
                <c:pt idx="3">
                  <c:v>-1102.5402053359</c:v>
                </c:pt>
                <c:pt idx="4">
                  <c:v>-1108.5122981148</c:v>
                </c:pt>
                <c:pt idx="5">
                  <c:v>-1114.51673972959</c:v>
                </c:pt>
                <c:pt idx="6">
                  <c:v>-1120.55370540313</c:v>
                </c:pt>
                <c:pt idx="7">
                  <c:v>-1126.62337130739</c:v>
                </c:pt>
                <c:pt idx="8">
                  <c:v>-1132.72591456864</c:v>
                </c:pt>
                <c:pt idx="9">
                  <c:v>-1138.86151327256</c:v>
                </c:pt>
                <c:pt idx="10">
                  <c:v>-1145.03034646945</c:v>
                </c:pt>
                <c:pt idx="11">
                  <c:v>-1151.23259417949</c:v>
                </c:pt>
              </c:numCache>
            </c:numRef>
          </c:val>
        </c:ser>
        <c:gapWidth val="60"/>
        <c:overlap val="0"/>
        <c:axId val="47495529"/>
        <c:axId val="69093800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58003.0170514176</c:v>
                </c:pt>
                <c:pt idx="1">
                  <c:v>60571.5341028354</c:v>
                </c:pt>
                <c:pt idx="2">
                  <c:v>63140.0511542531</c:v>
                </c:pt>
                <c:pt idx="3">
                  <c:v>65708.5682056709</c:v>
                </c:pt>
                <c:pt idx="4">
                  <c:v>68277.0852570887</c:v>
                </c:pt>
                <c:pt idx="5">
                  <c:v>70845.6023085065</c:v>
                </c:pt>
                <c:pt idx="6">
                  <c:v>73414.1193599242</c:v>
                </c:pt>
                <c:pt idx="7">
                  <c:v>75982.636411342</c:v>
                </c:pt>
                <c:pt idx="8">
                  <c:v>78551.1534627598</c:v>
                </c:pt>
                <c:pt idx="9">
                  <c:v>81119.6705141776</c:v>
                </c:pt>
                <c:pt idx="10">
                  <c:v>83688.1875655953</c:v>
                </c:pt>
                <c:pt idx="11">
                  <c:v>86256.7046170131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953472"/>
        <c:axId val="40656130"/>
      </c:lineChart>
      <c:catAx>
        <c:axId val="47495529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093800"/>
        <c:crosses val="autoZero"/>
        <c:auto val="1"/>
        <c:lblAlgn val="ctr"/>
        <c:lblOffset val="100"/>
        <c:noMultiLvlLbl val="0"/>
      </c:catAx>
      <c:valAx>
        <c:axId val="690938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495529"/>
        <c:crosses val="autoZero"/>
        <c:crossBetween val="between"/>
      </c:valAx>
      <c:catAx>
        <c:axId val="11953472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656130"/>
        <c:crosses val="autoZero"/>
        <c:auto val="1"/>
        <c:lblAlgn val="ctr"/>
        <c:lblOffset val="100"/>
        <c:noMultiLvlLbl val="0"/>
      </c:catAx>
      <c:valAx>
        <c:axId val="40656130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9534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58003.0170514176</c:v>
                </c:pt>
                <c:pt idx="1">
                  <c:v>60571.5341028354</c:v>
                </c:pt>
                <c:pt idx="2">
                  <c:v>63140.0511542531</c:v>
                </c:pt>
                <c:pt idx="3">
                  <c:v>65708.5682056709</c:v>
                </c:pt>
                <c:pt idx="4">
                  <c:v>68277.0852570887</c:v>
                </c:pt>
                <c:pt idx="5">
                  <c:v>70845.6023085065</c:v>
                </c:pt>
                <c:pt idx="6">
                  <c:v>73414.1193599242</c:v>
                </c:pt>
                <c:pt idx="7">
                  <c:v>75982.636411342</c:v>
                </c:pt>
                <c:pt idx="8">
                  <c:v>78551.1534627598</c:v>
                </c:pt>
                <c:pt idx="9">
                  <c:v>81119.6705141776</c:v>
                </c:pt>
                <c:pt idx="10">
                  <c:v>83688.1875655953</c:v>
                </c:pt>
                <c:pt idx="11">
                  <c:v>86256.7046170131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1901051.56893004</c:v>
                </c:pt>
                <c:pt idx="1">
                  <c:v>1896602.23765432</c:v>
                </c:pt>
                <c:pt idx="2">
                  <c:v>1892152.00617284</c:v>
                </c:pt>
                <c:pt idx="3">
                  <c:v>1887700.8744856</c:v>
                </c:pt>
                <c:pt idx="4">
                  <c:v>1883248.84259259</c:v>
                </c:pt>
                <c:pt idx="5">
                  <c:v>1878795.91049383</c:v>
                </c:pt>
                <c:pt idx="6">
                  <c:v>1874342.0781893</c:v>
                </c:pt>
                <c:pt idx="7">
                  <c:v>1869887.34567901</c:v>
                </c:pt>
                <c:pt idx="8">
                  <c:v>1865431.71296296</c:v>
                </c:pt>
                <c:pt idx="9">
                  <c:v>1860975.18004115</c:v>
                </c:pt>
                <c:pt idx="10">
                  <c:v>1856517.74691358</c:v>
                </c:pt>
                <c:pt idx="11">
                  <c:v>1852059.41358025</c:v>
                </c:pt>
              </c:numCache>
            </c:numRef>
          </c:val>
        </c:ser>
        <c:gapWidth val="60"/>
        <c:overlap val="100"/>
        <c:axId val="22553252"/>
        <c:axId val="83737154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759204.902263375</c:v>
                </c:pt>
                <c:pt idx="1">
                  <c:v>758414.780409181</c:v>
                </c:pt>
                <c:pt idx="2">
                  <c:v>757629.666266232</c:v>
                </c:pt>
                <c:pt idx="3">
                  <c:v>756849.591835743</c:v>
                </c:pt>
                <c:pt idx="4">
                  <c:v>756074.589292271</c:v>
                </c:pt>
                <c:pt idx="5">
                  <c:v>755304.690984653</c:v>
                </c:pt>
                <c:pt idx="6">
                  <c:v>754539.929436947</c:v>
                </c:pt>
                <c:pt idx="7">
                  <c:v>753780.337349384</c:v>
                </c:pt>
                <c:pt idx="8">
                  <c:v>753025.947599321</c:v>
                </c:pt>
                <c:pt idx="9">
                  <c:v>752276.793242201</c:v>
                </c:pt>
                <c:pt idx="10">
                  <c:v>751532.907512516</c:v>
                </c:pt>
                <c:pt idx="11">
                  <c:v>750794.32382478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553252"/>
        <c:axId val="83737154"/>
      </c:lineChart>
      <c:catAx>
        <c:axId val="2255325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737154"/>
        <c:crosses val="autoZero"/>
        <c:auto val="1"/>
        <c:lblAlgn val="ctr"/>
        <c:lblOffset val="100"/>
        <c:noMultiLvlLbl val="0"/>
      </c:catAx>
      <c:valAx>
        <c:axId val="8373715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5532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760000</c:v>
                </c:pt>
                <c:pt idx="1">
                  <c:v>1200000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1909000</c:v>
                </c:pt>
                <c:pt idx="2">
                  <c:v>13412.7056275198</c:v>
                </c:pt>
                <c:pt idx="3">
                  <c:v>86256.7046170131</c:v>
                </c:pt>
              </c:numCache>
            </c:numRef>
          </c:val>
        </c:ser>
        <c:gapWidth val="60"/>
        <c:overlap val="0"/>
        <c:axId val="57262253"/>
        <c:axId val="76382681"/>
      </c:barChart>
      <c:catAx>
        <c:axId val="572622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382681"/>
        <c:crosses val="autoZero"/>
        <c:auto val="1"/>
        <c:lblAlgn val="ctr"/>
        <c:lblOffset val="100"/>
        <c:noMultiLvlLbl val="0"/>
      </c:catAx>
      <c:valAx>
        <c:axId val="7638268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26225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0.885949656750572</c:v>
                </c:pt>
                <c:pt idx="1">
                  <c:v>0.885949656750572</c:v>
                </c:pt>
                <c:pt idx="2">
                  <c:v>0.885949656750572</c:v>
                </c:pt>
                <c:pt idx="3">
                  <c:v>0.885949656750572</c:v>
                </c:pt>
                <c:pt idx="4">
                  <c:v>0.885949656750572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0.637376048817696</c:v>
                </c:pt>
                <c:pt idx="1">
                  <c:v>0.637376048817697</c:v>
                </c:pt>
                <c:pt idx="2">
                  <c:v>0.637376048817697</c:v>
                </c:pt>
                <c:pt idx="3">
                  <c:v>0.637376048817696</c:v>
                </c:pt>
                <c:pt idx="4">
                  <c:v>0.637376048817696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-0.0468124900850244</c:v>
                </c:pt>
                <c:pt idx="1">
                  <c:v>-0.0231002226620715</c:v>
                </c:pt>
                <c:pt idx="2">
                  <c:v>8.05846281586036E-005</c:v>
                </c:pt>
                <c:pt idx="3">
                  <c:v>0.0227511252761191</c:v>
                </c:pt>
                <c:pt idx="4">
                  <c:v>0.0440156685089506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062656"/>
        <c:axId val="94991323"/>
      </c:lineChart>
      <c:catAx>
        <c:axId val="2306265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991323"/>
        <c:crosses val="autoZero"/>
        <c:auto val="1"/>
        <c:lblAlgn val="ctr"/>
        <c:lblOffset val="100"/>
        <c:noMultiLvlLbl val="0"/>
      </c:catAx>
      <c:valAx>
        <c:axId val="9499132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0626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KPIs!$A$14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KPIs!$B$14:$F$14</c:f>
              <c:numCache>
                <c:formatCode>0.0%;\(0.0%\);\-</c:formatCode>
                <c:ptCount val="5"/>
                <c:pt idx="0">
                  <c:v>-0.00474931621771883</c:v>
                </c:pt>
                <c:pt idx="1">
                  <c:v>-0.00243776706981885</c:v>
                </c:pt>
                <c:pt idx="2">
                  <c:v>8.82925163287813E-006</c:v>
                </c:pt>
                <c:pt idx="3">
                  <c:v>0.00258293587803754</c:v>
                </c:pt>
                <c:pt idx="4">
                  <c:v>0.00516779188662857</c:v>
                </c:pt>
              </c:numCache>
            </c:numRef>
          </c:val>
        </c:ser>
        <c:ser>
          <c:idx val="1"/>
          <c:order val="1"/>
          <c:tx>
            <c:strRef>
              <c:f>KPIs!$A$15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-0.0122612490306579</c:v>
                </c:pt>
                <c:pt idx="1">
                  <c:v>-0.00627106563198487</c:v>
                </c:pt>
                <c:pt idx="2">
                  <c:v>2.25322637004357E-005</c:v>
                </c:pt>
                <c:pt idx="3">
                  <c:v>0.00650963123357937</c:v>
                </c:pt>
                <c:pt idx="4">
                  <c:v>0.0128056227947238</c:v>
                </c:pt>
              </c:numCache>
            </c:numRef>
          </c:val>
        </c:ser>
        <c:gapWidth val="60"/>
        <c:overlap val="0"/>
        <c:axId val="44560395"/>
        <c:axId val="23630553"/>
      </c:barChart>
      <c:catAx>
        <c:axId val="445603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630553"/>
        <c:crosses val="autoZero"/>
        <c:auto val="1"/>
        <c:lblAlgn val="ctr"/>
        <c:lblOffset val="100"/>
        <c:noMultiLvlLbl val="0"/>
      </c:catAx>
      <c:valAx>
        <c:axId val="2363055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5603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NOI and NOI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KPIs!$A$33</c:f>
              <c:strCache>
                <c:ptCount val="1"/>
                <c:pt idx="0">
                  <c:v>Net operating income (NOI = EBITDA)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KPIs!$B$33:$F$33</c:f>
              <c:numCache>
                <c:formatCode>\$#,##0,;"($"#,##0,\);\-</c:formatCode>
                <c:ptCount val="5"/>
                <c:pt idx="0">
                  <c:v>125340</c:v>
                </c:pt>
                <c:pt idx="1">
                  <c:v>129100.2</c:v>
                </c:pt>
                <c:pt idx="2">
                  <c:v>132973.206</c:v>
                </c:pt>
                <c:pt idx="3">
                  <c:v>136962.40218</c:v>
                </c:pt>
                <c:pt idx="4">
                  <c:v>141071.2742454</c:v>
                </c:pt>
              </c:numCache>
            </c:numRef>
          </c:val>
        </c:ser>
        <c:gapWidth val="60"/>
        <c:overlap val="0"/>
        <c:axId val="20713801"/>
        <c:axId val="63400728"/>
      </c:barChart>
      <c:lineChart>
        <c:grouping val="standard"/>
        <c:varyColors val="0"/>
        <c:ser>
          <c:idx val="1"/>
          <c:order val="1"/>
          <c:tx>
            <c:strRef>
              <c:f>KPIs!$A$34</c:f>
              <c:strCache>
                <c:ptCount val="1"/>
                <c:pt idx="0">
                  <c:v>NOI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KPIs!$B$34:$F$34</c:f>
              <c:numCache>
                <c:formatCode>0.0%;\(0.0%\);\-</c:formatCode>
                <c:ptCount val="5"/>
                <c:pt idx="0">
                  <c:v>0.637376048817696</c:v>
                </c:pt>
                <c:pt idx="1">
                  <c:v>0.637376048817697</c:v>
                </c:pt>
                <c:pt idx="2">
                  <c:v>0.637376048817697</c:v>
                </c:pt>
                <c:pt idx="3">
                  <c:v>0.637376048817696</c:v>
                </c:pt>
                <c:pt idx="4">
                  <c:v>0.637376048817696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117940"/>
        <c:axId val="39457827"/>
      </c:lineChart>
      <c:catAx>
        <c:axId val="2071380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400728"/>
        <c:crosses val="autoZero"/>
        <c:auto val="1"/>
        <c:lblAlgn val="ctr"/>
        <c:lblOffset val="100"/>
        <c:noMultiLvlLbl val="0"/>
      </c:catAx>
      <c:valAx>
        <c:axId val="6340072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713801"/>
        <c:crosses val="autoZero"/>
        <c:crossBetween val="between"/>
      </c:valAx>
      <c:catAx>
        <c:axId val="7411794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457827"/>
        <c:crosses val="autoZero"/>
        <c:auto val="1"/>
        <c:lblAlgn val="ctr"/>
        <c:lblOffset val="100"/>
        <c:noMultiLvlLbl val="0"/>
      </c:catAx>
      <c:valAx>
        <c:axId val="3945782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1179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Rent per unit and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KPIs!$A$28</c:f>
              <c:strCache>
                <c:ptCount val="1"/>
                <c:pt idx="0">
                  <c:v>Average rent per unit per month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KPIs!$B$28:$F$28</c:f>
              <c:numCache>
                <c:formatCode>\$#,##0.00;"($"#,##0.00\);\-</c:formatCode>
                <c:ptCount val="5"/>
                <c:pt idx="0">
                  <c:v>1700</c:v>
                </c:pt>
                <c:pt idx="1">
                  <c:v>1751</c:v>
                </c:pt>
                <c:pt idx="2">
                  <c:v>1803.53</c:v>
                </c:pt>
                <c:pt idx="3">
                  <c:v>1857.6359</c:v>
                </c:pt>
                <c:pt idx="4">
                  <c:v>1913.364977</c:v>
                </c:pt>
              </c:numCache>
            </c:numRef>
          </c:val>
        </c:ser>
        <c:gapWidth val="60"/>
        <c:overlap val="0"/>
        <c:axId val="82145386"/>
        <c:axId val="91896029"/>
      </c:barChart>
      <c:lineChart>
        <c:grouping val="standard"/>
        <c:varyColors val="0"/>
        <c:ser>
          <c:idx val="1"/>
          <c:order val="1"/>
          <c:tx>
            <c:strRef>
              <c:f>KPIs!$A$31</c:f>
              <c:strCache>
                <c:ptCount val="1"/>
                <c:pt idx="0">
                  <c:v>Economic occupancy (collected ÷ potential rent)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KPIs!$B$31:$F$31</c:f>
              <c:numCache>
                <c:formatCode>0.0%;\(0.0%\);\-</c:formatCode>
                <c:ptCount val="5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554229"/>
        <c:axId val="65460592"/>
      </c:lineChart>
      <c:catAx>
        <c:axId val="821453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896029"/>
        <c:crosses val="autoZero"/>
        <c:auto val="1"/>
        <c:lblAlgn val="ctr"/>
        <c:lblOffset val="100"/>
        <c:noMultiLvlLbl val="0"/>
      </c:catAx>
      <c:valAx>
        <c:axId val="918960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145386"/>
        <c:crosses val="autoZero"/>
        <c:crossBetween val="between"/>
      </c:valAx>
      <c:catAx>
        <c:axId val="5755422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460592"/>
        <c:crosses val="autoZero"/>
        <c:auto val="1"/>
        <c:lblAlgn val="ctr"/>
        <c:lblOffset val="100"/>
        <c:noMultiLvlLbl val="0"/>
      </c:catAx>
      <c:valAx>
        <c:axId val="654605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55422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9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0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1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2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Checks!B30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HYPERLINK("#'Break-even'!A1","Break-even")</f>
        <v>Break-even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HYPERLINK("#Valuation!A1","Valuation")</f>
        <v>Valuation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HYPERLINK("#'Sources &amp; Uses'!A1","Sources &amp; Uses")</f>
        <v>Sources &amp; Uses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HYPERLINK("#KPIs!A1","KPIs")</f>
        <v>KPIs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HYPERLINK("#Returns!A1","Returns")</f>
        <v>Returns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C28" s="8" t="s">
        <v>26</v>
      </c>
    </row>
    <row r="29" customFormat="false" ht="15" hidden="false" customHeight="false" outlineLevel="0" collapsed="false">
      <c r="B29" s="9" t="n">
        <v>14</v>
      </c>
      <c r="C29" s="10" t="str">
        <f aca="false">HYPERLINK("#Checks!A1","Checks")</f>
        <v>Checks</v>
      </c>
      <c r="D29" s="11" t="s">
        <v>27</v>
      </c>
    </row>
    <row r="31" customFormat="false" ht="15" hidden="false" customHeight="false" outlineLevel="0" collapsed="false">
      <c r="B31" s="3" t="s">
        <v>28</v>
      </c>
    </row>
    <row r="32" customFormat="false" ht="15" hidden="false" customHeight="false" outlineLevel="0" collapsed="false">
      <c r="C32" s="12" t="n">
        <v>1000</v>
      </c>
      <c r="D32" s="6" t="s">
        <v>29</v>
      </c>
    </row>
    <row r="33" customFormat="false" ht="15" hidden="false" customHeight="false" outlineLevel="0" collapsed="false">
      <c r="C33" s="13" t="n">
        <v>1000</v>
      </c>
      <c r="D33" s="6" t="s">
        <v>30</v>
      </c>
    </row>
    <row r="34" customFormat="false" ht="15" hidden="false" customHeight="false" outlineLevel="0" collapsed="false">
      <c r="C34" s="14" t="n">
        <v>1000</v>
      </c>
      <c r="D34" s="6" t="s">
        <v>31</v>
      </c>
    </row>
    <row r="35" customFormat="false" ht="15" hidden="false" customHeight="false" outlineLevel="0" collapsed="false">
      <c r="C35" s="15" t="n">
        <v>1000</v>
      </c>
      <c r="D35" s="6" t="s">
        <v>32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33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34</v>
      </c>
      <c r="S4" s="22" t="s">
        <v>5</v>
      </c>
      <c r="T4" s="23" t="str">
        <f aca="false">Checks!B30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35</v>
      </c>
      <c r="B6" s="24"/>
      <c r="C6" s="24" t="s">
        <v>36</v>
      </c>
      <c r="D6" s="24"/>
      <c r="E6" s="24"/>
      <c r="F6" s="24"/>
      <c r="H6" s="24" t="s">
        <v>37</v>
      </c>
      <c r="I6" s="24"/>
      <c r="J6" s="24"/>
      <c r="K6" s="24"/>
      <c r="L6" s="24" t="s">
        <v>38</v>
      </c>
      <c r="M6" s="24"/>
      <c r="N6" s="24"/>
      <c r="O6" s="24"/>
      <c r="P6" s="24" t="s">
        <v>39</v>
      </c>
      <c r="Q6" s="24"/>
      <c r="R6" s="24"/>
      <c r="S6" s="24"/>
      <c r="T6" s="24" t="s">
        <v>40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221331.3074865</v>
      </c>
      <c r="B7" s="25"/>
      <c r="C7" s="26" t="n">
        <f aca="false">F17</f>
        <v>0.637376048817696</v>
      </c>
      <c r="D7" s="26"/>
      <c r="E7" s="26"/>
      <c r="F7" s="26"/>
      <c r="H7" s="25" t="n">
        <f aca="false">F18</f>
        <v>9742.0454609784</v>
      </c>
      <c r="I7" s="25"/>
      <c r="J7" s="25"/>
      <c r="K7" s="25"/>
      <c r="L7" s="25" t="n">
        <f aca="false">F38</f>
        <v>58003.0170514176</v>
      </c>
      <c r="M7" s="25"/>
      <c r="N7" s="25"/>
      <c r="O7" s="25"/>
      <c r="P7" s="25" t="n">
        <f aca="false">F36</f>
        <v>1913996.98294858</v>
      </c>
      <c r="Q7" s="25"/>
      <c r="R7" s="25"/>
      <c r="S7" s="25"/>
      <c r="T7" s="25" t="n">
        <f aca="false">F43</f>
        <v>-986206.556075488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0.03</v>
      </c>
      <c r="B8" s="27"/>
      <c r="C8" s="28" t="n">
        <f aca="false">F16</f>
        <v>141071.2742454</v>
      </c>
      <c r="D8" s="28"/>
      <c r="E8" s="28"/>
      <c r="F8" s="28"/>
      <c r="H8" s="29" t="n">
        <f aca="false">F19</f>
        <v>0.0440156685089506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str">
        <f aca="false">IF(F37&gt;=0,"Covered by funding raised",-F37)</f>
        <v>Covered by funding raised</v>
      </c>
      <c r="Q8" s="31"/>
      <c r="R8" s="31"/>
      <c r="S8" s="31"/>
      <c r="T8" s="32" t="s">
        <v>41</v>
      </c>
      <c r="U8" s="32"/>
      <c r="V8" s="32"/>
      <c r="W8" s="32"/>
    </row>
    <row r="10" customFormat="false" ht="15.75" hidden="false" customHeight="true" outlineLevel="0" collapsed="false">
      <c r="A10" s="7" t="s">
        <v>42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43</v>
      </c>
      <c r="B12" s="35" t="n">
        <f aca="false">SUMIF(Monthly!$C$5:$BJ$5,B$11,Monthly!$C$12:$BJ$12)</f>
        <v>196650</v>
      </c>
      <c r="C12" s="35" t="n">
        <f aca="false">SUMIF(Monthly!$C$5:$BJ$5,C$11,Monthly!$C$12:$BJ$12)</f>
        <v>202549.5</v>
      </c>
      <c r="D12" s="35" t="n">
        <f aca="false">SUMIF(Monthly!$C$5:$BJ$5,D$11,Monthly!$C$12:$BJ$12)</f>
        <v>208625.985</v>
      </c>
      <c r="E12" s="35" t="n">
        <f aca="false">SUMIF(Monthly!$C$5:$BJ$5,E$11,Monthly!$C$12:$BJ$12)</f>
        <v>214884.76455</v>
      </c>
      <c r="F12" s="35" t="n">
        <f aca="false">SUMIF(Monthly!$C$5:$BJ$5,F$11,Monthly!$C$12:$BJ$12)</f>
        <v>221331.3074865</v>
      </c>
    </row>
    <row r="13" customFormat="false" ht="15" hidden="false" customHeight="false" outlineLevel="0" collapsed="false">
      <c r="A13" s="36" t="s">
        <v>44</v>
      </c>
      <c r="B13" s="37" t="n">
        <f aca="false">SUMIF(Monthly!$C$5:$BJ$5,B$11,Monthly!$C$18:$BJ$18)</f>
        <v>174222</v>
      </c>
      <c r="C13" s="37" t="n">
        <f aca="false">SUMIF(Monthly!$C$5:$BJ$5,C$11,Monthly!$C$18:$BJ$18)</f>
        <v>179448.66</v>
      </c>
      <c r="D13" s="37" t="n">
        <f aca="false">SUMIF(Monthly!$C$5:$BJ$5,D$11,Monthly!$C$18:$BJ$18)</f>
        <v>184832.1198</v>
      </c>
      <c r="E13" s="37" t="n">
        <f aca="false">SUMIF(Monthly!$C$5:$BJ$5,E$11,Monthly!$C$18:$BJ$18)</f>
        <v>190377.083394</v>
      </c>
      <c r="F13" s="37" t="n">
        <f aca="false">SUMIF(Monthly!$C$5:$BJ$5,F$11,Monthly!$C$18:$BJ$18)</f>
        <v>196088.39589582</v>
      </c>
    </row>
    <row r="14" customFormat="false" ht="15" hidden="false" customHeight="false" outlineLevel="0" collapsed="false">
      <c r="A14" s="38" t="s">
        <v>45</v>
      </c>
      <c r="B14" s="39" t="n">
        <f aca="false">IF(B12=0,0,B13/B12)</f>
        <v>0.885949656750572</v>
      </c>
      <c r="C14" s="39" t="n">
        <f aca="false">IF(C12=0,0,C13/C12)</f>
        <v>0.885949656750572</v>
      </c>
      <c r="D14" s="39" t="n">
        <f aca="false">IF(D12=0,0,D13/D12)</f>
        <v>0.885949656750572</v>
      </c>
      <c r="E14" s="39" t="n">
        <f aca="false">IF(E12=0,0,E13/E12)</f>
        <v>0.885949656750572</v>
      </c>
      <c r="F14" s="39" t="n">
        <f aca="false">IF(F12=0,0,F13/F12)</f>
        <v>0.885949656750572</v>
      </c>
    </row>
    <row r="15" customFormat="false" ht="15" hidden="false" customHeight="false" outlineLevel="0" collapsed="false">
      <c r="A15" s="6" t="s">
        <v>46</v>
      </c>
      <c r="B15" s="35" t="n">
        <f aca="false">SUMIF(Monthly!$C$5:$BJ$5,B$11,Monthly!$C$25:$BJ$25)</f>
        <v>-48882</v>
      </c>
      <c r="C15" s="35" t="n">
        <f aca="false">SUMIF(Monthly!$C$5:$BJ$5,C$11,Monthly!$C$25:$BJ$25)</f>
        <v>-50348.46</v>
      </c>
      <c r="D15" s="35" t="n">
        <f aca="false">SUMIF(Monthly!$C$5:$BJ$5,D$11,Monthly!$C$25:$BJ$25)</f>
        <v>-51858.9138</v>
      </c>
      <c r="E15" s="35" t="n">
        <f aca="false">SUMIF(Monthly!$C$5:$BJ$5,E$11,Monthly!$C$25:$BJ$25)</f>
        <v>-53414.681214</v>
      </c>
      <c r="F15" s="35" t="n">
        <f aca="false">SUMIF(Monthly!$C$5:$BJ$5,F$11,Monthly!$C$25:$BJ$25)</f>
        <v>-55017.12165042</v>
      </c>
    </row>
    <row r="16" customFormat="false" ht="15" hidden="false" customHeight="false" outlineLevel="0" collapsed="false">
      <c r="A16" s="36" t="s">
        <v>47</v>
      </c>
      <c r="B16" s="37" t="n">
        <f aca="false">SUMIF(Monthly!$C$5:$BJ$5,B$11,Monthly!$C$26:$BJ$26)</f>
        <v>125340</v>
      </c>
      <c r="C16" s="37" t="n">
        <f aca="false">SUMIF(Monthly!$C$5:$BJ$5,C$11,Monthly!$C$26:$BJ$26)</f>
        <v>129100.2</v>
      </c>
      <c r="D16" s="37" t="n">
        <f aca="false">SUMIF(Monthly!$C$5:$BJ$5,D$11,Monthly!$C$26:$BJ$26)</f>
        <v>132973.206</v>
      </c>
      <c r="E16" s="37" t="n">
        <f aca="false">SUMIF(Monthly!$C$5:$BJ$5,E$11,Monthly!$C$26:$BJ$26)</f>
        <v>136962.40218</v>
      </c>
      <c r="F16" s="37" t="n">
        <f aca="false">SUMIF(Monthly!$C$5:$BJ$5,F$11,Monthly!$C$26:$BJ$26)</f>
        <v>141071.2742454</v>
      </c>
    </row>
    <row r="17" customFormat="false" ht="15" hidden="false" customHeight="false" outlineLevel="0" collapsed="false">
      <c r="A17" s="38" t="s">
        <v>48</v>
      </c>
      <c r="B17" s="39" t="n">
        <f aca="false">IF(B12=0,0,B16/B12)</f>
        <v>0.637376048817696</v>
      </c>
      <c r="C17" s="39" t="n">
        <f aca="false">IF(C12=0,0,C16/C12)</f>
        <v>0.637376048817697</v>
      </c>
      <c r="D17" s="39" t="n">
        <f aca="false">IF(D12=0,0,D16/D12)</f>
        <v>0.637376048817697</v>
      </c>
      <c r="E17" s="39" t="n">
        <f aca="false">IF(E12=0,0,E16/E12)</f>
        <v>0.637376048817696</v>
      </c>
      <c r="F17" s="39" t="n">
        <f aca="false">IF(F12=0,0,F16/F12)</f>
        <v>0.637376048817696</v>
      </c>
    </row>
    <row r="18" customFormat="false" ht="15" hidden="false" customHeight="false" outlineLevel="0" collapsed="false">
      <c r="A18" s="40" t="s">
        <v>49</v>
      </c>
      <c r="B18" s="41" t="n">
        <f aca="false">SUMIF(Monthly!$C$5:$BJ$5,B$11,Monthly!$C$35:$BJ$35)</f>
        <v>-9205.67617522005</v>
      </c>
      <c r="C18" s="41" t="n">
        <f aca="false">SUMIF(Monthly!$C$5:$BJ$5,C$11,Monthly!$C$35:$BJ$35)</f>
        <v>-4678.93855009125</v>
      </c>
      <c r="D18" s="41" t="n">
        <f aca="false">SUMIF(Monthly!$C$5:$BJ$5,D$11,Monthly!$C$35:$BJ$35)</f>
        <v>16.8120474254474</v>
      </c>
      <c r="E18" s="41" t="n">
        <f aca="false">SUMIF(Monthly!$C$5:$BJ$5,E$11,Monthly!$C$35:$BJ$35)</f>
        <v>4888.8701982064</v>
      </c>
      <c r="F18" s="41" t="n">
        <f aca="false">SUMIF(Monthly!$C$5:$BJ$5,F$11,Monthly!$C$35:$BJ$35)</f>
        <v>9742.0454609784</v>
      </c>
    </row>
    <row r="19" customFormat="false" ht="15" hidden="false" customHeight="false" outlineLevel="0" collapsed="false">
      <c r="A19" s="38" t="s">
        <v>50</v>
      </c>
      <c r="B19" s="39" t="n">
        <f aca="false">IF(B12=0,0,B18/B12)</f>
        <v>-0.0468124900850244</v>
      </c>
      <c r="C19" s="39" t="n">
        <f aca="false">IF(C12=0,0,C18/C12)</f>
        <v>-0.0231002226620715</v>
      </c>
      <c r="D19" s="39" t="n">
        <f aca="false">IF(D12=0,0,D18/D12)</f>
        <v>8.05846281586036E-005</v>
      </c>
      <c r="E19" s="39" t="n">
        <f aca="false">IF(E12=0,0,E18/E12)</f>
        <v>0.0227511252761191</v>
      </c>
      <c r="F19" s="39" t="n">
        <f aca="false">IF(F12=0,0,F18/F12)</f>
        <v>0.0440156685089506</v>
      </c>
    </row>
    <row r="20" customFormat="false" ht="15" hidden="false" customHeight="false" outlineLevel="0" collapsed="false">
      <c r="A20" s="6" t="s">
        <v>51</v>
      </c>
      <c r="B20" s="35" t="n">
        <f aca="false">SUMIF(Monthly!$C$5:$BJ$5,B$11,Monthly!$C$65:$BJ$65)</f>
        <v>48669.4102445331</v>
      </c>
      <c r="C20" s="35" t="n">
        <f aca="false">SUMIF(Monthly!$C$5:$BJ$5,C$11,Monthly!$C$65:$BJ$65)</f>
        <v>52421.418980773</v>
      </c>
      <c r="D20" s="35" t="n">
        <f aca="false">SUMIF(Monthly!$C$5:$BJ$5,D$11,Monthly!$C$65:$BJ$65)</f>
        <v>57253.6988227342</v>
      </c>
      <c r="E20" s="35" t="n">
        <f aca="false">SUMIF(Monthly!$C$5:$BJ$5,E$11,Monthly!$C$65:$BJ$65)</f>
        <v>62266.3820952929</v>
      </c>
      <c r="F20" s="35" t="n">
        <f aca="false">SUMIF(Monthly!$C$5:$BJ$5,F$11,Monthly!$C$65:$BJ$65)</f>
        <v>67264.4012334961</v>
      </c>
    </row>
    <row r="21" customFormat="false" ht="15" hidden="false" customHeight="false" outlineLevel="0" collapsed="false">
      <c r="A21" s="6" t="s">
        <v>52</v>
      </c>
      <c r="B21" s="35" t="n">
        <f aca="false">SUMIF(Monthly!$C$5:$BJ$5,B$11,Monthly!$C$66:$BJ$66)</f>
        <v>-1909000</v>
      </c>
      <c r="C21" s="35" t="n">
        <f aca="false">SUMIF(Monthly!$C$5:$BJ$5,C$11,Monthly!$C$66:$BJ$66)</f>
        <v>-3605</v>
      </c>
      <c r="D21" s="35" t="n">
        <f aca="false">SUMIF(Monthly!$C$5:$BJ$5,D$11,Monthly!$C$66:$BJ$66)</f>
        <v>-3713.15</v>
      </c>
      <c r="E21" s="35" t="n">
        <f aca="false">SUMIF(Monthly!$C$5:$BJ$5,E$11,Monthly!$C$66:$BJ$66)</f>
        <v>-3824.5445</v>
      </c>
      <c r="F21" s="35" t="n">
        <f aca="false">SUMIF(Monthly!$C$5:$BJ$5,F$11,Monthly!$C$66:$BJ$66)</f>
        <v>-3939.280835</v>
      </c>
    </row>
    <row r="22" customFormat="false" ht="15" hidden="false" customHeight="false" outlineLevel="0" collapsed="false">
      <c r="A22" s="6" t="s">
        <v>53</v>
      </c>
      <c r="B22" s="35" t="n">
        <f aca="false">SUMIF(Monthly!$C$5:$BJ$5,B$11,Monthly!$C$68:$BJ$68)</f>
        <v>1946587.29437248</v>
      </c>
      <c r="C22" s="35" t="n">
        <f aca="false">SUMIF(Monthly!$C$5:$BJ$5,C$11,Monthly!$C$68:$BJ$68)</f>
        <v>-14310.9793637598</v>
      </c>
      <c r="D22" s="35" t="n">
        <f aca="false">SUMIF(Monthly!$C$5:$BJ$5,D$11,Monthly!$C$68:$BJ$68)</f>
        <v>-15269.4121557209</v>
      </c>
      <c r="E22" s="35" t="n">
        <f aca="false">SUMIF(Monthly!$C$5:$BJ$5,E$11,Monthly!$C$68:$BJ$68)</f>
        <v>-16292.0329667797</v>
      </c>
      <c r="F22" s="35" t="n">
        <f aca="false">SUMIF(Monthly!$C$5:$BJ$5,F$11,Monthly!$C$68:$BJ$68)</f>
        <v>-17383.1405874514</v>
      </c>
    </row>
    <row r="23" customFormat="false" ht="15" hidden="false" customHeight="false" outlineLevel="0" collapsed="false">
      <c r="A23" s="36" t="s">
        <v>54</v>
      </c>
      <c r="B23" s="37" t="n">
        <f aca="false">SUMIF(Monthly!$C$5:$BJ$5,B$11,Monthly!$C$69:$BJ$69)</f>
        <v>86256.7046170131</v>
      </c>
      <c r="C23" s="37" t="n">
        <f aca="false">SUMIF(Monthly!$C$5:$BJ$5,C$11,Monthly!$C$69:$BJ$69)</f>
        <v>34505.4396170132</v>
      </c>
      <c r="D23" s="37" t="n">
        <f aca="false">SUMIF(Monthly!$C$5:$BJ$5,D$11,Monthly!$C$69:$BJ$69)</f>
        <v>38271.1366670132</v>
      </c>
      <c r="E23" s="37" t="n">
        <f aca="false">SUMIF(Monthly!$C$5:$BJ$5,E$11,Monthly!$C$69:$BJ$69)</f>
        <v>42149.8046285132</v>
      </c>
      <c r="F23" s="37" t="n">
        <f aca="false">SUMIF(Monthly!$C$5:$BJ$5,F$11,Monthly!$C$69:$BJ$69)</f>
        <v>45941.9798110446</v>
      </c>
    </row>
    <row r="24" customFormat="false" ht="15" hidden="false" customHeight="false" outlineLevel="0" collapsed="false">
      <c r="A24" s="40" t="s">
        <v>55</v>
      </c>
      <c r="B24" s="41" t="n">
        <f aca="false">INDEX(Monthly!$C$71:$BJ$71,B$11*12)</f>
        <v>86256.7046170131</v>
      </c>
      <c r="C24" s="41" t="n">
        <f aca="false">INDEX(Monthly!$C$71:$BJ$71,C$11*12)</f>
        <v>120762.144234026</v>
      </c>
      <c r="D24" s="41" t="n">
        <f aca="false">INDEX(Monthly!$C$71:$BJ$71,D$11*12)</f>
        <v>159033.28090104</v>
      </c>
      <c r="E24" s="41" t="n">
        <f aca="false">INDEX(Monthly!$C$71:$BJ$71,E$11*12)</f>
        <v>201183.085529553</v>
      </c>
      <c r="F24" s="41" t="n">
        <f aca="false">INDEX(Monthly!$C$71:$BJ$71,F$11*12)</f>
        <v>247125.065340597</v>
      </c>
    </row>
    <row r="26" customFormat="false" ht="15.75" hidden="false" customHeight="true" outlineLevel="0" collapsed="false">
      <c r="A26" s="7" t="s">
        <v>56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57</v>
      </c>
      <c r="B28" s="35" t="n">
        <f aca="false">KPIs!B33</f>
        <v>125340</v>
      </c>
      <c r="C28" s="35" t="n">
        <f aca="false">KPIs!C33</f>
        <v>129100.2</v>
      </c>
      <c r="D28" s="35" t="n">
        <f aca="false">KPIs!D33</f>
        <v>132973.206</v>
      </c>
      <c r="E28" s="35" t="n">
        <f aca="false">KPIs!E33</f>
        <v>136962.40218</v>
      </c>
      <c r="F28" s="35" t="n">
        <f aca="false">KPIs!F33</f>
        <v>141071.2742454</v>
      </c>
    </row>
    <row r="29" customFormat="false" ht="15" hidden="false" customHeight="false" outlineLevel="0" collapsed="false">
      <c r="A29" s="6" t="s">
        <v>58</v>
      </c>
      <c r="B29" s="42" t="n">
        <f aca="false">KPIs!B31</f>
        <v>0.95</v>
      </c>
      <c r="C29" s="42" t="n">
        <f aca="false">KPIs!C31</f>
        <v>0.95</v>
      </c>
      <c r="D29" s="42" t="n">
        <f aca="false">KPIs!D31</f>
        <v>0.95</v>
      </c>
      <c r="E29" s="42" t="n">
        <f aca="false">KPIs!E31</f>
        <v>0.95</v>
      </c>
      <c r="F29" s="42" t="n">
        <f aca="false">KPIs!F31</f>
        <v>0.95</v>
      </c>
    </row>
    <row r="30" customFormat="false" ht="15" hidden="false" customHeight="false" outlineLevel="0" collapsed="false">
      <c r="A30" s="6" t="s">
        <v>59</v>
      </c>
      <c r="B30" s="35" t="n">
        <f aca="false">KPIs!B38</f>
        <v>91017.7953829868</v>
      </c>
      <c r="C30" s="35" t="n">
        <f aca="false">KPIs!C38</f>
        <v>91017.7953829868</v>
      </c>
      <c r="D30" s="35" t="n">
        <f aca="false">KPIs!D38</f>
        <v>91017.7953829868</v>
      </c>
      <c r="E30" s="35" t="n">
        <f aca="false">KPIs!E38</f>
        <v>91017.7953829868</v>
      </c>
      <c r="F30" s="35" t="n">
        <f aca="false">KPIs!F38</f>
        <v>91017.7953829868</v>
      </c>
    </row>
    <row r="31" customFormat="false" ht="15" hidden="false" customHeight="false" outlineLevel="0" collapsed="false">
      <c r="A31" s="6" t="s">
        <v>60</v>
      </c>
      <c r="B31" s="43" t="n">
        <f aca="false">KPIs!B39</f>
        <v>1.37709334172061</v>
      </c>
      <c r="C31" s="43" t="n">
        <f aca="false">KPIs!C39</f>
        <v>1.41840614197223</v>
      </c>
      <c r="D31" s="43" t="n">
        <f aca="false">KPIs!D39</f>
        <v>1.4609583262314</v>
      </c>
      <c r="E31" s="43" t="n">
        <f aca="false">KPIs!E39</f>
        <v>1.50478707601834</v>
      </c>
      <c r="F31" s="43" t="n">
        <f aca="false">KPIs!F39</f>
        <v>1.54993068829889</v>
      </c>
    </row>
    <row r="33" customFormat="false" ht="15.75" hidden="false" customHeight="true" outlineLevel="0" collapsed="false">
      <c r="A33" s="7" t="s">
        <v>61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62</v>
      </c>
      <c r="B34" s="44"/>
      <c r="C34" s="44"/>
      <c r="D34" s="44"/>
      <c r="E34" s="44"/>
      <c r="F34" s="45" t="n">
        <f aca="false">Inputs!$E$34</f>
        <v>760000</v>
      </c>
    </row>
    <row r="35" customFormat="false" ht="15" hidden="false" customHeight="false" outlineLevel="0" collapsed="false">
      <c r="A35" s="6" t="s">
        <v>63</v>
      </c>
      <c r="B35" s="44"/>
      <c r="C35" s="44"/>
      <c r="D35" s="44"/>
      <c r="E35" s="44"/>
      <c r="F35" s="45" t="n">
        <f aca="false">Inputs!$E$35</f>
        <v>1200000</v>
      </c>
    </row>
    <row r="36" customFormat="false" ht="15" hidden="false" customHeight="false" outlineLevel="0" collapsed="false">
      <c r="A36" s="6" t="s">
        <v>64</v>
      </c>
      <c r="B36" s="44"/>
      <c r="C36" s="44"/>
      <c r="D36" s="44"/>
      <c r="E36" s="44"/>
      <c r="F36" s="45" t="n">
        <f aca="false">'Break-even'!B12</f>
        <v>1913996.98294858</v>
      </c>
    </row>
    <row r="37" customFormat="false" ht="15" hidden="false" customHeight="false" outlineLevel="0" collapsed="false">
      <c r="A37" s="36" t="s">
        <v>65</v>
      </c>
      <c r="B37" s="36"/>
      <c r="C37" s="36"/>
      <c r="D37" s="36"/>
      <c r="E37" s="36"/>
      <c r="F37" s="37" t="n">
        <f aca="false">'Break-even'!B17</f>
        <v>46003.0170514176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1)</v>
      </c>
      <c r="B38" s="44"/>
      <c r="C38" s="44"/>
      <c r="D38" s="44"/>
      <c r="E38" s="44"/>
      <c r="F38" s="45" t="n">
        <f aca="false">'Break-even'!B18</f>
        <v>58003.0170514176</v>
      </c>
    </row>
    <row r="39" customFormat="false" ht="15" hidden="false" customHeight="false" outlineLevel="0" collapsed="false">
      <c r="A39" s="6" t="s">
        <v>66</v>
      </c>
      <c r="B39" s="44"/>
      <c r="C39" s="44"/>
      <c r="D39" s="44"/>
      <c r="E39" s="44"/>
      <c r="F39" s="46" t="n">
        <f aca="false">'Break-even'!B21</f>
        <v>1</v>
      </c>
    </row>
    <row r="40" customFormat="false" ht="15" hidden="false" customHeight="false" outlineLevel="0" collapsed="false">
      <c r="A40" s="6" t="s">
        <v>67</v>
      </c>
      <c r="B40" s="44"/>
      <c r="C40" s="44"/>
      <c r="D40" s="44"/>
      <c r="E40" s="44"/>
      <c r="F40" s="46" t="str">
        <f aca="false">'Break-even'!B23</f>
        <v>Not within horizon</v>
      </c>
    </row>
    <row r="41" customFormat="false" ht="15" hidden="false" customHeight="false" outlineLevel="0" collapsed="false">
      <c r="A41" s="6" t="s">
        <v>68</v>
      </c>
      <c r="B41" s="44"/>
      <c r="C41" s="44"/>
      <c r="D41" s="44"/>
      <c r="E41" s="44"/>
      <c r="F41" s="45" t="n">
        <f aca="false">Valuation!B27</f>
        <v>-975424.297472256</v>
      </c>
    </row>
    <row r="42" customFormat="false" ht="15" hidden="false" customHeight="false" outlineLevel="0" collapsed="false">
      <c r="A42" s="6" t="s">
        <v>69</v>
      </c>
      <c r="B42" s="44"/>
      <c r="C42" s="44"/>
      <c r="D42" s="44"/>
      <c r="E42" s="44"/>
      <c r="F42" s="45" t="n">
        <f aca="false">Valuation!C27</f>
        <v>-996988.814678721</v>
      </c>
    </row>
    <row r="43" customFormat="false" ht="15" hidden="false" customHeight="false" outlineLevel="0" collapsed="false">
      <c r="A43" s="40" t="s">
        <v>70</v>
      </c>
      <c r="B43" s="40"/>
      <c r="C43" s="40"/>
      <c r="D43" s="40"/>
      <c r="E43" s="40"/>
      <c r="F43" s="41" t="n">
        <f aca="false">Valuation!B30</f>
        <v>-986206.556075488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71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72</v>
      </c>
      <c r="R2" s="47" t="n">
        <v>1</v>
      </c>
      <c r="S2" s="47"/>
    </row>
    <row r="5" customFormat="false" ht="15.75" hidden="false" customHeight="true" outlineLevel="0" collapsed="false">
      <c r="A5" s="7" t="s">
        <v>73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48" t="n">
        <f aca="false">INDEX(Monthly!$C$4:$BJ$4,($R$2-1)*12+1)</f>
        <v>1</v>
      </c>
      <c r="I6" s="48" t="n">
        <f aca="false">INDEX(Monthly!$C$4:$BJ$4,($R$2-1)*12+2)</f>
        <v>2</v>
      </c>
      <c r="J6" s="48" t="n">
        <f aca="false">INDEX(Monthly!$C$4:$BJ$4,($R$2-1)*12+3)</f>
        <v>3</v>
      </c>
      <c r="K6" s="48" t="n">
        <f aca="false">INDEX(Monthly!$C$4:$BJ$4,($R$2-1)*12+4)</f>
        <v>4</v>
      </c>
      <c r="L6" s="48" t="n">
        <f aca="false">INDEX(Monthly!$C$4:$BJ$4,($R$2-1)*12+5)</f>
        <v>5</v>
      </c>
      <c r="M6" s="48" t="n">
        <f aca="false">INDEX(Monthly!$C$4:$BJ$4,($R$2-1)*12+6)</f>
        <v>6</v>
      </c>
      <c r="N6" s="48" t="n">
        <f aca="false">INDEX(Monthly!$C$4:$BJ$4,($R$2-1)*12+7)</f>
        <v>7</v>
      </c>
      <c r="O6" s="48" t="n">
        <f aca="false">INDEX(Monthly!$C$4:$BJ$4,($R$2-1)*12+8)</f>
        <v>8</v>
      </c>
      <c r="P6" s="48" t="n">
        <f aca="false">INDEX(Monthly!$C$4:$BJ$4,($R$2-1)*12+9)</f>
        <v>9</v>
      </c>
      <c r="Q6" s="48" t="n">
        <f aca="false">INDEX(Monthly!$C$4:$BJ$4,($R$2-1)*12+10)</f>
        <v>10</v>
      </c>
      <c r="R6" s="48" t="n">
        <f aca="false">INDEX(Monthly!$C$4:$BJ$4,($R$2-1)*12+11)</f>
        <v>11</v>
      </c>
      <c r="S6" s="48" t="n">
        <f aca="false">INDEX(Monthly!$C$4:$BJ$4,($R$2-1)*12+12)</f>
        <v>12</v>
      </c>
    </row>
    <row r="7" customFormat="false" ht="15" hidden="false" customHeight="false" outlineLevel="0" collapsed="false">
      <c r="A7" s="49" t="s">
        <v>43</v>
      </c>
      <c r="B7" s="35" t="n">
        <f aca="false">'P&amp;L'!B5</f>
        <v>196650</v>
      </c>
      <c r="C7" s="35" t="n">
        <f aca="false">'P&amp;L'!C5</f>
        <v>202549.5</v>
      </c>
      <c r="D7" s="35" t="n">
        <f aca="false">'P&amp;L'!D5</f>
        <v>208625.985</v>
      </c>
      <c r="E7" s="35" t="n">
        <f aca="false">'P&amp;L'!E5</f>
        <v>214884.76455</v>
      </c>
      <c r="F7" s="35" t="n">
        <f aca="false">'P&amp;L'!F5</f>
        <v>221331.3074865</v>
      </c>
      <c r="H7" s="35" t="n">
        <f aca="false">INDEX(Monthly!$C$12:$BJ$12,($R$2-1)*12+1)</f>
        <v>16387.5</v>
      </c>
      <c r="I7" s="35" t="n">
        <f aca="false">INDEX(Monthly!$C$12:$BJ$12,($R$2-1)*12+2)</f>
        <v>16387.5</v>
      </c>
      <c r="J7" s="35" t="n">
        <f aca="false">INDEX(Monthly!$C$12:$BJ$12,($R$2-1)*12+3)</f>
        <v>16387.5</v>
      </c>
      <c r="K7" s="35" t="n">
        <f aca="false">INDEX(Monthly!$C$12:$BJ$12,($R$2-1)*12+4)</f>
        <v>16387.5</v>
      </c>
      <c r="L7" s="35" t="n">
        <f aca="false">INDEX(Monthly!$C$12:$BJ$12,($R$2-1)*12+5)</f>
        <v>16387.5</v>
      </c>
      <c r="M7" s="35" t="n">
        <f aca="false">INDEX(Monthly!$C$12:$BJ$12,($R$2-1)*12+6)</f>
        <v>16387.5</v>
      </c>
      <c r="N7" s="35" t="n">
        <f aca="false">INDEX(Monthly!$C$12:$BJ$12,($R$2-1)*12+7)</f>
        <v>16387.5</v>
      </c>
      <c r="O7" s="35" t="n">
        <f aca="false">INDEX(Monthly!$C$12:$BJ$12,($R$2-1)*12+8)</f>
        <v>16387.5</v>
      </c>
      <c r="P7" s="35" t="n">
        <f aca="false">INDEX(Monthly!$C$12:$BJ$12,($R$2-1)*12+9)</f>
        <v>16387.5</v>
      </c>
      <c r="Q7" s="35" t="n">
        <f aca="false">INDEX(Monthly!$C$12:$BJ$12,($R$2-1)*12+10)</f>
        <v>16387.5</v>
      </c>
      <c r="R7" s="35" t="n">
        <f aca="false">INDEX(Monthly!$C$12:$BJ$12,($R$2-1)*12+11)</f>
        <v>16387.5</v>
      </c>
      <c r="S7" s="35" t="n">
        <f aca="false">INDEX(Monthly!$C$12:$BJ$12,($R$2-1)*12+12)</f>
        <v>16387.5</v>
      </c>
    </row>
    <row r="8" customFormat="false" ht="15" hidden="false" customHeight="false" outlineLevel="0" collapsed="false">
      <c r="A8" s="49" t="s">
        <v>74</v>
      </c>
      <c r="B8" s="35" t="n">
        <f aca="false">'P&amp;L'!B6</f>
        <v>-22428</v>
      </c>
      <c r="C8" s="35" t="n">
        <f aca="false">'P&amp;L'!C6</f>
        <v>-23100.84</v>
      </c>
      <c r="D8" s="35" t="n">
        <f aca="false">'P&amp;L'!D6</f>
        <v>-23793.8652</v>
      </c>
      <c r="E8" s="35" t="n">
        <f aca="false">'P&amp;L'!E6</f>
        <v>-24507.681156</v>
      </c>
      <c r="F8" s="35" t="n">
        <f aca="false">'P&amp;L'!F6</f>
        <v>-25242.91159068</v>
      </c>
      <c r="H8" s="35" t="n">
        <f aca="false">INDEX(Monthly!$C$17:$BJ$17,($R$2-1)*12+1)</f>
        <v>-1869</v>
      </c>
      <c r="I8" s="35" t="n">
        <f aca="false">INDEX(Monthly!$C$17:$BJ$17,($R$2-1)*12+2)</f>
        <v>-1869</v>
      </c>
      <c r="J8" s="35" t="n">
        <f aca="false">INDEX(Monthly!$C$17:$BJ$17,($R$2-1)*12+3)</f>
        <v>-1869</v>
      </c>
      <c r="K8" s="35" t="n">
        <f aca="false">INDEX(Monthly!$C$17:$BJ$17,($R$2-1)*12+4)</f>
        <v>-1869</v>
      </c>
      <c r="L8" s="35" t="n">
        <f aca="false">INDEX(Monthly!$C$17:$BJ$17,($R$2-1)*12+5)</f>
        <v>-1869</v>
      </c>
      <c r="M8" s="35" t="n">
        <f aca="false">INDEX(Monthly!$C$17:$BJ$17,($R$2-1)*12+6)</f>
        <v>-1869</v>
      </c>
      <c r="N8" s="35" t="n">
        <f aca="false">INDEX(Monthly!$C$17:$BJ$17,($R$2-1)*12+7)</f>
        <v>-1869</v>
      </c>
      <c r="O8" s="35" t="n">
        <f aca="false">INDEX(Monthly!$C$17:$BJ$17,($R$2-1)*12+8)</f>
        <v>-1869</v>
      </c>
      <c r="P8" s="35" t="n">
        <f aca="false">INDEX(Monthly!$C$17:$BJ$17,($R$2-1)*12+9)</f>
        <v>-1869</v>
      </c>
      <c r="Q8" s="35" t="n">
        <f aca="false">INDEX(Monthly!$C$17:$BJ$17,($R$2-1)*12+10)</f>
        <v>-1869</v>
      </c>
      <c r="R8" s="35" t="n">
        <f aca="false">INDEX(Monthly!$C$17:$BJ$17,($R$2-1)*12+11)</f>
        <v>-1869</v>
      </c>
      <c r="S8" s="35" t="n">
        <f aca="false">INDEX(Monthly!$C$17:$BJ$17,($R$2-1)*12+12)</f>
        <v>-1869</v>
      </c>
    </row>
    <row r="9" customFormat="false" ht="15" hidden="false" customHeight="false" outlineLevel="0" collapsed="false">
      <c r="A9" s="36" t="s">
        <v>44</v>
      </c>
      <c r="B9" s="37" t="n">
        <f aca="false">'P&amp;L'!B7</f>
        <v>174222</v>
      </c>
      <c r="C9" s="37" t="n">
        <f aca="false">'P&amp;L'!C7</f>
        <v>179448.66</v>
      </c>
      <c r="D9" s="37" t="n">
        <f aca="false">'P&amp;L'!D7</f>
        <v>184832.1198</v>
      </c>
      <c r="E9" s="37" t="n">
        <f aca="false">'P&amp;L'!E7</f>
        <v>190377.083394</v>
      </c>
      <c r="F9" s="37" t="n">
        <f aca="false">'P&amp;L'!F7</f>
        <v>196088.39589582</v>
      </c>
      <c r="H9" s="37" t="n">
        <f aca="false">INDEX(Monthly!$C$18:$BJ$18,($R$2-1)*12+1)</f>
        <v>14518.5</v>
      </c>
      <c r="I9" s="37" t="n">
        <f aca="false">INDEX(Monthly!$C$18:$BJ$18,($R$2-1)*12+2)</f>
        <v>14518.5</v>
      </c>
      <c r="J9" s="37" t="n">
        <f aca="false">INDEX(Monthly!$C$18:$BJ$18,($R$2-1)*12+3)</f>
        <v>14518.5</v>
      </c>
      <c r="K9" s="37" t="n">
        <f aca="false">INDEX(Monthly!$C$18:$BJ$18,($R$2-1)*12+4)</f>
        <v>14518.5</v>
      </c>
      <c r="L9" s="37" t="n">
        <f aca="false">INDEX(Monthly!$C$18:$BJ$18,($R$2-1)*12+5)</f>
        <v>14518.5</v>
      </c>
      <c r="M9" s="37" t="n">
        <f aca="false">INDEX(Monthly!$C$18:$BJ$18,($R$2-1)*12+6)</f>
        <v>14518.5</v>
      </c>
      <c r="N9" s="37" t="n">
        <f aca="false">INDEX(Monthly!$C$18:$BJ$18,($R$2-1)*12+7)</f>
        <v>14518.5</v>
      </c>
      <c r="O9" s="37" t="n">
        <f aca="false">INDEX(Monthly!$C$18:$BJ$18,($R$2-1)*12+8)</f>
        <v>14518.5</v>
      </c>
      <c r="P9" s="37" t="n">
        <f aca="false">INDEX(Monthly!$C$18:$BJ$18,($R$2-1)*12+9)</f>
        <v>14518.5</v>
      </c>
      <c r="Q9" s="37" t="n">
        <f aca="false">INDEX(Monthly!$C$18:$BJ$18,($R$2-1)*12+10)</f>
        <v>14518.5</v>
      </c>
      <c r="R9" s="37" t="n">
        <f aca="false">INDEX(Monthly!$C$18:$BJ$18,($R$2-1)*12+11)</f>
        <v>14518.5</v>
      </c>
      <c r="S9" s="37" t="n">
        <f aca="false">INDEX(Monthly!$C$18:$BJ$18,($R$2-1)*12+12)</f>
        <v>14518.5</v>
      </c>
    </row>
    <row r="10" customFormat="false" ht="15" hidden="false" customHeight="false" outlineLevel="0" collapsed="false">
      <c r="A10" s="38" t="s">
        <v>45</v>
      </c>
      <c r="B10" s="39" t="n">
        <f aca="false">'P&amp;L'!B8</f>
        <v>0.885949656750572</v>
      </c>
      <c r="C10" s="39" t="n">
        <f aca="false">'P&amp;L'!C8</f>
        <v>0.885949656750572</v>
      </c>
      <c r="D10" s="39" t="n">
        <f aca="false">'P&amp;L'!D8</f>
        <v>0.885949656750572</v>
      </c>
      <c r="E10" s="39" t="n">
        <f aca="false">'P&amp;L'!E8</f>
        <v>0.885949656750572</v>
      </c>
      <c r="F10" s="39" t="n">
        <f aca="false">'P&amp;L'!F8</f>
        <v>0.885949656750572</v>
      </c>
      <c r="H10" s="39" t="n">
        <f aca="false">IF(H7=0,0,H9/H7)</f>
        <v>0.885949656750572</v>
      </c>
      <c r="I10" s="39" t="n">
        <f aca="false">IF(I7=0,0,I9/I7)</f>
        <v>0.885949656750572</v>
      </c>
      <c r="J10" s="39" t="n">
        <f aca="false">IF(J7=0,0,J9/J7)</f>
        <v>0.885949656750572</v>
      </c>
      <c r="K10" s="39" t="n">
        <f aca="false">IF(K7=0,0,K9/K7)</f>
        <v>0.885949656750572</v>
      </c>
      <c r="L10" s="39" t="n">
        <f aca="false">IF(L7=0,0,L9/L7)</f>
        <v>0.885949656750572</v>
      </c>
      <c r="M10" s="39" t="n">
        <f aca="false">IF(M7=0,0,M9/M7)</f>
        <v>0.885949656750572</v>
      </c>
      <c r="N10" s="39" t="n">
        <f aca="false">IF(N7=0,0,N9/N7)</f>
        <v>0.885949656750572</v>
      </c>
      <c r="O10" s="39" t="n">
        <f aca="false">IF(O7=0,0,O9/O7)</f>
        <v>0.885949656750572</v>
      </c>
      <c r="P10" s="39" t="n">
        <f aca="false">IF(P7=0,0,P9/P7)</f>
        <v>0.885949656750572</v>
      </c>
      <c r="Q10" s="39" t="n">
        <f aca="false">IF(Q7=0,0,Q9/Q7)</f>
        <v>0.885949656750572</v>
      </c>
      <c r="R10" s="39" t="n">
        <f aca="false">IF(R7=0,0,R9/R7)</f>
        <v>0.885949656750572</v>
      </c>
      <c r="S10" s="39" t="n">
        <f aca="false">IF(S7=0,0,S9/S7)</f>
        <v>0.885949656750572</v>
      </c>
    </row>
    <row r="11" customFormat="false" ht="15" hidden="false" customHeight="false" outlineLevel="0" collapsed="false">
      <c r="A11" s="49" t="s">
        <v>75</v>
      </c>
      <c r="B11" s="35" t="n">
        <f aca="false">'P&amp;L'!B13</f>
        <v>-48882</v>
      </c>
      <c r="C11" s="35" t="n">
        <f aca="false">'P&amp;L'!C13</f>
        <v>-50348.46</v>
      </c>
      <c r="D11" s="35" t="n">
        <f aca="false">'P&amp;L'!D13</f>
        <v>-51858.9138</v>
      </c>
      <c r="E11" s="35" t="n">
        <f aca="false">'P&amp;L'!E13</f>
        <v>-53414.681214</v>
      </c>
      <c r="F11" s="35" t="n">
        <f aca="false">'P&amp;L'!F13</f>
        <v>-55017.12165042</v>
      </c>
      <c r="H11" s="35" t="n">
        <f aca="false">INDEX(Monthly!$C$25:$BJ$25,($R$2-1)*12+1)</f>
        <v>-4073.5</v>
      </c>
      <c r="I11" s="35" t="n">
        <f aca="false">INDEX(Monthly!$C$25:$BJ$25,($R$2-1)*12+2)</f>
        <v>-4073.5</v>
      </c>
      <c r="J11" s="35" t="n">
        <f aca="false">INDEX(Monthly!$C$25:$BJ$25,($R$2-1)*12+3)</f>
        <v>-4073.5</v>
      </c>
      <c r="K11" s="35" t="n">
        <f aca="false">INDEX(Monthly!$C$25:$BJ$25,($R$2-1)*12+4)</f>
        <v>-4073.5</v>
      </c>
      <c r="L11" s="35" t="n">
        <f aca="false">INDEX(Monthly!$C$25:$BJ$25,($R$2-1)*12+5)</f>
        <v>-4073.5</v>
      </c>
      <c r="M11" s="35" t="n">
        <f aca="false">INDEX(Monthly!$C$25:$BJ$25,($R$2-1)*12+6)</f>
        <v>-4073.5</v>
      </c>
      <c r="N11" s="35" t="n">
        <f aca="false">INDEX(Monthly!$C$25:$BJ$25,($R$2-1)*12+7)</f>
        <v>-4073.5</v>
      </c>
      <c r="O11" s="35" t="n">
        <f aca="false">INDEX(Monthly!$C$25:$BJ$25,($R$2-1)*12+8)</f>
        <v>-4073.5</v>
      </c>
      <c r="P11" s="35" t="n">
        <f aca="false">INDEX(Monthly!$C$25:$BJ$25,($R$2-1)*12+9)</f>
        <v>-4073.5</v>
      </c>
      <c r="Q11" s="35" t="n">
        <f aca="false">INDEX(Monthly!$C$25:$BJ$25,($R$2-1)*12+10)</f>
        <v>-4073.5</v>
      </c>
      <c r="R11" s="35" t="n">
        <f aca="false">INDEX(Monthly!$C$25:$BJ$25,($R$2-1)*12+11)</f>
        <v>-4073.5</v>
      </c>
      <c r="S11" s="35" t="n">
        <f aca="false">INDEX(Monthly!$C$25:$BJ$25,($R$2-1)*12+12)</f>
        <v>-4073.5</v>
      </c>
    </row>
    <row r="12" customFormat="false" ht="15" hidden="false" customHeight="false" outlineLevel="0" collapsed="false">
      <c r="A12" s="36" t="s">
        <v>47</v>
      </c>
      <c r="B12" s="37" t="n">
        <f aca="false">'P&amp;L'!B14</f>
        <v>125340</v>
      </c>
      <c r="C12" s="37" t="n">
        <f aca="false">'P&amp;L'!C14</f>
        <v>129100.2</v>
      </c>
      <c r="D12" s="37" t="n">
        <f aca="false">'P&amp;L'!D14</f>
        <v>132973.206</v>
      </c>
      <c r="E12" s="37" t="n">
        <f aca="false">'P&amp;L'!E14</f>
        <v>136962.40218</v>
      </c>
      <c r="F12" s="37" t="n">
        <f aca="false">'P&amp;L'!F14</f>
        <v>141071.2742454</v>
      </c>
      <c r="H12" s="37" t="n">
        <f aca="false">INDEX(Monthly!$C$26:$BJ$26,($R$2-1)*12+1)</f>
        <v>10445</v>
      </c>
      <c r="I12" s="37" t="n">
        <f aca="false">INDEX(Monthly!$C$26:$BJ$26,($R$2-1)*12+2)</f>
        <v>10445</v>
      </c>
      <c r="J12" s="37" t="n">
        <f aca="false">INDEX(Monthly!$C$26:$BJ$26,($R$2-1)*12+3)</f>
        <v>10445</v>
      </c>
      <c r="K12" s="37" t="n">
        <f aca="false">INDEX(Monthly!$C$26:$BJ$26,($R$2-1)*12+4)</f>
        <v>10445</v>
      </c>
      <c r="L12" s="37" t="n">
        <f aca="false">INDEX(Monthly!$C$26:$BJ$26,($R$2-1)*12+5)</f>
        <v>10445</v>
      </c>
      <c r="M12" s="37" t="n">
        <f aca="false">INDEX(Monthly!$C$26:$BJ$26,($R$2-1)*12+6)</f>
        <v>10445</v>
      </c>
      <c r="N12" s="37" t="n">
        <f aca="false">INDEX(Monthly!$C$26:$BJ$26,($R$2-1)*12+7)</f>
        <v>10445</v>
      </c>
      <c r="O12" s="37" t="n">
        <f aca="false">INDEX(Monthly!$C$26:$BJ$26,($R$2-1)*12+8)</f>
        <v>10445</v>
      </c>
      <c r="P12" s="37" t="n">
        <f aca="false">INDEX(Monthly!$C$26:$BJ$26,($R$2-1)*12+9)</f>
        <v>10445</v>
      </c>
      <c r="Q12" s="37" t="n">
        <f aca="false">INDEX(Monthly!$C$26:$BJ$26,($R$2-1)*12+10)</f>
        <v>10445</v>
      </c>
      <c r="R12" s="37" t="n">
        <f aca="false">INDEX(Monthly!$C$26:$BJ$26,($R$2-1)*12+11)</f>
        <v>10445</v>
      </c>
      <c r="S12" s="37" t="n">
        <f aca="false">INDEX(Monthly!$C$26:$BJ$26,($R$2-1)*12+12)</f>
        <v>10445</v>
      </c>
    </row>
    <row r="13" customFormat="false" ht="15" hidden="false" customHeight="false" outlineLevel="0" collapsed="false">
      <c r="A13" s="38" t="s">
        <v>48</v>
      </c>
      <c r="B13" s="39" t="n">
        <f aca="false">'P&amp;L'!B15</f>
        <v>0.637376048817696</v>
      </c>
      <c r="C13" s="39" t="n">
        <f aca="false">'P&amp;L'!C15</f>
        <v>0.637376048817697</v>
      </c>
      <c r="D13" s="39" t="n">
        <f aca="false">'P&amp;L'!D15</f>
        <v>0.637376048817697</v>
      </c>
      <c r="E13" s="39" t="n">
        <f aca="false">'P&amp;L'!E15</f>
        <v>0.637376048817696</v>
      </c>
      <c r="F13" s="39" t="n">
        <f aca="false">'P&amp;L'!F15</f>
        <v>0.637376048817696</v>
      </c>
      <c r="H13" s="39" t="n">
        <f aca="false">IF(H7=0,0,H12/H7)</f>
        <v>0.637376048817696</v>
      </c>
      <c r="I13" s="39" t="n">
        <f aca="false">IF(I7=0,0,I12/I7)</f>
        <v>0.637376048817696</v>
      </c>
      <c r="J13" s="39" t="n">
        <f aca="false">IF(J7=0,0,J12/J7)</f>
        <v>0.637376048817696</v>
      </c>
      <c r="K13" s="39" t="n">
        <f aca="false">IF(K7=0,0,K12/K7)</f>
        <v>0.637376048817696</v>
      </c>
      <c r="L13" s="39" t="n">
        <f aca="false">IF(L7=0,0,L12/L7)</f>
        <v>0.637376048817696</v>
      </c>
      <c r="M13" s="39" t="n">
        <f aca="false">IF(M7=0,0,M12/M7)</f>
        <v>0.637376048817696</v>
      </c>
      <c r="N13" s="39" t="n">
        <f aca="false">IF(N7=0,0,N12/N7)</f>
        <v>0.637376048817696</v>
      </c>
      <c r="O13" s="39" t="n">
        <f aca="false">IF(O7=0,0,O12/O7)</f>
        <v>0.637376048817696</v>
      </c>
      <c r="P13" s="39" t="n">
        <f aca="false">IF(P7=0,0,P12/P7)</f>
        <v>0.637376048817696</v>
      </c>
      <c r="Q13" s="39" t="n">
        <f aca="false">IF(Q7=0,0,Q12/Q7)</f>
        <v>0.637376048817696</v>
      </c>
      <c r="R13" s="39" t="n">
        <f aca="false">IF(R7=0,0,R12/R7)</f>
        <v>0.637376048817696</v>
      </c>
      <c r="S13" s="39" t="n">
        <f aca="false">IF(S7=0,0,S12/S7)</f>
        <v>0.637376048817696</v>
      </c>
    </row>
    <row r="14" customFormat="false" ht="15" hidden="false" customHeight="false" outlineLevel="0" collapsed="false">
      <c r="A14" s="49" t="s">
        <v>76</v>
      </c>
      <c r="B14" s="35" t="n">
        <f aca="false">'P&amp;L'!B16</f>
        <v>-56940.5864197531</v>
      </c>
      <c r="C14" s="35" t="n">
        <f aca="false">'P&amp;L'!C16</f>
        <v>-57072.3225308643</v>
      </c>
      <c r="D14" s="35" t="n">
        <f aca="false">'P&amp;L'!D16</f>
        <v>-57208.0107253087</v>
      </c>
      <c r="E14" s="35" t="n">
        <f aca="false">'P&amp;L'!E16</f>
        <v>-57347.7695655865</v>
      </c>
      <c r="F14" s="35" t="n">
        <f aca="false">'P&amp;L'!F16</f>
        <v>-57491.7211710727</v>
      </c>
      <c r="H14" s="35" t="n">
        <f aca="false">INDEX(Monthly!$C$44:$BJ$44,($R$2-1)*12+1)</f>
        <v>-4740.09773662552</v>
      </c>
      <c r="I14" s="35" t="n">
        <f aca="false">INDEX(Monthly!$C$44:$BJ$44,($R$2-1)*12+2)</f>
        <v>-4740.99794238683</v>
      </c>
      <c r="J14" s="35" t="n">
        <f aca="false">INDEX(Monthly!$C$44:$BJ$44,($R$2-1)*12+3)</f>
        <v>-4741.89814814815</v>
      </c>
      <c r="K14" s="35" t="n">
        <f aca="false">INDEX(Monthly!$C$44:$BJ$44,($R$2-1)*12+4)</f>
        <v>-4742.79835390947</v>
      </c>
      <c r="L14" s="35" t="n">
        <f aca="false">INDEX(Monthly!$C$44:$BJ$44,($R$2-1)*12+5)</f>
        <v>-4743.69855967078</v>
      </c>
      <c r="M14" s="35" t="n">
        <f aca="false">INDEX(Monthly!$C$44:$BJ$44,($R$2-1)*12+6)</f>
        <v>-4744.5987654321</v>
      </c>
      <c r="N14" s="35" t="n">
        <f aca="false">INDEX(Monthly!$C$44:$BJ$44,($R$2-1)*12+7)</f>
        <v>-4745.49897119342</v>
      </c>
      <c r="O14" s="35" t="n">
        <f aca="false">INDEX(Monthly!$C$44:$BJ$44,($R$2-1)*12+8)</f>
        <v>-4746.39917695474</v>
      </c>
      <c r="P14" s="35" t="n">
        <f aca="false">INDEX(Monthly!$C$44:$BJ$44,($R$2-1)*12+9)</f>
        <v>-4747.29938271605</v>
      </c>
      <c r="Q14" s="35" t="n">
        <f aca="false">INDEX(Monthly!$C$44:$BJ$44,($R$2-1)*12+10)</f>
        <v>-4748.19958847737</v>
      </c>
      <c r="R14" s="35" t="n">
        <f aca="false">INDEX(Monthly!$C$44:$BJ$44,($R$2-1)*12+11)</f>
        <v>-4749.09979423869</v>
      </c>
      <c r="S14" s="35" t="n">
        <f aca="false">INDEX(Monthly!$C$44:$BJ$44,($R$2-1)*12+12)</f>
        <v>-4750</v>
      </c>
    </row>
    <row r="15" customFormat="false" ht="15" hidden="false" customHeight="false" outlineLevel="0" collapsed="false">
      <c r="A15" s="36" t="s">
        <v>77</v>
      </c>
      <c r="B15" s="37" t="n">
        <f aca="false">'P&amp;L'!B17</f>
        <v>68399.4135802469</v>
      </c>
      <c r="C15" s="37" t="n">
        <f aca="false">'P&amp;L'!C17</f>
        <v>72027.8774691358</v>
      </c>
      <c r="D15" s="37" t="n">
        <f aca="false">'P&amp;L'!D17</f>
        <v>75765.1952746913</v>
      </c>
      <c r="E15" s="37" t="n">
        <f aca="false">'P&amp;L'!E17</f>
        <v>79614.6326144135</v>
      </c>
      <c r="F15" s="37" t="n">
        <f aca="false">'P&amp;L'!F17</f>
        <v>83579.5530743274</v>
      </c>
      <c r="H15" s="37" t="n">
        <f aca="false">INDEX(Monthly!$C$29:$BJ$29,($R$2-1)*12+1)</f>
        <v>5704.90226337449</v>
      </c>
      <c r="I15" s="37" t="n">
        <f aca="false">INDEX(Monthly!$C$29:$BJ$29,($R$2-1)*12+2)</f>
        <v>5704.00205761317</v>
      </c>
      <c r="J15" s="37" t="n">
        <f aca="false">INDEX(Monthly!$C$29:$BJ$29,($R$2-1)*12+3)</f>
        <v>5703.10185185185</v>
      </c>
      <c r="K15" s="37" t="n">
        <f aca="false">INDEX(Monthly!$C$29:$BJ$29,($R$2-1)*12+4)</f>
        <v>5702.20164609053</v>
      </c>
      <c r="L15" s="37" t="n">
        <f aca="false">INDEX(Monthly!$C$29:$BJ$29,($R$2-1)*12+5)</f>
        <v>5701.30144032922</v>
      </c>
      <c r="M15" s="37" t="n">
        <f aca="false">INDEX(Monthly!$C$29:$BJ$29,($R$2-1)*12+6)</f>
        <v>5700.4012345679</v>
      </c>
      <c r="N15" s="37" t="n">
        <f aca="false">INDEX(Monthly!$C$29:$BJ$29,($R$2-1)*12+7)</f>
        <v>5699.50102880658</v>
      </c>
      <c r="O15" s="37" t="n">
        <f aca="false">INDEX(Monthly!$C$29:$BJ$29,($R$2-1)*12+8)</f>
        <v>5698.60082304527</v>
      </c>
      <c r="P15" s="37" t="n">
        <f aca="false">INDEX(Monthly!$C$29:$BJ$29,($R$2-1)*12+9)</f>
        <v>5697.70061728395</v>
      </c>
      <c r="Q15" s="37" t="n">
        <f aca="false">INDEX(Monthly!$C$29:$BJ$29,($R$2-1)*12+10)</f>
        <v>5696.80041152263</v>
      </c>
      <c r="R15" s="37" t="n">
        <f aca="false">INDEX(Monthly!$C$29:$BJ$29,($R$2-1)*12+11)</f>
        <v>5695.90020576131</v>
      </c>
      <c r="S15" s="37" t="n">
        <f aca="false">INDEX(Monthly!$C$29:$BJ$29,($R$2-1)*12+12)</f>
        <v>5695</v>
      </c>
    </row>
    <row r="16" customFormat="false" ht="15" hidden="false" customHeight="false" outlineLevel="0" collapsed="false">
      <c r="A16" s="49" t="s">
        <v>78</v>
      </c>
      <c r="B16" s="35" t="n">
        <f aca="false">'P&amp;L'!B18</f>
        <v>-77605.089755467</v>
      </c>
      <c r="C16" s="35" t="n">
        <f aca="false">'P&amp;L'!C18</f>
        <v>-76706.816019227</v>
      </c>
      <c r="D16" s="35" t="n">
        <f aca="false">'P&amp;L'!D18</f>
        <v>-75748.3832272659</v>
      </c>
      <c r="E16" s="35" t="n">
        <f aca="false">'P&amp;L'!E18</f>
        <v>-74725.7624162071</v>
      </c>
      <c r="F16" s="35" t="n">
        <f aca="false">'P&amp;L'!F18</f>
        <v>-73634.6547955354</v>
      </c>
      <c r="H16" s="35" t="n">
        <f aca="false">INDEX(Monthly!$C$30:$BJ$30,($R$2-1)*12+1)</f>
        <v>-6500</v>
      </c>
      <c r="I16" s="35" t="n">
        <f aca="false">INDEX(Monthly!$C$30:$BJ$30,($R$2-1)*12+2)</f>
        <v>-6494.12391180629</v>
      </c>
      <c r="J16" s="35" t="n">
        <f aca="false">INDEX(Monthly!$C$30:$BJ$30,($R$2-1)*12+3)</f>
        <v>-6488.21599480153</v>
      </c>
      <c r="K16" s="35" t="n">
        <f aca="false">INDEX(Monthly!$C$30:$BJ$30,($R$2-1)*12+4)</f>
        <v>-6482.27607657966</v>
      </c>
      <c r="L16" s="35" t="n">
        <f aca="false">INDEX(Monthly!$C$30:$BJ$30,($R$2-1)*12+5)</f>
        <v>-6476.30398380076</v>
      </c>
      <c r="M16" s="35" t="n">
        <f aca="false">INDEX(Monthly!$C$30:$BJ$30,($R$2-1)*12+6)</f>
        <v>-6470.29954218597</v>
      </c>
      <c r="N16" s="35" t="n">
        <f aca="false">INDEX(Monthly!$C$30:$BJ$30,($R$2-1)*12+7)</f>
        <v>-6464.26257651244</v>
      </c>
      <c r="O16" s="35" t="n">
        <f aca="false">INDEX(Monthly!$C$30:$BJ$30,($R$2-1)*12+8)</f>
        <v>-6458.19291060817</v>
      </c>
      <c r="P16" s="35" t="n">
        <f aca="false">INDEX(Monthly!$C$30:$BJ$30,($R$2-1)*12+9)</f>
        <v>-6452.09036734692</v>
      </c>
      <c r="Q16" s="35" t="n">
        <f aca="false">INDEX(Monthly!$C$30:$BJ$30,($R$2-1)*12+10)</f>
        <v>-6445.95476864301</v>
      </c>
      <c r="R16" s="35" t="n">
        <f aca="false">INDEX(Monthly!$C$30:$BJ$30,($R$2-1)*12+11)</f>
        <v>-6439.78593544611</v>
      </c>
      <c r="S16" s="35" t="n">
        <f aca="false">INDEX(Monthly!$C$30:$BJ$30,($R$2-1)*12+12)</f>
        <v>-6433.58368773607</v>
      </c>
    </row>
    <row r="17" customFormat="false" ht="15" hidden="false" customHeight="false" outlineLevel="0" collapsed="false">
      <c r="A17" s="49" t="s">
        <v>79</v>
      </c>
      <c r="B17" s="35" t="n">
        <f aca="false">'P&amp;L'!B19</f>
        <v>-9205.67617522005</v>
      </c>
      <c r="C17" s="35" t="n">
        <f aca="false">'P&amp;L'!C19</f>
        <v>-4678.93855009125</v>
      </c>
      <c r="D17" s="35" t="n">
        <f aca="false">'P&amp;L'!D19</f>
        <v>16.8120474254474</v>
      </c>
      <c r="E17" s="35" t="n">
        <f aca="false">'P&amp;L'!E19</f>
        <v>4888.8701982064</v>
      </c>
      <c r="F17" s="35" t="n">
        <f aca="false">'P&amp;L'!F19</f>
        <v>9944.89827879204</v>
      </c>
      <c r="H17" s="35" t="n">
        <f aca="false">INDEX(Monthly!$C$31:$BJ$31,($R$2-1)*12+1)</f>
        <v>-795.097736625515</v>
      </c>
      <c r="I17" s="35" t="n">
        <f aca="false">INDEX(Monthly!$C$31:$BJ$31,($R$2-1)*12+2)</f>
        <v>-790.121854193122</v>
      </c>
      <c r="J17" s="35" t="n">
        <f aca="false">INDEX(Monthly!$C$31:$BJ$31,($R$2-1)*12+3)</f>
        <v>-785.114142949681</v>
      </c>
      <c r="K17" s="35" t="n">
        <f aca="false">INDEX(Monthly!$C$31:$BJ$31,($R$2-1)*12+4)</f>
        <v>-780.07443048913</v>
      </c>
      <c r="L17" s="35" t="n">
        <f aca="false">INDEX(Monthly!$C$31:$BJ$31,($R$2-1)*12+5)</f>
        <v>-775.002543471544</v>
      </c>
      <c r="M17" s="35" t="n">
        <f aca="false">INDEX(Monthly!$C$31:$BJ$31,($R$2-1)*12+6)</f>
        <v>-769.898307618073</v>
      </c>
      <c r="N17" s="35" t="n">
        <f aca="false">INDEX(Monthly!$C$31:$BJ$31,($R$2-1)*12+7)</f>
        <v>-764.761547705854</v>
      </c>
      <c r="O17" s="35" t="n">
        <f aca="false">INDEX(Monthly!$C$31:$BJ$31,($R$2-1)*12+8)</f>
        <v>-759.592087562905</v>
      </c>
      <c r="P17" s="35" t="n">
        <f aca="false">INDEX(Monthly!$C$31:$BJ$31,($R$2-1)*12+9)</f>
        <v>-754.389750062974</v>
      </c>
      <c r="Q17" s="35" t="n">
        <f aca="false">INDEX(Monthly!$C$31:$BJ$31,($R$2-1)*12+10)</f>
        <v>-749.154357120377</v>
      </c>
      <c r="R17" s="35" t="n">
        <f aca="false">INDEX(Monthly!$C$31:$BJ$31,($R$2-1)*12+11)</f>
        <v>-743.8857296848</v>
      </c>
      <c r="S17" s="35" t="n">
        <f aca="false">INDEX(Monthly!$C$31:$BJ$31,($R$2-1)*12+12)</f>
        <v>-738.583687736074</v>
      </c>
    </row>
    <row r="18" customFormat="false" ht="15" hidden="false" customHeight="false" outlineLevel="0" collapsed="false">
      <c r="A18" s="49" t="s">
        <v>80</v>
      </c>
      <c r="B18" s="35" t="n">
        <f aca="false">'P&amp;L'!B20</f>
        <v>0</v>
      </c>
      <c r="C18" s="35" t="n">
        <f aca="false">'P&amp;L'!C20</f>
        <v>0</v>
      </c>
      <c r="D18" s="35" t="n">
        <f aca="false">'P&amp;L'!D20</f>
        <v>0</v>
      </c>
      <c r="E18" s="35" t="n">
        <f aca="false">'P&amp;L'!E20</f>
        <v>0</v>
      </c>
      <c r="F18" s="35" t="n">
        <f aca="false">'P&amp;L'!F20</f>
        <v>-202.852817813645</v>
      </c>
      <c r="H18" s="35" t="n">
        <f aca="false">INDEX(Monthly!$C$34:$BJ$34,($R$2-1)*12+1)</f>
        <v>-0</v>
      </c>
      <c r="I18" s="35" t="n">
        <f aca="false">INDEX(Monthly!$C$34:$BJ$34,($R$2-1)*12+2)</f>
        <v>-0</v>
      </c>
      <c r="J18" s="35" t="n">
        <f aca="false">INDEX(Monthly!$C$34:$BJ$34,($R$2-1)*12+3)</f>
        <v>-0</v>
      </c>
      <c r="K18" s="35" t="n">
        <f aca="false">INDEX(Monthly!$C$34:$BJ$34,($R$2-1)*12+4)</f>
        <v>-0</v>
      </c>
      <c r="L18" s="35" t="n">
        <f aca="false">INDEX(Monthly!$C$34:$BJ$34,($R$2-1)*12+5)</f>
        <v>-0</v>
      </c>
      <c r="M18" s="35" t="n">
        <f aca="false">INDEX(Monthly!$C$34:$BJ$34,($R$2-1)*12+6)</f>
        <v>-0</v>
      </c>
      <c r="N18" s="35" t="n">
        <f aca="false">INDEX(Monthly!$C$34:$BJ$34,($R$2-1)*12+7)</f>
        <v>-0</v>
      </c>
      <c r="O18" s="35" t="n">
        <f aca="false">INDEX(Monthly!$C$34:$BJ$34,($R$2-1)*12+8)</f>
        <v>-0</v>
      </c>
      <c r="P18" s="35" t="n">
        <f aca="false">INDEX(Monthly!$C$34:$BJ$34,($R$2-1)*12+9)</f>
        <v>-0</v>
      </c>
      <c r="Q18" s="35" t="n">
        <f aca="false">INDEX(Monthly!$C$34:$BJ$34,($R$2-1)*12+10)</f>
        <v>-0</v>
      </c>
      <c r="R18" s="35" t="n">
        <f aca="false">INDEX(Monthly!$C$34:$BJ$34,($R$2-1)*12+11)</f>
        <v>-0</v>
      </c>
      <c r="S18" s="35" t="n">
        <f aca="false">INDEX(Monthly!$C$34:$BJ$34,($R$2-1)*12+12)</f>
        <v>-0</v>
      </c>
    </row>
    <row r="19" customFormat="false" ht="15" hidden="false" customHeight="false" outlineLevel="0" collapsed="false">
      <c r="A19" s="40" t="s">
        <v>49</v>
      </c>
      <c r="B19" s="41" t="n">
        <f aca="false">'P&amp;L'!B21</f>
        <v>-9205.67617522005</v>
      </c>
      <c r="C19" s="41" t="n">
        <f aca="false">'P&amp;L'!C21</f>
        <v>-4678.93855009125</v>
      </c>
      <c r="D19" s="41" t="n">
        <f aca="false">'P&amp;L'!D21</f>
        <v>16.8120474254474</v>
      </c>
      <c r="E19" s="41" t="n">
        <f aca="false">'P&amp;L'!E21</f>
        <v>4888.8701982064</v>
      </c>
      <c r="F19" s="41" t="n">
        <f aca="false">'P&amp;L'!F21</f>
        <v>9742.0454609784</v>
      </c>
      <c r="H19" s="41" t="n">
        <f aca="false">INDEX(Monthly!$C$35:$BJ$35,($R$2-1)*12+1)</f>
        <v>-795.097736625515</v>
      </c>
      <c r="I19" s="41" t="n">
        <f aca="false">INDEX(Monthly!$C$35:$BJ$35,($R$2-1)*12+2)</f>
        <v>-790.121854193122</v>
      </c>
      <c r="J19" s="41" t="n">
        <f aca="false">INDEX(Monthly!$C$35:$BJ$35,($R$2-1)*12+3)</f>
        <v>-785.114142949681</v>
      </c>
      <c r="K19" s="41" t="n">
        <f aca="false">INDEX(Monthly!$C$35:$BJ$35,($R$2-1)*12+4)</f>
        <v>-780.07443048913</v>
      </c>
      <c r="L19" s="41" t="n">
        <f aca="false">INDEX(Monthly!$C$35:$BJ$35,($R$2-1)*12+5)</f>
        <v>-775.002543471544</v>
      </c>
      <c r="M19" s="41" t="n">
        <f aca="false">INDEX(Monthly!$C$35:$BJ$35,($R$2-1)*12+6)</f>
        <v>-769.898307618073</v>
      </c>
      <c r="N19" s="41" t="n">
        <f aca="false">INDEX(Monthly!$C$35:$BJ$35,($R$2-1)*12+7)</f>
        <v>-764.761547705854</v>
      </c>
      <c r="O19" s="41" t="n">
        <f aca="false">INDEX(Monthly!$C$35:$BJ$35,($R$2-1)*12+8)</f>
        <v>-759.592087562905</v>
      </c>
      <c r="P19" s="41" t="n">
        <f aca="false">INDEX(Monthly!$C$35:$BJ$35,($R$2-1)*12+9)</f>
        <v>-754.389750062974</v>
      </c>
      <c r="Q19" s="41" t="n">
        <f aca="false">INDEX(Monthly!$C$35:$BJ$35,($R$2-1)*12+10)</f>
        <v>-749.154357120377</v>
      </c>
      <c r="R19" s="41" t="n">
        <f aca="false">INDEX(Monthly!$C$35:$BJ$35,($R$2-1)*12+11)</f>
        <v>-743.8857296848</v>
      </c>
      <c r="S19" s="41" t="n">
        <f aca="false">INDEX(Monthly!$C$35:$BJ$35,($R$2-1)*12+12)</f>
        <v>-738.583687736074</v>
      </c>
    </row>
    <row r="20" customFormat="false" ht="15" hidden="false" customHeight="false" outlineLevel="0" collapsed="false">
      <c r="A20" s="38" t="s">
        <v>50</v>
      </c>
      <c r="B20" s="39" t="n">
        <f aca="false">'P&amp;L'!B22</f>
        <v>-0.0468124900850244</v>
      </c>
      <c r="C20" s="39" t="n">
        <f aca="false">'P&amp;L'!C22</f>
        <v>-0.0231002226620715</v>
      </c>
      <c r="D20" s="39" t="n">
        <f aca="false">'P&amp;L'!D22</f>
        <v>8.05846281586036E-005</v>
      </c>
      <c r="E20" s="39" t="n">
        <f aca="false">'P&amp;L'!E22</f>
        <v>0.0227511252761191</v>
      </c>
      <c r="F20" s="39" t="n">
        <f aca="false">'P&amp;L'!F22</f>
        <v>0.0440156685089506</v>
      </c>
      <c r="H20" s="39" t="n">
        <f aca="false">IF(H7=0,0,H19/H7)</f>
        <v>-0.0485185499084982</v>
      </c>
      <c r="I20" s="39" t="n">
        <f aca="false">IF(I7=0,0,I19/I7)</f>
        <v>-0.0482149110110219</v>
      </c>
      <c r="J20" s="39" t="n">
        <f aca="false">IF(J7=0,0,J19/J7)</f>
        <v>-0.0479093298520019</v>
      </c>
      <c r="K20" s="39" t="n">
        <f aca="false">IF(K7=0,0,K19/K7)</f>
        <v>-0.0476017959108546</v>
      </c>
      <c r="L20" s="39" t="n">
        <f aca="false">IF(L7=0,0,L19/L7)</f>
        <v>-0.0472922986100103</v>
      </c>
      <c r="M20" s="39" t="n">
        <f aca="false">IF(M7=0,0,M19/M7)</f>
        <v>-0.046980827314604</v>
      </c>
      <c r="N20" s="39" t="n">
        <f aca="false">IF(N7=0,0,N19/N7)</f>
        <v>-0.046667371332165</v>
      </c>
      <c r="O20" s="39" t="n">
        <f aca="false">IF(O7=0,0,O19/O7)</f>
        <v>-0.0463519199123054</v>
      </c>
      <c r="P20" s="39" t="n">
        <f aca="false">IF(P7=0,0,P19/P7)</f>
        <v>-0.0460344622464057</v>
      </c>
      <c r="Q20" s="39" t="n">
        <f aca="false">IF(Q7=0,0,Q19/Q7)</f>
        <v>-0.0457149874672999</v>
      </c>
      <c r="R20" s="39" t="n">
        <f aca="false">IF(R7=0,0,R19/R7)</f>
        <v>-0.0453934846489581</v>
      </c>
      <c r="S20" s="39" t="n">
        <f aca="false">IF(S7=0,0,S19/S7)</f>
        <v>-0.0450699428061678</v>
      </c>
    </row>
    <row r="22" customFormat="false" ht="15.75" hidden="false" customHeight="true" outlineLevel="0" collapsed="false">
      <c r="A22" s="7" t="s">
        <v>81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48" t="n">
        <f aca="false">INDEX(Monthly!$C$4:$BJ$4,($R$2-1)*12+1)</f>
        <v>1</v>
      </c>
      <c r="I23" s="48" t="n">
        <f aca="false">INDEX(Monthly!$C$4:$BJ$4,($R$2-1)*12+2)</f>
        <v>2</v>
      </c>
      <c r="J23" s="48" t="n">
        <f aca="false">INDEX(Monthly!$C$4:$BJ$4,($R$2-1)*12+3)</f>
        <v>3</v>
      </c>
      <c r="K23" s="48" t="n">
        <f aca="false">INDEX(Monthly!$C$4:$BJ$4,($R$2-1)*12+4)</f>
        <v>4</v>
      </c>
      <c r="L23" s="48" t="n">
        <f aca="false">INDEX(Monthly!$C$4:$BJ$4,($R$2-1)*12+5)</f>
        <v>5</v>
      </c>
      <c r="M23" s="48" t="n">
        <f aca="false">INDEX(Monthly!$C$4:$BJ$4,($R$2-1)*12+6)</f>
        <v>6</v>
      </c>
      <c r="N23" s="48" t="n">
        <f aca="false">INDEX(Monthly!$C$4:$BJ$4,($R$2-1)*12+7)</f>
        <v>7</v>
      </c>
      <c r="O23" s="48" t="n">
        <f aca="false">INDEX(Monthly!$C$4:$BJ$4,($R$2-1)*12+8)</f>
        <v>8</v>
      </c>
      <c r="P23" s="48" t="n">
        <f aca="false">INDEX(Monthly!$C$4:$BJ$4,($R$2-1)*12+9)</f>
        <v>9</v>
      </c>
      <c r="Q23" s="48" t="n">
        <f aca="false">INDEX(Monthly!$C$4:$BJ$4,($R$2-1)*12+10)</f>
        <v>10</v>
      </c>
      <c r="R23" s="48" t="n">
        <f aca="false">INDEX(Monthly!$C$4:$BJ$4,($R$2-1)*12+11)</f>
        <v>11</v>
      </c>
      <c r="S23" s="48" t="n">
        <f aca="false">INDEX(Monthly!$C$4:$BJ$4,($R$2-1)*12+12)</f>
        <v>12</v>
      </c>
    </row>
    <row r="24" customFormat="false" ht="15" hidden="false" customHeight="false" outlineLevel="0" collapsed="false">
      <c r="A24" s="36" t="s">
        <v>51</v>
      </c>
      <c r="B24" s="37" t="n">
        <f aca="false">'Cash Flow'!B10</f>
        <v>48669.4102445331</v>
      </c>
      <c r="C24" s="37" t="n">
        <f aca="false">'Cash Flow'!C10</f>
        <v>52421.418980773</v>
      </c>
      <c r="D24" s="37" t="n">
        <f aca="false">'Cash Flow'!D10</f>
        <v>57253.6988227342</v>
      </c>
      <c r="E24" s="37" t="n">
        <f aca="false">'Cash Flow'!E10</f>
        <v>62266.3820952929</v>
      </c>
      <c r="F24" s="37" t="n">
        <f aca="false">'Cash Flow'!F10</f>
        <v>67264.4012334961</v>
      </c>
      <c r="H24" s="37" t="n">
        <f aca="false">INDEX(Monthly!$C$65:$BJ$65,($R$2-1)*12+1)</f>
        <v>4879.5</v>
      </c>
      <c r="I24" s="37" t="n">
        <f aca="false">INDEX(Monthly!$C$65:$BJ$65,($R$2-1)*12+2)</f>
        <v>3950.87608819371</v>
      </c>
      <c r="J24" s="37" t="n">
        <f aca="false">INDEX(Monthly!$C$65:$BJ$65,($R$2-1)*12+3)</f>
        <v>3956.78400519847</v>
      </c>
      <c r="K24" s="37" t="n">
        <f aca="false">INDEX(Monthly!$C$65:$BJ$65,($R$2-1)*12+4)</f>
        <v>3962.72392342034</v>
      </c>
      <c r="L24" s="37" t="n">
        <f aca="false">INDEX(Monthly!$C$65:$BJ$65,($R$2-1)*12+5)</f>
        <v>3968.69601619924</v>
      </c>
      <c r="M24" s="37" t="n">
        <f aca="false">INDEX(Monthly!$C$65:$BJ$65,($R$2-1)*12+6)</f>
        <v>3974.70045781403</v>
      </c>
      <c r="N24" s="37" t="n">
        <f aca="false">INDEX(Monthly!$C$65:$BJ$65,($R$2-1)*12+7)</f>
        <v>3980.73742348756</v>
      </c>
      <c r="O24" s="37" t="n">
        <f aca="false">INDEX(Monthly!$C$65:$BJ$65,($R$2-1)*12+8)</f>
        <v>3986.80708939183</v>
      </c>
      <c r="P24" s="37" t="n">
        <f aca="false">INDEX(Monthly!$C$65:$BJ$65,($R$2-1)*12+9)</f>
        <v>3992.90963265308</v>
      </c>
      <c r="Q24" s="37" t="n">
        <f aca="false">INDEX(Monthly!$C$65:$BJ$65,($R$2-1)*12+10)</f>
        <v>3999.04523135699</v>
      </c>
      <c r="R24" s="37" t="n">
        <f aca="false">INDEX(Monthly!$C$65:$BJ$65,($R$2-1)*12+11)</f>
        <v>4005.21406455389</v>
      </c>
      <c r="S24" s="37" t="n">
        <f aca="false">INDEX(Monthly!$C$65:$BJ$65,($R$2-1)*12+12)</f>
        <v>4011.41631226393</v>
      </c>
    </row>
    <row r="25" customFormat="false" ht="15" hidden="false" customHeight="false" outlineLevel="0" collapsed="false">
      <c r="A25" s="49" t="s">
        <v>82</v>
      </c>
      <c r="B25" s="35" t="n">
        <f aca="false">'Cash Flow'!B11</f>
        <v>-1909000</v>
      </c>
      <c r="C25" s="35" t="n">
        <f aca="false">'Cash Flow'!C11</f>
        <v>-3605</v>
      </c>
      <c r="D25" s="35" t="n">
        <f aca="false">'Cash Flow'!D11</f>
        <v>-3713.15</v>
      </c>
      <c r="E25" s="35" t="n">
        <f aca="false">'Cash Flow'!E11</f>
        <v>-3824.5445</v>
      </c>
      <c r="F25" s="35" t="n">
        <f aca="false">'Cash Flow'!F11</f>
        <v>-3939.280835</v>
      </c>
      <c r="H25" s="35" t="n">
        <f aca="false">INDEX(Monthly!$C$66:$BJ$66,($R$2-1)*12+1)</f>
        <v>-1905791.66666667</v>
      </c>
      <c r="I25" s="35" t="n">
        <f aca="false">INDEX(Monthly!$C$66:$BJ$66,($R$2-1)*12+2)</f>
        <v>-291.666666666667</v>
      </c>
      <c r="J25" s="35" t="n">
        <f aca="false">INDEX(Monthly!$C$66:$BJ$66,($R$2-1)*12+3)</f>
        <v>-291.666666666667</v>
      </c>
      <c r="K25" s="35" t="n">
        <f aca="false">INDEX(Monthly!$C$66:$BJ$66,($R$2-1)*12+4)</f>
        <v>-291.666666666667</v>
      </c>
      <c r="L25" s="35" t="n">
        <f aca="false">INDEX(Monthly!$C$66:$BJ$66,($R$2-1)*12+5)</f>
        <v>-291.666666666667</v>
      </c>
      <c r="M25" s="35" t="n">
        <f aca="false">INDEX(Monthly!$C$66:$BJ$66,($R$2-1)*12+6)</f>
        <v>-291.666666666667</v>
      </c>
      <c r="N25" s="35" t="n">
        <f aca="false">INDEX(Monthly!$C$66:$BJ$66,($R$2-1)*12+7)</f>
        <v>-291.666666666667</v>
      </c>
      <c r="O25" s="35" t="n">
        <f aca="false">INDEX(Monthly!$C$66:$BJ$66,($R$2-1)*12+8)</f>
        <v>-291.666666666667</v>
      </c>
      <c r="P25" s="35" t="n">
        <f aca="false">INDEX(Monthly!$C$66:$BJ$66,($R$2-1)*12+9)</f>
        <v>-291.666666666667</v>
      </c>
      <c r="Q25" s="35" t="n">
        <f aca="false">INDEX(Monthly!$C$66:$BJ$66,($R$2-1)*12+10)</f>
        <v>-291.666666666667</v>
      </c>
      <c r="R25" s="35" t="n">
        <f aca="false">INDEX(Monthly!$C$66:$BJ$66,($R$2-1)*12+11)</f>
        <v>-291.666666666667</v>
      </c>
      <c r="S25" s="35" t="n">
        <f aca="false">INDEX(Monthly!$C$66:$BJ$66,($R$2-1)*12+12)</f>
        <v>-291.666666666667</v>
      </c>
    </row>
    <row r="26" customFormat="false" ht="15" hidden="false" customHeight="false" outlineLevel="0" collapsed="false">
      <c r="A26" s="49" t="s">
        <v>62</v>
      </c>
      <c r="B26" s="35" t="n">
        <f aca="false">'Cash Flow'!B12</f>
        <v>760000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INDEX(Monthly!$C$67:$BJ$67,($R$2-1)*12+1)</f>
        <v>760000</v>
      </c>
      <c r="I26" s="35" t="n">
        <f aca="false">INDEX(Monthly!$C$67:$BJ$67,($R$2-1)*12+2)</f>
        <v>0</v>
      </c>
      <c r="J26" s="35" t="n">
        <f aca="false">INDEX(Monthly!$C$67:$BJ$67,($R$2-1)*12+3)</f>
        <v>0</v>
      </c>
      <c r="K26" s="35" t="n">
        <f aca="false">INDEX(Monthly!$C$67:$BJ$67,($R$2-1)*12+4)</f>
        <v>0</v>
      </c>
      <c r="L26" s="35" t="n">
        <f aca="false">INDEX(Monthly!$C$67:$BJ$67,($R$2-1)*12+5)</f>
        <v>0</v>
      </c>
      <c r="M26" s="35" t="n">
        <f aca="false">INDEX(Monthly!$C$67:$BJ$67,($R$2-1)*12+6)</f>
        <v>0</v>
      </c>
      <c r="N26" s="35" t="n">
        <f aca="false">INDEX(Monthly!$C$67:$BJ$67,($R$2-1)*12+7)</f>
        <v>0</v>
      </c>
      <c r="O26" s="35" t="n">
        <f aca="false">INDEX(Monthly!$C$67:$BJ$67,($R$2-1)*12+8)</f>
        <v>0</v>
      </c>
      <c r="P26" s="35" t="n">
        <f aca="false">INDEX(Monthly!$C$67:$BJ$67,($R$2-1)*12+9)</f>
        <v>0</v>
      </c>
      <c r="Q26" s="35" t="n">
        <f aca="false">INDEX(Monthly!$C$67:$BJ$67,($R$2-1)*12+10)</f>
        <v>0</v>
      </c>
      <c r="R26" s="35" t="n">
        <f aca="false">INDEX(Monthly!$C$67:$BJ$67,($R$2-1)*12+11)</f>
        <v>0</v>
      </c>
      <c r="S26" s="35" t="n">
        <f aca="false">INDEX(Monthly!$C$67:$BJ$67,($R$2-1)*12+12)</f>
        <v>0</v>
      </c>
    </row>
    <row r="27" customFormat="false" ht="15" hidden="false" customHeight="false" outlineLevel="0" collapsed="false">
      <c r="A27" s="49" t="s">
        <v>83</v>
      </c>
      <c r="B27" s="35" t="n">
        <f aca="false">'Cash Flow'!B13</f>
        <v>1200000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INDEX(Monthly!$C$50:$BJ$50,($R$2-1)*12+1)</f>
        <v>1200000</v>
      </c>
      <c r="I27" s="35" t="n">
        <f aca="false">INDEX(Monthly!$C$50:$BJ$50,($R$2-1)*12+2)</f>
        <v>0</v>
      </c>
      <c r="J27" s="35" t="n">
        <f aca="false">INDEX(Monthly!$C$50:$BJ$50,($R$2-1)*12+3)</f>
        <v>0</v>
      </c>
      <c r="K27" s="35" t="n">
        <f aca="false">INDEX(Monthly!$C$50:$BJ$50,($R$2-1)*12+4)</f>
        <v>0</v>
      </c>
      <c r="L27" s="35" t="n">
        <f aca="false">INDEX(Monthly!$C$50:$BJ$50,($R$2-1)*12+5)</f>
        <v>0</v>
      </c>
      <c r="M27" s="35" t="n">
        <f aca="false">INDEX(Monthly!$C$50:$BJ$50,($R$2-1)*12+6)</f>
        <v>0</v>
      </c>
      <c r="N27" s="35" t="n">
        <f aca="false">INDEX(Monthly!$C$50:$BJ$50,($R$2-1)*12+7)</f>
        <v>0</v>
      </c>
      <c r="O27" s="35" t="n">
        <f aca="false">INDEX(Monthly!$C$50:$BJ$50,($R$2-1)*12+8)</f>
        <v>0</v>
      </c>
      <c r="P27" s="35" t="n">
        <f aca="false">INDEX(Monthly!$C$50:$BJ$50,($R$2-1)*12+9)</f>
        <v>0</v>
      </c>
      <c r="Q27" s="35" t="n">
        <f aca="false">INDEX(Monthly!$C$50:$BJ$50,($R$2-1)*12+10)</f>
        <v>0</v>
      </c>
      <c r="R27" s="35" t="n">
        <f aca="false">INDEX(Monthly!$C$50:$BJ$50,($R$2-1)*12+11)</f>
        <v>0</v>
      </c>
      <c r="S27" s="35" t="n">
        <f aca="false">INDEX(Monthly!$C$50:$BJ$50,($R$2-1)*12+12)</f>
        <v>0</v>
      </c>
    </row>
    <row r="28" customFormat="false" ht="15" hidden="false" customHeight="false" outlineLevel="0" collapsed="false">
      <c r="A28" s="49" t="s">
        <v>84</v>
      </c>
      <c r="B28" s="35" t="n">
        <f aca="false">'Cash Flow'!B14</f>
        <v>-13412.7056275198</v>
      </c>
      <c r="C28" s="35" t="n">
        <f aca="false">'Cash Flow'!C14</f>
        <v>-14310.9793637598</v>
      </c>
      <c r="D28" s="35" t="n">
        <f aca="false">'Cash Flow'!D14</f>
        <v>-15269.4121557209</v>
      </c>
      <c r="E28" s="35" t="n">
        <f aca="false">'Cash Flow'!E14</f>
        <v>-16292.0329667797</v>
      </c>
      <c r="F28" s="35" t="n">
        <f aca="false">'Cash Flow'!F14</f>
        <v>-17383.1405874514</v>
      </c>
      <c r="H28" s="35" t="n">
        <f aca="false">INDEX(Monthly!$C$52:$BJ$52,($R$2-1)*12+1)</f>
        <v>-1084.81628191557</v>
      </c>
      <c r="I28" s="35" t="n">
        <f aca="false">INDEX(Monthly!$C$52:$BJ$52,($R$2-1)*12+2)</f>
        <v>-1090.69237010927</v>
      </c>
      <c r="J28" s="35" t="n">
        <f aca="false">INDEX(Monthly!$C$52:$BJ$52,($R$2-1)*12+3)</f>
        <v>-1096.60028711403</v>
      </c>
      <c r="K28" s="35" t="n">
        <f aca="false">INDEX(Monthly!$C$52:$BJ$52,($R$2-1)*12+4)</f>
        <v>-1102.5402053359</v>
      </c>
      <c r="L28" s="35" t="n">
        <f aca="false">INDEX(Monthly!$C$52:$BJ$52,($R$2-1)*12+5)</f>
        <v>-1108.5122981148</v>
      </c>
      <c r="M28" s="35" t="n">
        <f aca="false">INDEX(Monthly!$C$52:$BJ$52,($R$2-1)*12+6)</f>
        <v>-1114.51673972959</v>
      </c>
      <c r="N28" s="35" t="n">
        <f aca="false">INDEX(Monthly!$C$52:$BJ$52,($R$2-1)*12+7)</f>
        <v>-1120.55370540313</v>
      </c>
      <c r="O28" s="35" t="n">
        <f aca="false">INDEX(Monthly!$C$52:$BJ$52,($R$2-1)*12+8)</f>
        <v>-1126.62337130739</v>
      </c>
      <c r="P28" s="35" t="n">
        <f aca="false">INDEX(Monthly!$C$52:$BJ$52,($R$2-1)*12+9)</f>
        <v>-1132.72591456864</v>
      </c>
      <c r="Q28" s="35" t="n">
        <f aca="false">INDEX(Monthly!$C$52:$BJ$52,($R$2-1)*12+10)</f>
        <v>-1138.86151327256</v>
      </c>
      <c r="R28" s="35" t="n">
        <f aca="false">INDEX(Monthly!$C$52:$BJ$52,($R$2-1)*12+11)</f>
        <v>-1145.03034646945</v>
      </c>
      <c r="S28" s="35" t="n">
        <f aca="false">INDEX(Monthly!$C$52:$BJ$52,($R$2-1)*12+12)</f>
        <v>-1151.23259417949</v>
      </c>
    </row>
    <row r="29" customFormat="false" ht="15" hidden="false" customHeight="false" outlineLevel="0" collapsed="false">
      <c r="A29" s="36" t="s">
        <v>53</v>
      </c>
      <c r="B29" s="37" t="n">
        <f aca="false">'Cash Flow'!B15</f>
        <v>1946587.29437248</v>
      </c>
      <c r="C29" s="37" t="n">
        <f aca="false">'Cash Flow'!C15</f>
        <v>-14310.9793637598</v>
      </c>
      <c r="D29" s="37" t="n">
        <f aca="false">'Cash Flow'!D15</f>
        <v>-15269.4121557209</v>
      </c>
      <c r="E29" s="37" t="n">
        <f aca="false">'Cash Flow'!E15</f>
        <v>-16292.0329667797</v>
      </c>
      <c r="F29" s="37" t="n">
        <f aca="false">'Cash Flow'!F15</f>
        <v>-17383.1405874514</v>
      </c>
      <c r="H29" s="37" t="n">
        <f aca="false">INDEX(Monthly!$C$68:$BJ$68,($R$2-1)*12+1)</f>
        <v>1958915.18371808</v>
      </c>
      <c r="I29" s="37" t="n">
        <f aca="false">INDEX(Monthly!$C$68:$BJ$68,($R$2-1)*12+2)</f>
        <v>-1090.69237010927</v>
      </c>
      <c r="J29" s="37" t="n">
        <f aca="false">INDEX(Monthly!$C$68:$BJ$68,($R$2-1)*12+3)</f>
        <v>-1096.60028711403</v>
      </c>
      <c r="K29" s="37" t="n">
        <f aca="false">INDEX(Monthly!$C$68:$BJ$68,($R$2-1)*12+4)</f>
        <v>-1102.5402053359</v>
      </c>
      <c r="L29" s="37" t="n">
        <f aca="false">INDEX(Monthly!$C$68:$BJ$68,($R$2-1)*12+5)</f>
        <v>-1108.5122981148</v>
      </c>
      <c r="M29" s="37" t="n">
        <f aca="false">INDEX(Monthly!$C$68:$BJ$68,($R$2-1)*12+6)</f>
        <v>-1114.51673972959</v>
      </c>
      <c r="N29" s="37" t="n">
        <f aca="false">INDEX(Monthly!$C$68:$BJ$68,($R$2-1)*12+7)</f>
        <v>-1120.55370540313</v>
      </c>
      <c r="O29" s="37" t="n">
        <f aca="false">INDEX(Monthly!$C$68:$BJ$68,($R$2-1)*12+8)</f>
        <v>-1126.62337130739</v>
      </c>
      <c r="P29" s="37" t="n">
        <f aca="false">INDEX(Monthly!$C$68:$BJ$68,($R$2-1)*12+9)</f>
        <v>-1132.72591456864</v>
      </c>
      <c r="Q29" s="37" t="n">
        <f aca="false">INDEX(Monthly!$C$68:$BJ$68,($R$2-1)*12+10)</f>
        <v>-1138.86151327256</v>
      </c>
      <c r="R29" s="37" t="n">
        <f aca="false">INDEX(Monthly!$C$68:$BJ$68,($R$2-1)*12+11)</f>
        <v>-1145.03034646945</v>
      </c>
      <c r="S29" s="37" t="n">
        <f aca="false">INDEX(Monthly!$C$68:$BJ$68,($R$2-1)*12+12)</f>
        <v>-1151.23259417949</v>
      </c>
    </row>
    <row r="30" customFormat="false" ht="15" hidden="false" customHeight="false" outlineLevel="0" collapsed="false">
      <c r="A30" s="36" t="s">
        <v>54</v>
      </c>
      <c r="B30" s="37" t="n">
        <f aca="false">'Cash Flow'!B16</f>
        <v>86256.7046170131</v>
      </c>
      <c r="C30" s="37" t="n">
        <f aca="false">'Cash Flow'!C16</f>
        <v>34505.4396170132</v>
      </c>
      <c r="D30" s="37" t="n">
        <f aca="false">'Cash Flow'!D16</f>
        <v>38271.1366670132</v>
      </c>
      <c r="E30" s="37" t="n">
        <f aca="false">'Cash Flow'!E16</f>
        <v>42149.8046285132</v>
      </c>
      <c r="F30" s="37" t="n">
        <f aca="false">'Cash Flow'!F16</f>
        <v>45941.9798110446</v>
      </c>
      <c r="H30" s="37" t="n">
        <f aca="false">INDEX(Monthly!$C$69:$BJ$69,($R$2-1)*12+1)</f>
        <v>58003.0170514176</v>
      </c>
      <c r="I30" s="37" t="n">
        <f aca="false">INDEX(Monthly!$C$69:$BJ$69,($R$2-1)*12+2)</f>
        <v>2568.51705141777</v>
      </c>
      <c r="J30" s="37" t="n">
        <f aca="false">INDEX(Monthly!$C$69:$BJ$69,($R$2-1)*12+3)</f>
        <v>2568.51705141777</v>
      </c>
      <c r="K30" s="37" t="n">
        <f aca="false">INDEX(Monthly!$C$69:$BJ$69,($R$2-1)*12+4)</f>
        <v>2568.51705141777</v>
      </c>
      <c r="L30" s="37" t="n">
        <f aca="false">INDEX(Monthly!$C$69:$BJ$69,($R$2-1)*12+5)</f>
        <v>2568.51705141777</v>
      </c>
      <c r="M30" s="37" t="n">
        <f aca="false">INDEX(Monthly!$C$69:$BJ$69,($R$2-1)*12+6)</f>
        <v>2568.51705141777</v>
      </c>
      <c r="N30" s="37" t="n">
        <f aca="false">INDEX(Monthly!$C$69:$BJ$69,($R$2-1)*12+7)</f>
        <v>2568.51705141777</v>
      </c>
      <c r="O30" s="37" t="n">
        <f aca="false">INDEX(Monthly!$C$69:$BJ$69,($R$2-1)*12+8)</f>
        <v>2568.51705141777</v>
      </c>
      <c r="P30" s="37" t="n">
        <f aca="false">INDEX(Monthly!$C$69:$BJ$69,($R$2-1)*12+9)</f>
        <v>2568.51705141777</v>
      </c>
      <c r="Q30" s="37" t="n">
        <f aca="false">INDEX(Monthly!$C$69:$BJ$69,($R$2-1)*12+10)</f>
        <v>2568.51705141777</v>
      </c>
      <c r="R30" s="37" t="n">
        <f aca="false">INDEX(Monthly!$C$69:$BJ$69,($R$2-1)*12+11)</f>
        <v>2568.51705141777</v>
      </c>
      <c r="S30" s="37" t="n">
        <f aca="false">INDEX(Monthly!$C$69:$BJ$69,($R$2-1)*12+12)</f>
        <v>2568.51705141777</v>
      </c>
    </row>
    <row r="31" customFormat="false" ht="15" hidden="false" customHeight="false" outlineLevel="0" collapsed="false">
      <c r="A31" s="40" t="s">
        <v>85</v>
      </c>
      <c r="B31" s="41" t="n">
        <f aca="false">'Cash Flow'!B18</f>
        <v>86256.7046170131</v>
      </c>
      <c r="C31" s="41" t="n">
        <f aca="false">'Cash Flow'!C18</f>
        <v>120762.144234026</v>
      </c>
      <c r="D31" s="41" t="n">
        <f aca="false">'Cash Flow'!D18</f>
        <v>159033.28090104</v>
      </c>
      <c r="E31" s="41" t="n">
        <f aca="false">'Cash Flow'!E18</f>
        <v>201183.085529553</v>
      </c>
      <c r="F31" s="41" t="n">
        <f aca="false">'Cash Flow'!F18</f>
        <v>247125.065340597</v>
      </c>
      <c r="H31" s="41" t="n">
        <f aca="false">INDEX(Monthly!$C$71:$BJ$71,($R$2-1)*12+1)</f>
        <v>58003.0170514176</v>
      </c>
      <c r="I31" s="41" t="n">
        <f aca="false">INDEX(Monthly!$C$71:$BJ$71,($R$2-1)*12+2)</f>
        <v>60571.5341028354</v>
      </c>
      <c r="J31" s="41" t="n">
        <f aca="false">INDEX(Monthly!$C$71:$BJ$71,($R$2-1)*12+3)</f>
        <v>63140.0511542531</v>
      </c>
      <c r="K31" s="41" t="n">
        <f aca="false">INDEX(Monthly!$C$71:$BJ$71,($R$2-1)*12+4)</f>
        <v>65708.5682056709</v>
      </c>
      <c r="L31" s="41" t="n">
        <f aca="false">INDEX(Monthly!$C$71:$BJ$71,($R$2-1)*12+5)</f>
        <v>68277.0852570887</v>
      </c>
      <c r="M31" s="41" t="n">
        <f aca="false">INDEX(Monthly!$C$71:$BJ$71,($R$2-1)*12+6)</f>
        <v>70845.6023085065</v>
      </c>
      <c r="N31" s="41" t="n">
        <f aca="false">INDEX(Monthly!$C$71:$BJ$71,($R$2-1)*12+7)</f>
        <v>73414.1193599242</v>
      </c>
      <c r="O31" s="41" t="n">
        <f aca="false">INDEX(Monthly!$C$71:$BJ$71,($R$2-1)*12+8)</f>
        <v>75982.636411342</v>
      </c>
      <c r="P31" s="41" t="n">
        <f aca="false">INDEX(Monthly!$C$71:$BJ$71,($R$2-1)*12+9)</f>
        <v>78551.1534627598</v>
      </c>
      <c r="Q31" s="41" t="n">
        <f aca="false">INDEX(Monthly!$C$71:$BJ$71,($R$2-1)*12+10)</f>
        <v>81119.6705141776</v>
      </c>
      <c r="R31" s="41" t="n">
        <f aca="false">INDEX(Monthly!$C$71:$BJ$71,($R$2-1)*12+11)</f>
        <v>83688.1875655953</v>
      </c>
      <c r="S31" s="41" t="n">
        <f aca="false">INDEX(Monthly!$C$71:$BJ$71,($R$2-1)*12+12)</f>
        <v>86256.7046170131</v>
      </c>
    </row>
    <row r="39" customFormat="false" ht="15.75" hidden="false" customHeight="true" outlineLevel="0" collapsed="false">
      <c r="A39" s="7" t="s">
        <v>86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48" t="n">
        <f aca="false">INDEX(Monthly!$C$4:$BJ$4,($R$2-1)*12+1)</f>
        <v>1</v>
      </c>
      <c r="I40" s="48" t="n">
        <f aca="false">INDEX(Monthly!$C$4:$BJ$4,($R$2-1)*12+2)</f>
        <v>2</v>
      </c>
      <c r="J40" s="48" t="n">
        <f aca="false">INDEX(Monthly!$C$4:$BJ$4,($R$2-1)*12+3)</f>
        <v>3</v>
      </c>
      <c r="K40" s="48" t="n">
        <f aca="false">INDEX(Monthly!$C$4:$BJ$4,($R$2-1)*12+4)</f>
        <v>4</v>
      </c>
      <c r="L40" s="48" t="n">
        <f aca="false">INDEX(Monthly!$C$4:$BJ$4,($R$2-1)*12+5)</f>
        <v>5</v>
      </c>
      <c r="M40" s="48" t="n">
        <f aca="false">INDEX(Monthly!$C$4:$BJ$4,($R$2-1)*12+6)</f>
        <v>6</v>
      </c>
      <c r="N40" s="48" t="n">
        <f aca="false">INDEX(Monthly!$C$4:$BJ$4,($R$2-1)*12+7)</f>
        <v>7</v>
      </c>
      <c r="O40" s="48" t="n">
        <f aca="false">INDEX(Monthly!$C$4:$BJ$4,($R$2-1)*12+8)</f>
        <v>8</v>
      </c>
      <c r="P40" s="48" t="n">
        <f aca="false">INDEX(Monthly!$C$4:$BJ$4,($R$2-1)*12+9)</f>
        <v>9</v>
      </c>
      <c r="Q40" s="48" t="n">
        <f aca="false">INDEX(Monthly!$C$4:$BJ$4,($R$2-1)*12+10)</f>
        <v>10</v>
      </c>
      <c r="R40" s="48" t="n">
        <f aca="false">INDEX(Monthly!$C$4:$BJ$4,($R$2-1)*12+11)</f>
        <v>11</v>
      </c>
      <c r="S40" s="48" t="n">
        <f aca="false">INDEX(Monthly!$C$4:$BJ$4,($R$2-1)*12+12)</f>
        <v>12</v>
      </c>
    </row>
    <row r="41" customFormat="false" ht="15" hidden="false" customHeight="false" outlineLevel="0" collapsed="false">
      <c r="A41" s="49" t="s">
        <v>87</v>
      </c>
      <c r="B41" s="35" t="n">
        <f aca="false">'Balance Sheet'!B5</f>
        <v>86256.7046170131</v>
      </c>
      <c r="C41" s="35" t="n">
        <f aca="false">'Balance Sheet'!C5</f>
        <v>120762.144234026</v>
      </c>
      <c r="D41" s="35" t="n">
        <f aca="false">'Balance Sheet'!D5</f>
        <v>159033.28090104</v>
      </c>
      <c r="E41" s="35" t="n">
        <f aca="false">'Balance Sheet'!E5</f>
        <v>201183.085529553</v>
      </c>
      <c r="F41" s="35" t="n">
        <f aca="false">'Balance Sheet'!F5</f>
        <v>247125.065340597</v>
      </c>
      <c r="H41" s="35" t="n">
        <f aca="false">INDEX(Monthly!$C$71:$BJ$71,($R$2-1)*12+1)</f>
        <v>58003.0170514176</v>
      </c>
      <c r="I41" s="35" t="n">
        <f aca="false">INDEX(Monthly!$C$71:$BJ$71,($R$2-1)*12+2)</f>
        <v>60571.5341028354</v>
      </c>
      <c r="J41" s="35" t="n">
        <f aca="false">INDEX(Monthly!$C$71:$BJ$71,($R$2-1)*12+3)</f>
        <v>63140.0511542531</v>
      </c>
      <c r="K41" s="35" t="n">
        <f aca="false">INDEX(Monthly!$C$71:$BJ$71,($R$2-1)*12+4)</f>
        <v>65708.5682056709</v>
      </c>
      <c r="L41" s="35" t="n">
        <f aca="false">INDEX(Monthly!$C$71:$BJ$71,($R$2-1)*12+5)</f>
        <v>68277.0852570887</v>
      </c>
      <c r="M41" s="35" t="n">
        <f aca="false">INDEX(Monthly!$C$71:$BJ$71,($R$2-1)*12+6)</f>
        <v>70845.6023085065</v>
      </c>
      <c r="N41" s="35" t="n">
        <f aca="false">INDEX(Monthly!$C$71:$BJ$71,($R$2-1)*12+7)</f>
        <v>73414.1193599242</v>
      </c>
      <c r="O41" s="35" t="n">
        <f aca="false">INDEX(Monthly!$C$71:$BJ$71,($R$2-1)*12+8)</f>
        <v>75982.636411342</v>
      </c>
      <c r="P41" s="35" t="n">
        <f aca="false">INDEX(Monthly!$C$71:$BJ$71,($R$2-1)*12+9)</f>
        <v>78551.1534627598</v>
      </c>
      <c r="Q41" s="35" t="n">
        <f aca="false">INDEX(Monthly!$C$71:$BJ$71,($R$2-1)*12+10)</f>
        <v>81119.6705141776</v>
      </c>
      <c r="R41" s="35" t="n">
        <f aca="false">INDEX(Monthly!$C$71:$BJ$71,($R$2-1)*12+11)</f>
        <v>83688.1875655953</v>
      </c>
      <c r="S41" s="35" t="n">
        <f aca="false">INDEX(Monthly!$C$71:$BJ$71,($R$2-1)*12+12)</f>
        <v>86256.7046170131</v>
      </c>
    </row>
    <row r="42" customFormat="false" ht="15" hidden="false" customHeight="false" outlineLevel="0" collapsed="false">
      <c r="A42" s="49" t="s">
        <v>88</v>
      </c>
      <c r="B42" s="35" t="n">
        <f aca="false">'Balance Sheet'!B6</f>
        <v>0</v>
      </c>
      <c r="C42" s="35" t="n">
        <f aca="false">'Balance Sheet'!C6</f>
        <v>0</v>
      </c>
      <c r="D42" s="35" t="n">
        <f aca="false">'Balance Sheet'!D6</f>
        <v>0</v>
      </c>
      <c r="E42" s="35" t="n">
        <f aca="false">'Balance Sheet'!E6</f>
        <v>0</v>
      </c>
      <c r="F42" s="35" t="n">
        <f aca="false">'Balance Sheet'!F6</f>
        <v>0</v>
      </c>
      <c r="H42" s="35" t="n">
        <f aca="false">INDEX(Monthly!$C$57:$BJ$57,($R$2-1)*12+1)</f>
        <v>0</v>
      </c>
      <c r="I42" s="35" t="n">
        <f aca="false">INDEX(Monthly!$C$57:$BJ$57,($R$2-1)*12+2)</f>
        <v>0</v>
      </c>
      <c r="J42" s="35" t="n">
        <f aca="false">INDEX(Monthly!$C$57:$BJ$57,($R$2-1)*12+3)</f>
        <v>0</v>
      </c>
      <c r="K42" s="35" t="n">
        <f aca="false">INDEX(Monthly!$C$57:$BJ$57,($R$2-1)*12+4)</f>
        <v>0</v>
      </c>
      <c r="L42" s="35" t="n">
        <f aca="false">INDEX(Monthly!$C$57:$BJ$57,($R$2-1)*12+5)</f>
        <v>0</v>
      </c>
      <c r="M42" s="35" t="n">
        <f aca="false">INDEX(Monthly!$C$57:$BJ$57,($R$2-1)*12+6)</f>
        <v>0</v>
      </c>
      <c r="N42" s="35" t="n">
        <f aca="false">INDEX(Monthly!$C$57:$BJ$57,($R$2-1)*12+7)</f>
        <v>0</v>
      </c>
      <c r="O42" s="35" t="n">
        <f aca="false">INDEX(Monthly!$C$57:$BJ$57,($R$2-1)*12+8)</f>
        <v>0</v>
      </c>
      <c r="P42" s="35" t="n">
        <f aca="false">INDEX(Monthly!$C$57:$BJ$57,($R$2-1)*12+9)</f>
        <v>0</v>
      </c>
      <c r="Q42" s="35" t="n">
        <f aca="false">INDEX(Monthly!$C$57:$BJ$57,($R$2-1)*12+10)</f>
        <v>0</v>
      </c>
      <c r="R42" s="35" t="n">
        <f aca="false">INDEX(Monthly!$C$57:$BJ$57,($R$2-1)*12+11)</f>
        <v>0</v>
      </c>
      <c r="S42" s="35" t="n">
        <f aca="false">INDEX(Monthly!$C$57:$BJ$57,($R$2-1)*12+12)</f>
        <v>0</v>
      </c>
    </row>
    <row r="43" customFormat="false" ht="15" hidden="false" customHeight="false" outlineLevel="0" collapsed="false">
      <c r="A43" s="49" t="s">
        <v>89</v>
      </c>
      <c r="B43" s="35" t="n">
        <f aca="false">'Balance Sheet'!B7</f>
        <v>0</v>
      </c>
      <c r="C43" s="35" t="n">
        <f aca="false">'Balance Sheet'!C7</f>
        <v>0</v>
      </c>
      <c r="D43" s="35" t="n">
        <f aca="false">'Balance Sheet'!D7</f>
        <v>0</v>
      </c>
      <c r="E43" s="35" t="n">
        <f aca="false">'Balance Sheet'!E7</f>
        <v>0</v>
      </c>
      <c r="F43" s="35" t="n">
        <f aca="false">'Balance Sheet'!F7</f>
        <v>0</v>
      </c>
      <c r="H43" s="35" t="n">
        <f aca="false">INDEX(Monthly!$C$58:$BJ$58,($R$2-1)*12+1)</f>
        <v>0</v>
      </c>
      <c r="I43" s="35" t="n">
        <f aca="false">INDEX(Monthly!$C$58:$BJ$58,($R$2-1)*12+2)</f>
        <v>0</v>
      </c>
      <c r="J43" s="35" t="n">
        <f aca="false">INDEX(Monthly!$C$58:$BJ$58,($R$2-1)*12+3)</f>
        <v>0</v>
      </c>
      <c r="K43" s="35" t="n">
        <f aca="false">INDEX(Monthly!$C$58:$BJ$58,($R$2-1)*12+4)</f>
        <v>0</v>
      </c>
      <c r="L43" s="35" t="n">
        <f aca="false">INDEX(Monthly!$C$58:$BJ$58,($R$2-1)*12+5)</f>
        <v>0</v>
      </c>
      <c r="M43" s="35" t="n">
        <f aca="false">INDEX(Monthly!$C$58:$BJ$58,($R$2-1)*12+6)</f>
        <v>0</v>
      </c>
      <c r="N43" s="35" t="n">
        <f aca="false">INDEX(Monthly!$C$58:$BJ$58,($R$2-1)*12+7)</f>
        <v>0</v>
      </c>
      <c r="O43" s="35" t="n">
        <f aca="false">INDEX(Monthly!$C$58:$BJ$58,($R$2-1)*12+8)</f>
        <v>0</v>
      </c>
      <c r="P43" s="35" t="n">
        <f aca="false">INDEX(Monthly!$C$58:$BJ$58,($R$2-1)*12+9)</f>
        <v>0</v>
      </c>
      <c r="Q43" s="35" t="n">
        <f aca="false">INDEX(Monthly!$C$58:$BJ$58,($R$2-1)*12+10)</f>
        <v>0</v>
      </c>
      <c r="R43" s="35" t="n">
        <f aca="false">INDEX(Monthly!$C$58:$BJ$58,($R$2-1)*12+11)</f>
        <v>0</v>
      </c>
      <c r="S43" s="35" t="n">
        <f aca="false">INDEX(Monthly!$C$58:$BJ$58,($R$2-1)*12+12)</f>
        <v>0</v>
      </c>
    </row>
    <row r="44" customFormat="false" ht="15" hidden="false" customHeight="false" outlineLevel="0" collapsed="false">
      <c r="A44" s="49" t="s">
        <v>90</v>
      </c>
      <c r="B44" s="35" t="n">
        <f aca="false">'Balance Sheet'!B8</f>
        <v>1852059.41358025</v>
      </c>
      <c r="C44" s="35" t="n">
        <f aca="false">'Balance Sheet'!C8</f>
        <v>1798592.09104938</v>
      </c>
      <c r="D44" s="35" t="n">
        <f aca="false">'Balance Sheet'!D8</f>
        <v>1745097.23032408</v>
      </c>
      <c r="E44" s="35" t="n">
        <f aca="false">'Balance Sheet'!E8</f>
        <v>1691574.00525849</v>
      </c>
      <c r="F44" s="35" t="n">
        <f aca="false">'Balance Sheet'!F8</f>
        <v>1638021.56492242</v>
      </c>
      <c r="H44" s="35" t="n">
        <f aca="false">INDEX(Monthly!$C$46:$BJ$46,($R$2-1)*12+1)</f>
        <v>1901051.56893004</v>
      </c>
      <c r="I44" s="35" t="n">
        <f aca="false">INDEX(Monthly!$C$46:$BJ$46,($R$2-1)*12+2)</f>
        <v>1896602.23765432</v>
      </c>
      <c r="J44" s="35" t="n">
        <f aca="false">INDEX(Monthly!$C$46:$BJ$46,($R$2-1)*12+3)</f>
        <v>1892152.00617284</v>
      </c>
      <c r="K44" s="35" t="n">
        <f aca="false">INDEX(Monthly!$C$46:$BJ$46,($R$2-1)*12+4)</f>
        <v>1887700.8744856</v>
      </c>
      <c r="L44" s="35" t="n">
        <f aca="false">INDEX(Monthly!$C$46:$BJ$46,($R$2-1)*12+5)</f>
        <v>1883248.84259259</v>
      </c>
      <c r="M44" s="35" t="n">
        <f aca="false">INDEX(Monthly!$C$46:$BJ$46,($R$2-1)*12+6)</f>
        <v>1878795.91049383</v>
      </c>
      <c r="N44" s="35" t="n">
        <f aca="false">INDEX(Monthly!$C$46:$BJ$46,($R$2-1)*12+7)</f>
        <v>1874342.0781893</v>
      </c>
      <c r="O44" s="35" t="n">
        <f aca="false">INDEX(Monthly!$C$46:$BJ$46,($R$2-1)*12+8)</f>
        <v>1869887.34567901</v>
      </c>
      <c r="P44" s="35" t="n">
        <f aca="false">INDEX(Monthly!$C$46:$BJ$46,($R$2-1)*12+9)</f>
        <v>1865431.71296296</v>
      </c>
      <c r="Q44" s="35" t="n">
        <f aca="false">INDEX(Monthly!$C$46:$BJ$46,($R$2-1)*12+10)</f>
        <v>1860975.18004115</v>
      </c>
      <c r="R44" s="35" t="n">
        <f aca="false">INDEX(Monthly!$C$46:$BJ$46,($R$2-1)*12+11)</f>
        <v>1856517.74691358</v>
      </c>
      <c r="S44" s="35" t="n">
        <f aca="false">INDEX(Monthly!$C$46:$BJ$46,($R$2-1)*12+12)</f>
        <v>1852059.41358025</v>
      </c>
    </row>
    <row r="45" customFormat="false" ht="15" hidden="false" customHeight="false" outlineLevel="0" collapsed="false">
      <c r="A45" s="36" t="s">
        <v>91</v>
      </c>
      <c r="B45" s="37" t="n">
        <f aca="false">'Balance Sheet'!B9</f>
        <v>1938316.11819726</v>
      </c>
      <c r="C45" s="37" t="n">
        <f aca="false">'Balance Sheet'!C9</f>
        <v>1919354.23528341</v>
      </c>
      <c r="D45" s="37" t="n">
        <f aca="false">'Balance Sheet'!D9</f>
        <v>1904130.51122512</v>
      </c>
      <c r="E45" s="37" t="n">
        <f aca="false">'Balance Sheet'!E9</f>
        <v>1892757.09078804</v>
      </c>
      <c r="F45" s="37" t="n">
        <f aca="false">'Balance Sheet'!F9</f>
        <v>1885146.63026302</v>
      </c>
      <c r="H45" s="37" t="n">
        <f aca="false">INDEX(Monthly!$C$85:$BJ$85,($R$2-1)*12+1)</f>
        <v>1959054.58598146</v>
      </c>
      <c r="I45" s="37" t="n">
        <f aca="false">INDEX(Monthly!$C$85:$BJ$85,($R$2-1)*12+2)</f>
        <v>1957173.77175716</v>
      </c>
      <c r="J45" s="37" t="n">
        <f aca="false">INDEX(Monthly!$C$85:$BJ$85,($R$2-1)*12+3)</f>
        <v>1955292.05732709</v>
      </c>
      <c r="K45" s="37" t="n">
        <f aca="false">INDEX(Monthly!$C$85:$BJ$85,($R$2-1)*12+4)</f>
        <v>1953409.44269127</v>
      </c>
      <c r="L45" s="37" t="n">
        <f aca="false">INDEX(Monthly!$C$85:$BJ$85,($R$2-1)*12+5)</f>
        <v>1951525.92784968</v>
      </c>
      <c r="M45" s="37" t="n">
        <f aca="false">INDEX(Monthly!$C$85:$BJ$85,($R$2-1)*12+6)</f>
        <v>1949641.51280233</v>
      </c>
      <c r="N45" s="37" t="n">
        <f aca="false">INDEX(Monthly!$C$85:$BJ$85,($R$2-1)*12+7)</f>
        <v>1947756.19754923</v>
      </c>
      <c r="O45" s="37" t="n">
        <f aca="false">INDEX(Monthly!$C$85:$BJ$85,($R$2-1)*12+8)</f>
        <v>1945869.98209036</v>
      </c>
      <c r="P45" s="37" t="n">
        <f aca="false">INDEX(Monthly!$C$85:$BJ$85,($R$2-1)*12+9)</f>
        <v>1943982.86642572</v>
      </c>
      <c r="Q45" s="37" t="n">
        <f aca="false">INDEX(Monthly!$C$85:$BJ$85,($R$2-1)*12+10)</f>
        <v>1942094.85055533</v>
      </c>
      <c r="R45" s="37" t="n">
        <f aca="false">INDEX(Monthly!$C$85:$BJ$85,($R$2-1)*12+11)</f>
        <v>1940205.93447918</v>
      </c>
      <c r="S45" s="37" t="n">
        <f aca="false">INDEX(Monthly!$C$85:$BJ$85,($R$2-1)*12+12)</f>
        <v>1938316.11819726</v>
      </c>
    </row>
    <row r="46" customFormat="false" ht="15" hidden="false" customHeight="false" outlineLevel="0" collapsed="false">
      <c r="A46" s="49" t="s">
        <v>92</v>
      </c>
      <c r="B46" s="35" t="n">
        <f aca="false">'Balance Sheet'!B10</f>
        <v>934.5</v>
      </c>
      <c r="C46" s="35" t="n">
        <f aca="false">'Balance Sheet'!C10</f>
        <v>962.535</v>
      </c>
      <c r="D46" s="35" t="n">
        <f aca="false">'Balance Sheet'!D10</f>
        <v>991.41105</v>
      </c>
      <c r="E46" s="35" t="n">
        <f aca="false">'Balance Sheet'!E10</f>
        <v>1021.1533815</v>
      </c>
      <c r="F46" s="35" t="n">
        <f aca="false">'Balance Sheet'!F10</f>
        <v>1051.787982945</v>
      </c>
      <c r="H46" s="35" t="n">
        <f aca="false">INDEX(Monthly!$C$59:$BJ$59,($R$2-1)*12+1)</f>
        <v>934.5</v>
      </c>
      <c r="I46" s="35" t="n">
        <f aca="false">INDEX(Monthly!$C$59:$BJ$59,($R$2-1)*12+2)</f>
        <v>934.5</v>
      </c>
      <c r="J46" s="35" t="n">
        <f aca="false">INDEX(Monthly!$C$59:$BJ$59,($R$2-1)*12+3)</f>
        <v>934.5</v>
      </c>
      <c r="K46" s="35" t="n">
        <f aca="false">INDEX(Monthly!$C$59:$BJ$59,($R$2-1)*12+4)</f>
        <v>934.5</v>
      </c>
      <c r="L46" s="35" t="n">
        <f aca="false">INDEX(Monthly!$C$59:$BJ$59,($R$2-1)*12+5)</f>
        <v>934.5</v>
      </c>
      <c r="M46" s="35" t="n">
        <f aca="false">INDEX(Monthly!$C$59:$BJ$59,($R$2-1)*12+6)</f>
        <v>934.5</v>
      </c>
      <c r="N46" s="35" t="n">
        <f aca="false">INDEX(Monthly!$C$59:$BJ$59,($R$2-1)*12+7)</f>
        <v>934.5</v>
      </c>
      <c r="O46" s="35" t="n">
        <f aca="false">INDEX(Monthly!$C$59:$BJ$59,($R$2-1)*12+8)</f>
        <v>934.5</v>
      </c>
      <c r="P46" s="35" t="n">
        <f aca="false">INDEX(Monthly!$C$59:$BJ$59,($R$2-1)*12+9)</f>
        <v>934.5</v>
      </c>
      <c r="Q46" s="35" t="n">
        <f aca="false">INDEX(Monthly!$C$59:$BJ$59,($R$2-1)*12+10)</f>
        <v>934.5</v>
      </c>
      <c r="R46" s="35" t="n">
        <f aca="false">INDEX(Monthly!$C$59:$BJ$59,($R$2-1)*12+11)</f>
        <v>934.5</v>
      </c>
      <c r="S46" s="35" t="n">
        <f aca="false">INDEX(Monthly!$C$59:$BJ$59,($R$2-1)*12+12)</f>
        <v>934.5</v>
      </c>
    </row>
    <row r="47" customFormat="false" ht="15" hidden="false" customHeight="false" outlineLevel="0" collapsed="false">
      <c r="A47" s="49" t="s">
        <v>93</v>
      </c>
      <c r="B47" s="35" t="n">
        <f aca="false">'Balance Sheet'!B11</f>
        <v>1186587.29437248</v>
      </c>
      <c r="C47" s="35" t="n">
        <f aca="false">'Balance Sheet'!C11</f>
        <v>1172276.31500872</v>
      </c>
      <c r="D47" s="35" t="n">
        <f aca="false">'Balance Sheet'!D11</f>
        <v>1157006.902853</v>
      </c>
      <c r="E47" s="35" t="n">
        <f aca="false">'Balance Sheet'!E11</f>
        <v>1140714.86988622</v>
      </c>
      <c r="F47" s="35" t="n">
        <f aca="false">'Balance Sheet'!F11</f>
        <v>1123331.72929877</v>
      </c>
      <c r="H47" s="35" t="n">
        <f aca="false">INDEX(Monthly!$C$54:$BJ$54,($R$2-1)*12+1)</f>
        <v>1198915.18371808</v>
      </c>
      <c r="I47" s="35" t="n">
        <f aca="false">INDEX(Monthly!$C$54:$BJ$54,($R$2-1)*12+2)</f>
        <v>1197824.49134798</v>
      </c>
      <c r="J47" s="35" t="n">
        <f aca="false">INDEX(Monthly!$C$54:$BJ$54,($R$2-1)*12+3)</f>
        <v>1196727.89106086</v>
      </c>
      <c r="K47" s="35" t="n">
        <f aca="false">INDEX(Monthly!$C$54:$BJ$54,($R$2-1)*12+4)</f>
        <v>1195625.35085553</v>
      </c>
      <c r="L47" s="35" t="n">
        <f aca="false">INDEX(Monthly!$C$54:$BJ$54,($R$2-1)*12+5)</f>
        <v>1194516.83855741</v>
      </c>
      <c r="M47" s="35" t="n">
        <f aca="false">INDEX(Monthly!$C$54:$BJ$54,($R$2-1)*12+6)</f>
        <v>1193402.32181768</v>
      </c>
      <c r="N47" s="35" t="n">
        <f aca="false">INDEX(Monthly!$C$54:$BJ$54,($R$2-1)*12+7)</f>
        <v>1192281.76811228</v>
      </c>
      <c r="O47" s="35" t="n">
        <f aca="false">INDEX(Monthly!$C$54:$BJ$54,($R$2-1)*12+8)</f>
        <v>1191155.14474097</v>
      </c>
      <c r="P47" s="35" t="n">
        <f aca="false">INDEX(Monthly!$C$54:$BJ$54,($R$2-1)*12+9)</f>
        <v>1190022.4188264</v>
      </c>
      <c r="Q47" s="35" t="n">
        <f aca="false">INDEX(Monthly!$C$54:$BJ$54,($R$2-1)*12+10)</f>
        <v>1188883.55731313</v>
      </c>
      <c r="R47" s="35" t="n">
        <f aca="false">INDEX(Monthly!$C$54:$BJ$54,($R$2-1)*12+11)</f>
        <v>1187738.52696666</v>
      </c>
      <c r="S47" s="35" t="n">
        <f aca="false">INDEX(Monthly!$C$54:$BJ$54,($R$2-1)*12+12)</f>
        <v>1186587.29437248</v>
      </c>
    </row>
    <row r="48" customFormat="false" ht="15" hidden="false" customHeight="false" outlineLevel="0" collapsed="false">
      <c r="A48" s="36" t="s">
        <v>94</v>
      </c>
      <c r="B48" s="37" t="n">
        <f aca="false">'Balance Sheet'!B12</f>
        <v>1187521.79437248</v>
      </c>
      <c r="C48" s="37" t="n">
        <f aca="false">'Balance Sheet'!C12</f>
        <v>1173238.85000872</v>
      </c>
      <c r="D48" s="37" t="n">
        <f aca="false">'Balance Sheet'!D12</f>
        <v>1157998.313903</v>
      </c>
      <c r="E48" s="37" t="n">
        <f aca="false">'Balance Sheet'!E12</f>
        <v>1141736.02326772</v>
      </c>
      <c r="F48" s="37" t="n">
        <f aca="false">'Balance Sheet'!F12</f>
        <v>1124383.51728171</v>
      </c>
      <c r="H48" s="37" t="n">
        <f aca="false">INDEX(Monthly!$C$86:$BJ$86,($R$2-1)*12+1)</f>
        <v>1199849.68371808</v>
      </c>
      <c r="I48" s="37" t="n">
        <f aca="false">INDEX(Monthly!$C$86:$BJ$86,($R$2-1)*12+2)</f>
        <v>1198758.99134798</v>
      </c>
      <c r="J48" s="37" t="n">
        <f aca="false">INDEX(Monthly!$C$86:$BJ$86,($R$2-1)*12+3)</f>
        <v>1197662.39106086</v>
      </c>
      <c r="K48" s="37" t="n">
        <f aca="false">INDEX(Monthly!$C$86:$BJ$86,($R$2-1)*12+4)</f>
        <v>1196559.85085553</v>
      </c>
      <c r="L48" s="37" t="n">
        <f aca="false">INDEX(Monthly!$C$86:$BJ$86,($R$2-1)*12+5)</f>
        <v>1195451.33855741</v>
      </c>
      <c r="M48" s="37" t="n">
        <f aca="false">INDEX(Monthly!$C$86:$BJ$86,($R$2-1)*12+6)</f>
        <v>1194336.82181768</v>
      </c>
      <c r="N48" s="37" t="n">
        <f aca="false">INDEX(Monthly!$C$86:$BJ$86,($R$2-1)*12+7)</f>
        <v>1193216.26811228</v>
      </c>
      <c r="O48" s="37" t="n">
        <f aca="false">INDEX(Monthly!$C$86:$BJ$86,($R$2-1)*12+8)</f>
        <v>1192089.64474097</v>
      </c>
      <c r="P48" s="37" t="n">
        <f aca="false">INDEX(Monthly!$C$86:$BJ$86,($R$2-1)*12+9)</f>
        <v>1190956.9188264</v>
      </c>
      <c r="Q48" s="37" t="n">
        <f aca="false">INDEX(Monthly!$C$86:$BJ$86,($R$2-1)*12+10)</f>
        <v>1189818.05731313</v>
      </c>
      <c r="R48" s="37" t="n">
        <f aca="false">INDEX(Monthly!$C$86:$BJ$86,($R$2-1)*12+11)</f>
        <v>1188673.02696666</v>
      </c>
      <c r="S48" s="37" t="n">
        <f aca="false">INDEX(Monthly!$C$86:$BJ$86,($R$2-1)*12+12)</f>
        <v>1187521.79437248</v>
      </c>
    </row>
    <row r="49" customFormat="false" ht="15" hidden="false" customHeight="false" outlineLevel="0" collapsed="false">
      <c r="A49" s="49" t="s">
        <v>95</v>
      </c>
      <c r="B49" s="35" t="n">
        <f aca="false">'Balance Sheet'!B13</f>
        <v>760000</v>
      </c>
      <c r="C49" s="35" t="n">
        <f aca="false">'Balance Sheet'!C13</f>
        <v>760000</v>
      </c>
      <c r="D49" s="35" t="n">
        <f aca="false">'Balance Sheet'!D13</f>
        <v>760000</v>
      </c>
      <c r="E49" s="35" t="n">
        <f aca="false">'Balance Sheet'!E13</f>
        <v>760000</v>
      </c>
      <c r="F49" s="35" t="n">
        <f aca="false">'Balance Sheet'!F13</f>
        <v>760000</v>
      </c>
      <c r="H49" s="35" t="n">
        <f aca="false">INDEX(Monthly!$C$83:$BJ$83,($R$2-1)*12+1)</f>
        <v>760000</v>
      </c>
      <c r="I49" s="35" t="n">
        <f aca="false">INDEX(Monthly!$C$83:$BJ$83,($R$2-1)*12+2)</f>
        <v>760000</v>
      </c>
      <c r="J49" s="35" t="n">
        <f aca="false">INDEX(Monthly!$C$83:$BJ$83,($R$2-1)*12+3)</f>
        <v>760000</v>
      </c>
      <c r="K49" s="35" t="n">
        <f aca="false">INDEX(Monthly!$C$83:$BJ$83,($R$2-1)*12+4)</f>
        <v>760000</v>
      </c>
      <c r="L49" s="35" t="n">
        <f aca="false">INDEX(Monthly!$C$83:$BJ$83,($R$2-1)*12+5)</f>
        <v>760000</v>
      </c>
      <c r="M49" s="35" t="n">
        <f aca="false">INDEX(Monthly!$C$83:$BJ$83,($R$2-1)*12+6)</f>
        <v>760000</v>
      </c>
      <c r="N49" s="35" t="n">
        <f aca="false">INDEX(Monthly!$C$83:$BJ$83,($R$2-1)*12+7)</f>
        <v>760000</v>
      </c>
      <c r="O49" s="35" t="n">
        <f aca="false">INDEX(Monthly!$C$83:$BJ$83,($R$2-1)*12+8)</f>
        <v>760000</v>
      </c>
      <c r="P49" s="35" t="n">
        <f aca="false">INDEX(Monthly!$C$83:$BJ$83,($R$2-1)*12+9)</f>
        <v>760000</v>
      </c>
      <c r="Q49" s="35" t="n">
        <f aca="false">INDEX(Monthly!$C$83:$BJ$83,($R$2-1)*12+10)</f>
        <v>760000</v>
      </c>
      <c r="R49" s="35" t="n">
        <f aca="false">INDEX(Monthly!$C$83:$BJ$83,($R$2-1)*12+11)</f>
        <v>760000</v>
      </c>
      <c r="S49" s="35" t="n">
        <f aca="false">INDEX(Monthly!$C$83:$BJ$83,($R$2-1)*12+12)</f>
        <v>760000</v>
      </c>
    </row>
    <row r="50" customFormat="false" ht="15" hidden="false" customHeight="false" outlineLevel="0" collapsed="false">
      <c r="A50" s="49" t="s">
        <v>96</v>
      </c>
      <c r="B50" s="35" t="n">
        <f aca="false">'Balance Sheet'!B14</f>
        <v>-9205.67617522005</v>
      </c>
      <c r="C50" s="35" t="n">
        <f aca="false">'Balance Sheet'!C14</f>
        <v>-13884.6147253113</v>
      </c>
      <c r="D50" s="35" t="n">
        <f aca="false">'Balance Sheet'!D14</f>
        <v>-13867.8026778858</v>
      </c>
      <c r="E50" s="35" t="n">
        <f aca="false">'Balance Sheet'!E14</f>
        <v>-8978.93247967945</v>
      </c>
      <c r="F50" s="35" t="n">
        <f aca="false">'Balance Sheet'!F14</f>
        <v>763.112981298949</v>
      </c>
      <c r="H50" s="35" t="n">
        <f aca="false">INDEX(Monthly!$C$84:$BJ$84,($R$2-1)*12+1)</f>
        <v>-795.097736625515</v>
      </c>
      <c r="I50" s="35" t="n">
        <f aca="false">INDEX(Monthly!$C$84:$BJ$84,($R$2-1)*12+2)</f>
        <v>-1585.21959081864</v>
      </c>
      <c r="J50" s="35" t="n">
        <f aca="false">INDEX(Monthly!$C$84:$BJ$84,($R$2-1)*12+3)</f>
        <v>-2370.33373376832</v>
      </c>
      <c r="K50" s="35" t="n">
        <f aca="false">INDEX(Monthly!$C$84:$BJ$84,($R$2-1)*12+4)</f>
        <v>-3150.40816425745</v>
      </c>
      <c r="L50" s="35" t="n">
        <f aca="false">INDEX(Monthly!$C$84:$BJ$84,($R$2-1)*12+5)</f>
        <v>-3925.41070772899</v>
      </c>
      <c r="M50" s="35" t="n">
        <f aca="false">INDEX(Monthly!$C$84:$BJ$84,($R$2-1)*12+6)</f>
        <v>-4695.30901534706</v>
      </c>
      <c r="N50" s="35" t="n">
        <f aca="false">INDEX(Monthly!$C$84:$BJ$84,($R$2-1)*12+7)</f>
        <v>-5460.07056305292</v>
      </c>
      <c r="O50" s="35" t="n">
        <f aca="false">INDEX(Monthly!$C$84:$BJ$84,($R$2-1)*12+8)</f>
        <v>-6219.66265061582</v>
      </c>
      <c r="P50" s="35" t="n">
        <f aca="false">INDEX(Monthly!$C$84:$BJ$84,($R$2-1)*12+9)</f>
        <v>-6974.0524006788</v>
      </c>
      <c r="Q50" s="35" t="n">
        <f aca="false">INDEX(Monthly!$C$84:$BJ$84,($R$2-1)*12+10)</f>
        <v>-7723.20675779918</v>
      </c>
      <c r="R50" s="35" t="n">
        <f aca="false">INDEX(Monthly!$C$84:$BJ$84,($R$2-1)*12+11)</f>
        <v>-8467.09248748398</v>
      </c>
      <c r="S50" s="35" t="n">
        <f aca="false">INDEX(Monthly!$C$84:$BJ$84,($R$2-1)*12+12)</f>
        <v>-9205.67617522005</v>
      </c>
    </row>
    <row r="51" customFormat="false" ht="15" hidden="false" customHeight="false" outlineLevel="0" collapsed="false">
      <c r="A51" s="36" t="s">
        <v>97</v>
      </c>
      <c r="B51" s="37" t="n">
        <f aca="false">'Balance Sheet'!B15</f>
        <v>750794.32382478</v>
      </c>
      <c r="C51" s="37" t="n">
        <f aca="false">'Balance Sheet'!C15</f>
        <v>746115.385274689</v>
      </c>
      <c r="D51" s="37" t="n">
        <f aca="false">'Balance Sheet'!D15</f>
        <v>746132.197322114</v>
      </c>
      <c r="E51" s="37" t="n">
        <f aca="false">'Balance Sheet'!E15</f>
        <v>751021.067520321</v>
      </c>
      <c r="F51" s="37" t="n">
        <f aca="false">'Balance Sheet'!F15</f>
        <v>760763.112981299</v>
      </c>
      <c r="H51" s="37" t="n">
        <f aca="false">INDEX(Monthly!$C$87:$BJ$87,($R$2-1)*12+1)</f>
        <v>759204.902263375</v>
      </c>
      <c r="I51" s="37" t="n">
        <f aca="false">INDEX(Monthly!$C$87:$BJ$87,($R$2-1)*12+2)</f>
        <v>758414.780409181</v>
      </c>
      <c r="J51" s="37" t="n">
        <f aca="false">INDEX(Monthly!$C$87:$BJ$87,($R$2-1)*12+3)</f>
        <v>757629.666266232</v>
      </c>
      <c r="K51" s="37" t="n">
        <f aca="false">INDEX(Monthly!$C$87:$BJ$87,($R$2-1)*12+4)</f>
        <v>756849.591835743</v>
      </c>
      <c r="L51" s="37" t="n">
        <f aca="false">INDEX(Monthly!$C$87:$BJ$87,($R$2-1)*12+5)</f>
        <v>756074.589292271</v>
      </c>
      <c r="M51" s="37" t="n">
        <f aca="false">INDEX(Monthly!$C$87:$BJ$87,($R$2-1)*12+6)</f>
        <v>755304.690984653</v>
      </c>
      <c r="N51" s="37" t="n">
        <f aca="false">INDEX(Monthly!$C$87:$BJ$87,($R$2-1)*12+7)</f>
        <v>754539.929436947</v>
      </c>
      <c r="O51" s="37" t="n">
        <f aca="false">INDEX(Monthly!$C$87:$BJ$87,($R$2-1)*12+8)</f>
        <v>753780.337349384</v>
      </c>
      <c r="P51" s="37" t="n">
        <f aca="false">INDEX(Monthly!$C$87:$BJ$87,($R$2-1)*12+9)</f>
        <v>753025.947599321</v>
      </c>
      <c r="Q51" s="37" t="n">
        <f aca="false">INDEX(Monthly!$C$87:$BJ$87,($R$2-1)*12+10)</f>
        <v>752276.793242201</v>
      </c>
      <c r="R51" s="37" t="n">
        <f aca="false">INDEX(Monthly!$C$87:$BJ$87,($R$2-1)*12+11)</f>
        <v>751532.907512516</v>
      </c>
      <c r="S51" s="37" t="n">
        <f aca="false">INDEX(Monthly!$C$87:$BJ$87,($R$2-1)*12+12)</f>
        <v>750794.32382478</v>
      </c>
    </row>
    <row r="52" customFormat="false" ht="15" hidden="false" customHeight="false" outlineLevel="0" collapsed="false">
      <c r="A52" s="40" t="s">
        <v>98</v>
      </c>
      <c r="B52" s="41" t="n">
        <f aca="false">'Balance Sheet'!B16</f>
        <v>1938316.11819726</v>
      </c>
      <c r="C52" s="41" t="n">
        <f aca="false">'Balance Sheet'!C16</f>
        <v>1919354.23528341</v>
      </c>
      <c r="D52" s="41" t="n">
        <f aca="false">'Balance Sheet'!D16</f>
        <v>1904130.51122511</v>
      </c>
      <c r="E52" s="41" t="n">
        <f aca="false">'Balance Sheet'!E16</f>
        <v>1892757.09078804</v>
      </c>
      <c r="F52" s="41" t="n">
        <f aca="false">'Balance Sheet'!F16</f>
        <v>1885146.63026301</v>
      </c>
      <c r="H52" s="41" t="n">
        <f aca="false">INDEX(Monthly!$C$88:$BJ$88,($R$2-1)*12+1)</f>
        <v>1959054.58598146</v>
      </c>
      <c r="I52" s="41" t="n">
        <f aca="false">INDEX(Monthly!$C$88:$BJ$88,($R$2-1)*12+2)</f>
        <v>1957173.77175716</v>
      </c>
      <c r="J52" s="41" t="n">
        <f aca="false">INDEX(Monthly!$C$88:$BJ$88,($R$2-1)*12+3)</f>
        <v>1955292.05732709</v>
      </c>
      <c r="K52" s="41" t="n">
        <f aca="false">INDEX(Monthly!$C$88:$BJ$88,($R$2-1)*12+4)</f>
        <v>1953409.44269127</v>
      </c>
      <c r="L52" s="41" t="n">
        <f aca="false">INDEX(Monthly!$C$88:$BJ$88,($R$2-1)*12+5)</f>
        <v>1951525.92784968</v>
      </c>
      <c r="M52" s="41" t="n">
        <f aca="false">INDEX(Monthly!$C$88:$BJ$88,($R$2-1)*12+6)</f>
        <v>1949641.51280233</v>
      </c>
      <c r="N52" s="41" t="n">
        <f aca="false">INDEX(Monthly!$C$88:$BJ$88,($R$2-1)*12+7)</f>
        <v>1947756.19754922</v>
      </c>
      <c r="O52" s="41" t="n">
        <f aca="false">INDEX(Monthly!$C$88:$BJ$88,($R$2-1)*12+8)</f>
        <v>1945869.98209035</v>
      </c>
      <c r="P52" s="41" t="n">
        <f aca="false">INDEX(Monthly!$C$88:$BJ$88,($R$2-1)*12+9)</f>
        <v>1943982.86642572</v>
      </c>
      <c r="Q52" s="41" t="n">
        <f aca="false">INDEX(Monthly!$C$88:$BJ$88,($R$2-1)*12+10)</f>
        <v>1942094.85055533</v>
      </c>
      <c r="R52" s="41" t="n">
        <f aca="false">INDEX(Monthly!$C$88:$BJ$88,($R$2-1)*12+11)</f>
        <v>1940205.93447918</v>
      </c>
      <c r="S52" s="41" t="n">
        <f aca="false">INDEX(Monthly!$C$88:$BJ$88,($R$2-1)*12+12)</f>
        <v>1938316.11819726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99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100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103</v>
      </c>
      <c r="B6" s="50" t="n">
        <f aca="false">MATCH(MIN(Monthly!$C$71:$BJ$71),Monthly!$C$71:$BJ$71,0)</f>
        <v>1</v>
      </c>
    </row>
    <row r="7" customFormat="false" ht="15" hidden="false" customHeight="false" outlineLevel="0" collapsed="false">
      <c r="A7" s="6" t="s">
        <v>104</v>
      </c>
      <c r="B7" s="51" t="n">
        <f aca="false">SUMPRODUCT(--(Monthly!$C$4:$BJ$4&lt;=$B$6),Monthly!$C$41:$BJ$41)</f>
        <v>1905791.66666667</v>
      </c>
    </row>
    <row r="8" customFormat="false" ht="15" hidden="false" customHeight="false" outlineLevel="0" collapsed="false">
      <c r="A8" s="6" t="s">
        <v>105</v>
      </c>
      <c r="B8" s="51" t="n">
        <f aca="false">-SUMPRODUCT(--(Monthly!$C$4:$BJ$4&lt;=$B$6),Monthly!$C$65:$BJ$65)</f>
        <v>-4879.5</v>
      </c>
      <c r="D8" s="18" t="s">
        <v>106</v>
      </c>
    </row>
    <row r="9" customFormat="false" ht="15" hidden="false" customHeight="false" outlineLevel="0" collapsed="false">
      <c r="A9" s="6" t="s">
        <v>107</v>
      </c>
      <c r="B9" s="51" t="n">
        <f aca="false">-SUMPRODUCT(--(Monthly!$C$4:$BJ$4&lt;=$B$6),Monthly!$C$52:$BJ$52)</f>
        <v>1084.81628191557</v>
      </c>
    </row>
    <row r="10" customFormat="false" ht="15" hidden="false" customHeight="false" outlineLevel="0" collapsed="false">
      <c r="A10" s="4" t="s">
        <v>108</v>
      </c>
      <c r="B10" s="52" t="n">
        <f aca="false">B7+B8+B9</f>
        <v>1901996.98294858</v>
      </c>
    </row>
    <row r="11" customFormat="false" ht="15" hidden="false" customHeight="false" outlineLevel="0" collapsed="false">
      <c r="A11" s="6" t="s">
        <v>109</v>
      </c>
      <c r="B11" s="53" t="n">
        <f aca="false">Inputs!$E$49</f>
        <v>12000</v>
      </c>
      <c r="D11" s="18" t="s">
        <v>110</v>
      </c>
    </row>
    <row r="12" customFormat="false" ht="15" hidden="false" customHeight="false" outlineLevel="0" collapsed="false">
      <c r="A12" s="4" t="s">
        <v>111</v>
      </c>
      <c r="B12" s="52" t="n">
        <f aca="false">B10+B11</f>
        <v>1913996.98294858</v>
      </c>
    </row>
    <row r="14" customFormat="false" ht="15" hidden="false" customHeight="false" outlineLevel="0" collapsed="false">
      <c r="A14" s="6" t="s">
        <v>62</v>
      </c>
      <c r="B14" s="53" t="n">
        <f aca="false">Inputs!$E$34</f>
        <v>760000</v>
      </c>
    </row>
    <row r="15" customFormat="false" ht="15" hidden="false" customHeight="false" outlineLevel="0" collapsed="false">
      <c r="A15" s="6" t="s">
        <v>63</v>
      </c>
      <c r="B15" s="53" t="n">
        <f aca="false">Inputs!$E$35</f>
        <v>1200000</v>
      </c>
    </row>
    <row r="16" customFormat="false" ht="15" hidden="false" customHeight="false" outlineLevel="0" collapsed="false">
      <c r="A16" s="4" t="s">
        <v>112</v>
      </c>
      <c r="B16" s="52" t="n">
        <f aca="false">B14+B15</f>
        <v>1960000</v>
      </c>
    </row>
    <row r="17" customFormat="false" ht="15" hidden="false" customHeight="false" outlineLevel="0" collapsed="false">
      <c r="A17" s="54" t="s">
        <v>65</v>
      </c>
      <c r="B17" s="55" t="n">
        <f aca="false">B16-B12</f>
        <v>46003.0170514176</v>
      </c>
      <c r="D17" s="18" t="s">
        <v>113</v>
      </c>
    </row>
    <row r="18" customFormat="false" ht="15" hidden="false" customHeight="false" outlineLevel="0" collapsed="false">
      <c r="A18" s="6" t="s">
        <v>114</v>
      </c>
      <c r="B18" s="51" t="n">
        <f aca="false">MIN(Monthly!$C$71:$BJ$71)</f>
        <v>58003.0170514176</v>
      </c>
      <c r="D18" s="18" t="s">
        <v>115</v>
      </c>
    </row>
    <row r="20" customFormat="false" ht="15.75" hidden="false" customHeight="true" outlineLevel="0" collapsed="false">
      <c r="A20" s="7" t="s">
        <v>116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117</v>
      </c>
      <c r="B21" s="50" t="n">
        <f aca="false">IFERROR(MATCH(1,Monthly!$C$72:$BJ$72,0),"Not within horizon")</f>
        <v>1</v>
      </c>
    </row>
    <row r="22" customFormat="false" ht="15" hidden="false" customHeight="false" outlineLevel="0" collapsed="false">
      <c r="A22" s="6" t="s">
        <v>118</v>
      </c>
      <c r="B22" s="50" t="n">
        <f aca="false">IFERROR(MATCH(1,Monthly!$C$75:$BJ$75,0),"Not within horizon")</f>
        <v>31</v>
      </c>
    </row>
    <row r="23" customFormat="false" ht="15" hidden="false" customHeight="false" outlineLevel="0" collapsed="false">
      <c r="A23" s="6" t="s">
        <v>119</v>
      </c>
      <c r="B23" s="50" t="str">
        <f aca="false">IF(MIN(Monthly!$C$77:$BJ$77)&gt;=0,"No investment to pay back",IFERROR(MATCH(1,Monthly!$C$79:$BJ$79,0),"Not within horizon"))</f>
        <v>Not within horizon</v>
      </c>
      <c r="D23" s="18" t="s">
        <v>120</v>
      </c>
    </row>
    <row r="25" customFormat="false" ht="15.75" hidden="false" customHeight="true" outlineLevel="0" collapsed="false">
      <c r="A25" s="7" t="s">
        <v>121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56" t="s">
        <v>122</v>
      </c>
      <c r="B26" s="56" t="n">
        <v>1</v>
      </c>
      <c r="C26" s="56" t="n">
        <v>2</v>
      </c>
      <c r="D26" s="56" t="n">
        <v>3</v>
      </c>
      <c r="E26" s="56" t="n">
        <v>4</v>
      </c>
      <c r="F26" s="56" t="n">
        <v>5</v>
      </c>
    </row>
    <row r="27" customFormat="false" ht="15" hidden="false" customHeight="false" outlineLevel="0" collapsed="false">
      <c r="A27" s="33"/>
      <c r="B27" s="57" t="s">
        <v>123</v>
      </c>
      <c r="C27" s="57" t="s">
        <v>124</v>
      </c>
      <c r="D27" s="57" t="s">
        <v>125</v>
      </c>
      <c r="E27" s="57" t="s">
        <v>126</v>
      </c>
      <c r="F27" s="57" t="s">
        <v>127</v>
      </c>
    </row>
    <row r="28" customFormat="false" ht="15" hidden="false" customHeight="false" outlineLevel="0" collapsed="false">
      <c r="A28" s="4" t="s">
        <v>43</v>
      </c>
      <c r="B28" s="58" t="n">
        <f aca="false">SUMIF(Monthly!$C$5:$BJ$5,B$26,Monthly!$C$12:$BJ$12)</f>
        <v>196650</v>
      </c>
      <c r="C28" s="58" t="n">
        <f aca="false">SUMIF(Monthly!$C$5:$BJ$5,C$26,Monthly!$C$12:$BJ$12)</f>
        <v>202549.5</v>
      </c>
      <c r="D28" s="58" t="n">
        <f aca="false">SUMIF(Monthly!$C$5:$BJ$5,D$26,Monthly!$C$12:$BJ$12)</f>
        <v>208625.985</v>
      </c>
      <c r="E28" s="58" t="n">
        <f aca="false">SUMIF(Monthly!$C$5:$BJ$5,E$26,Monthly!$C$12:$BJ$12)</f>
        <v>214884.76455</v>
      </c>
      <c r="F28" s="58" t="n">
        <f aca="false">SUMIF(Monthly!$C$5:$BJ$5,F$26,Monthly!$C$12:$BJ$12)</f>
        <v>221331.3074865</v>
      </c>
    </row>
    <row r="29" customFormat="false" ht="15" hidden="false" customHeight="false" outlineLevel="0" collapsed="false">
      <c r="A29" s="6" t="s">
        <v>44</v>
      </c>
      <c r="B29" s="51" t="n">
        <f aca="false">SUMIF(Monthly!$C$5:$BJ$5,B$26,Monthly!$C$18:$BJ$18)</f>
        <v>174222</v>
      </c>
      <c r="C29" s="51" t="n">
        <f aca="false">SUMIF(Monthly!$C$5:$BJ$5,C$26,Monthly!$C$18:$BJ$18)</f>
        <v>179448.66</v>
      </c>
      <c r="D29" s="51" t="n">
        <f aca="false">SUMIF(Monthly!$C$5:$BJ$5,D$26,Monthly!$C$18:$BJ$18)</f>
        <v>184832.1198</v>
      </c>
      <c r="E29" s="51" t="n">
        <f aca="false">SUMIF(Monthly!$C$5:$BJ$5,E$26,Monthly!$C$18:$BJ$18)</f>
        <v>190377.083394</v>
      </c>
      <c r="F29" s="51" t="n">
        <f aca="false">SUMIF(Monthly!$C$5:$BJ$5,F$26,Monthly!$C$18:$BJ$18)</f>
        <v>196088.39589582</v>
      </c>
    </row>
    <row r="30" customFormat="false" ht="15" hidden="false" customHeight="false" outlineLevel="0" collapsed="false">
      <c r="A30" s="38" t="s">
        <v>128</v>
      </c>
      <c r="B30" s="59" t="n">
        <f aca="false">IF(B28=0,0,B29/B28)</f>
        <v>0.885949656750572</v>
      </c>
      <c r="C30" s="59" t="n">
        <f aca="false">IF(C28=0,0,C29/C28)</f>
        <v>0.885949656750572</v>
      </c>
      <c r="D30" s="59" t="n">
        <f aca="false">IF(D28=0,0,D29/D28)</f>
        <v>0.885949656750572</v>
      </c>
      <c r="E30" s="59" t="n">
        <f aca="false">IF(E28=0,0,E29/E28)</f>
        <v>0.885949656750572</v>
      </c>
      <c r="F30" s="59" t="n">
        <f aca="false">IF(F28=0,0,F29/F28)</f>
        <v>0.885949656750572</v>
      </c>
    </row>
    <row r="31" customFormat="false" ht="15" hidden="false" customHeight="false" outlineLevel="0" collapsed="false">
      <c r="A31" s="6" t="s">
        <v>129</v>
      </c>
      <c r="B31" s="51" t="n">
        <f aca="false">-SUMIF(Monthly!$C$5:$BJ$5,B$26,Monthly!$C$25:$BJ$25)</f>
        <v>48882</v>
      </c>
      <c r="C31" s="51" t="n">
        <f aca="false">-SUMIF(Monthly!$C$5:$BJ$5,C$26,Monthly!$C$25:$BJ$25)</f>
        <v>50348.46</v>
      </c>
      <c r="D31" s="51" t="n">
        <f aca="false">-SUMIF(Monthly!$C$5:$BJ$5,D$26,Monthly!$C$25:$BJ$25)</f>
        <v>51858.9138</v>
      </c>
      <c r="E31" s="51" t="n">
        <f aca="false">-SUMIF(Monthly!$C$5:$BJ$5,E$26,Monthly!$C$25:$BJ$25)</f>
        <v>53414.681214</v>
      </c>
      <c r="F31" s="51" t="n">
        <f aca="false">-SUMIF(Monthly!$C$5:$BJ$5,F$26,Monthly!$C$25:$BJ$25)</f>
        <v>55017.12165042</v>
      </c>
    </row>
    <row r="32" customFormat="false" ht="15" hidden="false" customHeight="false" outlineLevel="0" collapsed="false">
      <c r="A32" s="4" t="s">
        <v>130</v>
      </c>
      <c r="B32" s="58" t="n">
        <f aca="false">IF(B30&gt;0,B31/B30,"n/a")</f>
        <v>55174.6926335365</v>
      </c>
      <c r="C32" s="58" t="n">
        <f aca="false">IF(C30&gt;0,C31/C30,"n/a")</f>
        <v>56829.9334125426</v>
      </c>
      <c r="D32" s="58" t="n">
        <f aca="false">IF(D30&gt;0,D31/D30,"n/a")</f>
        <v>58534.8314149189</v>
      </c>
      <c r="E32" s="58" t="n">
        <f aca="false">IF(E30&gt;0,E31/E30,"n/a")</f>
        <v>60290.8763573665</v>
      </c>
      <c r="F32" s="58" t="n">
        <f aca="false">IF(F30&gt;0,F31/F30,"n/a")</f>
        <v>62099.6026480875</v>
      </c>
    </row>
    <row r="33" customFormat="false" ht="15" hidden="false" customHeight="false" outlineLevel="0" collapsed="false">
      <c r="A33" s="38" t="s">
        <v>131</v>
      </c>
      <c r="B33" s="59" t="n">
        <f aca="false">IF(AND(ISNUMBER(B32),B28&gt;0),(B28-B32)/B28,"n/a")</f>
        <v>0.719426938044564</v>
      </c>
      <c r="C33" s="59" t="n">
        <f aca="false">IF(AND(ISNUMBER(C32),C28&gt;0),(C28-C32)/C28,"n/a")</f>
        <v>0.719426938044564</v>
      </c>
      <c r="D33" s="59" t="n">
        <f aca="false">IF(AND(ISNUMBER(D32),D28&gt;0),(D28-D32)/D28,"n/a")</f>
        <v>0.719426938044564</v>
      </c>
      <c r="E33" s="59" t="n">
        <f aca="false">IF(AND(ISNUMBER(E32),E28&gt;0),(E28-E32)/E28,"n/a")</f>
        <v>0.719426938044564</v>
      </c>
      <c r="F33" s="59" t="n">
        <f aca="false">IF(AND(ISNUMBER(F32),F28&gt;0),(F28-F32)/F28,"n/a")</f>
        <v>0.719426938044564</v>
      </c>
    </row>
    <row r="35" customFormat="false" ht="15" hidden="false" customHeight="false" outlineLevel="0" collapsed="false">
      <c r="A35" s="3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134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136</v>
      </c>
      <c r="B6" s="60" t="n">
        <f aca="false">Inputs!$E$52</f>
        <v>0.2</v>
      </c>
    </row>
    <row r="7" customFormat="false" ht="15" hidden="false" customHeight="false" outlineLevel="0" collapsed="false">
      <c r="A7" s="38" t="s">
        <v>137</v>
      </c>
      <c r="B7" s="60" t="n">
        <f aca="false">Inputs!$E$53</f>
        <v>0.02</v>
      </c>
    </row>
    <row r="8" customFormat="false" ht="15" hidden="false" customHeight="false" outlineLevel="0" collapsed="false">
      <c r="A8" s="6" t="s">
        <v>138</v>
      </c>
      <c r="B8" s="61" t="n">
        <f aca="false">Inputs!$E$54</f>
        <v>4.5</v>
      </c>
    </row>
    <row r="9" customFormat="false" ht="15" hidden="false" customHeight="false" outlineLevel="0" collapsed="false">
      <c r="A9" s="38" t="s">
        <v>139</v>
      </c>
      <c r="B9" s="60" t="n">
        <f aca="false">Inputs!$E$46</f>
        <v>0.21</v>
      </c>
    </row>
    <row r="10" customFormat="false" ht="15" hidden="false" customHeight="false" outlineLevel="0" collapsed="false">
      <c r="A10" s="38" t="s">
        <v>140</v>
      </c>
      <c r="B10" s="60" t="n">
        <f aca="false">Inputs!$E$55</f>
        <v>0.01</v>
      </c>
    </row>
    <row r="11" customFormat="false" ht="15" hidden="false" customHeight="false" outlineLevel="0" collapsed="false">
      <c r="A11" s="38" t="s">
        <v>141</v>
      </c>
      <c r="B11" s="60" t="n">
        <f aca="false">Inputs!$E$56</f>
        <v>0.005</v>
      </c>
    </row>
    <row r="13" customFormat="false" ht="15.75" hidden="false" customHeight="true" outlineLevel="0" collapsed="false">
      <c r="A13" s="7" t="s">
        <v>142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56" t="s">
        <v>122</v>
      </c>
      <c r="B14" s="56" t="n">
        <v>1</v>
      </c>
      <c r="C14" s="56" t="n">
        <v>2</v>
      </c>
      <c r="D14" s="56" t="n">
        <v>3</v>
      </c>
      <c r="E14" s="56" t="n">
        <v>4</v>
      </c>
      <c r="F14" s="56" t="n">
        <v>5</v>
      </c>
    </row>
    <row r="15" customFormat="false" ht="15" hidden="false" customHeight="false" outlineLevel="0" collapsed="false">
      <c r="A15" s="33"/>
      <c r="B15" s="57" t="s">
        <v>123</v>
      </c>
      <c r="C15" s="57" t="s">
        <v>124</v>
      </c>
      <c r="D15" s="57" t="s">
        <v>125</v>
      </c>
      <c r="E15" s="57" t="s">
        <v>126</v>
      </c>
      <c r="F15" s="57" t="s">
        <v>127</v>
      </c>
    </row>
    <row r="16" customFormat="false" ht="15" hidden="false" customHeight="false" outlineLevel="0" collapsed="false">
      <c r="A16" s="6" t="s">
        <v>47</v>
      </c>
      <c r="B16" s="51" t="n">
        <f aca="false">SUMIF(Monthly!$C$5:$BJ$5,B$14,Monthly!$C$26:$BJ$26)</f>
        <v>125340</v>
      </c>
      <c r="C16" s="51" t="n">
        <f aca="false">SUMIF(Monthly!$C$5:$BJ$5,C$14,Monthly!$C$26:$BJ$26)</f>
        <v>129100.2</v>
      </c>
      <c r="D16" s="51" t="n">
        <f aca="false">SUMIF(Monthly!$C$5:$BJ$5,D$14,Monthly!$C$26:$BJ$26)</f>
        <v>132973.206</v>
      </c>
      <c r="E16" s="51" t="n">
        <f aca="false">SUMIF(Monthly!$C$5:$BJ$5,E$14,Monthly!$C$26:$BJ$26)</f>
        <v>136962.40218</v>
      </c>
      <c r="F16" s="51" t="n">
        <f aca="false">SUMIF(Monthly!$C$5:$BJ$5,F$14,Monthly!$C$26:$BJ$26)</f>
        <v>141071.2742454</v>
      </c>
    </row>
    <row r="17" customFormat="false" ht="15" hidden="false" customHeight="false" outlineLevel="0" collapsed="false">
      <c r="A17" s="4" t="s">
        <v>143</v>
      </c>
      <c r="B17" s="58" t="n">
        <f aca="false">SUMIF(Monthly!$C$5:$BJ$5,B$14,Monthly!$C$80:$BJ$80)</f>
        <v>-1799022.56884865</v>
      </c>
      <c r="C17" s="58" t="n">
        <f aca="false">SUMIF(Monthly!$C$5:$BJ$5,C$14,Monthly!$C$80:$BJ$80)</f>
        <v>109414.803635962</v>
      </c>
      <c r="D17" s="58" t="n">
        <f aca="false">SUMIF(Monthly!$C$5:$BJ$5,D$14,Monthly!$C$80:$BJ$80)</f>
        <v>113381.771572274</v>
      </c>
      <c r="E17" s="58" t="n">
        <f aca="false">SUMIF(Monthly!$C$5:$BJ$5,E$14,Monthly!$C$80:$BJ$80)</f>
        <v>117475.189904097</v>
      </c>
      <c r="F17" s="58" t="n">
        <f aca="false">SUMIF(Monthly!$C$5:$BJ$5,F$14,Monthly!$C$80:$BJ$80)</f>
        <v>121496.497686969</v>
      </c>
    </row>
    <row r="18" customFormat="false" ht="15" hidden="false" customHeight="false" outlineLevel="0" collapsed="false">
      <c r="A18" s="6" t="s">
        <v>144</v>
      </c>
      <c r="B18" s="62" t="n">
        <f aca="false">1/(1+Inputs!$E$52)^B$14</f>
        <v>0.833333333333333</v>
      </c>
      <c r="C18" s="62" t="n">
        <f aca="false">1/(1+Inputs!$E$52)^C$14</f>
        <v>0.694444444444444</v>
      </c>
      <c r="D18" s="62" t="n">
        <f aca="false">1/(1+Inputs!$E$52)^D$14</f>
        <v>0.578703703703704</v>
      </c>
      <c r="E18" s="62" t="n">
        <f aca="false">1/(1+Inputs!$E$52)^E$14</f>
        <v>0.482253086419753</v>
      </c>
      <c r="F18" s="62" t="n">
        <f aca="false">1/(1+Inputs!$E$52)^F$14</f>
        <v>0.401877572016461</v>
      </c>
    </row>
    <row r="19" customFormat="false" ht="15" hidden="false" customHeight="false" outlineLevel="0" collapsed="false">
      <c r="A19" s="6" t="s">
        <v>145</v>
      </c>
      <c r="B19" s="51" t="n">
        <f aca="false">B17*B18</f>
        <v>-1499185.47404054</v>
      </c>
      <c r="C19" s="51" t="n">
        <f aca="false">C17*C18</f>
        <v>75982.5025249739</v>
      </c>
      <c r="D19" s="51" t="n">
        <f aca="false">D17*D18</f>
        <v>65614.4511413624</v>
      </c>
      <c r="E19" s="51" t="n">
        <f aca="false">E17*E18</f>
        <v>56652.7729089972</v>
      </c>
      <c r="F19" s="51" t="n">
        <f aca="false">F17*F18</f>
        <v>48826.7174989427</v>
      </c>
    </row>
    <row r="21" customFormat="false" ht="15.75" hidden="false" customHeight="true" outlineLevel="0" collapsed="false">
      <c r="A21" s="7" t="s">
        <v>146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7" t="s">
        <v>147</v>
      </c>
      <c r="C22" s="57" t="s">
        <v>148</v>
      </c>
    </row>
    <row r="23" customFormat="false" ht="15" hidden="false" customHeight="false" outlineLevel="0" collapsed="false">
      <c r="A23" s="6" t="s">
        <v>149</v>
      </c>
      <c r="B23" s="51" t="n">
        <f aca="false">SUM($B$19:$F$19)</f>
        <v>-1252109.02996626</v>
      </c>
      <c r="C23" s="51" t="n">
        <f aca="false">B23</f>
        <v>-1252109.02996626</v>
      </c>
    </row>
    <row r="24" customFormat="false" ht="15" hidden="false" customHeight="false" outlineLevel="0" collapsed="false">
      <c r="A24" s="6" t="s">
        <v>150</v>
      </c>
      <c r="B24" s="51" t="n">
        <f aca="false">$F$17</f>
        <v>121496.497686969</v>
      </c>
      <c r="C24" s="51" t="n">
        <f aca="false">$F$16</f>
        <v>141071.2742454</v>
      </c>
    </row>
    <row r="25" customFormat="false" ht="15" hidden="false" customHeight="false" outlineLevel="0" collapsed="false">
      <c r="A25" s="6" t="s">
        <v>151</v>
      </c>
      <c r="B25" s="51" t="n">
        <f aca="false">IF($B$6&gt;$B$7,B24*(1+$B$7)/($B$6-$B$7),0)</f>
        <v>688480.153559491</v>
      </c>
      <c r="C25" s="51" t="n">
        <f aca="false">C24*$B$8</f>
        <v>634820.7341043</v>
      </c>
    </row>
    <row r="26" customFormat="false" ht="15" hidden="false" customHeight="false" outlineLevel="0" collapsed="false">
      <c r="A26" s="6" t="s">
        <v>152</v>
      </c>
      <c r="B26" s="51" t="n">
        <f aca="false">B25/(1+$B$6)^$F$14</f>
        <v>276684.732494008</v>
      </c>
      <c r="C26" s="51" t="n">
        <f aca="false">C25/(1+$B$6)^$F$14</f>
        <v>255120.215287544</v>
      </c>
    </row>
    <row r="27" customFormat="false" ht="15" hidden="false" customHeight="false" outlineLevel="0" collapsed="false">
      <c r="A27" s="4" t="s">
        <v>146</v>
      </c>
      <c r="B27" s="52" t="n">
        <f aca="false">B23+B26</f>
        <v>-975424.297472256</v>
      </c>
      <c r="C27" s="52" t="n">
        <f aca="false">C23+C26</f>
        <v>-996988.814678721</v>
      </c>
    </row>
    <row r="28" customFormat="false" ht="15" hidden="false" customHeight="false" outlineLevel="0" collapsed="false">
      <c r="A28" s="38" t="s">
        <v>153</v>
      </c>
      <c r="B28" s="59" t="n">
        <f aca="false">IF(B27&lt;&gt;0,B26/B27,0)</f>
        <v>-0.283655772376204</v>
      </c>
      <c r="C28" s="59" t="n">
        <f aca="false">IF(C27&lt;&gt;0,C26/C27,0)</f>
        <v>-0.255890749757063</v>
      </c>
    </row>
    <row r="29" customFormat="false" ht="15" hidden="false" customHeight="false" outlineLevel="0" collapsed="false">
      <c r="A29" s="6" t="s">
        <v>154</v>
      </c>
      <c r="B29" s="63" t="n">
        <f aca="false">IF(C24&gt;0,B25/C24,"n/a")</f>
        <v>4.88037098439933</v>
      </c>
      <c r="C29" s="59" t="n">
        <f aca="false">IF(C25+B24&lt;&gt;0,(C25*$B$6-B24)/(C25+B24),"n/a")</f>
        <v>0.00722930657145207</v>
      </c>
    </row>
    <row r="30" customFormat="false" ht="15" hidden="false" customHeight="false" outlineLevel="0" collapsed="false">
      <c r="A30" s="54" t="s">
        <v>155</v>
      </c>
      <c r="B30" s="55" t="n">
        <f aca="false">AVERAGE(B27,C27)</f>
        <v>-986206.556075488</v>
      </c>
    </row>
    <row r="32" customFormat="false" ht="15.75" hidden="false" customHeight="true" outlineLevel="0" collapsed="false">
      <c r="A32" s="7" t="s">
        <v>156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157</v>
      </c>
      <c r="B33" s="64" t="n">
        <f aca="false">$B$7+(-2)*$B$11</f>
        <v>0.01</v>
      </c>
      <c r="C33" s="64" t="n">
        <f aca="false">$B$7+(-1)*$B$11</f>
        <v>0.015</v>
      </c>
      <c r="D33" s="64" t="n">
        <f aca="false">$B$7+(0)*$B$11</f>
        <v>0.02</v>
      </c>
      <c r="E33" s="64" t="n">
        <f aca="false">$B$7+(1)*$B$11</f>
        <v>0.025</v>
      </c>
      <c r="F33" s="64" t="n">
        <f aca="false">$B$7+(2)*$B$11</f>
        <v>0.03</v>
      </c>
    </row>
    <row r="34" customFormat="false" ht="15" hidden="false" customHeight="false" outlineLevel="0" collapsed="false">
      <c r="A34" s="59" t="n">
        <f aca="false">$B$6+(-2)*$B$10</f>
        <v>0.18</v>
      </c>
      <c r="B34" s="51" t="n">
        <f aca="false">IF($A34&gt;B$33,SUMPRODUCT($B$17:$F$17/(1+$A34)^$B$14:$F$14)+$F$17*(1+B$33)/($A34-B$33)/(1+$A34)^$F$14,"n/a")</f>
        <v>-947788.629413026</v>
      </c>
      <c r="C34" s="51" t="n">
        <f aca="false">IF($A34&gt;C$33,SUMPRODUCT($B$17:$F$17/(1+$A34)^$B$14:$F$14)+$F$17*(1+C$33)/($A34-C$33)/(1+$A34)^$F$14,"n/a")</f>
        <v>-936618.12283961</v>
      </c>
      <c r="D34" s="51" t="n">
        <f aca="false">IF($A34&gt;D$33,SUMPRODUCT($B$17:$F$17/(1+$A34)^$B$14:$F$14)+$F$17*(1+D$33)/($A34-D$33)/(1+$A34)^$F$14,"n/a")</f>
        <v>-924749.459605356</v>
      </c>
      <c r="E34" s="51" t="n">
        <f aca="false">IF($A34&gt;E$33,SUMPRODUCT($B$17:$F$17/(1+$A34)^$B$14:$F$14)+$F$17*(1+E$33)/($A34-E$33)/(1+$A34)^$F$14,"n/a")</f>
        <v>-912115.07616244</v>
      </c>
      <c r="F34" s="51" t="n">
        <f aca="false">IF($A34&gt;F$33,SUMPRODUCT($B$17:$F$17/(1+$A34)^$B$14:$F$14)+$F$17*(1+F$33)/($A34-F$33)/(1+$A34)^$F$14,"n/a")</f>
        <v>-898638.400489996</v>
      </c>
    </row>
    <row r="35" customFormat="false" ht="15" hidden="false" customHeight="false" outlineLevel="0" collapsed="false">
      <c r="A35" s="59" t="n">
        <f aca="false">$B$6+(-1)*$B$10</f>
        <v>0.19</v>
      </c>
      <c r="B35" s="51" t="n">
        <f aca="false">IF($A35&gt;B$33,SUMPRODUCT($B$17:$F$17/(1+$A35)^$B$14:$F$14)+$F$17*(1+B$33)/($A35-B$33)/(1+$A35)^$F$14,"n/a")</f>
        <v>-972063.339293628</v>
      </c>
      <c r="C35" s="51" t="n">
        <f aca="false">IF($A35&gt;C$33,SUMPRODUCT($B$17:$F$17/(1+$A35)^$B$14:$F$14)+$F$17*(1+C$33)/($A35-C$33)/(1+$A35)^$F$14,"n/a")</f>
        <v>-962446.433452042</v>
      </c>
      <c r="D35" s="51" t="n">
        <f aca="false">IF($A35&gt;D$33,SUMPRODUCT($B$17:$F$17/(1+$A35)^$B$14:$F$14)+$F$17*(1+D$33)/($A35-D$33)/(1+$A35)^$F$14,"n/a")</f>
        <v>-952263.827266833</v>
      </c>
      <c r="E35" s="51" t="n">
        <f aca="false">IF($A35&gt;E$33,SUMPRODUCT($B$17:$F$17/(1+$A35)^$B$14:$F$14)+$F$17*(1+E$33)/($A35-E$33)/(1+$A35)^$F$14,"n/a")</f>
        <v>-941464.093434036</v>
      </c>
      <c r="F35" s="51" t="n">
        <f aca="false">IF($A35&gt;F$33,SUMPRODUCT($B$17:$F$17/(1+$A35)^$B$14:$F$14)+$F$17*(1+F$33)/($A35-F$33)/(1+$A35)^$F$14,"n/a")</f>
        <v>-929989.376236688</v>
      </c>
    </row>
    <row r="36" customFormat="false" ht="15" hidden="false" customHeight="false" outlineLevel="0" collapsed="false">
      <c r="A36" s="59" t="n">
        <f aca="false">$B$6+(0)*$B$10</f>
        <v>0.2</v>
      </c>
      <c r="B36" s="51" t="n">
        <f aca="false">IF($A36&gt;B$33,SUMPRODUCT($B$17:$F$17/(1+$A36)^$B$14:$F$14)+$F$17*(1+B$33)/($A36-B$33)/(1+$A36)^$F$14,"n/a")</f>
        <v>-992556.479050832</v>
      </c>
      <c r="C36" s="51" t="n">
        <f aca="false">IF($A36&gt;C$33,SUMPRODUCT($B$17:$F$17/(1+$A36)^$B$14:$F$14)+$F$17*(1+C$33)/($A36-C$33)/(1+$A36)^$F$14,"n/a")</f>
        <v>-984221.904228822</v>
      </c>
      <c r="D36" s="51" t="n">
        <f aca="false">IF($A36&gt;D$33,SUMPRODUCT($B$17:$F$17/(1+$A36)^$B$14:$F$14)+$F$17*(1+D$33)/($A36-D$33)/(1+$A36)^$F$14,"n/a")</f>
        <v>-975424.297472256</v>
      </c>
      <c r="E36" s="51" t="n">
        <f aca="false">IF($A36&gt;E$33,SUMPRODUCT($B$17:$F$17/(1+$A36)^$B$14:$F$14)+$F$17*(1+E$33)/($A36-E$33)/(1+$A36)^$F$14,"n/a")</f>
        <v>-966123.9703296</v>
      </c>
      <c r="F36" s="51" t="n">
        <f aca="false">IF($A36&gt;F$33,SUMPRODUCT($B$17:$F$17/(1+$A36)^$B$14:$F$14)+$F$17*(1+F$33)/($A36-F$33)/(1+$A36)^$F$14,"n/a")</f>
        <v>-956276.565119729</v>
      </c>
    </row>
    <row r="37" customFormat="false" ht="15" hidden="false" customHeight="false" outlineLevel="0" collapsed="false">
      <c r="A37" s="59" t="n">
        <f aca="false">$B$6+(1)*$B$10</f>
        <v>0.21</v>
      </c>
      <c r="B37" s="51" t="n">
        <f aca="false">IF($A37&gt;B$33,SUMPRODUCT($B$17:$F$17/(1+$A37)^$B$14:$F$14)+$F$17*(1+B$33)/($A37-B$33)/(1+$A37)^$F$14,"n/a")</f>
        <v>-1009864.56686498</v>
      </c>
      <c r="C37" s="51" t="n">
        <f aca="false">IF($A37&gt;C$33,SUMPRODUCT($B$17:$F$17/(1+$A37)^$B$14:$F$14)+$F$17*(1+C$33)/($A37-C$33)/(1+$A37)^$F$14,"n/a")</f>
        <v>-1002598.02675721</v>
      </c>
      <c r="D37" s="51" t="n">
        <f aca="false">IF($A37&gt;D$33,SUMPRODUCT($B$17:$F$17/(1+$A37)^$B$14:$F$14)+$F$17*(1+D$33)/($A37-D$33)/(1+$A37)^$F$14,"n/a")</f>
        <v>-994949.037170087</v>
      </c>
      <c r="E37" s="51" t="n">
        <f aca="false">IF($A37&gt;E$33,SUMPRODUCT($B$17:$F$17/(1+$A37)^$B$14:$F$14)+$F$17*(1+E$33)/($A37-E$33)/(1+$A37)^$F$14,"n/a")</f>
        <v>-986886.588686359</v>
      </c>
      <c r="F37" s="51" t="n">
        <f aca="false">IF($A37&gt;F$33,SUMPRODUCT($B$17:$F$17/(1+$A37)^$B$14:$F$14)+$F$17*(1+F$33)/($A37-F$33)/(1+$A37)^$F$14,"n/a")</f>
        <v>-978376.22639798</v>
      </c>
    </row>
    <row r="38" customFormat="false" ht="15" hidden="false" customHeight="false" outlineLevel="0" collapsed="false">
      <c r="A38" s="59" t="n">
        <f aca="false">$B$6+(2)*$B$10</f>
        <v>0.22</v>
      </c>
      <c r="B38" s="51" t="n">
        <f aca="false">IF($A38&gt;B$33,SUMPRODUCT($B$17:$F$17/(1+$A38)^$B$14:$F$14)+$F$17*(1+B$33)/($A38-B$33)/(1+$A38)^$F$14,"n/a")</f>
        <v>-1024469.56714038</v>
      </c>
      <c r="C38" s="51" t="n">
        <f aca="false">IF($A38&gt;C$33,SUMPRODUCT($B$17:$F$17/(1+$A38)^$B$14:$F$14)+$F$17*(1+C$33)/($A38-C$33)/(1+$A38)^$F$14,"n/a")</f>
        <v>-1018099.8333133</v>
      </c>
      <c r="D38" s="51" t="n">
        <f aca="false">IF($A38&gt;D$33,SUMPRODUCT($B$17:$F$17/(1+$A38)^$B$14:$F$14)+$F$17*(1+D$33)/($A38-D$33)/(1+$A38)^$F$14,"n/a")</f>
        <v>-1011411.61279486</v>
      </c>
      <c r="E38" s="51" t="n">
        <f aca="false">IF($A38&gt;E$33,SUMPRODUCT($B$17:$F$17/(1+$A38)^$B$14:$F$14)+$F$17*(1+E$33)/($A38-E$33)/(1+$A38)^$F$14,"n/a")</f>
        <v>-1004380.40660882</v>
      </c>
      <c r="F38" s="51" t="n">
        <f aca="false">IF($A38&gt;F$33,SUMPRODUCT($B$17:$F$17/(1+$A38)^$B$14:$F$14)+$F$17*(1+F$33)/($A38-F$33)/(1+$A38)^$F$14,"n/a")</f>
        <v>-996979.136939296</v>
      </c>
    </row>
    <row r="40" customFormat="false" ht="15" hidden="false" customHeight="false" outlineLevel="0" collapsed="false">
      <c r="A40" s="38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159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160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161</v>
      </c>
      <c r="B5" s="7"/>
      <c r="C5" s="7"/>
    </row>
    <row r="6" customFormat="false" ht="15" hidden="false" customHeight="false" outlineLevel="0" collapsed="false">
      <c r="B6" s="57" t="s">
        <v>162</v>
      </c>
      <c r="C6" s="57" t="s">
        <v>163</v>
      </c>
    </row>
    <row r="7" customFormat="false" ht="15" hidden="false" customHeight="false" outlineLevel="0" collapsed="false">
      <c r="A7" s="6" t="s">
        <v>164</v>
      </c>
      <c r="B7" s="65" t="n">
        <f aca="false">Inputs!$E$34</f>
        <v>760000</v>
      </c>
      <c r="C7" s="59" t="n">
        <f aca="false">IF($B$9=0,0,B7/$B$9)</f>
        <v>0.387755102040816</v>
      </c>
    </row>
    <row r="8" customFormat="false" ht="15" hidden="false" customHeight="false" outlineLevel="0" collapsed="false">
      <c r="A8" s="6" t="s">
        <v>165</v>
      </c>
      <c r="B8" s="65" t="n">
        <f aca="false">Inputs!$E$35</f>
        <v>1200000</v>
      </c>
      <c r="C8" s="59" t="n">
        <f aca="false">IF($B$9=0,0,B8/$B$9)</f>
        <v>0.612244897959184</v>
      </c>
    </row>
    <row r="9" customFormat="false" ht="15" hidden="false" customHeight="false" outlineLevel="0" collapsed="false">
      <c r="A9" s="4" t="s">
        <v>166</v>
      </c>
      <c r="B9" s="66" t="n">
        <f aca="false">B7+B8</f>
        <v>1960000</v>
      </c>
      <c r="C9" s="67" t="n">
        <f aca="false">IF(B9=0,0,1)</f>
        <v>1</v>
      </c>
    </row>
    <row r="10" customFormat="false" ht="15" hidden="false" customHeight="false" outlineLevel="0" collapsed="false">
      <c r="A10" s="6" t="s">
        <v>167</v>
      </c>
      <c r="B10" s="63" t="n">
        <f aca="false">IF(B7&lt;=0,IF(B8&gt;0,"n/a",0),B8/B7)</f>
        <v>1.57894736842105</v>
      </c>
      <c r="D10" s="18" t="s">
        <v>168</v>
      </c>
    </row>
    <row r="11" customFormat="false" ht="15" hidden="false" customHeight="false" outlineLevel="0" collapsed="false">
      <c r="A11" s="6" t="s">
        <v>169</v>
      </c>
      <c r="B11" s="65" t="n">
        <f aca="false">'Break-even'!B12</f>
        <v>1913996.98294858</v>
      </c>
    </row>
    <row r="12" customFormat="false" ht="15" hidden="false" customHeight="false" outlineLevel="0" collapsed="false">
      <c r="A12" s="54" t="s">
        <v>65</v>
      </c>
      <c r="B12" s="68" t="n">
        <f aca="false">'Break-even'!B17</f>
        <v>46003.0170514176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170</v>
      </c>
      <c r="B15" s="69" t="n">
        <v>12</v>
      </c>
      <c r="D15" s="18" t="s">
        <v>171</v>
      </c>
    </row>
    <row r="16" customFormat="false" ht="15" hidden="false" customHeight="false" outlineLevel="0" collapsed="false">
      <c r="A16" s="6" t="s">
        <v>172</v>
      </c>
      <c r="B16" s="50" t="n">
        <f aca="false">MIN(60,MAX(1,ROUND(B15,0)))</f>
        <v>12</v>
      </c>
    </row>
    <row r="17" customFormat="false" ht="15" hidden="false" customHeight="false" outlineLevel="0" collapsed="false">
      <c r="A17" s="33" t="s">
        <v>173</v>
      </c>
      <c r="B17" s="57" t="s">
        <v>162</v>
      </c>
      <c r="C17" s="57" t="s">
        <v>163</v>
      </c>
    </row>
    <row r="18" customFormat="false" ht="15" hidden="false" customHeight="false" outlineLevel="0" collapsed="false">
      <c r="A18" s="6" t="s">
        <v>62</v>
      </c>
      <c r="B18" s="70" t="n">
        <f aca="false">SUMPRODUCT(--(Monthly!$C$4:$BJ$4&lt;=$B$16),Monthly!$C$67:$BJ$67)</f>
        <v>760000</v>
      </c>
      <c r="C18" s="59" t="n">
        <f aca="false">IF($B$21=0,0,B18/$B$21)</f>
        <v>0.378359921311033</v>
      </c>
    </row>
    <row r="19" customFormat="false" ht="15" hidden="false" customHeight="false" outlineLevel="0" collapsed="false">
      <c r="A19" s="6" t="s">
        <v>174</v>
      </c>
      <c r="B19" s="70" t="n">
        <f aca="false">SUMPRODUCT(--(Monthly!$C$4:$BJ$4&lt;=$B$16),Monthly!$C$50:$BJ$50)</f>
        <v>1200000</v>
      </c>
      <c r="C19" s="59" t="n">
        <f aca="false">IF($B$21=0,0,B19/$B$21)</f>
        <v>0.597410402070052</v>
      </c>
    </row>
    <row r="20" customFormat="false" ht="15" hidden="false" customHeight="false" outlineLevel="0" collapsed="false">
      <c r="A20" s="6" t="s">
        <v>175</v>
      </c>
      <c r="B20" s="70" t="n">
        <f aca="false">MAX(0,SUMPRODUCT(--(Monthly!$C$4:$BJ$4&lt;=$B$16),Monthly!$C$65:$BJ$65))</f>
        <v>48669.4102445331</v>
      </c>
      <c r="C20" s="59" t="n">
        <f aca="false">IF($B$21=0,0,B20/$B$21)</f>
        <v>0.0242296766189157</v>
      </c>
    </row>
    <row r="21" customFormat="false" ht="15" hidden="false" customHeight="false" outlineLevel="0" collapsed="false">
      <c r="A21" s="4" t="s">
        <v>176</v>
      </c>
      <c r="B21" s="66" t="n">
        <f aca="false">SUM(B18:B20)</f>
        <v>2008669.41024453</v>
      </c>
      <c r="C21" s="67" t="n">
        <f aca="false">IF(B21=0,0,1)</f>
        <v>1</v>
      </c>
    </row>
    <row r="23" customFormat="false" ht="15" hidden="false" customHeight="false" outlineLevel="0" collapsed="false">
      <c r="A23" s="33" t="s">
        <v>177</v>
      </c>
      <c r="B23" s="57" t="s">
        <v>162</v>
      </c>
      <c r="C23" s="57" t="s">
        <v>163</v>
      </c>
    </row>
    <row r="24" customFormat="false" ht="15" hidden="false" customHeight="false" outlineLevel="0" collapsed="false">
      <c r="A24" s="6" t="s">
        <v>178</v>
      </c>
      <c r="B24" s="70" t="n">
        <f aca="false">MAX(0,-SUMPRODUCT(--(Monthly!$C$4:$BJ$4&lt;=$B$16),Monthly!$C$65:$BJ$65))</f>
        <v>0</v>
      </c>
      <c r="C24" s="59" t="n">
        <f aca="false">IF($B$28=0,0,B24/$B$28)</f>
        <v>0</v>
      </c>
    </row>
    <row r="25" customFormat="false" ht="15" hidden="false" customHeight="false" outlineLevel="0" collapsed="false">
      <c r="A25" s="6" t="s">
        <v>82</v>
      </c>
      <c r="B25" s="70" t="n">
        <f aca="false">-SUMPRODUCT(--(Monthly!$C$4:$BJ$4&lt;=$B$16),Monthly!$C$66:$BJ$66)</f>
        <v>1909000</v>
      </c>
      <c r="C25" s="59" t="n">
        <f aca="false">IF($B$28=0,0,B25/$B$28)</f>
        <v>0.950380381293107</v>
      </c>
    </row>
    <row r="26" customFormat="false" ht="15" hidden="false" customHeight="false" outlineLevel="0" collapsed="false">
      <c r="A26" s="6" t="s">
        <v>179</v>
      </c>
      <c r="B26" s="70" t="n">
        <f aca="false">-SUMPRODUCT(--(Monthly!$C$4:$BJ$4&lt;=$B$16),Monthly!$C$52:$BJ$52)</f>
        <v>13412.7056275198</v>
      </c>
      <c r="C26" s="59" t="n">
        <f aca="false">IF($B$28=0,0,B26/$B$28)</f>
        <v>0.00667740821815323</v>
      </c>
    </row>
    <row r="27" customFormat="false" ht="15" hidden="false" customHeight="false" outlineLevel="0" collapsed="false">
      <c r="A27" s="6" t="s">
        <v>180</v>
      </c>
      <c r="B27" s="70" t="n">
        <f aca="false">INDEX(Monthly!$C$71:$BJ$71,$B$16)</f>
        <v>86256.7046170131</v>
      </c>
      <c r="C27" s="59" t="n">
        <f aca="false">IF($B$28=0,0,B27/$B$28)</f>
        <v>0.0429422104887396</v>
      </c>
    </row>
    <row r="28" customFormat="false" ht="15" hidden="false" customHeight="false" outlineLevel="0" collapsed="false">
      <c r="A28" s="4" t="s">
        <v>181</v>
      </c>
      <c r="B28" s="66" t="n">
        <f aca="false">SUM(B24:B27)</f>
        <v>2008669.41024453</v>
      </c>
      <c r="C28" s="67" t="n">
        <f aca="false">IF(B28=0,0,1)</f>
        <v>1</v>
      </c>
    </row>
    <row r="29" customFormat="false" ht="15" hidden="false" customHeight="false" outlineLevel="0" collapsed="false">
      <c r="A29" s="6" t="s">
        <v>182</v>
      </c>
      <c r="B29" s="70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183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184</v>
      </c>
    </row>
    <row r="4" customFormat="false" ht="15.75" hidden="false" customHeight="true" outlineLevel="0" collapsed="false">
      <c r="A4" s="7" t="s">
        <v>185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7" t="s">
        <v>186</v>
      </c>
    </row>
    <row r="6" customFormat="false" ht="15" hidden="false" customHeight="false" outlineLevel="0" collapsed="false">
      <c r="A6" s="38" t="s">
        <v>187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0.03</v>
      </c>
      <c r="D6" s="39" t="n">
        <f aca="false">IF(N('P&amp;L'!C5)&lt;=0,"n/a",'P&amp;L'!D5/'P&amp;L'!C5-1)</f>
        <v>0.03</v>
      </c>
      <c r="E6" s="39" t="n">
        <f aca="false">IF(N('P&amp;L'!D5)&lt;=0,"n/a",'P&amp;L'!E5/'P&amp;L'!D5-1)</f>
        <v>0.03</v>
      </c>
      <c r="F6" s="39" t="n">
        <f aca="false">IF(N('P&amp;L'!E5)&lt;=0,"n/a",'P&amp;L'!F5/'P&amp;L'!E5-1)</f>
        <v>0.0300000000000003</v>
      </c>
      <c r="G6" s="71"/>
    </row>
    <row r="7" customFormat="false" ht="15" hidden="false" customHeight="false" outlineLevel="0" collapsed="false">
      <c r="A7" s="38" t="s">
        <v>45</v>
      </c>
      <c r="B7" s="39" t="n">
        <f aca="false">IF('P&amp;L'!B5&lt;=0,"n/a",'P&amp;L'!B7/'P&amp;L'!B5)</f>
        <v>0.885949656750572</v>
      </c>
      <c r="C7" s="39" t="n">
        <f aca="false">IF('P&amp;L'!C5&lt;=0,"n/a",'P&amp;L'!C7/'P&amp;L'!C5)</f>
        <v>0.885949656750572</v>
      </c>
      <c r="D7" s="39" t="n">
        <f aca="false">IF('P&amp;L'!D5&lt;=0,"n/a",'P&amp;L'!D7/'P&amp;L'!D5)</f>
        <v>0.885949656750572</v>
      </c>
      <c r="E7" s="39" t="n">
        <f aca="false">IF('P&amp;L'!E5&lt;=0,"n/a",'P&amp;L'!E7/'P&amp;L'!E5)</f>
        <v>0.885949656750572</v>
      </c>
      <c r="F7" s="39" t="n">
        <f aca="false">IF('P&amp;L'!F5&lt;=0,"n/a",'P&amp;L'!F7/'P&amp;L'!F5)</f>
        <v>0.885949656750572</v>
      </c>
      <c r="G7" s="71"/>
    </row>
    <row r="8" customFormat="false" ht="15" hidden="false" customHeight="false" outlineLevel="0" collapsed="false">
      <c r="A8" s="38" t="s">
        <v>48</v>
      </c>
      <c r="B8" s="39" t="n">
        <f aca="false">IF('P&amp;L'!B5&lt;=0,"n/a",'P&amp;L'!B14/'P&amp;L'!B5)</f>
        <v>0.637376048817696</v>
      </c>
      <c r="C8" s="39" t="n">
        <f aca="false">IF('P&amp;L'!C5&lt;=0,"n/a",'P&amp;L'!C14/'P&amp;L'!C5)</f>
        <v>0.637376048817697</v>
      </c>
      <c r="D8" s="39" t="n">
        <f aca="false">IF('P&amp;L'!D5&lt;=0,"n/a",'P&amp;L'!D14/'P&amp;L'!D5)</f>
        <v>0.637376048817697</v>
      </c>
      <c r="E8" s="39" t="n">
        <f aca="false">IF('P&amp;L'!E5&lt;=0,"n/a",'P&amp;L'!E14/'P&amp;L'!E5)</f>
        <v>0.637376048817696</v>
      </c>
      <c r="F8" s="39" t="n">
        <f aca="false">IF('P&amp;L'!F5&lt;=0,"n/a",'P&amp;L'!F14/'P&amp;L'!F5)</f>
        <v>0.637376048817696</v>
      </c>
      <c r="G8" s="71"/>
    </row>
    <row r="9" customFormat="false" ht="15" hidden="false" customHeight="false" outlineLevel="0" collapsed="false">
      <c r="A9" s="38" t="s">
        <v>50</v>
      </c>
      <c r="B9" s="39" t="n">
        <f aca="false">IF('P&amp;L'!B5&lt;=0,"n/a",'P&amp;L'!B21/'P&amp;L'!B5)</f>
        <v>-0.0468124900850244</v>
      </c>
      <c r="C9" s="39" t="n">
        <f aca="false">IF('P&amp;L'!C5&lt;=0,"n/a",'P&amp;L'!C21/'P&amp;L'!C5)</f>
        <v>-0.0231002226620715</v>
      </c>
      <c r="D9" s="39" t="n">
        <f aca="false">IF('P&amp;L'!D5&lt;=0,"n/a",'P&amp;L'!D21/'P&amp;L'!D5)</f>
        <v>8.05846281586036E-005</v>
      </c>
      <c r="E9" s="39" t="n">
        <f aca="false">IF('P&amp;L'!E5&lt;=0,"n/a",'P&amp;L'!E21/'P&amp;L'!E5)</f>
        <v>0.0227511252761191</v>
      </c>
      <c r="F9" s="39" t="n">
        <f aca="false">IF('P&amp;L'!F5&lt;=0,"n/a",'P&amp;L'!F21/'P&amp;L'!F5)</f>
        <v>0.0440156685089506</v>
      </c>
      <c r="G9" s="71"/>
    </row>
    <row r="10" customFormat="false" ht="15" hidden="false" customHeight="false" outlineLevel="0" collapsed="false">
      <c r="A10" s="38" t="s">
        <v>188</v>
      </c>
      <c r="B10" s="39" t="n">
        <f aca="false">IF('P&amp;L'!B5&lt;=0,"n/a",-SUMIF(Headcount!$C$5:$BJ$5,B$5,Headcount!$C$7:$BJ$7)/'P&amp;L'!B5)</f>
        <v>-0</v>
      </c>
      <c r="C10" s="39" t="n">
        <f aca="false">IF('P&amp;L'!C5&lt;=0,"n/a",-SUMIF(Headcount!$C$5:$BJ$5,C$5,Headcount!$C$7:$BJ$7)/'P&amp;L'!C5)</f>
        <v>-0</v>
      </c>
      <c r="D10" s="39" t="n">
        <f aca="false">IF('P&amp;L'!D5&lt;=0,"n/a",-SUMIF(Headcount!$C$5:$BJ$5,D$5,Headcount!$C$7:$BJ$7)/'P&amp;L'!D5)</f>
        <v>-0</v>
      </c>
      <c r="E10" s="39" t="n">
        <f aca="false">IF('P&amp;L'!E5&lt;=0,"n/a",-SUMIF(Headcount!$C$5:$BJ$5,E$5,Headcount!$C$7:$BJ$7)/'P&amp;L'!E5)</f>
        <v>-0</v>
      </c>
      <c r="F10" s="39" t="n">
        <f aca="false">IF('P&amp;L'!F5&lt;=0,"n/a",-SUMIF(Headcount!$C$5:$BJ$5,F$5,Headcount!$C$7:$BJ$7)/'P&amp;L'!F5)</f>
        <v>-0</v>
      </c>
      <c r="G10" s="71"/>
    </row>
    <row r="11" customFormat="false" ht="15" hidden="false" customHeight="false" outlineLevel="0" collapsed="false">
      <c r="A11" s="38" t="s">
        <v>189</v>
      </c>
      <c r="B11" s="39" t="n">
        <f aca="false">IF('P&amp;L'!B5&lt;=0,"n/a",-'P&amp;L'!B13/'P&amp;L'!B5)</f>
        <v>0.248573607932876</v>
      </c>
      <c r="C11" s="39" t="n">
        <f aca="false">IF('P&amp;L'!C5&lt;=0,"n/a",-'P&amp;L'!C13/'P&amp;L'!C5)</f>
        <v>0.248573607932876</v>
      </c>
      <c r="D11" s="39" t="n">
        <f aca="false">IF('P&amp;L'!D5&lt;=0,"n/a",-'P&amp;L'!D13/'P&amp;L'!D5)</f>
        <v>0.248573607932876</v>
      </c>
      <c r="E11" s="39" t="n">
        <f aca="false">IF('P&amp;L'!E5&lt;=0,"n/a",-'P&amp;L'!E13/'P&amp;L'!E5)</f>
        <v>0.248573607932876</v>
      </c>
      <c r="F11" s="39" t="n">
        <f aca="false">IF('P&amp;L'!F5&lt;=0,"n/a",-'P&amp;L'!F13/'P&amp;L'!F5)</f>
        <v>0.248573607932876</v>
      </c>
      <c r="G11" s="71"/>
    </row>
    <row r="12" customFormat="false" ht="15" hidden="false" customHeight="false" outlineLevel="0" collapsed="false">
      <c r="A12" s="6" t="s">
        <v>190</v>
      </c>
      <c r="B12" s="43" t="n">
        <f aca="false">IF(('Balance Sheet'!B12-'Balance Sheet'!B11)&lt;=0,"n/a",('Balance Sheet'!B5+'Balance Sheet'!B6+'Balance Sheet'!B7)/('Balance Sheet'!B12-'Balance Sheet'!B11))</f>
        <v>92.3025196543747</v>
      </c>
      <c r="C12" s="43" t="n">
        <f aca="false">IF(('Balance Sheet'!C12-'Balance Sheet'!C11)&lt;=0,"n/a",('Balance Sheet'!C5+'Balance Sheet'!C6+'Balance Sheet'!C7)/('Balance Sheet'!C12-'Balance Sheet'!C11))</f>
        <v>125.462600564174</v>
      </c>
      <c r="D12" s="43" t="n">
        <f aca="false">IF(('Balance Sheet'!D12-'Balance Sheet'!D11)&lt;=0,"n/a",('Balance Sheet'!D5+'Balance Sheet'!D6+'Balance Sheet'!D7)/('Balance Sheet'!D12-'Balance Sheet'!D11))</f>
        <v>160.411043331664</v>
      </c>
      <c r="E12" s="43" t="n">
        <f aca="false">IF(('Balance Sheet'!E12-'Balance Sheet'!E11)&lt;=0,"n/a",('Balance Sheet'!E5+'Balance Sheet'!E6+'Balance Sheet'!E7)/('Balance Sheet'!E12-'Balance Sheet'!E11))</f>
        <v>197.015540637043</v>
      </c>
      <c r="F12" s="43" t="n">
        <f aca="false">IF(('Balance Sheet'!F12-'Balance Sheet'!F11)&lt;=0,"n/a",('Balance Sheet'!F5+'Balance Sheet'!F6+'Balance Sheet'!F7)/('Balance Sheet'!F12-'Balance Sheet'!F11))</f>
        <v>234.957110508741</v>
      </c>
      <c r="G12" s="72"/>
    </row>
    <row r="13" customFormat="false" ht="15" hidden="false" customHeight="false" outlineLevel="0" collapsed="false">
      <c r="A13" s="6" t="s">
        <v>191</v>
      </c>
      <c r="B13" s="43" t="n">
        <f aca="false">IF('Balance Sheet'!B15&lt;=0,"n/a",'Balance Sheet'!B11/'Balance Sheet'!B15)</f>
        <v>1.58044254827026</v>
      </c>
      <c r="C13" s="43" t="n">
        <f aca="false">IF('Balance Sheet'!C15&lt;=0,"n/a",'Balance Sheet'!C11/'Balance Sheet'!C15)</f>
        <v>1.57117295547677</v>
      </c>
      <c r="D13" s="43" t="n">
        <f aca="false">IF('Balance Sheet'!D15&lt;=0,"n/a",'Balance Sheet'!D11/'Balance Sheet'!D15)</f>
        <v>1.55067279901005</v>
      </c>
      <c r="E13" s="43" t="n">
        <f aca="false">IF('Balance Sheet'!E15&lt;=0,"n/a",'Balance Sheet'!E11/'Balance Sheet'!E15)</f>
        <v>1.51888531390014</v>
      </c>
      <c r="F13" s="43" t="n">
        <f aca="false">IF('Balance Sheet'!F15&lt;=0,"n/a",'Balance Sheet'!F11/'Balance Sheet'!F15)</f>
        <v>1.47658543130019</v>
      </c>
      <c r="G13" s="72"/>
    </row>
    <row r="14" customFormat="false" ht="15" hidden="false" customHeight="false" outlineLevel="0" collapsed="false">
      <c r="A14" s="38" t="s">
        <v>192</v>
      </c>
      <c r="B14" s="39" t="n">
        <f aca="false">IF('Balance Sheet'!B9&lt;=0,"n/a",'P&amp;L'!B21/'Balance Sheet'!B9)</f>
        <v>-0.00474931621771883</v>
      </c>
      <c r="C14" s="39" t="n">
        <f aca="false">IF('Balance Sheet'!C9&lt;=0,"n/a",'P&amp;L'!C21/'Balance Sheet'!C9)</f>
        <v>-0.00243776706981885</v>
      </c>
      <c r="D14" s="39" t="n">
        <f aca="false">IF('Balance Sheet'!D9&lt;=0,"n/a",'P&amp;L'!D21/'Balance Sheet'!D9)</f>
        <v>8.82925163287813E-006</v>
      </c>
      <c r="E14" s="39" t="n">
        <f aca="false">IF('Balance Sheet'!E9&lt;=0,"n/a",'P&amp;L'!E21/'Balance Sheet'!E9)</f>
        <v>0.00258293587803754</v>
      </c>
      <c r="F14" s="39" t="n">
        <f aca="false">IF('Balance Sheet'!F9&lt;=0,"n/a",'P&amp;L'!F21/'Balance Sheet'!F9)</f>
        <v>0.00516779188662857</v>
      </c>
      <c r="G14" s="71"/>
    </row>
    <row r="15" customFormat="false" ht="15" hidden="false" customHeight="false" outlineLevel="0" collapsed="false">
      <c r="A15" s="38" t="s">
        <v>193</v>
      </c>
      <c r="B15" s="39" t="n">
        <f aca="false">IF('Balance Sheet'!B15&lt;=0,"n/a",'P&amp;L'!B21/'Balance Sheet'!B15)</f>
        <v>-0.0122612490306579</v>
      </c>
      <c r="C15" s="39" t="n">
        <f aca="false">IF('Balance Sheet'!C15&lt;=0,"n/a",'P&amp;L'!C21/'Balance Sheet'!C15)</f>
        <v>-0.00627106563198487</v>
      </c>
      <c r="D15" s="39" t="n">
        <f aca="false">IF('Balance Sheet'!D15&lt;=0,"n/a",'P&amp;L'!D21/'Balance Sheet'!D15)</f>
        <v>2.25322637004357E-005</v>
      </c>
      <c r="E15" s="39" t="n">
        <f aca="false">IF('Balance Sheet'!E15&lt;=0,"n/a",'P&amp;L'!E21/'Balance Sheet'!E15)</f>
        <v>0.00650963123357937</v>
      </c>
      <c r="F15" s="39" t="n">
        <f aca="false">IF('Balance Sheet'!F15&lt;=0,"n/a",'P&amp;L'!F21/'Balance Sheet'!F15)</f>
        <v>0.0128056227947238</v>
      </c>
      <c r="G15" s="71"/>
    </row>
    <row r="17" customFormat="false" ht="15.75" hidden="false" customHeight="true" outlineLevel="0" collapsed="false">
      <c r="A17" s="7" t="s">
        <v>194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33"/>
      <c r="B18" s="34" t="n">
        <v>1</v>
      </c>
      <c r="C18" s="34" t="n">
        <v>2</v>
      </c>
      <c r="D18" s="34" t="n">
        <v>3</v>
      </c>
      <c r="E18" s="34" t="n">
        <v>4</v>
      </c>
      <c r="F18" s="34" t="n">
        <v>5</v>
      </c>
    </row>
    <row r="19" customFormat="false" ht="15" hidden="false" customHeight="false" outlineLevel="0" collapsed="false">
      <c r="A19" s="49" t="s">
        <v>50</v>
      </c>
      <c r="B19" s="39" t="n">
        <f aca="false">IF('P&amp;L'!B5&lt;=0,"n/a",'P&amp;L'!B21/'P&amp;L'!B5)</f>
        <v>-0.0468124900850244</v>
      </c>
      <c r="C19" s="39" t="n">
        <f aca="false">IF('P&amp;L'!C5&lt;=0,"n/a",'P&amp;L'!C21/'P&amp;L'!C5)</f>
        <v>-0.0231002226620715</v>
      </c>
      <c r="D19" s="39" t="n">
        <f aca="false">IF('P&amp;L'!D5&lt;=0,"n/a",'P&amp;L'!D21/'P&amp;L'!D5)</f>
        <v>8.05846281586036E-005</v>
      </c>
      <c r="E19" s="39" t="n">
        <f aca="false">IF('P&amp;L'!E5&lt;=0,"n/a",'P&amp;L'!E21/'P&amp;L'!E5)</f>
        <v>0.0227511252761191</v>
      </c>
      <c r="F19" s="39" t="n">
        <f aca="false">IF('P&amp;L'!F5&lt;=0,"n/a",'P&amp;L'!F21/'P&amp;L'!F5)</f>
        <v>0.0440156685089506</v>
      </c>
    </row>
    <row r="20" customFormat="false" ht="15" hidden="false" customHeight="false" outlineLevel="0" collapsed="false">
      <c r="A20" s="49" t="s">
        <v>195</v>
      </c>
      <c r="B20" s="43" t="n">
        <f aca="false">IF('Balance Sheet'!B9&lt;=0,"n/a",'P&amp;L'!B5/'Balance Sheet'!B9)</f>
        <v>0.101454039490161</v>
      </c>
      <c r="C20" s="43" t="n">
        <f aca="false">IF('Balance Sheet'!C9&lt;=0,"n/a",'P&amp;L'!C5/'Balance Sheet'!C9)</f>
        <v>0.10553002477424</v>
      </c>
      <c r="D20" s="43" t="n">
        <f aca="false">IF('Balance Sheet'!D9&lt;=0,"n/a",'P&amp;L'!D5/'Balance Sheet'!D9)</f>
        <v>0.109564960894288</v>
      </c>
      <c r="E20" s="43" t="n">
        <f aca="false">IF('Balance Sheet'!E9&lt;=0,"n/a",'P&amp;L'!E5/'Balance Sheet'!E9)</f>
        <v>0.113530027490497</v>
      </c>
      <c r="F20" s="43" t="n">
        <f aca="false">IF('Balance Sheet'!F9&lt;=0,"n/a",'P&amp;L'!F5/'Balance Sheet'!F9)</f>
        <v>0.117408006323423</v>
      </c>
    </row>
    <row r="21" customFormat="false" ht="15" hidden="false" customHeight="false" outlineLevel="0" collapsed="false">
      <c r="A21" s="49" t="s">
        <v>196</v>
      </c>
      <c r="B21" s="43" t="n">
        <f aca="false">IF('Balance Sheet'!B15&lt;=0,"n/a",'Balance Sheet'!B9/'Balance Sheet'!B15)</f>
        <v>2.58168723002976</v>
      </c>
      <c r="C21" s="43" t="n">
        <f aca="false">IF('Balance Sheet'!C15&lt;=0,"n/a",'Balance Sheet'!C9/'Balance Sheet'!C15)</f>
        <v>2.57246301733449</v>
      </c>
      <c r="D21" s="43" t="n">
        <f aca="false">IF('Balance Sheet'!D15&lt;=0,"n/a",'Balance Sheet'!D9/'Balance Sheet'!D15)</f>
        <v>2.55200153278345</v>
      </c>
      <c r="E21" s="43" t="n">
        <f aca="false">IF('Balance Sheet'!E15&lt;=0,"n/a",'Balance Sheet'!E9/'Balance Sheet'!E15)</f>
        <v>2.52024500063286</v>
      </c>
      <c r="F21" s="43" t="n">
        <f aca="false">IF('Balance Sheet'!F15&lt;=0,"n/a",'Balance Sheet'!F9/'Balance Sheet'!F15)</f>
        <v>2.47796797465042</v>
      </c>
    </row>
    <row r="22" customFormat="false" ht="15" hidden="false" customHeight="false" outlineLevel="0" collapsed="false">
      <c r="A22" s="40" t="s">
        <v>197</v>
      </c>
      <c r="B22" s="73" t="n">
        <f aca="false">IF(AND(ISNUMBER(B19),ISNUMBER(B20),ISNUMBER(B21)),B19*B20*B21,"n/a")</f>
        <v>-0.0122612490306579</v>
      </c>
      <c r="C22" s="73" t="n">
        <f aca="false">IF(AND(ISNUMBER(C19),ISNUMBER(C20),ISNUMBER(C21)),C19*C20*C21,"n/a")</f>
        <v>-0.00627106563198487</v>
      </c>
      <c r="D22" s="73" t="n">
        <f aca="false">IF(AND(ISNUMBER(D19),ISNUMBER(D20),ISNUMBER(D21)),D19*D20*D21,"n/a")</f>
        <v>2.25322637004357E-005</v>
      </c>
      <c r="E22" s="73" t="n">
        <f aca="false">IF(AND(ISNUMBER(E19),ISNUMBER(E20),ISNUMBER(E21)),E19*E20*E21,"n/a")</f>
        <v>0.00650963123357937</v>
      </c>
      <c r="F22" s="73" t="n">
        <f aca="false">IF(AND(ISNUMBER(F19),ISNUMBER(F20),ISNUMBER(F21)),F19*F20*F21,"n/a")</f>
        <v>0.0128056227947238</v>
      </c>
    </row>
    <row r="23" customFormat="false" ht="15" hidden="false" customHeight="false" outlineLevel="0" collapsed="false">
      <c r="A23" s="21" t="s">
        <v>198</v>
      </c>
      <c r="B23" s="39" t="n">
        <f aca="false">IF(AND(ISNUMBER(B22),ISNUMBER(B15)),B22-B15,IF(ISNUMBER(B22),1,IF(AND(ISNUMBER(B15),ISNUMBER(B19),ISNUMBER(B20)),1,0)))</f>
        <v>0</v>
      </c>
      <c r="C23" s="39" t="n">
        <f aca="false">IF(AND(ISNUMBER(C22),ISNUMBER(C15)),C22-C15,IF(ISNUMBER(C22),1,IF(AND(ISNUMBER(C15),ISNUMBER(C19),ISNUMBER(C20)),1,0)))</f>
        <v>0</v>
      </c>
      <c r="D23" s="39" t="n">
        <f aca="false">IF(AND(ISNUMBER(D22),ISNUMBER(D15)),D22-D15,IF(ISNUMBER(D22),1,IF(AND(ISNUMBER(D15),ISNUMBER(D19),ISNUMBER(D20)),1,0)))</f>
        <v>0</v>
      </c>
      <c r="E23" s="39" t="n">
        <f aca="false">IF(AND(ISNUMBER(E22),ISNUMBER(E15)),E22-E15,IF(ISNUMBER(E22),1,IF(AND(ISNUMBER(E15),ISNUMBER(E19),ISNUMBER(E20)),1,0)))</f>
        <v>0</v>
      </c>
      <c r="F23" s="39" t="n">
        <f aca="false">IF(AND(ISNUMBER(F22),ISNUMBER(F15)),F22-F15,IF(ISNUMBER(F22),1,IF(AND(ISNUMBER(F15),ISNUMBER(F19),ISNUMBER(F20)),1,0)))</f>
        <v>0</v>
      </c>
    </row>
    <row r="25" customFormat="false" ht="15.75" hidden="false" customHeight="true" outlineLevel="0" collapsed="false">
      <c r="A25" s="7" t="s">
        <v>199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56" t="s">
        <v>122</v>
      </c>
      <c r="B26" s="56" t="n">
        <v>1</v>
      </c>
      <c r="C26" s="56" t="n">
        <v>2</v>
      </c>
      <c r="D26" s="56" t="n">
        <v>3</v>
      </c>
      <c r="E26" s="56" t="n">
        <v>4</v>
      </c>
      <c r="F26" s="56" t="n">
        <v>5</v>
      </c>
    </row>
    <row r="27" customFormat="false" ht="15" hidden="false" customHeight="false" outlineLevel="0" collapsed="false">
      <c r="A27" s="33"/>
      <c r="B27" s="57" t="s">
        <v>123</v>
      </c>
      <c r="C27" s="57" t="s">
        <v>124</v>
      </c>
      <c r="D27" s="57" t="s">
        <v>125</v>
      </c>
      <c r="E27" s="57" t="s">
        <v>126</v>
      </c>
      <c r="F27" s="57" t="s">
        <v>127</v>
      </c>
      <c r="G27" s="57" t="s">
        <v>186</v>
      </c>
    </row>
    <row r="28" customFormat="false" ht="15" hidden="false" customHeight="false" outlineLevel="0" collapsed="false">
      <c r="A28" s="6" t="s">
        <v>200</v>
      </c>
      <c r="B28" s="74" t="n">
        <f aca="false">INDEX(Monthly!$C$8:$BJ$8,B$26*12)</f>
        <v>1700</v>
      </c>
      <c r="C28" s="74" t="n">
        <f aca="false">INDEX(Monthly!$C$8:$BJ$8,C$26*12)</f>
        <v>1751</v>
      </c>
      <c r="D28" s="74" t="n">
        <f aca="false">INDEX(Monthly!$C$8:$BJ$8,D$26*12)</f>
        <v>1803.53</v>
      </c>
      <c r="E28" s="74" t="n">
        <f aca="false">INDEX(Monthly!$C$8:$BJ$8,E$26*12)</f>
        <v>1857.6359</v>
      </c>
      <c r="F28" s="74" t="n">
        <f aca="false">INDEX(Monthly!$C$8:$BJ$8,F$26*12)</f>
        <v>1913.364977</v>
      </c>
      <c r="G28" s="75"/>
    </row>
    <row r="29" customFormat="false" ht="15" hidden="false" customHeight="false" outlineLevel="0" collapsed="false">
      <c r="A29" s="4" t="s">
        <v>201</v>
      </c>
      <c r="B29" s="76" t="n">
        <f aca="false">SUMIF(Monthly!$C$5:$BJ$5,B$26,Monthly!$C$9:$BJ$9)</f>
        <v>204000</v>
      </c>
      <c r="C29" s="76" t="n">
        <f aca="false">SUMIF(Monthly!$C$5:$BJ$5,C$26,Monthly!$C$9:$BJ$9)</f>
        <v>210120</v>
      </c>
      <c r="D29" s="76" t="n">
        <f aca="false">SUMIF(Monthly!$C$5:$BJ$5,D$26,Monthly!$C$9:$BJ$9)</f>
        <v>216423.6</v>
      </c>
      <c r="E29" s="76" t="n">
        <f aca="false">SUMIF(Monthly!$C$5:$BJ$5,E$26,Monthly!$C$9:$BJ$9)</f>
        <v>222916.308</v>
      </c>
      <c r="F29" s="76" t="n">
        <f aca="false">SUMIF(Monthly!$C$5:$BJ$5,F$26,Monthly!$C$9:$BJ$9)</f>
        <v>229603.79724</v>
      </c>
      <c r="G29" s="77"/>
    </row>
    <row r="30" customFormat="false" ht="15" hidden="false" customHeight="false" outlineLevel="0" collapsed="false">
      <c r="A30" s="6" t="s">
        <v>202</v>
      </c>
      <c r="B30" s="35" t="n">
        <f aca="false">SUMIF(Monthly!$C$5:$BJ$5,B$26,Monthly!$C$10:$BJ$10)</f>
        <v>-10200</v>
      </c>
      <c r="C30" s="35" t="n">
        <f aca="false">SUMIF(Monthly!$C$5:$BJ$5,C$26,Monthly!$C$10:$BJ$10)</f>
        <v>-10506</v>
      </c>
      <c r="D30" s="35" t="n">
        <f aca="false">SUMIF(Monthly!$C$5:$BJ$5,D$26,Monthly!$C$10:$BJ$10)</f>
        <v>-10821.18</v>
      </c>
      <c r="E30" s="35" t="n">
        <f aca="false">SUMIF(Monthly!$C$5:$BJ$5,E$26,Monthly!$C$10:$BJ$10)</f>
        <v>-11145.8154</v>
      </c>
      <c r="F30" s="35" t="n">
        <f aca="false">SUMIF(Monthly!$C$5:$BJ$5,F$26,Monthly!$C$10:$BJ$10)</f>
        <v>-11480.189862</v>
      </c>
      <c r="G30" s="77"/>
    </row>
    <row r="31" customFormat="false" ht="15" hidden="false" customHeight="false" outlineLevel="0" collapsed="false">
      <c r="A31" s="38" t="s">
        <v>203</v>
      </c>
      <c r="B31" s="78" t="n">
        <f aca="false">IF(B29=0,0,(B29+B30)/B29)</f>
        <v>0.95</v>
      </c>
      <c r="C31" s="78" t="n">
        <f aca="false">IF(C29=0,0,(C29+C30)/C29)</f>
        <v>0.95</v>
      </c>
      <c r="D31" s="78" t="n">
        <f aca="false">IF(D29=0,0,(D29+D30)/D29)</f>
        <v>0.95</v>
      </c>
      <c r="E31" s="78" t="n">
        <f aca="false">IF(E29=0,0,(E29+E30)/E29)</f>
        <v>0.95</v>
      </c>
      <c r="F31" s="78" t="n">
        <f aca="false">IF(F29=0,0,(F29+F30)/F29)</f>
        <v>0.95</v>
      </c>
      <c r="G31" s="79"/>
    </row>
    <row r="32" customFormat="false" ht="15" hidden="false" customHeight="false" outlineLevel="0" collapsed="false">
      <c r="A32" s="6" t="s">
        <v>204</v>
      </c>
      <c r="B32" s="35" t="n">
        <f aca="false">SUMIF(Monthly!$C$5:$BJ$5,B$26,Monthly!$C$12:$BJ$12)</f>
        <v>196650</v>
      </c>
      <c r="C32" s="35" t="n">
        <f aca="false">SUMIF(Monthly!$C$5:$BJ$5,C$26,Monthly!$C$12:$BJ$12)</f>
        <v>202549.5</v>
      </c>
      <c r="D32" s="35" t="n">
        <f aca="false">SUMIF(Monthly!$C$5:$BJ$5,D$26,Monthly!$C$12:$BJ$12)</f>
        <v>208625.985</v>
      </c>
      <c r="E32" s="35" t="n">
        <f aca="false">SUMIF(Monthly!$C$5:$BJ$5,E$26,Monthly!$C$12:$BJ$12)</f>
        <v>214884.76455</v>
      </c>
      <c r="F32" s="35" t="n">
        <f aca="false">SUMIF(Monthly!$C$5:$BJ$5,F$26,Monthly!$C$12:$BJ$12)</f>
        <v>221331.3074865</v>
      </c>
      <c r="G32" s="77"/>
    </row>
    <row r="33" customFormat="false" ht="15" hidden="false" customHeight="false" outlineLevel="0" collapsed="false">
      <c r="A33" s="4" t="s">
        <v>205</v>
      </c>
      <c r="B33" s="76" t="n">
        <f aca="false">SUMIF(Monthly!$C$5:$BJ$5,B$26,Monthly!$C$26:$BJ$26)</f>
        <v>125340</v>
      </c>
      <c r="C33" s="76" t="n">
        <f aca="false">SUMIF(Monthly!$C$5:$BJ$5,C$26,Monthly!$C$26:$BJ$26)</f>
        <v>129100.2</v>
      </c>
      <c r="D33" s="76" t="n">
        <f aca="false">SUMIF(Monthly!$C$5:$BJ$5,D$26,Monthly!$C$26:$BJ$26)</f>
        <v>132973.206</v>
      </c>
      <c r="E33" s="76" t="n">
        <f aca="false">SUMIF(Monthly!$C$5:$BJ$5,E$26,Monthly!$C$26:$BJ$26)</f>
        <v>136962.40218</v>
      </c>
      <c r="F33" s="76" t="n">
        <f aca="false">SUMIF(Monthly!$C$5:$BJ$5,F$26,Monthly!$C$26:$BJ$26)</f>
        <v>141071.2742454</v>
      </c>
      <c r="G33" s="77"/>
    </row>
    <row r="34" customFormat="false" ht="15" hidden="false" customHeight="false" outlineLevel="0" collapsed="false">
      <c r="A34" s="38" t="s">
        <v>206</v>
      </c>
      <c r="B34" s="78" t="n">
        <f aca="false">IF(B32=0,0,B33/B32)</f>
        <v>0.637376048817696</v>
      </c>
      <c r="C34" s="78" t="n">
        <f aca="false">IF(C32=0,0,C33/C32)</f>
        <v>0.637376048817697</v>
      </c>
      <c r="D34" s="78" t="n">
        <f aca="false">IF(D32=0,0,D33/D32)</f>
        <v>0.637376048817697</v>
      </c>
      <c r="E34" s="78" t="n">
        <f aca="false">IF(E32=0,0,E33/E32)</f>
        <v>0.637376048817696</v>
      </c>
      <c r="F34" s="78" t="n">
        <f aca="false">IF(F32=0,0,F33/F32)</f>
        <v>0.637376048817696</v>
      </c>
      <c r="G34" s="79"/>
    </row>
    <row r="35" customFormat="false" ht="15" hidden="false" customHeight="false" outlineLevel="0" collapsed="false">
      <c r="A35" s="38" t="s">
        <v>207</v>
      </c>
      <c r="B35" s="78" t="n">
        <f aca="false">IF(B32=0,0,1-B33/B32)</f>
        <v>0.362623951182304</v>
      </c>
      <c r="C35" s="78" t="n">
        <f aca="false">IF(C32=0,0,1-C33/C32)</f>
        <v>0.362623951182304</v>
      </c>
      <c r="D35" s="78" t="n">
        <f aca="false">IF(D32=0,0,1-D33/D32)</f>
        <v>0.362623951182304</v>
      </c>
      <c r="E35" s="78" t="n">
        <f aca="false">IF(E32=0,0,1-E33/E32)</f>
        <v>0.362623951182304</v>
      </c>
      <c r="F35" s="78" t="n">
        <f aca="false">IF(F32=0,0,1-F33/F32)</f>
        <v>0.362623951182304</v>
      </c>
      <c r="G35" s="79"/>
    </row>
    <row r="36" customFormat="false" ht="15" hidden="false" customHeight="false" outlineLevel="0" collapsed="false">
      <c r="A36" s="6" t="s">
        <v>208</v>
      </c>
      <c r="B36" s="80" t="n">
        <f aca="false">IF(Inputs!$E$10=0,0,B33/Inputs!$E$10)</f>
        <v>12534</v>
      </c>
      <c r="C36" s="80" t="n">
        <f aca="false">IF(Inputs!$E$10=0,0,C33/Inputs!$E$10)</f>
        <v>12910.02</v>
      </c>
      <c r="D36" s="80" t="n">
        <f aca="false">IF(Inputs!$E$10=0,0,D33/Inputs!$E$10)</f>
        <v>13297.3206</v>
      </c>
      <c r="E36" s="80" t="n">
        <f aca="false">IF(Inputs!$E$10=0,0,E33/Inputs!$E$10)</f>
        <v>13696.240218</v>
      </c>
      <c r="F36" s="80" t="n">
        <f aca="false">IF(Inputs!$E$10=0,0,F33/Inputs!$E$10)</f>
        <v>14107.12742454</v>
      </c>
      <c r="G36" s="81"/>
    </row>
    <row r="37" customFormat="false" ht="15" hidden="false" customHeight="false" outlineLevel="0" collapsed="false">
      <c r="A37" s="38" t="s">
        <v>209</v>
      </c>
      <c r="B37" s="78" t="n">
        <f aca="false">IF(Inputs!$E$7=0,0,B33/Inputs!$E$7)</f>
        <v>0.0677513513513514</v>
      </c>
      <c r="C37" s="78" t="n">
        <f aca="false">IF(Inputs!$E$7=0,0,C33/Inputs!$E$7)</f>
        <v>0.0697838918918919</v>
      </c>
      <c r="D37" s="78" t="n">
        <f aca="false">IF(Inputs!$E$7=0,0,D33/Inputs!$E$7)</f>
        <v>0.0718774086486487</v>
      </c>
      <c r="E37" s="78" t="n">
        <f aca="false">IF(Inputs!$E$7=0,0,E33/Inputs!$E$7)</f>
        <v>0.0740337309081081</v>
      </c>
      <c r="F37" s="78" t="n">
        <f aca="false">IF(Inputs!$E$7=0,0,F33/Inputs!$E$7)</f>
        <v>0.0762547428353514</v>
      </c>
      <c r="G37" s="79"/>
    </row>
    <row r="38" customFormat="false" ht="15" hidden="false" customHeight="false" outlineLevel="0" collapsed="false">
      <c r="A38" s="6" t="s">
        <v>59</v>
      </c>
      <c r="B38" s="35" t="n">
        <f aca="false">-SUMIF(Monthly!$C$5:$BJ$5,B$26,Monthly!$C$53:$BJ$53)</f>
        <v>91017.7953829868</v>
      </c>
      <c r="C38" s="35" t="n">
        <f aca="false">-SUMIF(Monthly!$C$5:$BJ$5,C$26,Monthly!$C$53:$BJ$53)</f>
        <v>91017.7953829868</v>
      </c>
      <c r="D38" s="35" t="n">
        <f aca="false">-SUMIF(Monthly!$C$5:$BJ$5,D$26,Monthly!$C$53:$BJ$53)</f>
        <v>91017.7953829868</v>
      </c>
      <c r="E38" s="35" t="n">
        <f aca="false">-SUMIF(Monthly!$C$5:$BJ$5,E$26,Monthly!$C$53:$BJ$53)</f>
        <v>91017.7953829868</v>
      </c>
      <c r="F38" s="35" t="n">
        <f aca="false">-SUMIF(Monthly!$C$5:$BJ$5,F$26,Monthly!$C$53:$BJ$53)</f>
        <v>91017.7953829868</v>
      </c>
      <c r="G38" s="77"/>
    </row>
    <row r="39" customFormat="false" ht="15" hidden="false" customHeight="false" outlineLevel="0" collapsed="false">
      <c r="A39" s="6" t="s">
        <v>210</v>
      </c>
      <c r="B39" s="82" t="n">
        <f aca="false">IF(B38&gt;0.5,B33/B38,"n/a")</f>
        <v>1.37709334172061</v>
      </c>
      <c r="C39" s="82" t="n">
        <f aca="false">IF(C38&gt;0.5,C33/C38,"n/a")</f>
        <v>1.41840614197223</v>
      </c>
      <c r="D39" s="82" t="n">
        <f aca="false">IF(D38&gt;0.5,D33/D38,"n/a")</f>
        <v>1.4609583262314</v>
      </c>
      <c r="E39" s="82" t="n">
        <f aca="false">IF(E38&gt;0.5,E33/E38,"n/a")</f>
        <v>1.50478707601834</v>
      </c>
      <c r="F39" s="82" t="n">
        <f aca="false">IF(F38&gt;0.5,F33/F38,"n/a")</f>
        <v>1.54993068829889</v>
      </c>
      <c r="G39" s="83"/>
    </row>
    <row r="40" customFormat="false" ht="15" hidden="false" customHeight="false" outlineLevel="0" collapsed="false">
      <c r="A40" s="6" t="s">
        <v>211</v>
      </c>
      <c r="B40" s="35" t="n">
        <f aca="false">INDEX(Monthly!$C$54:$BJ$54,B$26*12)</f>
        <v>1186587.29437248</v>
      </c>
      <c r="C40" s="35" t="n">
        <f aca="false">INDEX(Monthly!$C$54:$BJ$54,C$26*12)</f>
        <v>1172276.31500872</v>
      </c>
      <c r="D40" s="35" t="n">
        <f aca="false">INDEX(Monthly!$C$54:$BJ$54,D$26*12)</f>
        <v>1157006.902853</v>
      </c>
      <c r="E40" s="35" t="n">
        <f aca="false">INDEX(Monthly!$C$54:$BJ$54,E$26*12)</f>
        <v>1140714.86988622</v>
      </c>
      <c r="F40" s="35" t="n">
        <f aca="false">INDEX(Monthly!$C$54:$BJ$54,F$26*12)</f>
        <v>1123331.72929877</v>
      </c>
      <c r="G40" s="77"/>
    </row>
    <row r="41" customFormat="false" ht="15" hidden="false" customHeight="false" outlineLevel="0" collapsed="false">
      <c r="A41" s="38" t="s">
        <v>212</v>
      </c>
      <c r="B41" s="78" t="n">
        <f aca="false">IF(Inputs!$E$7=0,0,B40/Inputs!$E$7)</f>
        <v>0.641398537498638</v>
      </c>
      <c r="C41" s="78" t="n">
        <f aca="false">IF(Inputs!$E$7=0,0,C40/Inputs!$E$7)</f>
        <v>0.633662872977687</v>
      </c>
      <c r="D41" s="78" t="n">
        <f aca="false">IF(Inputs!$E$7=0,0,D40/Inputs!$E$7)</f>
        <v>0.625409136677297</v>
      </c>
      <c r="E41" s="78" t="n">
        <f aca="false">IF(Inputs!$E$7=0,0,E40/Inputs!$E$7)</f>
        <v>0.61660263237093</v>
      </c>
      <c r="F41" s="78" t="n">
        <f aca="false">IF(Inputs!$E$7=0,0,F40/Inputs!$E$7)</f>
        <v>0.607206340161497</v>
      </c>
      <c r="G41" s="79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6"/>
  </cols>
  <sheetData>
    <row r="1" customFormat="false" ht="21.75" hidden="false" customHeight="true" outlineLevel="0" collapsed="false">
      <c r="A1" s="16" t="s">
        <v>213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214</v>
      </c>
    </row>
    <row r="3" customFormat="false" ht="15" hidden="false" customHeight="false" outlineLevel="0" collapsed="false">
      <c r="A3" s="4" t="s">
        <v>101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215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6" t="s">
        <v>216</v>
      </c>
      <c r="B6" s="53" t="n">
        <f aca="false">Inputs!$E$7</f>
        <v>1850000</v>
      </c>
    </row>
    <row r="7" customFormat="false" ht="15" hidden="false" customHeight="false" outlineLevel="0" collapsed="false">
      <c r="A7" s="6" t="s">
        <v>217</v>
      </c>
      <c r="B7" s="51" t="n">
        <f aca="false">B6*Inputs!$E$9</f>
        <v>55500</v>
      </c>
    </row>
    <row r="8" customFormat="false" ht="15" hidden="false" customHeight="false" outlineLevel="0" collapsed="false">
      <c r="A8" s="4" t="s">
        <v>218</v>
      </c>
      <c r="B8" s="52" t="n">
        <f aca="false">B6+B7</f>
        <v>1905500</v>
      </c>
    </row>
    <row r="9" customFormat="false" ht="15" hidden="false" customHeight="false" outlineLevel="0" collapsed="false">
      <c r="A9" s="6" t="s">
        <v>219</v>
      </c>
      <c r="B9" s="53" t="n">
        <f aca="false">Inputs!$E$35</f>
        <v>1200000</v>
      </c>
    </row>
    <row r="10" customFormat="false" ht="15" hidden="false" customHeight="false" outlineLevel="0" collapsed="false">
      <c r="A10" s="4" t="s">
        <v>220</v>
      </c>
      <c r="B10" s="58" t="n">
        <f aca="false">B8-B9</f>
        <v>705500</v>
      </c>
    </row>
    <row r="11" customFormat="false" ht="15" hidden="false" customHeight="false" outlineLevel="0" collapsed="false">
      <c r="A11" s="38" t="s">
        <v>221</v>
      </c>
      <c r="B11" s="59" t="n">
        <f aca="false">IF(B6&gt;0,B9/B6,0)</f>
        <v>0.648648648648649</v>
      </c>
    </row>
    <row r="13" customFormat="false" ht="15.75" hidden="false" customHeight="true" outlineLevel="0" collapsed="false">
      <c r="A13" s="7" t="s">
        <v>222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B14" s="57" t="s">
        <v>223</v>
      </c>
      <c r="C14" s="57" t="s">
        <v>123</v>
      </c>
      <c r="D14" s="57" t="s">
        <v>124</v>
      </c>
      <c r="E14" s="57" t="s">
        <v>125</v>
      </c>
      <c r="F14" s="57" t="s">
        <v>126</v>
      </c>
      <c r="G14" s="57" t="s">
        <v>127</v>
      </c>
    </row>
    <row r="15" customFormat="false" ht="15" hidden="false" customHeight="false" outlineLevel="0" collapsed="false">
      <c r="A15" s="6" t="s">
        <v>122</v>
      </c>
      <c r="B15" s="50" t="n">
        <f aca="false">0</f>
        <v>0</v>
      </c>
      <c r="C15" s="50" t="n">
        <f aca="false">B15+1</f>
        <v>1</v>
      </c>
      <c r="D15" s="50" t="n">
        <f aca="false">C15+1</f>
        <v>2</v>
      </c>
      <c r="E15" s="50" t="n">
        <f aca="false">D15+1</f>
        <v>3</v>
      </c>
      <c r="F15" s="50" t="n">
        <f aca="false">E15+1</f>
        <v>4</v>
      </c>
      <c r="G15" s="50" t="n">
        <f aca="false">F15+1</f>
        <v>5</v>
      </c>
    </row>
    <row r="16" customFormat="false" ht="15" hidden="false" customHeight="false" outlineLevel="0" collapsed="false">
      <c r="A16" s="6" t="s">
        <v>224</v>
      </c>
      <c r="B16" s="51" t="n">
        <f aca="false">-IF(B$15=0,$B$8,0)</f>
        <v>-1905500</v>
      </c>
      <c r="C16" s="51" t="n">
        <f aca="false">-IF(C$15=0,$B$8,0)</f>
        <v>-0</v>
      </c>
      <c r="D16" s="51" t="n">
        <f aca="false">-IF(D$15=0,$B$8,0)</f>
        <v>-0</v>
      </c>
      <c r="E16" s="51" t="n">
        <f aca="false">-IF(E$15=0,$B$8,0)</f>
        <v>-0</v>
      </c>
      <c r="F16" s="51" t="n">
        <f aca="false">-IF(F$15=0,$B$8,0)</f>
        <v>-0</v>
      </c>
      <c r="G16" s="51" t="n">
        <f aca="false">-IF(G$15=0,$B$8,0)</f>
        <v>-0</v>
      </c>
    </row>
    <row r="17" customFormat="false" ht="15" hidden="false" customHeight="false" outlineLevel="0" collapsed="false">
      <c r="A17" s="6" t="s">
        <v>205</v>
      </c>
      <c r="B17" s="51" t="n">
        <f aca="false">SUMIF(Monthly!$C$5:$BJ$5,B$15,Monthly!$C$26:$BJ$26)</f>
        <v>0</v>
      </c>
      <c r="C17" s="51" t="n">
        <f aca="false">SUMIF(Monthly!$C$5:$BJ$5,C$15,Monthly!$C$26:$BJ$26)</f>
        <v>125340</v>
      </c>
      <c r="D17" s="51" t="n">
        <f aca="false">SUMIF(Monthly!$C$5:$BJ$5,D$15,Monthly!$C$26:$BJ$26)</f>
        <v>129100.2</v>
      </c>
      <c r="E17" s="51" t="n">
        <f aca="false">SUMIF(Monthly!$C$5:$BJ$5,E$15,Monthly!$C$26:$BJ$26)</f>
        <v>132973.206</v>
      </c>
      <c r="F17" s="51" t="n">
        <f aca="false">SUMIF(Monthly!$C$5:$BJ$5,F$15,Monthly!$C$26:$BJ$26)</f>
        <v>136962.40218</v>
      </c>
      <c r="G17" s="51" t="n">
        <f aca="false">SUMIF(Monthly!$C$5:$BJ$5,G$15,Monthly!$C$26:$BJ$26)</f>
        <v>141071.2742454</v>
      </c>
    </row>
    <row r="18" customFormat="false" ht="15" hidden="false" customHeight="false" outlineLevel="0" collapsed="false">
      <c r="A18" s="6" t="s">
        <v>225</v>
      </c>
      <c r="B18" s="51" t="n">
        <f aca="false">-(SUMIF(Monthly!$C$5:$BJ$5,B$15,Monthly!$C$41:$BJ$41)-SUMIF(Monthly!$C$5:$BJ$5,B$15,Monthly!$C$38:$BJ$38))</f>
        <v>-0</v>
      </c>
      <c r="C18" s="51" t="n">
        <f aca="false">-(SUMIF(Monthly!$C$5:$BJ$5,C$15,Monthly!$C$41:$BJ$41)-SUMIF(Monthly!$C$5:$BJ$5,C$15,Monthly!$C$38:$BJ$38))</f>
        <v>-3500</v>
      </c>
      <c r="D18" s="51" t="n">
        <f aca="false">-(SUMIF(Monthly!$C$5:$BJ$5,D$15,Monthly!$C$41:$BJ$41)-SUMIF(Monthly!$C$5:$BJ$5,D$15,Monthly!$C$38:$BJ$38))</f>
        <v>-3605</v>
      </c>
      <c r="E18" s="51" t="n">
        <f aca="false">-(SUMIF(Monthly!$C$5:$BJ$5,E$15,Monthly!$C$41:$BJ$41)-SUMIF(Monthly!$C$5:$BJ$5,E$15,Monthly!$C$38:$BJ$38))</f>
        <v>-3713.15</v>
      </c>
      <c r="F18" s="51" t="n">
        <f aca="false">-(SUMIF(Monthly!$C$5:$BJ$5,F$15,Monthly!$C$41:$BJ$41)-SUMIF(Monthly!$C$5:$BJ$5,F$15,Monthly!$C$38:$BJ$38))</f>
        <v>-3824.5445</v>
      </c>
      <c r="G18" s="51" t="n">
        <f aca="false">-(SUMIF(Monthly!$C$5:$BJ$5,G$15,Monthly!$C$41:$BJ$41)-SUMIF(Monthly!$C$5:$BJ$5,G$15,Monthly!$C$38:$BJ$38))</f>
        <v>-3939.280835</v>
      </c>
    </row>
    <row r="19" customFormat="false" ht="15" hidden="false" customHeight="false" outlineLevel="0" collapsed="false">
      <c r="A19" s="6" t="s">
        <v>226</v>
      </c>
      <c r="B19" s="51" t="n">
        <f aca="false">IF(B$15=$G$15,$B$36,0)</f>
        <v>0</v>
      </c>
      <c r="C19" s="51" t="n">
        <f aca="false">IF(C$15=$G$15,$B$36,0)</f>
        <v>0</v>
      </c>
      <c r="D19" s="51" t="n">
        <f aca="false">IF(D$15=$G$15,$B$36,0)</f>
        <v>0</v>
      </c>
      <c r="E19" s="51" t="n">
        <f aca="false">IF(E$15=$G$15,$B$36,0)</f>
        <v>0</v>
      </c>
      <c r="F19" s="51" t="n">
        <f aca="false">IF(F$15=$G$15,$B$36,0)</f>
        <v>0</v>
      </c>
      <c r="G19" s="51" t="n">
        <f aca="false">IF(G$15=$G$15,$B$36,0)</f>
        <v>2045010.99035739</v>
      </c>
    </row>
    <row r="20" customFormat="false" ht="15" hidden="false" customHeight="false" outlineLevel="0" collapsed="false">
      <c r="A20" s="4" t="s">
        <v>227</v>
      </c>
      <c r="B20" s="52" t="n">
        <f aca="false">B16+B17+B18+B19</f>
        <v>-1905500</v>
      </c>
      <c r="C20" s="52" t="n">
        <f aca="false">C16+C17+C18+C19</f>
        <v>121840</v>
      </c>
      <c r="D20" s="52" t="n">
        <f aca="false">D16+D17+D18+D19</f>
        <v>125495.2</v>
      </c>
      <c r="E20" s="52" t="n">
        <f aca="false">E16+E17+E18+E19</f>
        <v>129260.056</v>
      </c>
      <c r="F20" s="52" t="n">
        <f aca="false">F16+F17+F18+F19</f>
        <v>133137.85768</v>
      </c>
      <c r="G20" s="52" t="n">
        <f aca="false">G16+G17+G18+G19</f>
        <v>2182142.98376779</v>
      </c>
    </row>
    <row r="21" customFormat="false" ht="15" hidden="false" customHeight="false" outlineLevel="0" collapsed="false">
      <c r="A21" s="6" t="s">
        <v>63</v>
      </c>
      <c r="B21" s="51" t="n">
        <f aca="false">IF(B$15=0,$B$9,0)</f>
        <v>1200000</v>
      </c>
      <c r="C21" s="51" t="n">
        <f aca="false">IF(C$15=0,$B$9,0)</f>
        <v>0</v>
      </c>
      <c r="D21" s="51" t="n">
        <f aca="false">IF(D$15=0,$B$9,0)</f>
        <v>0</v>
      </c>
      <c r="E21" s="51" t="n">
        <f aca="false">IF(E$15=0,$B$9,0)</f>
        <v>0</v>
      </c>
      <c r="F21" s="51" t="n">
        <f aca="false">IF(F$15=0,$B$9,0)</f>
        <v>0</v>
      </c>
      <c r="G21" s="51" t="n">
        <f aca="false">IF(G$15=0,$B$9,0)</f>
        <v>0</v>
      </c>
    </row>
    <row r="22" customFormat="false" ht="15" hidden="false" customHeight="false" outlineLevel="0" collapsed="false">
      <c r="A22" s="6" t="s">
        <v>78</v>
      </c>
      <c r="B22" s="51" t="n">
        <f aca="false">SUMIF(Monthly!$C$5:$BJ$5,B$15,Monthly!$C$30:$BJ$30)</f>
        <v>0</v>
      </c>
      <c r="C22" s="51" t="n">
        <f aca="false">SUMIF(Monthly!$C$5:$BJ$5,C$15,Monthly!$C$30:$BJ$30)</f>
        <v>-77605.089755467</v>
      </c>
      <c r="D22" s="51" t="n">
        <f aca="false">SUMIF(Monthly!$C$5:$BJ$5,D$15,Monthly!$C$30:$BJ$30)</f>
        <v>-76706.816019227</v>
      </c>
      <c r="E22" s="51" t="n">
        <f aca="false">SUMIF(Monthly!$C$5:$BJ$5,E$15,Monthly!$C$30:$BJ$30)</f>
        <v>-75748.3832272659</v>
      </c>
      <c r="F22" s="51" t="n">
        <f aca="false">SUMIF(Monthly!$C$5:$BJ$5,F$15,Monthly!$C$30:$BJ$30)</f>
        <v>-74725.7624162071</v>
      </c>
      <c r="G22" s="51" t="n">
        <f aca="false">SUMIF(Monthly!$C$5:$BJ$5,G$15,Monthly!$C$30:$BJ$30)</f>
        <v>-73634.6547955354</v>
      </c>
    </row>
    <row r="23" customFormat="false" ht="15" hidden="false" customHeight="false" outlineLevel="0" collapsed="false">
      <c r="A23" s="6" t="s">
        <v>228</v>
      </c>
      <c r="B23" s="51" t="n">
        <f aca="false">SUMIF(Monthly!$C$5:$BJ$5,B$15,Monthly!$C$52:$BJ$52)</f>
        <v>0</v>
      </c>
      <c r="C23" s="51" t="n">
        <f aca="false">SUMIF(Monthly!$C$5:$BJ$5,C$15,Monthly!$C$52:$BJ$52)</f>
        <v>-13412.7056275198</v>
      </c>
      <c r="D23" s="51" t="n">
        <f aca="false">SUMIF(Monthly!$C$5:$BJ$5,D$15,Monthly!$C$52:$BJ$52)</f>
        <v>-14310.9793637598</v>
      </c>
      <c r="E23" s="51" t="n">
        <f aca="false">SUMIF(Monthly!$C$5:$BJ$5,E$15,Monthly!$C$52:$BJ$52)</f>
        <v>-15269.4121557209</v>
      </c>
      <c r="F23" s="51" t="n">
        <f aca="false">SUMIF(Monthly!$C$5:$BJ$5,F$15,Monthly!$C$52:$BJ$52)</f>
        <v>-16292.0329667797</v>
      </c>
      <c r="G23" s="51" t="n">
        <f aca="false">SUMIF(Monthly!$C$5:$BJ$5,G$15,Monthly!$C$52:$BJ$52)</f>
        <v>-17383.1405874514</v>
      </c>
    </row>
    <row r="24" customFormat="false" ht="15" hidden="false" customHeight="false" outlineLevel="0" collapsed="false">
      <c r="A24" s="6" t="s">
        <v>229</v>
      </c>
      <c r="B24" s="51" t="n">
        <f aca="false">-IF(B$15=$G$15,$B$37,0)</f>
        <v>-0</v>
      </c>
      <c r="C24" s="51" t="n">
        <f aca="false">-IF(C$15=$G$15,$B$37,0)</f>
        <v>-0</v>
      </c>
      <c r="D24" s="51" t="n">
        <f aca="false">-IF(D$15=$G$15,$B$37,0)</f>
        <v>-0</v>
      </c>
      <c r="E24" s="51" t="n">
        <f aca="false">-IF(E$15=$G$15,$B$37,0)</f>
        <v>-0</v>
      </c>
      <c r="F24" s="51" t="n">
        <f aca="false">-IF(F$15=$G$15,$B$37,0)</f>
        <v>-0</v>
      </c>
      <c r="G24" s="51" t="n">
        <f aca="false">-IF(G$15=$G$15,$B$37,0)</f>
        <v>-1123331.72929877</v>
      </c>
    </row>
    <row r="25" customFormat="false" ht="15" hidden="false" customHeight="false" outlineLevel="0" collapsed="false">
      <c r="A25" s="4" t="s">
        <v>230</v>
      </c>
      <c r="B25" s="52" t="n">
        <f aca="false">B20+B21+B22+B23+B24</f>
        <v>-705500</v>
      </c>
      <c r="C25" s="52" t="n">
        <f aca="false">C20+C21+C22+C23+C24</f>
        <v>30822.2046170132</v>
      </c>
      <c r="D25" s="52" t="n">
        <f aca="false">D20+D21+D22+D23+D24</f>
        <v>34477.4046170132</v>
      </c>
      <c r="E25" s="52" t="n">
        <f aca="false">E20+E21+E22+E23+E24</f>
        <v>38242.2606170132</v>
      </c>
      <c r="F25" s="52" t="n">
        <f aca="false">F20+F21+F22+F23+F24</f>
        <v>42120.0622970132</v>
      </c>
      <c r="G25" s="52" t="n">
        <f aca="false">G20+G21+G22+G23+G24</f>
        <v>967793.459086036</v>
      </c>
    </row>
    <row r="26" customFormat="false" ht="15" hidden="false" customHeight="false" outlineLevel="0" collapsed="false">
      <c r="A26" s="6" t="s">
        <v>210</v>
      </c>
      <c r="B26" s="84" t="str">
        <f aca="false">IF(-(B22+B23)&gt;0.5,B17/-(B22+B23),"n/a")</f>
        <v>n/a</v>
      </c>
      <c r="C26" s="84" t="n">
        <f aca="false">IF(-(C22+C23)&gt;0.5,C17/-(C22+C23),"n/a")</f>
        <v>1.37709334172061</v>
      </c>
      <c r="D26" s="84" t="n">
        <f aca="false">IF(-(D22+D23)&gt;0.5,D17/-(D22+D23),"n/a")</f>
        <v>1.41840614197223</v>
      </c>
      <c r="E26" s="84" t="n">
        <f aca="false">IF(-(E22+E23)&gt;0.5,E17/-(E22+E23),"n/a")</f>
        <v>1.4609583262314</v>
      </c>
      <c r="F26" s="84" t="n">
        <f aca="false">IF(-(F22+F23)&gt;0.5,F17/-(F22+F23),"n/a")</f>
        <v>1.50478707601834</v>
      </c>
      <c r="G26" s="84" t="n">
        <f aca="false">IF(-(G22+G23)&gt;0.5,G17/-(G22+G23),"n/a")</f>
        <v>1.54993068829889</v>
      </c>
    </row>
    <row r="27" customFormat="false" ht="15" hidden="false" customHeight="false" outlineLevel="0" collapsed="false">
      <c r="A27" s="38" t="s">
        <v>231</v>
      </c>
      <c r="B27" s="59" t="str">
        <f aca="false">IF(AND(B$15&gt;0,$B$10&gt;0),(B17+B18+B22+B23)/$B$10,"n/a")</f>
        <v>n/a</v>
      </c>
      <c r="C27" s="59" t="n">
        <f aca="false">IF(AND(C$15&gt;0,$B$10&gt;0),(C17+C18+C22+C23)/$B$10,"n/a")</f>
        <v>0.0436884544535978</v>
      </c>
      <c r="D27" s="59" t="n">
        <f aca="false">IF(AND(D$15&gt;0,$B$10&gt;0),(D17+D18+D22+D23)/$B$10,"n/a")</f>
        <v>0.0488694608320528</v>
      </c>
      <c r="E27" s="59" t="n">
        <f aca="false">IF(AND(E$15&gt;0,$B$10&gt;0),(E17+E18+E22+E23)/$B$10,"n/a")</f>
        <v>0.0542058974018614</v>
      </c>
      <c r="F27" s="59" t="n">
        <f aca="false">IF(AND(F$15&gt;0,$B$10&gt;0),(F17+F18+F22+F23)/$B$10,"n/a")</f>
        <v>0.0597024270687643</v>
      </c>
      <c r="G27" s="59" t="n">
        <f aca="false">IF(AND(G$15&gt;0,$B$10&gt;0),(G17+G18+G22+G23)/$B$10,"n/a")</f>
        <v>0.0653638526256743</v>
      </c>
    </row>
    <row r="28" customFormat="false" ht="15" hidden="false" customHeight="false" outlineLevel="0" collapsed="false">
      <c r="A28" s="6" t="s">
        <v>232</v>
      </c>
      <c r="B28" s="50" t="n">
        <f aca="false">SIGN(B20)</f>
        <v>-1</v>
      </c>
      <c r="C28" s="50" t="n">
        <f aca="false">IF(C20=0,B28,SIGN(C20))</f>
        <v>1</v>
      </c>
      <c r="D28" s="50" t="n">
        <f aca="false">IF(D20=0,C28,SIGN(D20))</f>
        <v>1</v>
      </c>
      <c r="E28" s="50" t="n">
        <f aca="false">IF(E20=0,D28,SIGN(E20))</f>
        <v>1</v>
      </c>
      <c r="F28" s="50" t="n">
        <f aca="false">IF(F20=0,E28,SIGN(F20))</f>
        <v>1</v>
      </c>
      <c r="G28" s="50" t="n">
        <f aca="false">IF(G20=0,F28,SIGN(G20))</f>
        <v>1</v>
      </c>
    </row>
    <row r="29" customFormat="false" ht="15" hidden="false" customHeight="false" outlineLevel="0" collapsed="false">
      <c r="A29" s="6" t="s">
        <v>233</v>
      </c>
      <c r="B29" s="50" t="n">
        <f aca="false">SIGN(B25)</f>
        <v>-1</v>
      </c>
      <c r="C29" s="50" t="n">
        <f aca="false">IF(C25=0,B29,SIGN(C25))</f>
        <v>1</v>
      </c>
      <c r="D29" s="50" t="n">
        <f aca="false">IF(D25=0,C29,SIGN(D25))</f>
        <v>1</v>
      </c>
      <c r="E29" s="50" t="n">
        <f aca="false">IF(E25=0,D29,SIGN(E25))</f>
        <v>1</v>
      </c>
      <c r="F29" s="50" t="n">
        <f aca="false">IF(F25=0,E29,SIGN(F25))</f>
        <v>1</v>
      </c>
      <c r="G29" s="50" t="n">
        <f aca="false">IF(G25=0,F29,SIGN(G25))</f>
        <v>1</v>
      </c>
    </row>
    <row r="31" customFormat="false" ht="15.75" hidden="false" customHeight="true" outlineLevel="0" collapsed="false">
      <c r="A31" s="7" t="s">
        <v>234</v>
      </c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6" t="s">
        <v>235</v>
      </c>
      <c r="B32" s="51" t="n">
        <f aca="false">G17*(1+Inputs!$E$14)</f>
        <v>145303.412472762</v>
      </c>
    </row>
    <row r="33" customFormat="false" ht="15" hidden="false" customHeight="false" outlineLevel="0" collapsed="false">
      <c r="A33" s="38" t="s">
        <v>236</v>
      </c>
      <c r="B33" s="60" t="n">
        <f aca="false">Inputs!$E$29</f>
        <v>0.0675</v>
      </c>
    </row>
    <row r="34" customFormat="false" ht="15" hidden="false" customHeight="false" outlineLevel="0" collapsed="false">
      <c r="A34" s="6" t="s">
        <v>237</v>
      </c>
      <c r="B34" s="51" t="n">
        <f aca="false">IF(B33&gt;0,B32/B33,0)</f>
        <v>2152643.14774462</v>
      </c>
    </row>
    <row r="35" customFormat="false" ht="15" hidden="false" customHeight="false" outlineLevel="0" collapsed="false">
      <c r="A35" s="6" t="s">
        <v>238</v>
      </c>
      <c r="B35" s="51" t="n">
        <f aca="false">-B34*Inputs!$E$30</f>
        <v>-107632.157387231</v>
      </c>
    </row>
    <row r="36" customFormat="false" ht="15" hidden="false" customHeight="false" outlineLevel="0" collapsed="false">
      <c r="A36" s="4" t="s">
        <v>239</v>
      </c>
      <c r="B36" s="52" t="n">
        <f aca="false">B34+B35</f>
        <v>2045010.99035739</v>
      </c>
    </row>
    <row r="37" customFormat="false" ht="15" hidden="false" customHeight="false" outlineLevel="0" collapsed="false">
      <c r="A37" s="6" t="s">
        <v>240</v>
      </c>
      <c r="B37" s="51" t="n">
        <f aca="false">INDEX(Monthly!$C$54:$BJ$54,60)</f>
        <v>1123331.72929877</v>
      </c>
    </row>
    <row r="38" customFormat="false" ht="15" hidden="false" customHeight="false" outlineLevel="0" collapsed="false">
      <c r="A38" s="4" t="s">
        <v>241</v>
      </c>
      <c r="B38" s="58" t="n">
        <f aca="false">B36-B37</f>
        <v>921679.261058623</v>
      </c>
    </row>
    <row r="40" customFormat="false" ht="15.75" hidden="false" customHeight="true" outlineLevel="0" collapsed="false">
      <c r="A40" s="7" t="s">
        <v>242</v>
      </c>
      <c r="B40" s="7"/>
      <c r="C40" s="7"/>
      <c r="D40" s="7"/>
      <c r="E40" s="7"/>
      <c r="F40" s="7"/>
      <c r="G40" s="7"/>
    </row>
    <row r="41" customFormat="false" ht="15" hidden="false" customHeight="false" outlineLevel="0" collapsed="false">
      <c r="B41" s="57" t="s">
        <v>243</v>
      </c>
      <c r="C41" s="57" t="s">
        <v>244</v>
      </c>
    </row>
    <row r="42" customFormat="false" ht="15" hidden="false" customHeight="false" outlineLevel="0" collapsed="false">
      <c r="A42" s="38" t="s">
        <v>245</v>
      </c>
      <c r="B42" s="59" t="n">
        <f aca="false">IF(B44=1,IFERROR(IRR($B$20:$G$20,B43),IFERROR(IRR($B$20:$G$20),"n/a")),"n/a")</f>
        <v>0.0800648743703037</v>
      </c>
      <c r="C42" s="59" t="n">
        <f aca="false">IF(C44=1,IFERROR(IRR($B$25:$G$25,C43),IFERROR(IRR($B$25:$G$25),"n/a")),"n/a")</f>
        <v>0.10318134786923</v>
      </c>
    </row>
    <row r="43" customFormat="false" ht="15" hidden="false" customHeight="false" outlineLevel="0" collapsed="false">
      <c r="A43" s="38" t="s">
        <v>246</v>
      </c>
      <c r="B43" s="59" t="n">
        <f aca="false">IF(AND(SUMIF($B$20:$G$20,"&gt;0")&gt;0,-SUMIF($B$20:$G$20,"&lt;0")&gt;0),MAX(-0.99,(SUMIF($B$20:$G$20,"&gt;0")/(-SUMIF($B$20:$G$20,"&lt;0")))^(1/$G$15)-1),0.1)</f>
        <v>0.0715420600990793</v>
      </c>
      <c r="C43" s="59" t="n">
        <f aca="false">IF(AND(SUMIF($B$25:$G$25,"&gt;0")&gt;0,-SUMIF($B$25:$G$25,"&lt;0")&gt;0),MAX(-0.99,(SUMIF($B$25:$G$25,"&gt;0")/(-SUMIF($B$25:$G$25,"&lt;0")))^(1/$G$15)-1),0.1)</f>
        <v>0.0955574610468881</v>
      </c>
    </row>
    <row r="44" customFormat="false" ht="15" hidden="false" customHeight="false" outlineLevel="0" collapsed="false">
      <c r="A44" s="6" t="s">
        <v>247</v>
      </c>
      <c r="B44" s="50" t="n">
        <f aca="false">IF(AND(SUMPRODUCT(--($B$28:$F$28*$C$28:$G$28&lt;0))=1,SUMIF($B$20:$G$20,"&gt;0")&gt;=0.25*-SUMIF($B$20:$G$20,"&lt;0")),1,0)</f>
        <v>1</v>
      </c>
      <c r="C44" s="50" t="n">
        <f aca="false">IF(AND(SUMPRODUCT(--($B$29:$F$29*$C$29:$G$29&lt;0))=1,SUMIF($B$25:$G$25,"&gt;0")&gt;=0.25*-SUMIF($B$25:$G$25,"&lt;0")),1,0)</f>
        <v>1</v>
      </c>
    </row>
    <row r="45" customFormat="false" ht="15" hidden="false" customHeight="false" outlineLevel="0" collapsed="false">
      <c r="A45" s="38" t="s">
        <v>248</v>
      </c>
      <c r="B45" s="60" t="n">
        <f aca="false">Inputs!$E$31</f>
        <v>0.1</v>
      </c>
    </row>
    <row r="46" customFormat="false" ht="15" hidden="false" customHeight="false" outlineLevel="0" collapsed="false">
      <c r="A46" s="4" t="s">
        <v>249</v>
      </c>
      <c r="B46" s="58" t="n">
        <f aca="false">$B$20+NPV($B$45,$C$20:$G$20)</f>
        <v>-148032.272276614</v>
      </c>
      <c r="C46" s="58" t="n">
        <f aca="false">$B$25+NPV($B$45,$C$25:$G$25)</f>
        <v>9438.04961431481</v>
      </c>
    </row>
    <row r="47" customFormat="false" ht="15" hidden="false" customHeight="false" outlineLevel="0" collapsed="false">
      <c r="A47" s="6" t="s">
        <v>250</v>
      </c>
      <c r="B47" s="51" t="n">
        <f aca="false">SUM($B$20:$G$20)</f>
        <v>786376.097447792</v>
      </c>
      <c r="C47" s="51" t="n">
        <f aca="false">SUM($B$25:$G$25)</f>
        <v>407955.391234089</v>
      </c>
    </row>
    <row r="48" customFormat="false" ht="15" hidden="false" customHeight="false" outlineLevel="0" collapsed="false">
      <c r="A48" s="6" t="s">
        <v>251</v>
      </c>
      <c r="B48" s="84" t="n">
        <f aca="false">IF($B$20&lt;0,SUM($C$20:$G$20)/-$B$20,"n/a")</f>
        <v>1.41268753474038</v>
      </c>
      <c r="C48" s="84" t="n">
        <f aca="false">IF($B$25&lt;0,SUM($C$25:$G$25)/-$B$25,"n/a")</f>
        <v>1.57825002301076</v>
      </c>
    </row>
    <row r="49" customFormat="false" ht="15" hidden="false" customHeight="false" outlineLevel="0" collapsed="false">
      <c r="A49" s="38" t="s">
        <v>252</v>
      </c>
      <c r="B49" s="59" t="n">
        <f aca="false">IF(B6&gt;0,C17/B6,0)</f>
        <v>0.0677513513513514</v>
      </c>
    </row>
    <row r="51" customFormat="false" ht="15" hidden="false" customHeight="false" outlineLevel="0" collapsed="false">
      <c r="A51" s="38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254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255</v>
      </c>
    </row>
    <row r="5" customFormat="false" ht="15" hidden="false" customHeight="false" outlineLevel="0" collapsed="false">
      <c r="A5" s="33" t="s">
        <v>256</v>
      </c>
      <c r="B5" s="57" t="s">
        <v>257</v>
      </c>
      <c r="C5" s="57" t="s">
        <v>258</v>
      </c>
      <c r="D5" s="57" t="s">
        <v>259</v>
      </c>
      <c r="E5" s="57" t="s">
        <v>260</v>
      </c>
      <c r="F5" s="33" t="s">
        <v>261</v>
      </c>
      <c r="G5" s="33" t="s">
        <v>262</v>
      </c>
    </row>
    <row r="6" customFormat="false" ht="15.75" hidden="false" customHeight="true" outlineLevel="0" collapsed="false">
      <c r="A6" s="7" t="s">
        <v>263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216</v>
      </c>
      <c r="B7" s="85" t="n">
        <v>1850000</v>
      </c>
      <c r="C7" s="85" t="n">
        <v>1850000</v>
      </c>
      <c r="D7" s="85" t="n">
        <v>1850000</v>
      </c>
      <c r="E7" s="86" t="n">
        <f aca="false">CHOOSE(Dashboard!$B$4,B7,C7,D7)</f>
        <v>1850000</v>
      </c>
      <c r="F7" s="38" t="s">
        <v>264</v>
      </c>
      <c r="G7" s="87"/>
    </row>
    <row r="8" customFormat="false" ht="15" hidden="false" customHeight="false" outlineLevel="0" collapsed="false">
      <c r="A8" s="6" t="s">
        <v>265</v>
      </c>
      <c r="B8" s="88" t="n">
        <v>0.2</v>
      </c>
      <c r="C8" s="88" t="n">
        <v>0.2</v>
      </c>
      <c r="D8" s="88" t="n">
        <v>0.2</v>
      </c>
      <c r="E8" s="89" t="n">
        <f aca="false">CHOOSE(Dashboard!$B$4,B8,C8,D8)</f>
        <v>0.2</v>
      </c>
      <c r="F8" s="38" t="s">
        <v>266</v>
      </c>
      <c r="G8" s="87"/>
    </row>
    <row r="9" customFormat="false" ht="15" hidden="false" customHeight="false" outlineLevel="0" collapsed="false">
      <c r="A9" s="6" t="s">
        <v>267</v>
      </c>
      <c r="B9" s="88" t="n">
        <v>0.03</v>
      </c>
      <c r="C9" s="88" t="n">
        <v>0.03</v>
      </c>
      <c r="D9" s="88" t="n">
        <v>0.03</v>
      </c>
      <c r="E9" s="89" t="n">
        <f aca="false">CHOOSE(Dashboard!$B$4,B9,C9,D9)</f>
        <v>0.03</v>
      </c>
      <c r="F9" s="38" t="s">
        <v>266</v>
      </c>
      <c r="G9" s="87" t="s">
        <v>268</v>
      </c>
    </row>
    <row r="10" customFormat="false" ht="15" hidden="false" customHeight="false" outlineLevel="0" collapsed="false">
      <c r="A10" s="6" t="s">
        <v>269</v>
      </c>
      <c r="B10" s="90" t="n">
        <v>10</v>
      </c>
      <c r="C10" s="90" t="n">
        <v>10</v>
      </c>
      <c r="D10" s="90" t="n">
        <v>10</v>
      </c>
      <c r="E10" s="91" t="n">
        <f aca="false">CHOOSE(Dashboard!$B$4,B10,C10,D10)</f>
        <v>10</v>
      </c>
      <c r="F10" s="38" t="s">
        <v>270</v>
      </c>
      <c r="G10" s="87"/>
    </row>
    <row r="12" customFormat="false" ht="15.75" hidden="false" customHeight="true" outlineLevel="0" collapsed="false">
      <c r="A12" s="7" t="s">
        <v>271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6" t="s">
        <v>272</v>
      </c>
      <c r="B13" s="92" t="n">
        <v>1600</v>
      </c>
      <c r="C13" s="92" t="n">
        <v>1700</v>
      </c>
      <c r="D13" s="92" t="n">
        <v>1800</v>
      </c>
      <c r="E13" s="93" t="n">
        <f aca="false">CHOOSE(Dashboard!$B$4,B13,C13,D13)</f>
        <v>1700</v>
      </c>
      <c r="F13" s="38" t="s">
        <v>264</v>
      </c>
      <c r="G13" s="87" t="s">
        <v>273</v>
      </c>
    </row>
    <row r="14" customFormat="false" ht="15" hidden="false" customHeight="false" outlineLevel="0" collapsed="false">
      <c r="A14" s="6" t="s">
        <v>274</v>
      </c>
      <c r="B14" s="88" t="n">
        <v>0.02</v>
      </c>
      <c r="C14" s="88" t="n">
        <v>0.03</v>
      </c>
      <c r="D14" s="88" t="n">
        <v>0.04</v>
      </c>
      <c r="E14" s="89" t="n">
        <f aca="false">CHOOSE(Dashboard!$B$4,B14,C14,D14)</f>
        <v>0.03</v>
      </c>
      <c r="F14" s="38" t="s">
        <v>266</v>
      </c>
      <c r="G14" s="87" t="s">
        <v>273</v>
      </c>
    </row>
    <row r="15" customFormat="false" ht="15" hidden="false" customHeight="false" outlineLevel="0" collapsed="false">
      <c r="A15" s="6" t="s">
        <v>275</v>
      </c>
      <c r="B15" s="88" t="n">
        <v>0.08</v>
      </c>
      <c r="C15" s="88" t="n">
        <v>0.05</v>
      </c>
      <c r="D15" s="88" t="n">
        <v>0.04</v>
      </c>
      <c r="E15" s="89" t="n">
        <f aca="false">CHOOSE(Dashboard!$B$4,B15,C15,D15)</f>
        <v>0.05</v>
      </c>
      <c r="F15" s="38" t="s">
        <v>266</v>
      </c>
      <c r="G15" s="87" t="s">
        <v>268</v>
      </c>
    </row>
    <row r="16" customFormat="false" ht="15" hidden="false" customHeight="false" outlineLevel="0" collapsed="false">
      <c r="A16" s="6" t="s">
        <v>276</v>
      </c>
      <c r="B16" s="92" t="n">
        <v>20</v>
      </c>
      <c r="C16" s="92" t="n">
        <v>25</v>
      </c>
      <c r="D16" s="92" t="n">
        <v>30</v>
      </c>
      <c r="E16" s="93" t="n">
        <f aca="false">CHOOSE(Dashboard!$B$4,B16,C16,D16)</f>
        <v>25</v>
      </c>
      <c r="F16" s="38" t="s">
        <v>264</v>
      </c>
      <c r="G16" s="87" t="s">
        <v>273</v>
      </c>
    </row>
    <row r="18" customFormat="false" ht="15.75" hidden="false" customHeight="true" outlineLevel="0" collapsed="false">
      <c r="A18" s="7" t="s">
        <v>277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6" t="s">
        <v>278</v>
      </c>
      <c r="B19" s="88" t="n">
        <v>0.07</v>
      </c>
      <c r="C19" s="88" t="n">
        <v>0.06</v>
      </c>
      <c r="D19" s="88" t="n">
        <v>0.05</v>
      </c>
      <c r="E19" s="89" t="n">
        <f aca="false">CHOOSE(Dashboard!$B$4,B19,C19,D19)</f>
        <v>0.06</v>
      </c>
      <c r="F19" s="38" t="s">
        <v>266</v>
      </c>
      <c r="G19" s="87" t="s">
        <v>268</v>
      </c>
    </row>
    <row r="20" customFormat="false" ht="15" hidden="false" customHeight="false" outlineLevel="0" collapsed="false">
      <c r="A20" s="6" t="s">
        <v>279</v>
      </c>
      <c r="B20" s="85" t="n">
        <v>900</v>
      </c>
      <c r="C20" s="85" t="n">
        <v>900</v>
      </c>
      <c r="D20" s="85" t="n">
        <v>900</v>
      </c>
      <c r="E20" s="86" t="n">
        <f aca="false">CHOOSE(Dashboard!$B$4,B20,C20,D20)</f>
        <v>900</v>
      </c>
      <c r="F20" s="38" t="s">
        <v>264</v>
      </c>
      <c r="G20" s="87"/>
    </row>
    <row r="21" customFormat="false" ht="15" hidden="false" customHeight="false" outlineLevel="0" collapsed="false">
      <c r="A21" s="6" t="s">
        <v>280</v>
      </c>
      <c r="B21" s="88" t="n">
        <v>0.011</v>
      </c>
      <c r="C21" s="88" t="n">
        <v>0.011</v>
      </c>
      <c r="D21" s="88" t="n">
        <v>0.011</v>
      </c>
      <c r="E21" s="89" t="n">
        <f aca="false">CHOOSE(Dashboard!$B$4,B21,C21,D21)</f>
        <v>0.011</v>
      </c>
      <c r="F21" s="38" t="s">
        <v>266</v>
      </c>
      <c r="G21" s="87"/>
    </row>
    <row r="22" customFormat="false" ht="15" hidden="false" customHeight="false" outlineLevel="0" collapsed="false">
      <c r="A22" s="6" t="s">
        <v>281</v>
      </c>
      <c r="B22" s="85" t="n">
        <v>800</v>
      </c>
      <c r="C22" s="85" t="n">
        <v>800</v>
      </c>
      <c r="D22" s="85" t="n">
        <v>800</v>
      </c>
      <c r="E22" s="86" t="n">
        <f aca="false">CHOOSE(Dashboard!$B$4,B22,C22,D22)</f>
        <v>800</v>
      </c>
      <c r="F22" s="38" t="s">
        <v>264</v>
      </c>
      <c r="G22" s="87"/>
    </row>
    <row r="23" customFormat="false" ht="15" hidden="false" customHeight="false" outlineLevel="0" collapsed="false">
      <c r="A23" s="6" t="s">
        <v>282</v>
      </c>
      <c r="B23" s="88" t="n">
        <v>0.08</v>
      </c>
      <c r="C23" s="88" t="n">
        <v>0.08</v>
      </c>
      <c r="D23" s="88" t="n">
        <v>0.08</v>
      </c>
      <c r="E23" s="89" t="n">
        <f aca="false">CHOOSE(Dashboard!$B$4,B23,C23,D23)</f>
        <v>0.08</v>
      </c>
      <c r="F23" s="38" t="s">
        <v>266</v>
      </c>
      <c r="G23" s="87" t="s">
        <v>268</v>
      </c>
    </row>
    <row r="24" customFormat="false" ht="15" hidden="false" customHeight="false" outlineLevel="0" collapsed="false">
      <c r="A24" s="6" t="s">
        <v>283</v>
      </c>
      <c r="B24" s="85" t="n">
        <v>400</v>
      </c>
      <c r="C24" s="85" t="n">
        <v>400</v>
      </c>
      <c r="D24" s="85" t="n">
        <v>400</v>
      </c>
      <c r="E24" s="86" t="n">
        <f aca="false">CHOOSE(Dashboard!$B$4,B24,C24,D24)</f>
        <v>400</v>
      </c>
      <c r="F24" s="38" t="s">
        <v>264</v>
      </c>
      <c r="G24" s="87"/>
    </row>
    <row r="25" customFormat="false" ht="15" hidden="false" customHeight="false" outlineLevel="0" collapsed="false">
      <c r="A25" s="6" t="s">
        <v>284</v>
      </c>
      <c r="B25" s="88" t="n">
        <v>0.04</v>
      </c>
      <c r="C25" s="88" t="n">
        <v>0.03</v>
      </c>
      <c r="D25" s="88" t="n">
        <v>0.025</v>
      </c>
      <c r="E25" s="89" t="n">
        <f aca="false">CHOOSE(Dashboard!$B$4,B25,C25,D25)</f>
        <v>0.03</v>
      </c>
      <c r="F25" s="38" t="s">
        <v>266</v>
      </c>
      <c r="G25" s="87" t="s">
        <v>268</v>
      </c>
    </row>
    <row r="26" customFormat="false" ht="15" hidden="false" customHeight="false" outlineLevel="0" collapsed="false">
      <c r="A26" s="6" t="s">
        <v>285</v>
      </c>
      <c r="B26" s="85" t="n">
        <v>350</v>
      </c>
      <c r="C26" s="85" t="n">
        <v>350</v>
      </c>
      <c r="D26" s="85" t="n">
        <v>350</v>
      </c>
      <c r="E26" s="86" t="n">
        <f aca="false">CHOOSE(Dashboard!$B$4,B26,C26,D26)</f>
        <v>350</v>
      </c>
      <c r="F26" s="38" t="s">
        <v>264</v>
      </c>
      <c r="G26" s="87"/>
    </row>
    <row r="28" customFormat="false" ht="15.75" hidden="false" customHeight="true" outlineLevel="0" collapsed="false">
      <c r="A28" s="7" t="s">
        <v>286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287</v>
      </c>
      <c r="B29" s="88" t="n">
        <v>0.0725</v>
      </c>
      <c r="C29" s="88" t="n">
        <v>0.0675</v>
      </c>
      <c r="D29" s="88" t="n">
        <v>0.0625</v>
      </c>
      <c r="E29" s="89" t="n">
        <f aca="false">CHOOSE(Dashboard!$B$4,B29,C29,D29)</f>
        <v>0.0675</v>
      </c>
      <c r="F29" s="38" t="s">
        <v>266</v>
      </c>
      <c r="G29" s="87" t="s">
        <v>268</v>
      </c>
    </row>
    <row r="30" customFormat="false" ht="15" hidden="false" customHeight="false" outlineLevel="0" collapsed="false">
      <c r="A30" s="6" t="s">
        <v>288</v>
      </c>
      <c r="B30" s="88" t="n">
        <v>0.06</v>
      </c>
      <c r="C30" s="88" t="n">
        <v>0.05</v>
      </c>
      <c r="D30" s="88" t="n">
        <v>0.05</v>
      </c>
      <c r="E30" s="89" t="n">
        <f aca="false">CHOOSE(Dashboard!$B$4,B30,C30,D30)</f>
        <v>0.05</v>
      </c>
      <c r="F30" s="38" t="s">
        <v>266</v>
      </c>
      <c r="G30" s="87" t="s">
        <v>268</v>
      </c>
    </row>
    <row r="31" customFormat="false" ht="15" hidden="false" customHeight="false" outlineLevel="0" collapsed="false">
      <c r="A31" s="6" t="s">
        <v>289</v>
      </c>
      <c r="B31" s="88" t="n">
        <v>0.1</v>
      </c>
      <c r="C31" s="88" t="n">
        <v>0.1</v>
      </c>
      <c r="D31" s="88" t="n">
        <v>0.1</v>
      </c>
      <c r="E31" s="89" t="n">
        <f aca="false">CHOOSE(Dashboard!$B$4,B31,C31,D31)</f>
        <v>0.1</v>
      </c>
      <c r="F31" s="38" t="s">
        <v>266</v>
      </c>
      <c r="G31" s="87"/>
    </row>
    <row r="33" customFormat="false" ht="15.75" hidden="false" customHeight="true" outlineLevel="0" collapsed="false">
      <c r="A33" s="7" t="s">
        <v>290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6" t="s">
        <v>291</v>
      </c>
      <c r="B34" s="85" t="n">
        <v>760000</v>
      </c>
      <c r="C34" s="85" t="n">
        <v>760000</v>
      </c>
      <c r="D34" s="85" t="n">
        <v>760000</v>
      </c>
      <c r="E34" s="86" t="n">
        <f aca="false">CHOOSE(Dashboard!$B$4,B34,C34,D34)</f>
        <v>760000</v>
      </c>
      <c r="F34" s="38" t="s">
        <v>264</v>
      </c>
      <c r="G34" s="87"/>
    </row>
    <row r="35" customFormat="false" ht="15" hidden="false" customHeight="false" outlineLevel="0" collapsed="false">
      <c r="A35" s="6" t="s">
        <v>292</v>
      </c>
      <c r="B35" s="85" t="n">
        <v>1200000</v>
      </c>
      <c r="C35" s="85" t="n">
        <v>1200000</v>
      </c>
      <c r="D35" s="85" t="n">
        <v>1200000</v>
      </c>
      <c r="E35" s="86" t="n">
        <f aca="false">CHOOSE(Dashboard!$B$4,B35,C35,D35)</f>
        <v>1200000</v>
      </c>
      <c r="F35" s="38" t="s">
        <v>264</v>
      </c>
      <c r="G35" s="87"/>
    </row>
    <row r="36" customFormat="false" ht="15" hidden="false" customHeight="false" outlineLevel="0" collapsed="false">
      <c r="A36" s="6" t="s">
        <v>293</v>
      </c>
      <c r="B36" s="88" t="n">
        <v>0.065</v>
      </c>
      <c r="C36" s="88" t="n">
        <v>0.065</v>
      </c>
      <c r="D36" s="88" t="n">
        <v>0.065</v>
      </c>
      <c r="E36" s="89" t="n">
        <f aca="false">CHOOSE(Dashboard!$B$4,B36,C36,D36)</f>
        <v>0.065</v>
      </c>
      <c r="F36" s="38" t="s">
        <v>266</v>
      </c>
      <c r="G36" s="87"/>
    </row>
    <row r="37" customFormat="false" ht="15" hidden="false" customHeight="false" outlineLevel="0" collapsed="false">
      <c r="A37" s="6" t="s">
        <v>294</v>
      </c>
      <c r="B37" s="90" t="n">
        <v>30</v>
      </c>
      <c r="C37" s="90" t="n">
        <v>30</v>
      </c>
      <c r="D37" s="90" t="n">
        <v>30</v>
      </c>
      <c r="E37" s="91" t="n">
        <f aca="false">CHOOSE(Dashboard!$B$4,B37,C37,D37)</f>
        <v>30</v>
      </c>
      <c r="F37" s="38" t="s">
        <v>295</v>
      </c>
      <c r="G37" s="87"/>
    </row>
    <row r="39" customFormat="false" ht="15.75" hidden="false" customHeight="true" outlineLevel="0" collapsed="false">
      <c r="A39" s="7" t="s">
        <v>296</v>
      </c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6" t="s">
        <v>297</v>
      </c>
      <c r="B40" s="90" t="n">
        <v>0</v>
      </c>
      <c r="C40" s="90" t="n">
        <v>0</v>
      </c>
      <c r="D40" s="90" t="n">
        <v>0</v>
      </c>
      <c r="E40" s="91" t="n">
        <f aca="false">CHOOSE(Dashboard!$B$4,B40,C40,D40)</f>
        <v>0</v>
      </c>
      <c r="F40" s="38" t="s">
        <v>298</v>
      </c>
      <c r="G40" s="87"/>
    </row>
    <row r="41" customFormat="false" ht="15" hidden="false" customHeight="false" outlineLevel="0" collapsed="false">
      <c r="A41" s="6" t="s">
        <v>299</v>
      </c>
      <c r="B41" s="90" t="n">
        <v>0</v>
      </c>
      <c r="C41" s="90" t="n">
        <v>0</v>
      </c>
      <c r="D41" s="90" t="n">
        <v>0</v>
      </c>
      <c r="E41" s="91" t="n">
        <f aca="false">CHOOSE(Dashboard!$B$4,B41,C41,D41)</f>
        <v>0</v>
      </c>
      <c r="F41" s="38" t="s">
        <v>298</v>
      </c>
      <c r="G41" s="87"/>
    </row>
    <row r="42" customFormat="false" ht="15" hidden="false" customHeight="false" outlineLevel="0" collapsed="false">
      <c r="A42" s="6" t="s">
        <v>300</v>
      </c>
      <c r="B42" s="90" t="n">
        <v>15</v>
      </c>
      <c r="C42" s="90" t="n">
        <v>15</v>
      </c>
      <c r="D42" s="90" t="n">
        <v>15</v>
      </c>
      <c r="E42" s="91" t="n">
        <f aca="false">CHOOSE(Dashboard!$B$4,B42,C42,D42)</f>
        <v>15</v>
      </c>
      <c r="F42" s="38" t="s">
        <v>298</v>
      </c>
      <c r="G42" s="87"/>
    </row>
    <row r="44" customFormat="false" ht="15.75" hidden="false" customHeight="true" outlineLevel="0" collapsed="false">
      <c r="A44" s="7" t="s">
        <v>301</v>
      </c>
      <c r="B44" s="7"/>
      <c r="C44" s="7"/>
      <c r="D44" s="7"/>
      <c r="E44" s="7"/>
      <c r="F44" s="7"/>
      <c r="G44" s="7"/>
    </row>
    <row r="45" customFormat="false" ht="15" hidden="false" customHeight="false" outlineLevel="0" collapsed="false">
      <c r="A45" s="6" t="s">
        <v>302</v>
      </c>
      <c r="B45" s="90" t="n">
        <v>27</v>
      </c>
      <c r="C45" s="90" t="n">
        <v>27</v>
      </c>
      <c r="D45" s="90" t="n">
        <v>27</v>
      </c>
      <c r="E45" s="91" t="n">
        <f aca="false">CHOOSE(Dashboard!$B$4,B45,C45,D45)</f>
        <v>27</v>
      </c>
      <c r="F45" s="38" t="s">
        <v>295</v>
      </c>
      <c r="G45" s="87"/>
    </row>
    <row r="46" customFormat="false" ht="15" hidden="false" customHeight="false" outlineLevel="0" collapsed="false">
      <c r="A46" s="6" t="s">
        <v>303</v>
      </c>
      <c r="B46" s="88" t="n">
        <v>0.21</v>
      </c>
      <c r="C46" s="88" t="n">
        <v>0.21</v>
      </c>
      <c r="D46" s="88" t="n">
        <v>0.21</v>
      </c>
      <c r="E46" s="89" t="n">
        <f aca="false">CHOOSE(Dashboard!$B$4,B46,C46,D46)</f>
        <v>0.21</v>
      </c>
      <c r="F46" s="38" t="s">
        <v>266</v>
      </c>
      <c r="G46" s="87"/>
    </row>
    <row r="48" customFormat="false" ht="15.75" hidden="false" customHeight="true" outlineLevel="0" collapsed="false">
      <c r="A48" s="7" t="s">
        <v>304</v>
      </c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6" t="s">
        <v>109</v>
      </c>
      <c r="B49" s="85" t="n">
        <v>12000</v>
      </c>
      <c r="C49" s="85" t="n">
        <v>12000</v>
      </c>
      <c r="D49" s="85" t="n">
        <v>12000</v>
      </c>
      <c r="E49" s="86" t="n">
        <f aca="false">CHOOSE(Dashboard!$B$4,B49,C49,D49)</f>
        <v>12000</v>
      </c>
      <c r="F49" s="38" t="s">
        <v>264</v>
      </c>
      <c r="G49" s="87" t="s">
        <v>305</v>
      </c>
    </row>
    <row r="51" customFormat="false" ht="15.75" hidden="false" customHeight="true" outlineLevel="0" collapsed="false">
      <c r="A51" s="7" t="s">
        <v>306</v>
      </c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6" t="s">
        <v>136</v>
      </c>
      <c r="B52" s="88" t="n">
        <v>0.25</v>
      </c>
      <c r="C52" s="88" t="n">
        <v>0.2</v>
      </c>
      <c r="D52" s="88" t="n">
        <v>0.17</v>
      </c>
      <c r="E52" s="89" t="n">
        <f aca="false">CHOOSE(Dashboard!$B$4,B52,C52,D52)</f>
        <v>0.2</v>
      </c>
      <c r="F52" s="38" t="s">
        <v>266</v>
      </c>
      <c r="G52" s="87" t="s">
        <v>268</v>
      </c>
    </row>
    <row r="53" customFormat="false" ht="15" hidden="false" customHeight="false" outlineLevel="0" collapsed="false">
      <c r="A53" s="6" t="s">
        <v>307</v>
      </c>
      <c r="B53" s="88" t="n">
        <v>0.01</v>
      </c>
      <c r="C53" s="88" t="n">
        <v>0.02</v>
      </c>
      <c r="D53" s="88" t="n">
        <v>0.03</v>
      </c>
      <c r="E53" s="89" t="n">
        <f aca="false">CHOOSE(Dashboard!$B$4,B53,C53,D53)</f>
        <v>0.02</v>
      </c>
      <c r="F53" s="38" t="s">
        <v>266</v>
      </c>
      <c r="G53" s="87" t="s">
        <v>273</v>
      </c>
    </row>
    <row r="54" customFormat="false" ht="15" hidden="false" customHeight="false" outlineLevel="0" collapsed="false">
      <c r="A54" s="6" t="s">
        <v>138</v>
      </c>
      <c r="B54" s="94" t="n">
        <v>3.5</v>
      </c>
      <c r="C54" s="94" t="n">
        <v>4.5</v>
      </c>
      <c r="D54" s="94" t="n">
        <v>6</v>
      </c>
      <c r="E54" s="95" t="n">
        <f aca="false">CHOOSE(Dashboard!$B$4,B54,C54,D54)</f>
        <v>4.5</v>
      </c>
      <c r="F54" s="38" t="s">
        <v>308</v>
      </c>
      <c r="G54" s="87" t="s">
        <v>273</v>
      </c>
    </row>
    <row r="55" customFormat="false" ht="15" hidden="false" customHeight="false" outlineLevel="0" collapsed="false">
      <c r="A55" s="6" t="s">
        <v>309</v>
      </c>
      <c r="B55" s="88" t="n">
        <v>0.01</v>
      </c>
      <c r="C55" s="88" t="n">
        <v>0.01</v>
      </c>
      <c r="D55" s="88" t="n">
        <v>0.01</v>
      </c>
      <c r="E55" s="89" t="n">
        <f aca="false">CHOOSE(Dashboard!$B$4,B55,C55,D55)</f>
        <v>0.01</v>
      </c>
      <c r="F55" s="38" t="s">
        <v>266</v>
      </c>
      <c r="G55" s="87"/>
    </row>
    <row r="56" customFormat="false" ht="15" hidden="false" customHeight="false" outlineLevel="0" collapsed="false">
      <c r="A56" s="6" t="s">
        <v>310</v>
      </c>
      <c r="B56" s="88" t="n">
        <v>0.005</v>
      </c>
      <c r="C56" s="88" t="n">
        <v>0.005</v>
      </c>
      <c r="D56" s="88" t="n">
        <v>0.005</v>
      </c>
      <c r="E56" s="89" t="n">
        <f aca="false">CHOOSE(Dashboard!$B$4,B56,C56,D56)</f>
        <v>0.005</v>
      </c>
      <c r="F56" s="38" t="s">
        <v>266</v>
      </c>
      <c r="G56" s="87"/>
    </row>
    <row r="58" customFormat="false" ht="15" hidden="false" customHeight="false" outlineLevel="0" collapsed="false">
      <c r="A58" s="21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312</v>
      </c>
    </row>
    <row r="3" customFormat="false" ht="15" hidden="false" customHeight="false" outlineLevel="0" collapsed="false">
      <c r="A3" s="56" t="s">
        <v>122</v>
      </c>
      <c r="B3" s="56" t="n">
        <v>1</v>
      </c>
      <c r="C3" s="56" t="n">
        <v>2</v>
      </c>
      <c r="D3" s="56" t="n">
        <v>3</v>
      </c>
      <c r="E3" s="56" t="n">
        <v>4</v>
      </c>
      <c r="F3" s="56" t="n">
        <v>5</v>
      </c>
    </row>
    <row r="4" customFormat="false" ht="15" hidden="false" customHeight="false" outlineLevel="0" collapsed="false">
      <c r="A4" s="33"/>
      <c r="B4" s="57" t="s">
        <v>123</v>
      </c>
      <c r="C4" s="57" t="s">
        <v>124</v>
      </c>
      <c r="D4" s="57" t="s">
        <v>125</v>
      </c>
      <c r="E4" s="57" t="s">
        <v>126</v>
      </c>
      <c r="F4" s="57" t="s">
        <v>127</v>
      </c>
    </row>
    <row r="5" customFormat="false" ht="15" hidden="false" customHeight="false" outlineLevel="0" collapsed="false">
      <c r="A5" s="4" t="s">
        <v>43</v>
      </c>
      <c r="B5" s="58" t="n">
        <f aca="false">SUMIF(Monthly!$C$5:$BJ$5,B$3,Monthly!$C$12:$BJ$12)</f>
        <v>196650</v>
      </c>
      <c r="C5" s="58" t="n">
        <f aca="false">SUMIF(Monthly!$C$5:$BJ$5,C$3,Monthly!$C$12:$BJ$12)</f>
        <v>202549.5</v>
      </c>
      <c r="D5" s="58" t="n">
        <f aca="false">SUMIF(Monthly!$C$5:$BJ$5,D$3,Monthly!$C$12:$BJ$12)</f>
        <v>208625.985</v>
      </c>
      <c r="E5" s="58" t="n">
        <f aca="false">SUMIF(Monthly!$C$5:$BJ$5,E$3,Monthly!$C$12:$BJ$12)</f>
        <v>214884.76455</v>
      </c>
      <c r="F5" s="58" t="n">
        <f aca="false">SUMIF(Monthly!$C$5:$BJ$5,F$3,Monthly!$C$12:$BJ$12)</f>
        <v>221331.3074865</v>
      </c>
    </row>
    <row r="6" customFormat="false" ht="15" hidden="false" customHeight="false" outlineLevel="0" collapsed="false">
      <c r="A6" s="6" t="s">
        <v>74</v>
      </c>
      <c r="B6" s="51" t="n">
        <f aca="false">SUMIF(Monthly!$C$5:$BJ$5,B$3,Monthly!$C$17:$BJ$17)</f>
        <v>-22428</v>
      </c>
      <c r="C6" s="51" t="n">
        <f aca="false">SUMIF(Monthly!$C$5:$BJ$5,C$3,Monthly!$C$17:$BJ$17)</f>
        <v>-23100.84</v>
      </c>
      <c r="D6" s="51" t="n">
        <f aca="false">SUMIF(Monthly!$C$5:$BJ$5,D$3,Monthly!$C$17:$BJ$17)</f>
        <v>-23793.8652</v>
      </c>
      <c r="E6" s="51" t="n">
        <f aca="false">SUMIF(Monthly!$C$5:$BJ$5,E$3,Monthly!$C$17:$BJ$17)</f>
        <v>-24507.681156</v>
      </c>
      <c r="F6" s="51" t="n">
        <f aca="false">SUMIF(Monthly!$C$5:$BJ$5,F$3,Monthly!$C$17:$BJ$17)</f>
        <v>-25242.91159068</v>
      </c>
    </row>
    <row r="7" customFormat="false" ht="15" hidden="false" customHeight="false" outlineLevel="0" collapsed="false">
      <c r="A7" s="96" t="s">
        <v>44</v>
      </c>
      <c r="B7" s="52" t="n">
        <f aca="false">SUMIF(Monthly!$C$5:$BJ$5,B$3,Monthly!$C$18:$BJ$18)</f>
        <v>174222</v>
      </c>
      <c r="C7" s="52" t="n">
        <f aca="false">SUMIF(Monthly!$C$5:$BJ$5,C$3,Monthly!$C$18:$BJ$18)</f>
        <v>179448.66</v>
      </c>
      <c r="D7" s="52" t="n">
        <f aca="false">SUMIF(Monthly!$C$5:$BJ$5,D$3,Monthly!$C$18:$BJ$18)</f>
        <v>184832.1198</v>
      </c>
      <c r="E7" s="52" t="n">
        <f aca="false">SUMIF(Monthly!$C$5:$BJ$5,E$3,Monthly!$C$18:$BJ$18)</f>
        <v>190377.083394</v>
      </c>
      <c r="F7" s="52" t="n">
        <f aca="false">SUMIF(Monthly!$C$5:$BJ$5,F$3,Monthly!$C$18:$BJ$18)</f>
        <v>196088.39589582</v>
      </c>
    </row>
    <row r="8" customFormat="false" ht="15" hidden="false" customHeight="false" outlineLevel="0" collapsed="false">
      <c r="A8" s="38" t="s">
        <v>45</v>
      </c>
      <c r="B8" s="59" t="n">
        <f aca="false">IF(B5=0,0,B7/B5)</f>
        <v>0.885949656750572</v>
      </c>
      <c r="C8" s="59" t="n">
        <f aca="false">IF(C5=0,0,C7/C5)</f>
        <v>0.885949656750572</v>
      </c>
      <c r="D8" s="59" t="n">
        <f aca="false">IF(D5=0,0,D7/D5)</f>
        <v>0.885949656750572</v>
      </c>
      <c r="E8" s="59" t="n">
        <f aca="false">IF(E5=0,0,E7/E5)</f>
        <v>0.885949656750572</v>
      </c>
      <c r="F8" s="59" t="n">
        <f aca="false">IF(F5=0,0,F7/F5)</f>
        <v>0.885949656750572</v>
      </c>
    </row>
    <row r="9" customFormat="false" ht="15" hidden="false" customHeight="false" outlineLevel="0" collapsed="false">
      <c r="A9" s="6" t="s">
        <v>313</v>
      </c>
      <c r="B9" s="51" t="n">
        <f aca="false">SUMIF(Monthly!$C$5:$BJ$5,B$3,Monthly!$C$21:$BJ$21)</f>
        <v>-20350</v>
      </c>
      <c r="C9" s="51" t="n">
        <f aca="false">SUMIF(Monthly!$C$5:$BJ$5,C$3,Monthly!$C$21:$BJ$21)</f>
        <v>-20960.5</v>
      </c>
      <c r="D9" s="51" t="n">
        <f aca="false">SUMIF(Monthly!$C$5:$BJ$5,D$3,Monthly!$C$21:$BJ$21)</f>
        <v>-21589.315</v>
      </c>
      <c r="E9" s="51" t="n">
        <f aca="false">SUMIF(Monthly!$C$5:$BJ$5,E$3,Monthly!$C$21:$BJ$21)</f>
        <v>-22236.99445</v>
      </c>
      <c r="F9" s="51" t="n">
        <f aca="false">SUMIF(Monthly!$C$5:$BJ$5,F$3,Monthly!$C$21:$BJ$21)</f>
        <v>-22904.1042835</v>
      </c>
    </row>
    <row r="10" customFormat="false" ht="15" hidden="false" customHeight="false" outlineLevel="0" collapsed="false">
      <c r="A10" s="6" t="s">
        <v>314</v>
      </c>
      <c r="B10" s="51" t="n">
        <f aca="false">SUMIF(Monthly!$C$5:$BJ$5,B$3,Monthly!$C$22:$BJ$22)</f>
        <v>-8000</v>
      </c>
      <c r="C10" s="51" t="n">
        <f aca="false">SUMIF(Monthly!$C$5:$BJ$5,C$3,Monthly!$C$22:$BJ$22)</f>
        <v>-8240</v>
      </c>
      <c r="D10" s="51" t="n">
        <f aca="false">SUMIF(Monthly!$C$5:$BJ$5,D$3,Monthly!$C$22:$BJ$22)</f>
        <v>-8487.2</v>
      </c>
      <c r="E10" s="51" t="n">
        <f aca="false">SUMIF(Monthly!$C$5:$BJ$5,E$3,Monthly!$C$22:$BJ$22)</f>
        <v>-8741.816</v>
      </c>
      <c r="F10" s="51" t="n">
        <f aca="false">SUMIF(Monthly!$C$5:$BJ$5,F$3,Monthly!$C$22:$BJ$22)</f>
        <v>-9004.07048</v>
      </c>
    </row>
    <row r="11" customFormat="false" ht="15" hidden="false" customHeight="false" outlineLevel="0" collapsed="false">
      <c r="A11" s="6" t="s">
        <v>315</v>
      </c>
      <c r="B11" s="51" t="n">
        <f aca="false">SUMIF(Monthly!$C$5:$BJ$5,B$3,Monthly!$C$23:$BJ$23)</f>
        <v>-15732</v>
      </c>
      <c r="C11" s="51" t="n">
        <f aca="false">SUMIF(Monthly!$C$5:$BJ$5,C$3,Monthly!$C$23:$BJ$23)</f>
        <v>-16203.96</v>
      </c>
      <c r="D11" s="51" t="n">
        <f aca="false">SUMIF(Monthly!$C$5:$BJ$5,D$3,Monthly!$C$23:$BJ$23)</f>
        <v>-16690.0788</v>
      </c>
      <c r="E11" s="51" t="n">
        <f aca="false">SUMIF(Monthly!$C$5:$BJ$5,E$3,Monthly!$C$23:$BJ$23)</f>
        <v>-17190.781164</v>
      </c>
      <c r="F11" s="51" t="n">
        <f aca="false">SUMIF(Monthly!$C$5:$BJ$5,F$3,Monthly!$C$23:$BJ$23)</f>
        <v>-17706.50459892</v>
      </c>
    </row>
    <row r="12" customFormat="false" ht="15" hidden="false" customHeight="false" outlineLevel="0" collapsed="false">
      <c r="A12" s="6" t="s">
        <v>316</v>
      </c>
      <c r="B12" s="51" t="n">
        <f aca="false">SUMIF(Monthly!$C$5:$BJ$5,B$3,Monthly!$C$24:$BJ$24)</f>
        <v>-4800</v>
      </c>
      <c r="C12" s="51" t="n">
        <f aca="false">SUMIF(Monthly!$C$5:$BJ$5,C$3,Monthly!$C$24:$BJ$24)</f>
        <v>-4944</v>
      </c>
      <c r="D12" s="51" t="n">
        <f aca="false">SUMIF(Monthly!$C$5:$BJ$5,D$3,Monthly!$C$24:$BJ$24)</f>
        <v>-5092.32</v>
      </c>
      <c r="E12" s="51" t="n">
        <f aca="false">SUMIF(Monthly!$C$5:$BJ$5,E$3,Monthly!$C$24:$BJ$24)</f>
        <v>-5245.0896</v>
      </c>
      <c r="F12" s="51" t="n">
        <f aca="false">SUMIF(Monthly!$C$5:$BJ$5,F$3,Monthly!$C$24:$BJ$24)</f>
        <v>-5402.442288</v>
      </c>
    </row>
    <row r="13" customFormat="false" ht="15" hidden="false" customHeight="false" outlineLevel="0" collapsed="false">
      <c r="A13" s="96" t="s">
        <v>75</v>
      </c>
      <c r="B13" s="52" t="n">
        <f aca="false">SUMIF(Monthly!$C$5:$BJ$5,B$3,Monthly!$C$25:$BJ$25)</f>
        <v>-48882</v>
      </c>
      <c r="C13" s="52" t="n">
        <f aca="false">SUMIF(Monthly!$C$5:$BJ$5,C$3,Monthly!$C$25:$BJ$25)</f>
        <v>-50348.46</v>
      </c>
      <c r="D13" s="52" t="n">
        <f aca="false">SUMIF(Monthly!$C$5:$BJ$5,D$3,Monthly!$C$25:$BJ$25)</f>
        <v>-51858.9138</v>
      </c>
      <c r="E13" s="52" t="n">
        <f aca="false">SUMIF(Monthly!$C$5:$BJ$5,E$3,Monthly!$C$25:$BJ$25)</f>
        <v>-53414.681214</v>
      </c>
      <c r="F13" s="52" t="n">
        <f aca="false">SUMIF(Monthly!$C$5:$BJ$5,F$3,Monthly!$C$25:$BJ$25)</f>
        <v>-55017.12165042</v>
      </c>
    </row>
    <row r="14" customFormat="false" ht="15" hidden="false" customHeight="false" outlineLevel="0" collapsed="false">
      <c r="A14" s="96" t="s">
        <v>47</v>
      </c>
      <c r="B14" s="52" t="n">
        <f aca="false">SUMIF(Monthly!$C$5:$BJ$5,B$3,Monthly!$C$26:$BJ$26)</f>
        <v>125340</v>
      </c>
      <c r="C14" s="52" t="n">
        <f aca="false">SUMIF(Monthly!$C$5:$BJ$5,C$3,Monthly!$C$26:$BJ$26)</f>
        <v>129100.2</v>
      </c>
      <c r="D14" s="52" t="n">
        <f aca="false">SUMIF(Monthly!$C$5:$BJ$5,D$3,Monthly!$C$26:$BJ$26)</f>
        <v>132973.206</v>
      </c>
      <c r="E14" s="52" t="n">
        <f aca="false">SUMIF(Monthly!$C$5:$BJ$5,E$3,Monthly!$C$26:$BJ$26)</f>
        <v>136962.40218</v>
      </c>
      <c r="F14" s="52" t="n">
        <f aca="false">SUMIF(Monthly!$C$5:$BJ$5,F$3,Monthly!$C$26:$BJ$26)</f>
        <v>141071.2742454</v>
      </c>
    </row>
    <row r="15" customFormat="false" ht="15" hidden="false" customHeight="false" outlineLevel="0" collapsed="false">
      <c r="A15" s="38" t="s">
        <v>48</v>
      </c>
      <c r="B15" s="59" t="n">
        <f aca="false">IF(B5=0,0,B14/B5)</f>
        <v>0.637376048817696</v>
      </c>
      <c r="C15" s="59" t="n">
        <f aca="false">IF(C5=0,0,C14/C5)</f>
        <v>0.637376048817697</v>
      </c>
      <c r="D15" s="59" t="n">
        <f aca="false">IF(D5=0,0,D14/D5)</f>
        <v>0.637376048817697</v>
      </c>
      <c r="E15" s="59" t="n">
        <f aca="false">IF(E5=0,0,E14/E5)</f>
        <v>0.637376048817696</v>
      </c>
      <c r="F15" s="59" t="n">
        <f aca="false">IF(F5=0,0,F14/F5)</f>
        <v>0.637376048817696</v>
      </c>
    </row>
    <row r="16" customFormat="false" ht="15" hidden="false" customHeight="false" outlineLevel="0" collapsed="false">
      <c r="A16" s="6" t="s">
        <v>76</v>
      </c>
      <c r="B16" s="51" t="n">
        <f aca="false">SUMIF(Monthly!$C$5:$BJ$5,B$3,Monthly!$C$44:$BJ$44)</f>
        <v>-56940.5864197531</v>
      </c>
      <c r="C16" s="51" t="n">
        <f aca="false">SUMIF(Monthly!$C$5:$BJ$5,C$3,Monthly!$C$44:$BJ$44)</f>
        <v>-57072.3225308643</v>
      </c>
      <c r="D16" s="51" t="n">
        <f aca="false">SUMIF(Monthly!$C$5:$BJ$5,D$3,Monthly!$C$44:$BJ$44)</f>
        <v>-57208.0107253087</v>
      </c>
      <c r="E16" s="51" t="n">
        <f aca="false">SUMIF(Monthly!$C$5:$BJ$5,E$3,Monthly!$C$44:$BJ$44)</f>
        <v>-57347.7695655865</v>
      </c>
      <c r="F16" s="51" t="n">
        <f aca="false">SUMIF(Monthly!$C$5:$BJ$5,F$3,Monthly!$C$44:$BJ$44)</f>
        <v>-57491.7211710727</v>
      </c>
    </row>
    <row r="17" customFormat="false" ht="15" hidden="false" customHeight="false" outlineLevel="0" collapsed="false">
      <c r="A17" s="4" t="s">
        <v>77</v>
      </c>
      <c r="B17" s="58" t="n">
        <f aca="false">SUMIF(Monthly!$C$5:$BJ$5,B$3,Monthly!$C$29:$BJ$29)</f>
        <v>68399.4135802469</v>
      </c>
      <c r="C17" s="58" t="n">
        <f aca="false">SUMIF(Monthly!$C$5:$BJ$5,C$3,Monthly!$C$29:$BJ$29)</f>
        <v>72027.8774691358</v>
      </c>
      <c r="D17" s="58" t="n">
        <f aca="false">SUMIF(Monthly!$C$5:$BJ$5,D$3,Monthly!$C$29:$BJ$29)</f>
        <v>75765.1952746913</v>
      </c>
      <c r="E17" s="58" t="n">
        <f aca="false">SUMIF(Monthly!$C$5:$BJ$5,E$3,Monthly!$C$29:$BJ$29)</f>
        <v>79614.6326144135</v>
      </c>
      <c r="F17" s="58" t="n">
        <f aca="false">SUMIF(Monthly!$C$5:$BJ$5,F$3,Monthly!$C$29:$BJ$29)</f>
        <v>83579.5530743274</v>
      </c>
    </row>
    <row r="18" customFormat="false" ht="15" hidden="false" customHeight="false" outlineLevel="0" collapsed="false">
      <c r="A18" s="6" t="s">
        <v>78</v>
      </c>
      <c r="B18" s="51" t="n">
        <f aca="false">SUMIF(Monthly!$C$5:$BJ$5,B$3,Monthly!$C$30:$BJ$30)</f>
        <v>-77605.089755467</v>
      </c>
      <c r="C18" s="51" t="n">
        <f aca="false">SUMIF(Monthly!$C$5:$BJ$5,C$3,Monthly!$C$30:$BJ$30)</f>
        <v>-76706.816019227</v>
      </c>
      <c r="D18" s="51" t="n">
        <f aca="false">SUMIF(Monthly!$C$5:$BJ$5,D$3,Monthly!$C$30:$BJ$30)</f>
        <v>-75748.3832272659</v>
      </c>
      <c r="E18" s="51" t="n">
        <f aca="false">SUMIF(Monthly!$C$5:$BJ$5,E$3,Monthly!$C$30:$BJ$30)</f>
        <v>-74725.7624162071</v>
      </c>
      <c r="F18" s="51" t="n">
        <f aca="false">SUMIF(Monthly!$C$5:$BJ$5,F$3,Monthly!$C$30:$BJ$30)</f>
        <v>-73634.6547955354</v>
      </c>
    </row>
    <row r="19" customFormat="false" ht="15" hidden="false" customHeight="false" outlineLevel="0" collapsed="false">
      <c r="A19" s="97" t="s">
        <v>79</v>
      </c>
      <c r="B19" s="98" t="n">
        <f aca="false">SUMIF(Monthly!$C$5:$BJ$5,B$3,Monthly!$C$31:$BJ$31)</f>
        <v>-9205.67617522005</v>
      </c>
      <c r="C19" s="98" t="n">
        <f aca="false">SUMIF(Monthly!$C$5:$BJ$5,C$3,Monthly!$C$31:$BJ$31)</f>
        <v>-4678.93855009125</v>
      </c>
      <c r="D19" s="98" t="n">
        <f aca="false">SUMIF(Monthly!$C$5:$BJ$5,D$3,Monthly!$C$31:$BJ$31)</f>
        <v>16.8120474254474</v>
      </c>
      <c r="E19" s="98" t="n">
        <f aca="false">SUMIF(Monthly!$C$5:$BJ$5,E$3,Monthly!$C$31:$BJ$31)</f>
        <v>4888.8701982064</v>
      </c>
      <c r="F19" s="98" t="n">
        <f aca="false">SUMIF(Monthly!$C$5:$BJ$5,F$3,Monthly!$C$31:$BJ$31)</f>
        <v>9944.89827879204</v>
      </c>
    </row>
    <row r="20" customFormat="false" ht="15" hidden="false" customHeight="false" outlineLevel="0" collapsed="false">
      <c r="A20" s="6" t="s">
        <v>80</v>
      </c>
      <c r="B20" s="51" t="n">
        <f aca="false">SUMIF(Monthly!$C$5:$BJ$5,B$3,Monthly!$C$34:$BJ$34)</f>
        <v>0</v>
      </c>
      <c r="C20" s="51" t="n">
        <f aca="false">SUMIF(Monthly!$C$5:$BJ$5,C$3,Monthly!$C$34:$BJ$34)</f>
        <v>0</v>
      </c>
      <c r="D20" s="51" t="n">
        <f aca="false">SUMIF(Monthly!$C$5:$BJ$5,D$3,Monthly!$C$34:$BJ$34)</f>
        <v>0</v>
      </c>
      <c r="E20" s="51" t="n">
        <f aca="false">SUMIF(Monthly!$C$5:$BJ$5,E$3,Monthly!$C$34:$BJ$34)</f>
        <v>0</v>
      </c>
      <c r="F20" s="51" t="n">
        <f aca="false">SUMIF(Monthly!$C$5:$BJ$5,F$3,Monthly!$C$34:$BJ$34)</f>
        <v>-202.852817813645</v>
      </c>
    </row>
    <row r="21" customFormat="false" ht="15" hidden="false" customHeight="false" outlineLevel="0" collapsed="false">
      <c r="A21" s="54" t="s">
        <v>49</v>
      </c>
      <c r="B21" s="55" t="n">
        <f aca="false">SUMIF(Monthly!$C$5:$BJ$5,B$3,Monthly!$C$35:$BJ$35)</f>
        <v>-9205.67617522005</v>
      </c>
      <c r="C21" s="55" t="n">
        <f aca="false">SUMIF(Monthly!$C$5:$BJ$5,C$3,Monthly!$C$35:$BJ$35)</f>
        <v>-4678.93855009125</v>
      </c>
      <c r="D21" s="55" t="n">
        <f aca="false">SUMIF(Monthly!$C$5:$BJ$5,D$3,Monthly!$C$35:$BJ$35)</f>
        <v>16.8120474254474</v>
      </c>
      <c r="E21" s="55" t="n">
        <f aca="false">SUMIF(Monthly!$C$5:$BJ$5,E$3,Monthly!$C$35:$BJ$35)</f>
        <v>4888.8701982064</v>
      </c>
      <c r="F21" s="55" t="n">
        <f aca="false">SUMIF(Monthly!$C$5:$BJ$5,F$3,Monthly!$C$35:$BJ$35)</f>
        <v>9742.0454609784</v>
      </c>
    </row>
    <row r="22" customFormat="false" ht="15" hidden="false" customHeight="false" outlineLevel="0" collapsed="false">
      <c r="A22" s="38" t="s">
        <v>50</v>
      </c>
      <c r="B22" s="59" t="n">
        <f aca="false">IF(B5=0,0,B21/B5)</f>
        <v>-0.0468124900850244</v>
      </c>
      <c r="C22" s="59" t="n">
        <f aca="false">IF(C5=0,0,C21/C5)</f>
        <v>-0.0231002226620715</v>
      </c>
      <c r="D22" s="59" t="n">
        <f aca="false">IF(D5=0,0,D21/D5)</f>
        <v>8.05846281586036E-005</v>
      </c>
      <c r="E22" s="59" t="n">
        <f aca="false">IF(E5=0,0,E21/E5)</f>
        <v>0.0227511252761191</v>
      </c>
      <c r="F22" s="59" t="n">
        <f aca="false">IF(F5=0,0,F21/F5)</f>
        <v>0.0440156685089506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312</v>
      </c>
    </row>
    <row r="3" customFormat="false" ht="15" hidden="false" customHeight="false" outlineLevel="0" collapsed="false">
      <c r="A3" s="56" t="s">
        <v>122</v>
      </c>
      <c r="B3" s="56" t="n">
        <v>1</v>
      </c>
      <c r="C3" s="56" t="n">
        <v>2</v>
      </c>
      <c r="D3" s="56" t="n">
        <v>3</v>
      </c>
      <c r="E3" s="56" t="n">
        <v>4</v>
      </c>
      <c r="F3" s="56" t="n">
        <v>5</v>
      </c>
    </row>
    <row r="4" customFormat="false" ht="15" hidden="false" customHeight="false" outlineLevel="0" collapsed="false">
      <c r="A4" s="33"/>
      <c r="B4" s="57" t="s">
        <v>123</v>
      </c>
      <c r="C4" s="57" t="s">
        <v>124</v>
      </c>
      <c r="D4" s="57" t="s">
        <v>125</v>
      </c>
      <c r="E4" s="57" t="s">
        <v>126</v>
      </c>
      <c r="F4" s="57" t="s">
        <v>127</v>
      </c>
    </row>
    <row r="5" customFormat="false" ht="15" hidden="false" customHeight="false" outlineLevel="0" collapsed="false">
      <c r="A5" s="6" t="s">
        <v>49</v>
      </c>
      <c r="B5" s="51" t="n">
        <f aca="false">SUMIF(Monthly!$C$5:$BJ$5,B$3,Monthly!$C$35:$BJ$35)</f>
        <v>-9205.67617522005</v>
      </c>
      <c r="C5" s="51" t="n">
        <f aca="false">SUMIF(Monthly!$C$5:$BJ$5,C$3,Monthly!$C$35:$BJ$35)</f>
        <v>-4678.93855009125</v>
      </c>
      <c r="D5" s="51" t="n">
        <f aca="false">SUMIF(Monthly!$C$5:$BJ$5,D$3,Monthly!$C$35:$BJ$35)</f>
        <v>16.8120474254474</v>
      </c>
      <c r="E5" s="51" t="n">
        <f aca="false">SUMIF(Monthly!$C$5:$BJ$5,E$3,Monthly!$C$35:$BJ$35)</f>
        <v>4888.8701982064</v>
      </c>
      <c r="F5" s="51" t="n">
        <f aca="false">SUMIF(Monthly!$C$5:$BJ$5,F$3,Monthly!$C$35:$BJ$35)</f>
        <v>9742.0454609784</v>
      </c>
    </row>
    <row r="6" customFormat="false" ht="15" hidden="false" customHeight="false" outlineLevel="0" collapsed="false">
      <c r="A6" s="6" t="s">
        <v>317</v>
      </c>
      <c r="B6" s="51" t="n">
        <f aca="false">-SUMIF(Monthly!$C$5:$BJ$5,B$3,Monthly!$C$44:$BJ$44)</f>
        <v>56940.5864197531</v>
      </c>
      <c r="C6" s="51" t="n">
        <f aca="false">-SUMIF(Monthly!$C$5:$BJ$5,C$3,Monthly!$C$44:$BJ$44)</f>
        <v>57072.3225308643</v>
      </c>
      <c r="D6" s="51" t="n">
        <f aca="false">-SUMIF(Monthly!$C$5:$BJ$5,D$3,Monthly!$C$44:$BJ$44)</f>
        <v>57208.0107253087</v>
      </c>
      <c r="E6" s="51" t="n">
        <f aca="false">-SUMIF(Monthly!$C$5:$BJ$5,E$3,Monthly!$C$44:$BJ$44)</f>
        <v>57347.7695655865</v>
      </c>
      <c r="F6" s="51" t="n">
        <f aca="false">-SUMIF(Monthly!$C$5:$BJ$5,F$3,Monthly!$C$44:$BJ$44)</f>
        <v>57491.7211710727</v>
      </c>
    </row>
    <row r="7" customFormat="false" ht="15" hidden="false" customHeight="false" outlineLevel="0" collapsed="false">
      <c r="A7" s="6" t="s">
        <v>318</v>
      </c>
      <c r="B7" s="51" t="n">
        <f aca="false">SUMIF(Monthly!$C$5:$BJ$5,B$3,Monthly!$C$60:$BJ$60)</f>
        <v>0</v>
      </c>
      <c r="C7" s="51" t="n">
        <f aca="false">SUMIF(Monthly!$C$5:$BJ$5,C$3,Monthly!$C$60:$BJ$60)</f>
        <v>0</v>
      </c>
      <c r="D7" s="51" t="n">
        <f aca="false">SUMIF(Monthly!$C$5:$BJ$5,D$3,Monthly!$C$60:$BJ$60)</f>
        <v>0</v>
      </c>
      <c r="E7" s="51" t="n">
        <f aca="false">SUMIF(Monthly!$C$5:$BJ$5,E$3,Monthly!$C$60:$BJ$60)</f>
        <v>0</v>
      </c>
      <c r="F7" s="51" t="n">
        <f aca="false">SUMIF(Monthly!$C$5:$BJ$5,F$3,Monthly!$C$60:$BJ$60)</f>
        <v>0</v>
      </c>
    </row>
    <row r="8" customFormat="false" ht="15" hidden="false" customHeight="false" outlineLevel="0" collapsed="false">
      <c r="A8" s="6" t="s">
        <v>319</v>
      </c>
      <c r="B8" s="51" t="n">
        <f aca="false">SUMIF(Monthly!$C$5:$BJ$5,B$3,Monthly!$C$61:$BJ$61)</f>
        <v>0</v>
      </c>
      <c r="C8" s="51" t="n">
        <f aca="false">SUMIF(Monthly!$C$5:$BJ$5,C$3,Monthly!$C$61:$BJ$61)</f>
        <v>0</v>
      </c>
      <c r="D8" s="51" t="n">
        <f aca="false">SUMIF(Monthly!$C$5:$BJ$5,D$3,Monthly!$C$61:$BJ$61)</f>
        <v>0</v>
      </c>
      <c r="E8" s="51" t="n">
        <f aca="false">SUMIF(Monthly!$C$5:$BJ$5,E$3,Monthly!$C$61:$BJ$61)</f>
        <v>0</v>
      </c>
      <c r="F8" s="51" t="n">
        <f aca="false">SUMIF(Monthly!$C$5:$BJ$5,F$3,Monthly!$C$61:$BJ$61)</f>
        <v>0</v>
      </c>
    </row>
    <row r="9" customFormat="false" ht="15" hidden="false" customHeight="false" outlineLevel="0" collapsed="false">
      <c r="A9" s="6" t="s">
        <v>320</v>
      </c>
      <c r="B9" s="51" t="n">
        <f aca="false">SUMIF(Monthly!$C$5:$BJ$5,B$3,Monthly!$C$62:$BJ$62)</f>
        <v>934.5</v>
      </c>
      <c r="C9" s="51" t="n">
        <f aca="false">SUMIF(Monthly!$C$5:$BJ$5,C$3,Monthly!$C$62:$BJ$62)</f>
        <v>28.035</v>
      </c>
      <c r="D9" s="51" t="n">
        <f aca="false">SUMIF(Monthly!$C$5:$BJ$5,D$3,Monthly!$C$62:$BJ$62)</f>
        <v>28.87605</v>
      </c>
      <c r="E9" s="51" t="n">
        <f aca="false">SUMIF(Monthly!$C$5:$BJ$5,E$3,Monthly!$C$62:$BJ$62)</f>
        <v>29.7423315000001</v>
      </c>
      <c r="F9" s="51" t="n">
        <f aca="false">SUMIF(Monthly!$C$5:$BJ$5,F$3,Monthly!$C$62:$BJ$62)</f>
        <v>30.6346014450003</v>
      </c>
    </row>
    <row r="10" customFormat="false" ht="15" hidden="false" customHeight="false" outlineLevel="0" collapsed="false">
      <c r="A10" s="96" t="s">
        <v>51</v>
      </c>
      <c r="B10" s="52" t="n">
        <f aca="false">SUMIF(Monthly!$C$5:$BJ$5,B$3,Monthly!$C$65:$BJ$65)</f>
        <v>48669.4102445331</v>
      </c>
      <c r="C10" s="52" t="n">
        <f aca="false">SUMIF(Monthly!$C$5:$BJ$5,C$3,Monthly!$C$65:$BJ$65)</f>
        <v>52421.418980773</v>
      </c>
      <c r="D10" s="52" t="n">
        <f aca="false">SUMIF(Monthly!$C$5:$BJ$5,D$3,Monthly!$C$65:$BJ$65)</f>
        <v>57253.6988227342</v>
      </c>
      <c r="E10" s="52" t="n">
        <f aca="false">SUMIF(Monthly!$C$5:$BJ$5,E$3,Monthly!$C$65:$BJ$65)</f>
        <v>62266.3820952929</v>
      </c>
      <c r="F10" s="52" t="n">
        <f aca="false">SUMIF(Monthly!$C$5:$BJ$5,F$3,Monthly!$C$65:$BJ$65)</f>
        <v>67264.4012334961</v>
      </c>
    </row>
    <row r="11" customFormat="false" ht="15" hidden="false" customHeight="false" outlineLevel="0" collapsed="false">
      <c r="A11" s="6" t="s">
        <v>82</v>
      </c>
      <c r="B11" s="51" t="n">
        <f aca="false">SUMIF(Monthly!$C$5:$BJ$5,B$3,Monthly!$C$66:$BJ$66)</f>
        <v>-1909000</v>
      </c>
      <c r="C11" s="51" t="n">
        <f aca="false">SUMIF(Monthly!$C$5:$BJ$5,C$3,Monthly!$C$66:$BJ$66)</f>
        <v>-3605</v>
      </c>
      <c r="D11" s="51" t="n">
        <f aca="false">SUMIF(Monthly!$C$5:$BJ$5,D$3,Monthly!$C$66:$BJ$66)</f>
        <v>-3713.15</v>
      </c>
      <c r="E11" s="51" t="n">
        <f aca="false">SUMIF(Monthly!$C$5:$BJ$5,E$3,Monthly!$C$66:$BJ$66)</f>
        <v>-3824.5445</v>
      </c>
      <c r="F11" s="51" t="n">
        <f aca="false">SUMIF(Monthly!$C$5:$BJ$5,F$3,Monthly!$C$66:$BJ$66)</f>
        <v>-3939.280835</v>
      </c>
    </row>
    <row r="12" customFormat="false" ht="15" hidden="false" customHeight="false" outlineLevel="0" collapsed="false">
      <c r="A12" s="6" t="s">
        <v>62</v>
      </c>
      <c r="B12" s="51" t="n">
        <f aca="false">SUMIF(Monthly!$C$5:$BJ$5,B$3,Monthly!$C$67:$BJ$67)</f>
        <v>760000</v>
      </c>
      <c r="C12" s="51" t="n">
        <f aca="false">SUMIF(Monthly!$C$5:$BJ$5,C$3,Monthly!$C$67:$BJ$67)</f>
        <v>0</v>
      </c>
      <c r="D12" s="51" t="n">
        <f aca="false">SUMIF(Monthly!$C$5:$BJ$5,D$3,Monthly!$C$67:$BJ$67)</f>
        <v>0</v>
      </c>
      <c r="E12" s="51" t="n">
        <f aca="false">SUMIF(Monthly!$C$5:$BJ$5,E$3,Monthly!$C$67:$BJ$67)</f>
        <v>0</v>
      </c>
      <c r="F12" s="51" t="n">
        <f aca="false">SUMIF(Monthly!$C$5:$BJ$5,F$3,Monthly!$C$67:$BJ$67)</f>
        <v>0</v>
      </c>
    </row>
    <row r="13" customFormat="false" ht="15" hidden="false" customHeight="false" outlineLevel="0" collapsed="false">
      <c r="A13" s="6" t="s">
        <v>83</v>
      </c>
      <c r="B13" s="51" t="n">
        <f aca="false">SUMIF(Monthly!$C$5:$BJ$5,B$3,Monthly!$C$50:$BJ$50)</f>
        <v>1200000</v>
      </c>
      <c r="C13" s="51" t="n">
        <f aca="false">SUMIF(Monthly!$C$5:$BJ$5,C$3,Monthly!$C$50:$BJ$50)</f>
        <v>0</v>
      </c>
      <c r="D13" s="51" t="n">
        <f aca="false">SUMIF(Monthly!$C$5:$BJ$5,D$3,Monthly!$C$50:$BJ$50)</f>
        <v>0</v>
      </c>
      <c r="E13" s="51" t="n">
        <f aca="false">SUMIF(Monthly!$C$5:$BJ$5,E$3,Monthly!$C$50:$BJ$50)</f>
        <v>0</v>
      </c>
      <c r="F13" s="51" t="n">
        <f aca="false">SUMIF(Monthly!$C$5:$BJ$5,F$3,Monthly!$C$50:$BJ$50)</f>
        <v>0</v>
      </c>
    </row>
    <row r="14" customFormat="false" ht="15" hidden="false" customHeight="false" outlineLevel="0" collapsed="false">
      <c r="A14" s="6" t="s">
        <v>84</v>
      </c>
      <c r="B14" s="51" t="n">
        <f aca="false">SUMIF(Monthly!$C$5:$BJ$5,B$3,Monthly!$C$52:$BJ$52)</f>
        <v>-13412.7056275198</v>
      </c>
      <c r="C14" s="51" t="n">
        <f aca="false">SUMIF(Monthly!$C$5:$BJ$5,C$3,Monthly!$C$52:$BJ$52)</f>
        <v>-14310.9793637598</v>
      </c>
      <c r="D14" s="51" t="n">
        <f aca="false">SUMIF(Monthly!$C$5:$BJ$5,D$3,Monthly!$C$52:$BJ$52)</f>
        <v>-15269.4121557209</v>
      </c>
      <c r="E14" s="51" t="n">
        <f aca="false">SUMIF(Monthly!$C$5:$BJ$5,E$3,Monthly!$C$52:$BJ$52)</f>
        <v>-16292.0329667797</v>
      </c>
      <c r="F14" s="51" t="n">
        <f aca="false">SUMIF(Monthly!$C$5:$BJ$5,F$3,Monthly!$C$52:$BJ$52)</f>
        <v>-17383.1405874514</v>
      </c>
    </row>
    <row r="15" customFormat="false" ht="15" hidden="false" customHeight="false" outlineLevel="0" collapsed="false">
      <c r="A15" s="96" t="s">
        <v>53</v>
      </c>
      <c r="B15" s="52" t="n">
        <f aca="false">SUMIF(Monthly!$C$5:$BJ$5,B$3,Monthly!$C$68:$BJ$68)</f>
        <v>1946587.29437248</v>
      </c>
      <c r="C15" s="52" t="n">
        <f aca="false">SUMIF(Monthly!$C$5:$BJ$5,C$3,Monthly!$C$68:$BJ$68)</f>
        <v>-14310.9793637598</v>
      </c>
      <c r="D15" s="52" t="n">
        <f aca="false">SUMIF(Monthly!$C$5:$BJ$5,D$3,Monthly!$C$68:$BJ$68)</f>
        <v>-15269.4121557209</v>
      </c>
      <c r="E15" s="52" t="n">
        <f aca="false">SUMIF(Monthly!$C$5:$BJ$5,E$3,Monthly!$C$68:$BJ$68)</f>
        <v>-16292.0329667797</v>
      </c>
      <c r="F15" s="52" t="n">
        <f aca="false">SUMIF(Monthly!$C$5:$BJ$5,F$3,Monthly!$C$68:$BJ$68)</f>
        <v>-17383.1405874514</v>
      </c>
    </row>
    <row r="16" customFormat="false" ht="15" hidden="false" customHeight="false" outlineLevel="0" collapsed="false">
      <c r="A16" s="4" t="s">
        <v>54</v>
      </c>
      <c r="B16" s="58" t="n">
        <f aca="false">SUMIF(Monthly!$C$5:$BJ$5,B$3,Monthly!$C$69:$BJ$69)</f>
        <v>86256.7046170131</v>
      </c>
      <c r="C16" s="58" t="n">
        <f aca="false">SUMIF(Monthly!$C$5:$BJ$5,C$3,Monthly!$C$69:$BJ$69)</f>
        <v>34505.4396170132</v>
      </c>
      <c r="D16" s="58" t="n">
        <f aca="false">SUMIF(Monthly!$C$5:$BJ$5,D$3,Monthly!$C$69:$BJ$69)</f>
        <v>38271.1366670132</v>
      </c>
      <c r="E16" s="58" t="n">
        <f aca="false">SUMIF(Monthly!$C$5:$BJ$5,E$3,Monthly!$C$69:$BJ$69)</f>
        <v>42149.8046285132</v>
      </c>
      <c r="F16" s="58" t="n">
        <f aca="false">SUMIF(Monthly!$C$5:$BJ$5,F$3,Monthly!$C$69:$BJ$69)</f>
        <v>45941.9798110446</v>
      </c>
    </row>
    <row r="17" customFormat="false" ht="15" hidden="false" customHeight="false" outlineLevel="0" collapsed="false">
      <c r="A17" s="6" t="s">
        <v>321</v>
      </c>
      <c r="B17" s="51" t="n">
        <f aca="false">INDEX(Monthly!$C$70:$BJ$70,(B$3-1)*12+1)</f>
        <v>0</v>
      </c>
      <c r="C17" s="51" t="n">
        <f aca="false">INDEX(Monthly!$C$70:$BJ$70,(C$3-1)*12+1)</f>
        <v>86256.7046170131</v>
      </c>
      <c r="D17" s="51" t="n">
        <f aca="false">INDEX(Monthly!$C$70:$BJ$70,(D$3-1)*12+1)</f>
        <v>120762.144234026</v>
      </c>
      <c r="E17" s="51" t="n">
        <f aca="false">INDEX(Monthly!$C$70:$BJ$70,(E$3-1)*12+1)</f>
        <v>159033.28090104</v>
      </c>
      <c r="F17" s="51" t="n">
        <f aca="false">INDEX(Monthly!$C$70:$BJ$70,(F$3-1)*12+1)</f>
        <v>201183.085529553</v>
      </c>
    </row>
    <row r="18" customFormat="false" ht="15" hidden="false" customHeight="false" outlineLevel="0" collapsed="false">
      <c r="A18" s="54" t="s">
        <v>85</v>
      </c>
      <c r="B18" s="55" t="n">
        <f aca="false">INDEX(Monthly!$C$71:$BJ$71,B$3*12)</f>
        <v>86256.7046170131</v>
      </c>
      <c r="C18" s="55" t="n">
        <f aca="false">INDEX(Monthly!$C$71:$BJ$71,C$3*12)</f>
        <v>120762.144234026</v>
      </c>
      <c r="D18" s="55" t="n">
        <f aca="false">INDEX(Monthly!$C$71:$BJ$71,D$3*12)</f>
        <v>159033.28090104</v>
      </c>
      <c r="E18" s="55" t="n">
        <f aca="false">INDEX(Monthly!$C$71:$BJ$71,E$3*12)</f>
        <v>201183.085529553</v>
      </c>
      <c r="F18" s="55" t="n">
        <f aca="false">INDEX(Monthly!$C$71:$BJ$71,F$3*12)</f>
        <v>247125.065340597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312</v>
      </c>
    </row>
    <row r="3" customFormat="false" ht="15" hidden="false" customHeight="false" outlineLevel="0" collapsed="false">
      <c r="A3" s="56" t="s">
        <v>122</v>
      </c>
      <c r="B3" s="56" t="n">
        <v>1</v>
      </c>
      <c r="C3" s="56" t="n">
        <v>2</v>
      </c>
      <c r="D3" s="56" t="n">
        <v>3</v>
      </c>
      <c r="E3" s="56" t="n">
        <v>4</v>
      </c>
      <c r="F3" s="56" t="n">
        <v>5</v>
      </c>
    </row>
    <row r="4" customFormat="false" ht="15" hidden="false" customHeight="false" outlineLevel="0" collapsed="false">
      <c r="A4" s="33"/>
      <c r="B4" s="57" t="s">
        <v>123</v>
      </c>
      <c r="C4" s="57" t="s">
        <v>124</v>
      </c>
      <c r="D4" s="57" t="s">
        <v>125</v>
      </c>
      <c r="E4" s="57" t="s">
        <v>126</v>
      </c>
      <c r="F4" s="57" t="s">
        <v>127</v>
      </c>
    </row>
    <row r="5" customFormat="false" ht="15" hidden="false" customHeight="false" outlineLevel="0" collapsed="false">
      <c r="A5" s="6" t="s">
        <v>87</v>
      </c>
      <c r="B5" s="51" t="n">
        <f aca="false">INDEX(Monthly!$C$71:$BJ$71,B$3*12)</f>
        <v>86256.7046170131</v>
      </c>
      <c r="C5" s="51" t="n">
        <f aca="false">INDEX(Monthly!$C$71:$BJ$71,C$3*12)</f>
        <v>120762.144234026</v>
      </c>
      <c r="D5" s="51" t="n">
        <f aca="false">INDEX(Monthly!$C$71:$BJ$71,D$3*12)</f>
        <v>159033.28090104</v>
      </c>
      <c r="E5" s="51" t="n">
        <f aca="false">INDEX(Monthly!$C$71:$BJ$71,E$3*12)</f>
        <v>201183.085529553</v>
      </c>
      <c r="F5" s="51" t="n">
        <f aca="false">INDEX(Monthly!$C$71:$BJ$71,F$3*12)</f>
        <v>247125.065340597</v>
      </c>
    </row>
    <row r="6" customFormat="false" ht="15" hidden="false" customHeight="false" outlineLevel="0" collapsed="false">
      <c r="A6" s="6" t="s">
        <v>88</v>
      </c>
      <c r="B6" s="51" t="n">
        <f aca="false">INDEX(Monthly!$C$57:$BJ$57,B$3*12)</f>
        <v>0</v>
      </c>
      <c r="C6" s="51" t="n">
        <f aca="false">INDEX(Monthly!$C$57:$BJ$57,C$3*12)</f>
        <v>0</v>
      </c>
      <c r="D6" s="51" t="n">
        <f aca="false">INDEX(Monthly!$C$57:$BJ$57,D$3*12)</f>
        <v>0</v>
      </c>
      <c r="E6" s="51" t="n">
        <f aca="false">INDEX(Monthly!$C$57:$BJ$57,E$3*12)</f>
        <v>0</v>
      </c>
      <c r="F6" s="51" t="n">
        <f aca="false">INDEX(Monthly!$C$57:$BJ$57,F$3*12)</f>
        <v>0</v>
      </c>
    </row>
    <row r="7" customFormat="false" ht="15" hidden="false" customHeight="false" outlineLevel="0" collapsed="false">
      <c r="A7" s="6" t="s">
        <v>89</v>
      </c>
      <c r="B7" s="51" t="n">
        <f aca="false">INDEX(Monthly!$C$58:$BJ$58,B$3*12)</f>
        <v>0</v>
      </c>
      <c r="C7" s="51" t="n">
        <f aca="false">INDEX(Monthly!$C$58:$BJ$58,C$3*12)</f>
        <v>0</v>
      </c>
      <c r="D7" s="51" t="n">
        <f aca="false">INDEX(Monthly!$C$58:$BJ$58,D$3*12)</f>
        <v>0</v>
      </c>
      <c r="E7" s="51" t="n">
        <f aca="false">INDEX(Monthly!$C$58:$BJ$58,E$3*12)</f>
        <v>0</v>
      </c>
      <c r="F7" s="51" t="n">
        <f aca="false">INDEX(Monthly!$C$58:$BJ$58,F$3*12)</f>
        <v>0</v>
      </c>
    </row>
    <row r="8" customFormat="false" ht="15" hidden="false" customHeight="false" outlineLevel="0" collapsed="false">
      <c r="A8" s="6" t="s">
        <v>90</v>
      </c>
      <c r="B8" s="51" t="n">
        <f aca="false">INDEX(Monthly!$C$46:$BJ$46,B$3*12)</f>
        <v>1852059.41358025</v>
      </c>
      <c r="C8" s="51" t="n">
        <f aca="false">INDEX(Monthly!$C$46:$BJ$46,C$3*12)</f>
        <v>1798592.09104938</v>
      </c>
      <c r="D8" s="51" t="n">
        <f aca="false">INDEX(Monthly!$C$46:$BJ$46,D$3*12)</f>
        <v>1745097.23032408</v>
      </c>
      <c r="E8" s="51" t="n">
        <f aca="false">INDEX(Monthly!$C$46:$BJ$46,E$3*12)</f>
        <v>1691574.00525849</v>
      </c>
      <c r="F8" s="51" t="n">
        <f aca="false">INDEX(Monthly!$C$46:$BJ$46,F$3*12)</f>
        <v>1638021.56492242</v>
      </c>
    </row>
    <row r="9" customFormat="false" ht="15" hidden="false" customHeight="false" outlineLevel="0" collapsed="false">
      <c r="A9" s="96" t="s">
        <v>91</v>
      </c>
      <c r="B9" s="52" t="n">
        <f aca="false">INDEX(Monthly!$C$85:$BJ$85,B$3*12)</f>
        <v>1938316.11819726</v>
      </c>
      <c r="C9" s="52" t="n">
        <f aca="false">INDEX(Monthly!$C$85:$BJ$85,C$3*12)</f>
        <v>1919354.23528341</v>
      </c>
      <c r="D9" s="52" t="n">
        <f aca="false">INDEX(Monthly!$C$85:$BJ$85,D$3*12)</f>
        <v>1904130.51122512</v>
      </c>
      <c r="E9" s="52" t="n">
        <f aca="false">INDEX(Monthly!$C$85:$BJ$85,E$3*12)</f>
        <v>1892757.09078804</v>
      </c>
      <c r="F9" s="52" t="n">
        <f aca="false">INDEX(Monthly!$C$85:$BJ$85,F$3*12)</f>
        <v>1885146.63026302</v>
      </c>
    </row>
    <row r="10" customFormat="false" ht="15" hidden="false" customHeight="false" outlineLevel="0" collapsed="false">
      <c r="A10" s="6" t="s">
        <v>92</v>
      </c>
      <c r="B10" s="51" t="n">
        <f aca="false">INDEX(Monthly!$C$59:$BJ$59,B$3*12)</f>
        <v>934.5</v>
      </c>
      <c r="C10" s="51" t="n">
        <f aca="false">INDEX(Monthly!$C$59:$BJ$59,C$3*12)</f>
        <v>962.535</v>
      </c>
      <c r="D10" s="51" t="n">
        <f aca="false">INDEX(Monthly!$C$59:$BJ$59,D$3*12)</f>
        <v>991.41105</v>
      </c>
      <c r="E10" s="51" t="n">
        <f aca="false">INDEX(Monthly!$C$59:$BJ$59,E$3*12)</f>
        <v>1021.1533815</v>
      </c>
      <c r="F10" s="51" t="n">
        <f aca="false">INDEX(Monthly!$C$59:$BJ$59,F$3*12)</f>
        <v>1051.787982945</v>
      </c>
    </row>
    <row r="11" customFormat="false" ht="15" hidden="false" customHeight="false" outlineLevel="0" collapsed="false">
      <c r="A11" s="6" t="s">
        <v>93</v>
      </c>
      <c r="B11" s="51" t="n">
        <f aca="false">INDEX(Monthly!$C$54:$BJ$54,B$3*12)</f>
        <v>1186587.29437248</v>
      </c>
      <c r="C11" s="51" t="n">
        <f aca="false">INDEX(Monthly!$C$54:$BJ$54,C$3*12)</f>
        <v>1172276.31500872</v>
      </c>
      <c r="D11" s="51" t="n">
        <f aca="false">INDEX(Monthly!$C$54:$BJ$54,D$3*12)</f>
        <v>1157006.902853</v>
      </c>
      <c r="E11" s="51" t="n">
        <f aca="false">INDEX(Monthly!$C$54:$BJ$54,E$3*12)</f>
        <v>1140714.86988622</v>
      </c>
      <c r="F11" s="51" t="n">
        <f aca="false">INDEX(Monthly!$C$54:$BJ$54,F$3*12)</f>
        <v>1123331.72929877</v>
      </c>
    </row>
    <row r="12" customFormat="false" ht="15" hidden="false" customHeight="false" outlineLevel="0" collapsed="false">
      <c r="A12" s="97" t="s">
        <v>94</v>
      </c>
      <c r="B12" s="98" t="n">
        <f aca="false">INDEX(Monthly!$C$86:$BJ$86,B$3*12)</f>
        <v>1187521.79437248</v>
      </c>
      <c r="C12" s="98" t="n">
        <f aca="false">INDEX(Monthly!$C$86:$BJ$86,C$3*12)</f>
        <v>1173238.85000872</v>
      </c>
      <c r="D12" s="98" t="n">
        <f aca="false">INDEX(Monthly!$C$86:$BJ$86,D$3*12)</f>
        <v>1157998.313903</v>
      </c>
      <c r="E12" s="98" t="n">
        <f aca="false">INDEX(Monthly!$C$86:$BJ$86,E$3*12)</f>
        <v>1141736.02326772</v>
      </c>
      <c r="F12" s="98" t="n">
        <f aca="false">INDEX(Monthly!$C$86:$BJ$86,F$3*12)</f>
        <v>1124383.51728171</v>
      </c>
    </row>
    <row r="13" customFormat="false" ht="15" hidden="false" customHeight="false" outlineLevel="0" collapsed="false">
      <c r="A13" s="6" t="s">
        <v>95</v>
      </c>
      <c r="B13" s="51" t="n">
        <f aca="false">INDEX(Monthly!$C$83:$BJ$83,B$3*12)</f>
        <v>760000</v>
      </c>
      <c r="C13" s="51" t="n">
        <f aca="false">INDEX(Monthly!$C$83:$BJ$83,C$3*12)</f>
        <v>760000</v>
      </c>
      <c r="D13" s="51" t="n">
        <f aca="false">INDEX(Monthly!$C$83:$BJ$83,D$3*12)</f>
        <v>760000</v>
      </c>
      <c r="E13" s="51" t="n">
        <f aca="false">INDEX(Monthly!$C$83:$BJ$83,E$3*12)</f>
        <v>760000</v>
      </c>
      <c r="F13" s="51" t="n">
        <f aca="false">INDEX(Monthly!$C$83:$BJ$83,F$3*12)</f>
        <v>760000</v>
      </c>
    </row>
    <row r="14" customFormat="false" ht="15" hidden="false" customHeight="false" outlineLevel="0" collapsed="false">
      <c r="A14" s="6" t="s">
        <v>96</v>
      </c>
      <c r="B14" s="51" t="n">
        <f aca="false">INDEX(Monthly!$C$84:$BJ$84,B$3*12)</f>
        <v>-9205.67617522005</v>
      </c>
      <c r="C14" s="51" t="n">
        <f aca="false">INDEX(Monthly!$C$84:$BJ$84,C$3*12)</f>
        <v>-13884.6147253113</v>
      </c>
      <c r="D14" s="51" t="n">
        <f aca="false">INDEX(Monthly!$C$84:$BJ$84,D$3*12)</f>
        <v>-13867.8026778858</v>
      </c>
      <c r="E14" s="51" t="n">
        <f aca="false">INDEX(Monthly!$C$84:$BJ$84,E$3*12)</f>
        <v>-8978.93247967945</v>
      </c>
      <c r="F14" s="51" t="n">
        <f aca="false">INDEX(Monthly!$C$84:$BJ$84,F$3*12)</f>
        <v>763.112981298949</v>
      </c>
    </row>
    <row r="15" customFormat="false" ht="15" hidden="false" customHeight="false" outlineLevel="0" collapsed="false">
      <c r="A15" s="97" t="s">
        <v>97</v>
      </c>
      <c r="B15" s="98" t="n">
        <f aca="false">INDEX(Monthly!$C$87:$BJ$87,B$3*12)</f>
        <v>750794.32382478</v>
      </c>
      <c r="C15" s="98" t="n">
        <f aca="false">INDEX(Monthly!$C$87:$BJ$87,C$3*12)</f>
        <v>746115.385274689</v>
      </c>
      <c r="D15" s="98" t="n">
        <f aca="false">INDEX(Monthly!$C$87:$BJ$87,D$3*12)</f>
        <v>746132.197322114</v>
      </c>
      <c r="E15" s="98" t="n">
        <f aca="false">INDEX(Monthly!$C$87:$BJ$87,E$3*12)</f>
        <v>751021.067520321</v>
      </c>
      <c r="F15" s="98" t="n">
        <f aca="false">INDEX(Monthly!$C$87:$BJ$87,F$3*12)</f>
        <v>760763.112981299</v>
      </c>
    </row>
    <row r="16" customFormat="false" ht="15" hidden="false" customHeight="false" outlineLevel="0" collapsed="false">
      <c r="A16" s="54" t="s">
        <v>98</v>
      </c>
      <c r="B16" s="55" t="n">
        <f aca="false">INDEX(Monthly!$C$88:$BJ$88,B$3*12)</f>
        <v>1938316.11819726</v>
      </c>
      <c r="C16" s="55" t="n">
        <f aca="false">INDEX(Monthly!$C$88:$BJ$88,C$3*12)</f>
        <v>1919354.23528341</v>
      </c>
      <c r="D16" s="55" t="n">
        <f aca="false">INDEX(Monthly!$C$88:$BJ$88,D$3*12)</f>
        <v>1904130.51122511</v>
      </c>
      <c r="E16" s="55" t="n">
        <f aca="false">INDEX(Monthly!$C$88:$BJ$88,E$3*12)</f>
        <v>1892757.09078804</v>
      </c>
      <c r="F16" s="55" t="n">
        <f aca="false">INDEX(Monthly!$C$88:$BJ$88,F$3*12)</f>
        <v>1885146.63026301</v>
      </c>
    </row>
    <row r="17" customFormat="false" ht="15" hidden="false" customHeight="false" outlineLevel="0" collapsed="false">
      <c r="A17" s="6" t="s">
        <v>322</v>
      </c>
      <c r="B17" s="51" t="n">
        <f aca="false">INDEX(Monthly!$C$89:$BJ$89,B$3*12)</f>
        <v>0</v>
      </c>
      <c r="C17" s="51" t="n">
        <f aca="false">INDEX(Monthly!$C$89:$BJ$89,C$3*12)</f>
        <v>0</v>
      </c>
      <c r="D17" s="51" t="n">
        <f aca="false">INDEX(Monthly!$C$89:$BJ$89,D$3*12)</f>
        <v>0</v>
      </c>
      <c r="E17" s="51" t="n">
        <f aca="false">INDEX(Monthly!$C$89:$BJ$89,E$3*12)</f>
        <v>0</v>
      </c>
      <c r="F17" s="51" t="n">
        <f aca="false">INDEX(Monthly!$C$89:$BJ$89,F$3*12)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8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323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324</v>
      </c>
    </row>
    <row r="3" customFormat="false" ht="15" hidden="false" customHeight="false" outlineLevel="0" collapsed="false">
      <c r="A3" s="33" t="s">
        <v>325</v>
      </c>
      <c r="C3" s="57" t="s">
        <v>326</v>
      </c>
      <c r="D3" s="57" t="s">
        <v>327</v>
      </c>
      <c r="E3" s="57" t="s">
        <v>328</v>
      </c>
      <c r="F3" s="57" t="s">
        <v>329</v>
      </c>
      <c r="G3" s="57" t="s">
        <v>330</v>
      </c>
      <c r="H3" s="57" t="s">
        <v>331</v>
      </c>
      <c r="I3" s="57" t="s">
        <v>332</v>
      </c>
      <c r="J3" s="57" t="s">
        <v>333</v>
      </c>
      <c r="K3" s="57" t="s">
        <v>334</v>
      </c>
      <c r="L3" s="57" t="s">
        <v>335</v>
      </c>
      <c r="M3" s="57" t="s">
        <v>336</v>
      </c>
      <c r="N3" s="57" t="s">
        <v>337</v>
      </c>
      <c r="O3" s="57" t="s">
        <v>338</v>
      </c>
      <c r="P3" s="57" t="s">
        <v>339</v>
      </c>
      <c r="Q3" s="57" t="s">
        <v>340</v>
      </c>
      <c r="R3" s="57" t="s">
        <v>341</v>
      </c>
      <c r="S3" s="57" t="s">
        <v>342</v>
      </c>
      <c r="T3" s="57" t="s">
        <v>343</v>
      </c>
      <c r="U3" s="57" t="s">
        <v>344</v>
      </c>
      <c r="V3" s="57" t="s">
        <v>345</v>
      </c>
      <c r="W3" s="57" t="s">
        <v>346</v>
      </c>
      <c r="X3" s="57" t="s">
        <v>347</v>
      </c>
      <c r="Y3" s="57" t="s">
        <v>348</v>
      </c>
      <c r="Z3" s="57" t="s">
        <v>349</v>
      </c>
      <c r="AA3" s="57" t="s">
        <v>350</v>
      </c>
      <c r="AB3" s="57" t="s">
        <v>351</v>
      </c>
      <c r="AC3" s="57" t="s">
        <v>352</v>
      </c>
      <c r="AD3" s="57" t="s">
        <v>353</v>
      </c>
      <c r="AE3" s="57" t="s">
        <v>354</v>
      </c>
      <c r="AF3" s="57" t="s">
        <v>355</v>
      </c>
      <c r="AG3" s="57" t="s">
        <v>356</v>
      </c>
      <c r="AH3" s="57" t="s">
        <v>357</v>
      </c>
      <c r="AI3" s="57" t="s">
        <v>358</v>
      </c>
      <c r="AJ3" s="57" t="s">
        <v>359</v>
      </c>
      <c r="AK3" s="57" t="s">
        <v>360</v>
      </c>
      <c r="AL3" s="57" t="s">
        <v>361</v>
      </c>
      <c r="AM3" s="57" t="s">
        <v>362</v>
      </c>
      <c r="AN3" s="57" t="s">
        <v>363</v>
      </c>
      <c r="AO3" s="57" t="s">
        <v>364</v>
      </c>
      <c r="AP3" s="57" t="s">
        <v>365</v>
      </c>
      <c r="AQ3" s="57" t="s">
        <v>366</v>
      </c>
      <c r="AR3" s="57" t="s">
        <v>367</v>
      </c>
      <c r="AS3" s="57" t="s">
        <v>368</v>
      </c>
      <c r="AT3" s="57" t="s">
        <v>369</v>
      </c>
      <c r="AU3" s="57" t="s">
        <v>370</v>
      </c>
      <c r="AV3" s="57" t="s">
        <v>371</v>
      </c>
      <c r="AW3" s="57" t="s">
        <v>372</v>
      </c>
      <c r="AX3" s="57" t="s">
        <v>373</v>
      </c>
      <c r="AY3" s="57" t="s">
        <v>374</v>
      </c>
      <c r="AZ3" s="57" t="s">
        <v>375</v>
      </c>
      <c r="BA3" s="57" t="s">
        <v>376</v>
      </c>
      <c r="BB3" s="57" t="s">
        <v>377</v>
      </c>
      <c r="BC3" s="57" t="s">
        <v>378</v>
      </c>
      <c r="BD3" s="57" t="s">
        <v>379</v>
      </c>
      <c r="BE3" s="57" t="s">
        <v>380</v>
      </c>
      <c r="BF3" s="57" t="s">
        <v>381</v>
      </c>
      <c r="BG3" s="57" t="s">
        <v>382</v>
      </c>
      <c r="BH3" s="57" t="s">
        <v>383</v>
      </c>
      <c r="BI3" s="57" t="s">
        <v>384</v>
      </c>
      <c r="BJ3" s="57" t="s">
        <v>385</v>
      </c>
    </row>
    <row r="4" customFormat="false" ht="15" hidden="false" customHeight="false" outlineLevel="0" collapsed="false">
      <c r="A4" s="56" t="s">
        <v>386</v>
      </c>
      <c r="C4" s="56" t="n">
        <v>1</v>
      </c>
      <c r="D4" s="56" t="n">
        <v>2</v>
      </c>
      <c r="E4" s="56" t="n">
        <v>3</v>
      </c>
      <c r="F4" s="56" t="n">
        <v>4</v>
      </c>
      <c r="G4" s="56" t="n">
        <v>5</v>
      </c>
      <c r="H4" s="56" t="n">
        <v>6</v>
      </c>
      <c r="I4" s="56" t="n">
        <v>7</v>
      </c>
      <c r="J4" s="56" t="n">
        <v>8</v>
      </c>
      <c r="K4" s="56" t="n">
        <v>9</v>
      </c>
      <c r="L4" s="56" t="n">
        <v>10</v>
      </c>
      <c r="M4" s="56" t="n">
        <v>11</v>
      </c>
      <c r="N4" s="56" t="n">
        <v>12</v>
      </c>
      <c r="O4" s="56" t="n">
        <v>13</v>
      </c>
      <c r="P4" s="56" t="n">
        <v>14</v>
      </c>
      <c r="Q4" s="56" t="n">
        <v>15</v>
      </c>
      <c r="R4" s="56" t="n">
        <v>16</v>
      </c>
      <c r="S4" s="56" t="n">
        <v>17</v>
      </c>
      <c r="T4" s="56" t="n">
        <v>18</v>
      </c>
      <c r="U4" s="56" t="n">
        <v>19</v>
      </c>
      <c r="V4" s="56" t="n">
        <v>20</v>
      </c>
      <c r="W4" s="56" t="n">
        <v>21</v>
      </c>
      <c r="X4" s="56" t="n">
        <v>22</v>
      </c>
      <c r="Y4" s="56" t="n">
        <v>23</v>
      </c>
      <c r="Z4" s="56" t="n">
        <v>24</v>
      </c>
      <c r="AA4" s="56" t="n">
        <v>25</v>
      </c>
      <c r="AB4" s="56" t="n">
        <v>26</v>
      </c>
      <c r="AC4" s="56" t="n">
        <v>27</v>
      </c>
      <c r="AD4" s="56" t="n">
        <v>28</v>
      </c>
      <c r="AE4" s="56" t="n">
        <v>29</v>
      </c>
      <c r="AF4" s="56" t="n">
        <v>30</v>
      </c>
      <c r="AG4" s="56" t="n">
        <v>31</v>
      </c>
      <c r="AH4" s="56" t="n">
        <v>32</v>
      </c>
      <c r="AI4" s="56" t="n">
        <v>33</v>
      </c>
      <c r="AJ4" s="56" t="n">
        <v>34</v>
      </c>
      <c r="AK4" s="56" t="n">
        <v>35</v>
      </c>
      <c r="AL4" s="56" t="n">
        <v>36</v>
      </c>
      <c r="AM4" s="56" t="n">
        <v>37</v>
      </c>
      <c r="AN4" s="56" t="n">
        <v>38</v>
      </c>
      <c r="AO4" s="56" t="n">
        <v>39</v>
      </c>
      <c r="AP4" s="56" t="n">
        <v>40</v>
      </c>
      <c r="AQ4" s="56" t="n">
        <v>41</v>
      </c>
      <c r="AR4" s="56" t="n">
        <v>42</v>
      </c>
      <c r="AS4" s="56" t="n">
        <v>43</v>
      </c>
      <c r="AT4" s="56" t="n">
        <v>44</v>
      </c>
      <c r="AU4" s="56" t="n">
        <v>45</v>
      </c>
      <c r="AV4" s="56" t="n">
        <v>46</v>
      </c>
      <c r="AW4" s="56" t="n">
        <v>47</v>
      </c>
      <c r="AX4" s="56" t="n">
        <v>48</v>
      </c>
      <c r="AY4" s="56" t="n">
        <v>49</v>
      </c>
      <c r="AZ4" s="56" t="n">
        <v>50</v>
      </c>
      <c r="BA4" s="56" t="n">
        <v>51</v>
      </c>
      <c r="BB4" s="56" t="n">
        <v>52</v>
      </c>
      <c r="BC4" s="56" t="n">
        <v>53</v>
      </c>
      <c r="BD4" s="56" t="n">
        <v>54</v>
      </c>
      <c r="BE4" s="56" t="n">
        <v>55</v>
      </c>
      <c r="BF4" s="56" t="n">
        <v>56</v>
      </c>
      <c r="BG4" s="56" t="n">
        <v>57</v>
      </c>
      <c r="BH4" s="56" t="n">
        <v>58</v>
      </c>
      <c r="BI4" s="56" t="n">
        <v>59</v>
      </c>
      <c r="BJ4" s="56" t="n">
        <v>60</v>
      </c>
    </row>
    <row r="5" customFormat="false" ht="15" hidden="false" customHeight="false" outlineLevel="0" collapsed="false">
      <c r="A5" s="56" t="s">
        <v>122</v>
      </c>
      <c r="C5" s="56" t="n">
        <f aca="false">ROUNDUP(C4*1/12,0)</f>
        <v>1</v>
      </c>
      <c r="D5" s="56" t="n">
        <f aca="false">ROUNDUP(D4*1/12,0)</f>
        <v>1</v>
      </c>
      <c r="E5" s="56" t="n">
        <f aca="false">ROUNDUP(E4*1/12,0)</f>
        <v>1</v>
      </c>
      <c r="F5" s="56" t="n">
        <f aca="false">ROUNDUP(F4*1/12,0)</f>
        <v>1</v>
      </c>
      <c r="G5" s="56" t="n">
        <f aca="false">ROUNDUP(G4*1/12,0)</f>
        <v>1</v>
      </c>
      <c r="H5" s="56" t="n">
        <f aca="false">ROUNDUP(H4*1/12,0)</f>
        <v>1</v>
      </c>
      <c r="I5" s="56" t="n">
        <f aca="false">ROUNDUP(I4*1/12,0)</f>
        <v>1</v>
      </c>
      <c r="J5" s="56" t="n">
        <f aca="false">ROUNDUP(J4*1/12,0)</f>
        <v>1</v>
      </c>
      <c r="K5" s="56" t="n">
        <f aca="false">ROUNDUP(K4*1/12,0)</f>
        <v>1</v>
      </c>
      <c r="L5" s="56" t="n">
        <f aca="false">ROUNDUP(L4*1/12,0)</f>
        <v>1</v>
      </c>
      <c r="M5" s="56" t="n">
        <f aca="false">ROUNDUP(M4*1/12,0)</f>
        <v>1</v>
      </c>
      <c r="N5" s="56" t="n">
        <f aca="false">ROUNDUP(N4*1/12,0)</f>
        <v>1</v>
      </c>
      <c r="O5" s="56" t="n">
        <f aca="false">ROUNDUP(O4*1/12,0)</f>
        <v>2</v>
      </c>
      <c r="P5" s="56" t="n">
        <f aca="false">ROUNDUP(P4*1/12,0)</f>
        <v>2</v>
      </c>
      <c r="Q5" s="56" t="n">
        <f aca="false">ROUNDUP(Q4*1/12,0)</f>
        <v>2</v>
      </c>
      <c r="R5" s="56" t="n">
        <f aca="false">ROUNDUP(R4*1/12,0)</f>
        <v>2</v>
      </c>
      <c r="S5" s="56" t="n">
        <f aca="false">ROUNDUP(S4*1/12,0)</f>
        <v>2</v>
      </c>
      <c r="T5" s="56" t="n">
        <f aca="false">ROUNDUP(T4*1/12,0)</f>
        <v>2</v>
      </c>
      <c r="U5" s="56" t="n">
        <f aca="false">ROUNDUP(U4*1/12,0)</f>
        <v>2</v>
      </c>
      <c r="V5" s="56" t="n">
        <f aca="false">ROUNDUP(V4*1/12,0)</f>
        <v>2</v>
      </c>
      <c r="W5" s="56" t="n">
        <f aca="false">ROUNDUP(W4*1/12,0)</f>
        <v>2</v>
      </c>
      <c r="X5" s="56" t="n">
        <f aca="false">ROUNDUP(X4*1/12,0)</f>
        <v>2</v>
      </c>
      <c r="Y5" s="56" t="n">
        <f aca="false">ROUNDUP(Y4*1/12,0)</f>
        <v>2</v>
      </c>
      <c r="Z5" s="56" t="n">
        <f aca="false">ROUNDUP(Z4*1/12,0)</f>
        <v>2</v>
      </c>
      <c r="AA5" s="56" t="n">
        <f aca="false">ROUNDUP(AA4*1/12,0)</f>
        <v>3</v>
      </c>
      <c r="AB5" s="56" t="n">
        <f aca="false">ROUNDUP(AB4*1/12,0)</f>
        <v>3</v>
      </c>
      <c r="AC5" s="56" t="n">
        <f aca="false">ROUNDUP(AC4*1/12,0)</f>
        <v>3</v>
      </c>
      <c r="AD5" s="56" t="n">
        <f aca="false">ROUNDUP(AD4*1/12,0)</f>
        <v>3</v>
      </c>
      <c r="AE5" s="56" t="n">
        <f aca="false">ROUNDUP(AE4*1/12,0)</f>
        <v>3</v>
      </c>
      <c r="AF5" s="56" t="n">
        <f aca="false">ROUNDUP(AF4*1/12,0)</f>
        <v>3</v>
      </c>
      <c r="AG5" s="56" t="n">
        <f aca="false">ROUNDUP(AG4*1/12,0)</f>
        <v>3</v>
      </c>
      <c r="AH5" s="56" t="n">
        <f aca="false">ROUNDUP(AH4*1/12,0)</f>
        <v>3</v>
      </c>
      <c r="AI5" s="56" t="n">
        <f aca="false">ROUNDUP(AI4*1/12,0)</f>
        <v>3</v>
      </c>
      <c r="AJ5" s="56" t="n">
        <f aca="false">ROUNDUP(AJ4*1/12,0)</f>
        <v>3</v>
      </c>
      <c r="AK5" s="56" t="n">
        <f aca="false">ROUNDUP(AK4*1/12,0)</f>
        <v>3</v>
      </c>
      <c r="AL5" s="56" t="n">
        <f aca="false">ROUNDUP(AL4*1/12,0)</f>
        <v>3</v>
      </c>
      <c r="AM5" s="56" t="n">
        <f aca="false">ROUNDUP(AM4*1/12,0)</f>
        <v>4</v>
      </c>
      <c r="AN5" s="56" t="n">
        <f aca="false">ROUNDUP(AN4*1/12,0)</f>
        <v>4</v>
      </c>
      <c r="AO5" s="56" t="n">
        <f aca="false">ROUNDUP(AO4*1/12,0)</f>
        <v>4</v>
      </c>
      <c r="AP5" s="56" t="n">
        <f aca="false">ROUNDUP(AP4*1/12,0)</f>
        <v>4</v>
      </c>
      <c r="AQ5" s="56" t="n">
        <f aca="false">ROUNDUP(AQ4*1/12,0)</f>
        <v>4</v>
      </c>
      <c r="AR5" s="56" t="n">
        <f aca="false">ROUNDUP(AR4*1/12,0)</f>
        <v>4</v>
      </c>
      <c r="AS5" s="56" t="n">
        <f aca="false">ROUNDUP(AS4*1/12,0)</f>
        <v>4</v>
      </c>
      <c r="AT5" s="56" t="n">
        <f aca="false">ROUNDUP(AT4*1/12,0)</f>
        <v>4</v>
      </c>
      <c r="AU5" s="56" t="n">
        <f aca="false">ROUNDUP(AU4*1/12,0)</f>
        <v>4</v>
      </c>
      <c r="AV5" s="56" t="n">
        <f aca="false">ROUNDUP(AV4*1/12,0)</f>
        <v>4</v>
      </c>
      <c r="AW5" s="56" t="n">
        <f aca="false">ROUNDUP(AW4*1/12,0)</f>
        <v>4</v>
      </c>
      <c r="AX5" s="56" t="n">
        <f aca="false">ROUNDUP(AX4*1/12,0)</f>
        <v>4</v>
      </c>
      <c r="AY5" s="56" t="n">
        <f aca="false">ROUNDUP(AY4*1/12,0)</f>
        <v>5</v>
      </c>
      <c r="AZ5" s="56" t="n">
        <f aca="false">ROUNDUP(AZ4*1/12,0)</f>
        <v>5</v>
      </c>
      <c r="BA5" s="56" t="n">
        <f aca="false">ROUNDUP(BA4*1/12,0)</f>
        <v>5</v>
      </c>
      <c r="BB5" s="56" t="n">
        <f aca="false">ROUNDUP(BB4*1/12,0)</f>
        <v>5</v>
      </c>
      <c r="BC5" s="56" t="n">
        <f aca="false">ROUNDUP(BC4*1/12,0)</f>
        <v>5</v>
      </c>
      <c r="BD5" s="56" t="n">
        <f aca="false">ROUNDUP(BD4*1/12,0)</f>
        <v>5</v>
      </c>
      <c r="BE5" s="56" t="n">
        <f aca="false">ROUNDUP(BE4*1/12,0)</f>
        <v>5</v>
      </c>
      <c r="BF5" s="56" t="n">
        <f aca="false">ROUNDUP(BF4*1/12,0)</f>
        <v>5</v>
      </c>
      <c r="BG5" s="56" t="n">
        <f aca="false">ROUNDUP(BG4*1/12,0)</f>
        <v>5</v>
      </c>
      <c r="BH5" s="56" t="n">
        <f aca="false">ROUNDUP(BH4*1/12,0)</f>
        <v>5</v>
      </c>
      <c r="BI5" s="56" t="n">
        <f aca="false">ROUNDUP(BI4*1/12,0)</f>
        <v>5</v>
      </c>
      <c r="BJ5" s="56" t="n">
        <f aca="false">ROUNDUP(BJ4*1/12,0)</f>
        <v>5</v>
      </c>
    </row>
    <row r="7" customFormat="false" ht="15.75" hidden="false" customHeight="true" outlineLevel="0" collapsed="false">
      <c r="A7" s="7" t="s">
        <v>271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387</v>
      </c>
      <c r="C8" s="99" t="n">
        <f aca="false">Inputs!$E$13*(1+Inputs!$E$14)^(C$5-1)</f>
        <v>1700</v>
      </c>
      <c r="D8" s="99" t="n">
        <f aca="false">Inputs!$E$13*(1+Inputs!$E$14)^(D$5-1)</f>
        <v>1700</v>
      </c>
      <c r="E8" s="99" t="n">
        <f aca="false">Inputs!$E$13*(1+Inputs!$E$14)^(E$5-1)</f>
        <v>1700</v>
      </c>
      <c r="F8" s="99" t="n">
        <f aca="false">Inputs!$E$13*(1+Inputs!$E$14)^(F$5-1)</f>
        <v>1700</v>
      </c>
      <c r="G8" s="99" t="n">
        <f aca="false">Inputs!$E$13*(1+Inputs!$E$14)^(G$5-1)</f>
        <v>1700</v>
      </c>
      <c r="H8" s="99" t="n">
        <f aca="false">Inputs!$E$13*(1+Inputs!$E$14)^(H$5-1)</f>
        <v>1700</v>
      </c>
      <c r="I8" s="99" t="n">
        <f aca="false">Inputs!$E$13*(1+Inputs!$E$14)^(I$5-1)</f>
        <v>1700</v>
      </c>
      <c r="J8" s="99" t="n">
        <f aca="false">Inputs!$E$13*(1+Inputs!$E$14)^(J$5-1)</f>
        <v>1700</v>
      </c>
      <c r="K8" s="99" t="n">
        <f aca="false">Inputs!$E$13*(1+Inputs!$E$14)^(K$5-1)</f>
        <v>1700</v>
      </c>
      <c r="L8" s="99" t="n">
        <f aca="false">Inputs!$E$13*(1+Inputs!$E$14)^(L$5-1)</f>
        <v>1700</v>
      </c>
      <c r="M8" s="99" t="n">
        <f aca="false">Inputs!$E$13*(1+Inputs!$E$14)^(M$5-1)</f>
        <v>1700</v>
      </c>
      <c r="N8" s="99" t="n">
        <f aca="false">Inputs!$E$13*(1+Inputs!$E$14)^(N$5-1)</f>
        <v>1700</v>
      </c>
      <c r="O8" s="99" t="n">
        <f aca="false">Inputs!$E$13*(1+Inputs!$E$14)^(O$5-1)</f>
        <v>1751</v>
      </c>
      <c r="P8" s="99" t="n">
        <f aca="false">Inputs!$E$13*(1+Inputs!$E$14)^(P$5-1)</f>
        <v>1751</v>
      </c>
      <c r="Q8" s="99" t="n">
        <f aca="false">Inputs!$E$13*(1+Inputs!$E$14)^(Q$5-1)</f>
        <v>1751</v>
      </c>
      <c r="R8" s="99" t="n">
        <f aca="false">Inputs!$E$13*(1+Inputs!$E$14)^(R$5-1)</f>
        <v>1751</v>
      </c>
      <c r="S8" s="99" t="n">
        <f aca="false">Inputs!$E$13*(1+Inputs!$E$14)^(S$5-1)</f>
        <v>1751</v>
      </c>
      <c r="T8" s="99" t="n">
        <f aca="false">Inputs!$E$13*(1+Inputs!$E$14)^(T$5-1)</f>
        <v>1751</v>
      </c>
      <c r="U8" s="99" t="n">
        <f aca="false">Inputs!$E$13*(1+Inputs!$E$14)^(U$5-1)</f>
        <v>1751</v>
      </c>
      <c r="V8" s="99" t="n">
        <f aca="false">Inputs!$E$13*(1+Inputs!$E$14)^(V$5-1)</f>
        <v>1751</v>
      </c>
      <c r="W8" s="99" t="n">
        <f aca="false">Inputs!$E$13*(1+Inputs!$E$14)^(W$5-1)</f>
        <v>1751</v>
      </c>
      <c r="X8" s="99" t="n">
        <f aca="false">Inputs!$E$13*(1+Inputs!$E$14)^(X$5-1)</f>
        <v>1751</v>
      </c>
      <c r="Y8" s="99" t="n">
        <f aca="false">Inputs!$E$13*(1+Inputs!$E$14)^(Y$5-1)</f>
        <v>1751</v>
      </c>
      <c r="Z8" s="99" t="n">
        <f aca="false">Inputs!$E$13*(1+Inputs!$E$14)^(Z$5-1)</f>
        <v>1751</v>
      </c>
      <c r="AA8" s="99" t="n">
        <f aca="false">Inputs!$E$13*(1+Inputs!$E$14)^(AA$5-1)</f>
        <v>1803.53</v>
      </c>
      <c r="AB8" s="99" t="n">
        <f aca="false">Inputs!$E$13*(1+Inputs!$E$14)^(AB$5-1)</f>
        <v>1803.53</v>
      </c>
      <c r="AC8" s="99" t="n">
        <f aca="false">Inputs!$E$13*(1+Inputs!$E$14)^(AC$5-1)</f>
        <v>1803.53</v>
      </c>
      <c r="AD8" s="99" t="n">
        <f aca="false">Inputs!$E$13*(1+Inputs!$E$14)^(AD$5-1)</f>
        <v>1803.53</v>
      </c>
      <c r="AE8" s="99" t="n">
        <f aca="false">Inputs!$E$13*(1+Inputs!$E$14)^(AE$5-1)</f>
        <v>1803.53</v>
      </c>
      <c r="AF8" s="99" t="n">
        <f aca="false">Inputs!$E$13*(1+Inputs!$E$14)^(AF$5-1)</f>
        <v>1803.53</v>
      </c>
      <c r="AG8" s="99" t="n">
        <f aca="false">Inputs!$E$13*(1+Inputs!$E$14)^(AG$5-1)</f>
        <v>1803.53</v>
      </c>
      <c r="AH8" s="99" t="n">
        <f aca="false">Inputs!$E$13*(1+Inputs!$E$14)^(AH$5-1)</f>
        <v>1803.53</v>
      </c>
      <c r="AI8" s="99" t="n">
        <f aca="false">Inputs!$E$13*(1+Inputs!$E$14)^(AI$5-1)</f>
        <v>1803.53</v>
      </c>
      <c r="AJ8" s="99" t="n">
        <f aca="false">Inputs!$E$13*(1+Inputs!$E$14)^(AJ$5-1)</f>
        <v>1803.53</v>
      </c>
      <c r="AK8" s="99" t="n">
        <f aca="false">Inputs!$E$13*(1+Inputs!$E$14)^(AK$5-1)</f>
        <v>1803.53</v>
      </c>
      <c r="AL8" s="99" t="n">
        <f aca="false">Inputs!$E$13*(1+Inputs!$E$14)^(AL$5-1)</f>
        <v>1803.53</v>
      </c>
      <c r="AM8" s="99" t="n">
        <f aca="false">Inputs!$E$13*(1+Inputs!$E$14)^(AM$5-1)</f>
        <v>1857.6359</v>
      </c>
      <c r="AN8" s="99" t="n">
        <f aca="false">Inputs!$E$13*(1+Inputs!$E$14)^(AN$5-1)</f>
        <v>1857.6359</v>
      </c>
      <c r="AO8" s="99" t="n">
        <f aca="false">Inputs!$E$13*(1+Inputs!$E$14)^(AO$5-1)</f>
        <v>1857.6359</v>
      </c>
      <c r="AP8" s="99" t="n">
        <f aca="false">Inputs!$E$13*(1+Inputs!$E$14)^(AP$5-1)</f>
        <v>1857.6359</v>
      </c>
      <c r="AQ8" s="99" t="n">
        <f aca="false">Inputs!$E$13*(1+Inputs!$E$14)^(AQ$5-1)</f>
        <v>1857.6359</v>
      </c>
      <c r="AR8" s="99" t="n">
        <f aca="false">Inputs!$E$13*(1+Inputs!$E$14)^(AR$5-1)</f>
        <v>1857.6359</v>
      </c>
      <c r="AS8" s="99" t="n">
        <f aca="false">Inputs!$E$13*(1+Inputs!$E$14)^(AS$5-1)</f>
        <v>1857.6359</v>
      </c>
      <c r="AT8" s="99" t="n">
        <f aca="false">Inputs!$E$13*(1+Inputs!$E$14)^(AT$5-1)</f>
        <v>1857.6359</v>
      </c>
      <c r="AU8" s="99" t="n">
        <f aca="false">Inputs!$E$13*(1+Inputs!$E$14)^(AU$5-1)</f>
        <v>1857.6359</v>
      </c>
      <c r="AV8" s="99" t="n">
        <f aca="false">Inputs!$E$13*(1+Inputs!$E$14)^(AV$5-1)</f>
        <v>1857.6359</v>
      </c>
      <c r="AW8" s="99" t="n">
        <f aca="false">Inputs!$E$13*(1+Inputs!$E$14)^(AW$5-1)</f>
        <v>1857.6359</v>
      </c>
      <c r="AX8" s="99" t="n">
        <f aca="false">Inputs!$E$13*(1+Inputs!$E$14)^(AX$5-1)</f>
        <v>1857.6359</v>
      </c>
      <c r="AY8" s="99" t="n">
        <f aca="false">Inputs!$E$13*(1+Inputs!$E$14)^(AY$5-1)</f>
        <v>1913.364977</v>
      </c>
      <c r="AZ8" s="99" t="n">
        <f aca="false">Inputs!$E$13*(1+Inputs!$E$14)^(AZ$5-1)</f>
        <v>1913.364977</v>
      </c>
      <c r="BA8" s="99" t="n">
        <f aca="false">Inputs!$E$13*(1+Inputs!$E$14)^(BA$5-1)</f>
        <v>1913.364977</v>
      </c>
      <c r="BB8" s="99" t="n">
        <f aca="false">Inputs!$E$13*(1+Inputs!$E$14)^(BB$5-1)</f>
        <v>1913.364977</v>
      </c>
      <c r="BC8" s="99" t="n">
        <f aca="false">Inputs!$E$13*(1+Inputs!$E$14)^(BC$5-1)</f>
        <v>1913.364977</v>
      </c>
      <c r="BD8" s="99" t="n">
        <f aca="false">Inputs!$E$13*(1+Inputs!$E$14)^(BD$5-1)</f>
        <v>1913.364977</v>
      </c>
      <c r="BE8" s="99" t="n">
        <f aca="false">Inputs!$E$13*(1+Inputs!$E$14)^(BE$5-1)</f>
        <v>1913.364977</v>
      </c>
      <c r="BF8" s="99" t="n">
        <f aca="false">Inputs!$E$13*(1+Inputs!$E$14)^(BF$5-1)</f>
        <v>1913.364977</v>
      </c>
      <c r="BG8" s="99" t="n">
        <f aca="false">Inputs!$E$13*(1+Inputs!$E$14)^(BG$5-1)</f>
        <v>1913.364977</v>
      </c>
      <c r="BH8" s="99" t="n">
        <f aca="false">Inputs!$E$13*(1+Inputs!$E$14)^(BH$5-1)</f>
        <v>1913.364977</v>
      </c>
      <c r="BI8" s="99" t="n">
        <f aca="false">Inputs!$E$13*(1+Inputs!$E$14)^(BI$5-1)</f>
        <v>1913.364977</v>
      </c>
      <c r="BJ8" s="99" t="n">
        <f aca="false">Inputs!$E$13*(1+Inputs!$E$14)^(BJ$5-1)</f>
        <v>1913.364977</v>
      </c>
    </row>
    <row r="9" customFormat="false" ht="15" hidden="false" customHeight="false" outlineLevel="0" collapsed="false">
      <c r="A9" s="6" t="s">
        <v>388</v>
      </c>
      <c r="C9" s="51" t="n">
        <f aca="false">Inputs!$E$10*C8*1</f>
        <v>17000</v>
      </c>
      <c r="D9" s="51" t="n">
        <f aca="false">Inputs!$E$10*D8*1</f>
        <v>17000</v>
      </c>
      <c r="E9" s="51" t="n">
        <f aca="false">Inputs!$E$10*E8*1</f>
        <v>17000</v>
      </c>
      <c r="F9" s="51" t="n">
        <f aca="false">Inputs!$E$10*F8*1</f>
        <v>17000</v>
      </c>
      <c r="G9" s="51" t="n">
        <f aca="false">Inputs!$E$10*G8*1</f>
        <v>17000</v>
      </c>
      <c r="H9" s="51" t="n">
        <f aca="false">Inputs!$E$10*H8*1</f>
        <v>17000</v>
      </c>
      <c r="I9" s="51" t="n">
        <f aca="false">Inputs!$E$10*I8*1</f>
        <v>17000</v>
      </c>
      <c r="J9" s="51" t="n">
        <f aca="false">Inputs!$E$10*J8*1</f>
        <v>17000</v>
      </c>
      <c r="K9" s="51" t="n">
        <f aca="false">Inputs!$E$10*K8*1</f>
        <v>17000</v>
      </c>
      <c r="L9" s="51" t="n">
        <f aca="false">Inputs!$E$10*L8*1</f>
        <v>17000</v>
      </c>
      <c r="M9" s="51" t="n">
        <f aca="false">Inputs!$E$10*M8*1</f>
        <v>17000</v>
      </c>
      <c r="N9" s="51" t="n">
        <f aca="false">Inputs!$E$10*N8*1</f>
        <v>17000</v>
      </c>
      <c r="O9" s="51" t="n">
        <f aca="false">Inputs!$E$10*O8*1</f>
        <v>17510</v>
      </c>
      <c r="P9" s="51" t="n">
        <f aca="false">Inputs!$E$10*P8*1</f>
        <v>17510</v>
      </c>
      <c r="Q9" s="51" t="n">
        <f aca="false">Inputs!$E$10*Q8*1</f>
        <v>17510</v>
      </c>
      <c r="R9" s="51" t="n">
        <f aca="false">Inputs!$E$10*R8*1</f>
        <v>17510</v>
      </c>
      <c r="S9" s="51" t="n">
        <f aca="false">Inputs!$E$10*S8*1</f>
        <v>17510</v>
      </c>
      <c r="T9" s="51" t="n">
        <f aca="false">Inputs!$E$10*T8*1</f>
        <v>17510</v>
      </c>
      <c r="U9" s="51" t="n">
        <f aca="false">Inputs!$E$10*U8*1</f>
        <v>17510</v>
      </c>
      <c r="V9" s="51" t="n">
        <f aca="false">Inputs!$E$10*V8*1</f>
        <v>17510</v>
      </c>
      <c r="W9" s="51" t="n">
        <f aca="false">Inputs!$E$10*W8*1</f>
        <v>17510</v>
      </c>
      <c r="X9" s="51" t="n">
        <f aca="false">Inputs!$E$10*X8*1</f>
        <v>17510</v>
      </c>
      <c r="Y9" s="51" t="n">
        <f aca="false">Inputs!$E$10*Y8*1</f>
        <v>17510</v>
      </c>
      <c r="Z9" s="51" t="n">
        <f aca="false">Inputs!$E$10*Z8*1</f>
        <v>17510</v>
      </c>
      <c r="AA9" s="51" t="n">
        <f aca="false">Inputs!$E$10*AA8*1</f>
        <v>18035.3</v>
      </c>
      <c r="AB9" s="51" t="n">
        <f aca="false">Inputs!$E$10*AB8*1</f>
        <v>18035.3</v>
      </c>
      <c r="AC9" s="51" t="n">
        <f aca="false">Inputs!$E$10*AC8*1</f>
        <v>18035.3</v>
      </c>
      <c r="AD9" s="51" t="n">
        <f aca="false">Inputs!$E$10*AD8*1</f>
        <v>18035.3</v>
      </c>
      <c r="AE9" s="51" t="n">
        <f aca="false">Inputs!$E$10*AE8*1</f>
        <v>18035.3</v>
      </c>
      <c r="AF9" s="51" t="n">
        <f aca="false">Inputs!$E$10*AF8*1</f>
        <v>18035.3</v>
      </c>
      <c r="AG9" s="51" t="n">
        <f aca="false">Inputs!$E$10*AG8*1</f>
        <v>18035.3</v>
      </c>
      <c r="AH9" s="51" t="n">
        <f aca="false">Inputs!$E$10*AH8*1</f>
        <v>18035.3</v>
      </c>
      <c r="AI9" s="51" t="n">
        <f aca="false">Inputs!$E$10*AI8*1</f>
        <v>18035.3</v>
      </c>
      <c r="AJ9" s="51" t="n">
        <f aca="false">Inputs!$E$10*AJ8*1</f>
        <v>18035.3</v>
      </c>
      <c r="AK9" s="51" t="n">
        <f aca="false">Inputs!$E$10*AK8*1</f>
        <v>18035.3</v>
      </c>
      <c r="AL9" s="51" t="n">
        <f aca="false">Inputs!$E$10*AL8*1</f>
        <v>18035.3</v>
      </c>
      <c r="AM9" s="51" t="n">
        <f aca="false">Inputs!$E$10*AM8*1</f>
        <v>18576.359</v>
      </c>
      <c r="AN9" s="51" t="n">
        <f aca="false">Inputs!$E$10*AN8*1</f>
        <v>18576.359</v>
      </c>
      <c r="AO9" s="51" t="n">
        <f aca="false">Inputs!$E$10*AO8*1</f>
        <v>18576.359</v>
      </c>
      <c r="AP9" s="51" t="n">
        <f aca="false">Inputs!$E$10*AP8*1</f>
        <v>18576.359</v>
      </c>
      <c r="AQ9" s="51" t="n">
        <f aca="false">Inputs!$E$10*AQ8*1</f>
        <v>18576.359</v>
      </c>
      <c r="AR9" s="51" t="n">
        <f aca="false">Inputs!$E$10*AR8*1</f>
        <v>18576.359</v>
      </c>
      <c r="AS9" s="51" t="n">
        <f aca="false">Inputs!$E$10*AS8*1</f>
        <v>18576.359</v>
      </c>
      <c r="AT9" s="51" t="n">
        <f aca="false">Inputs!$E$10*AT8*1</f>
        <v>18576.359</v>
      </c>
      <c r="AU9" s="51" t="n">
        <f aca="false">Inputs!$E$10*AU8*1</f>
        <v>18576.359</v>
      </c>
      <c r="AV9" s="51" t="n">
        <f aca="false">Inputs!$E$10*AV8*1</f>
        <v>18576.359</v>
      </c>
      <c r="AW9" s="51" t="n">
        <f aca="false">Inputs!$E$10*AW8*1</f>
        <v>18576.359</v>
      </c>
      <c r="AX9" s="51" t="n">
        <f aca="false">Inputs!$E$10*AX8*1</f>
        <v>18576.359</v>
      </c>
      <c r="AY9" s="51" t="n">
        <f aca="false">Inputs!$E$10*AY8*1</f>
        <v>19133.64977</v>
      </c>
      <c r="AZ9" s="51" t="n">
        <f aca="false">Inputs!$E$10*AZ8*1</f>
        <v>19133.64977</v>
      </c>
      <c r="BA9" s="51" t="n">
        <f aca="false">Inputs!$E$10*BA8*1</f>
        <v>19133.64977</v>
      </c>
      <c r="BB9" s="51" t="n">
        <f aca="false">Inputs!$E$10*BB8*1</f>
        <v>19133.64977</v>
      </c>
      <c r="BC9" s="51" t="n">
        <f aca="false">Inputs!$E$10*BC8*1</f>
        <v>19133.64977</v>
      </c>
      <c r="BD9" s="51" t="n">
        <f aca="false">Inputs!$E$10*BD8*1</f>
        <v>19133.64977</v>
      </c>
      <c r="BE9" s="51" t="n">
        <f aca="false">Inputs!$E$10*BE8*1</f>
        <v>19133.64977</v>
      </c>
      <c r="BF9" s="51" t="n">
        <f aca="false">Inputs!$E$10*BF8*1</f>
        <v>19133.64977</v>
      </c>
      <c r="BG9" s="51" t="n">
        <f aca="false">Inputs!$E$10*BG8*1</f>
        <v>19133.64977</v>
      </c>
      <c r="BH9" s="51" t="n">
        <f aca="false">Inputs!$E$10*BH8*1</f>
        <v>19133.64977</v>
      </c>
      <c r="BI9" s="51" t="n">
        <f aca="false">Inputs!$E$10*BI8*1</f>
        <v>19133.64977</v>
      </c>
      <c r="BJ9" s="51" t="n">
        <f aca="false">Inputs!$E$10*BJ8*1</f>
        <v>19133.64977</v>
      </c>
    </row>
    <row r="10" customFormat="false" ht="15" hidden="false" customHeight="false" outlineLevel="0" collapsed="false">
      <c r="A10" s="6" t="s">
        <v>202</v>
      </c>
      <c r="C10" s="51" t="n">
        <f aca="false">-C9*Inputs!$E$15</f>
        <v>-850</v>
      </c>
      <c r="D10" s="51" t="n">
        <f aca="false">-D9*Inputs!$E$15</f>
        <v>-850</v>
      </c>
      <c r="E10" s="51" t="n">
        <f aca="false">-E9*Inputs!$E$15</f>
        <v>-850</v>
      </c>
      <c r="F10" s="51" t="n">
        <f aca="false">-F9*Inputs!$E$15</f>
        <v>-850</v>
      </c>
      <c r="G10" s="51" t="n">
        <f aca="false">-G9*Inputs!$E$15</f>
        <v>-850</v>
      </c>
      <c r="H10" s="51" t="n">
        <f aca="false">-H9*Inputs!$E$15</f>
        <v>-850</v>
      </c>
      <c r="I10" s="51" t="n">
        <f aca="false">-I9*Inputs!$E$15</f>
        <v>-850</v>
      </c>
      <c r="J10" s="51" t="n">
        <f aca="false">-J9*Inputs!$E$15</f>
        <v>-850</v>
      </c>
      <c r="K10" s="51" t="n">
        <f aca="false">-K9*Inputs!$E$15</f>
        <v>-850</v>
      </c>
      <c r="L10" s="51" t="n">
        <f aca="false">-L9*Inputs!$E$15</f>
        <v>-850</v>
      </c>
      <c r="M10" s="51" t="n">
        <f aca="false">-M9*Inputs!$E$15</f>
        <v>-850</v>
      </c>
      <c r="N10" s="51" t="n">
        <f aca="false">-N9*Inputs!$E$15</f>
        <v>-850</v>
      </c>
      <c r="O10" s="51" t="n">
        <f aca="false">-O9*Inputs!$E$15</f>
        <v>-875.5</v>
      </c>
      <c r="P10" s="51" t="n">
        <f aca="false">-P9*Inputs!$E$15</f>
        <v>-875.5</v>
      </c>
      <c r="Q10" s="51" t="n">
        <f aca="false">-Q9*Inputs!$E$15</f>
        <v>-875.5</v>
      </c>
      <c r="R10" s="51" t="n">
        <f aca="false">-R9*Inputs!$E$15</f>
        <v>-875.5</v>
      </c>
      <c r="S10" s="51" t="n">
        <f aca="false">-S9*Inputs!$E$15</f>
        <v>-875.5</v>
      </c>
      <c r="T10" s="51" t="n">
        <f aca="false">-T9*Inputs!$E$15</f>
        <v>-875.5</v>
      </c>
      <c r="U10" s="51" t="n">
        <f aca="false">-U9*Inputs!$E$15</f>
        <v>-875.5</v>
      </c>
      <c r="V10" s="51" t="n">
        <f aca="false">-V9*Inputs!$E$15</f>
        <v>-875.5</v>
      </c>
      <c r="W10" s="51" t="n">
        <f aca="false">-W9*Inputs!$E$15</f>
        <v>-875.5</v>
      </c>
      <c r="X10" s="51" t="n">
        <f aca="false">-X9*Inputs!$E$15</f>
        <v>-875.5</v>
      </c>
      <c r="Y10" s="51" t="n">
        <f aca="false">-Y9*Inputs!$E$15</f>
        <v>-875.5</v>
      </c>
      <c r="Z10" s="51" t="n">
        <f aca="false">-Z9*Inputs!$E$15</f>
        <v>-875.5</v>
      </c>
      <c r="AA10" s="51" t="n">
        <f aca="false">-AA9*Inputs!$E$15</f>
        <v>-901.765</v>
      </c>
      <c r="AB10" s="51" t="n">
        <f aca="false">-AB9*Inputs!$E$15</f>
        <v>-901.765</v>
      </c>
      <c r="AC10" s="51" t="n">
        <f aca="false">-AC9*Inputs!$E$15</f>
        <v>-901.765</v>
      </c>
      <c r="AD10" s="51" t="n">
        <f aca="false">-AD9*Inputs!$E$15</f>
        <v>-901.765</v>
      </c>
      <c r="AE10" s="51" t="n">
        <f aca="false">-AE9*Inputs!$E$15</f>
        <v>-901.765</v>
      </c>
      <c r="AF10" s="51" t="n">
        <f aca="false">-AF9*Inputs!$E$15</f>
        <v>-901.765</v>
      </c>
      <c r="AG10" s="51" t="n">
        <f aca="false">-AG9*Inputs!$E$15</f>
        <v>-901.765</v>
      </c>
      <c r="AH10" s="51" t="n">
        <f aca="false">-AH9*Inputs!$E$15</f>
        <v>-901.765</v>
      </c>
      <c r="AI10" s="51" t="n">
        <f aca="false">-AI9*Inputs!$E$15</f>
        <v>-901.765</v>
      </c>
      <c r="AJ10" s="51" t="n">
        <f aca="false">-AJ9*Inputs!$E$15</f>
        <v>-901.765</v>
      </c>
      <c r="AK10" s="51" t="n">
        <f aca="false">-AK9*Inputs!$E$15</f>
        <v>-901.765</v>
      </c>
      <c r="AL10" s="51" t="n">
        <f aca="false">-AL9*Inputs!$E$15</f>
        <v>-901.765</v>
      </c>
      <c r="AM10" s="51" t="n">
        <f aca="false">-AM9*Inputs!$E$15</f>
        <v>-928.81795</v>
      </c>
      <c r="AN10" s="51" t="n">
        <f aca="false">-AN9*Inputs!$E$15</f>
        <v>-928.81795</v>
      </c>
      <c r="AO10" s="51" t="n">
        <f aca="false">-AO9*Inputs!$E$15</f>
        <v>-928.81795</v>
      </c>
      <c r="AP10" s="51" t="n">
        <f aca="false">-AP9*Inputs!$E$15</f>
        <v>-928.81795</v>
      </c>
      <c r="AQ10" s="51" t="n">
        <f aca="false">-AQ9*Inputs!$E$15</f>
        <v>-928.81795</v>
      </c>
      <c r="AR10" s="51" t="n">
        <f aca="false">-AR9*Inputs!$E$15</f>
        <v>-928.81795</v>
      </c>
      <c r="AS10" s="51" t="n">
        <f aca="false">-AS9*Inputs!$E$15</f>
        <v>-928.81795</v>
      </c>
      <c r="AT10" s="51" t="n">
        <f aca="false">-AT9*Inputs!$E$15</f>
        <v>-928.81795</v>
      </c>
      <c r="AU10" s="51" t="n">
        <f aca="false">-AU9*Inputs!$E$15</f>
        <v>-928.81795</v>
      </c>
      <c r="AV10" s="51" t="n">
        <f aca="false">-AV9*Inputs!$E$15</f>
        <v>-928.81795</v>
      </c>
      <c r="AW10" s="51" t="n">
        <f aca="false">-AW9*Inputs!$E$15</f>
        <v>-928.81795</v>
      </c>
      <c r="AX10" s="51" t="n">
        <f aca="false">-AX9*Inputs!$E$15</f>
        <v>-928.81795</v>
      </c>
      <c r="AY10" s="51" t="n">
        <f aca="false">-AY9*Inputs!$E$15</f>
        <v>-956.6824885</v>
      </c>
      <c r="AZ10" s="51" t="n">
        <f aca="false">-AZ9*Inputs!$E$15</f>
        <v>-956.6824885</v>
      </c>
      <c r="BA10" s="51" t="n">
        <f aca="false">-BA9*Inputs!$E$15</f>
        <v>-956.6824885</v>
      </c>
      <c r="BB10" s="51" t="n">
        <f aca="false">-BB9*Inputs!$E$15</f>
        <v>-956.6824885</v>
      </c>
      <c r="BC10" s="51" t="n">
        <f aca="false">-BC9*Inputs!$E$15</f>
        <v>-956.6824885</v>
      </c>
      <c r="BD10" s="51" t="n">
        <f aca="false">-BD9*Inputs!$E$15</f>
        <v>-956.6824885</v>
      </c>
      <c r="BE10" s="51" t="n">
        <f aca="false">-BE9*Inputs!$E$15</f>
        <v>-956.6824885</v>
      </c>
      <c r="BF10" s="51" t="n">
        <f aca="false">-BF9*Inputs!$E$15</f>
        <v>-956.6824885</v>
      </c>
      <c r="BG10" s="51" t="n">
        <f aca="false">-BG9*Inputs!$E$15</f>
        <v>-956.6824885</v>
      </c>
      <c r="BH10" s="51" t="n">
        <f aca="false">-BH9*Inputs!$E$15</f>
        <v>-956.6824885</v>
      </c>
      <c r="BI10" s="51" t="n">
        <f aca="false">-BI9*Inputs!$E$15</f>
        <v>-956.6824885</v>
      </c>
      <c r="BJ10" s="51" t="n">
        <f aca="false">-BJ9*Inputs!$E$15</f>
        <v>-956.6824885</v>
      </c>
    </row>
    <row r="11" customFormat="false" ht="15" hidden="false" customHeight="false" outlineLevel="0" collapsed="false">
      <c r="A11" s="6" t="s">
        <v>389</v>
      </c>
      <c r="C11" s="51" t="n">
        <f aca="false">Inputs!$E$10*Inputs!$E$16*(1+Inputs!$E$14)^(C$5-1)*(1-Inputs!$E$15)*1</f>
        <v>237.5</v>
      </c>
      <c r="D11" s="51" t="n">
        <f aca="false">Inputs!$E$10*Inputs!$E$16*(1+Inputs!$E$14)^(D$5-1)*(1-Inputs!$E$15)*1</f>
        <v>237.5</v>
      </c>
      <c r="E11" s="51" t="n">
        <f aca="false">Inputs!$E$10*Inputs!$E$16*(1+Inputs!$E$14)^(E$5-1)*(1-Inputs!$E$15)*1</f>
        <v>237.5</v>
      </c>
      <c r="F11" s="51" t="n">
        <f aca="false">Inputs!$E$10*Inputs!$E$16*(1+Inputs!$E$14)^(F$5-1)*(1-Inputs!$E$15)*1</f>
        <v>237.5</v>
      </c>
      <c r="G11" s="51" t="n">
        <f aca="false">Inputs!$E$10*Inputs!$E$16*(1+Inputs!$E$14)^(G$5-1)*(1-Inputs!$E$15)*1</f>
        <v>237.5</v>
      </c>
      <c r="H11" s="51" t="n">
        <f aca="false">Inputs!$E$10*Inputs!$E$16*(1+Inputs!$E$14)^(H$5-1)*(1-Inputs!$E$15)*1</f>
        <v>237.5</v>
      </c>
      <c r="I11" s="51" t="n">
        <f aca="false">Inputs!$E$10*Inputs!$E$16*(1+Inputs!$E$14)^(I$5-1)*(1-Inputs!$E$15)*1</f>
        <v>237.5</v>
      </c>
      <c r="J11" s="51" t="n">
        <f aca="false">Inputs!$E$10*Inputs!$E$16*(1+Inputs!$E$14)^(J$5-1)*(1-Inputs!$E$15)*1</f>
        <v>237.5</v>
      </c>
      <c r="K11" s="51" t="n">
        <f aca="false">Inputs!$E$10*Inputs!$E$16*(1+Inputs!$E$14)^(K$5-1)*(1-Inputs!$E$15)*1</f>
        <v>237.5</v>
      </c>
      <c r="L11" s="51" t="n">
        <f aca="false">Inputs!$E$10*Inputs!$E$16*(1+Inputs!$E$14)^(L$5-1)*(1-Inputs!$E$15)*1</f>
        <v>237.5</v>
      </c>
      <c r="M11" s="51" t="n">
        <f aca="false">Inputs!$E$10*Inputs!$E$16*(1+Inputs!$E$14)^(M$5-1)*(1-Inputs!$E$15)*1</f>
        <v>237.5</v>
      </c>
      <c r="N11" s="51" t="n">
        <f aca="false">Inputs!$E$10*Inputs!$E$16*(1+Inputs!$E$14)^(N$5-1)*(1-Inputs!$E$15)*1</f>
        <v>237.5</v>
      </c>
      <c r="O11" s="51" t="n">
        <f aca="false">Inputs!$E$10*Inputs!$E$16*(1+Inputs!$E$14)^(O$5-1)*(1-Inputs!$E$15)*1</f>
        <v>244.625</v>
      </c>
      <c r="P11" s="51" t="n">
        <f aca="false">Inputs!$E$10*Inputs!$E$16*(1+Inputs!$E$14)^(P$5-1)*(1-Inputs!$E$15)*1</f>
        <v>244.625</v>
      </c>
      <c r="Q11" s="51" t="n">
        <f aca="false">Inputs!$E$10*Inputs!$E$16*(1+Inputs!$E$14)^(Q$5-1)*(1-Inputs!$E$15)*1</f>
        <v>244.625</v>
      </c>
      <c r="R11" s="51" t="n">
        <f aca="false">Inputs!$E$10*Inputs!$E$16*(1+Inputs!$E$14)^(R$5-1)*(1-Inputs!$E$15)*1</f>
        <v>244.625</v>
      </c>
      <c r="S11" s="51" t="n">
        <f aca="false">Inputs!$E$10*Inputs!$E$16*(1+Inputs!$E$14)^(S$5-1)*(1-Inputs!$E$15)*1</f>
        <v>244.625</v>
      </c>
      <c r="T11" s="51" t="n">
        <f aca="false">Inputs!$E$10*Inputs!$E$16*(1+Inputs!$E$14)^(T$5-1)*(1-Inputs!$E$15)*1</f>
        <v>244.625</v>
      </c>
      <c r="U11" s="51" t="n">
        <f aca="false">Inputs!$E$10*Inputs!$E$16*(1+Inputs!$E$14)^(U$5-1)*(1-Inputs!$E$15)*1</f>
        <v>244.625</v>
      </c>
      <c r="V11" s="51" t="n">
        <f aca="false">Inputs!$E$10*Inputs!$E$16*(1+Inputs!$E$14)^(V$5-1)*(1-Inputs!$E$15)*1</f>
        <v>244.625</v>
      </c>
      <c r="W11" s="51" t="n">
        <f aca="false">Inputs!$E$10*Inputs!$E$16*(1+Inputs!$E$14)^(W$5-1)*(1-Inputs!$E$15)*1</f>
        <v>244.625</v>
      </c>
      <c r="X11" s="51" t="n">
        <f aca="false">Inputs!$E$10*Inputs!$E$16*(1+Inputs!$E$14)^(X$5-1)*(1-Inputs!$E$15)*1</f>
        <v>244.625</v>
      </c>
      <c r="Y11" s="51" t="n">
        <f aca="false">Inputs!$E$10*Inputs!$E$16*(1+Inputs!$E$14)^(Y$5-1)*(1-Inputs!$E$15)*1</f>
        <v>244.625</v>
      </c>
      <c r="Z11" s="51" t="n">
        <f aca="false">Inputs!$E$10*Inputs!$E$16*(1+Inputs!$E$14)^(Z$5-1)*(1-Inputs!$E$15)*1</f>
        <v>244.625</v>
      </c>
      <c r="AA11" s="51" t="n">
        <f aca="false">Inputs!$E$10*Inputs!$E$16*(1+Inputs!$E$14)^(AA$5-1)*(1-Inputs!$E$15)*1</f>
        <v>251.96375</v>
      </c>
      <c r="AB11" s="51" t="n">
        <f aca="false">Inputs!$E$10*Inputs!$E$16*(1+Inputs!$E$14)^(AB$5-1)*(1-Inputs!$E$15)*1</f>
        <v>251.96375</v>
      </c>
      <c r="AC11" s="51" t="n">
        <f aca="false">Inputs!$E$10*Inputs!$E$16*(1+Inputs!$E$14)^(AC$5-1)*(1-Inputs!$E$15)*1</f>
        <v>251.96375</v>
      </c>
      <c r="AD11" s="51" t="n">
        <f aca="false">Inputs!$E$10*Inputs!$E$16*(1+Inputs!$E$14)^(AD$5-1)*(1-Inputs!$E$15)*1</f>
        <v>251.96375</v>
      </c>
      <c r="AE11" s="51" t="n">
        <f aca="false">Inputs!$E$10*Inputs!$E$16*(1+Inputs!$E$14)^(AE$5-1)*(1-Inputs!$E$15)*1</f>
        <v>251.96375</v>
      </c>
      <c r="AF11" s="51" t="n">
        <f aca="false">Inputs!$E$10*Inputs!$E$16*(1+Inputs!$E$14)^(AF$5-1)*(1-Inputs!$E$15)*1</f>
        <v>251.96375</v>
      </c>
      <c r="AG11" s="51" t="n">
        <f aca="false">Inputs!$E$10*Inputs!$E$16*(1+Inputs!$E$14)^(AG$5-1)*(1-Inputs!$E$15)*1</f>
        <v>251.96375</v>
      </c>
      <c r="AH11" s="51" t="n">
        <f aca="false">Inputs!$E$10*Inputs!$E$16*(1+Inputs!$E$14)^(AH$5-1)*(1-Inputs!$E$15)*1</f>
        <v>251.96375</v>
      </c>
      <c r="AI11" s="51" t="n">
        <f aca="false">Inputs!$E$10*Inputs!$E$16*(1+Inputs!$E$14)^(AI$5-1)*(1-Inputs!$E$15)*1</f>
        <v>251.96375</v>
      </c>
      <c r="AJ11" s="51" t="n">
        <f aca="false">Inputs!$E$10*Inputs!$E$16*(1+Inputs!$E$14)^(AJ$5-1)*(1-Inputs!$E$15)*1</f>
        <v>251.96375</v>
      </c>
      <c r="AK11" s="51" t="n">
        <f aca="false">Inputs!$E$10*Inputs!$E$16*(1+Inputs!$E$14)^(AK$5-1)*(1-Inputs!$E$15)*1</f>
        <v>251.96375</v>
      </c>
      <c r="AL11" s="51" t="n">
        <f aca="false">Inputs!$E$10*Inputs!$E$16*(1+Inputs!$E$14)^(AL$5-1)*(1-Inputs!$E$15)*1</f>
        <v>251.96375</v>
      </c>
      <c r="AM11" s="51" t="n">
        <f aca="false">Inputs!$E$10*Inputs!$E$16*(1+Inputs!$E$14)^(AM$5-1)*(1-Inputs!$E$15)*1</f>
        <v>259.5226625</v>
      </c>
      <c r="AN11" s="51" t="n">
        <f aca="false">Inputs!$E$10*Inputs!$E$16*(1+Inputs!$E$14)^(AN$5-1)*(1-Inputs!$E$15)*1</f>
        <v>259.5226625</v>
      </c>
      <c r="AO11" s="51" t="n">
        <f aca="false">Inputs!$E$10*Inputs!$E$16*(1+Inputs!$E$14)^(AO$5-1)*(1-Inputs!$E$15)*1</f>
        <v>259.5226625</v>
      </c>
      <c r="AP11" s="51" t="n">
        <f aca="false">Inputs!$E$10*Inputs!$E$16*(1+Inputs!$E$14)^(AP$5-1)*(1-Inputs!$E$15)*1</f>
        <v>259.5226625</v>
      </c>
      <c r="AQ11" s="51" t="n">
        <f aca="false">Inputs!$E$10*Inputs!$E$16*(1+Inputs!$E$14)^(AQ$5-1)*(1-Inputs!$E$15)*1</f>
        <v>259.5226625</v>
      </c>
      <c r="AR11" s="51" t="n">
        <f aca="false">Inputs!$E$10*Inputs!$E$16*(1+Inputs!$E$14)^(AR$5-1)*(1-Inputs!$E$15)*1</f>
        <v>259.5226625</v>
      </c>
      <c r="AS11" s="51" t="n">
        <f aca="false">Inputs!$E$10*Inputs!$E$16*(1+Inputs!$E$14)^(AS$5-1)*(1-Inputs!$E$15)*1</f>
        <v>259.5226625</v>
      </c>
      <c r="AT11" s="51" t="n">
        <f aca="false">Inputs!$E$10*Inputs!$E$16*(1+Inputs!$E$14)^(AT$5-1)*(1-Inputs!$E$15)*1</f>
        <v>259.5226625</v>
      </c>
      <c r="AU11" s="51" t="n">
        <f aca="false">Inputs!$E$10*Inputs!$E$16*(1+Inputs!$E$14)^(AU$5-1)*(1-Inputs!$E$15)*1</f>
        <v>259.5226625</v>
      </c>
      <c r="AV11" s="51" t="n">
        <f aca="false">Inputs!$E$10*Inputs!$E$16*(1+Inputs!$E$14)^(AV$5-1)*(1-Inputs!$E$15)*1</f>
        <v>259.5226625</v>
      </c>
      <c r="AW11" s="51" t="n">
        <f aca="false">Inputs!$E$10*Inputs!$E$16*(1+Inputs!$E$14)^(AW$5-1)*(1-Inputs!$E$15)*1</f>
        <v>259.5226625</v>
      </c>
      <c r="AX11" s="51" t="n">
        <f aca="false">Inputs!$E$10*Inputs!$E$16*(1+Inputs!$E$14)^(AX$5-1)*(1-Inputs!$E$15)*1</f>
        <v>259.5226625</v>
      </c>
      <c r="AY11" s="51" t="n">
        <f aca="false">Inputs!$E$10*Inputs!$E$16*(1+Inputs!$E$14)^(AY$5-1)*(1-Inputs!$E$15)*1</f>
        <v>267.308342375</v>
      </c>
      <c r="AZ11" s="51" t="n">
        <f aca="false">Inputs!$E$10*Inputs!$E$16*(1+Inputs!$E$14)^(AZ$5-1)*(1-Inputs!$E$15)*1</f>
        <v>267.308342375</v>
      </c>
      <c r="BA11" s="51" t="n">
        <f aca="false">Inputs!$E$10*Inputs!$E$16*(1+Inputs!$E$14)^(BA$5-1)*(1-Inputs!$E$15)*1</f>
        <v>267.308342375</v>
      </c>
      <c r="BB11" s="51" t="n">
        <f aca="false">Inputs!$E$10*Inputs!$E$16*(1+Inputs!$E$14)^(BB$5-1)*(1-Inputs!$E$15)*1</f>
        <v>267.308342375</v>
      </c>
      <c r="BC11" s="51" t="n">
        <f aca="false">Inputs!$E$10*Inputs!$E$16*(1+Inputs!$E$14)^(BC$5-1)*(1-Inputs!$E$15)*1</f>
        <v>267.308342375</v>
      </c>
      <c r="BD11" s="51" t="n">
        <f aca="false">Inputs!$E$10*Inputs!$E$16*(1+Inputs!$E$14)^(BD$5-1)*(1-Inputs!$E$15)*1</f>
        <v>267.308342375</v>
      </c>
      <c r="BE11" s="51" t="n">
        <f aca="false">Inputs!$E$10*Inputs!$E$16*(1+Inputs!$E$14)^(BE$5-1)*(1-Inputs!$E$15)*1</f>
        <v>267.308342375</v>
      </c>
      <c r="BF11" s="51" t="n">
        <f aca="false">Inputs!$E$10*Inputs!$E$16*(1+Inputs!$E$14)^(BF$5-1)*(1-Inputs!$E$15)*1</f>
        <v>267.308342375</v>
      </c>
      <c r="BG11" s="51" t="n">
        <f aca="false">Inputs!$E$10*Inputs!$E$16*(1+Inputs!$E$14)^(BG$5-1)*(1-Inputs!$E$15)*1</f>
        <v>267.308342375</v>
      </c>
      <c r="BH11" s="51" t="n">
        <f aca="false">Inputs!$E$10*Inputs!$E$16*(1+Inputs!$E$14)^(BH$5-1)*(1-Inputs!$E$15)*1</f>
        <v>267.308342375</v>
      </c>
      <c r="BI11" s="51" t="n">
        <f aca="false">Inputs!$E$10*Inputs!$E$16*(1+Inputs!$E$14)^(BI$5-1)*(1-Inputs!$E$15)*1</f>
        <v>267.308342375</v>
      </c>
      <c r="BJ11" s="51" t="n">
        <f aca="false">Inputs!$E$10*Inputs!$E$16*(1+Inputs!$E$14)^(BJ$5-1)*(1-Inputs!$E$15)*1</f>
        <v>267.308342375</v>
      </c>
    </row>
    <row r="12" customFormat="false" ht="15" hidden="false" customHeight="false" outlineLevel="0" collapsed="false">
      <c r="A12" s="96" t="s">
        <v>204</v>
      </c>
      <c r="C12" s="52" t="n">
        <f aca="false">C9+C10+C11</f>
        <v>16387.5</v>
      </c>
      <c r="D12" s="52" t="n">
        <f aca="false">D9+D10+D11</f>
        <v>16387.5</v>
      </c>
      <c r="E12" s="52" t="n">
        <f aca="false">E9+E10+E11</f>
        <v>16387.5</v>
      </c>
      <c r="F12" s="52" t="n">
        <f aca="false">F9+F10+F11</f>
        <v>16387.5</v>
      </c>
      <c r="G12" s="52" t="n">
        <f aca="false">G9+G10+G11</f>
        <v>16387.5</v>
      </c>
      <c r="H12" s="52" t="n">
        <f aca="false">H9+H10+H11</f>
        <v>16387.5</v>
      </c>
      <c r="I12" s="52" t="n">
        <f aca="false">I9+I10+I11</f>
        <v>16387.5</v>
      </c>
      <c r="J12" s="52" t="n">
        <f aca="false">J9+J10+J11</f>
        <v>16387.5</v>
      </c>
      <c r="K12" s="52" t="n">
        <f aca="false">K9+K10+K11</f>
        <v>16387.5</v>
      </c>
      <c r="L12" s="52" t="n">
        <f aca="false">L9+L10+L11</f>
        <v>16387.5</v>
      </c>
      <c r="M12" s="52" t="n">
        <f aca="false">M9+M10+M11</f>
        <v>16387.5</v>
      </c>
      <c r="N12" s="52" t="n">
        <f aca="false">N9+N10+N11</f>
        <v>16387.5</v>
      </c>
      <c r="O12" s="52" t="n">
        <f aca="false">O9+O10+O11</f>
        <v>16879.125</v>
      </c>
      <c r="P12" s="52" t="n">
        <f aca="false">P9+P10+P11</f>
        <v>16879.125</v>
      </c>
      <c r="Q12" s="52" t="n">
        <f aca="false">Q9+Q10+Q11</f>
        <v>16879.125</v>
      </c>
      <c r="R12" s="52" t="n">
        <f aca="false">R9+R10+R11</f>
        <v>16879.125</v>
      </c>
      <c r="S12" s="52" t="n">
        <f aca="false">S9+S10+S11</f>
        <v>16879.125</v>
      </c>
      <c r="T12" s="52" t="n">
        <f aca="false">T9+T10+T11</f>
        <v>16879.125</v>
      </c>
      <c r="U12" s="52" t="n">
        <f aca="false">U9+U10+U11</f>
        <v>16879.125</v>
      </c>
      <c r="V12" s="52" t="n">
        <f aca="false">V9+V10+V11</f>
        <v>16879.125</v>
      </c>
      <c r="W12" s="52" t="n">
        <f aca="false">W9+W10+W11</f>
        <v>16879.125</v>
      </c>
      <c r="X12" s="52" t="n">
        <f aca="false">X9+X10+X11</f>
        <v>16879.125</v>
      </c>
      <c r="Y12" s="52" t="n">
        <f aca="false">Y9+Y10+Y11</f>
        <v>16879.125</v>
      </c>
      <c r="Z12" s="52" t="n">
        <f aca="false">Z9+Z10+Z11</f>
        <v>16879.125</v>
      </c>
      <c r="AA12" s="52" t="n">
        <f aca="false">AA9+AA10+AA11</f>
        <v>17385.49875</v>
      </c>
      <c r="AB12" s="52" t="n">
        <f aca="false">AB9+AB10+AB11</f>
        <v>17385.49875</v>
      </c>
      <c r="AC12" s="52" t="n">
        <f aca="false">AC9+AC10+AC11</f>
        <v>17385.49875</v>
      </c>
      <c r="AD12" s="52" t="n">
        <f aca="false">AD9+AD10+AD11</f>
        <v>17385.49875</v>
      </c>
      <c r="AE12" s="52" t="n">
        <f aca="false">AE9+AE10+AE11</f>
        <v>17385.49875</v>
      </c>
      <c r="AF12" s="52" t="n">
        <f aca="false">AF9+AF10+AF11</f>
        <v>17385.49875</v>
      </c>
      <c r="AG12" s="52" t="n">
        <f aca="false">AG9+AG10+AG11</f>
        <v>17385.49875</v>
      </c>
      <c r="AH12" s="52" t="n">
        <f aca="false">AH9+AH10+AH11</f>
        <v>17385.49875</v>
      </c>
      <c r="AI12" s="52" t="n">
        <f aca="false">AI9+AI10+AI11</f>
        <v>17385.49875</v>
      </c>
      <c r="AJ12" s="52" t="n">
        <f aca="false">AJ9+AJ10+AJ11</f>
        <v>17385.49875</v>
      </c>
      <c r="AK12" s="52" t="n">
        <f aca="false">AK9+AK10+AK11</f>
        <v>17385.49875</v>
      </c>
      <c r="AL12" s="52" t="n">
        <f aca="false">AL9+AL10+AL11</f>
        <v>17385.49875</v>
      </c>
      <c r="AM12" s="52" t="n">
        <f aca="false">AM9+AM10+AM11</f>
        <v>17907.0637125</v>
      </c>
      <c r="AN12" s="52" t="n">
        <f aca="false">AN9+AN10+AN11</f>
        <v>17907.0637125</v>
      </c>
      <c r="AO12" s="52" t="n">
        <f aca="false">AO9+AO10+AO11</f>
        <v>17907.0637125</v>
      </c>
      <c r="AP12" s="52" t="n">
        <f aca="false">AP9+AP10+AP11</f>
        <v>17907.0637125</v>
      </c>
      <c r="AQ12" s="52" t="n">
        <f aca="false">AQ9+AQ10+AQ11</f>
        <v>17907.0637125</v>
      </c>
      <c r="AR12" s="52" t="n">
        <f aca="false">AR9+AR10+AR11</f>
        <v>17907.0637125</v>
      </c>
      <c r="AS12" s="52" t="n">
        <f aca="false">AS9+AS10+AS11</f>
        <v>17907.0637125</v>
      </c>
      <c r="AT12" s="52" t="n">
        <f aca="false">AT9+AT10+AT11</f>
        <v>17907.0637125</v>
      </c>
      <c r="AU12" s="52" t="n">
        <f aca="false">AU9+AU10+AU11</f>
        <v>17907.0637125</v>
      </c>
      <c r="AV12" s="52" t="n">
        <f aca="false">AV9+AV10+AV11</f>
        <v>17907.0637125</v>
      </c>
      <c r="AW12" s="52" t="n">
        <f aca="false">AW9+AW10+AW11</f>
        <v>17907.0637125</v>
      </c>
      <c r="AX12" s="52" t="n">
        <f aca="false">AX9+AX10+AX11</f>
        <v>17907.0637125</v>
      </c>
      <c r="AY12" s="52" t="n">
        <f aca="false">AY9+AY10+AY11</f>
        <v>18444.275623875</v>
      </c>
      <c r="AZ12" s="52" t="n">
        <f aca="false">AZ9+AZ10+AZ11</f>
        <v>18444.275623875</v>
      </c>
      <c r="BA12" s="52" t="n">
        <f aca="false">BA9+BA10+BA11</f>
        <v>18444.275623875</v>
      </c>
      <c r="BB12" s="52" t="n">
        <f aca="false">BB9+BB10+BB11</f>
        <v>18444.275623875</v>
      </c>
      <c r="BC12" s="52" t="n">
        <f aca="false">BC9+BC10+BC11</f>
        <v>18444.275623875</v>
      </c>
      <c r="BD12" s="52" t="n">
        <f aca="false">BD9+BD10+BD11</f>
        <v>18444.275623875</v>
      </c>
      <c r="BE12" s="52" t="n">
        <f aca="false">BE9+BE10+BE11</f>
        <v>18444.275623875</v>
      </c>
      <c r="BF12" s="52" t="n">
        <f aca="false">BF9+BF10+BF11</f>
        <v>18444.275623875</v>
      </c>
      <c r="BG12" s="52" t="n">
        <f aca="false">BG9+BG10+BG11</f>
        <v>18444.275623875</v>
      </c>
      <c r="BH12" s="52" t="n">
        <f aca="false">BH9+BH10+BH11</f>
        <v>18444.275623875</v>
      </c>
      <c r="BI12" s="52" t="n">
        <f aca="false">BI9+BI10+BI11</f>
        <v>18444.275623875</v>
      </c>
      <c r="BJ12" s="52" t="n">
        <f aca="false">BJ9+BJ10+BJ11</f>
        <v>18444.275623875</v>
      </c>
    </row>
    <row r="14" customFormat="false" ht="15.75" hidden="false" customHeight="true" outlineLevel="0" collapsed="false">
      <c r="A14" s="7" t="s">
        <v>74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390</v>
      </c>
      <c r="C15" s="51" t="n">
        <f aca="false">-(C9+C10)*Inputs!$E$19</f>
        <v>-969</v>
      </c>
      <c r="D15" s="51" t="n">
        <f aca="false">-(D9+D10)*Inputs!$E$19</f>
        <v>-969</v>
      </c>
      <c r="E15" s="51" t="n">
        <f aca="false">-(E9+E10)*Inputs!$E$19</f>
        <v>-969</v>
      </c>
      <c r="F15" s="51" t="n">
        <f aca="false">-(F9+F10)*Inputs!$E$19</f>
        <v>-969</v>
      </c>
      <c r="G15" s="51" t="n">
        <f aca="false">-(G9+G10)*Inputs!$E$19</f>
        <v>-969</v>
      </c>
      <c r="H15" s="51" t="n">
        <f aca="false">-(H9+H10)*Inputs!$E$19</f>
        <v>-969</v>
      </c>
      <c r="I15" s="51" t="n">
        <f aca="false">-(I9+I10)*Inputs!$E$19</f>
        <v>-969</v>
      </c>
      <c r="J15" s="51" t="n">
        <f aca="false">-(J9+J10)*Inputs!$E$19</f>
        <v>-969</v>
      </c>
      <c r="K15" s="51" t="n">
        <f aca="false">-(K9+K10)*Inputs!$E$19</f>
        <v>-969</v>
      </c>
      <c r="L15" s="51" t="n">
        <f aca="false">-(L9+L10)*Inputs!$E$19</f>
        <v>-969</v>
      </c>
      <c r="M15" s="51" t="n">
        <f aca="false">-(M9+M10)*Inputs!$E$19</f>
        <v>-969</v>
      </c>
      <c r="N15" s="51" t="n">
        <f aca="false">-(N9+N10)*Inputs!$E$19</f>
        <v>-969</v>
      </c>
      <c r="O15" s="51" t="n">
        <f aca="false">-(O9+O10)*Inputs!$E$19</f>
        <v>-998.07</v>
      </c>
      <c r="P15" s="51" t="n">
        <f aca="false">-(P9+P10)*Inputs!$E$19</f>
        <v>-998.07</v>
      </c>
      <c r="Q15" s="51" t="n">
        <f aca="false">-(Q9+Q10)*Inputs!$E$19</f>
        <v>-998.07</v>
      </c>
      <c r="R15" s="51" t="n">
        <f aca="false">-(R9+R10)*Inputs!$E$19</f>
        <v>-998.07</v>
      </c>
      <c r="S15" s="51" t="n">
        <f aca="false">-(S9+S10)*Inputs!$E$19</f>
        <v>-998.07</v>
      </c>
      <c r="T15" s="51" t="n">
        <f aca="false">-(T9+T10)*Inputs!$E$19</f>
        <v>-998.07</v>
      </c>
      <c r="U15" s="51" t="n">
        <f aca="false">-(U9+U10)*Inputs!$E$19</f>
        <v>-998.07</v>
      </c>
      <c r="V15" s="51" t="n">
        <f aca="false">-(V9+V10)*Inputs!$E$19</f>
        <v>-998.07</v>
      </c>
      <c r="W15" s="51" t="n">
        <f aca="false">-(W9+W10)*Inputs!$E$19</f>
        <v>-998.07</v>
      </c>
      <c r="X15" s="51" t="n">
        <f aca="false">-(X9+X10)*Inputs!$E$19</f>
        <v>-998.07</v>
      </c>
      <c r="Y15" s="51" t="n">
        <f aca="false">-(Y9+Y10)*Inputs!$E$19</f>
        <v>-998.07</v>
      </c>
      <c r="Z15" s="51" t="n">
        <f aca="false">-(Z9+Z10)*Inputs!$E$19</f>
        <v>-998.07</v>
      </c>
      <c r="AA15" s="51" t="n">
        <f aca="false">-(AA9+AA10)*Inputs!$E$19</f>
        <v>-1028.0121</v>
      </c>
      <c r="AB15" s="51" t="n">
        <f aca="false">-(AB9+AB10)*Inputs!$E$19</f>
        <v>-1028.0121</v>
      </c>
      <c r="AC15" s="51" t="n">
        <f aca="false">-(AC9+AC10)*Inputs!$E$19</f>
        <v>-1028.0121</v>
      </c>
      <c r="AD15" s="51" t="n">
        <f aca="false">-(AD9+AD10)*Inputs!$E$19</f>
        <v>-1028.0121</v>
      </c>
      <c r="AE15" s="51" t="n">
        <f aca="false">-(AE9+AE10)*Inputs!$E$19</f>
        <v>-1028.0121</v>
      </c>
      <c r="AF15" s="51" t="n">
        <f aca="false">-(AF9+AF10)*Inputs!$E$19</f>
        <v>-1028.0121</v>
      </c>
      <c r="AG15" s="51" t="n">
        <f aca="false">-(AG9+AG10)*Inputs!$E$19</f>
        <v>-1028.0121</v>
      </c>
      <c r="AH15" s="51" t="n">
        <f aca="false">-(AH9+AH10)*Inputs!$E$19</f>
        <v>-1028.0121</v>
      </c>
      <c r="AI15" s="51" t="n">
        <f aca="false">-(AI9+AI10)*Inputs!$E$19</f>
        <v>-1028.0121</v>
      </c>
      <c r="AJ15" s="51" t="n">
        <f aca="false">-(AJ9+AJ10)*Inputs!$E$19</f>
        <v>-1028.0121</v>
      </c>
      <c r="AK15" s="51" t="n">
        <f aca="false">-(AK9+AK10)*Inputs!$E$19</f>
        <v>-1028.0121</v>
      </c>
      <c r="AL15" s="51" t="n">
        <f aca="false">-(AL9+AL10)*Inputs!$E$19</f>
        <v>-1028.0121</v>
      </c>
      <c r="AM15" s="51" t="n">
        <f aca="false">-(AM9+AM10)*Inputs!$E$19</f>
        <v>-1058.852463</v>
      </c>
      <c r="AN15" s="51" t="n">
        <f aca="false">-(AN9+AN10)*Inputs!$E$19</f>
        <v>-1058.852463</v>
      </c>
      <c r="AO15" s="51" t="n">
        <f aca="false">-(AO9+AO10)*Inputs!$E$19</f>
        <v>-1058.852463</v>
      </c>
      <c r="AP15" s="51" t="n">
        <f aca="false">-(AP9+AP10)*Inputs!$E$19</f>
        <v>-1058.852463</v>
      </c>
      <c r="AQ15" s="51" t="n">
        <f aca="false">-(AQ9+AQ10)*Inputs!$E$19</f>
        <v>-1058.852463</v>
      </c>
      <c r="AR15" s="51" t="n">
        <f aca="false">-(AR9+AR10)*Inputs!$E$19</f>
        <v>-1058.852463</v>
      </c>
      <c r="AS15" s="51" t="n">
        <f aca="false">-(AS9+AS10)*Inputs!$E$19</f>
        <v>-1058.852463</v>
      </c>
      <c r="AT15" s="51" t="n">
        <f aca="false">-(AT9+AT10)*Inputs!$E$19</f>
        <v>-1058.852463</v>
      </c>
      <c r="AU15" s="51" t="n">
        <f aca="false">-(AU9+AU10)*Inputs!$E$19</f>
        <v>-1058.852463</v>
      </c>
      <c r="AV15" s="51" t="n">
        <f aca="false">-(AV9+AV10)*Inputs!$E$19</f>
        <v>-1058.852463</v>
      </c>
      <c r="AW15" s="51" t="n">
        <f aca="false">-(AW9+AW10)*Inputs!$E$19</f>
        <v>-1058.852463</v>
      </c>
      <c r="AX15" s="51" t="n">
        <f aca="false">-(AX9+AX10)*Inputs!$E$19</f>
        <v>-1058.852463</v>
      </c>
      <c r="AY15" s="51" t="n">
        <f aca="false">-(AY9+AY10)*Inputs!$E$19</f>
        <v>-1090.61803689</v>
      </c>
      <c r="AZ15" s="51" t="n">
        <f aca="false">-(AZ9+AZ10)*Inputs!$E$19</f>
        <v>-1090.61803689</v>
      </c>
      <c r="BA15" s="51" t="n">
        <f aca="false">-(BA9+BA10)*Inputs!$E$19</f>
        <v>-1090.61803689</v>
      </c>
      <c r="BB15" s="51" t="n">
        <f aca="false">-(BB9+BB10)*Inputs!$E$19</f>
        <v>-1090.61803689</v>
      </c>
      <c r="BC15" s="51" t="n">
        <f aca="false">-(BC9+BC10)*Inputs!$E$19</f>
        <v>-1090.61803689</v>
      </c>
      <c r="BD15" s="51" t="n">
        <f aca="false">-(BD9+BD10)*Inputs!$E$19</f>
        <v>-1090.61803689</v>
      </c>
      <c r="BE15" s="51" t="n">
        <f aca="false">-(BE9+BE10)*Inputs!$E$19</f>
        <v>-1090.61803689</v>
      </c>
      <c r="BF15" s="51" t="n">
        <f aca="false">-(BF9+BF10)*Inputs!$E$19</f>
        <v>-1090.61803689</v>
      </c>
      <c r="BG15" s="51" t="n">
        <f aca="false">-(BG9+BG10)*Inputs!$E$19</f>
        <v>-1090.61803689</v>
      </c>
      <c r="BH15" s="51" t="n">
        <f aca="false">-(BH9+BH10)*Inputs!$E$19</f>
        <v>-1090.61803689</v>
      </c>
      <c r="BI15" s="51" t="n">
        <f aca="false">-(BI9+BI10)*Inputs!$E$19</f>
        <v>-1090.61803689</v>
      </c>
      <c r="BJ15" s="51" t="n">
        <f aca="false">-(BJ9+BJ10)*Inputs!$E$19</f>
        <v>-1090.61803689</v>
      </c>
    </row>
    <row r="16" customFormat="false" ht="15" hidden="false" customHeight="false" outlineLevel="0" collapsed="false">
      <c r="A16" s="6" t="s">
        <v>391</v>
      </c>
      <c r="C16" s="51" t="n">
        <f aca="false">-Inputs!$E$20*(1+Inputs!$E$25)^(C$5-1)*1</f>
        <v>-900</v>
      </c>
      <c r="D16" s="51" t="n">
        <f aca="false">-Inputs!$E$20*(1+Inputs!$E$25)^(D$5-1)*1</f>
        <v>-900</v>
      </c>
      <c r="E16" s="51" t="n">
        <f aca="false">-Inputs!$E$20*(1+Inputs!$E$25)^(E$5-1)*1</f>
        <v>-900</v>
      </c>
      <c r="F16" s="51" t="n">
        <f aca="false">-Inputs!$E$20*(1+Inputs!$E$25)^(F$5-1)*1</f>
        <v>-900</v>
      </c>
      <c r="G16" s="51" t="n">
        <f aca="false">-Inputs!$E$20*(1+Inputs!$E$25)^(G$5-1)*1</f>
        <v>-900</v>
      </c>
      <c r="H16" s="51" t="n">
        <f aca="false">-Inputs!$E$20*(1+Inputs!$E$25)^(H$5-1)*1</f>
        <v>-900</v>
      </c>
      <c r="I16" s="51" t="n">
        <f aca="false">-Inputs!$E$20*(1+Inputs!$E$25)^(I$5-1)*1</f>
        <v>-900</v>
      </c>
      <c r="J16" s="51" t="n">
        <f aca="false">-Inputs!$E$20*(1+Inputs!$E$25)^(J$5-1)*1</f>
        <v>-900</v>
      </c>
      <c r="K16" s="51" t="n">
        <f aca="false">-Inputs!$E$20*(1+Inputs!$E$25)^(K$5-1)*1</f>
        <v>-900</v>
      </c>
      <c r="L16" s="51" t="n">
        <f aca="false">-Inputs!$E$20*(1+Inputs!$E$25)^(L$5-1)*1</f>
        <v>-900</v>
      </c>
      <c r="M16" s="51" t="n">
        <f aca="false">-Inputs!$E$20*(1+Inputs!$E$25)^(M$5-1)*1</f>
        <v>-900</v>
      </c>
      <c r="N16" s="51" t="n">
        <f aca="false">-Inputs!$E$20*(1+Inputs!$E$25)^(N$5-1)*1</f>
        <v>-900</v>
      </c>
      <c r="O16" s="51" t="n">
        <f aca="false">-Inputs!$E$20*(1+Inputs!$E$25)^(O$5-1)*1</f>
        <v>-927</v>
      </c>
      <c r="P16" s="51" t="n">
        <f aca="false">-Inputs!$E$20*(1+Inputs!$E$25)^(P$5-1)*1</f>
        <v>-927</v>
      </c>
      <c r="Q16" s="51" t="n">
        <f aca="false">-Inputs!$E$20*(1+Inputs!$E$25)^(Q$5-1)*1</f>
        <v>-927</v>
      </c>
      <c r="R16" s="51" t="n">
        <f aca="false">-Inputs!$E$20*(1+Inputs!$E$25)^(R$5-1)*1</f>
        <v>-927</v>
      </c>
      <c r="S16" s="51" t="n">
        <f aca="false">-Inputs!$E$20*(1+Inputs!$E$25)^(S$5-1)*1</f>
        <v>-927</v>
      </c>
      <c r="T16" s="51" t="n">
        <f aca="false">-Inputs!$E$20*(1+Inputs!$E$25)^(T$5-1)*1</f>
        <v>-927</v>
      </c>
      <c r="U16" s="51" t="n">
        <f aca="false">-Inputs!$E$20*(1+Inputs!$E$25)^(U$5-1)*1</f>
        <v>-927</v>
      </c>
      <c r="V16" s="51" t="n">
        <f aca="false">-Inputs!$E$20*(1+Inputs!$E$25)^(V$5-1)*1</f>
        <v>-927</v>
      </c>
      <c r="W16" s="51" t="n">
        <f aca="false">-Inputs!$E$20*(1+Inputs!$E$25)^(W$5-1)*1</f>
        <v>-927</v>
      </c>
      <c r="X16" s="51" t="n">
        <f aca="false">-Inputs!$E$20*(1+Inputs!$E$25)^(X$5-1)*1</f>
        <v>-927</v>
      </c>
      <c r="Y16" s="51" t="n">
        <f aca="false">-Inputs!$E$20*(1+Inputs!$E$25)^(Y$5-1)*1</f>
        <v>-927</v>
      </c>
      <c r="Z16" s="51" t="n">
        <f aca="false">-Inputs!$E$20*(1+Inputs!$E$25)^(Z$5-1)*1</f>
        <v>-927</v>
      </c>
      <c r="AA16" s="51" t="n">
        <f aca="false">-Inputs!$E$20*(1+Inputs!$E$25)^(AA$5-1)*1</f>
        <v>-954.81</v>
      </c>
      <c r="AB16" s="51" t="n">
        <f aca="false">-Inputs!$E$20*(1+Inputs!$E$25)^(AB$5-1)*1</f>
        <v>-954.81</v>
      </c>
      <c r="AC16" s="51" t="n">
        <f aca="false">-Inputs!$E$20*(1+Inputs!$E$25)^(AC$5-1)*1</f>
        <v>-954.81</v>
      </c>
      <c r="AD16" s="51" t="n">
        <f aca="false">-Inputs!$E$20*(1+Inputs!$E$25)^(AD$5-1)*1</f>
        <v>-954.81</v>
      </c>
      <c r="AE16" s="51" t="n">
        <f aca="false">-Inputs!$E$20*(1+Inputs!$E$25)^(AE$5-1)*1</f>
        <v>-954.81</v>
      </c>
      <c r="AF16" s="51" t="n">
        <f aca="false">-Inputs!$E$20*(1+Inputs!$E$25)^(AF$5-1)*1</f>
        <v>-954.81</v>
      </c>
      <c r="AG16" s="51" t="n">
        <f aca="false">-Inputs!$E$20*(1+Inputs!$E$25)^(AG$5-1)*1</f>
        <v>-954.81</v>
      </c>
      <c r="AH16" s="51" t="n">
        <f aca="false">-Inputs!$E$20*(1+Inputs!$E$25)^(AH$5-1)*1</f>
        <v>-954.81</v>
      </c>
      <c r="AI16" s="51" t="n">
        <f aca="false">-Inputs!$E$20*(1+Inputs!$E$25)^(AI$5-1)*1</f>
        <v>-954.81</v>
      </c>
      <c r="AJ16" s="51" t="n">
        <f aca="false">-Inputs!$E$20*(1+Inputs!$E$25)^(AJ$5-1)*1</f>
        <v>-954.81</v>
      </c>
      <c r="AK16" s="51" t="n">
        <f aca="false">-Inputs!$E$20*(1+Inputs!$E$25)^(AK$5-1)*1</f>
        <v>-954.81</v>
      </c>
      <c r="AL16" s="51" t="n">
        <f aca="false">-Inputs!$E$20*(1+Inputs!$E$25)^(AL$5-1)*1</f>
        <v>-954.81</v>
      </c>
      <c r="AM16" s="51" t="n">
        <f aca="false">-Inputs!$E$20*(1+Inputs!$E$25)^(AM$5-1)*1</f>
        <v>-983.4543</v>
      </c>
      <c r="AN16" s="51" t="n">
        <f aca="false">-Inputs!$E$20*(1+Inputs!$E$25)^(AN$5-1)*1</f>
        <v>-983.4543</v>
      </c>
      <c r="AO16" s="51" t="n">
        <f aca="false">-Inputs!$E$20*(1+Inputs!$E$25)^(AO$5-1)*1</f>
        <v>-983.4543</v>
      </c>
      <c r="AP16" s="51" t="n">
        <f aca="false">-Inputs!$E$20*(1+Inputs!$E$25)^(AP$5-1)*1</f>
        <v>-983.4543</v>
      </c>
      <c r="AQ16" s="51" t="n">
        <f aca="false">-Inputs!$E$20*(1+Inputs!$E$25)^(AQ$5-1)*1</f>
        <v>-983.4543</v>
      </c>
      <c r="AR16" s="51" t="n">
        <f aca="false">-Inputs!$E$20*(1+Inputs!$E$25)^(AR$5-1)*1</f>
        <v>-983.4543</v>
      </c>
      <c r="AS16" s="51" t="n">
        <f aca="false">-Inputs!$E$20*(1+Inputs!$E$25)^(AS$5-1)*1</f>
        <v>-983.4543</v>
      </c>
      <c r="AT16" s="51" t="n">
        <f aca="false">-Inputs!$E$20*(1+Inputs!$E$25)^(AT$5-1)*1</f>
        <v>-983.4543</v>
      </c>
      <c r="AU16" s="51" t="n">
        <f aca="false">-Inputs!$E$20*(1+Inputs!$E$25)^(AU$5-1)*1</f>
        <v>-983.4543</v>
      </c>
      <c r="AV16" s="51" t="n">
        <f aca="false">-Inputs!$E$20*(1+Inputs!$E$25)^(AV$5-1)*1</f>
        <v>-983.4543</v>
      </c>
      <c r="AW16" s="51" t="n">
        <f aca="false">-Inputs!$E$20*(1+Inputs!$E$25)^(AW$5-1)*1</f>
        <v>-983.4543</v>
      </c>
      <c r="AX16" s="51" t="n">
        <f aca="false">-Inputs!$E$20*(1+Inputs!$E$25)^(AX$5-1)*1</f>
        <v>-983.4543</v>
      </c>
      <c r="AY16" s="51" t="n">
        <f aca="false">-Inputs!$E$20*(1+Inputs!$E$25)^(AY$5-1)*1</f>
        <v>-1012.957929</v>
      </c>
      <c r="AZ16" s="51" t="n">
        <f aca="false">-Inputs!$E$20*(1+Inputs!$E$25)^(AZ$5-1)*1</f>
        <v>-1012.957929</v>
      </c>
      <c r="BA16" s="51" t="n">
        <f aca="false">-Inputs!$E$20*(1+Inputs!$E$25)^(BA$5-1)*1</f>
        <v>-1012.957929</v>
      </c>
      <c r="BB16" s="51" t="n">
        <f aca="false">-Inputs!$E$20*(1+Inputs!$E$25)^(BB$5-1)*1</f>
        <v>-1012.957929</v>
      </c>
      <c r="BC16" s="51" t="n">
        <f aca="false">-Inputs!$E$20*(1+Inputs!$E$25)^(BC$5-1)*1</f>
        <v>-1012.957929</v>
      </c>
      <c r="BD16" s="51" t="n">
        <f aca="false">-Inputs!$E$20*(1+Inputs!$E$25)^(BD$5-1)*1</f>
        <v>-1012.957929</v>
      </c>
      <c r="BE16" s="51" t="n">
        <f aca="false">-Inputs!$E$20*(1+Inputs!$E$25)^(BE$5-1)*1</f>
        <v>-1012.957929</v>
      </c>
      <c r="BF16" s="51" t="n">
        <f aca="false">-Inputs!$E$20*(1+Inputs!$E$25)^(BF$5-1)*1</f>
        <v>-1012.957929</v>
      </c>
      <c r="BG16" s="51" t="n">
        <f aca="false">-Inputs!$E$20*(1+Inputs!$E$25)^(BG$5-1)*1</f>
        <v>-1012.957929</v>
      </c>
      <c r="BH16" s="51" t="n">
        <f aca="false">-Inputs!$E$20*(1+Inputs!$E$25)^(BH$5-1)*1</f>
        <v>-1012.957929</v>
      </c>
      <c r="BI16" s="51" t="n">
        <f aca="false">-Inputs!$E$20*(1+Inputs!$E$25)^(BI$5-1)*1</f>
        <v>-1012.957929</v>
      </c>
      <c r="BJ16" s="51" t="n">
        <f aca="false">-Inputs!$E$20*(1+Inputs!$E$25)^(BJ$5-1)*1</f>
        <v>-1012.957929</v>
      </c>
    </row>
    <row r="17" customFormat="false" ht="15" hidden="false" customHeight="false" outlineLevel="0" collapsed="false">
      <c r="A17" s="4" t="s">
        <v>74</v>
      </c>
      <c r="C17" s="58" t="n">
        <f aca="false">C15+C16</f>
        <v>-1869</v>
      </c>
      <c r="D17" s="58" t="n">
        <f aca="false">D15+D16</f>
        <v>-1869</v>
      </c>
      <c r="E17" s="58" t="n">
        <f aca="false">E15+E16</f>
        <v>-1869</v>
      </c>
      <c r="F17" s="58" t="n">
        <f aca="false">F15+F16</f>
        <v>-1869</v>
      </c>
      <c r="G17" s="58" t="n">
        <f aca="false">G15+G16</f>
        <v>-1869</v>
      </c>
      <c r="H17" s="58" t="n">
        <f aca="false">H15+H16</f>
        <v>-1869</v>
      </c>
      <c r="I17" s="58" t="n">
        <f aca="false">I15+I16</f>
        <v>-1869</v>
      </c>
      <c r="J17" s="58" t="n">
        <f aca="false">J15+J16</f>
        <v>-1869</v>
      </c>
      <c r="K17" s="58" t="n">
        <f aca="false">K15+K16</f>
        <v>-1869</v>
      </c>
      <c r="L17" s="58" t="n">
        <f aca="false">L15+L16</f>
        <v>-1869</v>
      </c>
      <c r="M17" s="58" t="n">
        <f aca="false">M15+M16</f>
        <v>-1869</v>
      </c>
      <c r="N17" s="58" t="n">
        <f aca="false">N15+N16</f>
        <v>-1869</v>
      </c>
      <c r="O17" s="58" t="n">
        <f aca="false">O15+O16</f>
        <v>-1925.07</v>
      </c>
      <c r="P17" s="58" t="n">
        <f aca="false">P15+P16</f>
        <v>-1925.07</v>
      </c>
      <c r="Q17" s="58" t="n">
        <f aca="false">Q15+Q16</f>
        <v>-1925.07</v>
      </c>
      <c r="R17" s="58" t="n">
        <f aca="false">R15+R16</f>
        <v>-1925.07</v>
      </c>
      <c r="S17" s="58" t="n">
        <f aca="false">S15+S16</f>
        <v>-1925.07</v>
      </c>
      <c r="T17" s="58" t="n">
        <f aca="false">T15+T16</f>
        <v>-1925.07</v>
      </c>
      <c r="U17" s="58" t="n">
        <f aca="false">U15+U16</f>
        <v>-1925.07</v>
      </c>
      <c r="V17" s="58" t="n">
        <f aca="false">V15+V16</f>
        <v>-1925.07</v>
      </c>
      <c r="W17" s="58" t="n">
        <f aca="false">W15+W16</f>
        <v>-1925.07</v>
      </c>
      <c r="X17" s="58" t="n">
        <f aca="false">X15+X16</f>
        <v>-1925.07</v>
      </c>
      <c r="Y17" s="58" t="n">
        <f aca="false">Y15+Y16</f>
        <v>-1925.07</v>
      </c>
      <c r="Z17" s="58" t="n">
        <f aca="false">Z15+Z16</f>
        <v>-1925.07</v>
      </c>
      <c r="AA17" s="58" t="n">
        <f aca="false">AA15+AA16</f>
        <v>-1982.8221</v>
      </c>
      <c r="AB17" s="58" t="n">
        <f aca="false">AB15+AB16</f>
        <v>-1982.8221</v>
      </c>
      <c r="AC17" s="58" t="n">
        <f aca="false">AC15+AC16</f>
        <v>-1982.8221</v>
      </c>
      <c r="AD17" s="58" t="n">
        <f aca="false">AD15+AD16</f>
        <v>-1982.8221</v>
      </c>
      <c r="AE17" s="58" t="n">
        <f aca="false">AE15+AE16</f>
        <v>-1982.8221</v>
      </c>
      <c r="AF17" s="58" t="n">
        <f aca="false">AF15+AF16</f>
        <v>-1982.8221</v>
      </c>
      <c r="AG17" s="58" t="n">
        <f aca="false">AG15+AG16</f>
        <v>-1982.8221</v>
      </c>
      <c r="AH17" s="58" t="n">
        <f aca="false">AH15+AH16</f>
        <v>-1982.8221</v>
      </c>
      <c r="AI17" s="58" t="n">
        <f aca="false">AI15+AI16</f>
        <v>-1982.8221</v>
      </c>
      <c r="AJ17" s="58" t="n">
        <f aca="false">AJ15+AJ16</f>
        <v>-1982.8221</v>
      </c>
      <c r="AK17" s="58" t="n">
        <f aca="false">AK15+AK16</f>
        <v>-1982.8221</v>
      </c>
      <c r="AL17" s="58" t="n">
        <f aca="false">AL15+AL16</f>
        <v>-1982.8221</v>
      </c>
      <c r="AM17" s="58" t="n">
        <f aca="false">AM15+AM16</f>
        <v>-2042.306763</v>
      </c>
      <c r="AN17" s="58" t="n">
        <f aca="false">AN15+AN16</f>
        <v>-2042.306763</v>
      </c>
      <c r="AO17" s="58" t="n">
        <f aca="false">AO15+AO16</f>
        <v>-2042.306763</v>
      </c>
      <c r="AP17" s="58" t="n">
        <f aca="false">AP15+AP16</f>
        <v>-2042.306763</v>
      </c>
      <c r="AQ17" s="58" t="n">
        <f aca="false">AQ15+AQ16</f>
        <v>-2042.306763</v>
      </c>
      <c r="AR17" s="58" t="n">
        <f aca="false">AR15+AR16</f>
        <v>-2042.306763</v>
      </c>
      <c r="AS17" s="58" t="n">
        <f aca="false">AS15+AS16</f>
        <v>-2042.306763</v>
      </c>
      <c r="AT17" s="58" t="n">
        <f aca="false">AT15+AT16</f>
        <v>-2042.306763</v>
      </c>
      <c r="AU17" s="58" t="n">
        <f aca="false">AU15+AU16</f>
        <v>-2042.306763</v>
      </c>
      <c r="AV17" s="58" t="n">
        <f aca="false">AV15+AV16</f>
        <v>-2042.306763</v>
      </c>
      <c r="AW17" s="58" t="n">
        <f aca="false">AW15+AW16</f>
        <v>-2042.306763</v>
      </c>
      <c r="AX17" s="58" t="n">
        <f aca="false">AX15+AX16</f>
        <v>-2042.306763</v>
      </c>
      <c r="AY17" s="58" t="n">
        <f aca="false">AY15+AY16</f>
        <v>-2103.57596589</v>
      </c>
      <c r="AZ17" s="58" t="n">
        <f aca="false">AZ15+AZ16</f>
        <v>-2103.57596589</v>
      </c>
      <c r="BA17" s="58" t="n">
        <f aca="false">BA15+BA16</f>
        <v>-2103.57596589</v>
      </c>
      <c r="BB17" s="58" t="n">
        <f aca="false">BB15+BB16</f>
        <v>-2103.57596589</v>
      </c>
      <c r="BC17" s="58" t="n">
        <f aca="false">BC15+BC16</f>
        <v>-2103.57596589</v>
      </c>
      <c r="BD17" s="58" t="n">
        <f aca="false">BD15+BD16</f>
        <v>-2103.57596589</v>
      </c>
      <c r="BE17" s="58" t="n">
        <f aca="false">BE15+BE16</f>
        <v>-2103.57596589</v>
      </c>
      <c r="BF17" s="58" t="n">
        <f aca="false">BF15+BF16</f>
        <v>-2103.57596589</v>
      </c>
      <c r="BG17" s="58" t="n">
        <f aca="false">BG15+BG16</f>
        <v>-2103.57596589</v>
      </c>
      <c r="BH17" s="58" t="n">
        <f aca="false">BH15+BH16</f>
        <v>-2103.57596589</v>
      </c>
      <c r="BI17" s="58" t="n">
        <f aca="false">BI15+BI16</f>
        <v>-2103.57596589</v>
      </c>
      <c r="BJ17" s="58" t="n">
        <f aca="false">BJ15+BJ16</f>
        <v>-2103.57596589</v>
      </c>
    </row>
    <row r="18" customFormat="false" ht="15" hidden="false" customHeight="false" outlineLevel="0" collapsed="false">
      <c r="A18" s="96" t="s">
        <v>44</v>
      </c>
      <c r="C18" s="52" t="n">
        <f aca="false">C12+C17</f>
        <v>14518.5</v>
      </c>
      <c r="D18" s="52" t="n">
        <f aca="false">D12+D17</f>
        <v>14518.5</v>
      </c>
      <c r="E18" s="52" t="n">
        <f aca="false">E12+E17</f>
        <v>14518.5</v>
      </c>
      <c r="F18" s="52" t="n">
        <f aca="false">F12+F17</f>
        <v>14518.5</v>
      </c>
      <c r="G18" s="52" t="n">
        <f aca="false">G12+G17</f>
        <v>14518.5</v>
      </c>
      <c r="H18" s="52" t="n">
        <f aca="false">H12+H17</f>
        <v>14518.5</v>
      </c>
      <c r="I18" s="52" t="n">
        <f aca="false">I12+I17</f>
        <v>14518.5</v>
      </c>
      <c r="J18" s="52" t="n">
        <f aca="false">J12+J17</f>
        <v>14518.5</v>
      </c>
      <c r="K18" s="52" t="n">
        <f aca="false">K12+K17</f>
        <v>14518.5</v>
      </c>
      <c r="L18" s="52" t="n">
        <f aca="false">L12+L17</f>
        <v>14518.5</v>
      </c>
      <c r="M18" s="52" t="n">
        <f aca="false">M12+M17</f>
        <v>14518.5</v>
      </c>
      <c r="N18" s="52" t="n">
        <f aca="false">N12+N17</f>
        <v>14518.5</v>
      </c>
      <c r="O18" s="52" t="n">
        <f aca="false">O12+O17</f>
        <v>14954.055</v>
      </c>
      <c r="P18" s="52" t="n">
        <f aca="false">P12+P17</f>
        <v>14954.055</v>
      </c>
      <c r="Q18" s="52" t="n">
        <f aca="false">Q12+Q17</f>
        <v>14954.055</v>
      </c>
      <c r="R18" s="52" t="n">
        <f aca="false">R12+R17</f>
        <v>14954.055</v>
      </c>
      <c r="S18" s="52" t="n">
        <f aca="false">S12+S17</f>
        <v>14954.055</v>
      </c>
      <c r="T18" s="52" t="n">
        <f aca="false">T12+T17</f>
        <v>14954.055</v>
      </c>
      <c r="U18" s="52" t="n">
        <f aca="false">U12+U17</f>
        <v>14954.055</v>
      </c>
      <c r="V18" s="52" t="n">
        <f aca="false">V12+V17</f>
        <v>14954.055</v>
      </c>
      <c r="W18" s="52" t="n">
        <f aca="false">W12+W17</f>
        <v>14954.055</v>
      </c>
      <c r="X18" s="52" t="n">
        <f aca="false">X12+X17</f>
        <v>14954.055</v>
      </c>
      <c r="Y18" s="52" t="n">
        <f aca="false">Y12+Y17</f>
        <v>14954.055</v>
      </c>
      <c r="Z18" s="52" t="n">
        <f aca="false">Z12+Z17</f>
        <v>14954.055</v>
      </c>
      <c r="AA18" s="52" t="n">
        <f aca="false">AA12+AA17</f>
        <v>15402.67665</v>
      </c>
      <c r="AB18" s="52" t="n">
        <f aca="false">AB12+AB17</f>
        <v>15402.67665</v>
      </c>
      <c r="AC18" s="52" t="n">
        <f aca="false">AC12+AC17</f>
        <v>15402.67665</v>
      </c>
      <c r="AD18" s="52" t="n">
        <f aca="false">AD12+AD17</f>
        <v>15402.67665</v>
      </c>
      <c r="AE18" s="52" t="n">
        <f aca="false">AE12+AE17</f>
        <v>15402.67665</v>
      </c>
      <c r="AF18" s="52" t="n">
        <f aca="false">AF12+AF17</f>
        <v>15402.67665</v>
      </c>
      <c r="AG18" s="52" t="n">
        <f aca="false">AG12+AG17</f>
        <v>15402.67665</v>
      </c>
      <c r="AH18" s="52" t="n">
        <f aca="false">AH12+AH17</f>
        <v>15402.67665</v>
      </c>
      <c r="AI18" s="52" t="n">
        <f aca="false">AI12+AI17</f>
        <v>15402.67665</v>
      </c>
      <c r="AJ18" s="52" t="n">
        <f aca="false">AJ12+AJ17</f>
        <v>15402.67665</v>
      </c>
      <c r="AK18" s="52" t="n">
        <f aca="false">AK12+AK17</f>
        <v>15402.67665</v>
      </c>
      <c r="AL18" s="52" t="n">
        <f aca="false">AL12+AL17</f>
        <v>15402.67665</v>
      </c>
      <c r="AM18" s="52" t="n">
        <f aca="false">AM12+AM17</f>
        <v>15864.7569495</v>
      </c>
      <c r="AN18" s="52" t="n">
        <f aca="false">AN12+AN17</f>
        <v>15864.7569495</v>
      </c>
      <c r="AO18" s="52" t="n">
        <f aca="false">AO12+AO17</f>
        <v>15864.7569495</v>
      </c>
      <c r="AP18" s="52" t="n">
        <f aca="false">AP12+AP17</f>
        <v>15864.7569495</v>
      </c>
      <c r="AQ18" s="52" t="n">
        <f aca="false">AQ12+AQ17</f>
        <v>15864.7569495</v>
      </c>
      <c r="AR18" s="52" t="n">
        <f aca="false">AR12+AR17</f>
        <v>15864.7569495</v>
      </c>
      <c r="AS18" s="52" t="n">
        <f aca="false">AS12+AS17</f>
        <v>15864.7569495</v>
      </c>
      <c r="AT18" s="52" t="n">
        <f aca="false">AT12+AT17</f>
        <v>15864.7569495</v>
      </c>
      <c r="AU18" s="52" t="n">
        <f aca="false">AU12+AU17</f>
        <v>15864.7569495</v>
      </c>
      <c r="AV18" s="52" t="n">
        <f aca="false">AV12+AV17</f>
        <v>15864.7569495</v>
      </c>
      <c r="AW18" s="52" t="n">
        <f aca="false">AW12+AW17</f>
        <v>15864.7569495</v>
      </c>
      <c r="AX18" s="52" t="n">
        <f aca="false">AX12+AX17</f>
        <v>15864.7569495</v>
      </c>
      <c r="AY18" s="52" t="n">
        <f aca="false">AY12+AY17</f>
        <v>16340.699657985</v>
      </c>
      <c r="AZ18" s="52" t="n">
        <f aca="false">AZ12+AZ17</f>
        <v>16340.699657985</v>
      </c>
      <c r="BA18" s="52" t="n">
        <f aca="false">BA12+BA17</f>
        <v>16340.699657985</v>
      </c>
      <c r="BB18" s="52" t="n">
        <f aca="false">BB12+BB17</f>
        <v>16340.699657985</v>
      </c>
      <c r="BC18" s="52" t="n">
        <f aca="false">BC12+BC17</f>
        <v>16340.699657985</v>
      </c>
      <c r="BD18" s="52" t="n">
        <f aca="false">BD12+BD17</f>
        <v>16340.699657985</v>
      </c>
      <c r="BE18" s="52" t="n">
        <f aca="false">BE12+BE17</f>
        <v>16340.699657985</v>
      </c>
      <c r="BF18" s="52" t="n">
        <f aca="false">BF12+BF17</f>
        <v>16340.699657985</v>
      </c>
      <c r="BG18" s="52" t="n">
        <f aca="false">BG12+BG17</f>
        <v>16340.699657985</v>
      </c>
      <c r="BH18" s="52" t="n">
        <f aca="false">BH12+BH17</f>
        <v>16340.699657985</v>
      </c>
      <c r="BI18" s="52" t="n">
        <f aca="false">BI12+BI17</f>
        <v>16340.699657985</v>
      </c>
      <c r="BJ18" s="52" t="n">
        <f aca="false">BJ12+BJ17</f>
        <v>16340.699657985</v>
      </c>
    </row>
    <row r="20" customFormat="false" ht="15.75" hidden="false" customHeight="true" outlineLevel="0" collapsed="false">
      <c r="A20" s="7" t="s">
        <v>46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6" t="s">
        <v>313</v>
      </c>
      <c r="C21" s="51" t="n">
        <f aca="false">-Inputs!$E$7*Inputs!$E$21/12*(1+Inputs!$E$25)^(C$5-1)*1</f>
        <v>-1695.83333333333</v>
      </c>
      <c r="D21" s="51" t="n">
        <f aca="false">-Inputs!$E$7*Inputs!$E$21/12*(1+Inputs!$E$25)^(D$5-1)*1</f>
        <v>-1695.83333333333</v>
      </c>
      <c r="E21" s="51" t="n">
        <f aca="false">-Inputs!$E$7*Inputs!$E$21/12*(1+Inputs!$E$25)^(E$5-1)*1</f>
        <v>-1695.83333333333</v>
      </c>
      <c r="F21" s="51" t="n">
        <f aca="false">-Inputs!$E$7*Inputs!$E$21/12*(1+Inputs!$E$25)^(F$5-1)*1</f>
        <v>-1695.83333333333</v>
      </c>
      <c r="G21" s="51" t="n">
        <f aca="false">-Inputs!$E$7*Inputs!$E$21/12*(1+Inputs!$E$25)^(G$5-1)*1</f>
        <v>-1695.83333333333</v>
      </c>
      <c r="H21" s="51" t="n">
        <f aca="false">-Inputs!$E$7*Inputs!$E$21/12*(1+Inputs!$E$25)^(H$5-1)*1</f>
        <v>-1695.83333333333</v>
      </c>
      <c r="I21" s="51" t="n">
        <f aca="false">-Inputs!$E$7*Inputs!$E$21/12*(1+Inputs!$E$25)^(I$5-1)*1</f>
        <v>-1695.83333333333</v>
      </c>
      <c r="J21" s="51" t="n">
        <f aca="false">-Inputs!$E$7*Inputs!$E$21/12*(1+Inputs!$E$25)^(J$5-1)*1</f>
        <v>-1695.83333333333</v>
      </c>
      <c r="K21" s="51" t="n">
        <f aca="false">-Inputs!$E$7*Inputs!$E$21/12*(1+Inputs!$E$25)^(K$5-1)*1</f>
        <v>-1695.83333333333</v>
      </c>
      <c r="L21" s="51" t="n">
        <f aca="false">-Inputs!$E$7*Inputs!$E$21/12*(1+Inputs!$E$25)^(L$5-1)*1</f>
        <v>-1695.83333333333</v>
      </c>
      <c r="M21" s="51" t="n">
        <f aca="false">-Inputs!$E$7*Inputs!$E$21/12*(1+Inputs!$E$25)^(M$5-1)*1</f>
        <v>-1695.83333333333</v>
      </c>
      <c r="N21" s="51" t="n">
        <f aca="false">-Inputs!$E$7*Inputs!$E$21/12*(1+Inputs!$E$25)^(N$5-1)*1</f>
        <v>-1695.83333333333</v>
      </c>
      <c r="O21" s="51" t="n">
        <f aca="false">-Inputs!$E$7*Inputs!$E$21/12*(1+Inputs!$E$25)^(O$5-1)*1</f>
        <v>-1746.70833333333</v>
      </c>
      <c r="P21" s="51" t="n">
        <f aca="false">-Inputs!$E$7*Inputs!$E$21/12*(1+Inputs!$E$25)^(P$5-1)*1</f>
        <v>-1746.70833333333</v>
      </c>
      <c r="Q21" s="51" t="n">
        <f aca="false">-Inputs!$E$7*Inputs!$E$21/12*(1+Inputs!$E$25)^(Q$5-1)*1</f>
        <v>-1746.70833333333</v>
      </c>
      <c r="R21" s="51" t="n">
        <f aca="false">-Inputs!$E$7*Inputs!$E$21/12*(1+Inputs!$E$25)^(R$5-1)*1</f>
        <v>-1746.70833333333</v>
      </c>
      <c r="S21" s="51" t="n">
        <f aca="false">-Inputs!$E$7*Inputs!$E$21/12*(1+Inputs!$E$25)^(S$5-1)*1</f>
        <v>-1746.70833333333</v>
      </c>
      <c r="T21" s="51" t="n">
        <f aca="false">-Inputs!$E$7*Inputs!$E$21/12*(1+Inputs!$E$25)^(T$5-1)*1</f>
        <v>-1746.70833333333</v>
      </c>
      <c r="U21" s="51" t="n">
        <f aca="false">-Inputs!$E$7*Inputs!$E$21/12*(1+Inputs!$E$25)^(U$5-1)*1</f>
        <v>-1746.70833333333</v>
      </c>
      <c r="V21" s="51" t="n">
        <f aca="false">-Inputs!$E$7*Inputs!$E$21/12*(1+Inputs!$E$25)^(V$5-1)*1</f>
        <v>-1746.70833333333</v>
      </c>
      <c r="W21" s="51" t="n">
        <f aca="false">-Inputs!$E$7*Inputs!$E$21/12*(1+Inputs!$E$25)^(W$5-1)*1</f>
        <v>-1746.70833333333</v>
      </c>
      <c r="X21" s="51" t="n">
        <f aca="false">-Inputs!$E$7*Inputs!$E$21/12*(1+Inputs!$E$25)^(X$5-1)*1</f>
        <v>-1746.70833333333</v>
      </c>
      <c r="Y21" s="51" t="n">
        <f aca="false">-Inputs!$E$7*Inputs!$E$21/12*(1+Inputs!$E$25)^(Y$5-1)*1</f>
        <v>-1746.70833333333</v>
      </c>
      <c r="Z21" s="51" t="n">
        <f aca="false">-Inputs!$E$7*Inputs!$E$21/12*(1+Inputs!$E$25)^(Z$5-1)*1</f>
        <v>-1746.70833333333</v>
      </c>
      <c r="AA21" s="51" t="n">
        <f aca="false">-Inputs!$E$7*Inputs!$E$21/12*(1+Inputs!$E$25)^(AA$5-1)*1</f>
        <v>-1799.10958333333</v>
      </c>
      <c r="AB21" s="51" t="n">
        <f aca="false">-Inputs!$E$7*Inputs!$E$21/12*(1+Inputs!$E$25)^(AB$5-1)*1</f>
        <v>-1799.10958333333</v>
      </c>
      <c r="AC21" s="51" t="n">
        <f aca="false">-Inputs!$E$7*Inputs!$E$21/12*(1+Inputs!$E$25)^(AC$5-1)*1</f>
        <v>-1799.10958333333</v>
      </c>
      <c r="AD21" s="51" t="n">
        <f aca="false">-Inputs!$E$7*Inputs!$E$21/12*(1+Inputs!$E$25)^(AD$5-1)*1</f>
        <v>-1799.10958333333</v>
      </c>
      <c r="AE21" s="51" t="n">
        <f aca="false">-Inputs!$E$7*Inputs!$E$21/12*(1+Inputs!$E$25)^(AE$5-1)*1</f>
        <v>-1799.10958333333</v>
      </c>
      <c r="AF21" s="51" t="n">
        <f aca="false">-Inputs!$E$7*Inputs!$E$21/12*(1+Inputs!$E$25)^(AF$5-1)*1</f>
        <v>-1799.10958333333</v>
      </c>
      <c r="AG21" s="51" t="n">
        <f aca="false">-Inputs!$E$7*Inputs!$E$21/12*(1+Inputs!$E$25)^(AG$5-1)*1</f>
        <v>-1799.10958333333</v>
      </c>
      <c r="AH21" s="51" t="n">
        <f aca="false">-Inputs!$E$7*Inputs!$E$21/12*(1+Inputs!$E$25)^(AH$5-1)*1</f>
        <v>-1799.10958333333</v>
      </c>
      <c r="AI21" s="51" t="n">
        <f aca="false">-Inputs!$E$7*Inputs!$E$21/12*(1+Inputs!$E$25)^(AI$5-1)*1</f>
        <v>-1799.10958333333</v>
      </c>
      <c r="AJ21" s="51" t="n">
        <f aca="false">-Inputs!$E$7*Inputs!$E$21/12*(1+Inputs!$E$25)^(AJ$5-1)*1</f>
        <v>-1799.10958333333</v>
      </c>
      <c r="AK21" s="51" t="n">
        <f aca="false">-Inputs!$E$7*Inputs!$E$21/12*(1+Inputs!$E$25)^(AK$5-1)*1</f>
        <v>-1799.10958333333</v>
      </c>
      <c r="AL21" s="51" t="n">
        <f aca="false">-Inputs!$E$7*Inputs!$E$21/12*(1+Inputs!$E$25)^(AL$5-1)*1</f>
        <v>-1799.10958333333</v>
      </c>
      <c r="AM21" s="51" t="n">
        <f aca="false">-Inputs!$E$7*Inputs!$E$21/12*(1+Inputs!$E$25)^(AM$5-1)*1</f>
        <v>-1853.08287083333</v>
      </c>
      <c r="AN21" s="51" t="n">
        <f aca="false">-Inputs!$E$7*Inputs!$E$21/12*(1+Inputs!$E$25)^(AN$5-1)*1</f>
        <v>-1853.08287083333</v>
      </c>
      <c r="AO21" s="51" t="n">
        <f aca="false">-Inputs!$E$7*Inputs!$E$21/12*(1+Inputs!$E$25)^(AO$5-1)*1</f>
        <v>-1853.08287083333</v>
      </c>
      <c r="AP21" s="51" t="n">
        <f aca="false">-Inputs!$E$7*Inputs!$E$21/12*(1+Inputs!$E$25)^(AP$5-1)*1</f>
        <v>-1853.08287083333</v>
      </c>
      <c r="AQ21" s="51" t="n">
        <f aca="false">-Inputs!$E$7*Inputs!$E$21/12*(1+Inputs!$E$25)^(AQ$5-1)*1</f>
        <v>-1853.08287083333</v>
      </c>
      <c r="AR21" s="51" t="n">
        <f aca="false">-Inputs!$E$7*Inputs!$E$21/12*(1+Inputs!$E$25)^(AR$5-1)*1</f>
        <v>-1853.08287083333</v>
      </c>
      <c r="AS21" s="51" t="n">
        <f aca="false">-Inputs!$E$7*Inputs!$E$21/12*(1+Inputs!$E$25)^(AS$5-1)*1</f>
        <v>-1853.08287083333</v>
      </c>
      <c r="AT21" s="51" t="n">
        <f aca="false">-Inputs!$E$7*Inputs!$E$21/12*(1+Inputs!$E$25)^(AT$5-1)*1</f>
        <v>-1853.08287083333</v>
      </c>
      <c r="AU21" s="51" t="n">
        <f aca="false">-Inputs!$E$7*Inputs!$E$21/12*(1+Inputs!$E$25)^(AU$5-1)*1</f>
        <v>-1853.08287083333</v>
      </c>
      <c r="AV21" s="51" t="n">
        <f aca="false">-Inputs!$E$7*Inputs!$E$21/12*(1+Inputs!$E$25)^(AV$5-1)*1</f>
        <v>-1853.08287083333</v>
      </c>
      <c r="AW21" s="51" t="n">
        <f aca="false">-Inputs!$E$7*Inputs!$E$21/12*(1+Inputs!$E$25)^(AW$5-1)*1</f>
        <v>-1853.08287083333</v>
      </c>
      <c r="AX21" s="51" t="n">
        <f aca="false">-Inputs!$E$7*Inputs!$E$21/12*(1+Inputs!$E$25)^(AX$5-1)*1</f>
        <v>-1853.08287083333</v>
      </c>
      <c r="AY21" s="51" t="n">
        <f aca="false">-Inputs!$E$7*Inputs!$E$21/12*(1+Inputs!$E$25)^(AY$5-1)*1</f>
        <v>-1908.67535695833</v>
      </c>
      <c r="AZ21" s="51" t="n">
        <f aca="false">-Inputs!$E$7*Inputs!$E$21/12*(1+Inputs!$E$25)^(AZ$5-1)*1</f>
        <v>-1908.67535695833</v>
      </c>
      <c r="BA21" s="51" t="n">
        <f aca="false">-Inputs!$E$7*Inputs!$E$21/12*(1+Inputs!$E$25)^(BA$5-1)*1</f>
        <v>-1908.67535695833</v>
      </c>
      <c r="BB21" s="51" t="n">
        <f aca="false">-Inputs!$E$7*Inputs!$E$21/12*(1+Inputs!$E$25)^(BB$5-1)*1</f>
        <v>-1908.67535695833</v>
      </c>
      <c r="BC21" s="51" t="n">
        <f aca="false">-Inputs!$E$7*Inputs!$E$21/12*(1+Inputs!$E$25)^(BC$5-1)*1</f>
        <v>-1908.67535695833</v>
      </c>
      <c r="BD21" s="51" t="n">
        <f aca="false">-Inputs!$E$7*Inputs!$E$21/12*(1+Inputs!$E$25)^(BD$5-1)*1</f>
        <v>-1908.67535695833</v>
      </c>
      <c r="BE21" s="51" t="n">
        <f aca="false">-Inputs!$E$7*Inputs!$E$21/12*(1+Inputs!$E$25)^(BE$5-1)*1</f>
        <v>-1908.67535695833</v>
      </c>
      <c r="BF21" s="51" t="n">
        <f aca="false">-Inputs!$E$7*Inputs!$E$21/12*(1+Inputs!$E$25)^(BF$5-1)*1</f>
        <v>-1908.67535695833</v>
      </c>
      <c r="BG21" s="51" t="n">
        <f aca="false">-Inputs!$E$7*Inputs!$E$21/12*(1+Inputs!$E$25)^(BG$5-1)*1</f>
        <v>-1908.67535695833</v>
      </c>
      <c r="BH21" s="51" t="n">
        <f aca="false">-Inputs!$E$7*Inputs!$E$21/12*(1+Inputs!$E$25)^(BH$5-1)*1</f>
        <v>-1908.67535695833</v>
      </c>
      <c r="BI21" s="51" t="n">
        <f aca="false">-Inputs!$E$7*Inputs!$E$21/12*(1+Inputs!$E$25)^(BI$5-1)*1</f>
        <v>-1908.67535695833</v>
      </c>
      <c r="BJ21" s="51" t="n">
        <f aca="false">-Inputs!$E$7*Inputs!$E$21/12*(1+Inputs!$E$25)^(BJ$5-1)*1</f>
        <v>-1908.67535695833</v>
      </c>
    </row>
    <row r="22" customFormat="false" ht="15" hidden="false" customHeight="false" outlineLevel="0" collapsed="false">
      <c r="A22" s="6" t="s">
        <v>314</v>
      </c>
      <c r="C22" s="51" t="n">
        <f aca="false">-Inputs!$E$10*Inputs!$E$22/12*(1+Inputs!$E$25)^(C$5-1)*1</f>
        <v>-666.666666666667</v>
      </c>
      <c r="D22" s="51" t="n">
        <f aca="false">-Inputs!$E$10*Inputs!$E$22/12*(1+Inputs!$E$25)^(D$5-1)*1</f>
        <v>-666.666666666667</v>
      </c>
      <c r="E22" s="51" t="n">
        <f aca="false">-Inputs!$E$10*Inputs!$E$22/12*(1+Inputs!$E$25)^(E$5-1)*1</f>
        <v>-666.666666666667</v>
      </c>
      <c r="F22" s="51" t="n">
        <f aca="false">-Inputs!$E$10*Inputs!$E$22/12*(1+Inputs!$E$25)^(F$5-1)*1</f>
        <v>-666.666666666667</v>
      </c>
      <c r="G22" s="51" t="n">
        <f aca="false">-Inputs!$E$10*Inputs!$E$22/12*(1+Inputs!$E$25)^(G$5-1)*1</f>
        <v>-666.666666666667</v>
      </c>
      <c r="H22" s="51" t="n">
        <f aca="false">-Inputs!$E$10*Inputs!$E$22/12*(1+Inputs!$E$25)^(H$5-1)*1</f>
        <v>-666.666666666667</v>
      </c>
      <c r="I22" s="51" t="n">
        <f aca="false">-Inputs!$E$10*Inputs!$E$22/12*(1+Inputs!$E$25)^(I$5-1)*1</f>
        <v>-666.666666666667</v>
      </c>
      <c r="J22" s="51" t="n">
        <f aca="false">-Inputs!$E$10*Inputs!$E$22/12*(1+Inputs!$E$25)^(J$5-1)*1</f>
        <v>-666.666666666667</v>
      </c>
      <c r="K22" s="51" t="n">
        <f aca="false">-Inputs!$E$10*Inputs!$E$22/12*(1+Inputs!$E$25)^(K$5-1)*1</f>
        <v>-666.666666666667</v>
      </c>
      <c r="L22" s="51" t="n">
        <f aca="false">-Inputs!$E$10*Inputs!$E$22/12*(1+Inputs!$E$25)^(L$5-1)*1</f>
        <v>-666.666666666667</v>
      </c>
      <c r="M22" s="51" t="n">
        <f aca="false">-Inputs!$E$10*Inputs!$E$22/12*(1+Inputs!$E$25)^(M$5-1)*1</f>
        <v>-666.666666666667</v>
      </c>
      <c r="N22" s="51" t="n">
        <f aca="false">-Inputs!$E$10*Inputs!$E$22/12*(1+Inputs!$E$25)^(N$5-1)*1</f>
        <v>-666.666666666667</v>
      </c>
      <c r="O22" s="51" t="n">
        <f aca="false">-Inputs!$E$10*Inputs!$E$22/12*(1+Inputs!$E$25)^(O$5-1)*1</f>
        <v>-686.666666666667</v>
      </c>
      <c r="P22" s="51" t="n">
        <f aca="false">-Inputs!$E$10*Inputs!$E$22/12*(1+Inputs!$E$25)^(P$5-1)*1</f>
        <v>-686.666666666667</v>
      </c>
      <c r="Q22" s="51" t="n">
        <f aca="false">-Inputs!$E$10*Inputs!$E$22/12*(1+Inputs!$E$25)^(Q$5-1)*1</f>
        <v>-686.666666666667</v>
      </c>
      <c r="R22" s="51" t="n">
        <f aca="false">-Inputs!$E$10*Inputs!$E$22/12*(1+Inputs!$E$25)^(R$5-1)*1</f>
        <v>-686.666666666667</v>
      </c>
      <c r="S22" s="51" t="n">
        <f aca="false">-Inputs!$E$10*Inputs!$E$22/12*(1+Inputs!$E$25)^(S$5-1)*1</f>
        <v>-686.666666666667</v>
      </c>
      <c r="T22" s="51" t="n">
        <f aca="false">-Inputs!$E$10*Inputs!$E$22/12*(1+Inputs!$E$25)^(T$5-1)*1</f>
        <v>-686.666666666667</v>
      </c>
      <c r="U22" s="51" t="n">
        <f aca="false">-Inputs!$E$10*Inputs!$E$22/12*(1+Inputs!$E$25)^(U$5-1)*1</f>
        <v>-686.666666666667</v>
      </c>
      <c r="V22" s="51" t="n">
        <f aca="false">-Inputs!$E$10*Inputs!$E$22/12*(1+Inputs!$E$25)^(V$5-1)*1</f>
        <v>-686.666666666667</v>
      </c>
      <c r="W22" s="51" t="n">
        <f aca="false">-Inputs!$E$10*Inputs!$E$22/12*(1+Inputs!$E$25)^(W$5-1)*1</f>
        <v>-686.666666666667</v>
      </c>
      <c r="X22" s="51" t="n">
        <f aca="false">-Inputs!$E$10*Inputs!$E$22/12*(1+Inputs!$E$25)^(X$5-1)*1</f>
        <v>-686.666666666667</v>
      </c>
      <c r="Y22" s="51" t="n">
        <f aca="false">-Inputs!$E$10*Inputs!$E$22/12*(1+Inputs!$E$25)^(Y$5-1)*1</f>
        <v>-686.666666666667</v>
      </c>
      <c r="Z22" s="51" t="n">
        <f aca="false">-Inputs!$E$10*Inputs!$E$22/12*(1+Inputs!$E$25)^(Z$5-1)*1</f>
        <v>-686.666666666667</v>
      </c>
      <c r="AA22" s="51" t="n">
        <f aca="false">-Inputs!$E$10*Inputs!$E$22/12*(1+Inputs!$E$25)^(AA$5-1)*1</f>
        <v>-707.266666666667</v>
      </c>
      <c r="AB22" s="51" t="n">
        <f aca="false">-Inputs!$E$10*Inputs!$E$22/12*(1+Inputs!$E$25)^(AB$5-1)*1</f>
        <v>-707.266666666667</v>
      </c>
      <c r="AC22" s="51" t="n">
        <f aca="false">-Inputs!$E$10*Inputs!$E$22/12*(1+Inputs!$E$25)^(AC$5-1)*1</f>
        <v>-707.266666666667</v>
      </c>
      <c r="AD22" s="51" t="n">
        <f aca="false">-Inputs!$E$10*Inputs!$E$22/12*(1+Inputs!$E$25)^(AD$5-1)*1</f>
        <v>-707.266666666667</v>
      </c>
      <c r="AE22" s="51" t="n">
        <f aca="false">-Inputs!$E$10*Inputs!$E$22/12*(1+Inputs!$E$25)^(AE$5-1)*1</f>
        <v>-707.266666666667</v>
      </c>
      <c r="AF22" s="51" t="n">
        <f aca="false">-Inputs!$E$10*Inputs!$E$22/12*(1+Inputs!$E$25)^(AF$5-1)*1</f>
        <v>-707.266666666667</v>
      </c>
      <c r="AG22" s="51" t="n">
        <f aca="false">-Inputs!$E$10*Inputs!$E$22/12*(1+Inputs!$E$25)^(AG$5-1)*1</f>
        <v>-707.266666666667</v>
      </c>
      <c r="AH22" s="51" t="n">
        <f aca="false">-Inputs!$E$10*Inputs!$E$22/12*(1+Inputs!$E$25)^(AH$5-1)*1</f>
        <v>-707.266666666667</v>
      </c>
      <c r="AI22" s="51" t="n">
        <f aca="false">-Inputs!$E$10*Inputs!$E$22/12*(1+Inputs!$E$25)^(AI$5-1)*1</f>
        <v>-707.266666666667</v>
      </c>
      <c r="AJ22" s="51" t="n">
        <f aca="false">-Inputs!$E$10*Inputs!$E$22/12*(1+Inputs!$E$25)^(AJ$5-1)*1</f>
        <v>-707.266666666667</v>
      </c>
      <c r="AK22" s="51" t="n">
        <f aca="false">-Inputs!$E$10*Inputs!$E$22/12*(1+Inputs!$E$25)^(AK$5-1)*1</f>
        <v>-707.266666666667</v>
      </c>
      <c r="AL22" s="51" t="n">
        <f aca="false">-Inputs!$E$10*Inputs!$E$22/12*(1+Inputs!$E$25)^(AL$5-1)*1</f>
        <v>-707.266666666667</v>
      </c>
      <c r="AM22" s="51" t="n">
        <f aca="false">-Inputs!$E$10*Inputs!$E$22/12*(1+Inputs!$E$25)^(AM$5-1)*1</f>
        <v>-728.484666666667</v>
      </c>
      <c r="AN22" s="51" t="n">
        <f aca="false">-Inputs!$E$10*Inputs!$E$22/12*(1+Inputs!$E$25)^(AN$5-1)*1</f>
        <v>-728.484666666667</v>
      </c>
      <c r="AO22" s="51" t="n">
        <f aca="false">-Inputs!$E$10*Inputs!$E$22/12*(1+Inputs!$E$25)^(AO$5-1)*1</f>
        <v>-728.484666666667</v>
      </c>
      <c r="AP22" s="51" t="n">
        <f aca="false">-Inputs!$E$10*Inputs!$E$22/12*(1+Inputs!$E$25)^(AP$5-1)*1</f>
        <v>-728.484666666667</v>
      </c>
      <c r="AQ22" s="51" t="n">
        <f aca="false">-Inputs!$E$10*Inputs!$E$22/12*(1+Inputs!$E$25)^(AQ$5-1)*1</f>
        <v>-728.484666666667</v>
      </c>
      <c r="AR22" s="51" t="n">
        <f aca="false">-Inputs!$E$10*Inputs!$E$22/12*(1+Inputs!$E$25)^(AR$5-1)*1</f>
        <v>-728.484666666667</v>
      </c>
      <c r="AS22" s="51" t="n">
        <f aca="false">-Inputs!$E$10*Inputs!$E$22/12*(1+Inputs!$E$25)^(AS$5-1)*1</f>
        <v>-728.484666666667</v>
      </c>
      <c r="AT22" s="51" t="n">
        <f aca="false">-Inputs!$E$10*Inputs!$E$22/12*(1+Inputs!$E$25)^(AT$5-1)*1</f>
        <v>-728.484666666667</v>
      </c>
      <c r="AU22" s="51" t="n">
        <f aca="false">-Inputs!$E$10*Inputs!$E$22/12*(1+Inputs!$E$25)^(AU$5-1)*1</f>
        <v>-728.484666666667</v>
      </c>
      <c r="AV22" s="51" t="n">
        <f aca="false">-Inputs!$E$10*Inputs!$E$22/12*(1+Inputs!$E$25)^(AV$5-1)*1</f>
        <v>-728.484666666667</v>
      </c>
      <c r="AW22" s="51" t="n">
        <f aca="false">-Inputs!$E$10*Inputs!$E$22/12*(1+Inputs!$E$25)^(AW$5-1)*1</f>
        <v>-728.484666666667</v>
      </c>
      <c r="AX22" s="51" t="n">
        <f aca="false">-Inputs!$E$10*Inputs!$E$22/12*(1+Inputs!$E$25)^(AX$5-1)*1</f>
        <v>-728.484666666667</v>
      </c>
      <c r="AY22" s="51" t="n">
        <f aca="false">-Inputs!$E$10*Inputs!$E$22/12*(1+Inputs!$E$25)^(AY$5-1)*1</f>
        <v>-750.339206666667</v>
      </c>
      <c r="AZ22" s="51" t="n">
        <f aca="false">-Inputs!$E$10*Inputs!$E$22/12*(1+Inputs!$E$25)^(AZ$5-1)*1</f>
        <v>-750.339206666667</v>
      </c>
      <c r="BA22" s="51" t="n">
        <f aca="false">-Inputs!$E$10*Inputs!$E$22/12*(1+Inputs!$E$25)^(BA$5-1)*1</f>
        <v>-750.339206666667</v>
      </c>
      <c r="BB22" s="51" t="n">
        <f aca="false">-Inputs!$E$10*Inputs!$E$22/12*(1+Inputs!$E$25)^(BB$5-1)*1</f>
        <v>-750.339206666667</v>
      </c>
      <c r="BC22" s="51" t="n">
        <f aca="false">-Inputs!$E$10*Inputs!$E$22/12*(1+Inputs!$E$25)^(BC$5-1)*1</f>
        <v>-750.339206666667</v>
      </c>
      <c r="BD22" s="51" t="n">
        <f aca="false">-Inputs!$E$10*Inputs!$E$22/12*(1+Inputs!$E$25)^(BD$5-1)*1</f>
        <v>-750.339206666667</v>
      </c>
      <c r="BE22" s="51" t="n">
        <f aca="false">-Inputs!$E$10*Inputs!$E$22/12*(1+Inputs!$E$25)^(BE$5-1)*1</f>
        <v>-750.339206666667</v>
      </c>
      <c r="BF22" s="51" t="n">
        <f aca="false">-Inputs!$E$10*Inputs!$E$22/12*(1+Inputs!$E$25)^(BF$5-1)*1</f>
        <v>-750.339206666667</v>
      </c>
      <c r="BG22" s="51" t="n">
        <f aca="false">-Inputs!$E$10*Inputs!$E$22/12*(1+Inputs!$E$25)^(BG$5-1)*1</f>
        <v>-750.339206666667</v>
      </c>
      <c r="BH22" s="51" t="n">
        <f aca="false">-Inputs!$E$10*Inputs!$E$22/12*(1+Inputs!$E$25)^(BH$5-1)*1</f>
        <v>-750.339206666667</v>
      </c>
      <c r="BI22" s="51" t="n">
        <f aca="false">-Inputs!$E$10*Inputs!$E$22/12*(1+Inputs!$E$25)^(BI$5-1)*1</f>
        <v>-750.339206666667</v>
      </c>
      <c r="BJ22" s="51" t="n">
        <f aca="false">-Inputs!$E$10*Inputs!$E$22/12*(1+Inputs!$E$25)^(BJ$5-1)*1</f>
        <v>-750.339206666667</v>
      </c>
    </row>
    <row r="23" customFormat="false" ht="15" hidden="false" customHeight="false" outlineLevel="0" collapsed="false">
      <c r="A23" s="6" t="s">
        <v>315</v>
      </c>
      <c r="C23" s="51" t="n">
        <f aca="false">-C12*Inputs!$E$23</f>
        <v>-1311</v>
      </c>
      <c r="D23" s="51" t="n">
        <f aca="false">-D12*Inputs!$E$23</f>
        <v>-1311</v>
      </c>
      <c r="E23" s="51" t="n">
        <f aca="false">-E12*Inputs!$E$23</f>
        <v>-1311</v>
      </c>
      <c r="F23" s="51" t="n">
        <f aca="false">-F12*Inputs!$E$23</f>
        <v>-1311</v>
      </c>
      <c r="G23" s="51" t="n">
        <f aca="false">-G12*Inputs!$E$23</f>
        <v>-1311</v>
      </c>
      <c r="H23" s="51" t="n">
        <f aca="false">-H12*Inputs!$E$23</f>
        <v>-1311</v>
      </c>
      <c r="I23" s="51" t="n">
        <f aca="false">-I12*Inputs!$E$23</f>
        <v>-1311</v>
      </c>
      <c r="J23" s="51" t="n">
        <f aca="false">-J12*Inputs!$E$23</f>
        <v>-1311</v>
      </c>
      <c r="K23" s="51" t="n">
        <f aca="false">-K12*Inputs!$E$23</f>
        <v>-1311</v>
      </c>
      <c r="L23" s="51" t="n">
        <f aca="false">-L12*Inputs!$E$23</f>
        <v>-1311</v>
      </c>
      <c r="M23" s="51" t="n">
        <f aca="false">-M12*Inputs!$E$23</f>
        <v>-1311</v>
      </c>
      <c r="N23" s="51" t="n">
        <f aca="false">-N12*Inputs!$E$23</f>
        <v>-1311</v>
      </c>
      <c r="O23" s="51" t="n">
        <f aca="false">-O12*Inputs!$E$23</f>
        <v>-1350.33</v>
      </c>
      <c r="P23" s="51" t="n">
        <f aca="false">-P12*Inputs!$E$23</f>
        <v>-1350.33</v>
      </c>
      <c r="Q23" s="51" t="n">
        <f aca="false">-Q12*Inputs!$E$23</f>
        <v>-1350.33</v>
      </c>
      <c r="R23" s="51" t="n">
        <f aca="false">-R12*Inputs!$E$23</f>
        <v>-1350.33</v>
      </c>
      <c r="S23" s="51" t="n">
        <f aca="false">-S12*Inputs!$E$23</f>
        <v>-1350.33</v>
      </c>
      <c r="T23" s="51" t="n">
        <f aca="false">-T12*Inputs!$E$23</f>
        <v>-1350.33</v>
      </c>
      <c r="U23" s="51" t="n">
        <f aca="false">-U12*Inputs!$E$23</f>
        <v>-1350.33</v>
      </c>
      <c r="V23" s="51" t="n">
        <f aca="false">-V12*Inputs!$E$23</f>
        <v>-1350.33</v>
      </c>
      <c r="W23" s="51" t="n">
        <f aca="false">-W12*Inputs!$E$23</f>
        <v>-1350.33</v>
      </c>
      <c r="X23" s="51" t="n">
        <f aca="false">-X12*Inputs!$E$23</f>
        <v>-1350.33</v>
      </c>
      <c r="Y23" s="51" t="n">
        <f aca="false">-Y12*Inputs!$E$23</f>
        <v>-1350.33</v>
      </c>
      <c r="Z23" s="51" t="n">
        <f aca="false">-Z12*Inputs!$E$23</f>
        <v>-1350.33</v>
      </c>
      <c r="AA23" s="51" t="n">
        <f aca="false">-AA12*Inputs!$E$23</f>
        <v>-1390.8399</v>
      </c>
      <c r="AB23" s="51" t="n">
        <f aca="false">-AB12*Inputs!$E$23</f>
        <v>-1390.8399</v>
      </c>
      <c r="AC23" s="51" t="n">
        <f aca="false">-AC12*Inputs!$E$23</f>
        <v>-1390.8399</v>
      </c>
      <c r="AD23" s="51" t="n">
        <f aca="false">-AD12*Inputs!$E$23</f>
        <v>-1390.8399</v>
      </c>
      <c r="AE23" s="51" t="n">
        <f aca="false">-AE12*Inputs!$E$23</f>
        <v>-1390.8399</v>
      </c>
      <c r="AF23" s="51" t="n">
        <f aca="false">-AF12*Inputs!$E$23</f>
        <v>-1390.8399</v>
      </c>
      <c r="AG23" s="51" t="n">
        <f aca="false">-AG12*Inputs!$E$23</f>
        <v>-1390.8399</v>
      </c>
      <c r="AH23" s="51" t="n">
        <f aca="false">-AH12*Inputs!$E$23</f>
        <v>-1390.8399</v>
      </c>
      <c r="AI23" s="51" t="n">
        <f aca="false">-AI12*Inputs!$E$23</f>
        <v>-1390.8399</v>
      </c>
      <c r="AJ23" s="51" t="n">
        <f aca="false">-AJ12*Inputs!$E$23</f>
        <v>-1390.8399</v>
      </c>
      <c r="AK23" s="51" t="n">
        <f aca="false">-AK12*Inputs!$E$23</f>
        <v>-1390.8399</v>
      </c>
      <c r="AL23" s="51" t="n">
        <f aca="false">-AL12*Inputs!$E$23</f>
        <v>-1390.8399</v>
      </c>
      <c r="AM23" s="51" t="n">
        <f aca="false">-AM12*Inputs!$E$23</f>
        <v>-1432.565097</v>
      </c>
      <c r="AN23" s="51" t="n">
        <f aca="false">-AN12*Inputs!$E$23</f>
        <v>-1432.565097</v>
      </c>
      <c r="AO23" s="51" t="n">
        <f aca="false">-AO12*Inputs!$E$23</f>
        <v>-1432.565097</v>
      </c>
      <c r="AP23" s="51" t="n">
        <f aca="false">-AP12*Inputs!$E$23</f>
        <v>-1432.565097</v>
      </c>
      <c r="AQ23" s="51" t="n">
        <f aca="false">-AQ12*Inputs!$E$23</f>
        <v>-1432.565097</v>
      </c>
      <c r="AR23" s="51" t="n">
        <f aca="false">-AR12*Inputs!$E$23</f>
        <v>-1432.565097</v>
      </c>
      <c r="AS23" s="51" t="n">
        <f aca="false">-AS12*Inputs!$E$23</f>
        <v>-1432.565097</v>
      </c>
      <c r="AT23" s="51" t="n">
        <f aca="false">-AT12*Inputs!$E$23</f>
        <v>-1432.565097</v>
      </c>
      <c r="AU23" s="51" t="n">
        <f aca="false">-AU12*Inputs!$E$23</f>
        <v>-1432.565097</v>
      </c>
      <c r="AV23" s="51" t="n">
        <f aca="false">-AV12*Inputs!$E$23</f>
        <v>-1432.565097</v>
      </c>
      <c r="AW23" s="51" t="n">
        <f aca="false">-AW12*Inputs!$E$23</f>
        <v>-1432.565097</v>
      </c>
      <c r="AX23" s="51" t="n">
        <f aca="false">-AX12*Inputs!$E$23</f>
        <v>-1432.565097</v>
      </c>
      <c r="AY23" s="51" t="n">
        <f aca="false">-AY12*Inputs!$E$23</f>
        <v>-1475.54204991</v>
      </c>
      <c r="AZ23" s="51" t="n">
        <f aca="false">-AZ12*Inputs!$E$23</f>
        <v>-1475.54204991</v>
      </c>
      <c r="BA23" s="51" t="n">
        <f aca="false">-BA12*Inputs!$E$23</f>
        <v>-1475.54204991</v>
      </c>
      <c r="BB23" s="51" t="n">
        <f aca="false">-BB12*Inputs!$E$23</f>
        <v>-1475.54204991</v>
      </c>
      <c r="BC23" s="51" t="n">
        <f aca="false">-BC12*Inputs!$E$23</f>
        <v>-1475.54204991</v>
      </c>
      <c r="BD23" s="51" t="n">
        <f aca="false">-BD12*Inputs!$E$23</f>
        <v>-1475.54204991</v>
      </c>
      <c r="BE23" s="51" t="n">
        <f aca="false">-BE12*Inputs!$E$23</f>
        <v>-1475.54204991</v>
      </c>
      <c r="BF23" s="51" t="n">
        <f aca="false">-BF12*Inputs!$E$23</f>
        <v>-1475.54204991</v>
      </c>
      <c r="BG23" s="51" t="n">
        <f aca="false">-BG12*Inputs!$E$23</f>
        <v>-1475.54204991</v>
      </c>
      <c r="BH23" s="51" t="n">
        <f aca="false">-BH12*Inputs!$E$23</f>
        <v>-1475.54204991</v>
      </c>
      <c r="BI23" s="51" t="n">
        <f aca="false">-BI12*Inputs!$E$23</f>
        <v>-1475.54204991</v>
      </c>
      <c r="BJ23" s="51" t="n">
        <f aca="false">-BJ12*Inputs!$E$23</f>
        <v>-1475.54204991</v>
      </c>
    </row>
    <row r="24" customFormat="false" ht="15" hidden="false" customHeight="false" outlineLevel="0" collapsed="false">
      <c r="A24" s="6" t="s">
        <v>316</v>
      </c>
      <c r="C24" s="51" t="n">
        <f aca="false">-Inputs!$E$24*(1+Inputs!$E$25)^(C$5-1)*1</f>
        <v>-400</v>
      </c>
      <c r="D24" s="51" t="n">
        <f aca="false">-Inputs!$E$24*(1+Inputs!$E$25)^(D$5-1)*1</f>
        <v>-400</v>
      </c>
      <c r="E24" s="51" t="n">
        <f aca="false">-Inputs!$E$24*(1+Inputs!$E$25)^(E$5-1)*1</f>
        <v>-400</v>
      </c>
      <c r="F24" s="51" t="n">
        <f aca="false">-Inputs!$E$24*(1+Inputs!$E$25)^(F$5-1)*1</f>
        <v>-400</v>
      </c>
      <c r="G24" s="51" t="n">
        <f aca="false">-Inputs!$E$24*(1+Inputs!$E$25)^(G$5-1)*1</f>
        <v>-400</v>
      </c>
      <c r="H24" s="51" t="n">
        <f aca="false">-Inputs!$E$24*(1+Inputs!$E$25)^(H$5-1)*1</f>
        <v>-400</v>
      </c>
      <c r="I24" s="51" t="n">
        <f aca="false">-Inputs!$E$24*(1+Inputs!$E$25)^(I$5-1)*1</f>
        <v>-400</v>
      </c>
      <c r="J24" s="51" t="n">
        <f aca="false">-Inputs!$E$24*(1+Inputs!$E$25)^(J$5-1)*1</f>
        <v>-400</v>
      </c>
      <c r="K24" s="51" t="n">
        <f aca="false">-Inputs!$E$24*(1+Inputs!$E$25)^(K$5-1)*1</f>
        <v>-400</v>
      </c>
      <c r="L24" s="51" t="n">
        <f aca="false">-Inputs!$E$24*(1+Inputs!$E$25)^(L$5-1)*1</f>
        <v>-400</v>
      </c>
      <c r="M24" s="51" t="n">
        <f aca="false">-Inputs!$E$24*(1+Inputs!$E$25)^(M$5-1)*1</f>
        <v>-400</v>
      </c>
      <c r="N24" s="51" t="n">
        <f aca="false">-Inputs!$E$24*(1+Inputs!$E$25)^(N$5-1)*1</f>
        <v>-400</v>
      </c>
      <c r="O24" s="51" t="n">
        <f aca="false">-Inputs!$E$24*(1+Inputs!$E$25)^(O$5-1)*1</f>
        <v>-412</v>
      </c>
      <c r="P24" s="51" t="n">
        <f aca="false">-Inputs!$E$24*(1+Inputs!$E$25)^(P$5-1)*1</f>
        <v>-412</v>
      </c>
      <c r="Q24" s="51" t="n">
        <f aca="false">-Inputs!$E$24*(1+Inputs!$E$25)^(Q$5-1)*1</f>
        <v>-412</v>
      </c>
      <c r="R24" s="51" t="n">
        <f aca="false">-Inputs!$E$24*(1+Inputs!$E$25)^(R$5-1)*1</f>
        <v>-412</v>
      </c>
      <c r="S24" s="51" t="n">
        <f aca="false">-Inputs!$E$24*(1+Inputs!$E$25)^(S$5-1)*1</f>
        <v>-412</v>
      </c>
      <c r="T24" s="51" t="n">
        <f aca="false">-Inputs!$E$24*(1+Inputs!$E$25)^(T$5-1)*1</f>
        <v>-412</v>
      </c>
      <c r="U24" s="51" t="n">
        <f aca="false">-Inputs!$E$24*(1+Inputs!$E$25)^(U$5-1)*1</f>
        <v>-412</v>
      </c>
      <c r="V24" s="51" t="n">
        <f aca="false">-Inputs!$E$24*(1+Inputs!$E$25)^(V$5-1)*1</f>
        <v>-412</v>
      </c>
      <c r="W24" s="51" t="n">
        <f aca="false">-Inputs!$E$24*(1+Inputs!$E$25)^(W$5-1)*1</f>
        <v>-412</v>
      </c>
      <c r="X24" s="51" t="n">
        <f aca="false">-Inputs!$E$24*(1+Inputs!$E$25)^(X$5-1)*1</f>
        <v>-412</v>
      </c>
      <c r="Y24" s="51" t="n">
        <f aca="false">-Inputs!$E$24*(1+Inputs!$E$25)^(Y$5-1)*1</f>
        <v>-412</v>
      </c>
      <c r="Z24" s="51" t="n">
        <f aca="false">-Inputs!$E$24*(1+Inputs!$E$25)^(Z$5-1)*1</f>
        <v>-412</v>
      </c>
      <c r="AA24" s="51" t="n">
        <f aca="false">-Inputs!$E$24*(1+Inputs!$E$25)^(AA$5-1)*1</f>
        <v>-424.36</v>
      </c>
      <c r="AB24" s="51" t="n">
        <f aca="false">-Inputs!$E$24*(1+Inputs!$E$25)^(AB$5-1)*1</f>
        <v>-424.36</v>
      </c>
      <c r="AC24" s="51" t="n">
        <f aca="false">-Inputs!$E$24*(1+Inputs!$E$25)^(AC$5-1)*1</f>
        <v>-424.36</v>
      </c>
      <c r="AD24" s="51" t="n">
        <f aca="false">-Inputs!$E$24*(1+Inputs!$E$25)^(AD$5-1)*1</f>
        <v>-424.36</v>
      </c>
      <c r="AE24" s="51" t="n">
        <f aca="false">-Inputs!$E$24*(1+Inputs!$E$25)^(AE$5-1)*1</f>
        <v>-424.36</v>
      </c>
      <c r="AF24" s="51" t="n">
        <f aca="false">-Inputs!$E$24*(1+Inputs!$E$25)^(AF$5-1)*1</f>
        <v>-424.36</v>
      </c>
      <c r="AG24" s="51" t="n">
        <f aca="false">-Inputs!$E$24*(1+Inputs!$E$25)^(AG$5-1)*1</f>
        <v>-424.36</v>
      </c>
      <c r="AH24" s="51" t="n">
        <f aca="false">-Inputs!$E$24*(1+Inputs!$E$25)^(AH$5-1)*1</f>
        <v>-424.36</v>
      </c>
      <c r="AI24" s="51" t="n">
        <f aca="false">-Inputs!$E$24*(1+Inputs!$E$25)^(AI$5-1)*1</f>
        <v>-424.36</v>
      </c>
      <c r="AJ24" s="51" t="n">
        <f aca="false">-Inputs!$E$24*(1+Inputs!$E$25)^(AJ$5-1)*1</f>
        <v>-424.36</v>
      </c>
      <c r="AK24" s="51" t="n">
        <f aca="false">-Inputs!$E$24*(1+Inputs!$E$25)^(AK$5-1)*1</f>
        <v>-424.36</v>
      </c>
      <c r="AL24" s="51" t="n">
        <f aca="false">-Inputs!$E$24*(1+Inputs!$E$25)^(AL$5-1)*1</f>
        <v>-424.36</v>
      </c>
      <c r="AM24" s="51" t="n">
        <f aca="false">-Inputs!$E$24*(1+Inputs!$E$25)^(AM$5-1)*1</f>
        <v>-437.0908</v>
      </c>
      <c r="AN24" s="51" t="n">
        <f aca="false">-Inputs!$E$24*(1+Inputs!$E$25)^(AN$5-1)*1</f>
        <v>-437.0908</v>
      </c>
      <c r="AO24" s="51" t="n">
        <f aca="false">-Inputs!$E$24*(1+Inputs!$E$25)^(AO$5-1)*1</f>
        <v>-437.0908</v>
      </c>
      <c r="AP24" s="51" t="n">
        <f aca="false">-Inputs!$E$24*(1+Inputs!$E$25)^(AP$5-1)*1</f>
        <v>-437.0908</v>
      </c>
      <c r="AQ24" s="51" t="n">
        <f aca="false">-Inputs!$E$24*(1+Inputs!$E$25)^(AQ$5-1)*1</f>
        <v>-437.0908</v>
      </c>
      <c r="AR24" s="51" t="n">
        <f aca="false">-Inputs!$E$24*(1+Inputs!$E$25)^(AR$5-1)*1</f>
        <v>-437.0908</v>
      </c>
      <c r="AS24" s="51" t="n">
        <f aca="false">-Inputs!$E$24*(1+Inputs!$E$25)^(AS$5-1)*1</f>
        <v>-437.0908</v>
      </c>
      <c r="AT24" s="51" t="n">
        <f aca="false">-Inputs!$E$24*(1+Inputs!$E$25)^(AT$5-1)*1</f>
        <v>-437.0908</v>
      </c>
      <c r="AU24" s="51" t="n">
        <f aca="false">-Inputs!$E$24*(1+Inputs!$E$25)^(AU$5-1)*1</f>
        <v>-437.0908</v>
      </c>
      <c r="AV24" s="51" t="n">
        <f aca="false">-Inputs!$E$24*(1+Inputs!$E$25)^(AV$5-1)*1</f>
        <v>-437.0908</v>
      </c>
      <c r="AW24" s="51" t="n">
        <f aca="false">-Inputs!$E$24*(1+Inputs!$E$25)^(AW$5-1)*1</f>
        <v>-437.0908</v>
      </c>
      <c r="AX24" s="51" t="n">
        <f aca="false">-Inputs!$E$24*(1+Inputs!$E$25)^(AX$5-1)*1</f>
        <v>-437.0908</v>
      </c>
      <c r="AY24" s="51" t="n">
        <f aca="false">-Inputs!$E$24*(1+Inputs!$E$25)^(AY$5-1)*1</f>
        <v>-450.203524</v>
      </c>
      <c r="AZ24" s="51" t="n">
        <f aca="false">-Inputs!$E$24*(1+Inputs!$E$25)^(AZ$5-1)*1</f>
        <v>-450.203524</v>
      </c>
      <c r="BA24" s="51" t="n">
        <f aca="false">-Inputs!$E$24*(1+Inputs!$E$25)^(BA$5-1)*1</f>
        <v>-450.203524</v>
      </c>
      <c r="BB24" s="51" t="n">
        <f aca="false">-Inputs!$E$24*(1+Inputs!$E$25)^(BB$5-1)*1</f>
        <v>-450.203524</v>
      </c>
      <c r="BC24" s="51" t="n">
        <f aca="false">-Inputs!$E$24*(1+Inputs!$E$25)^(BC$5-1)*1</f>
        <v>-450.203524</v>
      </c>
      <c r="BD24" s="51" t="n">
        <f aca="false">-Inputs!$E$24*(1+Inputs!$E$25)^(BD$5-1)*1</f>
        <v>-450.203524</v>
      </c>
      <c r="BE24" s="51" t="n">
        <f aca="false">-Inputs!$E$24*(1+Inputs!$E$25)^(BE$5-1)*1</f>
        <v>-450.203524</v>
      </c>
      <c r="BF24" s="51" t="n">
        <f aca="false">-Inputs!$E$24*(1+Inputs!$E$25)^(BF$5-1)*1</f>
        <v>-450.203524</v>
      </c>
      <c r="BG24" s="51" t="n">
        <f aca="false">-Inputs!$E$24*(1+Inputs!$E$25)^(BG$5-1)*1</f>
        <v>-450.203524</v>
      </c>
      <c r="BH24" s="51" t="n">
        <f aca="false">-Inputs!$E$24*(1+Inputs!$E$25)^(BH$5-1)*1</f>
        <v>-450.203524</v>
      </c>
      <c r="BI24" s="51" t="n">
        <f aca="false">-Inputs!$E$24*(1+Inputs!$E$25)^(BI$5-1)*1</f>
        <v>-450.203524</v>
      </c>
      <c r="BJ24" s="51" t="n">
        <f aca="false">-Inputs!$E$24*(1+Inputs!$E$25)^(BJ$5-1)*1</f>
        <v>-450.203524</v>
      </c>
    </row>
    <row r="25" customFormat="false" ht="15" hidden="false" customHeight="false" outlineLevel="0" collapsed="false">
      <c r="A25" s="96" t="s">
        <v>75</v>
      </c>
      <c r="C25" s="52" t="n">
        <f aca="false">C21+C22+C23+C24</f>
        <v>-4073.5</v>
      </c>
      <c r="D25" s="52" t="n">
        <f aca="false">D21+D22+D23+D24</f>
        <v>-4073.5</v>
      </c>
      <c r="E25" s="52" t="n">
        <f aca="false">E21+E22+E23+E24</f>
        <v>-4073.5</v>
      </c>
      <c r="F25" s="52" t="n">
        <f aca="false">F21+F22+F23+F24</f>
        <v>-4073.5</v>
      </c>
      <c r="G25" s="52" t="n">
        <f aca="false">G21+G22+G23+G24</f>
        <v>-4073.5</v>
      </c>
      <c r="H25" s="52" t="n">
        <f aca="false">H21+H22+H23+H24</f>
        <v>-4073.5</v>
      </c>
      <c r="I25" s="52" t="n">
        <f aca="false">I21+I22+I23+I24</f>
        <v>-4073.5</v>
      </c>
      <c r="J25" s="52" t="n">
        <f aca="false">J21+J22+J23+J24</f>
        <v>-4073.5</v>
      </c>
      <c r="K25" s="52" t="n">
        <f aca="false">K21+K22+K23+K24</f>
        <v>-4073.5</v>
      </c>
      <c r="L25" s="52" t="n">
        <f aca="false">L21+L22+L23+L24</f>
        <v>-4073.5</v>
      </c>
      <c r="M25" s="52" t="n">
        <f aca="false">M21+M22+M23+M24</f>
        <v>-4073.5</v>
      </c>
      <c r="N25" s="52" t="n">
        <f aca="false">N21+N22+N23+N24</f>
        <v>-4073.5</v>
      </c>
      <c r="O25" s="52" t="n">
        <f aca="false">O21+O22+O23+O24</f>
        <v>-4195.705</v>
      </c>
      <c r="P25" s="52" t="n">
        <f aca="false">P21+P22+P23+P24</f>
        <v>-4195.705</v>
      </c>
      <c r="Q25" s="52" t="n">
        <f aca="false">Q21+Q22+Q23+Q24</f>
        <v>-4195.705</v>
      </c>
      <c r="R25" s="52" t="n">
        <f aca="false">R21+R22+R23+R24</f>
        <v>-4195.705</v>
      </c>
      <c r="S25" s="52" t="n">
        <f aca="false">S21+S22+S23+S24</f>
        <v>-4195.705</v>
      </c>
      <c r="T25" s="52" t="n">
        <f aca="false">T21+T22+T23+T24</f>
        <v>-4195.705</v>
      </c>
      <c r="U25" s="52" t="n">
        <f aca="false">U21+U22+U23+U24</f>
        <v>-4195.705</v>
      </c>
      <c r="V25" s="52" t="n">
        <f aca="false">V21+V22+V23+V24</f>
        <v>-4195.705</v>
      </c>
      <c r="W25" s="52" t="n">
        <f aca="false">W21+W22+W23+W24</f>
        <v>-4195.705</v>
      </c>
      <c r="X25" s="52" t="n">
        <f aca="false">X21+X22+X23+X24</f>
        <v>-4195.705</v>
      </c>
      <c r="Y25" s="52" t="n">
        <f aca="false">Y21+Y22+Y23+Y24</f>
        <v>-4195.705</v>
      </c>
      <c r="Z25" s="52" t="n">
        <f aca="false">Z21+Z22+Z23+Z24</f>
        <v>-4195.705</v>
      </c>
      <c r="AA25" s="52" t="n">
        <f aca="false">AA21+AA22+AA23+AA24</f>
        <v>-4321.57615</v>
      </c>
      <c r="AB25" s="52" t="n">
        <f aca="false">AB21+AB22+AB23+AB24</f>
        <v>-4321.57615</v>
      </c>
      <c r="AC25" s="52" t="n">
        <f aca="false">AC21+AC22+AC23+AC24</f>
        <v>-4321.57615</v>
      </c>
      <c r="AD25" s="52" t="n">
        <f aca="false">AD21+AD22+AD23+AD24</f>
        <v>-4321.57615</v>
      </c>
      <c r="AE25" s="52" t="n">
        <f aca="false">AE21+AE22+AE23+AE24</f>
        <v>-4321.57615</v>
      </c>
      <c r="AF25" s="52" t="n">
        <f aca="false">AF21+AF22+AF23+AF24</f>
        <v>-4321.57615</v>
      </c>
      <c r="AG25" s="52" t="n">
        <f aca="false">AG21+AG22+AG23+AG24</f>
        <v>-4321.57615</v>
      </c>
      <c r="AH25" s="52" t="n">
        <f aca="false">AH21+AH22+AH23+AH24</f>
        <v>-4321.57615</v>
      </c>
      <c r="AI25" s="52" t="n">
        <f aca="false">AI21+AI22+AI23+AI24</f>
        <v>-4321.57615</v>
      </c>
      <c r="AJ25" s="52" t="n">
        <f aca="false">AJ21+AJ22+AJ23+AJ24</f>
        <v>-4321.57615</v>
      </c>
      <c r="AK25" s="52" t="n">
        <f aca="false">AK21+AK22+AK23+AK24</f>
        <v>-4321.57615</v>
      </c>
      <c r="AL25" s="52" t="n">
        <f aca="false">AL21+AL22+AL23+AL24</f>
        <v>-4321.57615</v>
      </c>
      <c r="AM25" s="52" t="n">
        <f aca="false">AM21+AM22+AM23+AM24</f>
        <v>-4451.2234345</v>
      </c>
      <c r="AN25" s="52" t="n">
        <f aca="false">AN21+AN22+AN23+AN24</f>
        <v>-4451.2234345</v>
      </c>
      <c r="AO25" s="52" t="n">
        <f aca="false">AO21+AO22+AO23+AO24</f>
        <v>-4451.2234345</v>
      </c>
      <c r="AP25" s="52" t="n">
        <f aca="false">AP21+AP22+AP23+AP24</f>
        <v>-4451.2234345</v>
      </c>
      <c r="AQ25" s="52" t="n">
        <f aca="false">AQ21+AQ22+AQ23+AQ24</f>
        <v>-4451.2234345</v>
      </c>
      <c r="AR25" s="52" t="n">
        <f aca="false">AR21+AR22+AR23+AR24</f>
        <v>-4451.2234345</v>
      </c>
      <c r="AS25" s="52" t="n">
        <f aca="false">AS21+AS22+AS23+AS24</f>
        <v>-4451.2234345</v>
      </c>
      <c r="AT25" s="52" t="n">
        <f aca="false">AT21+AT22+AT23+AT24</f>
        <v>-4451.2234345</v>
      </c>
      <c r="AU25" s="52" t="n">
        <f aca="false">AU21+AU22+AU23+AU24</f>
        <v>-4451.2234345</v>
      </c>
      <c r="AV25" s="52" t="n">
        <f aca="false">AV21+AV22+AV23+AV24</f>
        <v>-4451.2234345</v>
      </c>
      <c r="AW25" s="52" t="n">
        <f aca="false">AW21+AW22+AW23+AW24</f>
        <v>-4451.2234345</v>
      </c>
      <c r="AX25" s="52" t="n">
        <f aca="false">AX21+AX22+AX23+AX24</f>
        <v>-4451.2234345</v>
      </c>
      <c r="AY25" s="52" t="n">
        <f aca="false">AY21+AY22+AY23+AY24</f>
        <v>-4584.760137535</v>
      </c>
      <c r="AZ25" s="52" t="n">
        <f aca="false">AZ21+AZ22+AZ23+AZ24</f>
        <v>-4584.760137535</v>
      </c>
      <c r="BA25" s="52" t="n">
        <f aca="false">BA21+BA22+BA23+BA24</f>
        <v>-4584.760137535</v>
      </c>
      <c r="BB25" s="52" t="n">
        <f aca="false">BB21+BB22+BB23+BB24</f>
        <v>-4584.760137535</v>
      </c>
      <c r="BC25" s="52" t="n">
        <f aca="false">BC21+BC22+BC23+BC24</f>
        <v>-4584.760137535</v>
      </c>
      <c r="BD25" s="52" t="n">
        <f aca="false">BD21+BD22+BD23+BD24</f>
        <v>-4584.760137535</v>
      </c>
      <c r="BE25" s="52" t="n">
        <f aca="false">BE21+BE22+BE23+BE24</f>
        <v>-4584.760137535</v>
      </c>
      <c r="BF25" s="52" t="n">
        <f aca="false">BF21+BF22+BF23+BF24</f>
        <v>-4584.760137535</v>
      </c>
      <c r="BG25" s="52" t="n">
        <f aca="false">BG21+BG22+BG23+BG24</f>
        <v>-4584.760137535</v>
      </c>
      <c r="BH25" s="52" t="n">
        <f aca="false">BH21+BH22+BH23+BH24</f>
        <v>-4584.760137535</v>
      </c>
      <c r="BI25" s="52" t="n">
        <f aca="false">BI21+BI22+BI23+BI24</f>
        <v>-4584.760137535</v>
      </c>
      <c r="BJ25" s="52" t="n">
        <f aca="false">BJ21+BJ22+BJ23+BJ24</f>
        <v>-4584.760137535</v>
      </c>
    </row>
    <row r="26" customFormat="false" ht="15" hidden="false" customHeight="false" outlineLevel="0" collapsed="false">
      <c r="A26" s="96" t="s">
        <v>47</v>
      </c>
      <c r="C26" s="52" t="n">
        <f aca="false">C18+C25</f>
        <v>10445</v>
      </c>
      <c r="D26" s="52" t="n">
        <f aca="false">D18+D25</f>
        <v>10445</v>
      </c>
      <c r="E26" s="52" t="n">
        <f aca="false">E18+E25</f>
        <v>10445</v>
      </c>
      <c r="F26" s="52" t="n">
        <f aca="false">F18+F25</f>
        <v>10445</v>
      </c>
      <c r="G26" s="52" t="n">
        <f aca="false">G18+G25</f>
        <v>10445</v>
      </c>
      <c r="H26" s="52" t="n">
        <f aca="false">H18+H25</f>
        <v>10445</v>
      </c>
      <c r="I26" s="52" t="n">
        <f aca="false">I18+I25</f>
        <v>10445</v>
      </c>
      <c r="J26" s="52" t="n">
        <f aca="false">J18+J25</f>
        <v>10445</v>
      </c>
      <c r="K26" s="52" t="n">
        <f aca="false">K18+K25</f>
        <v>10445</v>
      </c>
      <c r="L26" s="52" t="n">
        <f aca="false">L18+L25</f>
        <v>10445</v>
      </c>
      <c r="M26" s="52" t="n">
        <f aca="false">M18+M25</f>
        <v>10445</v>
      </c>
      <c r="N26" s="52" t="n">
        <f aca="false">N18+N25</f>
        <v>10445</v>
      </c>
      <c r="O26" s="52" t="n">
        <f aca="false">O18+O25</f>
        <v>10758.35</v>
      </c>
      <c r="P26" s="52" t="n">
        <f aca="false">P18+P25</f>
        <v>10758.35</v>
      </c>
      <c r="Q26" s="52" t="n">
        <f aca="false">Q18+Q25</f>
        <v>10758.35</v>
      </c>
      <c r="R26" s="52" t="n">
        <f aca="false">R18+R25</f>
        <v>10758.35</v>
      </c>
      <c r="S26" s="52" t="n">
        <f aca="false">S18+S25</f>
        <v>10758.35</v>
      </c>
      <c r="T26" s="52" t="n">
        <f aca="false">T18+T25</f>
        <v>10758.35</v>
      </c>
      <c r="U26" s="52" t="n">
        <f aca="false">U18+U25</f>
        <v>10758.35</v>
      </c>
      <c r="V26" s="52" t="n">
        <f aca="false">V18+V25</f>
        <v>10758.35</v>
      </c>
      <c r="W26" s="52" t="n">
        <f aca="false">W18+W25</f>
        <v>10758.35</v>
      </c>
      <c r="X26" s="52" t="n">
        <f aca="false">X18+X25</f>
        <v>10758.35</v>
      </c>
      <c r="Y26" s="52" t="n">
        <f aca="false">Y18+Y25</f>
        <v>10758.35</v>
      </c>
      <c r="Z26" s="52" t="n">
        <f aca="false">Z18+Z25</f>
        <v>10758.35</v>
      </c>
      <c r="AA26" s="52" t="n">
        <f aca="false">AA18+AA25</f>
        <v>11081.1005</v>
      </c>
      <c r="AB26" s="52" t="n">
        <f aca="false">AB18+AB25</f>
        <v>11081.1005</v>
      </c>
      <c r="AC26" s="52" t="n">
        <f aca="false">AC18+AC25</f>
        <v>11081.1005</v>
      </c>
      <c r="AD26" s="52" t="n">
        <f aca="false">AD18+AD25</f>
        <v>11081.1005</v>
      </c>
      <c r="AE26" s="52" t="n">
        <f aca="false">AE18+AE25</f>
        <v>11081.1005</v>
      </c>
      <c r="AF26" s="52" t="n">
        <f aca="false">AF18+AF25</f>
        <v>11081.1005</v>
      </c>
      <c r="AG26" s="52" t="n">
        <f aca="false">AG18+AG25</f>
        <v>11081.1005</v>
      </c>
      <c r="AH26" s="52" t="n">
        <f aca="false">AH18+AH25</f>
        <v>11081.1005</v>
      </c>
      <c r="AI26" s="52" t="n">
        <f aca="false">AI18+AI25</f>
        <v>11081.1005</v>
      </c>
      <c r="AJ26" s="52" t="n">
        <f aca="false">AJ18+AJ25</f>
        <v>11081.1005</v>
      </c>
      <c r="AK26" s="52" t="n">
        <f aca="false">AK18+AK25</f>
        <v>11081.1005</v>
      </c>
      <c r="AL26" s="52" t="n">
        <f aca="false">AL18+AL25</f>
        <v>11081.1005</v>
      </c>
      <c r="AM26" s="52" t="n">
        <f aca="false">AM18+AM25</f>
        <v>11413.533515</v>
      </c>
      <c r="AN26" s="52" t="n">
        <f aca="false">AN18+AN25</f>
        <v>11413.533515</v>
      </c>
      <c r="AO26" s="52" t="n">
        <f aca="false">AO18+AO25</f>
        <v>11413.533515</v>
      </c>
      <c r="AP26" s="52" t="n">
        <f aca="false">AP18+AP25</f>
        <v>11413.533515</v>
      </c>
      <c r="AQ26" s="52" t="n">
        <f aca="false">AQ18+AQ25</f>
        <v>11413.533515</v>
      </c>
      <c r="AR26" s="52" t="n">
        <f aca="false">AR18+AR25</f>
        <v>11413.533515</v>
      </c>
      <c r="AS26" s="52" t="n">
        <f aca="false">AS18+AS25</f>
        <v>11413.533515</v>
      </c>
      <c r="AT26" s="52" t="n">
        <f aca="false">AT18+AT25</f>
        <v>11413.533515</v>
      </c>
      <c r="AU26" s="52" t="n">
        <f aca="false">AU18+AU25</f>
        <v>11413.533515</v>
      </c>
      <c r="AV26" s="52" t="n">
        <f aca="false">AV18+AV25</f>
        <v>11413.533515</v>
      </c>
      <c r="AW26" s="52" t="n">
        <f aca="false">AW18+AW25</f>
        <v>11413.533515</v>
      </c>
      <c r="AX26" s="52" t="n">
        <f aca="false">AX18+AX25</f>
        <v>11413.533515</v>
      </c>
      <c r="AY26" s="52" t="n">
        <f aca="false">AY18+AY25</f>
        <v>11755.93952045</v>
      </c>
      <c r="AZ26" s="52" t="n">
        <f aca="false">AZ18+AZ25</f>
        <v>11755.93952045</v>
      </c>
      <c r="BA26" s="52" t="n">
        <f aca="false">BA18+BA25</f>
        <v>11755.93952045</v>
      </c>
      <c r="BB26" s="52" t="n">
        <f aca="false">BB18+BB25</f>
        <v>11755.93952045</v>
      </c>
      <c r="BC26" s="52" t="n">
        <f aca="false">BC18+BC25</f>
        <v>11755.93952045</v>
      </c>
      <c r="BD26" s="52" t="n">
        <f aca="false">BD18+BD25</f>
        <v>11755.93952045</v>
      </c>
      <c r="BE26" s="52" t="n">
        <f aca="false">BE18+BE25</f>
        <v>11755.93952045</v>
      </c>
      <c r="BF26" s="52" t="n">
        <f aca="false">BF18+BF25</f>
        <v>11755.93952045</v>
      </c>
      <c r="BG26" s="52" t="n">
        <f aca="false">BG18+BG25</f>
        <v>11755.93952045</v>
      </c>
      <c r="BH26" s="52" t="n">
        <f aca="false">BH18+BH25</f>
        <v>11755.93952045</v>
      </c>
      <c r="BI26" s="52" t="n">
        <f aca="false">BI18+BI25</f>
        <v>11755.93952045</v>
      </c>
      <c r="BJ26" s="52" t="n">
        <f aca="false">BJ18+BJ25</f>
        <v>11755.93952045</v>
      </c>
    </row>
    <row r="28" customFormat="false" ht="15.75" hidden="false" customHeight="true" outlineLevel="0" collapsed="false">
      <c r="A28" s="7" t="s">
        <v>392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4" t="s">
        <v>77</v>
      </c>
      <c r="C29" s="58" t="n">
        <f aca="false">C26+C44</f>
        <v>5704.90226337449</v>
      </c>
      <c r="D29" s="58" t="n">
        <f aca="false">D26+D44</f>
        <v>5704.00205761317</v>
      </c>
      <c r="E29" s="58" t="n">
        <f aca="false">E26+E44</f>
        <v>5703.10185185185</v>
      </c>
      <c r="F29" s="58" t="n">
        <f aca="false">F26+F44</f>
        <v>5702.20164609053</v>
      </c>
      <c r="G29" s="58" t="n">
        <f aca="false">G26+G44</f>
        <v>5701.30144032922</v>
      </c>
      <c r="H29" s="58" t="n">
        <f aca="false">H26+H44</f>
        <v>5700.4012345679</v>
      </c>
      <c r="I29" s="58" t="n">
        <f aca="false">I26+I44</f>
        <v>5699.50102880658</v>
      </c>
      <c r="J29" s="58" t="n">
        <f aca="false">J26+J44</f>
        <v>5698.60082304527</v>
      </c>
      <c r="K29" s="58" t="n">
        <f aca="false">K26+K44</f>
        <v>5697.70061728395</v>
      </c>
      <c r="L29" s="58" t="n">
        <f aca="false">L26+L44</f>
        <v>5696.80041152263</v>
      </c>
      <c r="M29" s="58" t="n">
        <f aca="false">M26+M44</f>
        <v>5695.90020576131</v>
      </c>
      <c r="N29" s="58" t="n">
        <f aca="false">N26+N44</f>
        <v>5695</v>
      </c>
      <c r="O29" s="58" t="n">
        <f aca="false">O26+O44</f>
        <v>6007.42278806584</v>
      </c>
      <c r="P29" s="58" t="n">
        <f aca="false">P26+P44</f>
        <v>6006.49557613168</v>
      </c>
      <c r="Q29" s="58" t="n">
        <f aca="false">Q26+Q44</f>
        <v>6005.56836419753</v>
      </c>
      <c r="R29" s="58" t="n">
        <f aca="false">R26+R44</f>
        <v>6004.64115226337</v>
      </c>
      <c r="S29" s="58" t="n">
        <f aca="false">S26+S44</f>
        <v>6003.71394032921</v>
      </c>
      <c r="T29" s="58" t="n">
        <f aca="false">T26+T44</f>
        <v>6002.78672839506</v>
      </c>
      <c r="U29" s="58" t="n">
        <f aca="false">U26+U44</f>
        <v>6001.8595164609</v>
      </c>
      <c r="V29" s="58" t="n">
        <f aca="false">V26+V44</f>
        <v>6000.93230452675</v>
      </c>
      <c r="W29" s="58" t="n">
        <f aca="false">W26+W44</f>
        <v>6000.00509259259</v>
      </c>
      <c r="X29" s="58" t="n">
        <f aca="false">X26+X44</f>
        <v>5999.07788065843</v>
      </c>
      <c r="Y29" s="58" t="n">
        <f aca="false">Y26+Y44</f>
        <v>5998.15066872427</v>
      </c>
      <c r="Z29" s="58" t="n">
        <f aca="false">Z26+Z44</f>
        <v>5997.22345679012</v>
      </c>
      <c r="AA29" s="58" t="n">
        <f aca="false">AA26+AA44</f>
        <v>6319.01892849794</v>
      </c>
      <c r="AB29" s="58" t="n">
        <f aca="false">AB26+AB44</f>
        <v>6318.06390020576</v>
      </c>
      <c r="AC29" s="58" t="n">
        <f aca="false">AC26+AC44</f>
        <v>6317.10887191358</v>
      </c>
      <c r="AD29" s="58" t="n">
        <f aca="false">AD26+AD44</f>
        <v>6316.15384362139</v>
      </c>
      <c r="AE29" s="58" t="n">
        <f aca="false">AE26+AE44</f>
        <v>6315.19881532921</v>
      </c>
      <c r="AF29" s="58" t="n">
        <f aca="false">AF26+AF44</f>
        <v>6314.24378703703</v>
      </c>
      <c r="AG29" s="58" t="n">
        <f aca="false">AG26+AG44</f>
        <v>6313.28875874485</v>
      </c>
      <c r="AH29" s="58" t="n">
        <f aca="false">AH26+AH44</f>
        <v>6312.33373045267</v>
      </c>
      <c r="AI29" s="58" t="n">
        <f aca="false">AI26+AI44</f>
        <v>6311.37870216049</v>
      </c>
      <c r="AJ29" s="58" t="n">
        <f aca="false">AJ26+AJ44</f>
        <v>6310.42367386831</v>
      </c>
      <c r="AK29" s="58" t="n">
        <f aca="false">AK26+AK44</f>
        <v>6309.46864557613</v>
      </c>
      <c r="AL29" s="58" t="n">
        <f aca="false">AL26+AL44</f>
        <v>6308.51361728394</v>
      </c>
      <c r="AM29" s="58" t="n">
        <f aca="false">AM26+AM44</f>
        <v>6639.962953143</v>
      </c>
      <c r="AN29" s="58" t="n">
        <f aca="false">AN26+AN44</f>
        <v>6638.97927400205</v>
      </c>
      <c r="AO29" s="58" t="n">
        <f aca="false">AO26+AO44</f>
        <v>6637.9955948611</v>
      </c>
      <c r="AP29" s="58" t="n">
        <f aca="false">AP26+AP44</f>
        <v>6637.01191572016</v>
      </c>
      <c r="AQ29" s="58" t="n">
        <f aca="false">AQ26+AQ44</f>
        <v>6636.02823657921</v>
      </c>
      <c r="AR29" s="58" t="n">
        <f aca="false">AR26+AR44</f>
        <v>6635.04455743826</v>
      </c>
      <c r="AS29" s="58" t="n">
        <f aca="false">AS26+AS44</f>
        <v>6634.06087829732</v>
      </c>
      <c r="AT29" s="58" t="n">
        <f aca="false">AT26+AT44</f>
        <v>6633.07719915637</v>
      </c>
      <c r="AU29" s="58" t="n">
        <f aca="false">AU26+AU44</f>
        <v>6632.09352001542</v>
      </c>
      <c r="AV29" s="58" t="n">
        <f aca="false">AV26+AV44</f>
        <v>6631.10984087448</v>
      </c>
      <c r="AW29" s="58" t="n">
        <f aca="false">AW26+AW44</f>
        <v>6630.12616173353</v>
      </c>
      <c r="AX29" s="58" t="n">
        <f aca="false">AX26+AX44</f>
        <v>6629.14248259258</v>
      </c>
      <c r="AY29" s="58" t="n">
        <f aca="false">AY26+AY44</f>
        <v>6970.53529852741</v>
      </c>
      <c r="AZ29" s="58" t="n">
        <f aca="false">AZ26+AZ44</f>
        <v>6969.52210901224</v>
      </c>
      <c r="BA29" s="58" t="n">
        <f aca="false">BA26+BA44</f>
        <v>6968.50891949706</v>
      </c>
      <c r="BB29" s="58" t="n">
        <f aca="false">BB26+BB44</f>
        <v>6967.49572998189</v>
      </c>
      <c r="BC29" s="58" t="n">
        <f aca="false">BC26+BC44</f>
        <v>6966.48254046671</v>
      </c>
      <c r="BD29" s="58" t="n">
        <f aca="false">BD26+BD44</f>
        <v>6965.46935095154</v>
      </c>
      <c r="BE29" s="58" t="n">
        <f aca="false">BE26+BE44</f>
        <v>6964.45616143636</v>
      </c>
      <c r="BF29" s="58" t="n">
        <f aca="false">BF26+BF44</f>
        <v>6963.44297192119</v>
      </c>
      <c r="BG29" s="58" t="n">
        <f aca="false">BG26+BG44</f>
        <v>6962.42978240601</v>
      </c>
      <c r="BH29" s="58" t="n">
        <f aca="false">BH26+BH44</f>
        <v>6961.41659289084</v>
      </c>
      <c r="BI29" s="58" t="n">
        <f aca="false">BI26+BI44</f>
        <v>6960.40340337566</v>
      </c>
      <c r="BJ29" s="58" t="n">
        <f aca="false">BJ26+BJ44</f>
        <v>6959.39021386049</v>
      </c>
    </row>
    <row r="30" customFormat="false" ht="15" hidden="false" customHeight="false" outlineLevel="0" collapsed="false">
      <c r="A30" s="6" t="s">
        <v>393</v>
      </c>
      <c r="C30" s="51" t="n">
        <f aca="false">-(C49+C50)*Inputs!$E$36/12</f>
        <v>-6500</v>
      </c>
      <c r="D30" s="51" t="n">
        <f aca="false">-(D49+D50)*Inputs!$E$36/12</f>
        <v>-6494.12391180629</v>
      </c>
      <c r="E30" s="51" t="n">
        <f aca="false">-(E49+E50)*Inputs!$E$36/12</f>
        <v>-6488.21599480153</v>
      </c>
      <c r="F30" s="51" t="n">
        <f aca="false">-(F49+F50)*Inputs!$E$36/12</f>
        <v>-6482.27607657966</v>
      </c>
      <c r="G30" s="51" t="n">
        <f aca="false">-(G49+G50)*Inputs!$E$36/12</f>
        <v>-6476.30398380076</v>
      </c>
      <c r="H30" s="51" t="n">
        <f aca="false">-(H49+H50)*Inputs!$E$36/12</f>
        <v>-6470.29954218597</v>
      </c>
      <c r="I30" s="51" t="n">
        <f aca="false">-(I49+I50)*Inputs!$E$36/12</f>
        <v>-6464.26257651244</v>
      </c>
      <c r="J30" s="51" t="n">
        <f aca="false">-(J49+J50)*Inputs!$E$36/12</f>
        <v>-6458.19291060817</v>
      </c>
      <c r="K30" s="51" t="n">
        <f aca="false">-(K49+K50)*Inputs!$E$36/12</f>
        <v>-6452.09036734692</v>
      </c>
      <c r="L30" s="51" t="n">
        <f aca="false">-(L49+L50)*Inputs!$E$36/12</f>
        <v>-6445.95476864301</v>
      </c>
      <c r="M30" s="51" t="n">
        <f aca="false">-(M49+M50)*Inputs!$E$36/12</f>
        <v>-6439.78593544611</v>
      </c>
      <c r="N30" s="51" t="n">
        <f aca="false">-(N49+N50)*Inputs!$E$36/12</f>
        <v>-6433.58368773607</v>
      </c>
      <c r="O30" s="51" t="n">
        <f aca="false">-(O49+O50)*Inputs!$E$36/12</f>
        <v>-6427.3478445176</v>
      </c>
      <c r="P30" s="51" t="n">
        <f aca="false">-(P49+P50)*Inputs!$E$36/12</f>
        <v>-6421.07822381503</v>
      </c>
      <c r="Q30" s="51" t="n">
        <f aca="false">-(Q49+Q50)*Inputs!$E$36/12</f>
        <v>-6414.77464266698</v>
      </c>
      <c r="R30" s="51" t="n">
        <f aca="false">-(R49+R50)*Inputs!$E$36/12</f>
        <v>-6408.43691712105</v>
      </c>
      <c r="S30" s="51" t="n">
        <f aca="false">-(S49+S50)*Inputs!$E$36/12</f>
        <v>-6402.06486222842</v>
      </c>
      <c r="T30" s="51" t="n">
        <f aca="false">-(T49+T50)*Inputs!$E$36/12</f>
        <v>-6395.65829203844</v>
      </c>
      <c r="U30" s="51" t="n">
        <f aca="false">-(U49+U50)*Inputs!$E$36/12</f>
        <v>-6389.21701959328</v>
      </c>
      <c r="V30" s="51" t="n">
        <f aca="false">-(V49+V50)*Inputs!$E$36/12</f>
        <v>-6382.74085692237</v>
      </c>
      <c r="W30" s="51" t="n">
        <f aca="false">-(W49+W50)*Inputs!$E$36/12</f>
        <v>-6376.22961503699</v>
      </c>
      <c r="X30" s="51" t="n">
        <f aca="false">-(X49+X50)*Inputs!$E$36/12</f>
        <v>-6369.68310392473</v>
      </c>
      <c r="Y30" s="51" t="n">
        <f aca="false">-(Y49+Y50)*Inputs!$E$36/12</f>
        <v>-6363.10113254394</v>
      </c>
      <c r="Z30" s="51" t="n">
        <f aca="false">-(Z49+Z50)*Inputs!$E$36/12</f>
        <v>-6356.48350881818</v>
      </c>
      <c r="AA30" s="51" t="n">
        <f aca="false">-(AA49+AA50)*Inputs!$E$36/12</f>
        <v>-6349.83003963057</v>
      </c>
      <c r="AB30" s="51" t="n">
        <f aca="false">-(AB49+AB50)*Inputs!$E$36/12</f>
        <v>-6343.14053081819</v>
      </c>
      <c r="AC30" s="51" t="n">
        <f aca="false">-(AC49+AC50)*Inputs!$E$36/12</f>
        <v>-6336.41478716641</v>
      </c>
      <c r="AD30" s="51" t="n">
        <f aca="false">-(AD49+AD50)*Inputs!$E$36/12</f>
        <v>-6329.65261240319</v>
      </c>
      <c r="AE30" s="51" t="n">
        <f aca="false">-(AE49+AE50)*Inputs!$E$36/12</f>
        <v>-6322.85380919333</v>
      </c>
      <c r="AF30" s="51" t="n">
        <f aca="false">-(AF49+AF50)*Inputs!$E$36/12</f>
        <v>-6316.01817913275</v>
      </c>
      <c r="AG30" s="51" t="n">
        <f aca="false">-(AG49+AG50)*Inputs!$E$36/12</f>
        <v>-6309.14552274268</v>
      </c>
      <c r="AH30" s="51" t="n">
        <f aca="false">-(AH49+AH50)*Inputs!$E$36/12</f>
        <v>-6302.23563946383</v>
      </c>
      <c r="AI30" s="51" t="n">
        <f aca="false">-(AI49+AI50)*Inputs!$E$36/12</f>
        <v>-6295.28832765055</v>
      </c>
      <c r="AJ30" s="51" t="n">
        <f aca="false">-(AJ49+AJ50)*Inputs!$E$36/12</f>
        <v>-6288.30338456494</v>
      </c>
      <c r="AK30" s="51" t="n">
        <f aca="false">-(AK49+AK50)*Inputs!$E$36/12</f>
        <v>-6281.28060637096</v>
      </c>
      <c r="AL30" s="51" t="n">
        <f aca="false">-(AL49+AL50)*Inputs!$E$36/12</f>
        <v>-6274.21978812843</v>
      </c>
      <c r="AM30" s="51" t="n">
        <f aca="false">-(AM49+AM50)*Inputs!$E$36/12</f>
        <v>-6267.12072378708</v>
      </c>
      <c r="AN30" s="51" t="n">
        <f aca="false">-(AN49+AN50)*Inputs!$E$36/12</f>
        <v>-6259.98320618055</v>
      </c>
      <c r="AO30" s="51" t="n">
        <f aca="false">-(AO49+AO50)*Inputs!$E$36/12</f>
        <v>-6252.80702702032</v>
      </c>
      <c r="AP30" s="51" t="n">
        <f aca="false">-(AP49+AP50)*Inputs!$E$36/12</f>
        <v>-6245.59197688964</v>
      </c>
      <c r="AQ30" s="51" t="n">
        <f aca="false">-(AQ49+AQ50)*Inputs!$E$36/12</f>
        <v>-6238.33784523742</v>
      </c>
      <c r="AR30" s="51" t="n">
        <f aca="false">-(AR49+AR50)*Inputs!$E$36/12</f>
        <v>-6231.04442037208</v>
      </c>
      <c r="AS30" s="51" t="n">
        <f aca="false">-(AS49+AS50)*Inputs!$E$36/12</f>
        <v>-6223.71148945538</v>
      </c>
      <c r="AT30" s="51" t="n">
        <f aca="false">-(AT49+AT50)*Inputs!$E$36/12</f>
        <v>-6216.33883849622</v>
      </c>
      <c r="AU30" s="51" t="n">
        <f aca="false">-(AU49+AU50)*Inputs!$E$36/12</f>
        <v>-6208.92625234437</v>
      </c>
      <c r="AV30" s="51" t="n">
        <f aca="false">-(AV49+AV50)*Inputs!$E$36/12</f>
        <v>-6201.47351468419</v>
      </c>
      <c r="AW30" s="51" t="n">
        <f aca="false">-(AW49+AW50)*Inputs!$E$36/12</f>
        <v>-6193.98040802835</v>
      </c>
      <c r="AX30" s="51" t="n">
        <f aca="false">-(AX49+AX50)*Inputs!$E$36/12</f>
        <v>-6186.44671371147</v>
      </c>
      <c r="AY30" s="51" t="n">
        <f aca="false">-(AY49+AY50)*Inputs!$E$36/12</f>
        <v>-6178.87221188369</v>
      </c>
      <c r="AZ30" s="51" t="n">
        <f aca="false">-(AZ49+AZ50)*Inputs!$E$36/12</f>
        <v>-6171.25668150435</v>
      </c>
      <c r="BA30" s="51" t="n">
        <f aca="false">-(BA49+BA50)*Inputs!$E$36/12</f>
        <v>-6163.59990033546</v>
      </c>
      <c r="BB30" s="51" t="n">
        <f aca="false">-(BB49+BB50)*Inputs!$E$36/12</f>
        <v>-6155.90164493523</v>
      </c>
      <c r="BC30" s="51" t="n">
        <f aca="false">-(BC49+BC50)*Inputs!$E$36/12</f>
        <v>-6148.16169065159</v>
      </c>
      <c r="BD30" s="51" t="n">
        <f aca="false">-(BD49+BD50)*Inputs!$E$36/12</f>
        <v>-6140.37981161558</v>
      </c>
      <c r="BE30" s="51" t="n">
        <f aca="false">-(BE49+BE50)*Inputs!$E$36/12</f>
        <v>-6132.55578073479</v>
      </c>
      <c r="BF30" s="51" t="n">
        <f aca="false">-(BF49+BF50)*Inputs!$E$36/12</f>
        <v>-6124.68936968672</v>
      </c>
      <c r="BG30" s="51" t="n">
        <f aca="false">-(BG49+BG50)*Inputs!$E$36/12</f>
        <v>-6116.78034891215</v>
      </c>
      <c r="BH30" s="51" t="n">
        <f aca="false">-(BH49+BH50)*Inputs!$E$36/12</f>
        <v>-6108.82848760838</v>
      </c>
      <c r="BI30" s="51" t="n">
        <f aca="false">-(BI49+BI50)*Inputs!$E$36/12</f>
        <v>-6100.83355372255</v>
      </c>
      <c r="BJ30" s="51" t="n">
        <f aca="false">-(BJ49+BJ50)*Inputs!$E$36/12</f>
        <v>-6092.79531394484</v>
      </c>
    </row>
    <row r="31" customFormat="false" ht="15" hidden="false" customHeight="false" outlineLevel="0" collapsed="false">
      <c r="A31" s="96" t="s">
        <v>79</v>
      </c>
      <c r="C31" s="52" t="n">
        <f aca="false">C29+C30</f>
        <v>-795.097736625515</v>
      </c>
      <c r="D31" s="52" t="n">
        <f aca="false">D29+D30</f>
        <v>-790.121854193122</v>
      </c>
      <c r="E31" s="52" t="n">
        <f aca="false">E29+E30</f>
        <v>-785.114142949681</v>
      </c>
      <c r="F31" s="52" t="n">
        <f aca="false">F29+F30</f>
        <v>-780.07443048913</v>
      </c>
      <c r="G31" s="52" t="n">
        <f aca="false">G29+G30</f>
        <v>-775.002543471544</v>
      </c>
      <c r="H31" s="52" t="n">
        <f aca="false">H29+H30</f>
        <v>-769.898307618073</v>
      </c>
      <c r="I31" s="52" t="n">
        <f aca="false">I29+I30</f>
        <v>-764.761547705854</v>
      </c>
      <c r="J31" s="52" t="n">
        <f aca="false">J29+J30</f>
        <v>-759.592087562905</v>
      </c>
      <c r="K31" s="52" t="n">
        <f aca="false">K29+K30</f>
        <v>-754.389750062974</v>
      </c>
      <c r="L31" s="52" t="n">
        <f aca="false">L29+L30</f>
        <v>-749.154357120377</v>
      </c>
      <c r="M31" s="52" t="n">
        <f aca="false">M29+M30</f>
        <v>-743.8857296848</v>
      </c>
      <c r="N31" s="52" t="n">
        <f aca="false">N29+N30</f>
        <v>-738.583687736074</v>
      </c>
      <c r="O31" s="52" t="n">
        <f aca="false">O29+O30</f>
        <v>-419.925056451759</v>
      </c>
      <c r="P31" s="52" t="n">
        <f aca="false">P29+P30</f>
        <v>-414.582647683344</v>
      </c>
      <c r="Q31" s="52" t="n">
        <f aca="false">Q29+Q30</f>
        <v>-409.206278469456</v>
      </c>
      <c r="R31" s="52" t="n">
        <f aca="false">R29+R30</f>
        <v>-403.795764857683</v>
      </c>
      <c r="S31" s="52" t="n">
        <f aca="false">S29+S30</f>
        <v>-398.350921899203</v>
      </c>
      <c r="T31" s="52" t="n">
        <f aca="false">T29+T30</f>
        <v>-392.871563643385</v>
      </c>
      <c r="U31" s="52" t="n">
        <f aca="false">U29+U30</f>
        <v>-387.357503132375</v>
      </c>
      <c r="V31" s="52" t="n">
        <f aca="false">V29+V30</f>
        <v>-381.808552395621</v>
      </c>
      <c r="W31" s="52" t="n">
        <f aca="false">W29+W30</f>
        <v>-376.224522444397</v>
      </c>
      <c r="X31" s="52" t="n">
        <f aca="false">X29+X30</f>
        <v>-370.605223266295</v>
      </c>
      <c r="Y31" s="52" t="n">
        <f aca="false">Y29+Y30</f>
        <v>-364.950463819669</v>
      </c>
      <c r="Z31" s="52" t="n">
        <f aca="false">Z29+Z30</f>
        <v>-359.260052028061</v>
      </c>
      <c r="AA31" s="52" t="n">
        <f aca="false">AA29+AA30</f>
        <v>-30.8111111326316</v>
      </c>
      <c r="AB31" s="52" t="n">
        <f aca="false">AB29+AB30</f>
        <v>-25.076630612436</v>
      </c>
      <c r="AC31" s="52" t="n">
        <f aca="false">AC29+AC30</f>
        <v>-19.3059152528394</v>
      </c>
      <c r="AD31" s="52" t="n">
        <f aca="false">AD29+AD30</f>
        <v>-13.4987687817975</v>
      </c>
      <c r="AE31" s="52" t="n">
        <f aca="false">AE29+AE30</f>
        <v>-7.65499386412012</v>
      </c>
      <c r="AF31" s="52" t="n">
        <f aca="false">AF29+AF30</f>
        <v>-1.77439209572185</v>
      </c>
      <c r="AG31" s="52" t="n">
        <f aca="false">AG29+AG30</f>
        <v>4.14323600216994</v>
      </c>
      <c r="AH31" s="52" t="n">
        <f aca="false">AH29+AH30</f>
        <v>10.0980909888422</v>
      </c>
      <c r="AI31" s="52" t="n">
        <f aca="false">AI29+AI30</f>
        <v>16.0903745099413</v>
      </c>
      <c r="AJ31" s="52" t="n">
        <f aca="false">AJ29+AJ30</f>
        <v>22.1202893033624</v>
      </c>
      <c r="AK31" s="52" t="n">
        <f aca="false">AK29+AK30</f>
        <v>28.1880392051635</v>
      </c>
      <c r="AL31" s="52" t="n">
        <f aca="false">AL29+AL30</f>
        <v>34.2938291555147</v>
      </c>
      <c r="AM31" s="52" t="n">
        <f aca="false">AM29+AM30</f>
        <v>372.842229355915</v>
      </c>
      <c r="AN31" s="52" t="n">
        <f aca="false">AN29+AN30</f>
        <v>378.996067821496</v>
      </c>
      <c r="AO31" s="52" t="n">
        <f aca="false">AO29+AO30</f>
        <v>385.188567840782</v>
      </c>
      <c r="AP31" s="52" t="n">
        <f aca="false">AP29+AP30</f>
        <v>391.419938830517</v>
      </c>
      <c r="AQ31" s="52" t="n">
        <f aca="false">AQ29+AQ30</f>
        <v>397.690391341794</v>
      </c>
      <c r="AR31" s="52" t="n">
        <f aca="false">AR29+AR30</f>
        <v>404.000137066188</v>
      </c>
      <c r="AS31" s="52" t="n">
        <f aca="false">AS29+AS30</f>
        <v>410.349388841934</v>
      </c>
      <c r="AT31" s="52" t="n">
        <f aca="false">AT29+AT30</f>
        <v>416.738360660146</v>
      </c>
      <c r="AU31" s="52" t="n">
        <f aca="false">AU29+AU30</f>
        <v>423.167267671054</v>
      </c>
      <c r="AV31" s="52" t="n">
        <f aca="false">AV29+AV30</f>
        <v>429.636326190284</v>
      </c>
      <c r="AW31" s="52" t="n">
        <f aca="false">AW29+AW30</f>
        <v>436.145753705176</v>
      </c>
      <c r="AX31" s="52" t="n">
        <f aca="false">AX29+AX30</f>
        <v>442.695768881117</v>
      </c>
      <c r="AY31" s="52" t="n">
        <f aca="false">AY29+AY30</f>
        <v>791.663086643718</v>
      </c>
      <c r="AZ31" s="52" t="n">
        <f aca="false">AZ29+AZ30</f>
        <v>798.265427507883</v>
      </c>
      <c r="BA31" s="52" t="n">
        <f aca="false">BA29+BA30</f>
        <v>804.909019161602</v>
      </c>
      <c r="BB31" s="52" t="n">
        <f aca="false">BB29+BB30</f>
        <v>811.594085046652</v>
      </c>
      <c r="BC31" s="52" t="n">
        <f aca="false">BC29+BC30</f>
        <v>818.32084981512</v>
      </c>
      <c r="BD31" s="52" t="n">
        <f aca="false">BD29+BD30</f>
        <v>825.089539335959</v>
      </c>
      <c r="BE31" s="52" t="n">
        <f aca="false">BE29+BE30</f>
        <v>831.900380701574</v>
      </c>
      <c r="BF31" s="52" t="n">
        <f aca="false">BF29+BF30</f>
        <v>838.753602234462</v>
      </c>
      <c r="BG31" s="52" t="n">
        <f aca="false">BG29+BG30</f>
        <v>845.64943349386</v>
      </c>
      <c r="BH31" s="52" t="n">
        <f aca="false">BH29+BH30</f>
        <v>852.588105282454</v>
      </c>
      <c r="BI31" s="52" t="n">
        <f aca="false">BI29+BI30</f>
        <v>859.56984965311</v>
      </c>
      <c r="BJ31" s="52" t="n">
        <f aca="false">BJ29+BJ30</f>
        <v>866.594899915646</v>
      </c>
    </row>
    <row r="32" customFormat="false" ht="15" hidden="false" customHeight="false" outlineLevel="0" collapsed="false">
      <c r="A32" s="100" t="s">
        <v>394</v>
      </c>
      <c r="C32" s="51" t="n">
        <f aca="false">C31</f>
        <v>-795.097736625515</v>
      </c>
      <c r="D32" s="51" t="n">
        <f aca="false">C32+D31</f>
        <v>-1585.21959081864</v>
      </c>
      <c r="E32" s="51" t="n">
        <f aca="false">D32+E31</f>
        <v>-2370.33373376832</v>
      </c>
      <c r="F32" s="51" t="n">
        <f aca="false">E32+F31</f>
        <v>-3150.40816425745</v>
      </c>
      <c r="G32" s="51" t="n">
        <f aca="false">F32+G31</f>
        <v>-3925.41070772899</v>
      </c>
      <c r="H32" s="51" t="n">
        <f aca="false">G32+H31</f>
        <v>-4695.30901534706</v>
      </c>
      <c r="I32" s="51" t="n">
        <f aca="false">H32+I31</f>
        <v>-5460.07056305292</v>
      </c>
      <c r="J32" s="51" t="n">
        <f aca="false">I32+J31</f>
        <v>-6219.66265061582</v>
      </c>
      <c r="K32" s="51" t="n">
        <f aca="false">J32+K31</f>
        <v>-6974.0524006788</v>
      </c>
      <c r="L32" s="51" t="n">
        <f aca="false">K32+L31</f>
        <v>-7723.20675779918</v>
      </c>
      <c r="M32" s="51" t="n">
        <f aca="false">L32+M31</f>
        <v>-8467.09248748398</v>
      </c>
      <c r="N32" s="51" t="n">
        <f aca="false">M32+N31</f>
        <v>-9205.67617522005</v>
      </c>
      <c r="O32" s="51" t="n">
        <f aca="false">N32+O31</f>
        <v>-9625.60123167181</v>
      </c>
      <c r="P32" s="51" t="n">
        <f aca="false">O32+P31</f>
        <v>-10040.1838793552</v>
      </c>
      <c r="Q32" s="51" t="n">
        <f aca="false">P32+Q31</f>
        <v>-10449.3901578246</v>
      </c>
      <c r="R32" s="51" t="n">
        <f aca="false">Q32+R31</f>
        <v>-10853.1859226823</v>
      </c>
      <c r="S32" s="51" t="n">
        <f aca="false">R32+S31</f>
        <v>-11251.5368445815</v>
      </c>
      <c r="T32" s="51" t="n">
        <f aca="false">S32+T31</f>
        <v>-11644.4084082249</v>
      </c>
      <c r="U32" s="51" t="n">
        <f aca="false">T32+U31</f>
        <v>-12031.7659113573</v>
      </c>
      <c r="V32" s="51" t="n">
        <f aca="false">U32+V31</f>
        <v>-12413.5744637529</v>
      </c>
      <c r="W32" s="51" t="n">
        <f aca="false">V32+W31</f>
        <v>-12789.7989861973</v>
      </c>
      <c r="X32" s="51" t="n">
        <f aca="false">W32+X31</f>
        <v>-13160.4042094636</v>
      </c>
      <c r="Y32" s="51" t="n">
        <f aca="false">X32+Y31</f>
        <v>-13525.3546732832</v>
      </c>
      <c r="Z32" s="51" t="n">
        <f aca="false">Y32+Z31</f>
        <v>-13884.6147253113</v>
      </c>
      <c r="AA32" s="51" t="n">
        <f aca="false">Z32+AA31</f>
        <v>-13915.4258364439</v>
      </c>
      <c r="AB32" s="51" t="n">
        <f aca="false">AA32+AB31</f>
        <v>-13940.5024670564</v>
      </c>
      <c r="AC32" s="51" t="n">
        <f aca="false">AB32+AC31</f>
        <v>-13959.8083823092</v>
      </c>
      <c r="AD32" s="51" t="n">
        <f aca="false">AC32+AD31</f>
        <v>-13973.307151091</v>
      </c>
      <c r="AE32" s="51" t="n">
        <f aca="false">AD32+AE31</f>
        <v>-13980.9621449551</v>
      </c>
      <c r="AF32" s="51" t="n">
        <f aca="false">AE32+AF31</f>
        <v>-13982.7365370508</v>
      </c>
      <c r="AG32" s="51" t="n">
        <f aca="false">AF32+AG31</f>
        <v>-13978.5933010487</v>
      </c>
      <c r="AH32" s="51" t="n">
        <f aca="false">AG32+AH31</f>
        <v>-13968.4952100598</v>
      </c>
      <c r="AI32" s="51" t="n">
        <f aca="false">AH32+AI31</f>
        <v>-13952.4048355499</v>
      </c>
      <c r="AJ32" s="51" t="n">
        <f aca="false">AI32+AJ31</f>
        <v>-13930.2845462465</v>
      </c>
      <c r="AK32" s="51" t="n">
        <f aca="false">AJ32+AK31</f>
        <v>-13902.0965070414</v>
      </c>
      <c r="AL32" s="51" t="n">
        <f aca="false">AK32+AL31</f>
        <v>-13867.8026778858</v>
      </c>
      <c r="AM32" s="51" t="n">
        <f aca="false">AL32+AM31</f>
        <v>-13494.9604485299</v>
      </c>
      <c r="AN32" s="51" t="n">
        <f aca="false">AM32+AN31</f>
        <v>-13115.9643807084</v>
      </c>
      <c r="AO32" s="51" t="n">
        <f aca="false">AN32+AO31</f>
        <v>-12730.7758128677</v>
      </c>
      <c r="AP32" s="51" t="n">
        <f aca="false">AO32+AP31</f>
        <v>-12339.3558740371</v>
      </c>
      <c r="AQ32" s="51" t="n">
        <f aca="false">AP32+AQ31</f>
        <v>-11941.6654826953</v>
      </c>
      <c r="AR32" s="51" t="n">
        <f aca="false">AQ32+AR31</f>
        <v>-11537.6653456292</v>
      </c>
      <c r="AS32" s="51" t="n">
        <f aca="false">AR32+AS31</f>
        <v>-11127.3159567872</v>
      </c>
      <c r="AT32" s="51" t="n">
        <f aca="false">AS32+AT31</f>
        <v>-10710.5775961271</v>
      </c>
      <c r="AU32" s="51" t="n">
        <f aca="false">AT32+AU31</f>
        <v>-10287.410328456</v>
      </c>
      <c r="AV32" s="51" t="n">
        <f aca="false">AU32+AV31</f>
        <v>-9857.77400226574</v>
      </c>
      <c r="AW32" s="51" t="n">
        <f aca="false">AV32+AW31</f>
        <v>-9421.62824856056</v>
      </c>
      <c r="AX32" s="51" t="n">
        <f aca="false">AW32+AX31</f>
        <v>-8978.93247967945</v>
      </c>
      <c r="AY32" s="51" t="n">
        <f aca="false">AX32+AY31</f>
        <v>-8187.26939303573</v>
      </c>
      <c r="AZ32" s="51" t="n">
        <f aca="false">AY32+AZ31</f>
        <v>-7389.00396552785</v>
      </c>
      <c r="BA32" s="51" t="n">
        <f aca="false">AZ32+BA31</f>
        <v>-6584.09494636624</v>
      </c>
      <c r="BB32" s="51" t="n">
        <f aca="false">BA32+BB31</f>
        <v>-5772.50086131959</v>
      </c>
      <c r="BC32" s="51" t="n">
        <f aca="false">BB32+BC31</f>
        <v>-4954.18001150447</v>
      </c>
      <c r="BD32" s="51" t="n">
        <f aca="false">BC32+BD31</f>
        <v>-4129.09047216851</v>
      </c>
      <c r="BE32" s="51" t="n">
        <f aca="false">BD32+BE31</f>
        <v>-3297.19009146694</v>
      </c>
      <c r="BF32" s="51" t="n">
        <f aca="false">BE32+BF31</f>
        <v>-2458.43648923248</v>
      </c>
      <c r="BG32" s="51" t="n">
        <f aca="false">BF32+BG31</f>
        <v>-1612.78705573862</v>
      </c>
      <c r="BH32" s="51" t="n">
        <f aca="false">BG32+BH31</f>
        <v>-760.198950456162</v>
      </c>
      <c r="BI32" s="51" t="n">
        <f aca="false">BH32+BI31</f>
        <v>99.3708991969479</v>
      </c>
      <c r="BJ32" s="51" t="n">
        <f aca="false">BI32+BJ31</f>
        <v>965.965799112594</v>
      </c>
    </row>
    <row r="33" customFormat="false" ht="15" hidden="false" customHeight="false" outlineLevel="0" collapsed="false">
      <c r="A33" s="100" t="s">
        <v>395</v>
      </c>
      <c r="C33" s="51" t="n">
        <f aca="false">MAX(0,C32)</f>
        <v>0</v>
      </c>
      <c r="D33" s="51" t="n">
        <f aca="false">MAX(C33,D32)</f>
        <v>0</v>
      </c>
      <c r="E33" s="51" t="n">
        <f aca="false">MAX(D33,E32)</f>
        <v>0</v>
      </c>
      <c r="F33" s="51" t="n">
        <f aca="false">MAX(E33,F32)</f>
        <v>0</v>
      </c>
      <c r="G33" s="51" t="n">
        <f aca="false">MAX(F33,G32)</f>
        <v>0</v>
      </c>
      <c r="H33" s="51" t="n">
        <f aca="false">MAX(G33,H32)</f>
        <v>0</v>
      </c>
      <c r="I33" s="51" t="n">
        <f aca="false">MAX(H33,I32)</f>
        <v>0</v>
      </c>
      <c r="J33" s="51" t="n">
        <f aca="false">MAX(I33,J32)</f>
        <v>0</v>
      </c>
      <c r="K33" s="51" t="n">
        <f aca="false">MAX(J33,K32)</f>
        <v>0</v>
      </c>
      <c r="L33" s="51" t="n">
        <f aca="false">MAX(K33,L32)</f>
        <v>0</v>
      </c>
      <c r="M33" s="51" t="n">
        <f aca="false">MAX(L33,M32)</f>
        <v>0</v>
      </c>
      <c r="N33" s="51" t="n">
        <f aca="false">MAX(M33,N32)</f>
        <v>0</v>
      </c>
      <c r="O33" s="51" t="n">
        <f aca="false">MAX(N33,O32)</f>
        <v>0</v>
      </c>
      <c r="P33" s="51" t="n">
        <f aca="false">MAX(O33,P32)</f>
        <v>0</v>
      </c>
      <c r="Q33" s="51" t="n">
        <f aca="false">MAX(P33,Q32)</f>
        <v>0</v>
      </c>
      <c r="R33" s="51" t="n">
        <f aca="false">MAX(Q33,R32)</f>
        <v>0</v>
      </c>
      <c r="S33" s="51" t="n">
        <f aca="false">MAX(R33,S32)</f>
        <v>0</v>
      </c>
      <c r="T33" s="51" t="n">
        <f aca="false">MAX(S33,T32)</f>
        <v>0</v>
      </c>
      <c r="U33" s="51" t="n">
        <f aca="false">MAX(T33,U32)</f>
        <v>0</v>
      </c>
      <c r="V33" s="51" t="n">
        <f aca="false">MAX(U33,V32)</f>
        <v>0</v>
      </c>
      <c r="W33" s="51" t="n">
        <f aca="false">MAX(V33,W32)</f>
        <v>0</v>
      </c>
      <c r="X33" s="51" t="n">
        <f aca="false">MAX(W33,X32)</f>
        <v>0</v>
      </c>
      <c r="Y33" s="51" t="n">
        <f aca="false">MAX(X33,Y32)</f>
        <v>0</v>
      </c>
      <c r="Z33" s="51" t="n">
        <f aca="false">MAX(Y33,Z32)</f>
        <v>0</v>
      </c>
      <c r="AA33" s="51" t="n">
        <f aca="false">MAX(Z33,AA32)</f>
        <v>0</v>
      </c>
      <c r="AB33" s="51" t="n">
        <f aca="false">MAX(AA33,AB32)</f>
        <v>0</v>
      </c>
      <c r="AC33" s="51" t="n">
        <f aca="false">MAX(AB33,AC32)</f>
        <v>0</v>
      </c>
      <c r="AD33" s="51" t="n">
        <f aca="false">MAX(AC33,AD32)</f>
        <v>0</v>
      </c>
      <c r="AE33" s="51" t="n">
        <f aca="false">MAX(AD33,AE32)</f>
        <v>0</v>
      </c>
      <c r="AF33" s="51" t="n">
        <f aca="false">MAX(AE33,AF32)</f>
        <v>0</v>
      </c>
      <c r="AG33" s="51" t="n">
        <f aca="false">MAX(AF33,AG32)</f>
        <v>0</v>
      </c>
      <c r="AH33" s="51" t="n">
        <f aca="false">MAX(AG33,AH32)</f>
        <v>0</v>
      </c>
      <c r="AI33" s="51" t="n">
        <f aca="false">MAX(AH33,AI32)</f>
        <v>0</v>
      </c>
      <c r="AJ33" s="51" t="n">
        <f aca="false">MAX(AI33,AJ32)</f>
        <v>0</v>
      </c>
      <c r="AK33" s="51" t="n">
        <f aca="false">MAX(AJ33,AK32)</f>
        <v>0</v>
      </c>
      <c r="AL33" s="51" t="n">
        <f aca="false">MAX(AK33,AL32)</f>
        <v>0</v>
      </c>
      <c r="AM33" s="51" t="n">
        <f aca="false">MAX(AL33,AM32)</f>
        <v>0</v>
      </c>
      <c r="AN33" s="51" t="n">
        <f aca="false">MAX(AM33,AN32)</f>
        <v>0</v>
      </c>
      <c r="AO33" s="51" t="n">
        <f aca="false">MAX(AN33,AO32)</f>
        <v>0</v>
      </c>
      <c r="AP33" s="51" t="n">
        <f aca="false">MAX(AO33,AP32)</f>
        <v>0</v>
      </c>
      <c r="AQ33" s="51" t="n">
        <f aca="false">MAX(AP33,AQ32)</f>
        <v>0</v>
      </c>
      <c r="AR33" s="51" t="n">
        <f aca="false">MAX(AQ33,AR32)</f>
        <v>0</v>
      </c>
      <c r="AS33" s="51" t="n">
        <f aca="false">MAX(AR33,AS32)</f>
        <v>0</v>
      </c>
      <c r="AT33" s="51" t="n">
        <f aca="false">MAX(AS33,AT32)</f>
        <v>0</v>
      </c>
      <c r="AU33" s="51" t="n">
        <f aca="false">MAX(AT33,AU32)</f>
        <v>0</v>
      </c>
      <c r="AV33" s="51" t="n">
        <f aca="false">MAX(AU33,AV32)</f>
        <v>0</v>
      </c>
      <c r="AW33" s="51" t="n">
        <f aca="false">MAX(AV33,AW32)</f>
        <v>0</v>
      </c>
      <c r="AX33" s="51" t="n">
        <f aca="false">MAX(AW33,AX32)</f>
        <v>0</v>
      </c>
      <c r="AY33" s="51" t="n">
        <f aca="false">MAX(AX33,AY32)</f>
        <v>0</v>
      </c>
      <c r="AZ33" s="51" t="n">
        <f aca="false">MAX(AY33,AZ32)</f>
        <v>0</v>
      </c>
      <c r="BA33" s="51" t="n">
        <f aca="false">MAX(AZ33,BA32)</f>
        <v>0</v>
      </c>
      <c r="BB33" s="51" t="n">
        <f aca="false">MAX(BA33,BB32)</f>
        <v>0</v>
      </c>
      <c r="BC33" s="51" t="n">
        <f aca="false">MAX(BB33,BC32)</f>
        <v>0</v>
      </c>
      <c r="BD33" s="51" t="n">
        <f aca="false">MAX(BC33,BD32)</f>
        <v>0</v>
      </c>
      <c r="BE33" s="51" t="n">
        <f aca="false">MAX(BD33,BE32)</f>
        <v>0</v>
      </c>
      <c r="BF33" s="51" t="n">
        <f aca="false">MAX(BE33,BF32)</f>
        <v>0</v>
      </c>
      <c r="BG33" s="51" t="n">
        <f aca="false">MAX(BF33,BG32)</f>
        <v>0</v>
      </c>
      <c r="BH33" s="51" t="n">
        <f aca="false">MAX(BG33,BH32)</f>
        <v>0</v>
      </c>
      <c r="BI33" s="51" t="n">
        <f aca="false">MAX(BH33,BI32)</f>
        <v>99.3708991969479</v>
      </c>
      <c r="BJ33" s="51" t="n">
        <f aca="false">MAX(BI33,BJ32)</f>
        <v>965.965799112594</v>
      </c>
    </row>
    <row r="34" customFormat="false" ht="15" hidden="false" customHeight="false" outlineLevel="0" collapsed="false">
      <c r="A34" s="6" t="s">
        <v>80</v>
      </c>
      <c r="C34" s="51" t="n">
        <f aca="false">-C33*Inputs!$E$46</f>
        <v>-0</v>
      </c>
      <c r="D34" s="51" t="n">
        <f aca="false">-(D33-C33)*Inputs!$E$46</f>
        <v>-0</v>
      </c>
      <c r="E34" s="51" t="n">
        <f aca="false">-(E33-D33)*Inputs!$E$46</f>
        <v>-0</v>
      </c>
      <c r="F34" s="51" t="n">
        <f aca="false">-(F33-E33)*Inputs!$E$46</f>
        <v>-0</v>
      </c>
      <c r="G34" s="51" t="n">
        <f aca="false">-(G33-F33)*Inputs!$E$46</f>
        <v>-0</v>
      </c>
      <c r="H34" s="51" t="n">
        <f aca="false">-(H33-G33)*Inputs!$E$46</f>
        <v>-0</v>
      </c>
      <c r="I34" s="51" t="n">
        <f aca="false">-(I33-H33)*Inputs!$E$46</f>
        <v>-0</v>
      </c>
      <c r="J34" s="51" t="n">
        <f aca="false">-(J33-I33)*Inputs!$E$46</f>
        <v>-0</v>
      </c>
      <c r="K34" s="51" t="n">
        <f aca="false">-(K33-J33)*Inputs!$E$46</f>
        <v>-0</v>
      </c>
      <c r="L34" s="51" t="n">
        <f aca="false">-(L33-K33)*Inputs!$E$46</f>
        <v>-0</v>
      </c>
      <c r="M34" s="51" t="n">
        <f aca="false">-(M33-L33)*Inputs!$E$46</f>
        <v>-0</v>
      </c>
      <c r="N34" s="51" t="n">
        <f aca="false">-(N33-M33)*Inputs!$E$46</f>
        <v>-0</v>
      </c>
      <c r="O34" s="51" t="n">
        <f aca="false">-(O33-N33)*Inputs!$E$46</f>
        <v>-0</v>
      </c>
      <c r="P34" s="51" t="n">
        <f aca="false">-(P33-O33)*Inputs!$E$46</f>
        <v>-0</v>
      </c>
      <c r="Q34" s="51" t="n">
        <f aca="false">-(Q33-P33)*Inputs!$E$46</f>
        <v>-0</v>
      </c>
      <c r="R34" s="51" t="n">
        <f aca="false">-(R33-Q33)*Inputs!$E$46</f>
        <v>-0</v>
      </c>
      <c r="S34" s="51" t="n">
        <f aca="false">-(S33-R33)*Inputs!$E$46</f>
        <v>-0</v>
      </c>
      <c r="T34" s="51" t="n">
        <f aca="false">-(T33-S33)*Inputs!$E$46</f>
        <v>-0</v>
      </c>
      <c r="U34" s="51" t="n">
        <f aca="false">-(U33-T33)*Inputs!$E$46</f>
        <v>-0</v>
      </c>
      <c r="V34" s="51" t="n">
        <f aca="false">-(V33-U33)*Inputs!$E$46</f>
        <v>-0</v>
      </c>
      <c r="W34" s="51" t="n">
        <f aca="false">-(W33-V33)*Inputs!$E$46</f>
        <v>-0</v>
      </c>
      <c r="X34" s="51" t="n">
        <f aca="false">-(X33-W33)*Inputs!$E$46</f>
        <v>-0</v>
      </c>
      <c r="Y34" s="51" t="n">
        <f aca="false">-(Y33-X33)*Inputs!$E$46</f>
        <v>-0</v>
      </c>
      <c r="Z34" s="51" t="n">
        <f aca="false">-(Z33-Y33)*Inputs!$E$46</f>
        <v>-0</v>
      </c>
      <c r="AA34" s="51" t="n">
        <f aca="false">-(AA33-Z33)*Inputs!$E$46</f>
        <v>-0</v>
      </c>
      <c r="AB34" s="51" t="n">
        <f aca="false">-(AB33-AA33)*Inputs!$E$46</f>
        <v>-0</v>
      </c>
      <c r="AC34" s="51" t="n">
        <f aca="false">-(AC33-AB33)*Inputs!$E$46</f>
        <v>-0</v>
      </c>
      <c r="AD34" s="51" t="n">
        <f aca="false">-(AD33-AC33)*Inputs!$E$46</f>
        <v>-0</v>
      </c>
      <c r="AE34" s="51" t="n">
        <f aca="false">-(AE33-AD33)*Inputs!$E$46</f>
        <v>-0</v>
      </c>
      <c r="AF34" s="51" t="n">
        <f aca="false">-(AF33-AE33)*Inputs!$E$46</f>
        <v>-0</v>
      </c>
      <c r="AG34" s="51" t="n">
        <f aca="false">-(AG33-AF33)*Inputs!$E$46</f>
        <v>-0</v>
      </c>
      <c r="AH34" s="51" t="n">
        <f aca="false">-(AH33-AG33)*Inputs!$E$46</f>
        <v>-0</v>
      </c>
      <c r="AI34" s="51" t="n">
        <f aca="false">-(AI33-AH33)*Inputs!$E$46</f>
        <v>-0</v>
      </c>
      <c r="AJ34" s="51" t="n">
        <f aca="false">-(AJ33-AI33)*Inputs!$E$46</f>
        <v>-0</v>
      </c>
      <c r="AK34" s="51" t="n">
        <f aca="false">-(AK33-AJ33)*Inputs!$E$46</f>
        <v>-0</v>
      </c>
      <c r="AL34" s="51" t="n">
        <f aca="false">-(AL33-AK33)*Inputs!$E$46</f>
        <v>-0</v>
      </c>
      <c r="AM34" s="51" t="n">
        <f aca="false">-(AM33-AL33)*Inputs!$E$46</f>
        <v>-0</v>
      </c>
      <c r="AN34" s="51" t="n">
        <f aca="false">-(AN33-AM33)*Inputs!$E$46</f>
        <v>-0</v>
      </c>
      <c r="AO34" s="51" t="n">
        <f aca="false">-(AO33-AN33)*Inputs!$E$46</f>
        <v>-0</v>
      </c>
      <c r="AP34" s="51" t="n">
        <f aca="false">-(AP33-AO33)*Inputs!$E$46</f>
        <v>-0</v>
      </c>
      <c r="AQ34" s="51" t="n">
        <f aca="false">-(AQ33-AP33)*Inputs!$E$46</f>
        <v>-0</v>
      </c>
      <c r="AR34" s="51" t="n">
        <f aca="false">-(AR33-AQ33)*Inputs!$E$46</f>
        <v>-0</v>
      </c>
      <c r="AS34" s="51" t="n">
        <f aca="false">-(AS33-AR33)*Inputs!$E$46</f>
        <v>-0</v>
      </c>
      <c r="AT34" s="51" t="n">
        <f aca="false">-(AT33-AS33)*Inputs!$E$46</f>
        <v>-0</v>
      </c>
      <c r="AU34" s="51" t="n">
        <f aca="false">-(AU33-AT33)*Inputs!$E$46</f>
        <v>-0</v>
      </c>
      <c r="AV34" s="51" t="n">
        <f aca="false">-(AV33-AU33)*Inputs!$E$46</f>
        <v>-0</v>
      </c>
      <c r="AW34" s="51" t="n">
        <f aca="false">-(AW33-AV33)*Inputs!$E$46</f>
        <v>-0</v>
      </c>
      <c r="AX34" s="51" t="n">
        <f aca="false">-(AX33-AW33)*Inputs!$E$46</f>
        <v>-0</v>
      </c>
      <c r="AY34" s="51" t="n">
        <f aca="false">-(AY33-AX33)*Inputs!$E$46</f>
        <v>-0</v>
      </c>
      <c r="AZ34" s="51" t="n">
        <f aca="false">-(AZ33-AY33)*Inputs!$E$46</f>
        <v>-0</v>
      </c>
      <c r="BA34" s="51" t="n">
        <f aca="false">-(BA33-AZ33)*Inputs!$E$46</f>
        <v>-0</v>
      </c>
      <c r="BB34" s="51" t="n">
        <f aca="false">-(BB33-BA33)*Inputs!$E$46</f>
        <v>-0</v>
      </c>
      <c r="BC34" s="51" t="n">
        <f aca="false">-(BC33-BB33)*Inputs!$E$46</f>
        <v>-0</v>
      </c>
      <c r="BD34" s="51" t="n">
        <f aca="false">-(BD33-BC33)*Inputs!$E$46</f>
        <v>-0</v>
      </c>
      <c r="BE34" s="51" t="n">
        <f aca="false">-(BE33-BD33)*Inputs!$E$46</f>
        <v>-0</v>
      </c>
      <c r="BF34" s="51" t="n">
        <f aca="false">-(BF33-BE33)*Inputs!$E$46</f>
        <v>-0</v>
      </c>
      <c r="BG34" s="51" t="n">
        <f aca="false">-(BG33-BF33)*Inputs!$E$46</f>
        <v>-0</v>
      </c>
      <c r="BH34" s="51" t="n">
        <f aca="false">-(BH33-BG33)*Inputs!$E$46</f>
        <v>-0</v>
      </c>
      <c r="BI34" s="51" t="n">
        <f aca="false">-(BI33-BH33)*Inputs!$E$46</f>
        <v>-20.8678888313591</v>
      </c>
      <c r="BJ34" s="51" t="n">
        <f aca="false">-(BJ33-BI33)*Inputs!$E$46</f>
        <v>-181.984928982286</v>
      </c>
    </row>
    <row r="35" customFormat="false" ht="15" hidden="false" customHeight="false" outlineLevel="0" collapsed="false">
      <c r="A35" s="96" t="s">
        <v>49</v>
      </c>
      <c r="C35" s="52" t="n">
        <f aca="false">C31+C34</f>
        <v>-795.097736625515</v>
      </c>
      <c r="D35" s="52" t="n">
        <f aca="false">D31+D34</f>
        <v>-790.121854193122</v>
      </c>
      <c r="E35" s="52" t="n">
        <f aca="false">E31+E34</f>
        <v>-785.114142949681</v>
      </c>
      <c r="F35" s="52" t="n">
        <f aca="false">F31+F34</f>
        <v>-780.07443048913</v>
      </c>
      <c r="G35" s="52" t="n">
        <f aca="false">G31+G34</f>
        <v>-775.002543471544</v>
      </c>
      <c r="H35" s="52" t="n">
        <f aca="false">H31+H34</f>
        <v>-769.898307618073</v>
      </c>
      <c r="I35" s="52" t="n">
        <f aca="false">I31+I34</f>
        <v>-764.761547705854</v>
      </c>
      <c r="J35" s="52" t="n">
        <f aca="false">J31+J34</f>
        <v>-759.592087562905</v>
      </c>
      <c r="K35" s="52" t="n">
        <f aca="false">K31+K34</f>
        <v>-754.389750062974</v>
      </c>
      <c r="L35" s="52" t="n">
        <f aca="false">L31+L34</f>
        <v>-749.154357120377</v>
      </c>
      <c r="M35" s="52" t="n">
        <f aca="false">M31+M34</f>
        <v>-743.8857296848</v>
      </c>
      <c r="N35" s="52" t="n">
        <f aca="false">N31+N34</f>
        <v>-738.583687736074</v>
      </c>
      <c r="O35" s="52" t="n">
        <f aca="false">O31+O34</f>
        <v>-419.925056451759</v>
      </c>
      <c r="P35" s="52" t="n">
        <f aca="false">P31+P34</f>
        <v>-414.582647683344</v>
      </c>
      <c r="Q35" s="52" t="n">
        <f aca="false">Q31+Q34</f>
        <v>-409.206278469456</v>
      </c>
      <c r="R35" s="52" t="n">
        <f aca="false">R31+R34</f>
        <v>-403.795764857683</v>
      </c>
      <c r="S35" s="52" t="n">
        <f aca="false">S31+S34</f>
        <v>-398.350921899203</v>
      </c>
      <c r="T35" s="52" t="n">
        <f aca="false">T31+T34</f>
        <v>-392.871563643385</v>
      </c>
      <c r="U35" s="52" t="n">
        <f aca="false">U31+U34</f>
        <v>-387.357503132375</v>
      </c>
      <c r="V35" s="52" t="n">
        <f aca="false">V31+V34</f>
        <v>-381.808552395621</v>
      </c>
      <c r="W35" s="52" t="n">
        <f aca="false">W31+W34</f>
        <v>-376.224522444397</v>
      </c>
      <c r="X35" s="52" t="n">
        <f aca="false">X31+X34</f>
        <v>-370.605223266295</v>
      </c>
      <c r="Y35" s="52" t="n">
        <f aca="false">Y31+Y34</f>
        <v>-364.950463819669</v>
      </c>
      <c r="Z35" s="52" t="n">
        <f aca="false">Z31+Z34</f>
        <v>-359.260052028061</v>
      </c>
      <c r="AA35" s="52" t="n">
        <f aca="false">AA31+AA34</f>
        <v>-30.8111111326316</v>
      </c>
      <c r="AB35" s="52" t="n">
        <f aca="false">AB31+AB34</f>
        <v>-25.076630612436</v>
      </c>
      <c r="AC35" s="52" t="n">
        <f aca="false">AC31+AC34</f>
        <v>-19.3059152528394</v>
      </c>
      <c r="AD35" s="52" t="n">
        <f aca="false">AD31+AD34</f>
        <v>-13.4987687817975</v>
      </c>
      <c r="AE35" s="52" t="n">
        <f aca="false">AE31+AE34</f>
        <v>-7.65499386412012</v>
      </c>
      <c r="AF35" s="52" t="n">
        <f aca="false">AF31+AF34</f>
        <v>-1.77439209572185</v>
      </c>
      <c r="AG35" s="52" t="n">
        <f aca="false">AG31+AG34</f>
        <v>4.14323600216994</v>
      </c>
      <c r="AH35" s="52" t="n">
        <f aca="false">AH31+AH34</f>
        <v>10.0980909888422</v>
      </c>
      <c r="AI35" s="52" t="n">
        <f aca="false">AI31+AI34</f>
        <v>16.0903745099413</v>
      </c>
      <c r="AJ35" s="52" t="n">
        <f aca="false">AJ31+AJ34</f>
        <v>22.1202893033624</v>
      </c>
      <c r="AK35" s="52" t="n">
        <f aca="false">AK31+AK34</f>
        <v>28.1880392051635</v>
      </c>
      <c r="AL35" s="52" t="n">
        <f aca="false">AL31+AL34</f>
        <v>34.2938291555147</v>
      </c>
      <c r="AM35" s="52" t="n">
        <f aca="false">AM31+AM34</f>
        <v>372.842229355915</v>
      </c>
      <c r="AN35" s="52" t="n">
        <f aca="false">AN31+AN34</f>
        <v>378.996067821496</v>
      </c>
      <c r="AO35" s="52" t="n">
        <f aca="false">AO31+AO34</f>
        <v>385.188567840782</v>
      </c>
      <c r="AP35" s="52" t="n">
        <f aca="false">AP31+AP34</f>
        <v>391.419938830517</v>
      </c>
      <c r="AQ35" s="52" t="n">
        <f aca="false">AQ31+AQ34</f>
        <v>397.690391341794</v>
      </c>
      <c r="AR35" s="52" t="n">
        <f aca="false">AR31+AR34</f>
        <v>404.000137066188</v>
      </c>
      <c r="AS35" s="52" t="n">
        <f aca="false">AS31+AS34</f>
        <v>410.349388841934</v>
      </c>
      <c r="AT35" s="52" t="n">
        <f aca="false">AT31+AT34</f>
        <v>416.738360660146</v>
      </c>
      <c r="AU35" s="52" t="n">
        <f aca="false">AU31+AU34</f>
        <v>423.167267671054</v>
      </c>
      <c r="AV35" s="52" t="n">
        <f aca="false">AV31+AV34</f>
        <v>429.636326190284</v>
      </c>
      <c r="AW35" s="52" t="n">
        <f aca="false">AW31+AW34</f>
        <v>436.145753705176</v>
      </c>
      <c r="AX35" s="52" t="n">
        <f aca="false">AX31+AX34</f>
        <v>442.695768881117</v>
      </c>
      <c r="AY35" s="52" t="n">
        <f aca="false">AY31+AY34</f>
        <v>791.663086643718</v>
      </c>
      <c r="AZ35" s="52" t="n">
        <f aca="false">AZ31+AZ34</f>
        <v>798.265427507883</v>
      </c>
      <c r="BA35" s="52" t="n">
        <f aca="false">BA31+BA34</f>
        <v>804.909019161602</v>
      </c>
      <c r="BB35" s="52" t="n">
        <f aca="false">BB31+BB34</f>
        <v>811.594085046652</v>
      </c>
      <c r="BC35" s="52" t="n">
        <f aca="false">BC31+BC34</f>
        <v>818.32084981512</v>
      </c>
      <c r="BD35" s="52" t="n">
        <f aca="false">BD31+BD34</f>
        <v>825.089539335959</v>
      </c>
      <c r="BE35" s="52" t="n">
        <f aca="false">BE31+BE34</f>
        <v>831.900380701574</v>
      </c>
      <c r="BF35" s="52" t="n">
        <f aca="false">BF31+BF34</f>
        <v>838.753602234462</v>
      </c>
      <c r="BG35" s="52" t="n">
        <f aca="false">BG31+BG34</f>
        <v>845.64943349386</v>
      </c>
      <c r="BH35" s="52" t="n">
        <f aca="false">BH31+BH34</f>
        <v>852.588105282454</v>
      </c>
      <c r="BI35" s="52" t="n">
        <f aca="false">BI31+BI34</f>
        <v>838.70196082175</v>
      </c>
      <c r="BJ35" s="52" t="n">
        <f aca="false">BJ31+BJ34</f>
        <v>684.609970933361</v>
      </c>
    </row>
    <row r="37" customFormat="false" ht="15.75" hidden="false" customHeight="true" outlineLevel="0" collapsed="false">
      <c r="A37" s="7" t="s">
        <v>396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customFormat="false" ht="15" hidden="false" customHeight="false" outlineLevel="0" collapsed="false">
      <c r="A38" s="6" t="s">
        <v>397</v>
      </c>
      <c r="C38" s="51" t="n">
        <f aca="false">IF(C$4=1,Inputs!$E$7*(1+Inputs!$E$9),0)</f>
        <v>1905500</v>
      </c>
      <c r="D38" s="51" t="n">
        <f aca="false">IF(D$4=1,Inputs!$E$7*(1+Inputs!$E$9),0)</f>
        <v>0</v>
      </c>
      <c r="E38" s="51" t="n">
        <f aca="false">IF(E$4=1,Inputs!$E$7*(1+Inputs!$E$9),0)</f>
        <v>0</v>
      </c>
      <c r="F38" s="51" t="n">
        <f aca="false">IF(F$4=1,Inputs!$E$7*(1+Inputs!$E$9),0)</f>
        <v>0</v>
      </c>
      <c r="G38" s="51" t="n">
        <f aca="false">IF(G$4=1,Inputs!$E$7*(1+Inputs!$E$9),0)</f>
        <v>0</v>
      </c>
      <c r="H38" s="51" t="n">
        <f aca="false">IF(H$4=1,Inputs!$E$7*(1+Inputs!$E$9),0)</f>
        <v>0</v>
      </c>
      <c r="I38" s="51" t="n">
        <f aca="false">IF(I$4=1,Inputs!$E$7*(1+Inputs!$E$9),0)</f>
        <v>0</v>
      </c>
      <c r="J38" s="51" t="n">
        <f aca="false">IF(J$4=1,Inputs!$E$7*(1+Inputs!$E$9),0)</f>
        <v>0</v>
      </c>
      <c r="K38" s="51" t="n">
        <f aca="false">IF(K$4=1,Inputs!$E$7*(1+Inputs!$E$9),0)</f>
        <v>0</v>
      </c>
      <c r="L38" s="51" t="n">
        <f aca="false">IF(L$4=1,Inputs!$E$7*(1+Inputs!$E$9),0)</f>
        <v>0</v>
      </c>
      <c r="M38" s="51" t="n">
        <f aca="false">IF(M$4=1,Inputs!$E$7*(1+Inputs!$E$9),0)</f>
        <v>0</v>
      </c>
      <c r="N38" s="51" t="n">
        <f aca="false">IF(N$4=1,Inputs!$E$7*(1+Inputs!$E$9),0)</f>
        <v>0</v>
      </c>
      <c r="O38" s="51" t="n">
        <f aca="false">IF(O$4=1,Inputs!$E$7*(1+Inputs!$E$9),0)</f>
        <v>0</v>
      </c>
      <c r="P38" s="51" t="n">
        <f aca="false">IF(P$4=1,Inputs!$E$7*(1+Inputs!$E$9),0)</f>
        <v>0</v>
      </c>
      <c r="Q38" s="51" t="n">
        <f aca="false">IF(Q$4=1,Inputs!$E$7*(1+Inputs!$E$9),0)</f>
        <v>0</v>
      </c>
      <c r="R38" s="51" t="n">
        <f aca="false">IF(R$4=1,Inputs!$E$7*(1+Inputs!$E$9),0)</f>
        <v>0</v>
      </c>
      <c r="S38" s="51" t="n">
        <f aca="false">IF(S$4=1,Inputs!$E$7*(1+Inputs!$E$9),0)</f>
        <v>0</v>
      </c>
      <c r="T38" s="51" t="n">
        <f aca="false">IF(T$4=1,Inputs!$E$7*(1+Inputs!$E$9),0)</f>
        <v>0</v>
      </c>
      <c r="U38" s="51" t="n">
        <f aca="false">IF(U$4=1,Inputs!$E$7*(1+Inputs!$E$9),0)</f>
        <v>0</v>
      </c>
      <c r="V38" s="51" t="n">
        <f aca="false">IF(V$4=1,Inputs!$E$7*(1+Inputs!$E$9),0)</f>
        <v>0</v>
      </c>
      <c r="W38" s="51" t="n">
        <f aca="false">IF(W$4=1,Inputs!$E$7*(1+Inputs!$E$9),0)</f>
        <v>0</v>
      </c>
      <c r="X38" s="51" t="n">
        <f aca="false">IF(X$4=1,Inputs!$E$7*(1+Inputs!$E$9),0)</f>
        <v>0</v>
      </c>
      <c r="Y38" s="51" t="n">
        <f aca="false">IF(Y$4=1,Inputs!$E$7*(1+Inputs!$E$9),0)</f>
        <v>0</v>
      </c>
      <c r="Z38" s="51" t="n">
        <f aca="false">IF(Z$4=1,Inputs!$E$7*(1+Inputs!$E$9),0)</f>
        <v>0</v>
      </c>
      <c r="AA38" s="51" t="n">
        <f aca="false">IF(AA$4=1,Inputs!$E$7*(1+Inputs!$E$9),0)</f>
        <v>0</v>
      </c>
      <c r="AB38" s="51" t="n">
        <f aca="false">IF(AB$4=1,Inputs!$E$7*(1+Inputs!$E$9),0)</f>
        <v>0</v>
      </c>
      <c r="AC38" s="51" t="n">
        <f aca="false">IF(AC$4=1,Inputs!$E$7*(1+Inputs!$E$9),0)</f>
        <v>0</v>
      </c>
      <c r="AD38" s="51" t="n">
        <f aca="false">IF(AD$4=1,Inputs!$E$7*(1+Inputs!$E$9),0)</f>
        <v>0</v>
      </c>
      <c r="AE38" s="51" t="n">
        <f aca="false">IF(AE$4=1,Inputs!$E$7*(1+Inputs!$E$9),0)</f>
        <v>0</v>
      </c>
      <c r="AF38" s="51" t="n">
        <f aca="false">IF(AF$4=1,Inputs!$E$7*(1+Inputs!$E$9),0)</f>
        <v>0</v>
      </c>
      <c r="AG38" s="51" t="n">
        <f aca="false">IF(AG$4=1,Inputs!$E$7*(1+Inputs!$E$9),0)</f>
        <v>0</v>
      </c>
      <c r="AH38" s="51" t="n">
        <f aca="false">IF(AH$4=1,Inputs!$E$7*(1+Inputs!$E$9),0)</f>
        <v>0</v>
      </c>
      <c r="AI38" s="51" t="n">
        <f aca="false">IF(AI$4=1,Inputs!$E$7*(1+Inputs!$E$9),0)</f>
        <v>0</v>
      </c>
      <c r="AJ38" s="51" t="n">
        <f aca="false">IF(AJ$4=1,Inputs!$E$7*(1+Inputs!$E$9),0)</f>
        <v>0</v>
      </c>
      <c r="AK38" s="51" t="n">
        <f aca="false">IF(AK$4=1,Inputs!$E$7*(1+Inputs!$E$9),0)</f>
        <v>0</v>
      </c>
      <c r="AL38" s="51" t="n">
        <f aca="false">IF(AL$4=1,Inputs!$E$7*(1+Inputs!$E$9),0)</f>
        <v>0</v>
      </c>
      <c r="AM38" s="51" t="n">
        <f aca="false">IF(AM$4=1,Inputs!$E$7*(1+Inputs!$E$9),0)</f>
        <v>0</v>
      </c>
      <c r="AN38" s="51" t="n">
        <f aca="false">IF(AN$4=1,Inputs!$E$7*(1+Inputs!$E$9),0)</f>
        <v>0</v>
      </c>
      <c r="AO38" s="51" t="n">
        <f aca="false">IF(AO$4=1,Inputs!$E$7*(1+Inputs!$E$9),0)</f>
        <v>0</v>
      </c>
      <c r="AP38" s="51" t="n">
        <f aca="false">IF(AP$4=1,Inputs!$E$7*(1+Inputs!$E$9),0)</f>
        <v>0</v>
      </c>
      <c r="AQ38" s="51" t="n">
        <f aca="false">IF(AQ$4=1,Inputs!$E$7*(1+Inputs!$E$9),0)</f>
        <v>0</v>
      </c>
      <c r="AR38" s="51" t="n">
        <f aca="false">IF(AR$4=1,Inputs!$E$7*(1+Inputs!$E$9),0)</f>
        <v>0</v>
      </c>
      <c r="AS38" s="51" t="n">
        <f aca="false">IF(AS$4=1,Inputs!$E$7*(1+Inputs!$E$9),0)</f>
        <v>0</v>
      </c>
      <c r="AT38" s="51" t="n">
        <f aca="false">IF(AT$4=1,Inputs!$E$7*(1+Inputs!$E$9),0)</f>
        <v>0</v>
      </c>
      <c r="AU38" s="51" t="n">
        <f aca="false">IF(AU$4=1,Inputs!$E$7*(1+Inputs!$E$9),0)</f>
        <v>0</v>
      </c>
      <c r="AV38" s="51" t="n">
        <f aca="false">IF(AV$4=1,Inputs!$E$7*(1+Inputs!$E$9),0)</f>
        <v>0</v>
      </c>
      <c r="AW38" s="51" t="n">
        <f aca="false">IF(AW$4=1,Inputs!$E$7*(1+Inputs!$E$9),0)</f>
        <v>0</v>
      </c>
      <c r="AX38" s="51" t="n">
        <f aca="false">IF(AX$4=1,Inputs!$E$7*(1+Inputs!$E$9),0)</f>
        <v>0</v>
      </c>
      <c r="AY38" s="51" t="n">
        <f aca="false">IF(AY$4=1,Inputs!$E$7*(1+Inputs!$E$9),0)</f>
        <v>0</v>
      </c>
      <c r="AZ38" s="51" t="n">
        <f aca="false">IF(AZ$4=1,Inputs!$E$7*(1+Inputs!$E$9),0)</f>
        <v>0</v>
      </c>
      <c r="BA38" s="51" t="n">
        <f aca="false">IF(BA$4=1,Inputs!$E$7*(1+Inputs!$E$9),0)</f>
        <v>0</v>
      </c>
      <c r="BB38" s="51" t="n">
        <f aca="false">IF(BB$4=1,Inputs!$E$7*(1+Inputs!$E$9),0)</f>
        <v>0</v>
      </c>
      <c r="BC38" s="51" t="n">
        <f aca="false">IF(BC$4=1,Inputs!$E$7*(1+Inputs!$E$9),0)</f>
        <v>0</v>
      </c>
      <c r="BD38" s="51" t="n">
        <f aca="false">IF(BD$4=1,Inputs!$E$7*(1+Inputs!$E$9),0)</f>
        <v>0</v>
      </c>
      <c r="BE38" s="51" t="n">
        <f aca="false">IF(BE$4=1,Inputs!$E$7*(1+Inputs!$E$9),0)</f>
        <v>0</v>
      </c>
      <c r="BF38" s="51" t="n">
        <f aca="false">IF(BF$4=1,Inputs!$E$7*(1+Inputs!$E$9),0)</f>
        <v>0</v>
      </c>
      <c r="BG38" s="51" t="n">
        <f aca="false">IF(BG$4=1,Inputs!$E$7*(1+Inputs!$E$9),0)</f>
        <v>0</v>
      </c>
      <c r="BH38" s="51" t="n">
        <f aca="false">IF(BH$4=1,Inputs!$E$7*(1+Inputs!$E$9),0)</f>
        <v>0</v>
      </c>
      <c r="BI38" s="51" t="n">
        <f aca="false">IF(BI$4=1,Inputs!$E$7*(1+Inputs!$E$9),0)</f>
        <v>0</v>
      </c>
      <c r="BJ38" s="51" t="n">
        <f aca="false">IF(BJ$4=1,Inputs!$E$7*(1+Inputs!$E$9),0)</f>
        <v>0</v>
      </c>
    </row>
    <row r="39" customFormat="false" ht="15" hidden="false" customHeight="false" outlineLevel="0" collapsed="false">
      <c r="A39" s="6" t="s">
        <v>398</v>
      </c>
      <c r="C39" s="51" t="n">
        <f aca="false">IF(C$4=1,Inputs!$E$7*Inputs!$E$8,0)</f>
        <v>370000</v>
      </c>
      <c r="D39" s="51" t="n">
        <f aca="false">IF(D$4=1,Inputs!$E$7*Inputs!$E$8,0)</f>
        <v>0</v>
      </c>
      <c r="E39" s="51" t="n">
        <f aca="false">IF(E$4=1,Inputs!$E$7*Inputs!$E$8,0)</f>
        <v>0</v>
      </c>
      <c r="F39" s="51" t="n">
        <f aca="false">IF(F$4=1,Inputs!$E$7*Inputs!$E$8,0)</f>
        <v>0</v>
      </c>
      <c r="G39" s="51" t="n">
        <f aca="false">IF(G$4=1,Inputs!$E$7*Inputs!$E$8,0)</f>
        <v>0</v>
      </c>
      <c r="H39" s="51" t="n">
        <f aca="false">IF(H$4=1,Inputs!$E$7*Inputs!$E$8,0)</f>
        <v>0</v>
      </c>
      <c r="I39" s="51" t="n">
        <f aca="false">IF(I$4=1,Inputs!$E$7*Inputs!$E$8,0)</f>
        <v>0</v>
      </c>
      <c r="J39" s="51" t="n">
        <f aca="false">IF(J$4=1,Inputs!$E$7*Inputs!$E$8,0)</f>
        <v>0</v>
      </c>
      <c r="K39" s="51" t="n">
        <f aca="false">IF(K$4=1,Inputs!$E$7*Inputs!$E$8,0)</f>
        <v>0</v>
      </c>
      <c r="L39" s="51" t="n">
        <f aca="false">IF(L$4=1,Inputs!$E$7*Inputs!$E$8,0)</f>
        <v>0</v>
      </c>
      <c r="M39" s="51" t="n">
        <f aca="false">IF(M$4=1,Inputs!$E$7*Inputs!$E$8,0)</f>
        <v>0</v>
      </c>
      <c r="N39" s="51" t="n">
        <f aca="false">IF(N$4=1,Inputs!$E$7*Inputs!$E$8,0)</f>
        <v>0</v>
      </c>
      <c r="O39" s="51" t="n">
        <f aca="false">IF(O$4=1,Inputs!$E$7*Inputs!$E$8,0)</f>
        <v>0</v>
      </c>
      <c r="P39" s="51" t="n">
        <f aca="false">IF(P$4=1,Inputs!$E$7*Inputs!$E$8,0)</f>
        <v>0</v>
      </c>
      <c r="Q39" s="51" t="n">
        <f aca="false">IF(Q$4=1,Inputs!$E$7*Inputs!$E$8,0)</f>
        <v>0</v>
      </c>
      <c r="R39" s="51" t="n">
        <f aca="false">IF(R$4=1,Inputs!$E$7*Inputs!$E$8,0)</f>
        <v>0</v>
      </c>
      <c r="S39" s="51" t="n">
        <f aca="false">IF(S$4=1,Inputs!$E$7*Inputs!$E$8,0)</f>
        <v>0</v>
      </c>
      <c r="T39" s="51" t="n">
        <f aca="false">IF(T$4=1,Inputs!$E$7*Inputs!$E$8,0)</f>
        <v>0</v>
      </c>
      <c r="U39" s="51" t="n">
        <f aca="false">IF(U$4=1,Inputs!$E$7*Inputs!$E$8,0)</f>
        <v>0</v>
      </c>
      <c r="V39" s="51" t="n">
        <f aca="false">IF(V$4=1,Inputs!$E$7*Inputs!$E$8,0)</f>
        <v>0</v>
      </c>
      <c r="W39" s="51" t="n">
        <f aca="false">IF(W$4=1,Inputs!$E$7*Inputs!$E$8,0)</f>
        <v>0</v>
      </c>
      <c r="X39" s="51" t="n">
        <f aca="false">IF(X$4=1,Inputs!$E$7*Inputs!$E$8,0)</f>
        <v>0</v>
      </c>
      <c r="Y39" s="51" t="n">
        <f aca="false">IF(Y$4=1,Inputs!$E$7*Inputs!$E$8,0)</f>
        <v>0</v>
      </c>
      <c r="Z39" s="51" t="n">
        <f aca="false">IF(Z$4=1,Inputs!$E$7*Inputs!$E$8,0)</f>
        <v>0</v>
      </c>
      <c r="AA39" s="51" t="n">
        <f aca="false">IF(AA$4=1,Inputs!$E$7*Inputs!$E$8,0)</f>
        <v>0</v>
      </c>
      <c r="AB39" s="51" t="n">
        <f aca="false">IF(AB$4=1,Inputs!$E$7*Inputs!$E$8,0)</f>
        <v>0</v>
      </c>
      <c r="AC39" s="51" t="n">
        <f aca="false">IF(AC$4=1,Inputs!$E$7*Inputs!$E$8,0)</f>
        <v>0</v>
      </c>
      <c r="AD39" s="51" t="n">
        <f aca="false">IF(AD$4=1,Inputs!$E$7*Inputs!$E$8,0)</f>
        <v>0</v>
      </c>
      <c r="AE39" s="51" t="n">
        <f aca="false">IF(AE$4=1,Inputs!$E$7*Inputs!$E$8,0)</f>
        <v>0</v>
      </c>
      <c r="AF39" s="51" t="n">
        <f aca="false">IF(AF$4=1,Inputs!$E$7*Inputs!$E$8,0)</f>
        <v>0</v>
      </c>
      <c r="AG39" s="51" t="n">
        <f aca="false">IF(AG$4=1,Inputs!$E$7*Inputs!$E$8,0)</f>
        <v>0</v>
      </c>
      <c r="AH39" s="51" t="n">
        <f aca="false">IF(AH$4=1,Inputs!$E$7*Inputs!$E$8,0)</f>
        <v>0</v>
      </c>
      <c r="AI39" s="51" t="n">
        <f aca="false">IF(AI$4=1,Inputs!$E$7*Inputs!$E$8,0)</f>
        <v>0</v>
      </c>
      <c r="AJ39" s="51" t="n">
        <f aca="false">IF(AJ$4=1,Inputs!$E$7*Inputs!$E$8,0)</f>
        <v>0</v>
      </c>
      <c r="AK39" s="51" t="n">
        <f aca="false">IF(AK$4=1,Inputs!$E$7*Inputs!$E$8,0)</f>
        <v>0</v>
      </c>
      <c r="AL39" s="51" t="n">
        <f aca="false">IF(AL$4=1,Inputs!$E$7*Inputs!$E$8,0)</f>
        <v>0</v>
      </c>
      <c r="AM39" s="51" t="n">
        <f aca="false">IF(AM$4=1,Inputs!$E$7*Inputs!$E$8,0)</f>
        <v>0</v>
      </c>
      <c r="AN39" s="51" t="n">
        <f aca="false">IF(AN$4=1,Inputs!$E$7*Inputs!$E$8,0)</f>
        <v>0</v>
      </c>
      <c r="AO39" s="51" t="n">
        <f aca="false">IF(AO$4=1,Inputs!$E$7*Inputs!$E$8,0)</f>
        <v>0</v>
      </c>
      <c r="AP39" s="51" t="n">
        <f aca="false">IF(AP$4=1,Inputs!$E$7*Inputs!$E$8,0)</f>
        <v>0</v>
      </c>
      <c r="AQ39" s="51" t="n">
        <f aca="false">IF(AQ$4=1,Inputs!$E$7*Inputs!$E$8,0)</f>
        <v>0</v>
      </c>
      <c r="AR39" s="51" t="n">
        <f aca="false">IF(AR$4=1,Inputs!$E$7*Inputs!$E$8,0)</f>
        <v>0</v>
      </c>
      <c r="AS39" s="51" t="n">
        <f aca="false">IF(AS$4=1,Inputs!$E$7*Inputs!$E$8,0)</f>
        <v>0</v>
      </c>
      <c r="AT39" s="51" t="n">
        <f aca="false">IF(AT$4=1,Inputs!$E$7*Inputs!$E$8,0)</f>
        <v>0</v>
      </c>
      <c r="AU39" s="51" t="n">
        <f aca="false">IF(AU$4=1,Inputs!$E$7*Inputs!$E$8,0)</f>
        <v>0</v>
      </c>
      <c r="AV39" s="51" t="n">
        <f aca="false">IF(AV$4=1,Inputs!$E$7*Inputs!$E$8,0)</f>
        <v>0</v>
      </c>
      <c r="AW39" s="51" t="n">
        <f aca="false">IF(AW$4=1,Inputs!$E$7*Inputs!$E$8,0)</f>
        <v>0</v>
      </c>
      <c r="AX39" s="51" t="n">
        <f aca="false">IF(AX$4=1,Inputs!$E$7*Inputs!$E$8,0)</f>
        <v>0</v>
      </c>
      <c r="AY39" s="51" t="n">
        <f aca="false">IF(AY$4=1,Inputs!$E$7*Inputs!$E$8,0)</f>
        <v>0</v>
      </c>
      <c r="AZ39" s="51" t="n">
        <f aca="false">IF(AZ$4=1,Inputs!$E$7*Inputs!$E$8,0)</f>
        <v>0</v>
      </c>
      <c r="BA39" s="51" t="n">
        <f aca="false">IF(BA$4=1,Inputs!$E$7*Inputs!$E$8,0)</f>
        <v>0</v>
      </c>
      <c r="BB39" s="51" t="n">
        <f aca="false">IF(BB$4=1,Inputs!$E$7*Inputs!$E$8,0)</f>
        <v>0</v>
      </c>
      <c r="BC39" s="51" t="n">
        <f aca="false">IF(BC$4=1,Inputs!$E$7*Inputs!$E$8,0)</f>
        <v>0</v>
      </c>
      <c r="BD39" s="51" t="n">
        <f aca="false">IF(BD$4=1,Inputs!$E$7*Inputs!$E$8,0)</f>
        <v>0</v>
      </c>
      <c r="BE39" s="51" t="n">
        <f aca="false">IF(BE$4=1,Inputs!$E$7*Inputs!$E$8,0)</f>
        <v>0</v>
      </c>
      <c r="BF39" s="51" t="n">
        <f aca="false">IF(BF$4=1,Inputs!$E$7*Inputs!$E$8,0)</f>
        <v>0</v>
      </c>
      <c r="BG39" s="51" t="n">
        <f aca="false">IF(BG$4=1,Inputs!$E$7*Inputs!$E$8,0)</f>
        <v>0</v>
      </c>
      <c r="BH39" s="51" t="n">
        <f aca="false">IF(BH$4=1,Inputs!$E$7*Inputs!$E$8,0)</f>
        <v>0</v>
      </c>
      <c r="BI39" s="51" t="n">
        <f aca="false">IF(BI$4=1,Inputs!$E$7*Inputs!$E$8,0)</f>
        <v>0</v>
      </c>
      <c r="BJ39" s="51" t="n">
        <f aca="false">IF(BJ$4=1,Inputs!$E$7*Inputs!$E$8,0)</f>
        <v>0</v>
      </c>
    </row>
    <row r="40" customFormat="false" ht="15" hidden="false" customHeight="false" outlineLevel="0" collapsed="false">
      <c r="A40" s="6" t="s">
        <v>399</v>
      </c>
      <c r="C40" s="51" t="n">
        <f aca="false">Inputs!$E$10*Inputs!$E$26/12*(1+Inputs!$E$25)^(C$5-1)*1</f>
        <v>291.666666666667</v>
      </c>
      <c r="D40" s="51" t="n">
        <f aca="false">Inputs!$E$10*Inputs!$E$26/12*(1+Inputs!$E$25)^(D$5-1)*1</f>
        <v>291.666666666667</v>
      </c>
      <c r="E40" s="51" t="n">
        <f aca="false">Inputs!$E$10*Inputs!$E$26/12*(1+Inputs!$E$25)^(E$5-1)*1</f>
        <v>291.666666666667</v>
      </c>
      <c r="F40" s="51" t="n">
        <f aca="false">Inputs!$E$10*Inputs!$E$26/12*(1+Inputs!$E$25)^(F$5-1)*1</f>
        <v>291.666666666667</v>
      </c>
      <c r="G40" s="51" t="n">
        <f aca="false">Inputs!$E$10*Inputs!$E$26/12*(1+Inputs!$E$25)^(G$5-1)*1</f>
        <v>291.666666666667</v>
      </c>
      <c r="H40" s="51" t="n">
        <f aca="false">Inputs!$E$10*Inputs!$E$26/12*(1+Inputs!$E$25)^(H$5-1)*1</f>
        <v>291.666666666667</v>
      </c>
      <c r="I40" s="51" t="n">
        <f aca="false">Inputs!$E$10*Inputs!$E$26/12*(1+Inputs!$E$25)^(I$5-1)*1</f>
        <v>291.666666666667</v>
      </c>
      <c r="J40" s="51" t="n">
        <f aca="false">Inputs!$E$10*Inputs!$E$26/12*(1+Inputs!$E$25)^(J$5-1)*1</f>
        <v>291.666666666667</v>
      </c>
      <c r="K40" s="51" t="n">
        <f aca="false">Inputs!$E$10*Inputs!$E$26/12*(1+Inputs!$E$25)^(K$5-1)*1</f>
        <v>291.666666666667</v>
      </c>
      <c r="L40" s="51" t="n">
        <f aca="false">Inputs!$E$10*Inputs!$E$26/12*(1+Inputs!$E$25)^(L$5-1)*1</f>
        <v>291.666666666667</v>
      </c>
      <c r="M40" s="51" t="n">
        <f aca="false">Inputs!$E$10*Inputs!$E$26/12*(1+Inputs!$E$25)^(M$5-1)*1</f>
        <v>291.666666666667</v>
      </c>
      <c r="N40" s="51" t="n">
        <f aca="false">Inputs!$E$10*Inputs!$E$26/12*(1+Inputs!$E$25)^(N$5-1)*1</f>
        <v>291.666666666667</v>
      </c>
      <c r="O40" s="51" t="n">
        <f aca="false">Inputs!$E$10*Inputs!$E$26/12*(1+Inputs!$E$25)^(O$5-1)*1</f>
        <v>300.416666666667</v>
      </c>
      <c r="P40" s="51" t="n">
        <f aca="false">Inputs!$E$10*Inputs!$E$26/12*(1+Inputs!$E$25)^(P$5-1)*1</f>
        <v>300.416666666667</v>
      </c>
      <c r="Q40" s="51" t="n">
        <f aca="false">Inputs!$E$10*Inputs!$E$26/12*(1+Inputs!$E$25)^(Q$5-1)*1</f>
        <v>300.416666666667</v>
      </c>
      <c r="R40" s="51" t="n">
        <f aca="false">Inputs!$E$10*Inputs!$E$26/12*(1+Inputs!$E$25)^(R$5-1)*1</f>
        <v>300.416666666667</v>
      </c>
      <c r="S40" s="51" t="n">
        <f aca="false">Inputs!$E$10*Inputs!$E$26/12*(1+Inputs!$E$25)^(S$5-1)*1</f>
        <v>300.416666666667</v>
      </c>
      <c r="T40" s="51" t="n">
        <f aca="false">Inputs!$E$10*Inputs!$E$26/12*(1+Inputs!$E$25)^(T$5-1)*1</f>
        <v>300.416666666667</v>
      </c>
      <c r="U40" s="51" t="n">
        <f aca="false">Inputs!$E$10*Inputs!$E$26/12*(1+Inputs!$E$25)^(U$5-1)*1</f>
        <v>300.416666666667</v>
      </c>
      <c r="V40" s="51" t="n">
        <f aca="false">Inputs!$E$10*Inputs!$E$26/12*(1+Inputs!$E$25)^(V$5-1)*1</f>
        <v>300.416666666667</v>
      </c>
      <c r="W40" s="51" t="n">
        <f aca="false">Inputs!$E$10*Inputs!$E$26/12*(1+Inputs!$E$25)^(W$5-1)*1</f>
        <v>300.416666666667</v>
      </c>
      <c r="X40" s="51" t="n">
        <f aca="false">Inputs!$E$10*Inputs!$E$26/12*(1+Inputs!$E$25)^(X$5-1)*1</f>
        <v>300.416666666667</v>
      </c>
      <c r="Y40" s="51" t="n">
        <f aca="false">Inputs!$E$10*Inputs!$E$26/12*(1+Inputs!$E$25)^(Y$5-1)*1</f>
        <v>300.416666666667</v>
      </c>
      <c r="Z40" s="51" t="n">
        <f aca="false">Inputs!$E$10*Inputs!$E$26/12*(1+Inputs!$E$25)^(Z$5-1)*1</f>
        <v>300.416666666667</v>
      </c>
      <c r="AA40" s="51" t="n">
        <f aca="false">Inputs!$E$10*Inputs!$E$26/12*(1+Inputs!$E$25)^(AA$5-1)*1</f>
        <v>309.429166666667</v>
      </c>
      <c r="AB40" s="51" t="n">
        <f aca="false">Inputs!$E$10*Inputs!$E$26/12*(1+Inputs!$E$25)^(AB$5-1)*1</f>
        <v>309.429166666667</v>
      </c>
      <c r="AC40" s="51" t="n">
        <f aca="false">Inputs!$E$10*Inputs!$E$26/12*(1+Inputs!$E$25)^(AC$5-1)*1</f>
        <v>309.429166666667</v>
      </c>
      <c r="AD40" s="51" t="n">
        <f aca="false">Inputs!$E$10*Inputs!$E$26/12*(1+Inputs!$E$25)^(AD$5-1)*1</f>
        <v>309.429166666667</v>
      </c>
      <c r="AE40" s="51" t="n">
        <f aca="false">Inputs!$E$10*Inputs!$E$26/12*(1+Inputs!$E$25)^(AE$5-1)*1</f>
        <v>309.429166666667</v>
      </c>
      <c r="AF40" s="51" t="n">
        <f aca="false">Inputs!$E$10*Inputs!$E$26/12*(1+Inputs!$E$25)^(AF$5-1)*1</f>
        <v>309.429166666667</v>
      </c>
      <c r="AG40" s="51" t="n">
        <f aca="false">Inputs!$E$10*Inputs!$E$26/12*(1+Inputs!$E$25)^(AG$5-1)*1</f>
        <v>309.429166666667</v>
      </c>
      <c r="AH40" s="51" t="n">
        <f aca="false">Inputs!$E$10*Inputs!$E$26/12*(1+Inputs!$E$25)^(AH$5-1)*1</f>
        <v>309.429166666667</v>
      </c>
      <c r="AI40" s="51" t="n">
        <f aca="false">Inputs!$E$10*Inputs!$E$26/12*(1+Inputs!$E$25)^(AI$5-1)*1</f>
        <v>309.429166666667</v>
      </c>
      <c r="AJ40" s="51" t="n">
        <f aca="false">Inputs!$E$10*Inputs!$E$26/12*(1+Inputs!$E$25)^(AJ$5-1)*1</f>
        <v>309.429166666667</v>
      </c>
      <c r="AK40" s="51" t="n">
        <f aca="false">Inputs!$E$10*Inputs!$E$26/12*(1+Inputs!$E$25)^(AK$5-1)*1</f>
        <v>309.429166666667</v>
      </c>
      <c r="AL40" s="51" t="n">
        <f aca="false">Inputs!$E$10*Inputs!$E$26/12*(1+Inputs!$E$25)^(AL$5-1)*1</f>
        <v>309.429166666667</v>
      </c>
      <c r="AM40" s="51" t="n">
        <f aca="false">Inputs!$E$10*Inputs!$E$26/12*(1+Inputs!$E$25)^(AM$5-1)*1</f>
        <v>318.712041666667</v>
      </c>
      <c r="AN40" s="51" t="n">
        <f aca="false">Inputs!$E$10*Inputs!$E$26/12*(1+Inputs!$E$25)^(AN$5-1)*1</f>
        <v>318.712041666667</v>
      </c>
      <c r="AO40" s="51" t="n">
        <f aca="false">Inputs!$E$10*Inputs!$E$26/12*(1+Inputs!$E$25)^(AO$5-1)*1</f>
        <v>318.712041666667</v>
      </c>
      <c r="AP40" s="51" t="n">
        <f aca="false">Inputs!$E$10*Inputs!$E$26/12*(1+Inputs!$E$25)^(AP$5-1)*1</f>
        <v>318.712041666667</v>
      </c>
      <c r="AQ40" s="51" t="n">
        <f aca="false">Inputs!$E$10*Inputs!$E$26/12*(1+Inputs!$E$25)^(AQ$5-1)*1</f>
        <v>318.712041666667</v>
      </c>
      <c r="AR40" s="51" t="n">
        <f aca="false">Inputs!$E$10*Inputs!$E$26/12*(1+Inputs!$E$25)^(AR$5-1)*1</f>
        <v>318.712041666667</v>
      </c>
      <c r="AS40" s="51" t="n">
        <f aca="false">Inputs!$E$10*Inputs!$E$26/12*(1+Inputs!$E$25)^(AS$5-1)*1</f>
        <v>318.712041666667</v>
      </c>
      <c r="AT40" s="51" t="n">
        <f aca="false">Inputs!$E$10*Inputs!$E$26/12*(1+Inputs!$E$25)^(AT$5-1)*1</f>
        <v>318.712041666667</v>
      </c>
      <c r="AU40" s="51" t="n">
        <f aca="false">Inputs!$E$10*Inputs!$E$26/12*(1+Inputs!$E$25)^(AU$5-1)*1</f>
        <v>318.712041666667</v>
      </c>
      <c r="AV40" s="51" t="n">
        <f aca="false">Inputs!$E$10*Inputs!$E$26/12*(1+Inputs!$E$25)^(AV$5-1)*1</f>
        <v>318.712041666667</v>
      </c>
      <c r="AW40" s="51" t="n">
        <f aca="false">Inputs!$E$10*Inputs!$E$26/12*(1+Inputs!$E$25)^(AW$5-1)*1</f>
        <v>318.712041666667</v>
      </c>
      <c r="AX40" s="51" t="n">
        <f aca="false">Inputs!$E$10*Inputs!$E$26/12*(1+Inputs!$E$25)^(AX$5-1)*1</f>
        <v>318.712041666667</v>
      </c>
      <c r="AY40" s="51" t="n">
        <f aca="false">Inputs!$E$10*Inputs!$E$26/12*(1+Inputs!$E$25)^(AY$5-1)*1</f>
        <v>328.273402916667</v>
      </c>
      <c r="AZ40" s="51" t="n">
        <f aca="false">Inputs!$E$10*Inputs!$E$26/12*(1+Inputs!$E$25)^(AZ$5-1)*1</f>
        <v>328.273402916667</v>
      </c>
      <c r="BA40" s="51" t="n">
        <f aca="false">Inputs!$E$10*Inputs!$E$26/12*(1+Inputs!$E$25)^(BA$5-1)*1</f>
        <v>328.273402916667</v>
      </c>
      <c r="BB40" s="51" t="n">
        <f aca="false">Inputs!$E$10*Inputs!$E$26/12*(1+Inputs!$E$25)^(BB$5-1)*1</f>
        <v>328.273402916667</v>
      </c>
      <c r="BC40" s="51" t="n">
        <f aca="false">Inputs!$E$10*Inputs!$E$26/12*(1+Inputs!$E$25)^(BC$5-1)*1</f>
        <v>328.273402916667</v>
      </c>
      <c r="BD40" s="51" t="n">
        <f aca="false">Inputs!$E$10*Inputs!$E$26/12*(1+Inputs!$E$25)^(BD$5-1)*1</f>
        <v>328.273402916667</v>
      </c>
      <c r="BE40" s="51" t="n">
        <f aca="false">Inputs!$E$10*Inputs!$E$26/12*(1+Inputs!$E$25)^(BE$5-1)*1</f>
        <v>328.273402916667</v>
      </c>
      <c r="BF40" s="51" t="n">
        <f aca="false">Inputs!$E$10*Inputs!$E$26/12*(1+Inputs!$E$25)^(BF$5-1)*1</f>
        <v>328.273402916667</v>
      </c>
      <c r="BG40" s="51" t="n">
        <f aca="false">Inputs!$E$10*Inputs!$E$26/12*(1+Inputs!$E$25)^(BG$5-1)*1</f>
        <v>328.273402916667</v>
      </c>
      <c r="BH40" s="51" t="n">
        <f aca="false">Inputs!$E$10*Inputs!$E$26/12*(1+Inputs!$E$25)^(BH$5-1)*1</f>
        <v>328.273402916667</v>
      </c>
      <c r="BI40" s="51" t="n">
        <f aca="false">Inputs!$E$10*Inputs!$E$26/12*(1+Inputs!$E$25)^(BI$5-1)*1</f>
        <v>328.273402916667</v>
      </c>
      <c r="BJ40" s="51" t="n">
        <f aca="false">Inputs!$E$10*Inputs!$E$26/12*(1+Inputs!$E$25)^(BJ$5-1)*1</f>
        <v>328.273402916667</v>
      </c>
    </row>
    <row r="41" customFormat="false" ht="15" hidden="false" customHeight="false" outlineLevel="0" collapsed="false">
      <c r="A41" s="4" t="s">
        <v>82</v>
      </c>
      <c r="C41" s="58" t="n">
        <f aca="false">C38+C40</f>
        <v>1905791.66666667</v>
      </c>
      <c r="D41" s="58" t="n">
        <f aca="false">D38+D40</f>
        <v>291.666666666667</v>
      </c>
      <c r="E41" s="58" t="n">
        <f aca="false">E38+E40</f>
        <v>291.666666666667</v>
      </c>
      <c r="F41" s="58" t="n">
        <f aca="false">F38+F40</f>
        <v>291.666666666667</v>
      </c>
      <c r="G41" s="58" t="n">
        <f aca="false">G38+G40</f>
        <v>291.666666666667</v>
      </c>
      <c r="H41" s="58" t="n">
        <f aca="false">H38+H40</f>
        <v>291.666666666667</v>
      </c>
      <c r="I41" s="58" t="n">
        <f aca="false">I38+I40</f>
        <v>291.666666666667</v>
      </c>
      <c r="J41" s="58" t="n">
        <f aca="false">J38+J40</f>
        <v>291.666666666667</v>
      </c>
      <c r="K41" s="58" t="n">
        <f aca="false">K38+K40</f>
        <v>291.666666666667</v>
      </c>
      <c r="L41" s="58" t="n">
        <f aca="false">L38+L40</f>
        <v>291.666666666667</v>
      </c>
      <c r="M41" s="58" t="n">
        <f aca="false">M38+M40</f>
        <v>291.666666666667</v>
      </c>
      <c r="N41" s="58" t="n">
        <f aca="false">N38+N40</f>
        <v>291.666666666667</v>
      </c>
      <c r="O41" s="58" t="n">
        <f aca="false">O38+O40</f>
        <v>300.416666666667</v>
      </c>
      <c r="P41" s="58" t="n">
        <f aca="false">P38+P40</f>
        <v>300.416666666667</v>
      </c>
      <c r="Q41" s="58" t="n">
        <f aca="false">Q38+Q40</f>
        <v>300.416666666667</v>
      </c>
      <c r="R41" s="58" t="n">
        <f aca="false">R38+R40</f>
        <v>300.416666666667</v>
      </c>
      <c r="S41" s="58" t="n">
        <f aca="false">S38+S40</f>
        <v>300.416666666667</v>
      </c>
      <c r="T41" s="58" t="n">
        <f aca="false">T38+T40</f>
        <v>300.416666666667</v>
      </c>
      <c r="U41" s="58" t="n">
        <f aca="false">U38+U40</f>
        <v>300.416666666667</v>
      </c>
      <c r="V41" s="58" t="n">
        <f aca="false">V38+V40</f>
        <v>300.416666666667</v>
      </c>
      <c r="W41" s="58" t="n">
        <f aca="false">W38+W40</f>
        <v>300.416666666667</v>
      </c>
      <c r="X41" s="58" t="n">
        <f aca="false">X38+X40</f>
        <v>300.416666666667</v>
      </c>
      <c r="Y41" s="58" t="n">
        <f aca="false">Y38+Y40</f>
        <v>300.416666666667</v>
      </c>
      <c r="Z41" s="58" t="n">
        <f aca="false">Z38+Z40</f>
        <v>300.416666666667</v>
      </c>
      <c r="AA41" s="58" t="n">
        <f aca="false">AA38+AA40</f>
        <v>309.429166666667</v>
      </c>
      <c r="AB41" s="58" t="n">
        <f aca="false">AB38+AB40</f>
        <v>309.429166666667</v>
      </c>
      <c r="AC41" s="58" t="n">
        <f aca="false">AC38+AC40</f>
        <v>309.429166666667</v>
      </c>
      <c r="AD41" s="58" t="n">
        <f aca="false">AD38+AD40</f>
        <v>309.429166666667</v>
      </c>
      <c r="AE41" s="58" t="n">
        <f aca="false">AE38+AE40</f>
        <v>309.429166666667</v>
      </c>
      <c r="AF41" s="58" t="n">
        <f aca="false">AF38+AF40</f>
        <v>309.429166666667</v>
      </c>
      <c r="AG41" s="58" t="n">
        <f aca="false">AG38+AG40</f>
        <v>309.429166666667</v>
      </c>
      <c r="AH41" s="58" t="n">
        <f aca="false">AH38+AH40</f>
        <v>309.429166666667</v>
      </c>
      <c r="AI41" s="58" t="n">
        <f aca="false">AI38+AI40</f>
        <v>309.429166666667</v>
      </c>
      <c r="AJ41" s="58" t="n">
        <f aca="false">AJ38+AJ40</f>
        <v>309.429166666667</v>
      </c>
      <c r="AK41" s="58" t="n">
        <f aca="false">AK38+AK40</f>
        <v>309.429166666667</v>
      </c>
      <c r="AL41" s="58" t="n">
        <f aca="false">AL38+AL40</f>
        <v>309.429166666667</v>
      </c>
      <c r="AM41" s="58" t="n">
        <f aca="false">AM38+AM40</f>
        <v>318.712041666667</v>
      </c>
      <c r="AN41" s="58" t="n">
        <f aca="false">AN38+AN40</f>
        <v>318.712041666667</v>
      </c>
      <c r="AO41" s="58" t="n">
        <f aca="false">AO38+AO40</f>
        <v>318.712041666667</v>
      </c>
      <c r="AP41" s="58" t="n">
        <f aca="false">AP38+AP40</f>
        <v>318.712041666667</v>
      </c>
      <c r="AQ41" s="58" t="n">
        <f aca="false">AQ38+AQ40</f>
        <v>318.712041666667</v>
      </c>
      <c r="AR41" s="58" t="n">
        <f aca="false">AR38+AR40</f>
        <v>318.712041666667</v>
      </c>
      <c r="AS41" s="58" t="n">
        <f aca="false">AS38+AS40</f>
        <v>318.712041666667</v>
      </c>
      <c r="AT41" s="58" t="n">
        <f aca="false">AT38+AT40</f>
        <v>318.712041666667</v>
      </c>
      <c r="AU41" s="58" t="n">
        <f aca="false">AU38+AU40</f>
        <v>318.712041666667</v>
      </c>
      <c r="AV41" s="58" t="n">
        <f aca="false">AV38+AV40</f>
        <v>318.712041666667</v>
      </c>
      <c r="AW41" s="58" t="n">
        <f aca="false">AW38+AW40</f>
        <v>318.712041666667</v>
      </c>
      <c r="AX41" s="58" t="n">
        <f aca="false">AX38+AX40</f>
        <v>318.712041666667</v>
      </c>
      <c r="AY41" s="58" t="n">
        <f aca="false">AY38+AY40</f>
        <v>328.273402916667</v>
      </c>
      <c r="AZ41" s="58" t="n">
        <f aca="false">AZ38+AZ40</f>
        <v>328.273402916667</v>
      </c>
      <c r="BA41" s="58" t="n">
        <f aca="false">BA38+BA40</f>
        <v>328.273402916667</v>
      </c>
      <c r="BB41" s="58" t="n">
        <f aca="false">BB38+BB40</f>
        <v>328.273402916667</v>
      </c>
      <c r="BC41" s="58" t="n">
        <f aca="false">BC38+BC40</f>
        <v>328.273402916667</v>
      </c>
      <c r="BD41" s="58" t="n">
        <f aca="false">BD38+BD40</f>
        <v>328.273402916667</v>
      </c>
      <c r="BE41" s="58" t="n">
        <f aca="false">BE38+BE40</f>
        <v>328.273402916667</v>
      </c>
      <c r="BF41" s="58" t="n">
        <f aca="false">BF38+BF40</f>
        <v>328.273402916667</v>
      </c>
      <c r="BG41" s="58" t="n">
        <f aca="false">BG38+BG40</f>
        <v>328.273402916667</v>
      </c>
      <c r="BH41" s="58" t="n">
        <f aca="false">BH38+BH40</f>
        <v>328.273402916667</v>
      </c>
      <c r="BI41" s="58" t="n">
        <f aca="false">BI38+BI40</f>
        <v>328.273402916667</v>
      </c>
      <c r="BJ41" s="58" t="n">
        <f aca="false">BJ38+BJ40</f>
        <v>328.273402916667</v>
      </c>
    </row>
    <row r="42" customFormat="false" ht="15" hidden="false" customHeight="false" outlineLevel="0" collapsed="false">
      <c r="A42" s="6" t="s">
        <v>400</v>
      </c>
      <c r="C42" s="51" t="n">
        <f aca="false">C41</f>
        <v>1905791.66666667</v>
      </c>
      <c r="D42" s="51" t="n">
        <f aca="false">C42+D41</f>
        <v>1906083.33333333</v>
      </c>
      <c r="E42" s="51" t="n">
        <f aca="false">D42+E41</f>
        <v>1906375</v>
      </c>
      <c r="F42" s="51" t="n">
        <f aca="false">E42+F41</f>
        <v>1906666.66666667</v>
      </c>
      <c r="G42" s="51" t="n">
        <f aca="false">F42+G41</f>
        <v>1906958.33333333</v>
      </c>
      <c r="H42" s="51" t="n">
        <f aca="false">G42+H41</f>
        <v>1907250</v>
      </c>
      <c r="I42" s="51" t="n">
        <f aca="false">H42+I41</f>
        <v>1907541.66666667</v>
      </c>
      <c r="J42" s="51" t="n">
        <f aca="false">I42+J41</f>
        <v>1907833.33333333</v>
      </c>
      <c r="K42" s="51" t="n">
        <f aca="false">J42+K41</f>
        <v>1908125</v>
      </c>
      <c r="L42" s="51" t="n">
        <f aca="false">K42+L41</f>
        <v>1908416.66666667</v>
      </c>
      <c r="M42" s="51" t="n">
        <f aca="false">L42+M41</f>
        <v>1908708.33333333</v>
      </c>
      <c r="N42" s="51" t="n">
        <f aca="false">M42+N41</f>
        <v>1909000</v>
      </c>
      <c r="O42" s="51" t="n">
        <f aca="false">N42+O41</f>
        <v>1909300.41666667</v>
      </c>
      <c r="P42" s="51" t="n">
        <f aca="false">O42+P41</f>
        <v>1909600.83333333</v>
      </c>
      <c r="Q42" s="51" t="n">
        <f aca="false">P42+Q41</f>
        <v>1909901.25</v>
      </c>
      <c r="R42" s="51" t="n">
        <f aca="false">Q42+R41</f>
        <v>1910201.66666667</v>
      </c>
      <c r="S42" s="51" t="n">
        <f aca="false">R42+S41</f>
        <v>1910502.08333333</v>
      </c>
      <c r="T42" s="51" t="n">
        <f aca="false">S42+T41</f>
        <v>1910802.5</v>
      </c>
      <c r="U42" s="51" t="n">
        <f aca="false">T42+U41</f>
        <v>1911102.91666667</v>
      </c>
      <c r="V42" s="51" t="n">
        <f aca="false">U42+V41</f>
        <v>1911403.33333334</v>
      </c>
      <c r="W42" s="51" t="n">
        <f aca="false">V42+W41</f>
        <v>1911703.75</v>
      </c>
      <c r="X42" s="51" t="n">
        <f aca="false">W42+X41</f>
        <v>1912004.16666667</v>
      </c>
      <c r="Y42" s="51" t="n">
        <f aca="false">X42+Y41</f>
        <v>1912304.58333334</v>
      </c>
      <c r="Z42" s="51" t="n">
        <f aca="false">Y42+Z41</f>
        <v>1912605</v>
      </c>
      <c r="AA42" s="51" t="n">
        <f aca="false">Z42+AA41</f>
        <v>1912914.42916667</v>
      </c>
      <c r="AB42" s="51" t="n">
        <f aca="false">AA42+AB41</f>
        <v>1913223.85833334</v>
      </c>
      <c r="AC42" s="51" t="n">
        <f aca="false">AB42+AC41</f>
        <v>1913533.2875</v>
      </c>
      <c r="AD42" s="51" t="n">
        <f aca="false">AC42+AD41</f>
        <v>1913842.71666667</v>
      </c>
      <c r="AE42" s="51" t="n">
        <f aca="false">AD42+AE41</f>
        <v>1914152.14583334</v>
      </c>
      <c r="AF42" s="51" t="n">
        <f aca="false">AE42+AF41</f>
        <v>1914461.575</v>
      </c>
      <c r="AG42" s="51" t="n">
        <f aca="false">AF42+AG41</f>
        <v>1914771.00416667</v>
      </c>
      <c r="AH42" s="51" t="n">
        <f aca="false">AG42+AH41</f>
        <v>1915080.43333334</v>
      </c>
      <c r="AI42" s="51" t="n">
        <f aca="false">AH42+AI41</f>
        <v>1915389.8625</v>
      </c>
      <c r="AJ42" s="51" t="n">
        <f aca="false">AI42+AJ41</f>
        <v>1915699.29166667</v>
      </c>
      <c r="AK42" s="51" t="n">
        <f aca="false">AJ42+AK41</f>
        <v>1916008.72083334</v>
      </c>
      <c r="AL42" s="51" t="n">
        <f aca="false">AK42+AL41</f>
        <v>1916318.15</v>
      </c>
      <c r="AM42" s="51" t="n">
        <f aca="false">AL42+AM41</f>
        <v>1916636.86204167</v>
      </c>
      <c r="AN42" s="51" t="n">
        <f aca="false">AM42+AN41</f>
        <v>1916955.57408334</v>
      </c>
      <c r="AO42" s="51" t="n">
        <f aca="false">AN42+AO41</f>
        <v>1917274.286125</v>
      </c>
      <c r="AP42" s="51" t="n">
        <f aca="false">AO42+AP41</f>
        <v>1917592.99816667</v>
      </c>
      <c r="AQ42" s="51" t="n">
        <f aca="false">AP42+AQ41</f>
        <v>1917911.71020834</v>
      </c>
      <c r="AR42" s="51" t="n">
        <f aca="false">AQ42+AR41</f>
        <v>1918230.42225</v>
      </c>
      <c r="AS42" s="51" t="n">
        <f aca="false">AR42+AS41</f>
        <v>1918549.13429167</v>
      </c>
      <c r="AT42" s="51" t="n">
        <f aca="false">AS42+AT41</f>
        <v>1918867.84633334</v>
      </c>
      <c r="AU42" s="51" t="n">
        <f aca="false">AT42+AU41</f>
        <v>1919186.558375</v>
      </c>
      <c r="AV42" s="51" t="n">
        <f aca="false">AU42+AV41</f>
        <v>1919505.27041667</v>
      </c>
      <c r="AW42" s="51" t="n">
        <f aca="false">AV42+AW41</f>
        <v>1919823.98245834</v>
      </c>
      <c r="AX42" s="51" t="n">
        <f aca="false">AW42+AX41</f>
        <v>1920142.6945</v>
      </c>
      <c r="AY42" s="51" t="n">
        <f aca="false">AX42+AY41</f>
        <v>1920470.96790292</v>
      </c>
      <c r="AZ42" s="51" t="n">
        <f aca="false">AY42+AZ41</f>
        <v>1920799.24130584</v>
      </c>
      <c r="BA42" s="51" t="n">
        <f aca="false">AZ42+BA41</f>
        <v>1921127.51470875</v>
      </c>
      <c r="BB42" s="51" t="n">
        <f aca="false">BA42+BB41</f>
        <v>1921455.78811167</v>
      </c>
      <c r="BC42" s="51" t="n">
        <f aca="false">BB42+BC41</f>
        <v>1921784.06151459</v>
      </c>
      <c r="BD42" s="51" t="n">
        <f aca="false">BC42+BD41</f>
        <v>1922112.3349175</v>
      </c>
      <c r="BE42" s="51" t="n">
        <f aca="false">BD42+BE41</f>
        <v>1922440.60832042</v>
      </c>
      <c r="BF42" s="51" t="n">
        <f aca="false">BE42+BF41</f>
        <v>1922768.88172334</v>
      </c>
      <c r="BG42" s="51" t="n">
        <f aca="false">BF42+BG41</f>
        <v>1923097.15512625</v>
      </c>
      <c r="BH42" s="51" t="n">
        <f aca="false">BG42+BH41</f>
        <v>1923425.42852917</v>
      </c>
      <c r="BI42" s="51" t="n">
        <f aca="false">BH42+BI41</f>
        <v>1923753.70193209</v>
      </c>
      <c r="BJ42" s="51" t="n">
        <f aca="false">BI42+BJ41</f>
        <v>1924081.975335</v>
      </c>
    </row>
    <row r="43" customFormat="false" ht="15" hidden="false" customHeight="false" outlineLevel="0" collapsed="false">
      <c r="A43" s="6" t="s">
        <v>401</v>
      </c>
      <c r="C43" s="51" t="n">
        <f aca="false">C39</f>
        <v>370000</v>
      </c>
      <c r="D43" s="51" t="n">
        <f aca="false">C43+D39</f>
        <v>370000</v>
      </c>
      <c r="E43" s="51" t="n">
        <f aca="false">D43+E39</f>
        <v>370000</v>
      </c>
      <c r="F43" s="51" t="n">
        <f aca="false">E43+F39</f>
        <v>370000</v>
      </c>
      <c r="G43" s="51" t="n">
        <f aca="false">F43+G39</f>
        <v>370000</v>
      </c>
      <c r="H43" s="51" t="n">
        <f aca="false">G43+H39</f>
        <v>370000</v>
      </c>
      <c r="I43" s="51" t="n">
        <f aca="false">H43+I39</f>
        <v>370000</v>
      </c>
      <c r="J43" s="51" t="n">
        <f aca="false">I43+J39</f>
        <v>370000</v>
      </c>
      <c r="K43" s="51" t="n">
        <f aca="false">J43+K39</f>
        <v>370000</v>
      </c>
      <c r="L43" s="51" t="n">
        <f aca="false">K43+L39</f>
        <v>370000</v>
      </c>
      <c r="M43" s="51" t="n">
        <f aca="false">L43+M39</f>
        <v>370000</v>
      </c>
      <c r="N43" s="51" t="n">
        <f aca="false">M43+N39</f>
        <v>370000</v>
      </c>
      <c r="O43" s="51" t="n">
        <f aca="false">N43+O39</f>
        <v>370000</v>
      </c>
      <c r="P43" s="51" t="n">
        <f aca="false">O43+P39</f>
        <v>370000</v>
      </c>
      <c r="Q43" s="51" t="n">
        <f aca="false">P43+Q39</f>
        <v>370000</v>
      </c>
      <c r="R43" s="51" t="n">
        <f aca="false">Q43+R39</f>
        <v>370000</v>
      </c>
      <c r="S43" s="51" t="n">
        <f aca="false">R43+S39</f>
        <v>370000</v>
      </c>
      <c r="T43" s="51" t="n">
        <f aca="false">S43+T39</f>
        <v>370000</v>
      </c>
      <c r="U43" s="51" t="n">
        <f aca="false">T43+U39</f>
        <v>370000</v>
      </c>
      <c r="V43" s="51" t="n">
        <f aca="false">U43+V39</f>
        <v>370000</v>
      </c>
      <c r="W43" s="51" t="n">
        <f aca="false">V43+W39</f>
        <v>370000</v>
      </c>
      <c r="X43" s="51" t="n">
        <f aca="false">W43+X39</f>
        <v>370000</v>
      </c>
      <c r="Y43" s="51" t="n">
        <f aca="false">X43+Y39</f>
        <v>370000</v>
      </c>
      <c r="Z43" s="51" t="n">
        <f aca="false">Y43+Z39</f>
        <v>370000</v>
      </c>
      <c r="AA43" s="51" t="n">
        <f aca="false">Z43+AA39</f>
        <v>370000</v>
      </c>
      <c r="AB43" s="51" t="n">
        <f aca="false">AA43+AB39</f>
        <v>370000</v>
      </c>
      <c r="AC43" s="51" t="n">
        <f aca="false">AB43+AC39</f>
        <v>370000</v>
      </c>
      <c r="AD43" s="51" t="n">
        <f aca="false">AC43+AD39</f>
        <v>370000</v>
      </c>
      <c r="AE43" s="51" t="n">
        <f aca="false">AD43+AE39</f>
        <v>370000</v>
      </c>
      <c r="AF43" s="51" t="n">
        <f aca="false">AE43+AF39</f>
        <v>370000</v>
      </c>
      <c r="AG43" s="51" t="n">
        <f aca="false">AF43+AG39</f>
        <v>370000</v>
      </c>
      <c r="AH43" s="51" t="n">
        <f aca="false">AG43+AH39</f>
        <v>370000</v>
      </c>
      <c r="AI43" s="51" t="n">
        <f aca="false">AH43+AI39</f>
        <v>370000</v>
      </c>
      <c r="AJ43" s="51" t="n">
        <f aca="false">AI43+AJ39</f>
        <v>370000</v>
      </c>
      <c r="AK43" s="51" t="n">
        <f aca="false">AJ43+AK39</f>
        <v>370000</v>
      </c>
      <c r="AL43" s="51" t="n">
        <f aca="false">AK43+AL39</f>
        <v>370000</v>
      </c>
      <c r="AM43" s="51" t="n">
        <f aca="false">AL43+AM39</f>
        <v>370000</v>
      </c>
      <c r="AN43" s="51" t="n">
        <f aca="false">AM43+AN39</f>
        <v>370000</v>
      </c>
      <c r="AO43" s="51" t="n">
        <f aca="false">AN43+AO39</f>
        <v>370000</v>
      </c>
      <c r="AP43" s="51" t="n">
        <f aca="false">AO43+AP39</f>
        <v>370000</v>
      </c>
      <c r="AQ43" s="51" t="n">
        <f aca="false">AP43+AQ39</f>
        <v>370000</v>
      </c>
      <c r="AR43" s="51" t="n">
        <f aca="false">AQ43+AR39</f>
        <v>370000</v>
      </c>
      <c r="AS43" s="51" t="n">
        <f aca="false">AR43+AS39</f>
        <v>370000</v>
      </c>
      <c r="AT43" s="51" t="n">
        <f aca="false">AS43+AT39</f>
        <v>370000</v>
      </c>
      <c r="AU43" s="51" t="n">
        <f aca="false">AT43+AU39</f>
        <v>370000</v>
      </c>
      <c r="AV43" s="51" t="n">
        <f aca="false">AU43+AV39</f>
        <v>370000</v>
      </c>
      <c r="AW43" s="51" t="n">
        <f aca="false">AV43+AW39</f>
        <v>370000</v>
      </c>
      <c r="AX43" s="51" t="n">
        <f aca="false">AW43+AX39</f>
        <v>370000</v>
      </c>
      <c r="AY43" s="51" t="n">
        <f aca="false">AX43+AY39</f>
        <v>370000</v>
      </c>
      <c r="AZ43" s="51" t="n">
        <f aca="false">AY43+AZ39</f>
        <v>370000</v>
      </c>
      <c r="BA43" s="51" t="n">
        <f aca="false">AZ43+BA39</f>
        <v>370000</v>
      </c>
      <c r="BB43" s="51" t="n">
        <f aca="false">BA43+BB39</f>
        <v>370000</v>
      </c>
      <c r="BC43" s="51" t="n">
        <f aca="false">BB43+BC39</f>
        <v>370000</v>
      </c>
      <c r="BD43" s="51" t="n">
        <f aca="false">BC43+BD39</f>
        <v>370000</v>
      </c>
      <c r="BE43" s="51" t="n">
        <f aca="false">BD43+BE39</f>
        <v>370000</v>
      </c>
      <c r="BF43" s="51" t="n">
        <f aca="false">BE43+BF39</f>
        <v>370000</v>
      </c>
      <c r="BG43" s="51" t="n">
        <f aca="false">BF43+BG39</f>
        <v>370000</v>
      </c>
      <c r="BH43" s="51" t="n">
        <f aca="false">BG43+BH39</f>
        <v>370000</v>
      </c>
      <c r="BI43" s="51" t="n">
        <f aca="false">BH43+BI39</f>
        <v>370000</v>
      </c>
      <c r="BJ43" s="51" t="n">
        <f aca="false">BI43+BJ39</f>
        <v>370000</v>
      </c>
    </row>
    <row r="44" customFormat="false" ht="15" hidden="false" customHeight="false" outlineLevel="0" collapsed="false">
      <c r="A44" s="6" t="s">
        <v>76</v>
      </c>
      <c r="C44" s="51" t="n">
        <f aca="false">-MIN((C42-C43)/MAX(1,Inputs!$E$45*12),C41-C43)</f>
        <v>-4740.09773662552</v>
      </c>
      <c r="D44" s="51" t="n">
        <f aca="false">-MIN((D42-D43)/MAX(1,Inputs!$E$45*12),C46+D41-D43)</f>
        <v>-4740.99794238683</v>
      </c>
      <c r="E44" s="51" t="n">
        <f aca="false">-MIN((E42-E43)/MAX(1,Inputs!$E$45*12),D46+E41-E43)</f>
        <v>-4741.89814814815</v>
      </c>
      <c r="F44" s="51" t="n">
        <f aca="false">-MIN((F42-F43)/MAX(1,Inputs!$E$45*12),E46+F41-F43)</f>
        <v>-4742.79835390947</v>
      </c>
      <c r="G44" s="51" t="n">
        <f aca="false">-MIN((G42-G43)/MAX(1,Inputs!$E$45*12),F46+G41-G43)</f>
        <v>-4743.69855967078</v>
      </c>
      <c r="H44" s="51" t="n">
        <f aca="false">-MIN((H42-H43)/MAX(1,Inputs!$E$45*12),G46+H41-H43)</f>
        <v>-4744.5987654321</v>
      </c>
      <c r="I44" s="51" t="n">
        <f aca="false">-MIN((I42-I43)/MAX(1,Inputs!$E$45*12),H46+I41-I43)</f>
        <v>-4745.49897119342</v>
      </c>
      <c r="J44" s="51" t="n">
        <f aca="false">-MIN((J42-J43)/MAX(1,Inputs!$E$45*12),I46+J41-J43)</f>
        <v>-4746.39917695474</v>
      </c>
      <c r="K44" s="51" t="n">
        <f aca="false">-MIN((K42-K43)/MAX(1,Inputs!$E$45*12),J46+K41-K43)</f>
        <v>-4747.29938271605</v>
      </c>
      <c r="L44" s="51" t="n">
        <f aca="false">-MIN((L42-L43)/MAX(1,Inputs!$E$45*12),K46+L41-L43)</f>
        <v>-4748.19958847737</v>
      </c>
      <c r="M44" s="51" t="n">
        <f aca="false">-MIN((M42-M43)/MAX(1,Inputs!$E$45*12),L46+M41-M43)</f>
        <v>-4749.09979423869</v>
      </c>
      <c r="N44" s="51" t="n">
        <f aca="false">-MIN((N42-N43)/MAX(1,Inputs!$E$45*12),M46+N41-N43)</f>
        <v>-4750</v>
      </c>
      <c r="O44" s="51" t="n">
        <f aca="false">-MIN((O42-O43)/MAX(1,Inputs!$E$45*12),N46+O41-O43)</f>
        <v>-4750.92721193416</v>
      </c>
      <c r="P44" s="51" t="n">
        <f aca="false">-MIN((P42-P43)/MAX(1,Inputs!$E$45*12),O46+P41-P43)</f>
        <v>-4751.85442386832</v>
      </c>
      <c r="Q44" s="51" t="n">
        <f aca="false">-MIN((Q42-Q43)/MAX(1,Inputs!$E$45*12),P46+Q41-Q43)</f>
        <v>-4752.78163580247</v>
      </c>
      <c r="R44" s="51" t="n">
        <f aca="false">-MIN((R42-R43)/MAX(1,Inputs!$E$45*12),Q46+R41-R43)</f>
        <v>-4753.70884773663</v>
      </c>
      <c r="S44" s="51" t="n">
        <f aca="false">-MIN((S42-S43)/MAX(1,Inputs!$E$45*12),R46+S41-S43)</f>
        <v>-4754.63605967079</v>
      </c>
      <c r="T44" s="51" t="n">
        <f aca="false">-MIN((T42-T43)/MAX(1,Inputs!$E$45*12),S46+T41-T43)</f>
        <v>-4755.56327160494</v>
      </c>
      <c r="U44" s="51" t="n">
        <f aca="false">-MIN((U42-U43)/MAX(1,Inputs!$E$45*12),T46+U41-U43)</f>
        <v>-4756.4904835391</v>
      </c>
      <c r="V44" s="51" t="n">
        <f aca="false">-MIN((V42-V43)/MAX(1,Inputs!$E$45*12),U46+V41-V43)</f>
        <v>-4757.41769547326</v>
      </c>
      <c r="W44" s="51" t="n">
        <f aca="false">-MIN((W42-W43)/MAX(1,Inputs!$E$45*12),V46+W41-W43)</f>
        <v>-4758.34490740741</v>
      </c>
      <c r="X44" s="51" t="n">
        <f aca="false">-MIN((X42-X43)/MAX(1,Inputs!$E$45*12),W46+X41-X43)</f>
        <v>-4759.27211934157</v>
      </c>
      <c r="Y44" s="51" t="n">
        <f aca="false">-MIN((Y42-Y43)/MAX(1,Inputs!$E$45*12),X46+Y41-Y43)</f>
        <v>-4760.19933127573</v>
      </c>
      <c r="Z44" s="51" t="n">
        <f aca="false">-MIN((Z42-Z43)/MAX(1,Inputs!$E$45*12),Y46+Z41-Z43)</f>
        <v>-4761.12654320988</v>
      </c>
      <c r="AA44" s="51" t="n">
        <f aca="false">-MIN((AA42-AA43)/MAX(1,Inputs!$E$45*12),Z46+AA41-AA43)</f>
        <v>-4762.08157150206</v>
      </c>
      <c r="AB44" s="51" t="n">
        <f aca="false">-MIN((AB42-AB43)/MAX(1,Inputs!$E$45*12),AA46+AB41-AB43)</f>
        <v>-4763.03659979424</v>
      </c>
      <c r="AC44" s="51" t="n">
        <f aca="false">-MIN((AC42-AC43)/MAX(1,Inputs!$E$45*12),AB46+AC41-AC43)</f>
        <v>-4763.99162808643</v>
      </c>
      <c r="AD44" s="51" t="n">
        <f aca="false">-MIN((AD42-AD43)/MAX(1,Inputs!$E$45*12),AC46+AD41-AD43)</f>
        <v>-4764.94665637861</v>
      </c>
      <c r="AE44" s="51" t="n">
        <f aca="false">-MIN((AE42-AE43)/MAX(1,Inputs!$E$45*12),AD46+AE41-AE43)</f>
        <v>-4765.90168467079</v>
      </c>
      <c r="AF44" s="51" t="n">
        <f aca="false">-MIN((AF42-AF43)/MAX(1,Inputs!$E$45*12),AE46+AF41-AF43)</f>
        <v>-4766.85671296297</v>
      </c>
      <c r="AG44" s="51" t="n">
        <f aca="false">-MIN((AG42-AG43)/MAX(1,Inputs!$E$45*12),AF46+AG41-AG43)</f>
        <v>-4767.81174125515</v>
      </c>
      <c r="AH44" s="51" t="n">
        <f aca="false">-MIN((AH42-AH43)/MAX(1,Inputs!$E$45*12),AG46+AH41-AH43)</f>
        <v>-4768.76676954733</v>
      </c>
      <c r="AI44" s="51" t="n">
        <f aca="false">-MIN((AI42-AI43)/MAX(1,Inputs!$E$45*12),AH46+AI41-AI43)</f>
        <v>-4769.72179783951</v>
      </c>
      <c r="AJ44" s="51" t="n">
        <f aca="false">-MIN((AJ42-AJ43)/MAX(1,Inputs!$E$45*12),AI46+AJ41-AJ43)</f>
        <v>-4770.67682613169</v>
      </c>
      <c r="AK44" s="51" t="n">
        <f aca="false">-MIN((AK42-AK43)/MAX(1,Inputs!$E$45*12),AJ46+AK41-AK43)</f>
        <v>-4771.63185442388</v>
      </c>
      <c r="AL44" s="51" t="n">
        <f aca="false">-MIN((AL42-AL43)/MAX(1,Inputs!$E$45*12),AK46+AL41-AL43)</f>
        <v>-4772.58688271606</v>
      </c>
      <c r="AM44" s="51" t="n">
        <f aca="false">-MIN((AM42-AM43)/MAX(1,Inputs!$E$45*12),AL46+AM41-AM43)</f>
        <v>-4773.570561857</v>
      </c>
      <c r="AN44" s="51" t="n">
        <f aca="false">-MIN((AN42-AN43)/MAX(1,Inputs!$E$45*12),AM46+AN41-AN43)</f>
        <v>-4774.55424099795</v>
      </c>
      <c r="AO44" s="51" t="n">
        <f aca="false">-MIN((AO42-AO43)/MAX(1,Inputs!$E$45*12),AN46+AO41-AO43)</f>
        <v>-4775.5379201389</v>
      </c>
      <c r="AP44" s="51" t="n">
        <f aca="false">-MIN((AP42-AP43)/MAX(1,Inputs!$E$45*12),AO46+AP41-AP43)</f>
        <v>-4776.52159927984</v>
      </c>
      <c r="AQ44" s="51" t="n">
        <f aca="false">-MIN((AQ42-AQ43)/MAX(1,Inputs!$E$45*12),AP46+AQ41-AQ43)</f>
        <v>-4777.50527842079</v>
      </c>
      <c r="AR44" s="51" t="n">
        <f aca="false">-MIN((AR42-AR43)/MAX(1,Inputs!$E$45*12),AQ46+AR41-AR43)</f>
        <v>-4778.48895756174</v>
      </c>
      <c r="AS44" s="51" t="n">
        <f aca="false">-MIN((AS42-AS43)/MAX(1,Inputs!$E$45*12),AR46+AS41-AS43)</f>
        <v>-4779.47263670268</v>
      </c>
      <c r="AT44" s="51" t="n">
        <f aca="false">-MIN((AT42-AT43)/MAX(1,Inputs!$E$45*12),AS46+AT41-AT43)</f>
        <v>-4780.45631584363</v>
      </c>
      <c r="AU44" s="51" t="n">
        <f aca="false">-MIN((AU42-AU43)/MAX(1,Inputs!$E$45*12),AT46+AU41-AU43)</f>
        <v>-4781.43999498458</v>
      </c>
      <c r="AV44" s="51" t="n">
        <f aca="false">-MIN((AV42-AV43)/MAX(1,Inputs!$E$45*12),AU46+AV41-AV43)</f>
        <v>-4782.42367412552</v>
      </c>
      <c r="AW44" s="51" t="n">
        <f aca="false">-MIN((AW42-AW43)/MAX(1,Inputs!$E$45*12),AV46+AW41-AW43)</f>
        <v>-4783.40735326647</v>
      </c>
      <c r="AX44" s="51" t="n">
        <f aca="false">-MIN((AX42-AX43)/MAX(1,Inputs!$E$45*12),AW46+AX41-AX43)</f>
        <v>-4784.39103240742</v>
      </c>
      <c r="AY44" s="51" t="n">
        <f aca="false">-MIN((AY42-AY43)/MAX(1,Inputs!$E$45*12),AX46+AY41-AY43)</f>
        <v>-4785.40422192259</v>
      </c>
      <c r="AZ44" s="51" t="n">
        <f aca="false">-MIN((AZ42-AZ43)/MAX(1,Inputs!$E$45*12),AY46+AZ41-AZ43)</f>
        <v>-4786.41741143777</v>
      </c>
      <c r="BA44" s="51" t="n">
        <f aca="false">-MIN((BA42-BA43)/MAX(1,Inputs!$E$45*12),AZ46+BA41-BA43)</f>
        <v>-4787.43060095294</v>
      </c>
      <c r="BB44" s="51" t="n">
        <f aca="false">-MIN((BB42-BB43)/MAX(1,Inputs!$E$45*12),BA46+BB41-BB43)</f>
        <v>-4788.44379046812</v>
      </c>
      <c r="BC44" s="51" t="n">
        <f aca="false">-MIN((BC42-BC43)/MAX(1,Inputs!$E$45*12),BB46+BC41-BC43)</f>
        <v>-4789.45697998329</v>
      </c>
      <c r="BD44" s="51" t="n">
        <f aca="false">-MIN((BD42-BD43)/MAX(1,Inputs!$E$45*12),BC46+BD41-BD43)</f>
        <v>-4790.47016949847</v>
      </c>
      <c r="BE44" s="51" t="n">
        <f aca="false">-MIN((BE42-BE43)/MAX(1,Inputs!$E$45*12),BD46+BE41-BE43)</f>
        <v>-4791.48335901364</v>
      </c>
      <c r="BF44" s="51" t="n">
        <f aca="false">-MIN((BF42-BF43)/MAX(1,Inputs!$E$45*12),BE46+BF41-BF43)</f>
        <v>-4792.49654852882</v>
      </c>
      <c r="BG44" s="51" t="n">
        <f aca="false">-MIN((BG42-BG43)/MAX(1,Inputs!$E$45*12),BF46+BG41-BG43)</f>
        <v>-4793.50973804399</v>
      </c>
      <c r="BH44" s="51" t="n">
        <f aca="false">-MIN((BH42-BH43)/MAX(1,Inputs!$E$45*12),BG46+BH41-BH43)</f>
        <v>-4794.52292755917</v>
      </c>
      <c r="BI44" s="51" t="n">
        <f aca="false">-MIN((BI42-BI43)/MAX(1,Inputs!$E$45*12),BH46+BI41-BI43)</f>
        <v>-4795.53611707434</v>
      </c>
      <c r="BJ44" s="51" t="n">
        <f aca="false">-MIN((BJ42-BJ43)/MAX(1,Inputs!$E$45*12),BI46+BJ41-BJ43)</f>
        <v>-4796.54930658952</v>
      </c>
    </row>
    <row r="45" customFormat="false" ht="15" hidden="false" customHeight="false" outlineLevel="0" collapsed="false">
      <c r="A45" s="6" t="s">
        <v>402</v>
      </c>
      <c r="C45" s="51" t="n">
        <f aca="false">C44</f>
        <v>-4740.09773662552</v>
      </c>
      <c r="D45" s="51" t="n">
        <f aca="false">C45+D44</f>
        <v>-9481.09567901235</v>
      </c>
      <c r="E45" s="51" t="n">
        <f aca="false">D45+E44</f>
        <v>-14222.9938271605</v>
      </c>
      <c r="F45" s="51" t="n">
        <f aca="false">E45+F44</f>
        <v>-18965.79218107</v>
      </c>
      <c r="G45" s="51" t="n">
        <f aca="false">F45+G44</f>
        <v>-23709.4907407407</v>
      </c>
      <c r="H45" s="51" t="n">
        <f aca="false">G45+H44</f>
        <v>-28454.0895061728</v>
      </c>
      <c r="I45" s="51" t="n">
        <f aca="false">H45+I44</f>
        <v>-33199.5884773663</v>
      </c>
      <c r="J45" s="51" t="n">
        <f aca="false">I45+J44</f>
        <v>-37945.987654321</v>
      </c>
      <c r="K45" s="51" t="n">
        <f aca="false">J45+K44</f>
        <v>-42693.2870370371</v>
      </c>
      <c r="L45" s="51" t="n">
        <f aca="false">K45+L44</f>
        <v>-47441.4866255144</v>
      </c>
      <c r="M45" s="51" t="n">
        <f aca="false">L45+M44</f>
        <v>-52190.5864197531</v>
      </c>
      <c r="N45" s="51" t="n">
        <f aca="false">M45+N44</f>
        <v>-56940.5864197531</v>
      </c>
      <c r="O45" s="51" t="n">
        <f aca="false">N45+O44</f>
        <v>-61691.5136316873</v>
      </c>
      <c r="P45" s="51" t="n">
        <f aca="false">O45+P44</f>
        <v>-66443.3680555556</v>
      </c>
      <c r="Q45" s="51" t="n">
        <f aca="false">P45+Q44</f>
        <v>-71196.1496913581</v>
      </c>
      <c r="R45" s="51" t="n">
        <f aca="false">Q45+R44</f>
        <v>-75949.8585390947</v>
      </c>
      <c r="S45" s="51" t="n">
        <f aca="false">R45+S44</f>
        <v>-80704.4945987655</v>
      </c>
      <c r="T45" s="51" t="n">
        <f aca="false">S45+T44</f>
        <v>-85460.0578703704</v>
      </c>
      <c r="U45" s="51" t="n">
        <f aca="false">T45+U44</f>
        <v>-90216.5483539095</v>
      </c>
      <c r="V45" s="51" t="n">
        <f aca="false">U45+V44</f>
        <v>-94973.9660493828</v>
      </c>
      <c r="W45" s="51" t="n">
        <f aca="false">V45+W44</f>
        <v>-99732.3109567902</v>
      </c>
      <c r="X45" s="51" t="n">
        <f aca="false">W45+X44</f>
        <v>-104491.583076132</v>
      </c>
      <c r="Y45" s="51" t="n">
        <f aca="false">X45+Y44</f>
        <v>-109251.782407407</v>
      </c>
      <c r="Z45" s="51" t="n">
        <f aca="false">Y45+Z44</f>
        <v>-114012.908950617</v>
      </c>
      <c r="AA45" s="51" t="n">
        <f aca="false">Z45+AA44</f>
        <v>-118774.990522119</v>
      </c>
      <c r="AB45" s="51" t="n">
        <f aca="false">AA45+AB44</f>
        <v>-123538.027121914</v>
      </c>
      <c r="AC45" s="51" t="n">
        <f aca="false">AB45+AC44</f>
        <v>-128302.01875</v>
      </c>
      <c r="AD45" s="51" t="n">
        <f aca="false">AC45+AD44</f>
        <v>-133066.965406379</v>
      </c>
      <c r="AE45" s="51" t="n">
        <f aca="false">AD45+AE44</f>
        <v>-137832.86709105</v>
      </c>
      <c r="AF45" s="51" t="n">
        <f aca="false">AE45+AF44</f>
        <v>-142599.723804012</v>
      </c>
      <c r="AG45" s="51" t="n">
        <f aca="false">AF45+AG44</f>
        <v>-147367.535545268</v>
      </c>
      <c r="AH45" s="51" t="n">
        <f aca="false">AG45+AH44</f>
        <v>-152136.302314815</v>
      </c>
      <c r="AI45" s="51" t="n">
        <f aca="false">AH45+AI44</f>
        <v>-156906.024112654</v>
      </c>
      <c r="AJ45" s="51" t="n">
        <f aca="false">AI45+AJ44</f>
        <v>-161676.700938786</v>
      </c>
      <c r="AK45" s="51" t="n">
        <f aca="false">AJ45+AK44</f>
        <v>-166448.33279321</v>
      </c>
      <c r="AL45" s="51" t="n">
        <f aca="false">AK45+AL44</f>
        <v>-171220.919675926</v>
      </c>
      <c r="AM45" s="51" t="n">
        <f aca="false">AL45+AM44</f>
        <v>-175994.490237783</v>
      </c>
      <c r="AN45" s="51" t="n">
        <f aca="false">AM45+AN44</f>
        <v>-180769.044478781</v>
      </c>
      <c r="AO45" s="51" t="n">
        <f aca="false">AN45+AO44</f>
        <v>-185544.58239892</v>
      </c>
      <c r="AP45" s="51" t="n">
        <f aca="false">AO45+AP44</f>
        <v>-190321.1039982</v>
      </c>
      <c r="AQ45" s="51" t="n">
        <f aca="false">AP45+AQ44</f>
        <v>-195098.609276621</v>
      </c>
      <c r="AR45" s="51" t="n">
        <f aca="false">AQ45+AR44</f>
        <v>-199877.098234182</v>
      </c>
      <c r="AS45" s="51" t="n">
        <f aca="false">AR45+AS44</f>
        <v>-204656.570870885</v>
      </c>
      <c r="AT45" s="51" t="n">
        <f aca="false">AS45+AT44</f>
        <v>-209437.027186729</v>
      </c>
      <c r="AU45" s="51" t="n">
        <f aca="false">AT45+AU44</f>
        <v>-214218.467181713</v>
      </c>
      <c r="AV45" s="51" t="n">
        <f aca="false">AU45+AV44</f>
        <v>-219000.890855839</v>
      </c>
      <c r="AW45" s="51" t="n">
        <f aca="false">AV45+AW44</f>
        <v>-223784.298209105</v>
      </c>
      <c r="AX45" s="51" t="n">
        <f aca="false">AW45+AX44</f>
        <v>-228568.689241512</v>
      </c>
      <c r="AY45" s="51" t="n">
        <f aca="false">AX45+AY44</f>
        <v>-233354.093463435</v>
      </c>
      <c r="AZ45" s="51" t="n">
        <f aca="false">AY45+AZ44</f>
        <v>-238140.510874873</v>
      </c>
      <c r="BA45" s="51" t="n">
        <f aca="false">AZ45+BA44</f>
        <v>-242927.941475826</v>
      </c>
      <c r="BB45" s="51" t="n">
        <f aca="false">BA45+BB44</f>
        <v>-247716.385266294</v>
      </c>
      <c r="BC45" s="51" t="n">
        <f aca="false">BB45+BC44</f>
        <v>-252505.842246277</v>
      </c>
      <c r="BD45" s="51" t="n">
        <f aca="false">BC45+BD44</f>
        <v>-257296.312415776</v>
      </c>
      <c r="BE45" s="51" t="n">
        <f aca="false">BD45+BE44</f>
        <v>-262087.795774789</v>
      </c>
      <c r="BF45" s="51" t="n">
        <f aca="false">BE45+BF44</f>
        <v>-266880.292323318</v>
      </c>
      <c r="BG45" s="51" t="n">
        <f aca="false">BF45+BG44</f>
        <v>-271673.802061362</v>
      </c>
      <c r="BH45" s="51" t="n">
        <f aca="false">BG45+BH44</f>
        <v>-276468.324988921</v>
      </c>
      <c r="BI45" s="51" t="n">
        <f aca="false">BH45+BI44</f>
        <v>-281263.861105996</v>
      </c>
      <c r="BJ45" s="51" t="n">
        <f aca="false">BI45+BJ44</f>
        <v>-286060.410412585</v>
      </c>
    </row>
    <row r="46" customFormat="false" ht="15" hidden="false" customHeight="false" outlineLevel="0" collapsed="false">
      <c r="A46" s="4" t="s">
        <v>90</v>
      </c>
      <c r="C46" s="58" t="n">
        <f aca="false">C42+C45</f>
        <v>1901051.56893004</v>
      </c>
      <c r="D46" s="58" t="n">
        <f aca="false">D42+D45</f>
        <v>1896602.23765432</v>
      </c>
      <c r="E46" s="58" t="n">
        <f aca="false">E42+E45</f>
        <v>1892152.00617284</v>
      </c>
      <c r="F46" s="58" t="n">
        <f aca="false">F42+F45</f>
        <v>1887700.8744856</v>
      </c>
      <c r="G46" s="58" t="n">
        <f aca="false">G42+G45</f>
        <v>1883248.84259259</v>
      </c>
      <c r="H46" s="58" t="n">
        <f aca="false">H42+H45</f>
        <v>1878795.91049383</v>
      </c>
      <c r="I46" s="58" t="n">
        <f aca="false">I42+I45</f>
        <v>1874342.0781893</v>
      </c>
      <c r="J46" s="58" t="n">
        <f aca="false">J42+J45</f>
        <v>1869887.34567901</v>
      </c>
      <c r="K46" s="58" t="n">
        <f aca="false">K42+K45</f>
        <v>1865431.71296296</v>
      </c>
      <c r="L46" s="58" t="n">
        <f aca="false">L42+L45</f>
        <v>1860975.18004115</v>
      </c>
      <c r="M46" s="58" t="n">
        <f aca="false">M42+M45</f>
        <v>1856517.74691358</v>
      </c>
      <c r="N46" s="58" t="n">
        <f aca="false">N42+N45</f>
        <v>1852059.41358025</v>
      </c>
      <c r="O46" s="58" t="n">
        <f aca="false">O42+O45</f>
        <v>1847608.90303498</v>
      </c>
      <c r="P46" s="58" t="n">
        <f aca="false">P42+P45</f>
        <v>1843157.46527778</v>
      </c>
      <c r="Q46" s="58" t="n">
        <f aca="false">Q42+Q45</f>
        <v>1838705.10030864</v>
      </c>
      <c r="R46" s="58" t="n">
        <f aca="false">R42+R45</f>
        <v>1834251.80812757</v>
      </c>
      <c r="S46" s="58" t="n">
        <f aca="false">S42+S45</f>
        <v>1829797.58873457</v>
      </c>
      <c r="T46" s="58" t="n">
        <f aca="false">T42+T45</f>
        <v>1825342.44212963</v>
      </c>
      <c r="U46" s="58" t="n">
        <f aca="false">U42+U45</f>
        <v>1820886.36831276</v>
      </c>
      <c r="V46" s="58" t="n">
        <f aca="false">V42+V45</f>
        <v>1816429.36728395</v>
      </c>
      <c r="W46" s="58" t="n">
        <f aca="false">W42+W45</f>
        <v>1811971.43904321</v>
      </c>
      <c r="X46" s="58" t="n">
        <f aca="false">X42+X45</f>
        <v>1807512.58359054</v>
      </c>
      <c r="Y46" s="58" t="n">
        <f aca="false">Y42+Y45</f>
        <v>1803052.80092593</v>
      </c>
      <c r="Z46" s="58" t="n">
        <f aca="false">Z42+Z45</f>
        <v>1798592.09104938</v>
      </c>
      <c r="AA46" s="58" t="n">
        <f aca="false">AA42+AA45</f>
        <v>1794139.43864455</v>
      </c>
      <c r="AB46" s="58" t="n">
        <f aca="false">AB42+AB45</f>
        <v>1789685.83121142</v>
      </c>
      <c r="AC46" s="58" t="n">
        <f aca="false">AC42+AC45</f>
        <v>1785231.26875</v>
      </c>
      <c r="AD46" s="58" t="n">
        <f aca="false">AD42+AD45</f>
        <v>1780775.75126029</v>
      </c>
      <c r="AE46" s="58" t="n">
        <f aca="false">AE42+AE45</f>
        <v>1776319.27874229</v>
      </c>
      <c r="AF46" s="58" t="n">
        <f aca="false">AF42+AF45</f>
        <v>1771861.85119599</v>
      </c>
      <c r="AG46" s="58" t="n">
        <f aca="false">AG42+AG45</f>
        <v>1767403.4686214</v>
      </c>
      <c r="AH46" s="58" t="n">
        <f aca="false">AH42+AH45</f>
        <v>1762944.13101852</v>
      </c>
      <c r="AI46" s="58" t="n">
        <f aca="false">AI42+AI45</f>
        <v>1758483.83838735</v>
      </c>
      <c r="AJ46" s="58" t="n">
        <f aca="false">AJ42+AJ45</f>
        <v>1754022.59072788</v>
      </c>
      <c r="AK46" s="58" t="n">
        <f aca="false">AK42+AK45</f>
        <v>1749560.38804013</v>
      </c>
      <c r="AL46" s="58" t="n">
        <f aca="false">AL42+AL45</f>
        <v>1745097.23032408</v>
      </c>
      <c r="AM46" s="58" t="n">
        <f aca="false">AM42+AM45</f>
        <v>1740642.37180389</v>
      </c>
      <c r="AN46" s="58" t="n">
        <f aca="false">AN42+AN45</f>
        <v>1736186.52960455</v>
      </c>
      <c r="AO46" s="58" t="n">
        <f aca="false">AO42+AO45</f>
        <v>1731729.70372608</v>
      </c>
      <c r="AP46" s="58" t="n">
        <f aca="false">AP42+AP45</f>
        <v>1727271.89416847</v>
      </c>
      <c r="AQ46" s="58" t="n">
        <f aca="false">AQ42+AQ45</f>
        <v>1722813.10093172</v>
      </c>
      <c r="AR46" s="58" t="n">
        <f aca="false">AR42+AR45</f>
        <v>1718353.32401582</v>
      </c>
      <c r="AS46" s="58" t="n">
        <f aca="false">AS42+AS45</f>
        <v>1713892.56342078</v>
      </c>
      <c r="AT46" s="58" t="n">
        <f aca="false">AT42+AT45</f>
        <v>1709430.81914661</v>
      </c>
      <c r="AU46" s="58" t="n">
        <f aca="false">AU42+AU45</f>
        <v>1704968.09119329</v>
      </c>
      <c r="AV46" s="58" t="n">
        <f aca="false">AV42+AV45</f>
        <v>1700504.37956083</v>
      </c>
      <c r="AW46" s="58" t="n">
        <f aca="false">AW42+AW45</f>
        <v>1696039.68424923</v>
      </c>
      <c r="AX46" s="58" t="n">
        <f aca="false">AX42+AX45</f>
        <v>1691574.00525849</v>
      </c>
      <c r="AY46" s="58" t="n">
        <f aca="false">AY42+AY45</f>
        <v>1687116.87443948</v>
      </c>
      <c r="AZ46" s="58" t="n">
        <f aca="false">AZ42+AZ45</f>
        <v>1682658.73043096</v>
      </c>
      <c r="BA46" s="58" t="n">
        <f aca="false">BA42+BA45</f>
        <v>1678199.57323293</v>
      </c>
      <c r="BB46" s="58" t="n">
        <f aca="false">BB42+BB45</f>
        <v>1673739.40284538</v>
      </c>
      <c r="BC46" s="58" t="n">
        <f aca="false">BC42+BC45</f>
        <v>1669278.21926831</v>
      </c>
      <c r="BD46" s="58" t="n">
        <f aca="false">BD42+BD45</f>
        <v>1664816.02250173</v>
      </c>
      <c r="BE46" s="58" t="n">
        <f aca="false">BE42+BE45</f>
        <v>1660352.81254563</v>
      </c>
      <c r="BF46" s="58" t="n">
        <f aca="false">BF42+BF45</f>
        <v>1655888.58940002</v>
      </c>
      <c r="BG46" s="58" t="n">
        <f aca="false">BG42+BG45</f>
        <v>1651423.35306489</v>
      </c>
      <c r="BH46" s="58" t="n">
        <f aca="false">BH42+BH45</f>
        <v>1646957.10354025</v>
      </c>
      <c r="BI46" s="58" t="n">
        <f aca="false">BI42+BI45</f>
        <v>1642489.84082609</v>
      </c>
      <c r="BJ46" s="58" t="n">
        <f aca="false">BJ42+BJ45</f>
        <v>1638021.56492242</v>
      </c>
    </row>
    <row r="48" customFormat="false" ht="15.75" hidden="false" customHeight="true" outlineLevel="0" collapsed="false">
      <c r="A48" s="7" t="s">
        <v>403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6" t="s">
        <v>404</v>
      </c>
      <c r="C49" s="51" t="n">
        <f aca="false">0</f>
        <v>0</v>
      </c>
      <c r="D49" s="51" t="n">
        <f aca="false">C54</f>
        <v>1198915.18371808</v>
      </c>
      <c r="E49" s="51" t="n">
        <f aca="false">D54</f>
        <v>1197824.49134798</v>
      </c>
      <c r="F49" s="51" t="n">
        <f aca="false">E54</f>
        <v>1196727.89106086</v>
      </c>
      <c r="G49" s="51" t="n">
        <f aca="false">F54</f>
        <v>1195625.35085553</v>
      </c>
      <c r="H49" s="51" t="n">
        <f aca="false">G54</f>
        <v>1194516.83855741</v>
      </c>
      <c r="I49" s="51" t="n">
        <f aca="false">H54</f>
        <v>1193402.32181768</v>
      </c>
      <c r="J49" s="51" t="n">
        <f aca="false">I54</f>
        <v>1192281.76811228</v>
      </c>
      <c r="K49" s="51" t="n">
        <f aca="false">J54</f>
        <v>1191155.14474097</v>
      </c>
      <c r="L49" s="51" t="n">
        <f aca="false">K54</f>
        <v>1190022.4188264</v>
      </c>
      <c r="M49" s="51" t="n">
        <f aca="false">L54</f>
        <v>1188883.55731313</v>
      </c>
      <c r="N49" s="51" t="n">
        <f aca="false">M54</f>
        <v>1187738.52696666</v>
      </c>
      <c r="O49" s="51" t="n">
        <f aca="false">N54</f>
        <v>1186587.29437248</v>
      </c>
      <c r="P49" s="51" t="n">
        <f aca="false">O54</f>
        <v>1185429.82593508</v>
      </c>
      <c r="Q49" s="51" t="n">
        <f aca="false">P54</f>
        <v>1184266.08787698</v>
      </c>
      <c r="R49" s="51" t="n">
        <f aca="false">Q54</f>
        <v>1183096.04623773</v>
      </c>
      <c r="S49" s="51" t="n">
        <f aca="false">R54</f>
        <v>1181919.66687294</v>
      </c>
      <c r="T49" s="51" t="n">
        <f aca="false">S54</f>
        <v>1180736.91545325</v>
      </c>
      <c r="U49" s="51" t="n">
        <f aca="false">T54</f>
        <v>1179547.75746337</v>
      </c>
      <c r="V49" s="51" t="n">
        <f aca="false">U54</f>
        <v>1178352.15820105</v>
      </c>
      <c r="W49" s="51" t="n">
        <f aca="false">V54</f>
        <v>1177150.08277606</v>
      </c>
      <c r="X49" s="51" t="n">
        <f aca="false">W54</f>
        <v>1175941.49610918</v>
      </c>
      <c r="Y49" s="51" t="n">
        <f aca="false">X54</f>
        <v>1174726.36293119</v>
      </c>
      <c r="Z49" s="51" t="n">
        <f aca="false">Y54</f>
        <v>1173504.64778182</v>
      </c>
      <c r="AA49" s="51" t="n">
        <f aca="false">Z54</f>
        <v>1172276.31500872</v>
      </c>
      <c r="AB49" s="51" t="n">
        <f aca="false">AA54</f>
        <v>1171041.32876644</v>
      </c>
      <c r="AC49" s="51" t="n">
        <f aca="false">AB54</f>
        <v>1169799.65301534</v>
      </c>
      <c r="AD49" s="51" t="n">
        <f aca="false">AC54</f>
        <v>1168551.25152059</v>
      </c>
      <c r="AE49" s="51" t="n">
        <f aca="false">AD54</f>
        <v>1167296.08785108</v>
      </c>
      <c r="AF49" s="51" t="n">
        <f aca="false">AE54</f>
        <v>1166034.12537835</v>
      </c>
      <c r="AG49" s="51" t="n">
        <f aca="false">AF54</f>
        <v>1164765.32727557</v>
      </c>
      <c r="AH49" s="51" t="n">
        <f aca="false">AG54</f>
        <v>1163489.6565164</v>
      </c>
      <c r="AI49" s="51" t="n">
        <f aca="false">AH54</f>
        <v>1162207.07587395</v>
      </c>
      <c r="AJ49" s="51" t="n">
        <f aca="false">AI54</f>
        <v>1160917.54791968</v>
      </c>
      <c r="AK49" s="51" t="n">
        <f aca="false">AJ54</f>
        <v>1159621.03502233</v>
      </c>
      <c r="AL49" s="51" t="n">
        <f aca="false">AK54</f>
        <v>1158317.49934679</v>
      </c>
      <c r="AM49" s="51" t="n">
        <f aca="false">AL54</f>
        <v>1157006.902853</v>
      </c>
      <c r="AN49" s="51" t="n">
        <f aca="false">AM54</f>
        <v>1155689.20729487</v>
      </c>
      <c r="AO49" s="51" t="n">
        <f aca="false">AN54</f>
        <v>1154364.37421914</v>
      </c>
      <c r="AP49" s="51" t="n">
        <f aca="false">AO54</f>
        <v>1153032.36496424</v>
      </c>
      <c r="AQ49" s="51" t="n">
        <f aca="false">AP54</f>
        <v>1151693.14065922</v>
      </c>
      <c r="AR49" s="51" t="n">
        <f aca="false">AQ54</f>
        <v>1150346.66222254</v>
      </c>
      <c r="AS49" s="51" t="n">
        <f aca="false">AR54</f>
        <v>1148992.89036099</v>
      </c>
      <c r="AT49" s="51" t="n">
        <f aca="false">AS54</f>
        <v>1147631.78556853</v>
      </c>
      <c r="AU49" s="51" t="n">
        <f aca="false">AT54</f>
        <v>1146263.30812511</v>
      </c>
      <c r="AV49" s="51" t="n">
        <f aca="false">AU54</f>
        <v>1144887.41809554</v>
      </c>
      <c r="AW49" s="51" t="n">
        <f aca="false">AV54</f>
        <v>1143504.07532831</v>
      </c>
      <c r="AX49" s="51" t="n">
        <f aca="false">AW54</f>
        <v>1142113.23945442</v>
      </c>
      <c r="AY49" s="51" t="n">
        <f aca="false">AX54</f>
        <v>1140714.86988622</v>
      </c>
      <c r="AZ49" s="51" t="n">
        <f aca="false">AY54</f>
        <v>1139308.92581619</v>
      </c>
      <c r="BA49" s="51" t="n">
        <f aca="false">AZ54</f>
        <v>1137895.36621578</v>
      </c>
      <c r="BB49" s="51" t="n">
        <f aca="false">BA54</f>
        <v>1136474.1498342</v>
      </c>
      <c r="BC49" s="51" t="n">
        <f aca="false">BB54</f>
        <v>1135045.23519722</v>
      </c>
      <c r="BD49" s="51" t="n">
        <f aca="false">BC54</f>
        <v>1133608.58060595</v>
      </c>
      <c r="BE49" s="51" t="n">
        <f aca="false">BD54</f>
        <v>1132164.14413565</v>
      </c>
      <c r="BF49" s="51" t="n">
        <f aca="false">BE54</f>
        <v>1130711.88363447</v>
      </c>
      <c r="BG49" s="51" t="n">
        <f aca="false">BF54</f>
        <v>1129251.75672224</v>
      </c>
      <c r="BH49" s="51" t="n">
        <f aca="false">BG54</f>
        <v>1127783.72078924</v>
      </c>
      <c r="BI49" s="51" t="n">
        <f aca="false">BH54</f>
        <v>1126307.73299493</v>
      </c>
      <c r="BJ49" s="51" t="n">
        <f aca="false">BI54</f>
        <v>1124823.75026674</v>
      </c>
    </row>
    <row r="50" customFormat="false" ht="15" hidden="false" customHeight="false" outlineLevel="0" collapsed="false">
      <c r="A50" s="6" t="s">
        <v>83</v>
      </c>
      <c r="C50" s="51" t="n">
        <f aca="false">IF(C$4=1,Inputs!$E$35,0)</f>
        <v>1200000</v>
      </c>
      <c r="D50" s="51" t="n">
        <f aca="false">IF(D$4=1,Inputs!$E$35,0)</f>
        <v>0</v>
      </c>
      <c r="E50" s="51" t="n">
        <f aca="false">IF(E$4=1,Inputs!$E$35,0)</f>
        <v>0</v>
      </c>
      <c r="F50" s="51" t="n">
        <f aca="false">IF(F$4=1,Inputs!$E$35,0)</f>
        <v>0</v>
      </c>
      <c r="G50" s="51" t="n">
        <f aca="false">IF(G$4=1,Inputs!$E$35,0)</f>
        <v>0</v>
      </c>
      <c r="H50" s="51" t="n">
        <f aca="false">IF(H$4=1,Inputs!$E$35,0)</f>
        <v>0</v>
      </c>
      <c r="I50" s="51" t="n">
        <f aca="false">IF(I$4=1,Inputs!$E$35,0)</f>
        <v>0</v>
      </c>
      <c r="J50" s="51" t="n">
        <f aca="false">IF(J$4=1,Inputs!$E$35,0)</f>
        <v>0</v>
      </c>
      <c r="K50" s="51" t="n">
        <f aca="false">IF(K$4=1,Inputs!$E$35,0)</f>
        <v>0</v>
      </c>
      <c r="L50" s="51" t="n">
        <f aca="false">IF(L$4=1,Inputs!$E$35,0)</f>
        <v>0</v>
      </c>
      <c r="M50" s="51" t="n">
        <f aca="false">IF(M$4=1,Inputs!$E$35,0)</f>
        <v>0</v>
      </c>
      <c r="N50" s="51" t="n">
        <f aca="false">IF(N$4=1,Inputs!$E$35,0)</f>
        <v>0</v>
      </c>
      <c r="O50" s="51" t="n">
        <f aca="false">IF(O$4=1,Inputs!$E$35,0)</f>
        <v>0</v>
      </c>
      <c r="P50" s="51" t="n">
        <f aca="false">IF(P$4=1,Inputs!$E$35,0)</f>
        <v>0</v>
      </c>
      <c r="Q50" s="51" t="n">
        <f aca="false">IF(Q$4=1,Inputs!$E$35,0)</f>
        <v>0</v>
      </c>
      <c r="R50" s="51" t="n">
        <f aca="false">IF(R$4=1,Inputs!$E$35,0)</f>
        <v>0</v>
      </c>
      <c r="S50" s="51" t="n">
        <f aca="false">IF(S$4=1,Inputs!$E$35,0)</f>
        <v>0</v>
      </c>
      <c r="T50" s="51" t="n">
        <f aca="false">IF(T$4=1,Inputs!$E$35,0)</f>
        <v>0</v>
      </c>
      <c r="U50" s="51" t="n">
        <f aca="false">IF(U$4=1,Inputs!$E$35,0)</f>
        <v>0</v>
      </c>
      <c r="V50" s="51" t="n">
        <f aca="false">IF(V$4=1,Inputs!$E$35,0)</f>
        <v>0</v>
      </c>
      <c r="W50" s="51" t="n">
        <f aca="false">IF(W$4=1,Inputs!$E$35,0)</f>
        <v>0</v>
      </c>
      <c r="X50" s="51" t="n">
        <f aca="false">IF(X$4=1,Inputs!$E$35,0)</f>
        <v>0</v>
      </c>
      <c r="Y50" s="51" t="n">
        <f aca="false">IF(Y$4=1,Inputs!$E$35,0)</f>
        <v>0</v>
      </c>
      <c r="Z50" s="51" t="n">
        <f aca="false">IF(Z$4=1,Inputs!$E$35,0)</f>
        <v>0</v>
      </c>
      <c r="AA50" s="51" t="n">
        <f aca="false">IF(AA$4=1,Inputs!$E$35,0)</f>
        <v>0</v>
      </c>
      <c r="AB50" s="51" t="n">
        <f aca="false">IF(AB$4=1,Inputs!$E$35,0)</f>
        <v>0</v>
      </c>
      <c r="AC50" s="51" t="n">
        <f aca="false">IF(AC$4=1,Inputs!$E$35,0)</f>
        <v>0</v>
      </c>
      <c r="AD50" s="51" t="n">
        <f aca="false">IF(AD$4=1,Inputs!$E$35,0)</f>
        <v>0</v>
      </c>
      <c r="AE50" s="51" t="n">
        <f aca="false">IF(AE$4=1,Inputs!$E$35,0)</f>
        <v>0</v>
      </c>
      <c r="AF50" s="51" t="n">
        <f aca="false">IF(AF$4=1,Inputs!$E$35,0)</f>
        <v>0</v>
      </c>
      <c r="AG50" s="51" t="n">
        <f aca="false">IF(AG$4=1,Inputs!$E$35,0)</f>
        <v>0</v>
      </c>
      <c r="AH50" s="51" t="n">
        <f aca="false">IF(AH$4=1,Inputs!$E$35,0)</f>
        <v>0</v>
      </c>
      <c r="AI50" s="51" t="n">
        <f aca="false">IF(AI$4=1,Inputs!$E$35,0)</f>
        <v>0</v>
      </c>
      <c r="AJ50" s="51" t="n">
        <f aca="false">IF(AJ$4=1,Inputs!$E$35,0)</f>
        <v>0</v>
      </c>
      <c r="AK50" s="51" t="n">
        <f aca="false">IF(AK$4=1,Inputs!$E$35,0)</f>
        <v>0</v>
      </c>
      <c r="AL50" s="51" t="n">
        <f aca="false">IF(AL$4=1,Inputs!$E$35,0)</f>
        <v>0</v>
      </c>
      <c r="AM50" s="51" t="n">
        <f aca="false">IF(AM$4=1,Inputs!$E$35,0)</f>
        <v>0</v>
      </c>
      <c r="AN50" s="51" t="n">
        <f aca="false">IF(AN$4=1,Inputs!$E$35,0)</f>
        <v>0</v>
      </c>
      <c r="AO50" s="51" t="n">
        <f aca="false">IF(AO$4=1,Inputs!$E$35,0)</f>
        <v>0</v>
      </c>
      <c r="AP50" s="51" t="n">
        <f aca="false">IF(AP$4=1,Inputs!$E$35,0)</f>
        <v>0</v>
      </c>
      <c r="AQ50" s="51" t="n">
        <f aca="false">IF(AQ$4=1,Inputs!$E$35,0)</f>
        <v>0</v>
      </c>
      <c r="AR50" s="51" t="n">
        <f aca="false">IF(AR$4=1,Inputs!$E$35,0)</f>
        <v>0</v>
      </c>
      <c r="AS50" s="51" t="n">
        <f aca="false">IF(AS$4=1,Inputs!$E$35,0)</f>
        <v>0</v>
      </c>
      <c r="AT50" s="51" t="n">
        <f aca="false">IF(AT$4=1,Inputs!$E$35,0)</f>
        <v>0</v>
      </c>
      <c r="AU50" s="51" t="n">
        <f aca="false">IF(AU$4=1,Inputs!$E$35,0)</f>
        <v>0</v>
      </c>
      <c r="AV50" s="51" t="n">
        <f aca="false">IF(AV$4=1,Inputs!$E$35,0)</f>
        <v>0</v>
      </c>
      <c r="AW50" s="51" t="n">
        <f aca="false">IF(AW$4=1,Inputs!$E$35,0)</f>
        <v>0</v>
      </c>
      <c r="AX50" s="51" t="n">
        <f aca="false">IF(AX$4=1,Inputs!$E$35,0)</f>
        <v>0</v>
      </c>
      <c r="AY50" s="51" t="n">
        <f aca="false">IF(AY$4=1,Inputs!$E$35,0)</f>
        <v>0</v>
      </c>
      <c r="AZ50" s="51" t="n">
        <f aca="false">IF(AZ$4=1,Inputs!$E$35,0)</f>
        <v>0</v>
      </c>
      <c r="BA50" s="51" t="n">
        <f aca="false">IF(BA$4=1,Inputs!$E$35,0)</f>
        <v>0</v>
      </c>
      <c r="BB50" s="51" t="n">
        <f aca="false">IF(BB$4=1,Inputs!$E$35,0)</f>
        <v>0</v>
      </c>
      <c r="BC50" s="51" t="n">
        <f aca="false">IF(BC$4=1,Inputs!$E$35,0)</f>
        <v>0</v>
      </c>
      <c r="BD50" s="51" t="n">
        <f aca="false">IF(BD$4=1,Inputs!$E$35,0)</f>
        <v>0</v>
      </c>
      <c r="BE50" s="51" t="n">
        <f aca="false">IF(BE$4=1,Inputs!$E$35,0)</f>
        <v>0</v>
      </c>
      <c r="BF50" s="51" t="n">
        <f aca="false">IF(BF$4=1,Inputs!$E$35,0)</f>
        <v>0</v>
      </c>
      <c r="BG50" s="51" t="n">
        <f aca="false">IF(BG$4=1,Inputs!$E$35,0)</f>
        <v>0</v>
      </c>
      <c r="BH50" s="51" t="n">
        <f aca="false">IF(BH$4=1,Inputs!$E$35,0)</f>
        <v>0</v>
      </c>
      <c r="BI50" s="51" t="n">
        <f aca="false">IF(BI$4=1,Inputs!$E$35,0)</f>
        <v>0</v>
      </c>
      <c r="BJ50" s="51" t="n">
        <f aca="false">IF(BJ$4=1,Inputs!$E$35,0)</f>
        <v>0</v>
      </c>
    </row>
    <row r="51" customFormat="false" ht="15" hidden="false" customHeight="false" outlineLevel="0" collapsed="false">
      <c r="A51" s="6" t="s">
        <v>405</v>
      </c>
      <c r="C51" s="51" t="n">
        <f aca="false">-PMT(Inputs!$E$36/12,MAX(1,Inputs!$E$37*12),Inputs!$E$35)</f>
        <v>7584.81628191557</v>
      </c>
      <c r="D51" s="51" t="n">
        <f aca="false">-PMT(Inputs!$E$36/12,MAX(1,Inputs!$E$37*12),Inputs!$E$35)</f>
        <v>7584.81628191557</v>
      </c>
      <c r="E51" s="51" t="n">
        <f aca="false">-PMT(Inputs!$E$36/12,MAX(1,Inputs!$E$37*12),Inputs!$E$35)</f>
        <v>7584.81628191557</v>
      </c>
      <c r="F51" s="51" t="n">
        <f aca="false">-PMT(Inputs!$E$36/12,MAX(1,Inputs!$E$37*12),Inputs!$E$35)</f>
        <v>7584.81628191557</v>
      </c>
      <c r="G51" s="51" t="n">
        <f aca="false">-PMT(Inputs!$E$36/12,MAX(1,Inputs!$E$37*12),Inputs!$E$35)</f>
        <v>7584.81628191557</v>
      </c>
      <c r="H51" s="51" t="n">
        <f aca="false">-PMT(Inputs!$E$36/12,MAX(1,Inputs!$E$37*12),Inputs!$E$35)</f>
        <v>7584.81628191557</v>
      </c>
      <c r="I51" s="51" t="n">
        <f aca="false">-PMT(Inputs!$E$36/12,MAX(1,Inputs!$E$37*12),Inputs!$E$35)</f>
        <v>7584.81628191557</v>
      </c>
      <c r="J51" s="51" t="n">
        <f aca="false">-PMT(Inputs!$E$36/12,MAX(1,Inputs!$E$37*12),Inputs!$E$35)</f>
        <v>7584.81628191557</v>
      </c>
      <c r="K51" s="51" t="n">
        <f aca="false">-PMT(Inputs!$E$36/12,MAX(1,Inputs!$E$37*12),Inputs!$E$35)</f>
        <v>7584.81628191557</v>
      </c>
      <c r="L51" s="51" t="n">
        <f aca="false">-PMT(Inputs!$E$36/12,MAX(1,Inputs!$E$37*12),Inputs!$E$35)</f>
        <v>7584.81628191557</v>
      </c>
      <c r="M51" s="51" t="n">
        <f aca="false">-PMT(Inputs!$E$36/12,MAX(1,Inputs!$E$37*12),Inputs!$E$35)</f>
        <v>7584.81628191557</v>
      </c>
      <c r="N51" s="51" t="n">
        <f aca="false">-PMT(Inputs!$E$36/12,MAX(1,Inputs!$E$37*12),Inputs!$E$35)</f>
        <v>7584.81628191557</v>
      </c>
      <c r="O51" s="51" t="n">
        <f aca="false">-PMT(Inputs!$E$36/12,MAX(1,Inputs!$E$37*12),Inputs!$E$35)</f>
        <v>7584.81628191557</v>
      </c>
      <c r="P51" s="51" t="n">
        <f aca="false">-PMT(Inputs!$E$36/12,MAX(1,Inputs!$E$37*12),Inputs!$E$35)</f>
        <v>7584.81628191557</v>
      </c>
      <c r="Q51" s="51" t="n">
        <f aca="false">-PMT(Inputs!$E$36/12,MAX(1,Inputs!$E$37*12),Inputs!$E$35)</f>
        <v>7584.81628191557</v>
      </c>
      <c r="R51" s="51" t="n">
        <f aca="false">-PMT(Inputs!$E$36/12,MAX(1,Inputs!$E$37*12),Inputs!$E$35)</f>
        <v>7584.81628191557</v>
      </c>
      <c r="S51" s="51" t="n">
        <f aca="false">-PMT(Inputs!$E$36/12,MAX(1,Inputs!$E$37*12),Inputs!$E$35)</f>
        <v>7584.81628191557</v>
      </c>
      <c r="T51" s="51" t="n">
        <f aca="false">-PMT(Inputs!$E$36/12,MAX(1,Inputs!$E$37*12),Inputs!$E$35)</f>
        <v>7584.81628191557</v>
      </c>
      <c r="U51" s="51" t="n">
        <f aca="false">-PMT(Inputs!$E$36/12,MAX(1,Inputs!$E$37*12),Inputs!$E$35)</f>
        <v>7584.81628191557</v>
      </c>
      <c r="V51" s="51" t="n">
        <f aca="false">-PMT(Inputs!$E$36/12,MAX(1,Inputs!$E$37*12),Inputs!$E$35)</f>
        <v>7584.81628191557</v>
      </c>
      <c r="W51" s="51" t="n">
        <f aca="false">-PMT(Inputs!$E$36/12,MAX(1,Inputs!$E$37*12),Inputs!$E$35)</f>
        <v>7584.81628191557</v>
      </c>
      <c r="X51" s="51" t="n">
        <f aca="false">-PMT(Inputs!$E$36/12,MAX(1,Inputs!$E$37*12),Inputs!$E$35)</f>
        <v>7584.81628191557</v>
      </c>
      <c r="Y51" s="51" t="n">
        <f aca="false">-PMT(Inputs!$E$36/12,MAX(1,Inputs!$E$37*12),Inputs!$E$35)</f>
        <v>7584.81628191557</v>
      </c>
      <c r="Z51" s="51" t="n">
        <f aca="false">-PMT(Inputs!$E$36/12,MAX(1,Inputs!$E$37*12),Inputs!$E$35)</f>
        <v>7584.81628191557</v>
      </c>
      <c r="AA51" s="51" t="n">
        <f aca="false">-PMT(Inputs!$E$36/12,MAX(1,Inputs!$E$37*12),Inputs!$E$35)</f>
        <v>7584.81628191557</v>
      </c>
      <c r="AB51" s="51" t="n">
        <f aca="false">-PMT(Inputs!$E$36/12,MAX(1,Inputs!$E$37*12),Inputs!$E$35)</f>
        <v>7584.81628191557</v>
      </c>
      <c r="AC51" s="51" t="n">
        <f aca="false">-PMT(Inputs!$E$36/12,MAX(1,Inputs!$E$37*12),Inputs!$E$35)</f>
        <v>7584.81628191557</v>
      </c>
      <c r="AD51" s="51" t="n">
        <f aca="false">-PMT(Inputs!$E$36/12,MAX(1,Inputs!$E$37*12),Inputs!$E$35)</f>
        <v>7584.81628191557</v>
      </c>
      <c r="AE51" s="51" t="n">
        <f aca="false">-PMT(Inputs!$E$36/12,MAX(1,Inputs!$E$37*12),Inputs!$E$35)</f>
        <v>7584.81628191557</v>
      </c>
      <c r="AF51" s="51" t="n">
        <f aca="false">-PMT(Inputs!$E$36/12,MAX(1,Inputs!$E$37*12),Inputs!$E$35)</f>
        <v>7584.81628191557</v>
      </c>
      <c r="AG51" s="51" t="n">
        <f aca="false">-PMT(Inputs!$E$36/12,MAX(1,Inputs!$E$37*12),Inputs!$E$35)</f>
        <v>7584.81628191557</v>
      </c>
      <c r="AH51" s="51" t="n">
        <f aca="false">-PMT(Inputs!$E$36/12,MAX(1,Inputs!$E$37*12),Inputs!$E$35)</f>
        <v>7584.81628191557</v>
      </c>
      <c r="AI51" s="51" t="n">
        <f aca="false">-PMT(Inputs!$E$36/12,MAX(1,Inputs!$E$37*12),Inputs!$E$35)</f>
        <v>7584.81628191557</v>
      </c>
      <c r="AJ51" s="51" t="n">
        <f aca="false">-PMT(Inputs!$E$36/12,MAX(1,Inputs!$E$37*12),Inputs!$E$35)</f>
        <v>7584.81628191557</v>
      </c>
      <c r="AK51" s="51" t="n">
        <f aca="false">-PMT(Inputs!$E$36/12,MAX(1,Inputs!$E$37*12),Inputs!$E$35)</f>
        <v>7584.81628191557</v>
      </c>
      <c r="AL51" s="51" t="n">
        <f aca="false">-PMT(Inputs!$E$36/12,MAX(1,Inputs!$E$37*12),Inputs!$E$35)</f>
        <v>7584.81628191557</v>
      </c>
      <c r="AM51" s="51" t="n">
        <f aca="false">-PMT(Inputs!$E$36/12,MAX(1,Inputs!$E$37*12),Inputs!$E$35)</f>
        <v>7584.81628191557</v>
      </c>
      <c r="AN51" s="51" t="n">
        <f aca="false">-PMT(Inputs!$E$36/12,MAX(1,Inputs!$E$37*12),Inputs!$E$35)</f>
        <v>7584.81628191557</v>
      </c>
      <c r="AO51" s="51" t="n">
        <f aca="false">-PMT(Inputs!$E$36/12,MAX(1,Inputs!$E$37*12),Inputs!$E$35)</f>
        <v>7584.81628191557</v>
      </c>
      <c r="AP51" s="51" t="n">
        <f aca="false">-PMT(Inputs!$E$36/12,MAX(1,Inputs!$E$37*12),Inputs!$E$35)</f>
        <v>7584.81628191557</v>
      </c>
      <c r="AQ51" s="51" t="n">
        <f aca="false">-PMT(Inputs!$E$36/12,MAX(1,Inputs!$E$37*12),Inputs!$E$35)</f>
        <v>7584.81628191557</v>
      </c>
      <c r="AR51" s="51" t="n">
        <f aca="false">-PMT(Inputs!$E$36/12,MAX(1,Inputs!$E$37*12),Inputs!$E$35)</f>
        <v>7584.81628191557</v>
      </c>
      <c r="AS51" s="51" t="n">
        <f aca="false">-PMT(Inputs!$E$36/12,MAX(1,Inputs!$E$37*12),Inputs!$E$35)</f>
        <v>7584.81628191557</v>
      </c>
      <c r="AT51" s="51" t="n">
        <f aca="false">-PMT(Inputs!$E$36/12,MAX(1,Inputs!$E$37*12),Inputs!$E$35)</f>
        <v>7584.81628191557</v>
      </c>
      <c r="AU51" s="51" t="n">
        <f aca="false">-PMT(Inputs!$E$36/12,MAX(1,Inputs!$E$37*12),Inputs!$E$35)</f>
        <v>7584.81628191557</v>
      </c>
      <c r="AV51" s="51" t="n">
        <f aca="false">-PMT(Inputs!$E$36/12,MAX(1,Inputs!$E$37*12),Inputs!$E$35)</f>
        <v>7584.81628191557</v>
      </c>
      <c r="AW51" s="51" t="n">
        <f aca="false">-PMT(Inputs!$E$36/12,MAX(1,Inputs!$E$37*12),Inputs!$E$35)</f>
        <v>7584.81628191557</v>
      </c>
      <c r="AX51" s="51" t="n">
        <f aca="false">-PMT(Inputs!$E$36/12,MAX(1,Inputs!$E$37*12),Inputs!$E$35)</f>
        <v>7584.81628191557</v>
      </c>
      <c r="AY51" s="51" t="n">
        <f aca="false">-PMT(Inputs!$E$36/12,MAX(1,Inputs!$E$37*12),Inputs!$E$35)</f>
        <v>7584.81628191557</v>
      </c>
      <c r="AZ51" s="51" t="n">
        <f aca="false">-PMT(Inputs!$E$36/12,MAX(1,Inputs!$E$37*12),Inputs!$E$35)</f>
        <v>7584.81628191557</v>
      </c>
      <c r="BA51" s="51" t="n">
        <f aca="false">-PMT(Inputs!$E$36/12,MAX(1,Inputs!$E$37*12),Inputs!$E$35)</f>
        <v>7584.81628191557</v>
      </c>
      <c r="BB51" s="51" t="n">
        <f aca="false">-PMT(Inputs!$E$36/12,MAX(1,Inputs!$E$37*12),Inputs!$E$35)</f>
        <v>7584.81628191557</v>
      </c>
      <c r="BC51" s="51" t="n">
        <f aca="false">-PMT(Inputs!$E$36/12,MAX(1,Inputs!$E$37*12),Inputs!$E$35)</f>
        <v>7584.81628191557</v>
      </c>
      <c r="BD51" s="51" t="n">
        <f aca="false">-PMT(Inputs!$E$36/12,MAX(1,Inputs!$E$37*12),Inputs!$E$35)</f>
        <v>7584.81628191557</v>
      </c>
      <c r="BE51" s="51" t="n">
        <f aca="false">-PMT(Inputs!$E$36/12,MAX(1,Inputs!$E$37*12),Inputs!$E$35)</f>
        <v>7584.81628191557</v>
      </c>
      <c r="BF51" s="51" t="n">
        <f aca="false">-PMT(Inputs!$E$36/12,MAX(1,Inputs!$E$37*12),Inputs!$E$35)</f>
        <v>7584.81628191557</v>
      </c>
      <c r="BG51" s="51" t="n">
        <f aca="false">-PMT(Inputs!$E$36/12,MAX(1,Inputs!$E$37*12),Inputs!$E$35)</f>
        <v>7584.81628191557</v>
      </c>
      <c r="BH51" s="51" t="n">
        <f aca="false">-PMT(Inputs!$E$36/12,MAX(1,Inputs!$E$37*12),Inputs!$E$35)</f>
        <v>7584.81628191557</v>
      </c>
      <c r="BI51" s="51" t="n">
        <f aca="false">-PMT(Inputs!$E$36/12,MAX(1,Inputs!$E$37*12),Inputs!$E$35)</f>
        <v>7584.81628191557</v>
      </c>
      <c r="BJ51" s="51" t="n">
        <f aca="false">-PMT(Inputs!$E$36/12,MAX(1,Inputs!$E$37*12),Inputs!$E$35)</f>
        <v>7584.81628191557</v>
      </c>
    </row>
    <row r="52" customFormat="false" ht="15" hidden="false" customHeight="false" outlineLevel="0" collapsed="false">
      <c r="A52" s="6" t="s">
        <v>406</v>
      </c>
      <c r="C52" s="51" t="n">
        <f aca="false">-MIN(C49+C50,C51+C30)</f>
        <v>-1084.81628191557</v>
      </c>
      <c r="D52" s="51" t="n">
        <f aca="false">-MIN(D49+D50,D51+D30)</f>
        <v>-1090.69237010927</v>
      </c>
      <c r="E52" s="51" t="n">
        <f aca="false">-MIN(E49+E50,E51+E30)</f>
        <v>-1096.60028711403</v>
      </c>
      <c r="F52" s="51" t="n">
        <f aca="false">-MIN(F49+F50,F51+F30)</f>
        <v>-1102.5402053359</v>
      </c>
      <c r="G52" s="51" t="n">
        <f aca="false">-MIN(G49+G50,G51+G30)</f>
        <v>-1108.5122981148</v>
      </c>
      <c r="H52" s="51" t="n">
        <f aca="false">-MIN(H49+H50,H51+H30)</f>
        <v>-1114.51673972959</v>
      </c>
      <c r="I52" s="51" t="n">
        <f aca="false">-MIN(I49+I50,I51+I30)</f>
        <v>-1120.55370540313</v>
      </c>
      <c r="J52" s="51" t="n">
        <f aca="false">-MIN(J49+J50,J51+J30)</f>
        <v>-1126.62337130739</v>
      </c>
      <c r="K52" s="51" t="n">
        <f aca="false">-MIN(K49+K50,K51+K30)</f>
        <v>-1132.72591456864</v>
      </c>
      <c r="L52" s="51" t="n">
        <f aca="false">-MIN(L49+L50,L51+L30)</f>
        <v>-1138.86151327256</v>
      </c>
      <c r="M52" s="51" t="n">
        <f aca="false">-MIN(M49+M50,M51+M30)</f>
        <v>-1145.03034646945</v>
      </c>
      <c r="N52" s="51" t="n">
        <f aca="false">-MIN(N49+N50,N51+N30)</f>
        <v>-1151.23259417949</v>
      </c>
      <c r="O52" s="51" t="n">
        <f aca="false">-MIN(O49+O50,O51+O30)</f>
        <v>-1157.46843739797</v>
      </c>
      <c r="P52" s="51" t="n">
        <f aca="false">-MIN(P49+P50,P51+P30)</f>
        <v>-1163.73805810054</v>
      </c>
      <c r="Q52" s="51" t="n">
        <f aca="false">-MIN(Q49+Q50,Q51+Q30)</f>
        <v>-1170.04163924858</v>
      </c>
      <c r="R52" s="51" t="n">
        <f aca="false">-MIN(R49+R50,R51+R30)</f>
        <v>-1176.37936479451</v>
      </c>
      <c r="S52" s="51" t="n">
        <f aca="false">-MIN(S49+S50,S51+S30)</f>
        <v>-1182.75141968715</v>
      </c>
      <c r="T52" s="51" t="n">
        <f aca="false">-MIN(T49+T50,T51+T30)</f>
        <v>-1189.15798987712</v>
      </c>
      <c r="U52" s="51" t="n">
        <f aca="false">-MIN(U49+U50,U51+U30)</f>
        <v>-1195.59926232229</v>
      </c>
      <c r="V52" s="51" t="n">
        <f aca="false">-MIN(V49+V50,V51+V30)</f>
        <v>-1202.0754249932</v>
      </c>
      <c r="W52" s="51" t="n">
        <f aca="false">-MIN(W49+W50,W51+W30)</f>
        <v>-1208.58666687858</v>
      </c>
      <c r="X52" s="51" t="n">
        <f aca="false">-MIN(X49+X50,X51+X30)</f>
        <v>-1215.13317799084</v>
      </c>
      <c r="Y52" s="51" t="n">
        <f aca="false">-MIN(Y49+Y50,Y51+Y30)</f>
        <v>-1221.71514937162</v>
      </c>
      <c r="Z52" s="51" t="n">
        <f aca="false">-MIN(Z49+Z50,Z51+Z30)</f>
        <v>-1228.33277309739</v>
      </c>
      <c r="AA52" s="51" t="n">
        <f aca="false">-MIN(AA49+AA50,AA51+AA30)</f>
        <v>-1234.986242285</v>
      </c>
      <c r="AB52" s="51" t="n">
        <f aca="false">-MIN(AB49+AB50,AB51+AB30)</f>
        <v>-1241.67575109737</v>
      </c>
      <c r="AC52" s="51" t="n">
        <f aca="false">-MIN(AC49+AC50,AC51+AC30)</f>
        <v>-1248.40149474915</v>
      </c>
      <c r="AD52" s="51" t="n">
        <f aca="false">-MIN(AD49+AD50,AD51+AD30)</f>
        <v>-1255.16366951237</v>
      </c>
      <c r="AE52" s="51" t="n">
        <f aca="false">-MIN(AE49+AE50,AE51+AE30)</f>
        <v>-1261.96247272223</v>
      </c>
      <c r="AF52" s="51" t="n">
        <f aca="false">-MIN(AF49+AF50,AF51+AF30)</f>
        <v>-1268.79810278281</v>
      </c>
      <c r="AG52" s="51" t="n">
        <f aca="false">-MIN(AG49+AG50,AG51+AG30)</f>
        <v>-1275.67075917288</v>
      </c>
      <c r="AH52" s="51" t="n">
        <f aca="false">-MIN(AH49+AH50,AH51+AH30)</f>
        <v>-1282.58064245174</v>
      </c>
      <c r="AI52" s="51" t="n">
        <f aca="false">-MIN(AI49+AI50,AI51+AI30)</f>
        <v>-1289.52795426502</v>
      </c>
      <c r="AJ52" s="51" t="n">
        <f aca="false">-MIN(AJ49+AJ50,AJ51+AJ30)</f>
        <v>-1296.51289735062</v>
      </c>
      <c r="AK52" s="51" t="n">
        <f aca="false">-MIN(AK49+AK50,AK51+AK30)</f>
        <v>-1303.5356755446</v>
      </c>
      <c r="AL52" s="51" t="n">
        <f aca="false">-MIN(AL49+AL50,AL51+AL30)</f>
        <v>-1310.59649378714</v>
      </c>
      <c r="AM52" s="51" t="n">
        <f aca="false">-MIN(AM49+AM50,AM51+AM30)</f>
        <v>-1317.69555812848</v>
      </c>
      <c r="AN52" s="51" t="n">
        <f aca="false">-MIN(AN49+AN50,AN51+AN30)</f>
        <v>-1324.83307573501</v>
      </c>
      <c r="AO52" s="51" t="n">
        <f aca="false">-MIN(AO49+AO50,AO51+AO30)</f>
        <v>-1332.00925489524</v>
      </c>
      <c r="AP52" s="51" t="n">
        <f aca="false">-MIN(AP49+AP50,AP51+AP30)</f>
        <v>-1339.22430502593</v>
      </c>
      <c r="AQ52" s="51" t="n">
        <f aca="false">-MIN(AQ49+AQ50,AQ51+AQ30)</f>
        <v>-1346.47843667815</v>
      </c>
      <c r="AR52" s="51" t="n">
        <f aca="false">-MIN(AR49+AR50,AR51+AR30)</f>
        <v>-1353.77186154349</v>
      </c>
      <c r="AS52" s="51" t="n">
        <f aca="false">-MIN(AS49+AS50,AS51+AS30)</f>
        <v>-1361.10479246018</v>
      </c>
      <c r="AT52" s="51" t="n">
        <f aca="false">-MIN(AT49+AT50,AT51+AT30)</f>
        <v>-1368.47744341934</v>
      </c>
      <c r="AU52" s="51" t="n">
        <f aca="false">-MIN(AU49+AU50,AU51+AU30)</f>
        <v>-1375.8900295712</v>
      </c>
      <c r="AV52" s="51" t="n">
        <f aca="false">-MIN(AV49+AV50,AV51+AV30)</f>
        <v>-1383.34276723137</v>
      </c>
      <c r="AW52" s="51" t="n">
        <f aca="false">-MIN(AW49+AW50,AW51+AW30)</f>
        <v>-1390.83587388721</v>
      </c>
      <c r="AX52" s="51" t="n">
        <f aca="false">-MIN(AX49+AX50,AX51+AX30)</f>
        <v>-1398.3695682041</v>
      </c>
      <c r="AY52" s="51" t="n">
        <f aca="false">-MIN(AY49+AY50,AY51+AY30)</f>
        <v>-1405.94407003187</v>
      </c>
      <c r="AZ52" s="51" t="n">
        <f aca="false">-MIN(AZ49+AZ50,AZ51+AZ30)</f>
        <v>-1413.55960041121</v>
      </c>
      <c r="BA52" s="51" t="n">
        <f aca="false">-MIN(BA49+BA50,BA51+BA30)</f>
        <v>-1421.21638158011</v>
      </c>
      <c r="BB52" s="51" t="n">
        <f aca="false">-MIN(BB49+BB50,BB51+BB30)</f>
        <v>-1428.91463698033</v>
      </c>
      <c r="BC52" s="51" t="n">
        <f aca="false">-MIN(BC49+BC50,BC51+BC30)</f>
        <v>-1436.65459126397</v>
      </c>
      <c r="BD52" s="51" t="n">
        <f aca="false">-MIN(BD49+BD50,BD51+BD30)</f>
        <v>-1444.43647029999</v>
      </c>
      <c r="BE52" s="51" t="n">
        <f aca="false">-MIN(BE49+BE50,BE51+BE30)</f>
        <v>-1452.26050118078</v>
      </c>
      <c r="BF52" s="51" t="n">
        <f aca="false">-MIN(BF49+BF50,BF51+BF30)</f>
        <v>-1460.12691222884</v>
      </c>
      <c r="BG52" s="51" t="n">
        <f aca="false">-MIN(BG49+BG50,BG51+BG30)</f>
        <v>-1468.03593300341</v>
      </c>
      <c r="BH52" s="51" t="n">
        <f aca="false">-MIN(BH49+BH50,BH51+BH30)</f>
        <v>-1475.98779430718</v>
      </c>
      <c r="BI52" s="51" t="n">
        <f aca="false">-MIN(BI49+BI50,BI51+BI30)</f>
        <v>-1483.98272819301</v>
      </c>
      <c r="BJ52" s="51" t="n">
        <f aca="false">-MIN(BJ49+BJ50,BJ51+BJ30)</f>
        <v>-1492.02096797073</v>
      </c>
    </row>
    <row r="53" customFormat="false" ht="15" hidden="false" customHeight="false" outlineLevel="0" collapsed="false">
      <c r="A53" s="6" t="s">
        <v>59</v>
      </c>
      <c r="C53" s="51" t="n">
        <f aca="false">C30+C52</f>
        <v>-7584.81628191557</v>
      </c>
      <c r="D53" s="51" t="n">
        <f aca="false">D30+D52</f>
        <v>-7584.81628191557</v>
      </c>
      <c r="E53" s="51" t="n">
        <f aca="false">E30+E52</f>
        <v>-7584.81628191557</v>
      </c>
      <c r="F53" s="51" t="n">
        <f aca="false">F30+F52</f>
        <v>-7584.81628191557</v>
      </c>
      <c r="G53" s="51" t="n">
        <f aca="false">G30+G52</f>
        <v>-7584.81628191557</v>
      </c>
      <c r="H53" s="51" t="n">
        <f aca="false">H30+H52</f>
        <v>-7584.81628191557</v>
      </c>
      <c r="I53" s="51" t="n">
        <f aca="false">I30+I52</f>
        <v>-7584.81628191557</v>
      </c>
      <c r="J53" s="51" t="n">
        <f aca="false">J30+J52</f>
        <v>-7584.81628191557</v>
      </c>
      <c r="K53" s="51" t="n">
        <f aca="false">K30+K52</f>
        <v>-7584.81628191557</v>
      </c>
      <c r="L53" s="51" t="n">
        <f aca="false">L30+L52</f>
        <v>-7584.81628191557</v>
      </c>
      <c r="M53" s="51" t="n">
        <f aca="false">M30+M52</f>
        <v>-7584.81628191557</v>
      </c>
      <c r="N53" s="51" t="n">
        <f aca="false">N30+N52</f>
        <v>-7584.81628191557</v>
      </c>
      <c r="O53" s="51" t="n">
        <f aca="false">O30+O52</f>
        <v>-7584.81628191557</v>
      </c>
      <c r="P53" s="51" t="n">
        <f aca="false">P30+P52</f>
        <v>-7584.81628191557</v>
      </c>
      <c r="Q53" s="51" t="n">
        <f aca="false">Q30+Q52</f>
        <v>-7584.81628191557</v>
      </c>
      <c r="R53" s="51" t="n">
        <f aca="false">R30+R52</f>
        <v>-7584.81628191557</v>
      </c>
      <c r="S53" s="51" t="n">
        <f aca="false">S30+S52</f>
        <v>-7584.81628191557</v>
      </c>
      <c r="T53" s="51" t="n">
        <f aca="false">T30+T52</f>
        <v>-7584.81628191557</v>
      </c>
      <c r="U53" s="51" t="n">
        <f aca="false">U30+U52</f>
        <v>-7584.81628191557</v>
      </c>
      <c r="V53" s="51" t="n">
        <f aca="false">V30+V52</f>
        <v>-7584.81628191557</v>
      </c>
      <c r="W53" s="51" t="n">
        <f aca="false">W30+W52</f>
        <v>-7584.81628191557</v>
      </c>
      <c r="X53" s="51" t="n">
        <f aca="false">X30+X52</f>
        <v>-7584.81628191557</v>
      </c>
      <c r="Y53" s="51" t="n">
        <f aca="false">Y30+Y52</f>
        <v>-7584.81628191557</v>
      </c>
      <c r="Z53" s="51" t="n">
        <f aca="false">Z30+Z52</f>
        <v>-7584.81628191557</v>
      </c>
      <c r="AA53" s="51" t="n">
        <f aca="false">AA30+AA52</f>
        <v>-7584.81628191557</v>
      </c>
      <c r="AB53" s="51" t="n">
        <f aca="false">AB30+AB52</f>
        <v>-7584.81628191557</v>
      </c>
      <c r="AC53" s="51" t="n">
        <f aca="false">AC30+AC52</f>
        <v>-7584.81628191557</v>
      </c>
      <c r="AD53" s="51" t="n">
        <f aca="false">AD30+AD52</f>
        <v>-7584.81628191557</v>
      </c>
      <c r="AE53" s="51" t="n">
        <f aca="false">AE30+AE52</f>
        <v>-7584.81628191557</v>
      </c>
      <c r="AF53" s="51" t="n">
        <f aca="false">AF30+AF52</f>
        <v>-7584.81628191557</v>
      </c>
      <c r="AG53" s="51" t="n">
        <f aca="false">AG30+AG52</f>
        <v>-7584.81628191557</v>
      </c>
      <c r="AH53" s="51" t="n">
        <f aca="false">AH30+AH52</f>
        <v>-7584.81628191557</v>
      </c>
      <c r="AI53" s="51" t="n">
        <f aca="false">AI30+AI52</f>
        <v>-7584.81628191557</v>
      </c>
      <c r="AJ53" s="51" t="n">
        <f aca="false">AJ30+AJ52</f>
        <v>-7584.81628191557</v>
      </c>
      <c r="AK53" s="51" t="n">
        <f aca="false">AK30+AK52</f>
        <v>-7584.81628191557</v>
      </c>
      <c r="AL53" s="51" t="n">
        <f aca="false">AL30+AL52</f>
        <v>-7584.81628191557</v>
      </c>
      <c r="AM53" s="51" t="n">
        <f aca="false">AM30+AM52</f>
        <v>-7584.81628191557</v>
      </c>
      <c r="AN53" s="51" t="n">
        <f aca="false">AN30+AN52</f>
        <v>-7584.81628191557</v>
      </c>
      <c r="AO53" s="51" t="n">
        <f aca="false">AO30+AO52</f>
        <v>-7584.81628191557</v>
      </c>
      <c r="AP53" s="51" t="n">
        <f aca="false">AP30+AP52</f>
        <v>-7584.81628191557</v>
      </c>
      <c r="AQ53" s="51" t="n">
        <f aca="false">AQ30+AQ52</f>
        <v>-7584.81628191557</v>
      </c>
      <c r="AR53" s="51" t="n">
        <f aca="false">AR30+AR52</f>
        <v>-7584.81628191557</v>
      </c>
      <c r="AS53" s="51" t="n">
        <f aca="false">AS30+AS52</f>
        <v>-7584.81628191557</v>
      </c>
      <c r="AT53" s="51" t="n">
        <f aca="false">AT30+AT52</f>
        <v>-7584.81628191557</v>
      </c>
      <c r="AU53" s="51" t="n">
        <f aca="false">AU30+AU52</f>
        <v>-7584.81628191557</v>
      </c>
      <c r="AV53" s="51" t="n">
        <f aca="false">AV30+AV52</f>
        <v>-7584.81628191557</v>
      </c>
      <c r="AW53" s="51" t="n">
        <f aca="false">AW30+AW52</f>
        <v>-7584.81628191557</v>
      </c>
      <c r="AX53" s="51" t="n">
        <f aca="false">AX30+AX52</f>
        <v>-7584.81628191557</v>
      </c>
      <c r="AY53" s="51" t="n">
        <f aca="false">AY30+AY52</f>
        <v>-7584.81628191557</v>
      </c>
      <c r="AZ53" s="51" t="n">
        <f aca="false">AZ30+AZ52</f>
        <v>-7584.81628191557</v>
      </c>
      <c r="BA53" s="51" t="n">
        <f aca="false">BA30+BA52</f>
        <v>-7584.81628191557</v>
      </c>
      <c r="BB53" s="51" t="n">
        <f aca="false">BB30+BB52</f>
        <v>-7584.81628191557</v>
      </c>
      <c r="BC53" s="51" t="n">
        <f aca="false">BC30+BC52</f>
        <v>-7584.81628191557</v>
      </c>
      <c r="BD53" s="51" t="n">
        <f aca="false">BD30+BD52</f>
        <v>-7584.81628191557</v>
      </c>
      <c r="BE53" s="51" t="n">
        <f aca="false">BE30+BE52</f>
        <v>-7584.81628191557</v>
      </c>
      <c r="BF53" s="51" t="n">
        <f aca="false">BF30+BF52</f>
        <v>-7584.81628191557</v>
      </c>
      <c r="BG53" s="51" t="n">
        <f aca="false">BG30+BG52</f>
        <v>-7584.81628191557</v>
      </c>
      <c r="BH53" s="51" t="n">
        <f aca="false">BH30+BH52</f>
        <v>-7584.81628191557</v>
      </c>
      <c r="BI53" s="51" t="n">
        <f aca="false">BI30+BI52</f>
        <v>-7584.81628191557</v>
      </c>
      <c r="BJ53" s="51" t="n">
        <f aca="false">BJ30+BJ52</f>
        <v>-7584.81628191557</v>
      </c>
    </row>
    <row r="54" customFormat="false" ht="15" hidden="false" customHeight="false" outlineLevel="0" collapsed="false">
      <c r="A54" s="4" t="s">
        <v>407</v>
      </c>
      <c r="C54" s="58" t="n">
        <f aca="false">C49+C50+C52</f>
        <v>1198915.18371808</v>
      </c>
      <c r="D54" s="58" t="n">
        <f aca="false">D49+D50+D52</f>
        <v>1197824.49134798</v>
      </c>
      <c r="E54" s="58" t="n">
        <f aca="false">E49+E50+E52</f>
        <v>1196727.89106086</v>
      </c>
      <c r="F54" s="58" t="n">
        <f aca="false">F49+F50+F52</f>
        <v>1195625.35085553</v>
      </c>
      <c r="G54" s="58" t="n">
        <f aca="false">G49+G50+G52</f>
        <v>1194516.83855741</v>
      </c>
      <c r="H54" s="58" t="n">
        <f aca="false">H49+H50+H52</f>
        <v>1193402.32181768</v>
      </c>
      <c r="I54" s="58" t="n">
        <f aca="false">I49+I50+I52</f>
        <v>1192281.76811228</v>
      </c>
      <c r="J54" s="58" t="n">
        <f aca="false">J49+J50+J52</f>
        <v>1191155.14474097</v>
      </c>
      <c r="K54" s="58" t="n">
        <f aca="false">K49+K50+K52</f>
        <v>1190022.4188264</v>
      </c>
      <c r="L54" s="58" t="n">
        <f aca="false">L49+L50+L52</f>
        <v>1188883.55731313</v>
      </c>
      <c r="M54" s="58" t="n">
        <f aca="false">M49+M50+M52</f>
        <v>1187738.52696666</v>
      </c>
      <c r="N54" s="58" t="n">
        <f aca="false">N49+N50+N52</f>
        <v>1186587.29437248</v>
      </c>
      <c r="O54" s="58" t="n">
        <f aca="false">O49+O50+O52</f>
        <v>1185429.82593508</v>
      </c>
      <c r="P54" s="58" t="n">
        <f aca="false">P49+P50+P52</f>
        <v>1184266.08787698</v>
      </c>
      <c r="Q54" s="58" t="n">
        <f aca="false">Q49+Q50+Q52</f>
        <v>1183096.04623773</v>
      </c>
      <c r="R54" s="58" t="n">
        <f aca="false">R49+R50+R52</f>
        <v>1181919.66687294</v>
      </c>
      <c r="S54" s="58" t="n">
        <f aca="false">S49+S50+S52</f>
        <v>1180736.91545325</v>
      </c>
      <c r="T54" s="58" t="n">
        <f aca="false">T49+T50+T52</f>
        <v>1179547.75746337</v>
      </c>
      <c r="U54" s="58" t="n">
        <f aca="false">U49+U50+U52</f>
        <v>1178352.15820105</v>
      </c>
      <c r="V54" s="58" t="n">
        <f aca="false">V49+V50+V52</f>
        <v>1177150.08277606</v>
      </c>
      <c r="W54" s="58" t="n">
        <f aca="false">W49+W50+W52</f>
        <v>1175941.49610918</v>
      </c>
      <c r="X54" s="58" t="n">
        <f aca="false">X49+X50+X52</f>
        <v>1174726.36293119</v>
      </c>
      <c r="Y54" s="58" t="n">
        <f aca="false">Y49+Y50+Y52</f>
        <v>1173504.64778182</v>
      </c>
      <c r="Z54" s="58" t="n">
        <f aca="false">Z49+Z50+Z52</f>
        <v>1172276.31500872</v>
      </c>
      <c r="AA54" s="58" t="n">
        <f aca="false">AA49+AA50+AA52</f>
        <v>1171041.32876644</v>
      </c>
      <c r="AB54" s="58" t="n">
        <f aca="false">AB49+AB50+AB52</f>
        <v>1169799.65301534</v>
      </c>
      <c r="AC54" s="58" t="n">
        <f aca="false">AC49+AC50+AC52</f>
        <v>1168551.25152059</v>
      </c>
      <c r="AD54" s="58" t="n">
        <f aca="false">AD49+AD50+AD52</f>
        <v>1167296.08785108</v>
      </c>
      <c r="AE54" s="58" t="n">
        <f aca="false">AE49+AE50+AE52</f>
        <v>1166034.12537835</v>
      </c>
      <c r="AF54" s="58" t="n">
        <f aca="false">AF49+AF50+AF52</f>
        <v>1164765.32727557</v>
      </c>
      <c r="AG54" s="58" t="n">
        <f aca="false">AG49+AG50+AG52</f>
        <v>1163489.6565164</v>
      </c>
      <c r="AH54" s="58" t="n">
        <f aca="false">AH49+AH50+AH52</f>
        <v>1162207.07587395</v>
      </c>
      <c r="AI54" s="58" t="n">
        <f aca="false">AI49+AI50+AI52</f>
        <v>1160917.54791968</v>
      </c>
      <c r="AJ54" s="58" t="n">
        <f aca="false">AJ49+AJ50+AJ52</f>
        <v>1159621.03502233</v>
      </c>
      <c r="AK54" s="58" t="n">
        <f aca="false">AK49+AK50+AK52</f>
        <v>1158317.49934679</v>
      </c>
      <c r="AL54" s="58" t="n">
        <f aca="false">AL49+AL50+AL52</f>
        <v>1157006.902853</v>
      </c>
      <c r="AM54" s="58" t="n">
        <f aca="false">AM49+AM50+AM52</f>
        <v>1155689.20729487</v>
      </c>
      <c r="AN54" s="58" t="n">
        <f aca="false">AN49+AN50+AN52</f>
        <v>1154364.37421914</v>
      </c>
      <c r="AO54" s="58" t="n">
        <f aca="false">AO49+AO50+AO52</f>
        <v>1153032.36496424</v>
      </c>
      <c r="AP54" s="58" t="n">
        <f aca="false">AP49+AP50+AP52</f>
        <v>1151693.14065922</v>
      </c>
      <c r="AQ54" s="58" t="n">
        <f aca="false">AQ49+AQ50+AQ52</f>
        <v>1150346.66222254</v>
      </c>
      <c r="AR54" s="58" t="n">
        <f aca="false">AR49+AR50+AR52</f>
        <v>1148992.89036099</v>
      </c>
      <c r="AS54" s="58" t="n">
        <f aca="false">AS49+AS50+AS52</f>
        <v>1147631.78556853</v>
      </c>
      <c r="AT54" s="58" t="n">
        <f aca="false">AT49+AT50+AT52</f>
        <v>1146263.30812511</v>
      </c>
      <c r="AU54" s="58" t="n">
        <f aca="false">AU49+AU50+AU52</f>
        <v>1144887.41809554</v>
      </c>
      <c r="AV54" s="58" t="n">
        <f aca="false">AV49+AV50+AV52</f>
        <v>1143504.07532831</v>
      </c>
      <c r="AW54" s="58" t="n">
        <f aca="false">AW49+AW50+AW52</f>
        <v>1142113.23945442</v>
      </c>
      <c r="AX54" s="58" t="n">
        <f aca="false">AX49+AX50+AX52</f>
        <v>1140714.86988622</v>
      </c>
      <c r="AY54" s="58" t="n">
        <f aca="false">AY49+AY50+AY52</f>
        <v>1139308.92581619</v>
      </c>
      <c r="AZ54" s="58" t="n">
        <f aca="false">AZ49+AZ50+AZ52</f>
        <v>1137895.36621578</v>
      </c>
      <c r="BA54" s="58" t="n">
        <f aca="false">BA49+BA50+BA52</f>
        <v>1136474.1498342</v>
      </c>
      <c r="BB54" s="58" t="n">
        <f aca="false">BB49+BB50+BB52</f>
        <v>1135045.23519722</v>
      </c>
      <c r="BC54" s="58" t="n">
        <f aca="false">BC49+BC50+BC52</f>
        <v>1133608.58060595</v>
      </c>
      <c r="BD54" s="58" t="n">
        <f aca="false">BD49+BD50+BD52</f>
        <v>1132164.14413565</v>
      </c>
      <c r="BE54" s="58" t="n">
        <f aca="false">BE49+BE50+BE52</f>
        <v>1130711.88363447</v>
      </c>
      <c r="BF54" s="58" t="n">
        <f aca="false">BF49+BF50+BF52</f>
        <v>1129251.75672224</v>
      </c>
      <c r="BG54" s="58" t="n">
        <f aca="false">BG49+BG50+BG52</f>
        <v>1127783.72078924</v>
      </c>
      <c r="BH54" s="58" t="n">
        <f aca="false">BH49+BH50+BH52</f>
        <v>1126307.73299493</v>
      </c>
      <c r="BI54" s="58" t="n">
        <f aca="false">BI49+BI50+BI52</f>
        <v>1124823.75026674</v>
      </c>
      <c r="BJ54" s="58" t="n">
        <f aca="false">BJ49+BJ50+BJ52</f>
        <v>1123331.72929877</v>
      </c>
    </row>
    <row r="56" customFormat="false" ht="15.75" hidden="false" customHeight="true" outlineLevel="0" collapsed="false">
      <c r="A56" s="7" t="s">
        <v>296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customFormat="false" ht="15" hidden="false" customHeight="false" outlineLevel="0" collapsed="false">
      <c r="A57" s="6" t="s">
        <v>88</v>
      </c>
      <c r="C57" s="51" t="n">
        <f aca="false">C12*Inputs!$E$40/30</f>
        <v>0</v>
      </c>
      <c r="D57" s="51" t="n">
        <f aca="false">D12*Inputs!$E$40/30</f>
        <v>0</v>
      </c>
      <c r="E57" s="51" t="n">
        <f aca="false">E12*Inputs!$E$40/30</f>
        <v>0</v>
      </c>
      <c r="F57" s="51" t="n">
        <f aca="false">F12*Inputs!$E$40/30</f>
        <v>0</v>
      </c>
      <c r="G57" s="51" t="n">
        <f aca="false">G12*Inputs!$E$40/30</f>
        <v>0</v>
      </c>
      <c r="H57" s="51" t="n">
        <f aca="false">H12*Inputs!$E$40/30</f>
        <v>0</v>
      </c>
      <c r="I57" s="51" t="n">
        <f aca="false">I12*Inputs!$E$40/30</f>
        <v>0</v>
      </c>
      <c r="J57" s="51" t="n">
        <f aca="false">J12*Inputs!$E$40/30</f>
        <v>0</v>
      </c>
      <c r="K57" s="51" t="n">
        <f aca="false">K12*Inputs!$E$40/30</f>
        <v>0</v>
      </c>
      <c r="L57" s="51" t="n">
        <f aca="false">L12*Inputs!$E$40/30</f>
        <v>0</v>
      </c>
      <c r="M57" s="51" t="n">
        <f aca="false">M12*Inputs!$E$40/30</f>
        <v>0</v>
      </c>
      <c r="N57" s="51" t="n">
        <f aca="false">N12*Inputs!$E$40/30</f>
        <v>0</v>
      </c>
      <c r="O57" s="51" t="n">
        <f aca="false">O12*Inputs!$E$40/30</f>
        <v>0</v>
      </c>
      <c r="P57" s="51" t="n">
        <f aca="false">P12*Inputs!$E$40/30</f>
        <v>0</v>
      </c>
      <c r="Q57" s="51" t="n">
        <f aca="false">Q12*Inputs!$E$40/30</f>
        <v>0</v>
      </c>
      <c r="R57" s="51" t="n">
        <f aca="false">R12*Inputs!$E$40/30</f>
        <v>0</v>
      </c>
      <c r="S57" s="51" t="n">
        <f aca="false">S12*Inputs!$E$40/30</f>
        <v>0</v>
      </c>
      <c r="T57" s="51" t="n">
        <f aca="false">T12*Inputs!$E$40/30</f>
        <v>0</v>
      </c>
      <c r="U57" s="51" t="n">
        <f aca="false">U12*Inputs!$E$40/30</f>
        <v>0</v>
      </c>
      <c r="V57" s="51" t="n">
        <f aca="false">V12*Inputs!$E$40/30</f>
        <v>0</v>
      </c>
      <c r="W57" s="51" t="n">
        <f aca="false">W12*Inputs!$E$40/30</f>
        <v>0</v>
      </c>
      <c r="X57" s="51" t="n">
        <f aca="false">X12*Inputs!$E$40/30</f>
        <v>0</v>
      </c>
      <c r="Y57" s="51" t="n">
        <f aca="false">Y12*Inputs!$E$40/30</f>
        <v>0</v>
      </c>
      <c r="Z57" s="51" t="n">
        <f aca="false">Z12*Inputs!$E$40/30</f>
        <v>0</v>
      </c>
      <c r="AA57" s="51" t="n">
        <f aca="false">AA12*Inputs!$E$40/30</f>
        <v>0</v>
      </c>
      <c r="AB57" s="51" t="n">
        <f aca="false">AB12*Inputs!$E$40/30</f>
        <v>0</v>
      </c>
      <c r="AC57" s="51" t="n">
        <f aca="false">AC12*Inputs!$E$40/30</f>
        <v>0</v>
      </c>
      <c r="AD57" s="51" t="n">
        <f aca="false">AD12*Inputs!$E$40/30</f>
        <v>0</v>
      </c>
      <c r="AE57" s="51" t="n">
        <f aca="false">AE12*Inputs!$E$40/30</f>
        <v>0</v>
      </c>
      <c r="AF57" s="51" t="n">
        <f aca="false">AF12*Inputs!$E$40/30</f>
        <v>0</v>
      </c>
      <c r="AG57" s="51" t="n">
        <f aca="false">AG12*Inputs!$E$40/30</f>
        <v>0</v>
      </c>
      <c r="AH57" s="51" t="n">
        <f aca="false">AH12*Inputs!$E$40/30</f>
        <v>0</v>
      </c>
      <c r="AI57" s="51" t="n">
        <f aca="false">AI12*Inputs!$E$40/30</f>
        <v>0</v>
      </c>
      <c r="AJ57" s="51" t="n">
        <f aca="false">AJ12*Inputs!$E$40/30</f>
        <v>0</v>
      </c>
      <c r="AK57" s="51" t="n">
        <f aca="false">AK12*Inputs!$E$40/30</f>
        <v>0</v>
      </c>
      <c r="AL57" s="51" t="n">
        <f aca="false">AL12*Inputs!$E$40/30</f>
        <v>0</v>
      </c>
      <c r="AM57" s="51" t="n">
        <f aca="false">AM12*Inputs!$E$40/30</f>
        <v>0</v>
      </c>
      <c r="AN57" s="51" t="n">
        <f aca="false">AN12*Inputs!$E$40/30</f>
        <v>0</v>
      </c>
      <c r="AO57" s="51" t="n">
        <f aca="false">AO12*Inputs!$E$40/30</f>
        <v>0</v>
      </c>
      <c r="AP57" s="51" t="n">
        <f aca="false">AP12*Inputs!$E$40/30</f>
        <v>0</v>
      </c>
      <c r="AQ57" s="51" t="n">
        <f aca="false">AQ12*Inputs!$E$40/30</f>
        <v>0</v>
      </c>
      <c r="AR57" s="51" t="n">
        <f aca="false">AR12*Inputs!$E$40/30</f>
        <v>0</v>
      </c>
      <c r="AS57" s="51" t="n">
        <f aca="false">AS12*Inputs!$E$40/30</f>
        <v>0</v>
      </c>
      <c r="AT57" s="51" t="n">
        <f aca="false">AT12*Inputs!$E$40/30</f>
        <v>0</v>
      </c>
      <c r="AU57" s="51" t="n">
        <f aca="false">AU12*Inputs!$E$40/30</f>
        <v>0</v>
      </c>
      <c r="AV57" s="51" t="n">
        <f aca="false">AV12*Inputs!$E$40/30</f>
        <v>0</v>
      </c>
      <c r="AW57" s="51" t="n">
        <f aca="false">AW12*Inputs!$E$40/30</f>
        <v>0</v>
      </c>
      <c r="AX57" s="51" t="n">
        <f aca="false">AX12*Inputs!$E$40/30</f>
        <v>0</v>
      </c>
      <c r="AY57" s="51" t="n">
        <f aca="false">AY12*Inputs!$E$40/30</f>
        <v>0</v>
      </c>
      <c r="AZ57" s="51" t="n">
        <f aca="false">AZ12*Inputs!$E$40/30</f>
        <v>0</v>
      </c>
      <c r="BA57" s="51" t="n">
        <f aca="false">BA12*Inputs!$E$40/30</f>
        <v>0</v>
      </c>
      <c r="BB57" s="51" t="n">
        <f aca="false">BB12*Inputs!$E$40/30</f>
        <v>0</v>
      </c>
      <c r="BC57" s="51" t="n">
        <f aca="false">BC12*Inputs!$E$40/30</f>
        <v>0</v>
      </c>
      <c r="BD57" s="51" t="n">
        <f aca="false">BD12*Inputs!$E$40/30</f>
        <v>0</v>
      </c>
      <c r="BE57" s="51" t="n">
        <f aca="false">BE12*Inputs!$E$40/30</f>
        <v>0</v>
      </c>
      <c r="BF57" s="51" t="n">
        <f aca="false">BF12*Inputs!$E$40/30</f>
        <v>0</v>
      </c>
      <c r="BG57" s="51" t="n">
        <f aca="false">BG12*Inputs!$E$40/30</f>
        <v>0</v>
      </c>
      <c r="BH57" s="51" t="n">
        <f aca="false">BH12*Inputs!$E$40/30</f>
        <v>0</v>
      </c>
      <c r="BI57" s="51" t="n">
        <f aca="false">BI12*Inputs!$E$40/30</f>
        <v>0</v>
      </c>
      <c r="BJ57" s="51" t="n">
        <f aca="false">BJ12*Inputs!$E$40/30</f>
        <v>0</v>
      </c>
    </row>
    <row r="58" customFormat="false" ht="15" hidden="false" customHeight="false" outlineLevel="0" collapsed="false">
      <c r="A58" s="6" t="s">
        <v>89</v>
      </c>
      <c r="C58" s="51" t="n">
        <f aca="false">-C17*Inputs!$E$41/30</f>
        <v>0</v>
      </c>
      <c r="D58" s="51" t="n">
        <f aca="false">-D17*Inputs!$E$41/30</f>
        <v>0</v>
      </c>
      <c r="E58" s="51" t="n">
        <f aca="false">-E17*Inputs!$E$41/30</f>
        <v>0</v>
      </c>
      <c r="F58" s="51" t="n">
        <f aca="false">-F17*Inputs!$E$41/30</f>
        <v>0</v>
      </c>
      <c r="G58" s="51" t="n">
        <f aca="false">-G17*Inputs!$E$41/30</f>
        <v>0</v>
      </c>
      <c r="H58" s="51" t="n">
        <f aca="false">-H17*Inputs!$E$41/30</f>
        <v>0</v>
      </c>
      <c r="I58" s="51" t="n">
        <f aca="false">-I17*Inputs!$E$41/30</f>
        <v>0</v>
      </c>
      <c r="J58" s="51" t="n">
        <f aca="false">-J17*Inputs!$E$41/30</f>
        <v>0</v>
      </c>
      <c r="K58" s="51" t="n">
        <f aca="false">-K17*Inputs!$E$41/30</f>
        <v>0</v>
      </c>
      <c r="L58" s="51" t="n">
        <f aca="false">-L17*Inputs!$E$41/30</f>
        <v>0</v>
      </c>
      <c r="M58" s="51" t="n">
        <f aca="false">-M17*Inputs!$E$41/30</f>
        <v>0</v>
      </c>
      <c r="N58" s="51" t="n">
        <f aca="false">-N17*Inputs!$E$41/30</f>
        <v>0</v>
      </c>
      <c r="O58" s="51" t="n">
        <f aca="false">-O17*Inputs!$E$41/30</f>
        <v>0</v>
      </c>
      <c r="P58" s="51" t="n">
        <f aca="false">-P17*Inputs!$E$41/30</f>
        <v>0</v>
      </c>
      <c r="Q58" s="51" t="n">
        <f aca="false">-Q17*Inputs!$E$41/30</f>
        <v>0</v>
      </c>
      <c r="R58" s="51" t="n">
        <f aca="false">-R17*Inputs!$E$41/30</f>
        <v>0</v>
      </c>
      <c r="S58" s="51" t="n">
        <f aca="false">-S17*Inputs!$E$41/30</f>
        <v>0</v>
      </c>
      <c r="T58" s="51" t="n">
        <f aca="false">-T17*Inputs!$E$41/30</f>
        <v>0</v>
      </c>
      <c r="U58" s="51" t="n">
        <f aca="false">-U17*Inputs!$E$41/30</f>
        <v>0</v>
      </c>
      <c r="V58" s="51" t="n">
        <f aca="false">-V17*Inputs!$E$41/30</f>
        <v>0</v>
      </c>
      <c r="W58" s="51" t="n">
        <f aca="false">-W17*Inputs!$E$41/30</f>
        <v>0</v>
      </c>
      <c r="X58" s="51" t="n">
        <f aca="false">-X17*Inputs!$E$41/30</f>
        <v>0</v>
      </c>
      <c r="Y58" s="51" t="n">
        <f aca="false">-Y17*Inputs!$E$41/30</f>
        <v>0</v>
      </c>
      <c r="Z58" s="51" t="n">
        <f aca="false">-Z17*Inputs!$E$41/30</f>
        <v>0</v>
      </c>
      <c r="AA58" s="51" t="n">
        <f aca="false">-AA17*Inputs!$E$41/30</f>
        <v>0</v>
      </c>
      <c r="AB58" s="51" t="n">
        <f aca="false">-AB17*Inputs!$E$41/30</f>
        <v>0</v>
      </c>
      <c r="AC58" s="51" t="n">
        <f aca="false">-AC17*Inputs!$E$41/30</f>
        <v>0</v>
      </c>
      <c r="AD58" s="51" t="n">
        <f aca="false">-AD17*Inputs!$E$41/30</f>
        <v>0</v>
      </c>
      <c r="AE58" s="51" t="n">
        <f aca="false">-AE17*Inputs!$E$41/30</f>
        <v>0</v>
      </c>
      <c r="AF58" s="51" t="n">
        <f aca="false">-AF17*Inputs!$E$41/30</f>
        <v>0</v>
      </c>
      <c r="AG58" s="51" t="n">
        <f aca="false">-AG17*Inputs!$E$41/30</f>
        <v>0</v>
      </c>
      <c r="AH58" s="51" t="n">
        <f aca="false">-AH17*Inputs!$E$41/30</f>
        <v>0</v>
      </c>
      <c r="AI58" s="51" t="n">
        <f aca="false">-AI17*Inputs!$E$41/30</f>
        <v>0</v>
      </c>
      <c r="AJ58" s="51" t="n">
        <f aca="false">-AJ17*Inputs!$E$41/30</f>
        <v>0</v>
      </c>
      <c r="AK58" s="51" t="n">
        <f aca="false">-AK17*Inputs!$E$41/30</f>
        <v>0</v>
      </c>
      <c r="AL58" s="51" t="n">
        <f aca="false">-AL17*Inputs!$E$41/30</f>
        <v>0</v>
      </c>
      <c r="AM58" s="51" t="n">
        <f aca="false">-AM17*Inputs!$E$41/30</f>
        <v>0</v>
      </c>
      <c r="AN58" s="51" t="n">
        <f aca="false">-AN17*Inputs!$E$41/30</f>
        <v>0</v>
      </c>
      <c r="AO58" s="51" t="n">
        <f aca="false">-AO17*Inputs!$E$41/30</f>
        <v>0</v>
      </c>
      <c r="AP58" s="51" t="n">
        <f aca="false">-AP17*Inputs!$E$41/30</f>
        <v>0</v>
      </c>
      <c r="AQ58" s="51" t="n">
        <f aca="false">-AQ17*Inputs!$E$41/30</f>
        <v>0</v>
      </c>
      <c r="AR58" s="51" t="n">
        <f aca="false">-AR17*Inputs!$E$41/30</f>
        <v>0</v>
      </c>
      <c r="AS58" s="51" t="n">
        <f aca="false">-AS17*Inputs!$E$41/30</f>
        <v>0</v>
      </c>
      <c r="AT58" s="51" t="n">
        <f aca="false">-AT17*Inputs!$E$41/30</f>
        <v>0</v>
      </c>
      <c r="AU58" s="51" t="n">
        <f aca="false">-AU17*Inputs!$E$41/30</f>
        <v>0</v>
      </c>
      <c r="AV58" s="51" t="n">
        <f aca="false">-AV17*Inputs!$E$41/30</f>
        <v>0</v>
      </c>
      <c r="AW58" s="51" t="n">
        <f aca="false">-AW17*Inputs!$E$41/30</f>
        <v>0</v>
      </c>
      <c r="AX58" s="51" t="n">
        <f aca="false">-AX17*Inputs!$E$41/30</f>
        <v>0</v>
      </c>
      <c r="AY58" s="51" t="n">
        <f aca="false">-AY17*Inputs!$E$41/30</f>
        <v>0</v>
      </c>
      <c r="AZ58" s="51" t="n">
        <f aca="false">-AZ17*Inputs!$E$41/30</f>
        <v>0</v>
      </c>
      <c r="BA58" s="51" t="n">
        <f aca="false">-BA17*Inputs!$E$41/30</f>
        <v>0</v>
      </c>
      <c r="BB58" s="51" t="n">
        <f aca="false">-BB17*Inputs!$E$41/30</f>
        <v>0</v>
      </c>
      <c r="BC58" s="51" t="n">
        <f aca="false">-BC17*Inputs!$E$41/30</f>
        <v>0</v>
      </c>
      <c r="BD58" s="51" t="n">
        <f aca="false">-BD17*Inputs!$E$41/30</f>
        <v>0</v>
      </c>
      <c r="BE58" s="51" t="n">
        <f aca="false">-BE17*Inputs!$E$41/30</f>
        <v>0</v>
      </c>
      <c r="BF58" s="51" t="n">
        <f aca="false">-BF17*Inputs!$E$41/30</f>
        <v>0</v>
      </c>
      <c r="BG58" s="51" t="n">
        <f aca="false">-BG17*Inputs!$E$41/30</f>
        <v>0</v>
      </c>
      <c r="BH58" s="51" t="n">
        <f aca="false">-BH17*Inputs!$E$41/30</f>
        <v>0</v>
      </c>
      <c r="BI58" s="51" t="n">
        <f aca="false">-BI17*Inputs!$E$41/30</f>
        <v>0</v>
      </c>
      <c r="BJ58" s="51" t="n">
        <f aca="false">-BJ17*Inputs!$E$41/30</f>
        <v>0</v>
      </c>
    </row>
    <row r="59" customFormat="false" ht="15" hidden="false" customHeight="false" outlineLevel="0" collapsed="false">
      <c r="A59" s="6" t="s">
        <v>92</v>
      </c>
      <c r="C59" s="51" t="n">
        <f aca="false">-C17*Inputs!$E$42/30</f>
        <v>934.5</v>
      </c>
      <c r="D59" s="51" t="n">
        <f aca="false">-D17*Inputs!$E$42/30</f>
        <v>934.5</v>
      </c>
      <c r="E59" s="51" t="n">
        <f aca="false">-E17*Inputs!$E$42/30</f>
        <v>934.5</v>
      </c>
      <c r="F59" s="51" t="n">
        <f aca="false">-F17*Inputs!$E$42/30</f>
        <v>934.5</v>
      </c>
      <c r="G59" s="51" t="n">
        <f aca="false">-G17*Inputs!$E$42/30</f>
        <v>934.5</v>
      </c>
      <c r="H59" s="51" t="n">
        <f aca="false">-H17*Inputs!$E$42/30</f>
        <v>934.5</v>
      </c>
      <c r="I59" s="51" t="n">
        <f aca="false">-I17*Inputs!$E$42/30</f>
        <v>934.5</v>
      </c>
      <c r="J59" s="51" t="n">
        <f aca="false">-J17*Inputs!$E$42/30</f>
        <v>934.5</v>
      </c>
      <c r="K59" s="51" t="n">
        <f aca="false">-K17*Inputs!$E$42/30</f>
        <v>934.5</v>
      </c>
      <c r="L59" s="51" t="n">
        <f aca="false">-L17*Inputs!$E$42/30</f>
        <v>934.5</v>
      </c>
      <c r="M59" s="51" t="n">
        <f aca="false">-M17*Inputs!$E$42/30</f>
        <v>934.5</v>
      </c>
      <c r="N59" s="51" t="n">
        <f aca="false">-N17*Inputs!$E$42/30</f>
        <v>934.5</v>
      </c>
      <c r="O59" s="51" t="n">
        <f aca="false">-O17*Inputs!$E$42/30</f>
        <v>962.535</v>
      </c>
      <c r="P59" s="51" t="n">
        <f aca="false">-P17*Inputs!$E$42/30</f>
        <v>962.535</v>
      </c>
      <c r="Q59" s="51" t="n">
        <f aca="false">-Q17*Inputs!$E$42/30</f>
        <v>962.535</v>
      </c>
      <c r="R59" s="51" t="n">
        <f aca="false">-R17*Inputs!$E$42/30</f>
        <v>962.535</v>
      </c>
      <c r="S59" s="51" t="n">
        <f aca="false">-S17*Inputs!$E$42/30</f>
        <v>962.535</v>
      </c>
      <c r="T59" s="51" t="n">
        <f aca="false">-T17*Inputs!$E$42/30</f>
        <v>962.535</v>
      </c>
      <c r="U59" s="51" t="n">
        <f aca="false">-U17*Inputs!$E$42/30</f>
        <v>962.535</v>
      </c>
      <c r="V59" s="51" t="n">
        <f aca="false">-V17*Inputs!$E$42/30</f>
        <v>962.535</v>
      </c>
      <c r="W59" s="51" t="n">
        <f aca="false">-W17*Inputs!$E$42/30</f>
        <v>962.535</v>
      </c>
      <c r="X59" s="51" t="n">
        <f aca="false">-X17*Inputs!$E$42/30</f>
        <v>962.535</v>
      </c>
      <c r="Y59" s="51" t="n">
        <f aca="false">-Y17*Inputs!$E$42/30</f>
        <v>962.535</v>
      </c>
      <c r="Z59" s="51" t="n">
        <f aca="false">-Z17*Inputs!$E$42/30</f>
        <v>962.535</v>
      </c>
      <c r="AA59" s="51" t="n">
        <f aca="false">-AA17*Inputs!$E$42/30</f>
        <v>991.41105</v>
      </c>
      <c r="AB59" s="51" t="n">
        <f aca="false">-AB17*Inputs!$E$42/30</f>
        <v>991.41105</v>
      </c>
      <c r="AC59" s="51" t="n">
        <f aca="false">-AC17*Inputs!$E$42/30</f>
        <v>991.41105</v>
      </c>
      <c r="AD59" s="51" t="n">
        <f aca="false">-AD17*Inputs!$E$42/30</f>
        <v>991.41105</v>
      </c>
      <c r="AE59" s="51" t="n">
        <f aca="false">-AE17*Inputs!$E$42/30</f>
        <v>991.41105</v>
      </c>
      <c r="AF59" s="51" t="n">
        <f aca="false">-AF17*Inputs!$E$42/30</f>
        <v>991.41105</v>
      </c>
      <c r="AG59" s="51" t="n">
        <f aca="false">-AG17*Inputs!$E$42/30</f>
        <v>991.41105</v>
      </c>
      <c r="AH59" s="51" t="n">
        <f aca="false">-AH17*Inputs!$E$42/30</f>
        <v>991.41105</v>
      </c>
      <c r="AI59" s="51" t="n">
        <f aca="false">-AI17*Inputs!$E$42/30</f>
        <v>991.41105</v>
      </c>
      <c r="AJ59" s="51" t="n">
        <f aca="false">-AJ17*Inputs!$E$42/30</f>
        <v>991.41105</v>
      </c>
      <c r="AK59" s="51" t="n">
        <f aca="false">-AK17*Inputs!$E$42/30</f>
        <v>991.41105</v>
      </c>
      <c r="AL59" s="51" t="n">
        <f aca="false">-AL17*Inputs!$E$42/30</f>
        <v>991.41105</v>
      </c>
      <c r="AM59" s="51" t="n">
        <f aca="false">-AM17*Inputs!$E$42/30</f>
        <v>1021.1533815</v>
      </c>
      <c r="AN59" s="51" t="n">
        <f aca="false">-AN17*Inputs!$E$42/30</f>
        <v>1021.1533815</v>
      </c>
      <c r="AO59" s="51" t="n">
        <f aca="false">-AO17*Inputs!$E$42/30</f>
        <v>1021.1533815</v>
      </c>
      <c r="AP59" s="51" t="n">
        <f aca="false">-AP17*Inputs!$E$42/30</f>
        <v>1021.1533815</v>
      </c>
      <c r="AQ59" s="51" t="n">
        <f aca="false">-AQ17*Inputs!$E$42/30</f>
        <v>1021.1533815</v>
      </c>
      <c r="AR59" s="51" t="n">
        <f aca="false">-AR17*Inputs!$E$42/30</f>
        <v>1021.1533815</v>
      </c>
      <c r="AS59" s="51" t="n">
        <f aca="false">-AS17*Inputs!$E$42/30</f>
        <v>1021.1533815</v>
      </c>
      <c r="AT59" s="51" t="n">
        <f aca="false">-AT17*Inputs!$E$42/30</f>
        <v>1021.1533815</v>
      </c>
      <c r="AU59" s="51" t="n">
        <f aca="false">-AU17*Inputs!$E$42/30</f>
        <v>1021.1533815</v>
      </c>
      <c r="AV59" s="51" t="n">
        <f aca="false">-AV17*Inputs!$E$42/30</f>
        <v>1021.1533815</v>
      </c>
      <c r="AW59" s="51" t="n">
        <f aca="false">-AW17*Inputs!$E$42/30</f>
        <v>1021.1533815</v>
      </c>
      <c r="AX59" s="51" t="n">
        <f aca="false">-AX17*Inputs!$E$42/30</f>
        <v>1021.1533815</v>
      </c>
      <c r="AY59" s="51" t="n">
        <f aca="false">-AY17*Inputs!$E$42/30</f>
        <v>1051.787982945</v>
      </c>
      <c r="AZ59" s="51" t="n">
        <f aca="false">-AZ17*Inputs!$E$42/30</f>
        <v>1051.787982945</v>
      </c>
      <c r="BA59" s="51" t="n">
        <f aca="false">-BA17*Inputs!$E$42/30</f>
        <v>1051.787982945</v>
      </c>
      <c r="BB59" s="51" t="n">
        <f aca="false">-BB17*Inputs!$E$42/30</f>
        <v>1051.787982945</v>
      </c>
      <c r="BC59" s="51" t="n">
        <f aca="false">-BC17*Inputs!$E$42/30</f>
        <v>1051.787982945</v>
      </c>
      <c r="BD59" s="51" t="n">
        <f aca="false">-BD17*Inputs!$E$42/30</f>
        <v>1051.787982945</v>
      </c>
      <c r="BE59" s="51" t="n">
        <f aca="false">-BE17*Inputs!$E$42/30</f>
        <v>1051.787982945</v>
      </c>
      <c r="BF59" s="51" t="n">
        <f aca="false">-BF17*Inputs!$E$42/30</f>
        <v>1051.787982945</v>
      </c>
      <c r="BG59" s="51" t="n">
        <f aca="false">-BG17*Inputs!$E$42/30</f>
        <v>1051.787982945</v>
      </c>
      <c r="BH59" s="51" t="n">
        <f aca="false">-BH17*Inputs!$E$42/30</f>
        <v>1051.787982945</v>
      </c>
      <c r="BI59" s="51" t="n">
        <f aca="false">-BI17*Inputs!$E$42/30</f>
        <v>1051.787982945</v>
      </c>
      <c r="BJ59" s="51" t="n">
        <f aca="false">-BJ17*Inputs!$E$42/30</f>
        <v>1051.787982945</v>
      </c>
    </row>
    <row r="60" customFormat="false" ht="15" hidden="false" customHeight="false" outlineLevel="0" collapsed="false">
      <c r="A60" s="6" t="s">
        <v>318</v>
      </c>
      <c r="C60" s="51" t="n">
        <f aca="false">-C57</f>
        <v>-0</v>
      </c>
      <c r="D60" s="51" t="n">
        <f aca="false">C57-D57</f>
        <v>0</v>
      </c>
      <c r="E60" s="51" t="n">
        <f aca="false">D57-E57</f>
        <v>0</v>
      </c>
      <c r="F60" s="51" t="n">
        <f aca="false">E57-F57</f>
        <v>0</v>
      </c>
      <c r="G60" s="51" t="n">
        <f aca="false">F57-G57</f>
        <v>0</v>
      </c>
      <c r="H60" s="51" t="n">
        <f aca="false">G57-H57</f>
        <v>0</v>
      </c>
      <c r="I60" s="51" t="n">
        <f aca="false">H57-I57</f>
        <v>0</v>
      </c>
      <c r="J60" s="51" t="n">
        <f aca="false">I57-J57</f>
        <v>0</v>
      </c>
      <c r="K60" s="51" t="n">
        <f aca="false">J57-K57</f>
        <v>0</v>
      </c>
      <c r="L60" s="51" t="n">
        <f aca="false">K57-L57</f>
        <v>0</v>
      </c>
      <c r="M60" s="51" t="n">
        <f aca="false">L57-M57</f>
        <v>0</v>
      </c>
      <c r="N60" s="51" t="n">
        <f aca="false">M57-N57</f>
        <v>0</v>
      </c>
      <c r="O60" s="51" t="n">
        <f aca="false">N57-O57</f>
        <v>0</v>
      </c>
      <c r="P60" s="51" t="n">
        <f aca="false">O57-P57</f>
        <v>0</v>
      </c>
      <c r="Q60" s="51" t="n">
        <f aca="false">P57-Q57</f>
        <v>0</v>
      </c>
      <c r="R60" s="51" t="n">
        <f aca="false">Q57-R57</f>
        <v>0</v>
      </c>
      <c r="S60" s="51" t="n">
        <f aca="false">R57-S57</f>
        <v>0</v>
      </c>
      <c r="T60" s="51" t="n">
        <f aca="false">S57-T57</f>
        <v>0</v>
      </c>
      <c r="U60" s="51" t="n">
        <f aca="false">T57-U57</f>
        <v>0</v>
      </c>
      <c r="V60" s="51" t="n">
        <f aca="false">U57-V57</f>
        <v>0</v>
      </c>
      <c r="W60" s="51" t="n">
        <f aca="false">V57-W57</f>
        <v>0</v>
      </c>
      <c r="X60" s="51" t="n">
        <f aca="false">W57-X57</f>
        <v>0</v>
      </c>
      <c r="Y60" s="51" t="n">
        <f aca="false">X57-Y57</f>
        <v>0</v>
      </c>
      <c r="Z60" s="51" t="n">
        <f aca="false">Y57-Z57</f>
        <v>0</v>
      </c>
      <c r="AA60" s="51" t="n">
        <f aca="false">Z57-AA57</f>
        <v>0</v>
      </c>
      <c r="AB60" s="51" t="n">
        <f aca="false">AA57-AB57</f>
        <v>0</v>
      </c>
      <c r="AC60" s="51" t="n">
        <f aca="false">AB57-AC57</f>
        <v>0</v>
      </c>
      <c r="AD60" s="51" t="n">
        <f aca="false">AC57-AD57</f>
        <v>0</v>
      </c>
      <c r="AE60" s="51" t="n">
        <f aca="false">AD57-AE57</f>
        <v>0</v>
      </c>
      <c r="AF60" s="51" t="n">
        <f aca="false">AE57-AF57</f>
        <v>0</v>
      </c>
      <c r="AG60" s="51" t="n">
        <f aca="false">AF57-AG57</f>
        <v>0</v>
      </c>
      <c r="AH60" s="51" t="n">
        <f aca="false">AG57-AH57</f>
        <v>0</v>
      </c>
      <c r="AI60" s="51" t="n">
        <f aca="false">AH57-AI57</f>
        <v>0</v>
      </c>
      <c r="AJ60" s="51" t="n">
        <f aca="false">AI57-AJ57</f>
        <v>0</v>
      </c>
      <c r="AK60" s="51" t="n">
        <f aca="false">AJ57-AK57</f>
        <v>0</v>
      </c>
      <c r="AL60" s="51" t="n">
        <f aca="false">AK57-AL57</f>
        <v>0</v>
      </c>
      <c r="AM60" s="51" t="n">
        <f aca="false">AL57-AM57</f>
        <v>0</v>
      </c>
      <c r="AN60" s="51" t="n">
        <f aca="false">AM57-AN57</f>
        <v>0</v>
      </c>
      <c r="AO60" s="51" t="n">
        <f aca="false">AN57-AO57</f>
        <v>0</v>
      </c>
      <c r="AP60" s="51" t="n">
        <f aca="false">AO57-AP57</f>
        <v>0</v>
      </c>
      <c r="AQ60" s="51" t="n">
        <f aca="false">AP57-AQ57</f>
        <v>0</v>
      </c>
      <c r="AR60" s="51" t="n">
        <f aca="false">AQ57-AR57</f>
        <v>0</v>
      </c>
      <c r="AS60" s="51" t="n">
        <f aca="false">AR57-AS57</f>
        <v>0</v>
      </c>
      <c r="AT60" s="51" t="n">
        <f aca="false">AS57-AT57</f>
        <v>0</v>
      </c>
      <c r="AU60" s="51" t="n">
        <f aca="false">AT57-AU57</f>
        <v>0</v>
      </c>
      <c r="AV60" s="51" t="n">
        <f aca="false">AU57-AV57</f>
        <v>0</v>
      </c>
      <c r="AW60" s="51" t="n">
        <f aca="false">AV57-AW57</f>
        <v>0</v>
      </c>
      <c r="AX60" s="51" t="n">
        <f aca="false">AW57-AX57</f>
        <v>0</v>
      </c>
      <c r="AY60" s="51" t="n">
        <f aca="false">AX57-AY57</f>
        <v>0</v>
      </c>
      <c r="AZ60" s="51" t="n">
        <f aca="false">AY57-AZ57</f>
        <v>0</v>
      </c>
      <c r="BA60" s="51" t="n">
        <f aca="false">AZ57-BA57</f>
        <v>0</v>
      </c>
      <c r="BB60" s="51" t="n">
        <f aca="false">BA57-BB57</f>
        <v>0</v>
      </c>
      <c r="BC60" s="51" t="n">
        <f aca="false">BB57-BC57</f>
        <v>0</v>
      </c>
      <c r="BD60" s="51" t="n">
        <f aca="false">BC57-BD57</f>
        <v>0</v>
      </c>
      <c r="BE60" s="51" t="n">
        <f aca="false">BD57-BE57</f>
        <v>0</v>
      </c>
      <c r="BF60" s="51" t="n">
        <f aca="false">BE57-BF57</f>
        <v>0</v>
      </c>
      <c r="BG60" s="51" t="n">
        <f aca="false">BF57-BG57</f>
        <v>0</v>
      </c>
      <c r="BH60" s="51" t="n">
        <f aca="false">BG57-BH57</f>
        <v>0</v>
      </c>
      <c r="BI60" s="51" t="n">
        <f aca="false">BH57-BI57</f>
        <v>0</v>
      </c>
      <c r="BJ60" s="51" t="n">
        <f aca="false">BI57-BJ57</f>
        <v>0</v>
      </c>
    </row>
    <row r="61" customFormat="false" ht="15" hidden="false" customHeight="false" outlineLevel="0" collapsed="false">
      <c r="A61" s="6" t="s">
        <v>319</v>
      </c>
      <c r="C61" s="51" t="n">
        <f aca="false">-C58</f>
        <v>-0</v>
      </c>
      <c r="D61" s="51" t="n">
        <f aca="false">C58-D58</f>
        <v>0</v>
      </c>
      <c r="E61" s="51" t="n">
        <f aca="false">D58-E58</f>
        <v>0</v>
      </c>
      <c r="F61" s="51" t="n">
        <f aca="false">E58-F58</f>
        <v>0</v>
      </c>
      <c r="G61" s="51" t="n">
        <f aca="false">F58-G58</f>
        <v>0</v>
      </c>
      <c r="H61" s="51" t="n">
        <f aca="false">G58-H58</f>
        <v>0</v>
      </c>
      <c r="I61" s="51" t="n">
        <f aca="false">H58-I58</f>
        <v>0</v>
      </c>
      <c r="J61" s="51" t="n">
        <f aca="false">I58-J58</f>
        <v>0</v>
      </c>
      <c r="K61" s="51" t="n">
        <f aca="false">J58-K58</f>
        <v>0</v>
      </c>
      <c r="L61" s="51" t="n">
        <f aca="false">K58-L58</f>
        <v>0</v>
      </c>
      <c r="M61" s="51" t="n">
        <f aca="false">L58-M58</f>
        <v>0</v>
      </c>
      <c r="N61" s="51" t="n">
        <f aca="false">M58-N58</f>
        <v>0</v>
      </c>
      <c r="O61" s="51" t="n">
        <f aca="false">N58-O58</f>
        <v>0</v>
      </c>
      <c r="P61" s="51" t="n">
        <f aca="false">O58-P58</f>
        <v>0</v>
      </c>
      <c r="Q61" s="51" t="n">
        <f aca="false">P58-Q58</f>
        <v>0</v>
      </c>
      <c r="R61" s="51" t="n">
        <f aca="false">Q58-R58</f>
        <v>0</v>
      </c>
      <c r="S61" s="51" t="n">
        <f aca="false">R58-S58</f>
        <v>0</v>
      </c>
      <c r="T61" s="51" t="n">
        <f aca="false">S58-T58</f>
        <v>0</v>
      </c>
      <c r="U61" s="51" t="n">
        <f aca="false">T58-U58</f>
        <v>0</v>
      </c>
      <c r="V61" s="51" t="n">
        <f aca="false">U58-V58</f>
        <v>0</v>
      </c>
      <c r="W61" s="51" t="n">
        <f aca="false">V58-W58</f>
        <v>0</v>
      </c>
      <c r="X61" s="51" t="n">
        <f aca="false">W58-X58</f>
        <v>0</v>
      </c>
      <c r="Y61" s="51" t="n">
        <f aca="false">X58-Y58</f>
        <v>0</v>
      </c>
      <c r="Z61" s="51" t="n">
        <f aca="false">Y58-Z58</f>
        <v>0</v>
      </c>
      <c r="AA61" s="51" t="n">
        <f aca="false">Z58-AA58</f>
        <v>0</v>
      </c>
      <c r="AB61" s="51" t="n">
        <f aca="false">AA58-AB58</f>
        <v>0</v>
      </c>
      <c r="AC61" s="51" t="n">
        <f aca="false">AB58-AC58</f>
        <v>0</v>
      </c>
      <c r="AD61" s="51" t="n">
        <f aca="false">AC58-AD58</f>
        <v>0</v>
      </c>
      <c r="AE61" s="51" t="n">
        <f aca="false">AD58-AE58</f>
        <v>0</v>
      </c>
      <c r="AF61" s="51" t="n">
        <f aca="false">AE58-AF58</f>
        <v>0</v>
      </c>
      <c r="AG61" s="51" t="n">
        <f aca="false">AF58-AG58</f>
        <v>0</v>
      </c>
      <c r="AH61" s="51" t="n">
        <f aca="false">AG58-AH58</f>
        <v>0</v>
      </c>
      <c r="AI61" s="51" t="n">
        <f aca="false">AH58-AI58</f>
        <v>0</v>
      </c>
      <c r="AJ61" s="51" t="n">
        <f aca="false">AI58-AJ58</f>
        <v>0</v>
      </c>
      <c r="AK61" s="51" t="n">
        <f aca="false">AJ58-AK58</f>
        <v>0</v>
      </c>
      <c r="AL61" s="51" t="n">
        <f aca="false">AK58-AL58</f>
        <v>0</v>
      </c>
      <c r="AM61" s="51" t="n">
        <f aca="false">AL58-AM58</f>
        <v>0</v>
      </c>
      <c r="AN61" s="51" t="n">
        <f aca="false">AM58-AN58</f>
        <v>0</v>
      </c>
      <c r="AO61" s="51" t="n">
        <f aca="false">AN58-AO58</f>
        <v>0</v>
      </c>
      <c r="AP61" s="51" t="n">
        <f aca="false">AO58-AP58</f>
        <v>0</v>
      </c>
      <c r="AQ61" s="51" t="n">
        <f aca="false">AP58-AQ58</f>
        <v>0</v>
      </c>
      <c r="AR61" s="51" t="n">
        <f aca="false">AQ58-AR58</f>
        <v>0</v>
      </c>
      <c r="AS61" s="51" t="n">
        <f aca="false">AR58-AS58</f>
        <v>0</v>
      </c>
      <c r="AT61" s="51" t="n">
        <f aca="false">AS58-AT58</f>
        <v>0</v>
      </c>
      <c r="AU61" s="51" t="n">
        <f aca="false">AT58-AU58</f>
        <v>0</v>
      </c>
      <c r="AV61" s="51" t="n">
        <f aca="false">AU58-AV58</f>
        <v>0</v>
      </c>
      <c r="AW61" s="51" t="n">
        <f aca="false">AV58-AW58</f>
        <v>0</v>
      </c>
      <c r="AX61" s="51" t="n">
        <f aca="false">AW58-AX58</f>
        <v>0</v>
      </c>
      <c r="AY61" s="51" t="n">
        <f aca="false">AX58-AY58</f>
        <v>0</v>
      </c>
      <c r="AZ61" s="51" t="n">
        <f aca="false">AY58-AZ58</f>
        <v>0</v>
      </c>
      <c r="BA61" s="51" t="n">
        <f aca="false">AZ58-BA58</f>
        <v>0</v>
      </c>
      <c r="BB61" s="51" t="n">
        <f aca="false">BA58-BB58</f>
        <v>0</v>
      </c>
      <c r="BC61" s="51" t="n">
        <f aca="false">BB58-BC58</f>
        <v>0</v>
      </c>
      <c r="BD61" s="51" t="n">
        <f aca="false">BC58-BD58</f>
        <v>0</v>
      </c>
      <c r="BE61" s="51" t="n">
        <f aca="false">BD58-BE58</f>
        <v>0</v>
      </c>
      <c r="BF61" s="51" t="n">
        <f aca="false">BE58-BF58</f>
        <v>0</v>
      </c>
      <c r="BG61" s="51" t="n">
        <f aca="false">BF58-BG58</f>
        <v>0</v>
      </c>
      <c r="BH61" s="51" t="n">
        <f aca="false">BG58-BH58</f>
        <v>0</v>
      </c>
      <c r="BI61" s="51" t="n">
        <f aca="false">BH58-BI58</f>
        <v>0</v>
      </c>
      <c r="BJ61" s="51" t="n">
        <f aca="false">BI58-BJ58</f>
        <v>0</v>
      </c>
    </row>
    <row r="62" customFormat="false" ht="15" hidden="false" customHeight="false" outlineLevel="0" collapsed="false">
      <c r="A62" s="6" t="s">
        <v>320</v>
      </c>
      <c r="C62" s="51" t="n">
        <f aca="false">C59</f>
        <v>934.5</v>
      </c>
      <c r="D62" s="51" t="n">
        <f aca="false">D59-C59</f>
        <v>0</v>
      </c>
      <c r="E62" s="51" t="n">
        <f aca="false">E59-D59</f>
        <v>0</v>
      </c>
      <c r="F62" s="51" t="n">
        <f aca="false">F59-E59</f>
        <v>0</v>
      </c>
      <c r="G62" s="51" t="n">
        <f aca="false">G59-F59</f>
        <v>0</v>
      </c>
      <c r="H62" s="51" t="n">
        <f aca="false">H59-G59</f>
        <v>0</v>
      </c>
      <c r="I62" s="51" t="n">
        <f aca="false">I59-H59</f>
        <v>0</v>
      </c>
      <c r="J62" s="51" t="n">
        <f aca="false">J59-I59</f>
        <v>0</v>
      </c>
      <c r="K62" s="51" t="n">
        <f aca="false">K59-J59</f>
        <v>0</v>
      </c>
      <c r="L62" s="51" t="n">
        <f aca="false">L59-K59</f>
        <v>0</v>
      </c>
      <c r="M62" s="51" t="n">
        <f aca="false">M59-L59</f>
        <v>0</v>
      </c>
      <c r="N62" s="51" t="n">
        <f aca="false">N59-M59</f>
        <v>0</v>
      </c>
      <c r="O62" s="51" t="n">
        <f aca="false">O59-N59</f>
        <v>28.035</v>
      </c>
      <c r="P62" s="51" t="n">
        <f aca="false">P59-O59</f>
        <v>0</v>
      </c>
      <c r="Q62" s="51" t="n">
        <f aca="false">Q59-P59</f>
        <v>0</v>
      </c>
      <c r="R62" s="51" t="n">
        <f aca="false">R59-Q59</f>
        <v>0</v>
      </c>
      <c r="S62" s="51" t="n">
        <f aca="false">S59-R59</f>
        <v>0</v>
      </c>
      <c r="T62" s="51" t="n">
        <f aca="false">T59-S59</f>
        <v>0</v>
      </c>
      <c r="U62" s="51" t="n">
        <f aca="false">U59-T59</f>
        <v>0</v>
      </c>
      <c r="V62" s="51" t="n">
        <f aca="false">V59-U59</f>
        <v>0</v>
      </c>
      <c r="W62" s="51" t="n">
        <f aca="false">W59-V59</f>
        <v>0</v>
      </c>
      <c r="X62" s="51" t="n">
        <f aca="false">X59-W59</f>
        <v>0</v>
      </c>
      <c r="Y62" s="51" t="n">
        <f aca="false">Y59-X59</f>
        <v>0</v>
      </c>
      <c r="Z62" s="51" t="n">
        <f aca="false">Z59-Y59</f>
        <v>0</v>
      </c>
      <c r="AA62" s="51" t="n">
        <f aca="false">AA59-Z59</f>
        <v>28.87605</v>
      </c>
      <c r="AB62" s="51" t="n">
        <f aca="false">AB59-AA59</f>
        <v>0</v>
      </c>
      <c r="AC62" s="51" t="n">
        <f aca="false">AC59-AB59</f>
        <v>0</v>
      </c>
      <c r="AD62" s="51" t="n">
        <f aca="false">AD59-AC59</f>
        <v>0</v>
      </c>
      <c r="AE62" s="51" t="n">
        <f aca="false">AE59-AD59</f>
        <v>0</v>
      </c>
      <c r="AF62" s="51" t="n">
        <f aca="false">AF59-AE59</f>
        <v>0</v>
      </c>
      <c r="AG62" s="51" t="n">
        <f aca="false">AG59-AF59</f>
        <v>0</v>
      </c>
      <c r="AH62" s="51" t="n">
        <f aca="false">AH59-AG59</f>
        <v>0</v>
      </c>
      <c r="AI62" s="51" t="n">
        <f aca="false">AI59-AH59</f>
        <v>0</v>
      </c>
      <c r="AJ62" s="51" t="n">
        <f aca="false">AJ59-AI59</f>
        <v>0</v>
      </c>
      <c r="AK62" s="51" t="n">
        <f aca="false">AK59-AJ59</f>
        <v>0</v>
      </c>
      <c r="AL62" s="51" t="n">
        <f aca="false">AL59-AK59</f>
        <v>0</v>
      </c>
      <c r="AM62" s="51" t="n">
        <f aca="false">AM59-AL59</f>
        <v>29.7423315000001</v>
      </c>
      <c r="AN62" s="51" t="n">
        <f aca="false">AN59-AM59</f>
        <v>0</v>
      </c>
      <c r="AO62" s="51" t="n">
        <f aca="false">AO59-AN59</f>
        <v>0</v>
      </c>
      <c r="AP62" s="51" t="n">
        <f aca="false">AP59-AO59</f>
        <v>0</v>
      </c>
      <c r="AQ62" s="51" t="n">
        <f aca="false">AQ59-AP59</f>
        <v>0</v>
      </c>
      <c r="AR62" s="51" t="n">
        <f aca="false">AR59-AQ59</f>
        <v>0</v>
      </c>
      <c r="AS62" s="51" t="n">
        <f aca="false">AS59-AR59</f>
        <v>0</v>
      </c>
      <c r="AT62" s="51" t="n">
        <f aca="false">AT59-AS59</f>
        <v>0</v>
      </c>
      <c r="AU62" s="51" t="n">
        <f aca="false">AU59-AT59</f>
        <v>0</v>
      </c>
      <c r="AV62" s="51" t="n">
        <f aca="false">AV59-AU59</f>
        <v>0</v>
      </c>
      <c r="AW62" s="51" t="n">
        <f aca="false">AW59-AV59</f>
        <v>0</v>
      </c>
      <c r="AX62" s="51" t="n">
        <f aca="false">AX59-AW59</f>
        <v>0</v>
      </c>
      <c r="AY62" s="51" t="n">
        <f aca="false">AY59-AX59</f>
        <v>30.6346014450003</v>
      </c>
      <c r="AZ62" s="51" t="n">
        <f aca="false">AZ59-AY59</f>
        <v>0</v>
      </c>
      <c r="BA62" s="51" t="n">
        <f aca="false">BA59-AZ59</f>
        <v>0</v>
      </c>
      <c r="BB62" s="51" t="n">
        <f aca="false">BB59-BA59</f>
        <v>0</v>
      </c>
      <c r="BC62" s="51" t="n">
        <f aca="false">BC59-BB59</f>
        <v>0</v>
      </c>
      <c r="BD62" s="51" t="n">
        <f aca="false">BD59-BC59</f>
        <v>0</v>
      </c>
      <c r="BE62" s="51" t="n">
        <f aca="false">BE59-BD59</f>
        <v>0</v>
      </c>
      <c r="BF62" s="51" t="n">
        <f aca="false">BF59-BE59</f>
        <v>0</v>
      </c>
      <c r="BG62" s="51" t="n">
        <f aca="false">BG59-BF59</f>
        <v>0</v>
      </c>
      <c r="BH62" s="51" t="n">
        <f aca="false">BH59-BG59</f>
        <v>0</v>
      </c>
      <c r="BI62" s="51" t="n">
        <f aca="false">BI59-BH59</f>
        <v>0</v>
      </c>
      <c r="BJ62" s="51" t="n">
        <f aca="false">BJ59-BI59</f>
        <v>0</v>
      </c>
    </row>
    <row r="64" customFormat="false" ht="15.75" hidden="false" customHeight="true" outlineLevel="0" collapsed="false">
      <c r="A64" s="7" t="s">
        <v>408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customFormat="false" ht="15" hidden="false" customHeight="false" outlineLevel="0" collapsed="false">
      <c r="A65" s="4" t="s">
        <v>51</v>
      </c>
      <c r="C65" s="58" t="n">
        <f aca="false">C35-C44+C60+C61+C62</f>
        <v>4879.5</v>
      </c>
      <c r="D65" s="58" t="n">
        <f aca="false">D35-D44+D60+D61+D62</f>
        <v>3950.87608819371</v>
      </c>
      <c r="E65" s="58" t="n">
        <f aca="false">E35-E44+E60+E61+E62</f>
        <v>3956.78400519847</v>
      </c>
      <c r="F65" s="58" t="n">
        <f aca="false">F35-F44+F60+F61+F62</f>
        <v>3962.72392342034</v>
      </c>
      <c r="G65" s="58" t="n">
        <f aca="false">G35-G44+G60+G61+G62</f>
        <v>3968.69601619924</v>
      </c>
      <c r="H65" s="58" t="n">
        <f aca="false">H35-H44+H60+H61+H62</f>
        <v>3974.70045781403</v>
      </c>
      <c r="I65" s="58" t="n">
        <f aca="false">I35-I44+I60+I61+I62</f>
        <v>3980.73742348756</v>
      </c>
      <c r="J65" s="58" t="n">
        <f aca="false">J35-J44+J60+J61+J62</f>
        <v>3986.80708939183</v>
      </c>
      <c r="K65" s="58" t="n">
        <f aca="false">K35-K44+K60+K61+K62</f>
        <v>3992.90963265308</v>
      </c>
      <c r="L65" s="58" t="n">
        <f aca="false">L35-L44+L60+L61+L62</f>
        <v>3999.04523135699</v>
      </c>
      <c r="M65" s="58" t="n">
        <f aca="false">M35-M44+M60+M61+M62</f>
        <v>4005.21406455389</v>
      </c>
      <c r="N65" s="58" t="n">
        <f aca="false">N35-N44+N60+N61+N62</f>
        <v>4011.41631226393</v>
      </c>
      <c r="O65" s="58" t="n">
        <f aca="false">O35-O44+O60+O61+O62</f>
        <v>4359.0371554824</v>
      </c>
      <c r="P65" s="58" t="n">
        <f aca="false">P35-P44+P60+P61+P62</f>
        <v>4337.27177618497</v>
      </c>
      <c r="Q65" s="58" t="n">
        <f aca="false">Q35-Q44+Q60+Q61+Q62</f>
        <v>4343.57535733302</v>
      </c>
      <c r="R65" s="58" t="n">
        <f aca="false">R35-R44+R60+R61+R62</f>
        <v>4349.91308287895</v>
      </c>
      <c r="S65" s="58" t="n">
        <f aca="false">S35-S44+S60+S61+S62</f>
        <v>4356.28513777158</v>
      </c>
      <c r="T65" s="58" t="n">
        <f aca="false">T35-T44+T60+T61+T62</f>
        <v>4362.69170796156</v>
      </c>
      <c r="U65" s="58" t="n">
        <f aca="false">U35-U44+U60+U61+U62</f>
        <v>4369.13298040672</v>
      </c>
      <c r="V65" s="58" t="n">
        <f aca="false">V35-V44+V60+V61+V62</f>
        <v>4375.60914307764</v>
      </c>
      <c r="W65" s="58" t="n">
        <f aca="false">W35-W44+W60+W61+W62</f>
        <v>4382.12038496302</v>
      </c>
      <c r="X65" s="58" t="n">
        <f aca="false">X35-X44+X60+X61+X62</f>
        <v>4388.66689607527</v>
      </c>
      <c r="Y65" s="58" t="n">
        <f aca="false">Y35-Y44+Y60+Y61+Y62</f>
        <v>4395.24886745606</v>
      </c>
      <c r="Z65" s="58" t="n">
        <f aca="false">Z35-Z44+Z60+Z61+Z62</f>
        <v>4401.86649118182</v>
      </c>
      <c r="AA65" s="58" t="n">
        <f aca="false">AA35-AA44+AA60+AA61+AA62</f>
        <v>4760.14651036943</v>
      </c>
      <c r="AB65" s="58" t="n">
        <f aca="false">AB35-AB44+AB60+AB61+AB62</f>
        <v>4737.95996918181</v>
      </c>
      <c r="AC65" s="58" t="n">
        <f aca="false">AC35-AC44+AC60+AC61+AC62</f>
        <v>4744.68571283359</v>
      </c>
      <c r="AD65" s="58" t="n">
        <f aca="false">AD35-AD44+AD60+AD61+AD62</f>
        <v>4751.44788759681</v>
      </c>
      <c r="AE65" s="58" t="n">
        <f aca="false">AE35-AE44+AE60+AE61+AE62</f>
        <v>4758.24669080667</v>
      </c>
      <c r="AF65" s="58" t="n">
        <f aca="false">AF35-AF44+AF60+AF61+AF62</f>
        <v>4765.08232086725</v>
      </c>
      <c r="AG65" s="58" t="n">
        <f aca="false">AG35-AG44+AG60+AG61+AG62</f>
        <v>4771.95497725732</v>
      </c>
      <c r="AH65" s="58" t="n">
        <f aca="false">AH35-AH44+AH60+AH61+AH62</f>
        <v>4778.86486053617</v>
      </c>
      <c r="AI65" s="58" t="n">
        <f aca="false">AI35-AI44+AI60+AI61+AI62</f>
        <v>4785.81217234945</v>
      </c>
      <c r="AJ65" s="58" t="n">
        <f aca="false">AJ35-AJ44+AJ60+AJ61+AJ62</f>
        <v>4792.79711543506</v>
      </c>
      <c r="AK65" s="58" t="n">
        <f aca="false">AK35-AK44+AK60+AK61+AK62</f>
        <v>4799.81989362904</v>
      </c>
      <c r="AL65" s="58" t="n">
        <f aca="false">AL35-AL44+AL60+AL61+AL62</f>
        <v>4806.88071187157</v>
      </c>
      <c r="AM65" s="58" t="n">
        <f aca="false">AM35-AM44+AM60+AM61+AM62</f>
        <v>5176.15512271292</v>
      </c>
      <c r="AN65" s="58" t="n">
        <f aca="false">AN35-AN44+AN60+AN61+AN62</f>
        <v>5153.55030881945</v>
      </c>
      <c r="AO65" s="58" t="n">
        <f aca="false">AO35-AO44+AO60+AO61+AO62</f>
        <v>5160.72648797968</v>
      </c>
      <c r="AP65" s="58" t="n">
        <f aca="false">AP35-AP44+AP60+AP61+AP62</f>
        <v>5167.94153811036</v>
      </c>
      <c r="AQ65" s="58" t="n">
        <f aca="false">AQ35-AQ44+AQ60+AQ61+AQ62</f>
        <v>5175.19566976258</v>
      </c>
      <c r="AR65" s="58" t="n">
        <f aca="false">AR35-AR44+AR60+AR61+AR62</f>
        <v>5182.48909462792</v>
      </c>
      <c r="AS65" s="58" t="n">
        <f aca="false">AS35-AS44+AS60+AS61+AS62</f>
        <v>5189.82202554462</v>
      </c>
      <c r="AT65" s="58" t="n">
        <f aca="false">AT35-AT44+AT60+AT61+AT62</f>
        <v>5197.19467650378</v>
      </c>
      <c r="AU65" s="58" t="n">
        <f aca="false">AU35-AU44+AU60+AU61+AU62</f>
        <v>5204.60726265563</v>
      </c>
      <c r="AV65" s="58" t="n">
        <f aca="false">AV35-AV44+AV60+AV61+AV62</f>
        <v>5212.06000031581</v>
      </c>
      <c r="AW65" s="58" t="n">
        <f aca="false">AW35-AW44+AW60+AW61+AW62</f>
        <v>5219.55310697165</v>
      </c>
      <c r="AX65" s="58" t="n">
        <f aca="false">AX35-AX44+AX60+AX61+AX62</f>
        <v>5227.08680128853</v>
      </c>
      <c r="AY65" s="58" t="n">
        <f aca="false">AY35-AY44+AY60+AY61+AY62</f>
        <v>5607.70191001131</v>
      </c>
      <c r="AZ65" s="58" t="n">
        <f aca="false">AZ35-AZ44+AZ60+AZ61+AZ62</f>
        <v>5584.68283894565</v>
      </c>
      <c r="BA65" s="58" t="n">
        <f aca="false">BA35-BA44+BA60+BA61+BA62</f>
        <v>5592.33962011454</v>
      </c>
      <c r="BB65" s="58" t="n">
        <f aca="false">BB35-BB44+BB60+BB61+BB62</f>
        <v>5600.03787551477</v>
      </c>
      <c r="BC65" s="58" t="n">
        <f aca="false">BC35-BC44+BC60+BC61+BC62</f>
        <v>5607.77782979841</v>
      </c>
      <c r="BD65" s="58" t="n">
        <f aca="false">BD35-BD44+BD60+BD61+BD62</f>
        <v>5615.55970883443</v>
      </c>
      <c r="BE65" s="58" t="n">
        <f aca="false">BE35-BE44+BE60+BE61+BE62</f>
        <v>5623.38373971522</v>
      </c>
      <c r="BF65" s="58" t="n">
        <f aca="false">BF35-BF44+BF60+BF61+BF62</f>
        <v>5631.25015076328</v>
      </c>
      <c r="BG65" s="58" t="n">
        <f aca="false">BG35-BG44+BG60+BG61+BG62</f>
        <v>5639.15917153785</v>
      </c>
      <c r="BH65" s="58" t="n">
        <f aca="false">BH35-BH44+BH60+BH61+BH62</f>
        <v>5647.11103284162</v>
      </c>
      <c r="BI65" s="58" t="n">
        <f aca="false">BI35-BI44+BI60+BI61+BI62</f>
        <v>5634.23807789609</v>
      </c>
      <c r="BJ65" s="58" t="n">
        <f aca="false">BJ35-BJ44+BJ60+BJ61+BJ62</f>
        <v>5481.15927752288</v>
      </c>
    </row>
    <row r="66" customFormat="false" ht="15" hidden="false" customHeight="false" outlineLevel="0" collapsed="false">
      <c r="A66" s="6" t="s">
        <v>409</v>
      </c>
      <c r="C66" s="51" t="n">
        <f aca="false">-C41</f>
        <v>-1905791.66666667</v>
      </c>
      <c r="D66" s="51" t="n">
        <f aca="false">-D41</f>
        <v>-291.666666666667</v>
      </c>
      <c r="E66" s="51" t="n">
        <f aca="false">-E41</f>
        <v>-291.666666666667</v>
      </c>
      <c r="F66" s="51" t="n">
        <f aca="false">-F41</f>
        <v>-291.666666666667</v>
      </c>
      <c r="G66" s="51" t="n">
        <f aca="false">-G41</f>
        <v>-291.666666666667</v>
      </c>
      <c r="H66" s="51" t="n">
        <f aca="false">-H41</f>
        <v>-291.666666666667</v>
      </c>
      <c r="I66" s="51" t="n">
        <f aca="false">-I41</f>
        <v>-291.666666666667</v>
      </c>
      <c r="J66" s="51" t="n">
        <f aca="false">-J41</f>
        <v>-291.666666666667</v>
      </c>
      <c r="K66" s="51" t="n">
        <f aca="false">-K41</f>
        <v>-291.666666666667</v>
      </c>
      <c r="L66" s="51" t="n">
        <f aca="false">-L41</f>
        <v>-291.666666666667</v>
      </c>
      <c r="M66" s="51" t="n">
        <f aca="false">-M41</f>
        <v>-291.666666666667</v>
      </c>
      <c r="N66" s="51" t="n">
        <f aca="false">-N41</f>
        <v>-291.666666666667</v>
      </c>
      <c r="O66" s="51" t="n">
        <f aca="false">-O41</f>
        <v>-300.416666666667</v>
      </c>
      <c r="P66" s="51" t="n">
        <f aca="false">-P41</f>
        <v>-300.416666666667</v>
      </c>
      <c r="Q66" s="51" t="n">
        <f aca="false">-Q41</f>
        <v>-300.416666666667</v>
      </c>
      <c r="R66" s="51" t="n">
        <f aca="false">-R41</f>
        <v>-300.416666666667</v>
      </c>
      <c r="S66" s="51" t="n">
        <f aca="false">-S41</f>
        <v>-300.416666666667</v>
      </c>
      <c r="T66" s="51" t="n">
        <f aca="false">-T41</f>
        <v>-300.416666666667</v>
      </c>
      <c r="U66" s="51" t="n">
        <f aca="false">-U41</f>
        <v>-300.416666666667</v>
      </c>
      <c r="V66" s="51" t="n">
        <f aca="false">-V41</f>
        <v>-300.416666666667</v>
      </c>
      <c r="W66" s="51" t="n">
        <f aca="false">-W41</f>
        <v>-300.416666666667</v>
      </c>
      <c r="X66" s="51" t="n">
        <f aca="false">-X41</f>
        <v>-300.416666666667</v>
      </c>
      <c r="Y66" s="51" t="n">
        <f aca="false">-Y41</f>
        <v>-300.416666666667</v>
      </c>
      <c r="Z66" s="51" t="n">
        <f aca="false">-Z41</f>
        <v>-300.416666666667</v>
      </c>
      <c r="AA66" s="51" t="n">
        <f aca="false">-AA41</f>
        <v>-309.429166666667</v>
      </c>
      <c r="AB66" s="51" t="n">
        <f aca="false">-AB41</f>
        <v>-309.429166666667</v>
      </c>
      <c r="AC66" s="51" t="n">
        <f aca="false">-AC41</f>
        <v>-309.429166666667</v>
      </c>
      <c r="AD66" s="51" t="n">
        <f aca="false">-AD41</f>
        <v>-309.429166666667</v>
      </c>
      <c r="AE66" s="51" t="n">
        <f aca="false">-AE41</f>
        <v>-309.429166666667</v>
      </c>
      <c r="AF66" s="51" t="n">
        <f aca="false">-AF41</f>
        <v>-309.429166666667</v>
      </c>
      <c r="AG66" s="51" t="n">
        <f aca="false">-AG41</f>
        <v>-309.429166666667</v>
      </c>
      <c r="AH66" s="51" t="n">
        <f aca="false">-AH41</f>
        <v>-309.429166666667</v>
      </c>
      <c r="AI66" s="51" t="n">
        <f aca="false">-AI41</f>
        <v>-309.429166666667</v>
      </c>
      <c r="AJ66" s="51" t="n">
        <f aca="false">-AJ41</f>
        <v>-309.429166666667</v>
      </c>
      <c r="AK66" s="51" t="n">
        <f aca="false">-AK41</f>
        <v>-309.429166666667</v>
      </c>
      <c r="AL66" s="51" t="n">
        <f aca="false">-AL41</f>
        <v>-309.429166666667</v>
      </c>
      <c r="AM66" s="51" t="n">
        <f aca="false">-AM41</f>
        <v>-318.712041666667</v>
      </c>
      <c r="AN66" s="51" t="n">
        <f aca="false">-AN41</f>
        <v>-318.712041666667</v>
      </c>
      <c r="AO66" s="51" t="n">
        <f aca="false">-AO41</f>
        <v>-318.712041666667</v>
      </c>
      <c r="AP66" s="51" t="n">
        <f aca="false">-AP41</f>
        <v>-318.712041666667</v>
      </c>
      <c r="AQ66" s="51" t="n">
        <f aca="false">-AQ41</f>
        <v>-318.712041666667</v>
      </c>
      <c r="AR66" s="51" t="n">
        <f aca="false">-AR41</f>
        <v>-318.712041666667</v>
      </c>
      <c r="AS66" s="51" t="n">
        <f aca="false">-AS41</f>
        <v>-318.712041666667</v>
      </c>
      <c r="AT66" s="51" t="n">
        <f aca="false">-AT41</f>
        <v>-318.712041666667</v>
      </c>
      <c r="AU66" s="51" t="n">
        <f aca="false">-AU41</f>
        <v>-318.712041666667</v>
      </c>
      <c r="AV66" s="51" t="n">
        <f aca="false">-AV41</f>
        <v>-318.712041666667</v>
      </c>
      <c r="AW66" s="51" t="n">
        <f aca="false">-AW41</f>
        <v>-318.712041666667</v>
      </c>
      <c r="AX66" s="51" t="n">
        <f aca="false">-AX41</f>
        <v>-318.712041666667</v>
      </c>
      <c r="AY66" s="51" t="n">
        <f aca="false">-AY41</f>
        <v>-328.273402916667</v>
      </c>
      <c r="AZ66" s="51" t="n">
        <f aca="false">-AZ41</f>
        <v>-328.273402916667</v>
      </c>
      <c r="BA66" s="51" t="n">
        <f aca="false">-BA41</f>
        <v>-328.273402916667</v>
      </c>
      <c r="BB66" s="51" t="n">
        <f aca="false">-BB41</f>
        <v>-328.273402916667</v>
      </c>
      <c r="BC66" s="51" t="n">
        <f aca="false">-BC41</f>
        <v>-328.273402916667</v>
      </c>
      <c r="BD66" s="51" t="n">
        <f aca="false">-BD41</f>
        <v>-328.273402916667</v>
      </c>
      <c r="BE66" s="51" t="n">
        <f aca="false">-BE41</f>
        <v>-328.273402916667</v>
      </c>
      <c r="BF66" s="51" t="n">
        <f aca="false">-BF41</f>
        <v>-328.273402916667</v>
      </c>
      <c r="BG66" s="51" t="n">
        <f aca="false">-BG41</f>
        <v>-328.273402916667</v>
      </c>
      <c r="BH66" s="51" t="n">
        <f aca="false">-BH41</f>
        <v>-328.273402916667</v>
      </c>
      <c r="BI66" s="51" t="n">
        <f aca="false">-BI41</f>
        <v>-328.273402916667</v>
      </c>
      <c r="BJ66" s="51" t="n">
        <f aca="false">-BJ41</f>
        <v>-328.273402916667</v>
      </c>
    </row>
    <row r="67" customFormat="false" ht="15" hidden="false" customHeight="false" outlineLevel="0" collapsed="false">
      <c r="A67" s="6" t="s">
        <v>62</v>
      </c>
      <c r="C67" s="51" t="n">
        <f aca="false">IF(C$4=1,Inputs!$E$34,0)</f>
        <v>760000</v>
      </c>
      <c r="D67" s="51" t="n">
        <f aca="false">IF(D$4=1,Inputs!$E$34,0)</f>
        <v>0</v>
      </c>
      <c r="E67" s="51" t="n">
        <f aca="false">IF(E$4=1,Inputs!$E$34,0)</f>
        <v>0</v>
      </c>
      <c r="F67" s="51" t="n">
        <f aca="false">IF(F$4=1,Inputs!$E$34,0)</f>
        <v>0</v>
      </c>
      <c r="G67" s="51" t="n">
        <f aca="false">IF(G$4=1,Inputs!$E$34,0)</f>
        <v>0</v>
      </c>
      <c r="H67" s="51" t="n">
        <f aca="false">IF(H$4=1,Inputs!$E$34,0)</f>
        <v>0</v>
      </c>
      <c r="I67" s="51" t="n">
        <f aca="false">IF(I$4=1,Inputs!$E$34,0)</f>
        <v>0</v>
      </c>
      <c r="J67" s="51" t="n">
        <f aca="false">IF(J$4=1,Inputs!$E$34,0)</f>
        <v>0</v>
      </c>
      <c r="K67" s="51" t="n">
        <f aca="false">IF(K$4=1,Inputs!$E$34,0)</f>
        <v>0</v>
      </c>
      <c r="L67" s="51" t="n">
        <f aca="false">IF(L$4=1,Inputs!$E$34,0)</f>
        <v>0</v>
      </c>
      <c r="M67" s="51" t="n">
        <f aca="false">IF(M$4=1,Inputs!$E$34,0)</f>
        <v>0</v>
      </c>
      <c r="N67" s="51" t="n">
        <f aca="false">IF(N$4=1,Inputs!$E$34,0)</f>
        <v>0</v>
      </c>
      <c r="O67" s="51" t="n">
        <f aca="false">IF(O$4=1,Inputs!$E$34,0)</f>
        <v>0</v>
      </c>
      <c r="P67" s="51" t="n">
        <f aca="false">IF(P$4=1,Inputs!$E$34,0)</f>
        <v>0</v>
      </c>
      <c r="Q67" s="51" t="n">
        <f aca="false">IF(Q$4=1,Inputs!$E$34,0)</f>
        <v>0</v>
      </c>
      <c r="R67" s="51" t="n">
        <f aca="false">IF(R$4=1,Inputs!$E$34,0)</f>
        <v>0</v>
      </c>
      <c r="S67" s="51" t="n">
        <f aca="false">IF(S$4=1,Inputs!$E$34,0)</f>
        <v>0</v>
      </c>
      <c r="T67" s="51" t="n">
        <f aca="false">IF(T$4=1,Inputs!$E$34,0)</f>
        <v>0</v>
      </c>
      <c r="U67" s="51" t="n">
        <f aca="false">IF(U$4=1,Inputs!$E$34,0)</f>
        <v>0</v>
      </c>
      <c r="V67" s="51" t="n">
        <f aca="false">IF(V$4=1,Inputs!$E$34,0)</f>
        <v>0</v>
      </c>
      <c r="W67" s="51" t="n">
        <f aca="false">IF(W$4=1,Inputs!$E$34,0)</f>
        <v>0</v>
      </c>
      <c r="X67" s="51" t="n">
        <f aca="false">IF(X$4=1,Inputs!$E$34,0)</f>
        <v>0</v>
      </c>
      <c r="Y67" s="51" t="n">
        <f aca="false">IF(Y$4=1,Inputs!$E$34,0)</f>
        <v>0</v>
      </c>
      <c r="Z67" s="51" t="n">
        <f aca="false">IF(Z$4=1,Inputs!$E$34,0)</f>
        <v>0</v>
      </c>
      <c r="AA67" s="51" t="n">
        <f aca="false">IF(AA$4=1,Inputs!$E$34,0)</f>
        <v>0</v>
      </c>
      <c r="AB67" s="51" t="n">
        <f aca="false">IF(AB$4=1,Inputs!$E$34,0)</f>
        <v>0</v>
      </c>
      <c r="AC67" s="51" t="n">
        <f aca="false">IF(AC$4=1,Inputs!$E$34,0)</f>
        <v>0</v>
      </c>
      <c r="AD67" s="51" t="n">
        <f aca="false">IF(AD$4=1,Inputs!$E$34,0)</f>
        <v>0</v>
      </c>
      <c r="AE67" s="51" t="n">
        <f aca="false">IF(AE$4=1,Inputs!$E$34,0)</f>
        <v>0</v>
      </c>
      <c r="AF67" s="51" t="n">
        <f aca="false">IF(AF$4=1,Inputs!$E$34,0)</f>
        <v>0</v>
      </c>
      <c r="AG67" s="51" t="n">
        <f aca="false">IF(AG$4=1,Inputs!$E$34,0)</f>
        <v>0</v>
      </c>
      <c r="AH67" s="51" t="n">
        <f aca="false">IF(AH$4=1,Inputs!$E$34,0)</f>
        <v>0</v>
      </c>
      <c r="AI67" s="51" t="n">
        <f aca="false">IF(AI$4=1,Inputs!$E$34,0)</f>
        <v>0</v>
      </c>
      <c r="AJ67" s="51" t="n">
        <f aca="false">IF(AJ$4=1,Inputs!$E$34,0)</f>
        <v>0</v>
      </c>
      <c r="AK67" s="51" t="n">
        <f aca="false">IF(AK$4=1,Inputs!$E$34,0)</f>
        <v>0</v>
      </c>
      <c r="AL67" s="51" t="n">
        <f aca="false">IF(AL$4=1,Inputs!$E$34,0)</f>
        <v>0</v>
      </c>
      <c r="AM67" s="51" t="n">
        <f aca="false">IF(AM$4=1,Inputs!$E$34,0)</f>
        <v>0</v>
      </c>
      <c r="AN67" s="51" t="n">
        <f aca="false">IF(AN$4=1,Inputs!$E$34,0)</f>
        <v>0</v>
      </c>
      <c r="AO67" s="51" t="n">
        <f aca="false">IF(AO$4=1,Inputs!$E$34,0)</f>
        <v>0</v>
      </c>
      <c r="AP67" s="51" t="n">
        <f aca="false">IF(AP$4=1,Inputs!$E$34,0)</f>
        <v>0</v>
      </c>
      <c r="AQ67" s="51" t="n">
        <f aca="false">IF(AQ$4=1,Inputs!$E$34,0)</f>
        <v>0</v>
      </c>
      <c r="AR67" s="51" t="n">
        <f aca="false">IF(AR$4=1,Inputs!$E$34,0)</f>
        <v>0</v>
      </c>
      <c r="AS67" s="51" t="n">
        <f aca="false">IF(AS$4=1,Inputs!$E$34,0)</f>
        <v>0</v>
      </c>
      <c r="AT67" s="51" t="n">
        <f aca="false">IF(AT$4=1,Inputs!$E$34,0)</f>
        <v>0</v>
      </c>
      <c r="AU67" s="51" t="n">
        <f aca="false">IF(AU$4=1,Inputs!$E$34,0)</f>
        <v>0</v>
      </c>
      <c r="AV67" s="51" t="n">
        <f aca="false">IF(AV$4=1,Inputs!$E$34,0)</f>
        <v>0</v>
      </c>
      <c r="AW67" s="51" t="n">
        <f aca="false">IF(AW$4=1,Inputs!$E$34,0)</f>
        <v>0</v>
      </c>
      <c r="AX67" s="51" t="n">
        <f aca="false">IF(AX$4=1,Inputs!$E$34,0)</f>
        <v>0</v>
      </c>
      <c r="AY67" s="51" t="n">
        <f aca="false">IF(AY$4=1,Inputs!$E$34,0)</f>
        <v>0</v>
      </c>
      <c r="AZ67" s="51" t="n">
        <f aca="false">IF(AZ$4=1,Inputs!$E$34,0)</f>
        <v>0</v>
      </c>
      <c r="BA67" s="51" t="n">
        <f aca="false">IF(BA$4=1,Inputs!$E$34,0)</f>
        <v>0</v>
      </c>
      <c r="BB67" s="51" t="n">
        <f aca="false">IF(BB$4=1,Inputs!$E$34,0)</f>
        <v>0</v>
      </c>
      <c r="BC67" s="51" t="n">
        <f aca="false">IF(BC$4=1,Inputs!$E$34,0)</f>
        <v>0</v>
      </c>
      <c r="BD67" s="51" t="n">
        <f aca="false">IF(BD$4=1,Inputs!$E$34,0)</f>
        <v>0</v>
      </c>
      <c r="BE67" s="51" t="n">
        <f aca="false">IF(BE$4=1,Inputs!$E$34,0)</f>
        <v>0</v>
      </c>
      <c r="BF67" s="51" t="n">
        <f aca="false">IF(BF$4=1,Inputs!$E$34,0)</f>
        <v>0</v>
      </c>
      <c r="BG67" s="51" t="n">
        <f aca="false">IF(BG$4=1,Inputs!$E$34,0)</f>
        <v>0</v>
      </c>
      <c r="BH67" s="51" t="n">
        <f aca="false">IF(BH$4=1,Inputs!$E$34,0)</f>
        <v>0</v>
      </c>
      <c r="BI67" s="51" t="n">
        <f aca="false">IF(BI$4=1,Inputs!$E$34,0)</f>
        <v>0</v>
      </c>
      <c r="BJ67" s="51" t="n">
        <f aca="false">IF(BJ$4=1,Inputs!$E$34,0)</f>
        <v>0</v>
      </c>
    </row>
    <row r="68" customFormat="false" ht="15" hidden="false" customHeight="false" outlineLevel="0" collapsed="false">
      <c r="A68" s="6" t="s">
        <v>53</v>
      </c>
      <c r="C68" s="51" t="n">
        <f aca="false">C67+C50+C52</f>
        <v>1958915.18371808</v>
      </c>
      <c r="D68" s="51" t="n">
        <f aca="false">D67+D50+D52</f>
        <v>-1090.69237010927</v>
      </c>
      <c r="E68" s="51" t="n">
        <f aca="false">E67+E50+E52</f>
        <v>-1096.60028711403</v>
      </c>
      <c r="F68" s="51" t="n">
        <f aca="false">F67+F50+F52</f>
        <v>-1102.5402053359</v>
      </c>
      <c r="G68" s="51" t="n">
        <f aca="false">G67+G50+G52</f>
        <v>-1108.5122981148</v>
      </c>
      <c r="H68" s="51" t="n">
        <f aca="false">H67+H50+H52</f>
        <v>-1114.51673972959</v>
      </c>
      <c r="I68" s="51" t="n">
        <f aca="false">I67+I50+I52</f>
        <v>-1120.55370540313</v>
      </c>
      <c r="J68" s="51" t="n">
        <f aca="false">J67+J50+J52</f>
        <v>-1126.62337130739</v>
      </c>
      <c r="K68" s="51" t="n">
        <f aca="false">K67+K50+K52</f>
        <v>-1132.72591456864</v>
      </c>
      <c r="L68" s="51" t="n">
        <f aca="false">L67+L50+L52</f>
        <v>-1138.86151327256</v>
      </c>
      <c r="M68" s="51" t="n">
        <f aca="false">M67+M50+M52</f>
        <v>-1145.03034646945</v>
      </c>
      <c r="N68" s="51" t="n">
        <f aca="false">N67+N50+N52</f>
        <v>-1151.23259417949</v>
      </c>
      <c r="O68" s="51" t="n">
        <f aca="false">O67+O50+O52</f>
        <v>-1157.46843739797</v>
      </c>
      <c r="P68" s="51" t="n">
        <f aca="false">P67+P50+P52</f>
        <v>-1163.73805810054</v>
      </c>
      <c r="Q68" s="51" t="n">
        <f aca="false">Q67+Q50+Q52</f>
        <v>-1170.04163924858</v>
      </c>
      <c r="R68" s="51" t="n">
        <f aca="false">R67+R50+R52</f>
        <v>-1176.37936479451</v>
      </c>
      <c r="S68" s="51" t="n">
        <f aca="false">S67+S50+S52</f>
        <v>-1182.75141968715</v>
      </c>
      <c r="T68" s="51" t="n">
        <f aca="false">T67+T50+T52</f>
        <v>-1189.15798987712</v>
      </c>
      <c r="U68" s="51" t="n">
        <f aca="false">U67+U50+U52</f>
        <v>-1195.59926232229</v>
      </c>
      <c r="V68" s="51" t="n">
        <f aca="false">V67+V50+V52</f>
        <v>-1202.0754249932</v>
      </c>
      <c r="W68" s="51" t="n">
        <f aca="false">W67+W50+W52</f>
        <v>-1208.58666687858</v>
      </c>
      <c r="X68" s="51" t="n">
        <f aca="false">X67+X50+X52</f>
        <v>-1215.13317799084</v>
      </c>
      <c r="Y68" s="51" t="n">
        <f aca="false">Y67+Y50+Y52</f>
        <v>-1221.71514937162</v>
      </c>
      <c r="Z68" s="51" t="n">
        <f aca="false">Z67+Z50+Z52</f>
        <v>-1228.33277309739</v>
      </c>
      <c r="AA68" s="51" t="n">
        <f aca="false">AA67+AA50+AA52</f>
        <v>-1234.986242285</v>
      </c>
      <c r="AB68" s="51" t="n">
        <f aca="false">AB67+AB50+AB52</f>
        <v>-1241.67575109737</v>
      </c>
      <c r="AC68" s="51" t="n">
        <f aca="false">AC67+AC50+AC52</f>
        <v>-1248.40149474915</v>
      </c>
      <c r="AD68" s="51" t="n">
        <f aca="false">AD67+AD50+AD52</f>
        <v>-1255.16366951237</v>
      </c>
      <c r="AE68" s="51" t="n">
        <f aca="false">AE67+AE50+AE52</f>
        <v>-1261.96247272223</v>
      </c>
      <c r="AF68" s="51" t="n">
        <f aca="false">AF67+AF50+AF52</f>
        <v>-1268.79810278281</v>
      </c>
      <c r="AG68" s="51" t="n">
        <f aca="false">AG67+AG50+AG52</f>
        <v>-1275.67075917288</v>
      </c>
      <c r="AH68" s="51" t="n">
        <f aca="false">AH67+AH50+AH52</f>
        <v>-1282.58064245174</v>
      </c>
      <c r="AI68" s="51" t="n">
        <f aca="false">AI67+AI50+AI52</f>
        <v>-1289.52795426502</v>
      </c>
      <c r="AJ68" s="51" t="n">
        <f aca="false">AJ67+AJ50+AJ52</f>
        <v>-1296.51289735062</v>
      </c>
      <c r="AK68" s="51" t="n">
        <f aca="false">AK67+AK50+AK52</f>
        <v>-1303.5356755446</v>
      </c>
      <c r="AL68" s="51" t="n">
        <f aca="false">AL67+AL50+AL52</f>
        <v>-1310.59649378714</v>
      </c>
      <c r="AM68" s="51" t="n">
        <f aca="false">AM67+AM50+AM52</f>
        <v>-1317.69555812848</v>
      </c>
      <c r="AN68" s="51" t="n">
        <f aca="false">AN67+AN50+AN52</f>
        <v>-1324.83307573501</v>
      </c>
      <c r="AO68" s="51" t="n">
        <f aca="false">AO67+AO50+AO52</f>
        <v>-1332.00925489524</v>
      </c>
      <c r="AP68" s="51" t="n">
        <f aca="false">AP67+AP50+AP52</f>
        <v>-1339.22430502593</v>
      </c>
      <c r="AQ68" s="51" t="n">
        <f aca="false">AQ67+AQ50+AQ52</f>
        <v>-1346.47843667815</v>
      </c>
      <c r="AR68" s="51" t="n">
        <f aca="false">AR67+AR50+AR52</f>
        <v>-1353.77186154349</v>
      </c>
      <c r="AS68" s="51" t="n">
        <f aca="false">AS67+AS50+AS52</f>
        <v>-1361.10479246018</v>
      </c>
      <c r="AT68" s="51" t="n">
        <f aca="false">AT67+AT50+AT52</f>
        <v>-1368.47744341934</v>
      </c>
      <c r="AU68" s="51" t="n">
        <f aca="false">AU67+AU50+AU52</f>
        <v>-1375.8900295712</v>
      </c>
      <c r="AV68" s="51" t="n">
        <f aca="false">AV67+AV50+AV52</f>
        <v>-1383.34276723137</v>
      </c>
      <c r="AW68" s="51" t="n">
        <f aca="false">AW67+AW50+AW52</f>
        <v>-1390.83587388721</v>
      </c>
      <c r="AX68" s="51" t="n">
        <f aca="false">AX67+AX50+AX52</f>
        <v>-1398.3695682041</v>
      </c>
      <c r="AY68" s="51" t="n">
        <f aca="false">AY67+AY50+AY52</f>
        <v>-1405.94407003187</v>
      </c>
      <c r="AZ68" s="51" t="n">
        <f aca="false">AZ67+AZ50+AZ52</f>
        <v>-1413.55960041121</v>
      </c>
      <c r="BA68" s="51" t="n">
        <f aca="false">BA67+BA50+BA52</f>
        <v>-1421.21638158011</v>
      </c>
      <c r="BB68" s="51" t="n">
        <f aca="false">BB67+BB50+BB52</f>
        <v>-1428.91463698033</v>
      </c>
      <c r="BC68" s="51" t="n">
        <f aca="false">BC67+BC50+BC52</f>
        <v>-1436.65459126397</v>
      </c>
      <c r="BD68" s="51" t="n">
        <f aca="false">BD67+BD50+BD52</f>
        <v>-1444.43647029999</v>
      </c>
      <c r="BE68" s="51" t="n">
        <f aca="false">BE67+BE50+BE52</f>
        <v>-1452.26050118078</v>
      </c>
      <c r="BF68" s="51" t="n">
        <f aca="false">BF67+BF50+BF52</f>
        <v>-1460.12691222884</v>
      </c>
      <c r="BG68" s="51" t="n">
        <f aca="false">BG67+BG50+BG52</f>
        <v>-1468.03593300341</v>
      </c>
      <c r="BH68" s="51" t="n">
        <f aca="false">BH67+BH50+BH52</f>
        <v>-1475.98779430718</v>
      </c>
      <c r="BI68" s="51" t="n">
        <f aca="false">BI67+BI50+BI52</f>
        <v>-1483.98272819301</v>
      </c>
      <c r="BJ68" s="51" t="n">
        <f aca="false">BJ67+BJ50+BJ52</f>
        <v>-1492.02096797073</v>
      </c>
    </row>
    <row r="69" customFormat="false" ht="15" hidden="false" customHeight="false" outlineLevel="0" collapsed="false">
      <c r="A69" s="96" t="s">
        <v>410</v>
      </c>
      <c r="C69" s="52" t="n">
        <f aca="false">C65+C66+C68</f>
        <v>58003.0170514176</v>
      </c>
      <c r="D69" s="52" t="n">
        <f aca="false">D65+D66+D68</f>
        <v>2568.51705141777</v>
      </c>
      <c r="E69" s="52" t="n">
        <f aca="false">E65+E66+E68</f>
        <v>2568.51705141777</v>
      </c>
      <c r="F69" s="52" t="n">
        <f aca="false">F65+F66+F68</f>
        <v>2568.51705141777</v>
      </c>
      <c r="G69" s="52" t="n">
        <f aca="false">G65+G66+G68</f>
        <v>2568.51705141777</v>
      </c>
      <c r="H69" s="52" t="n">
        <f aca="false">H65+H66+H68</f>
        <v>2568.51705141777</v>
      </c>
      <c r="I69" s="52" t="n">
        <f aca="false">I65+I66+I68</f>
        <v>2568.51705141777</v>
      </c>
      <c r="J69" s="52" t="n">
        <f aca="false">J65+J66+J68</f>
        <v>2568.51705141777</v>
      </c>
      <c r="K69" s="52" t="n">
        <f aca="false">K65+K66+K68</f>
        <v>2568.51705141777</v>
      </c>
      <c r="L69" s="52" t="n">
        <f aca="false">L65+L66+L68</f>
        <v>2568.51705141777</v>
      </c>
      <c r="M69" s="52" t="n">
        <f aca="false">M65+M66+M68</f>
        <v>2568.51705141777</v>
      </c>
      <c r="N69" s="52" t="n">
        <f aca="false">N65+N66+N68</f>
        <v>2568.51705141777</v>
      </c>
      <c r="O69" s="52" t="n">
        <f aca="false">O65+O66+O68</f>
        <v>2901.15205141777</v>
      </c>
      <c r="P69" s="52" t="n">
        <f aca="false">P65+P66+P68</f>
        <v>2873.11705141777</v>
      </c>
      <c r="Q69" s="52" t="n">
        <f aca="false">Q65+Q66+Q68</f>
        <v>2873.11705141777</v>
      </c>
      <c r="R69" s="52" t="n">
        <f aca="false">R65+R66+R68</f>
        <v>2873.11705141777</v>
      </c>
      <c r="S69" s="52" t="n">
        <f aca="false">S65+S66+S68</f>
        <v>2873.11705141777</v>
      </c>
      <c r="T69" s="52" t="n">
        <f aca="false">T65+T66+T68</f>
        <v>2873.11705141777</v>
      </c>
      <c r="U69" s="52" t="n">
        <f aca="false">U65+U66+U68</f>
        <v>2873.11705141777</v>
      </c>
      <c r="V69" s="52" t="n">
        <f aca="false">V65+V66+V68</f>
        <v>2873.11705141777</v>
      </c>
      <c r="W69" s="52" t="n">
        <f aca="false">W65+W66+W68</f>
        <v>2873.11705141777</v>
      </c>
      <c r="X69" s="52" t="n">
        <f aca="false">X65+X66+X68</f>
        <v>2873.11705141777</v>
      </c>
      <c r="Y69" s="52" t="n">
        <f aca="false">Y65+Y66+Y68</f>
        <v>2873.11705141777</v>
      </c>
      <c r="Z69" s="52" t="n">
        <f aca="false">Z65+Z66+Z68</f>
        <v>2873.11705141777</v>
      </c>
      <c r="AA69" s="52" t="n">
        <f aca="false">AA65+AA66+AA68</f>
        <v>3215.73110141777</v>
      </c>
      <c r="AB69" s="52" t="n">
        <f aca="false">AB65+AB66+AB68</f>
        <v>3186.85505141777</v>
      </c>
      <c r="AC69" s="52" t="n">
        <f aca="false">AC65+AC66+AC68</f>
        <v>3186.85505141777</v>
      </c>
      <c r="AD69" s="52" t="n">
        <f aca="false">AD65+AD66+AD68</f>
        <v>3186.85505141777</v>
      </c>
      <c r="AE69" s="52" t="n">
        <f aca="false">AE65+AE66+AE68</f>
        <v>3186.85505141777</v>
      </c>
      <c r="AF69" s="52" t="n">
        <f aca="false">AF65+AF66+AF68</f>
        <v>3186.85505141777</v>
      </c>
      <c r="AG69" s="52" t="n">
        <f aca="false">AG65+AG66+AG68</f>
        <v>3186.85505141777</v>
      </c>
      <c r="AH69" s="52" t="n">
        <f aca="false">AH65+AH66+AH68</f>
        <v>3186.85505141777</v>
      </c>
      <c r="AI69" s="52" t="n">
        <f aca="false">AI65+AI66+AI68</f>
        <v>3186.85505141777</v>
      </c>
      <c r="AJ69" s="52" t="n">
        <f aca="false">AJ65+AJ66+AJ68</f>
        <v>3186.85505141777</v>
      </c>
      <c r="AK69" s="52" t="n">
        <f aca="false">AK65+AK66+AK68</f>
        <v>3186.85505141777</v>
      </c>
      <c r="AL69" s="52" t="n">
        <f aca="false">AL65+AL66+AL68</f>
        <v>3186.85505141777</v>
      </c>
      <c r="AM69" s="52" t="n">
        <f aca="false">AM65+AM66+AM68</f>
        <v>3539.74752291777</v>
      </c>
      <c r="AN69" s="52" t="n">
        <f aca="false">AN65+AN66+AN68</f>
        <v>3510.00519141777</v>
      </c>
      <c r="AO69" s="52" t="n">
        <f aca="false">AO65+AO66+AO68</f>
        <v>3510.00519141777</v>
      </c>
      <c r="AP69" s="52" t="n">
        <f aca="false">AP65+AP66+AP68</f>
        <v>3510.00519141777</v>
      </c>
      <c r="AQ69" s="52" t="n">
        <f aca="false">AQ65+AQ66+AQ68</f>
        <v>3510.00519141777</v>
      </c>
      <c r="AR69" s="52" t="n">
        <f aca="false">AR65+AR66+AR68</f>
        <v>3510.00519141777</v>
      </c>
      <c r="AS69" s="52" t="n">
        <f aca="false">AS65+AS66+AS68</f>
        <v>3510.00519141777</v>
      </c>
      <c r="AT69" s="52" t="n">
        <f aca="false">AT65+AT66+AT68</f>
        <v>3510.00519141777</v>
      </c>
      <c r="AU69" s="52" t="n">
        <f aca="false">AU65+AU66+AU68</f>
        <v>3510.00519141777</v>
      </c>
      <c r="AV69" s="52" t="n">
        <f aca="false">AV65+AV66+AV68</f>
        <v>3510.00519141777</v>
      </c>
      <c r="AW69" s="52" t="n">
        <f aca="false">AW65+AW66+AW68</f>
        <v>3510.00519141777</v>
      </c>
      <c r="AX69" s="52" t="n">
        <f aca="false">AX65+AX66+AX68</f>
        <v>3510.00519141777</v>
      </c>
      <c r="AY69" s="52" t="n">
        <f aca="false">AY65+AY66+AY68</f>
        <v>3873.48443706277</v>
      </c>
      <c r="AZ69" s="52" t="n">
        <f aca="false">AZ65+AZ66+AZ68</f>
        <v>3842.84983561777</v>
      </c>
      <c r="BA69" s="52" t="n">
        <f aca="false">BA65+BA66+BA68</f>
        <v>3842.84983561777</v>
      </c>
      <c r="BB69" s="52" t="n">
        <f aca="false">BB65+BB66+BB68</f>
        <v>3842.84983561777</v>
      </c>
      <c r="BC69" s="52" t="n">
        <f aca="false">BC65+BC66+BC68</f>
        <v>3842.84983561777</v>
      </c>
      <c r="BD69" s="52" t="n">
        <f aca="false">BD65+BD66+BD68</f>
        <v>3842.84983561777</v>
      </c>
      <c r="BE69" s="52" t="n">
        <f aca="false">BE65+BE66+BE68</f>
        <v>3842.84983561777</v>
      </c>
      <c r="BF69" s="52" t="n">
        <f aca="false">BF65+BF66+BF68</f>
        <v>3842.84983561777</v>
      </c>
      <c r="BG69" s="52" t="n">
        <f aca="false">BG65+BG66+BG68</f>
        <v>3842.84983561777</v>
      </c>
      <c r="BH69" s="52" t="n">
        <f aca="false">BH65+BH66+BH68</f>
        <v>3842.84983561777</v>
      </c>
      <c r="BI69" s="52" t="n">
        <f aca="false">BI65+BI66+BI68</f>
        <v>3821.98194678641</v>
      </c>
      <c r="BJ69" s="52" t="n">
        <f aca="false">BJ65+BJ66+BJ68</f>
        <v>3660.86490663549</v>
      </c>
    </row>
    <row r="70" customFormat="false" ht="15" hidden="false" customHeight="false" outlineLevel="0" collapsed="false">
      <c r="A70" s="6" t="s">
        <v>321</v>
      </c>
      <c r="C70" s="51" t="n">
        <f aca="false">0</f>
        <v>0</v>
      </c>
      <c r="D70" s="51" t="n">
        <f aca="false">C71</f>
        <v>58003.0170514176</v>
      </c>
      <c r="E70" s="51" t="n">
        <f aca="false">D71</f>
        <v>60571.5341028354</v>
      </c>
      <c r="F70" s="51" t="n">
        <f aca="false">E71</f>
        <v>63140.0511542531</v>
      </c>
      <c r="G70" s="51" t="n">
        <f aca="false">F71</f>
        <v>65708.5682056709</v>
      </c>
      <c r="H70" s="51" t="n">
        <f aca="false">G71</f>
        <v>68277.0852570887</v>
      </c>
      <c r="I70" s="51" t="n">
        <f aca="false">H71</f>
        <v>70845.6023085065</v>
      </c>
      <c r="J70" s="51" t="n">
        <f aca="false">I71</f>
        <v>73414.1193599242</v>
      </c>
      <c r="K70" s="51" t="n">
        <f aca="false">J71</f>
        <v>75982.636411342</v>
      </c>
      <c r="L70" s="51" t="n">
        <f aca="false">K71</f>
        <v>78551.1534627598</v>
      </c>
      <c r="M70" s="51" t="n">
        <f aca="false">L71</f>
        <v>81119.6705141776</v>
      </c>
      <c r="N70" s="51" t="n">
        <f aca="false">M71</f>
        <v>83688.1875655953</v>
      </c>
      <c r="O70" s="51" t="n">
        <f aca="false">N71</f>
        <v>86256.7046170131</v>
      </c>
      <c r="P70" s="51" t="n">
        <f aca="false">O71</f>
        <v>89157.8566684309</v>
      </c>
      <c r="Q70" s="51" t="n">
        <f aca="false">P71</f>
        <v>92030.9737198486</v>
      </c>
      <c r="R70" s="51" t="n">
        <f aca="false">Q71</f>
        <v>94904.0907712664</v>
      </c>
      <c r="S70" s="51" t="n">
        <f aca="false">R71</f>
        <v>97777.2078226842</v>
      </c>
      <c r="T70" s="51" t="n">
        <f aca="false">S71</f>
        <v>100650.324874102</v>
      </c>
      <c r="U70" s="51" t="n">
        <f aca="false">T71</f>
        <v>103523.44192552</v>
      </c>
      <c r="V70" s="51" t="n">
        <f aca="false">U71</f>
        <v>106396.558976937</v>
      </c>
      <c r="W70" s="51" t="n">
        <f aca="false">V71</f>
        <v>109269.676028355</v>
      </c>
      <c r="X70" s="51" t="n">
        <f aca="false">W71</f>
        <v>112142.793079773</v>
      </c>
      <c r="Y70" s="51" t="n">
        <f aca="false">X71</f>
        <v>115015.910131191</v>
      </c>
      <c r="Z70" s="51" t="n">
        <f aca="false">Y71</f>
        <v>117889.027182609</v>
      </c>
      <c r="AA70" s="51" t="n">
        <f aca="false">Z71</f>
        <v>120762.144234026</v>
      </c>
      <c r="AB70" s="51" t="n">
        <f aca="false">AA71</f>
        <v>123977.875335444</v>
      </c>
      <c r="AC70" s="51" t="n">
        <f aca="false">AB71</f>
        <v>127164.730386862</v>
      </c>
      <c r="AD70" s="51" t="n">
        <f aca="false">AC71</f>
        <v>130351.58543828</v>
      </c>
      <c r="AE70" s="51" t="n">
        <f aca="false">AD71</f>
        <v>133538.440489697</v>
      </c>
      <c r="AF70" s="51" t="n">
        <f aca="false">AE71</f>
        <v>136725.295541115</v>
      </c>
      <c r="AG70" s="51" t="n">
        <f aca="false">AF71</f>
        <v>139912.150592533</v>
      </c>
      <c r="AH70" s="51" t="n">
        <f aca="false">AG71</f>
        <v>143099.005643951</v>
      </c>
      <c r="AI70" s="51" t="n">
        <f aca="false">AH71</f>
        <v>146285.860695368</v>
      </c>
      <c r="AJ70" s="51" t="n">
        <f aca="false">AI71</f>
        <v>149472.715746786</v>
      </c>
      <c r="AK70" s="51" t="n">
        <f aca="false">AJ71</f>
        <v>152659.570798204</v>
      </c>
      <c r="AL70" s="51" t="n">
        <f aca="false">AK71</f>
        <v>155846.425849622</v>
      </c>
      <c r="AM70" s="51" t="n">
        <f aca="false">AL71</f>
        <v>159033.28090104</v>
      </c>
      <c r="AN70" s="51" t="n">
        <f aca="false">AM71</f>
        <v>162573.028423957</v>
      </c>
      <c r="AO70" s="51" t="n">
        <f aca="false">AN71</f>
        <v>166083.033615375</v>
      </c>
      <c r="AP70" s="51" t="n">
        <f aca="false">AO71</f>
        <v>169593.038806793</v>
      </c>
      <c r="AQ70" s="51" t="n">
        <f aca="false">AP71</f>
        <v>173103.043998211</v>
      </c>
      <c r="AR70" s="51" t="n">
        <f aca="false">AQ71</f>
        <v>176613.049189628</v>
      </c>
      <c r="AS70" s="51" t="n">
        <f aca="false">AR71</f>
        <v>180123.054381046</v>
      </c>
      <c r="AT70" s="51" t="n">
        <f aca="false">AS71</f>
        <v>183633.059572464</v>
      </c>
      <c r="AU70" s="51" t="n">
        <f aca="false">AT71</f>
        <v>187143.064763882</v>
      </c>
      <c r="AV70" s="51" t="n">
        <f aca="false">AU71</f>
        <v>190653.069955299</v>
      </c>
      <c r="AW70" s="51" t="n">
        <f aca="false">AV71</f>
        <v>194163.075146717</v>
      </c>
      <c r="AX70" s="51" t="n">
        <f aca="false">AW71</f>
        <v>197673.080338135</v>
      </c>
      <c r="AY70" s="51" t="n">
        <f aca="false">AX71</f>
        <v>201183.085529553</v>
      </c>
      <c r="AZ70" s="51" t="n">
        <f aca="false">AY71</f>
        <v>205056.569966616</v>
      </c>
      <c r="BA70" s="51" t="n">
        <f aca="false">AZ71</f>
        <v>208899.419802233</v>
      </c>
      <c r="BB70" s="51" t="n">
        <f aca="false">BA71</f>
        <v>212742.269637851</v>
      </c>
      <c r="BC70" s="51" t="n">
        <f aca="false">BB71</f>
        <v>216585.119473469</v>
      </c>
      <c r="BD70" s="51" t="n">
        <f aca="false">BC71</f>
        <v>220427.969309087</v>
      </c>
      <c r="BE70" s="51" t="n">
        <f aca="false">BD71</f>
        <v>224270.819144704</v>
      </c>
      <c r="BF70" s="51" t="n">
        <f aca="false">BE71</f>
        <v>228113.668980322</v>
      </c>
      <c r="BG70" s="51" t="n">
        <f aca="false">BF71</f>
        <v>231956.51881594</v>
      </c>
      <c r="BH70" s="51" t="n">
        <f aca="false">BG71</f>
        <v>235799.368651558</v>
      </c>
      <c r="BI70" s="51" t="n">
        <f aca="false">BH71</f>
        <v>239642.218487175</v>
      </c>
      <c r="BJ70" s="51" t="n">
        <f aca="false">BI71</f>
        <v>243464.200433962</v>
      </c>
    </row>
    <row r="71" customFormat="false" ht="15" hidden="false" customHeight="false" outlineLevel="0" collapsed="false">
      <c r="A71" s="96" t="s">
        <v>85</v>
      </c>
      <c r="C71" s="52" t="n">
        <f aca="false">C70+C69</f>
        <v>58003.0170514176</v>
      </c>
      <c r="D71" s="52" t="n">
        <f aca="false">D70+D69</f>
        <v>60571.5341028354</v>
      </c>
      <c r="E71" s="52" t="n">
        <f aca="false">E70+E69</f>
        <v>63140.0511542531</v>
      </c>
      <c r="F71" s="52" t="n">
        <f aca="false">F70+F69</f>
        <v>65708.5682056709</v>
      </c>
      <c r="G71" s="52" t="n">
        <f aca="false">G70+G69</f>
        <v>68277.0852570887</v>
      </c>
      <c r="H71" s="52" t="n">
        <f aca="false">H70+H69</f>
        <v>70845.6023085065</v>
      </c>
      <c r="I71" s="52" t="n">
        <f aca="false">I70+I69</f>
        <v>73414.1193599242</v>
      </c>
      <c r="J71" s="52" t="n">
        <f aca="false">J70+J69</f>
        <v>75982.636411342</v>
      </c>
      <c r="K71" s="52" t="n">
        <f aca="false">K70+K69</f>
        <v>78551.1534627598</v>
      </c>
      <c r="L71" s="52" t="n">
        <f aca="false">L70+L69</f>
        <v>81119.6705141776</v>
      </c>
      <c r="M71" s="52" t="n">
        <f aca="false">M70+M69</f>
        <v>83688.1875655953</v>
      </c>
      <c r="N71" s="52" t="n">
        <f aca="false">N70+N69</f>
        <v>86256.7046170131</v>
      </c>
      <c r="O71" s="52" t="n">
        <f aca="false">O70+O69</f>
        <v>89157.8566684309</v>
      </c>
      <c r="P71" s="52" t="n">
        <f aca="false">P70+P69</f>
        <v>92030.9737198486</v>
      </c>
      <c r="Q71" s="52" t="n">
        <f aca="false">Q70+Q69</f>
        <v>94904.0907712664</v>
      </c>
      <c r="R71" s="52" t="n">
        <f aca="false">R70+R69</f>
        <v>97777.2078226842</v>
      </c>
      <c r="S71" s="52" t="n">
        <f aca="false">S70+S69</f>
        <v>100650.324874102</v>
      </c>
      <c r="T71" s="52" t="n">
        <f aca="false">T70+T69</f>
        <v>103523.44192552</v>
      </c>
      <c r="U71" s="52" t="n">
        <f aca="false">U70+U69</f>
        <v>106396.558976937</v>
      </c>
      <c r="V71" s="52" t="n">
        <f aca="false">V70+V69</f>
        <v>109269.676028355</v>
      </c>
      <c r="W71" s="52" t="n">
        <f aca="false">W70+W69</f>
        <v>112142.793079773</v>
      </c>
      <c r="X71" s="52" t="n">
        <f aca="false">X70+X69</f>
        <v>115015.910131191</v>
      </c>
      <c r="Y71" s="52" t="n">
        <f aca="false">Y70+Y69</f>
        <v>117889.027182609</v>
      </c>
      <c r="Z71" s="52" t="n">
        <f aca="false">Z70+Z69</f>
        <v>120762.144234026</v>
      </c>
      <c r="AA71" s="52" t="n">
        <f aca="false">AA70+AA69</f>
        <v>123977.875335444</v>
      </c>
      <c r="AB71" s="52" t="n">
        <f aca="false">AB70+AB69</f>
        <v>127164.730386862</v>
      </c>
      <c r="AC71" s="52" t="n">
        <f aca="false">AC70+AC69</f>
        <v>130351.58543828</v>
      </c>
      <c r="AD71" s="52" t="n">
        <f aca="false">AD70+AD69</f>
        <v>133538.440489697</v>
      </c>
      <c r="AE71" s="52" t="n">
        <f aca="false">AE70+AE69</f>
        <v>136725.295541115</v>
      </c>
      <c r="AF71" s="52" t="n">
        <f aca="false">AF70+AF69</f>
        <v>139912.150592533</v>
      </c>
      <c r="AG71" s="52" t="n">
        <f aca="false">AG70+AG69</f>
        <v>143099.005643951</v>
      </c>
      <c r="AH71" s="52" t="n">
        <f aca="false">AH70+AH69</f>
        <v>146285.860695368</v>
      </c>
      <c r="AI71" s="52" t="n">
        <f aca="false">AI70+AI69</f>
        <v>149472.715746786</v>
      </c>
      <c r="AJ71" s="52" t="n">
        <f aca="false">AJ70+AJ69</f>
        <v>152659.570798204</v>
      </c>
      <c r="AK71" s="52" t="n">
        <f aca="false">AK70+AK69</f>
        <v>155846.425849622</v>
      </c>
      <c r="AL71" s="52" t="n">
        <f aca="false">AL70+AL69</f>
        <v>159033.28090104</v>
      </c>
      <c r="AM71" s="52" t="n">
        <f aca="false">AM70+AM69</f>
        <v>162573.028423957</v>
      </c>
      <c r="AN71" s="52" t="n">
        <f aca="false">AN70+AN69</f>
        <v>166083.033615375</v>
      </c>
      <c r="AO71" s="52" t="n">
        <f aca="false">AO70+AO69</f>
        <v>169593.038806793</v>
      </c>
      <c r="AP71" s="52" t="n">
        <f aca="false">AP70+AP69</f>
        <v>173103.043998211</v>
      </c>
      <c r="AQ71" s="52" t="n">
        <f aca="false">AQ70+AQ69</f>
        <v>176613.049189628</v>
      </c>
      <c r="AR71" s="52" t="n">
        <f aca="false">AR70+AR69</f>
        <v>180123.054381046</v>
      </c>
      <c r="AS71" s="52" t="n">
        <f aca="false">AS70+AS69</f>
        <v>183633.059572464</v>
      </c>
      <c r="AT71" s="52" t="n">
        <f aca="false">AT70+AT69</f>
        <v>187143.064763882</v>
      </c>
      <c r="AU71" s="52" t="n">
        <f aca="false">AU70+AU69</f>
        <v>190653.069955299</v>
      </c>
      <c r="AV71" s="52" t="n">
        <f aca="false">AV70+AV69</f>
        <v>194163.075146717</v>
      </c>
      <c r="AW71" s="52" t="n">
        <f aca="false">AW70+AW69</f>
        <v>197673.080338135</v>
      </c>
      <c r="AX71" s="52" t="n">
        <f aca="false">AX70+AX69</f>
        <v>201183.085529553</v>
      </c>
      <c r="AY71" s="52" t="n">
        <f aca="false">AY70+AY69</f>
        <v>205056.569966616</v>
      </c>
      <c r="AZ71" s="52" t="n">
        <f aca="false">AZ70+AZ69</f>
        <v>208899.419802233</v>
      </c>
      <c r="BA71" s="52" t="n">
        <f aca="false">BA70+BA69</f>
        <v>212742.269637851</v>
      </c>
      <c r="BB71" s="52" t="n">
        <f aca="false">BB70+BB69</f>
        <v>216585.119473469</v>
      </c>
      <c r="BC71" s="52" t="n">
        <f aca="false">BC70+BC69</f>
        <v>220427.969309087</v>
      </c>
      <c r="BD71" s="52" t="n">
        <f aca="false">BD70+BD69</f>
        <v>224270.819144704</v>
      </c>
      <c r="BE71" s="52" t="n">
        <f aca="false">BE70+BE69</f>
        <v>228113.668980322</v>
      </c>
      <c r="BF71" s="52" t="n">
        <f aca="false">BF70+BF69</f>
        <v>231956.51881594</v>
      </c>
      <c r="BG71" s="52" t="n">
        <f aca="false">BG70+BG69</f>
        <v>235799.368651558</v>
      </c>
      <c r="BH71" s="52" t="n">
        <f aca="false">BH70+BH69</f>
        <v>239642.218487175</v>
      </c>
      <c r="BI71" s="52" t="n">
        <f aca="false">BI70+BI69</f>
        <v>243464.200433962</v>
      </c>
      <c r="BJ71" s="52" t="n">
        <f aca="false">BJ70+BJ69</f>
        <v>247125.065340597</v>
      </c>
    </row>
    <row r="72" customFormat="false" ht="15" hidden="false" customHeight="false" outlineLevel="0" collapsed="false">
      <c r="A72" s="100" t="s">
        <v>411</v>
      </c>
      <c r="C72" s="101" t="n">
        <f aca="false">IF(C26&gt;0,1,0)</f>
        <v>1</v>
      </c>
      <c r="D72" s="101" t="n">
        <f aca="false">IF(D26&gt;0,1,0)</f>
        <v>1</v>
      </c>
      <c r="E72" s="101" t="n">
        <f aca="false">IF(E26&gt;0,1,0)</f>
        <v>1</v>
      </c>
      <c r="F72" s="101" t="n">
        <f aca="false">IF(F26&gt;0,1,0)</f>
        <v>1</v>
      </c>
      <c r="G72" s="101" t="n">
        <f aca="false">IF(G26&gt;0,1,0)</f>
        <v>1</v>
      </c>
      <c r="H72" s="101" t="n">
        <f aca="false">IF(H26&gt;0,1,0)</f>
        <v>1</v>
      </c>
      <c r="I72" s="101" t="n">
        <f aca="false">IF(I26&gt;0,1,0)</f>
        <v>1</v>
      </c>
      <c r="J72" s="101" t="n">
        <f aca="false">IF(J26&gt;0,1,0)</f>
        <v>1</v>
      </c>
      <c r="K72" s="101" t="n">
        <f aca="false">IF(K26&gt;0,1,0)</f>
        <v>1</v>
      </c>
      <c r="L72" s="101" t="n">
        <f aca="false">IF(L26&gt;0,1,0)</f>
        <v>1</v>
      </c>
      <c r="M72" s="101" t="n">
        <f aca="false">IF(M26&gt;0,1,0)</f>
        <v>1</v>
      </c>
      <c r="N72" s="101" t="n">
        <f aca="false">IF(N26&gt;0,1,0)</f>
        <v>1</v>
      </c>
      <c r="O72" s="101" t="n">
        <f aca="false">IF(O26&gt;0,1,0)</f>
        <v>1</v>
      </c>
      <c r="P72" s="101" t="n">
        <f aca="false">IF(P26&gt;0,1,0)</f>
        <v>1</v>
      </c>
      <c r="Q72" s="101" t="n">
        <f aca="false">IF(Q26&gt;0,1,0)</f>
        <v>1</v>
      </c>
      <c r="R72" s="101" t="n">
        <f aca="false">IF(R26&gt;0,1,0)</f>
        <v>1</v>
      </c>
      <c r="S72" s="101" t="n">
        <f aca="false">IF(S26&gt;0,1,0)</f>
        <v>1</v>
      </c>
      <c r="T72" s="101" t="n">
        <f aca="false">IF(T26&gt;0,1,0)</f>
        <v>1</v>
      </c>
      <c r="U72" s="101" t="n">
        <f aca="false">IF(U26&gt;0,1,0)</f>
        <v>1</v>
      </c>
      <c r="V72" s="101" t="n">
        <f aca="false">IF(V26&gt;0,1,0)</f>
        <v>1</v>
      </c>
      <c r="W72" s="101" t="n">
        <f aca="false">IF(W26&gt;0,1,0)</f>
        <v>1</v>
      </c>
      <c r="X72" s="101" t="n">
        <f aca="false">IF(X26&gt;0,1,0)</f>
        <v>1</v>
      </c>
      <c r="Y72" s="101" t="n">
        <f aca="false">IF(Y26&gt;0,1,0)</f>
        <v>1</v>
      </c>
      <c r="Z72" s="101" t="n">
        <f aca="false">IF(Z26&gt;0,1,0)</f>
        <v>1</v>
      </c>
      <c r="AA72" s="101" t="n">
        <f aca="false">IF(AA26&gt;0,1,0)</f>
        <v>1</v>
      </c>
      <c r="AB72" s="101" t="n">
        <f aca="false">IF(AB26&gt;0,1,0)</f>
        <v>1</v>
      </c>
      <c r="AC72" s="101" t="n">
        <f aca="false">IF(AC26&gt;0,1,0)</f>
        <v>1</v>
      </c>
      <c r="AD72" s="101" t="n">
        <f aca="false">IF(AD26&gt;0,1,0)</f>
        <v>1</v>
      </c>
      <c r="AE72" s="101" t="n">
        <f aca="false">IF(AE26&gt;0,1,0)</f>
        <v>1</v>
      </c>
      <c r="AF72" s="101" t="n">
        <f aca="false">IF(AF26&gt;0,1,0)</f>
        <v>1</v>
      </c>
      <c r="AG72" s="101" t="n">
        <f aca="false">IF(AG26&gt;0,1,0)</f>
        <v>1</v>
      </c>
      <c r="AH72" s="101" t="n">
        <f aca="false">IF(AH26&gt;0,1,0)</f>
        <v>1</v>
      </c>
      <c r="AI72" s="101" t="n">
        <f aca="false">IF(AI26&gt;0,1,0)</f>
        <v>1</v>
      </c>
      <c r="AJ72" s="101" t="n">
        <f aca="false">IF(AJ26&gt;0,1,0)</f>
        <v>1</v>
      </c>
      <c r="AK72" s="101" t="n">
        <f aca="false">IF(AK26&gt;0,1,0)</f>
        <v>1</v>
      </c>
      <c r="AL72" s="101" t="n">
        <f aca="false">IF(AL26&gt;0,1,0)</f>
        <v>1</v>
      </c>
      <c r="AM72" s="101" t="n">
        <f aca="false">IF(AM26&gt;0,1,0)</f>
        <v>1</v>
      </c>
      <c r="AN72" s="101" t="n">
        <f aca="false">IF(AN26&gt;0,1,0)</f>
        <v>1</v>
      </c>
      <c r="AO72" s="101" t="n">
        <f aca="false">IF(AO26&gt;0,1,0)</f>
        <v>1</v>
      </c>
      <c r="AP72" s="101" t="n">
        <f aca="false">IF(AP26&gt;0,1,0)</f>
        <v>1</v>
      </c>
      <c r="AQ72" s="101" t="n">
        <f aca="false">IF(AQ26&gt;0,1,0)</f>
        <v>1</v>
      </c>
      <c r="AR72" s="101" t="n">
        <f aca="false">IF(AR26&gt;0,1,0)</f>
        <v>1</v>
      </c>
      <c r="AS72" s="101" t="n">
        <f aca="false">IF(AS26&gt;0,1,0)</f>
        <v>1</v>
      </c>
      <c r="AT72" s="101" t="n">
        <f aca="false">IF(AT26&gt;0,1,0)</f>
        <v>1</v>
      </c>
      <c r="AU72" s="101" t="n">
        <f aca="false">IF(AU26&gt;0,1,0)</f>
        <v>1</v>
      </c>
      <c r="AV72" s="101" t="n">
        <f aca="false">IF(AV26&gt;0,1,0)</f>
        <v>1</v>
      </c>
      <c r="AW72" s="101" t="n">
        <f aca="false">IF(AW26&gt;0,1,0)</f>
        <v>1</v>
      </c>
      <c r="AX72" s="101" t="n">
        <f aca="false">IF(AX26&gt;0,1,0)</f>
        <v>1</v>
      </c>
      <c r="AY72" s="101" t="n">
        <f aca="false">IF(AY26&gt;0,1,0)</f>
        <v>1</v>
      </c>
      <c r="AZ72" s="101" t="n">
        <f aca="false">IF(AZ26&gt;0,1,0)</f>
        <v>1</v>
      </c>
      <c r="BA72" s="101" t="n">
        <f aca="false">IF(BA26&gt;0,1,0)</f>
        <v>1</v>
      </c>
      <c r="BB72" s="101" t="n">
        <f aca="false">IF(BB26&gt;0,1,0)</f>
        <v>1</v>
      </c>
      <c r="BC72" s="101" t="n">
        <f aca="false">IF(BC26&gt;0,1,0)</f>
        <v>1</v>
      </c>
      <c r="BD72" s="101" t="n">
        <f aca="false">IF(BD26&gt;0,1,0)</f>
        <v>1</v>
      </c>
      <c r="BE72" s="101" t="n">
        <f aca="false">IF(BE26&gt;0,1,0)</f>
        <v>1</v>
      </c>
      <c r="BF72" s="101" t="n">
        <f aca="false">IF(BF26&gt;0,1,0)</f>
        <v>1</v>
      </c>
      <c r="BG72" s="101" t="n">
        <f aca="false">IF(BG26&gt;0,1,0)</f>
        <v>1</v>
      </c>
      <c r="BH72" s="101" t="n">
        <f aca="false">IF(BH26&gt;0,1,0)</f>
        <v>1</v>
      </c>
      <c r="BI72" s="101" t="n">
        <f aca="false">IF(BI26&gt;0,1,0)</f>
        <v>1</v>
      </c>
      <c r="BJ72" s="101" t="n">
        <f aca="false">IF(BJ26&gt;0,1,0)</f>
        <v>1</v>
      </c>
    </row>
    <row r="74" customFormat="false" ht="15.75" hidden="false" customHeight="true" outlineLevel="0" collapsed="false">
      <c r="A74" s="7" t="s">
        <v>412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100" t="s">
        <v>413</v>
      </c>
      <c r="C75" s="101" t="n">
        <f aca="false">IF(C35&gt;0,1,0)</f>
        <v>0</v>
      </c>
      <c r="D75" s="101" t="n">
        <f aca="false">IF(D35&gt;0,1,0)</f>
        <v>0</v>
      </c>
      <c r="E75" s="101" t="n">
        <f aca="false">IF(E35&gt;0,1,0)</f>
        <v>0</v>
      </c>
      <c r="F75" s="101" t="n">
        <f aca="false">IF(F35&gt;0,1,0)</f>
        <v>0</v>
      </c>
      <c r="G75" s="101" t="n">
        <f aca="false">IF(G35&gt;0,1,0)</f>
        <v>0</v>
      </c>
      <c r="H75" s="101" t="n">
        <f aca="false">IF(H35&gt;0,1,0)</f>
        <v>0</v>
      </c>
      <c r="I75" s="101" t="n">
        <f aca="false">IF(I35&gt;0,1,0)</f>
        <v>0</v>
      </c>
      <c r="J75" s="101" t="n">
        <f aca="false">IF(J35&gt;0,1,0)</f>
        <v>0</v>
      </c>
      <c r="K75" s="101" t="n">
        <f aca="false">IF(K35&gt;0,1,0)</f>
        <v>0</v>
      </c>
      <c r="L75" s="101" t="n">
        <f aca="false">IF(L35&gt;0,1,0)</f>
        <v>0</v>
      </c>
      <c r="M75" s="101" t="n">
        <f aca="false">IF(M35&gt;0,1,0)</f>
        <v>0</v>
      </c>
      <c r="N75" s="101" t="n">
        <f aca="false">IF(N35&gt;0,1,0)</f>
        <v>0</v>
      </c>
      <c r="O75" s="101" t="n">
        <f aca="false">IF(O35&gt;0,1,0)</f>
        <v>0</v>
      </c>
      <c r="P75" s="101" t="n">
        <f aca="false">IF(P35&gt;0,1,0)</f>
        <v>0</v>
      </c>
      <c r="Q75" s="101" t="n">
        <f aca="false">IF(Q35&gt;0,1,0)</f>
        <v>0</v>
      </c>
      <c r="R75" s="101" t="n">
        <f aca="false">IF(R35&gt;0,1,0)</f>
        <v>0</v>
      </c>
      <c r="S75" s="101" t="n">
        <f aca="false">IF(S35&gt;0,1,0)</f>
        <v>0</v>
      </c>
      <c r="T75" s="101" t="n">
        <f aca="false">IF(T35&gt;0,1,0)</f>
        <v>0</v>
      </c>
      <c r="U75" s="101" t="n">
        <f aca="false">IF(U35&gt;0,1,0)</f>
        <v>0</v>
      </c>
      <c r="V75" s="101" t="n">
        <f aca="false">IF(V35&gt;0,1,0)</f>
        <v>0</v>
      </c>
      <c r="W75" s="101" t="n">
        <f aca="false">IF(W35&gt;0,1,0)</f>
        <v>0</v>
      </c>
      <c r="X75" s="101" t="n">
        <f aca="false">IF(X35&gt;0,1,0)</f>
        <v>0</v>
      </c>
      <c r="Y75" s="101" t="n">
        <f aca="false">IF(Y35&gt;0,1,0)</f>
        <v>0</v>
      </c>
      <c r="Z75" s="101" t="n">
        <f aca="false">IF(Z35&gt;0,1,0)</f>
        <v>0</v>
      </c>
      <c r="AA75" s="101" t="n">
        <f aca="false">IF(AA35&gt;0,1,0)</f>
        <v>0</v>
      </c>
      <c r="AB75" s="101" t="n">
        <f aca="false">IF(AB35&gt;0,1,0)</f>
        <v>0</v>
      </c>
      <c r="AC75" s="101" t="n">
        <f aca="false">IF(AC35&gt;0,1,0)</f>
        <v>0</v>
      </c>
      <c r="AD75" s="101" t="n">
        <f aca="false">IF(AD35&gt;0,1,0)</f>
        <v>0</v>
      </c>
      <c r="AE75" s="101" t="n">
        <f aca="false">IF(AE35&gt;0,1,0)</f>
        <v>0</v>
      </c>
      <c r="AF75" s="101" t="n">
        <f aca="false">IF(AF35&gt;0,1,0)</f>
        <v>0</v>
      </c>
      <c r="AG75" s="101" t="n">
        <f aca="false">IF(AG35&gt;0,1,0)</f>
        <v>1</v>
      </c>
      <c r="AH75" s="101" t="n">
        <f aca="false">IF(AH35&gt;0,1,0)</f>
        <v>1</v>
      </c>
      <c r="AI75" s="101" t="n">
        <f aca="false">IF(AI35&gt;0,1,0)</f>
        <v>1</v>
      </c>
      <c r="AJ75" s="101" t="n">
        <f aca="false">IF(AJ35&gt;0,1,0)</f>
        <v>1</v>
      </c>
      <c r="AK75" s="101" t="n">
        <f aca="false">IF(AK35&gt;0,1,0)</f>
        <v>1</v>
      </c>
      <c r="AL75" s="101" t="n">
        <f aca="false">IF(AL35&gt;0,1,0)</f>
        <v>1</v>
      </c>
      <c r="AM75" s="101" t="n">
        <f aca="false">IF(AM35&gt;0,1,0)</f>
        <v>1</v>
      </c>
      <c r="AN75" s="101" t="n">
        <f aca="false">IF(AN35&gt;0,1,0)</f>
        <v>1</v>
      </c>
      <c r="AO75" s="101" t="n">
        <f aca="false">IF(AO35&gt;0,1,0)</f>
        <v>1</v>
      </c>
      <c r="AP75" s="101" t="n">
        <f aca="false">IF(AP35&gt;0,1,0)</f>
        <v>1</v>
      </c>
      <c r="AQ75" s="101" t="n">
        <f aca="false">IF(AQ35&gt;0,1,0)</f>
        <v>1</v>
      </c>
      <c r="AR75" s="101" t="n">
        <f aca="false">IF(AR35&gt;0,1,0)</f>
        <v>1</v>
      </c>
      <c r="AS75" s="101" t="n">
        <f aca="false">IF(AS35&gt;0,1,0)</f>
        <v>1</v>
      </c>
      <c r="AT75" s="101" t="n">
        <f aca="false">IF(AT35&gt;0,1,0)</f>
        <v>1</v>
      </c>
      <c r="AU75" s="101" t="n">
        <f aca="false">IF(AU35&gt;0,1,0)</f>
        <v>1</v>
      </c>
      <c r="AV75" s="101" t="n">
        <f aca="false">IF(AV35&gt;0,1,0)</f>
        <v>1</v>
      </c>
      <c r="AW75" s="101" t="n">
        <f aca="false">IF(AW35&gt;0,1,0)</f>
        <v>1</v>
      </c>
      <c r="AX75" s="101" t="n">
        <f aca="false">IF(AX35&gt;0,1,0)</f>
        <v>1</v>
      </c>
      <c r="AY75" s="101" t="n">
        <f aca="false">IF(AY35&gt;0,1,0)</f>
        <v>1</v>
      </c>
      <c r="AZ75" s="101" t="n">
        <f aca="false">IF(AZ35&gt;0,1,0)</f>
        <v>1</v>
      </c>
      <c r="BA75" s="101" t="n">
        <f aca="false">IF(BA35&gt;0,1,0)</f>
        <v>1</v>
      </c>
      <c r="BB75" s="101" t="n">
        <f aca="false">IF(BB35&gt;0,1,0)</f>
        <v>1</v>
      </c>
      <c r="BC75" s="101" t="n">
        <f aca="false">IF(BC35&gt;0,1,0)</f>
        <v>1</v>
      </c>
      <c r="BD75" s="101" t="n">
        <f aca="false">IF(BD35&gt;0,1,0)</f>
        <v>1</v>
      </c>
      <c r="BE75" s="101" t="n">
        <f aca="false">IF(BE35&gt;0,1,0)</f>
        <v>1</v>
      </c>
      <c r="BF75" s="101" t="n">
        <f aca="false">IF(BF35&gt;0,1,0)</f>
        <v>1</v>
      </c>
      <c r="BG75" s="101" t="n">
        <f aca="false">IF(BG35&gt;0,1,0)</f>
        <v>1</v>
      </c>
      <c r="BH75" s="101" t="n">
        <f aca="false">IF(BH35&gt;0,1,0)</f>
        <v>1</v>
      </c>
      <c r="BI75" s="101" t="n">
        <f aca="false">IF(BI35&gt;0,1,0)</f>
        <v>1</v>
      </c>
      <c r="BJ75" s="101" t="n">
        <f aca="false">IF(BJ35&gt;0,1,0)</f>
        <v>1</v>
      </c>
    </row>
    <row r="76" customFormat="false" ht="15" hidden="false" customHeight="false" outlineLevel="0" collapsed="false">
      <c r="A76" s="6" t="s">
        <v>414</v>
      </c>
      <c r="C76" s="51" t="n">
        <f aca="false">C65+C66</f>
        <v>-1900912.16666667</v>
      </c>
      <c r="D76" s="51" t="n">
        <f aca="false">D65+D66</f>
        <v>3659.20942152704</v>
      </c>
      <c r="E76" s="51" t="n">
        <f aca="false">E65+E66</f>
        <v>3665.1173385318</v>
      </c>
      <c r="F76" s="51" t="n">
        <f aca="false">F65+F66</f>
        <v>3671.05725675367</v>
      </c>
      <c r="G76" s="51" t="n">
        <f aca="false">G65+G66</f>
        <v>3677.02934953257</v>
      </c>
      <c r="H76" s="51" t="n">
        <f aca="false">H65+H66</f>
        <v>3683.03379114736</v>
      </c>
      <c r="I76" s="51" t="n">
        <f aca="false">I65+I66</f>
        <v>3689.0707568209</v>
      </c>
      <c r="J76" s="51" t="n">
        <f aca="false">J65+J66</f>
        <v>3695.14042272516</v>
      </c>
      <c r="K76" s="51" t="n">
        <f aca="false">K65+K66</f>
        <v>3701.24296598641</v>
      </c>
      <c r="L76" s="51" t="n">
        <f aca="false">L65+L66</f>
        <v>3707.37856469032</v>
      </c>
      <c r="M76" s="51" t="n">
        <f aca="false">M65+M66</f>
        <v>3713.54739788722</v>
      </c>
      <c r="N76" s="51" t="n">
        <f aca="false">N65+N66</f>
        <v>3719.74964559726</v>
      </c>
      <c r="O76" s="51" t="n">
        <f aca="false">O65+O66</f>
        <v>4058.62048881573</v>
      </c>
      <c r="P76" s="51" t="n">
        <f aca="false">P65+P66</f>
        <v>4036.85510951831</v>
      </c>
      <c r="Q76" s="51" t="n">
        <f aca="false">Q65+Q66</f>
        <v>4043.15869066635</v>
      </c>
      <c r="R76" s="51" t="n">
        <f aca="false">R65+R66</f>
        <v>4049.49641621228</v>
      </c>
      <c r="S76" s="51" t="n">
        <f aca="false">S65+S66</f>
        <v>4055.86847110492</v>
      </c>
      <c r="T76" s="51" t="n">
        <f aca="false">T65+T66</f>
        <v>4062.27504129489</v>
      </c>
      <c r="U76" s="51" t="n">
        <f aca="false">U65+U66</f>
        <v>4068.71631374006</v>
      </c>
      <c r="V76" s="51" t="n">
        <f aca="false">V65+V66</f>
        <v>4075.19247641097</v>
      </c>
      <c r="W76" s="51" t="n">
        <f aca="false">W65+W66</f>
        <v>4081.70371829635</v>
      </c>
      <c r="X76" s="51" t="n">
        <f aca="false">X65+X66</f>
        <v>4088.25022940861</v>
      </c>
      <c r="Y76" s="51" t="n">
        <f aca="false">Y65+Y66</f>
        <v>4094.83220078939</v>
      </c>
      <c r="Z76" s="51" t="n">
        <f aca="false">Z65+Z66</f>
        <v>4101.44982451515</v>
      </c>
      <c r="AA76" s="51" t="n">
        <f aca="false">AA65+AA66</f>
        <v>4450.71734370277</v>
      </c>
      <c r="AB76" s="51" t="n">
        <f aca="false">AB65+AB66</f>
        <v>4428.53080251514</v>
      </c>
      <c r="AC76" s="51" t="n">
        <f aca="false">AC65+AC66</f>
        <v>4435.25654616692</v>
      </c>
      <c r="AD76" s="51" t="n">
        <f aca="false">AD65+AD66</f>
        <v>4442.01872093014</v>
      </c>
      <c r="AE76" s="51" t="n">
        <f aca="false">AE65+AE66</f>
        <v>4448.81752414</v>
      </c>
      <c r="AF76" s="51" t="n">
        <f aca="false">AF65+AF66</f>
        <v>4455.65315420058</v>
      </c>
      <c r="AG76" s="51" t="n">
        <f aca="false">AG65+AG66</f>
        <v>4462.52581059065</v>
      </c>
      <c r="AH76" s="51" t="n">
        <f aca="false">AH65+AH66</f>
        <v>4469.43569386951</v>
      </c>
      <c r="AI76" s="51" t="n">
        <f aca="false">AI65+AI66</f>
        <v>4476.38300568279</v>
      </c>
      <c r="AJ76" s="51" t="n">
        <f aca="false">AJ65+AJ66</f>
        <v>4483.36794876839</v>
      </c>
      <c r="AK76" s="51" t="n">
        <f aca="false">AK65+AK66</f>
        <v>4490.39072696237</v>
      </c>
      <c r="AL76" s="51" t="n">
        <f aca="false">AL65+AL66</f>
        <v>4497.4515452049</v>
      </c>
      <c r="AM76" s="51" t="n">
        <f aca="false">AM65+AM66</f>
        <v>4857.44308104625</v>
      </c>
      <c r="AN76" s="51" t="n">
        <f aca="false">AN65+AN66</f>
        <v>4834.83826715278</v>
      </c>
      <c r="AO76" s="51" t="n">
        <f aca="false">AO65+AO66</f>
        <v>4842.01444631301</v>
      </c>
      <c r="AP76" s="51" t="n">
        <f aca="false">AP65+AP66</f>
        <v>4849.22949644369</v>
      </c>
      <c r="AQ76" s="51" t="n">
        <f aca="false">AQ65+AQ66</f>
        <v>4856.48362809592</v>
      </c>
      <c r="AR76" s="51" t="n">
        <f aca="false">AR65+AR66</f>
        <v>4863.77705296126</v>
      </c>
      <c r="AS76" s="51" t="n">
        <f aca="false">AS65+AS66</f>
        <v>4871.10998387795</v>
      </c>
      <c r="AT76" s="51" t="n">
        <f aca="false">AT65+AT66</f>
        <v>4878.48263483711</v>
      </c>
      <c r="AU76" s="51" t="n">
        <f aca="false">AU65+AU66</f>
        <v>4885.89522098896</v>
      </c>
      <c r="AV76" s="51" t="n">
        <f aca="false">AV65+AV66</f>
        <v>4893.34795864914</v>
      </c>
      <c r="AW76" s="51" t="n">
        <f aca="false">AW65+AW66</f>
        <v>4900.84106530498</v>
      </c>
      <c r="AX76" s="51" t="n">
        <f aca="false">AX65+AX66</f>
        <v>4908.37475962187</v>
      </c>
      <c r="AY76" s="51" t="n">
        <f aca="false">AY65+AY66</f>
        <v>5279.42850709464</v>
      </c>
      <c r="AZ76" s="51" t="n">
        <f aca="false">AZ65+AZ66</f>
        <v>5256.40943602898</v>
      </c>
      <c r="BA76" s="51" t="n">
        <f aca="false">BA65+BA66</f>
        <v>5264.06621719788</v>
      </c>
      <c r="BB76" s="51" t="n">
        <f aca="false">BB65+BB66</f>
        <v>5271.7644725981</v>
      </c>
      <c r="BC76" s="51" t="n">
        <f aca="false">BC65+BC66</f>
        <v>5279.50442688175</v>
      </c>
      <c r="BD76" s="51" t="n">
        <f aca="false">BD65+BD66</f>
        <v>5287.28630591776</v>
      </c>
      <c r="BE76" s="51" t="n">
        <f aca="false">BE65+BE66</f>
        <v>5295.11033679855</v>
      </c>
      <c r="BF76" s="51" t="n">
        <f aca="false">BF65+BF66</f>
        <v>5302.97674784661</v>
      </c>
      <c r="BG76" s="51" t="n">
        <f aca="false">BG65+BG66</f>
        <v>5310.88576862119</v>
      </c>
      <c r="BH76" s="51" t="n">
        <f aca="false">BH65+BH66</f>
        <v>5318.83762992496</v>
      </c>
      <c r="BI76" s="51" t="n">
        <f aca="false">BI65+BI66</f>
        <v>5305.96467497943</v>
      </c>
      <c r="BJ76" s="51" t="n">
        <f aca="false">BJ65+BJ66</f>
        <v>5152.88587460621</v>
      </c>
    </row>
    <row r="77" customFormat="false" ht="15" hidden="false" customHeight="false" outlineLevel="0" collapsed="false">
      <c r="A77" s="6" t="s">
        <v>415</v>
      </c>
      <c r="C77" s="51" t="n">
        <f aca="false">C76</f>
        <v>-1900912.16666667</v>
      </c>
      <c r="D77" s="51" t="n">
        <f aca="false">C77+D76</f>
        <v>-1897252.95724514</v>
      </c>
      <c r="E77" s="51" t="n">
        <f aca="false">D77+E76</f>
        <v>-1893587.83990661</v>
      </c>
      <c r="F77" s="51" t="n">
        <f aca="false">E77+F76</f>
        <v>-1889916.78264985</v>
      </c>
      <c r="G77" s="51" t="n">
        <f aca="false">F77+G76</f>
        <v>-1886239.75330032</v>
      </c>
      <c r="H77" s="51" t="n">
        <f aca="false">G77+H76</f>
        <v>-1882556.71950917</v>
      </c>
      <c r="I77" s="51" t="n">
        <f aca="false">H77+I76</f>
        <v>-1878867.64875235</v>
      </c>
      <c r="J77" s="51" t="n">
        <f aca="false">I77+J76</f>
        <v>-1875172.50832963</v>
      </c>
      <c r="K77" s="51" t="n">
        <f aca="false">J77+K76</f>
        <v>-1871471.26536364</v>
      </c>
      <c r="L77" s="51" t="n">
        <f aca="false">K77+L76</f>
        <v>-1867763.88679895</v>
      </c>
      <c r="M77" s="51" t="n">
        <f aca="false">L77+M76</f>
        <v>-1864050.33940106</v>
      </c>
      <c r="N77" s="51" t="n">
        <f aca="false">M77+N76</f>
        <v>-1860330.58975547</v>
      </c>
      <c r="O77" s="51" t="n">
        <f aca="false">N77+O76</f>
        <v>-1856271.96926665</v>
      </c>
      <c r="P77" s="51" t="n">
        <f aca="false">O77+P76</f>
        <v>-1852235.11415713</v>
      </c>
      <c r="Q77" s="51" t="n">
        <f aca="false">P77+Q76</f>
        <v>-1848191.95546647</v>
      </c>
      <c r="R77" s="51" t="n">
        <f aca="false">Q77+R76</f>
        <v>-1844142.45905025</v>
      </c>
      <c r="S77" s="51" t="n">
        <f aca="false">R77+S76</f>
        <v>-1840086.59057915</v>
      </c>
      <c r="T77" s="51" t="n">
        <f aca="false">S77+T76</f>
        <v>-1836024.31553785</v>
      </c>
      <c r="U77" s="51" t="n">
        <f aca="false">T77+U76</f>
        <v>-1831955.59922411</v>
      </c>
      <c r="V77" s="51" t="n">
        <f aca="false">U77+V76</f>
        <v>-1827880.4067477</v>
      </c>
      <c r="W77" s="51" t="n">
        <f aca="false">V77+W76</f>
        <v>-1823798.70302941</v>
      </c>
      <c r="X77" s="51" t="n">
        <f aca="false">W77+X76</f>
        <v>-1819710.4528</v>
      </c>
      <c r="Y77" s="51" t="n">
        <f aca="false">X77+Y76</f>
        <v>-1815615.62059921</v>
      </c>
      <c r="Z77" s="51" t="n">
        <f aca="false">Y77+Z76</f>
        <v>-1811514.17077469</v>
      </c>
      <c r="AA77" s="51" t="n">
        <f aca="false">Z77+AA76</f>
        <v>-1807063.45343099</v>
      </c>
      <c r="AB77" s="51" t="n">
        <f aca="false">AA77+AB76</f>
        <v>-1802634.92262848</v>
      </c>
      <c r="AC77" s="51" t="n">
        <f aca="false">AB77+AC76</f>
        <v>-1798199.66608231</v>
      </c>
      <c r="AD77" s="51" t="n">
        <f aca="false">AC77+AD76</f>
        <v>-1793757.64736138</v>
      </c>
      <c r="AE77" s="51" t="n">
        <f aca="false">AD77+AE76</f>
        <v>-1789308.82983724</v>
      </c>
      <c r="AF77" s="51" t="n">
        <f aca="false">AE77+AF76</f>
        <v>-1784853.17668304</v>
      </c>
      <c r="AG77" s="51" t="n">
        <f aca="false">AF77+AG76</f>
        <v>-1780390.65087245</v>
      </c>
      <c r="AH77" s="51" t="n">
        <f aca="false">AG77+AH76</f>
        <v>-1775921.21517858</v>
      </c>
      <c r="AI77" s="51" t="n">
        <f aca="false">AH77+AI76</f>
        <v>-1771444.8321729</v>
      </c>
      <c r="AJ77" s="51" t="n">
        <f aca="false">AI77+AJ76</f>
        <v>-1766961.46422413</v>
      </c>
      <c r="AK77" s="51" t="n">
        <f aca="false">AJ77+AK76</f>
        <v>-1762471.07349716</v>
      </c>
      <c r="AL77" s="51" t="n">
        <f aca="false">AK77+AL76</f>
        <v>-1757973.62195196</v>
      </c>
      <c r="AM77" s="51" t="n">
        <f aca="false">AL77+AM76</f>
        <v>-1753116.17887091</v>
      </c>
      <c r="AN77" s="51" t="n">
        <f aca="false">AM77+AN76</f>
        <v>-1748281.34060376</v>
      </c>
      <c r="AO77" s="51" t="n">
        <f aca="false">AN77+AO76</f>
        <v>-1743439.32615745</v>
      </c>
      <c r="AP77" s="51" t="n">
        <f aca="false">AO77+AP76</f>
        <v>-1738590.096661</v>
      </c>
      <c r="AQ77" s="51" t="n">
        <f aca="false">AP77+AQ76</f>
        <v>-1733733.61303291</v>
      </c>
      <c r="AR77" s="51" t="n">
        <f aca="false">AQ77+AR76</f>
        <v>-1728869.83597995</v>
      </c>
      <c r="AS77" s="51" t="n">
        <f aca="false">AR77+AS76</f>
        <v>-1723998.72599607</v>
      </c>
      <c r="AT77" s="51" t="n">
        <f aca="false">AS77+AT76</f>
        <v>-1719120.24336123</v>
      </c>
      <c r="AU77" s="51" t="n">
        <f aca="false">AT77+AU76</f>
        <v>-1714234.34814024</v>
      </c>
      <c r="AV77" s="51" t="n">
        <f aca="false">AU77+AV76</f>
        <v>-1709341.00018159</v>
      </c>
      <c r="AW77" s="51" t="n">
        <f aca="false">AV77+AW76</f>
        <v>-1704440.15911629</v>
      </c>
      <c r="AX77" s="51" t="n">
        <f aca="false">AW77+AX76</f>
        <v>-1699531.78435667</v>
      </c>
      <c r="AY77" s="51" t="n">
        <f aca="false">AX77+AY76</f>
        <v>-1694252.35584957</v>
      </c>
      <c r="AZ77" s="51" t="n">
        <f aca="false">AY77+AZ76</f>
        <v>-1688995.94641354</v>
      </c>
      <c r="BA77" s="51" t="n">
        <f aca="false">AZ77+BA76</f>
        <v>-1683731.88019635</v>
      </c>
      <c r="BB77" s="51" t="n">
        <f aca="false">BA77+BB76</f>
        <v>-1678460.11572375</v>
      </c>
      <c r="BC77" s="51" t="n">
        <f aca="false">BB77+BC76</f>
        <v>-1673180.61129687</v>
      </c>
      <c r="BD77" s="51" t="n">
        <f aca="false">BC77+BD76</f>
        <v>-1667893.32499095</v>
      </c>
      <c r="BE77" s="51" t="n">
        <f aca="false">BD77+BE76</f>
        <v>-1662598.21465415</v>
      </c>
      <c r="BF77" s="51" t="n">
        <f aca="false">BE77+BF76</f>
        <v>-1657295.2379063</v>
      </c>
      <c r="BG77" s="51" t="n">
        <f aca="false">BF77+BG76</f>
        <v>-1651984.35213768</v>
      </c>
      <c r="BH77" s="51" t="n">
        <f aca="false">BG77+BH76</f>
        <v>-1646665.51450776</v>
      </c>
      <c r="BI77" s="51" t="n">
        <f aca="false">BH77+BI76</f>
        <v>-1641359.54983278</v>
      </c>
      <c r="BJ77" s="51" t="n">
        <f aca="false">BI77+BJ76</f>
        <v>-1636206.66395817</v>
      </c>
    </row>
    <row r="78" customFormat="false" ht="15" hidden="false" customHeight="false" outlineLevel="0" collapsed="false">
      <c r="A78" s="100" t="s">
        <v>416</v>
      </c>
      <c r="C78" s="51" t="n">
        <f aca="false">C77</f>
        <v>-1900912.16666667</v>
      </c>
      <c r="D78" s="51" t="n">
        <f aca="false">MIN(C78,D77)</f>
        <v>-1900912.16666667</v>
      </c>
      <c r="E78" s="51" t="n">
        <f aca="false">MIN(D78,E77)</f>
        <v>-1900912.16666667</v>
      </c>
      <c r="F78" s="51" t="n">
        <f aca="false">MIN(E78,F77)</f>
        <v>-1900912.16666667</v>
      </c>
      <c r="G78" s="51" t="n">
        <f aca="false">MIN(F78,G77)</f>
        <v>-1900912.16666667</v>
      </c>
      <c r="H78" s="51" t="n">
        <f aca="false">MIN(G78,H77)</f>
        <v>-1900912.16666667</v>
      </c>
      <c r="I78" s="51" t="n">
        <f aca="false">MIN(H78,I77)</f>
        <v>-1900912.16666667</v>
      </c>
      <c r="J78" s="51" t="n">
        <f aca="false">MIN(I78,J77)</f>
        <v>-1900912.16666667</v>
      </c>
      <c r="K78" s="51" t="n">
        <f aca="false">MIN(J78,K77)</f>
        <v>-1900912.16666667</v>
      </c>
      <c r="L78" s="51" t="n">
        <f aca="false">MIN(K78,L77)</f>
        <v>-1900912.16666667</v>
      </c>
      <c r="M78" s="51" t="n">
        <f aca="false">MIN(L78,M77)</f>
        <v>-1900912.16666667</v>
      </c>
      <c r="N78" s="51" t="n">
        <f aca="false">MIN(M78,N77)</f>
        <v>-1900912.16666667</v>
      </c>
      <c r="O78" s="51" t="n">
        <f aca="false">MIN(N78,O77)</f>
        <v>-1900912.16666667</v>
      </c>
      <c r="P78" s="51" t="n">
        <f aca="false">MIN(O78,P77)</f>
        <v>-1900912.16666667</v>
      </c>
      <c r="Q78" s="51" t="n">
        <f aca="false">MIN(P78,Q77)</f>
        <v>-1900912.16666667</v>
      </c>
      <c r="R78" s="51" t="n">
        <f aca="false">MIN(Q78,R77)</f>
        <v>-1900912.16666667</v>
      </c>
      <c r="S78" s="51" t="n">
        <f aca="false">MIN(R78,S77)</f>
        <v>-1900912.16666667</v>
      </c>
      <c r="T78" s="51" t="n">
        <f aca="false">MIN(S78,T77)</f>
        <v>-1900912.16666667</v>
      </c>
      <c r="U78" s="51" t="n">
        <f aca="false">MIN(T78,U77)</f>
        <v>-1900912.16666667</v>
      </c>
      <c r="V78" s="51" t="n">
        <f aca="false">MIN(U78,V77)</f>
        <v>-1900912.16666667</v>
      </c>
      <c r="W78" s="51" t="n">
        <f aca="false">MIN(V78,W77)</f>
        <v>-1900912.16666667</v>
      </c>
      <c r="X78" s="51" t="n">
        <f aca="false">MIN(W78,X77)</f>
        <v>-1900912.16666667</v>
      </c>
      <c r="Y78" s="51" t="n">
        <f aca="false">MIN(X78,Y77)</f>
        <v>-1900912.16666667</v>
      </c>
      <c r="Z78" s="51" t="n">
        <f aca="false">MIN(Y78,Z77)</f>
        <v>-1900912.16666667</v>
      </c>
      <c r="AA78" s="51" t="n">
        <f aca="false">MIN(Z78,AA77)</f>
        <v>-1900912.16666667</v>
      </c>
      <c r="AB78" s="51" t="n">
        <f aca="false">MIN(AA78,AB77)</f>
        <v>-1900912.16666667</v>
      </c>
      <c r="AC78" s="51" t="n">
        <f aca="false">MIN(AB78,AC77)</f>
        <v>-1900912.16666667</v>
      </c>
      <c r="AD78" s="51" t="n">
        <f aca="false">MIN(AC78,AD77)</f>
        <v>-1900912.16666667</v>
      </c>
      <c r="AE78" s="51" t="n">
        <f aca="false">MIN(AD78,AE77)</f>
        <v>-1900912.16666667</v>
      </c>
      <c r="AF78" s="51" t="n">
        <f aca="false">MIN(AE78,AF77)</f>
        <v>-1900912.16666667</v>
      </c>
      <c r="AG78" s="51" t="n">
        <f aca="false">MIN(AF78,AG77)</f>
        <v>-1900912.16666667</v>
      </c>
      <c r="AH78" s="51" t="n">
        <f aca="false">MIN(AG78,AH77)</f>
        <v>-1900912.16666667</v>
      </c>
      <c r="AI78" s="51" t="n">
        <f aca="false">MIN(AH78,AI77)</f>
        <v>-1900912.16666667</v>
      </c>
      <c r="AJ78" s="51" t="n">
        <f aca="false">MIN(AI78,AJ77)</f>
        <v>-1900912.16666667</v>
      </c>
      <c r="AK78" s="51" t="n">
        <f aca="false">MIN(AJ78,AK77)</f>
        <v>-1900912.16666667</v>
      </c>
      <c r="AL78" s="51" t="n">
        <f aca="false">MIN(AK78,AL77)</f>
        <v>-1900912.16666667</v>
      </c>
      <c r="AM78" s="51" t="n">
        <f aca="false">MIN(AL78,AM77)</f>
        <v>-1900912.16666667</v>
      </c>
      <c r="AN78" s="51" t="n">
        <f aca="false">MIN(AM78,AN77)</f>
        <v>-1900912.16666667</v>
      </c>
      <c r="AO78" s="51" t="n">
        <f aca="false">MIN(AN78,AO77)</f>
        <v>-1900912.16666667</v>
      </c>
      <c r="AP78" s="51" t="n">
        <f aca="false">MIN(AO78,AP77)</f>
        <v>-1900912.16666667</v>
      </c>
      <c r="AQ78" s="51" t="n">
        <f aca="false">MIN(AP78,AQ77)</f>
        <v>-1900912.16666667</v>
      </c>
      <c r="AR78" s="51" t="n">
        <f aca="false">MIN(AQ78,AR77)</f>
        <v>-1900912.16666667</v>
      </c>
      <c r="AS78" s="51" t="n">
        <f aca="false">MIN(AR78,AS77)</f>
        <v>-1900912.16666667</v>
      </c>
      <c r="AT78" s="51" t="n">
        <f aca="false">MIN(AS78,AT77)</f>
        <v>-1900912.16666667</v>
      </c>
      <c r="AU78" s="51" t="n">
        <f aca="false">MIN(AT78,AU77)</f>
        <v>-1900912.16666667</v>
      </c>
      <c r="AV78" s="51" t="n">
        <f aca="false">MIN(AU78,AV77)</f>
        <v>-1900912.16666667</v>
      </c>
      <c r="AW78" s="51" t="n">
        <f aca="false">MIN(AV78,AW77)</f>
        <v>-1900912.16666667</v>
      </c>
      <c r="AX78" s="51" t="n">
        <f aca="false">MIN(AW78,AX77)</f>
        <v>-1900912.16666667</v>
      </c>
      <c r="AY78" s="51" t="n">
        <f aca="false">MIN(AX78,AY77)</f>
        <v>-1900912.16666667</v>
      </c>
      <c r="AZ78" s="51" t="n">
        <f aca="false">MIN(AY78,AZ77)</f>
        <v>-1900912.16666667</v>
      </c>
      <c r="BA78" s="51" t="n">
        <f aca="false">MIN(AZ78,BA77)</f>
        <v>-1900912.16666667</v>
      </c>
      <c r="BB78" s="51" t="n">
        <f aca="false">MIN(BA78,BB77)</f>
        <v>-1900912.16666667</v>
      </c>
      <c r="BC78" s="51" t="n">
        <f aca="false">MIN(BB78,BC77)</f>
        <v>-1900912.16666667</v>
      </c>
      <c r="BD78" s="51" t="n">
        <f aca="false">MIN(BC78,BD77)</f>
        <v>-1900912.16666667</v>
      </c>
      <c r="BE78" s="51" t="n">
        <f aca="false">MIN(BD78,BE77)</f>
        <v>-1900912.16666667</v>
      </c>
      <c r="BF78" s="51" t="n">
        <f aca="false">MIN(BE78,BF77)</f>
        <v>-1900912.16666667</v>
      </c>
      <c r="BG78" s="51" t="n">
        <f aca="false">MIN(BF78,BG77)</f>
        <v>-1900912.16666667</v>
      </c>
      <c r="BH78" s="51" t="n">
        <f aca="false">MIN(BG78,BH77)</f>
        <v>-1900912.16666667</v>
      </c>
      <c r="BI78" s="51" t="n">
        <f aca="false">MIN(BH78,BI77)</f>
        <v>-1900912.16666667</v>
      </c>
      <c r="BJ78" s="51" t="n">
        <f aca="false">MIN(BI78,BJ77)</f>
        <v>-1900912.16666667</v>
      </c>
    </row>
    <row r="79" customFormat="false" ht="15" hidden="false" customHeight="false" outlineLevel="0" collapsed="false">
      <c r="A79" s="100" t="s">
        <v>417</v>
      </c>
      <c r="C79" s="101" t="n">
        <f aca="false">IF(AND(C77&gt;=0,C78&lt;0),1,0)</f>
        <v>0</v>
      </c>
      <c r="D79" s="101" t="n">
        <f aca="false">IF(AND(D77&gt;=0,D78&lt;0),1,0)</f>
        <v>0</v>
      </c>
      <c r="E79" s="101" t="n">
        <f aca="false">IF(AND(E77&gt;=0,E78&lt;0),1,0)</f>
        <v>0</v>
      </c>
      <c r="F79" s="101" t="n">
        <f aca="false">IF(AND(F77&gt;=0,F78&lt;0),1,0)</f>
        <v>0</v>
      </c>
      <c r="G79" s="101" t="n">
        <f aca="false">IF(AND(G77&gt;=0,G78&lt;0),1,0)</f>
        <v>0</v>
      </c>
      <c r="H79" s="101" t="n">
        <f aca="false">IF(AND(H77&gt;=0,H78&lt;0),1,0)</f>
        <v>0</v>
      </c>
      <c r="I79" s="101" t="n">
        <f aca="false">IF(AND(I77&gt;=0,I78&lt;0),1,0)</f>
        <v>0</v>
      </c>
      <c r="J79" s="101" t="n">
        <f aca="false">IF(AND(J77&gt;=0,J78&lt;0),1,0)</f>
        <v>0</v>
      </c>
      <c r="K79" s="101" t="n">
        <f aca="false">IF(AND(K77&gt;=0,K78&lt;0),1,0)</f>
        <v>0</v>
      </c>
      <c r="L79" s="101" t="n">
        <f aca="false">IF(AND(L77&gt;=0,L78&lt;0),1,0)</f>
        <v>0</v>
      </c>
      <c r="M79" s="101" t="n">
        <f aca="false">IF(AND(M77&gt;=0,M78&lt;0),1,0)</f>
        <v>0</v>
      </c>
      <c r="N79" s="101" t="n">
        <f aca="false">IF(AND(N77&gt;=0,N78&lt;0),1,0)</f>
        <v>0</v>
      </c>
      <c r="O79" s="101" t="n">
        <f aca="false">IF(AND(O77&gt;=0,O78&lt;0),1,0)</f>
        <v>0</v>
      </c>
      <c r="P79" s="101" t="n">
        <f aca="false">IF(AND(P77&gt;=0,P78&lt;0),1,0)</f>
        <v>0</v>
      </c>
      <c r="Q79" s="101" t="n">
        <f aca="false">IF(AND(Q77&gt;=0,Q78&lt;0),1,0)</f>
        <v>0</v>
      </c>
      <c r="R79" s="101" t="n">
        <f aca="false">IF(AND(R77&gt;=0,R78&lt;0),1,0)</f>
        <v>0</v>
      </c>
      <c r="S79" s="101" t="n">
        <f aca="false">IF(AND(S77&gt;=0,S78&lt;0),1,0)</f>
        <v>0</v>
      </c>
      <c r="T79" s="101" t="n">
        <f aca="false">IF(AND(T77&gt;=0,T78&lt;0),1,0)</f>
        <v>0</v>
      </c>
      <c r="U79" s="101" t="n">
        <f aca="false">IF(AND(U77&gt;=0,U78&lt;0),1,0)</f>
        <v>0</v>
      </c>
      <c r="V79" s="101" t="n">
        <f aca="false">IF(AND(V77&gt;=0,V78&lt;0),1,0)</f>
        <v>0</v>
      </c>
      <c r="W79" s="101" t="n">
        <f aca="false">IF(AND(W77&gt;=0,W78&lt;0),1,0)</f>
        <v>0</v>
      </c>
      <c r="X79" s="101" t="n">
        <f aca="false">IF(AND(X77&gt;=0,X78&lt;0),1,0)</f>
        <v>0</v>
      </c>
      <c r="Y79" s="101" t="n">
        <f aca="false">IF(AND(Y77&gt;=0,Y78&lt;0),1,0)</f>
        <v>0</v>
      </c>
      <c r="Z79" s="101" t="n">
        <f aca="false">IF(AND(Z77&gt;=0,Z78&lt;0),1,0)</f>
        <v>0</v>
      </c>
      <c r="AA79" s="101" t="n">
        <f aca="false">IF(AND(AA77&gt;=0,AA78&lt;0),1,0)</f>
        <v>0</v>
      </c>
      <c r="AB79" s="101" t="n">
        <f aca="false">IF(AND(AB77&gt;=0,AB78&lt;0),1,0)</f>
        <v>0</v>
      </c>
      <c r="AC79" s="101" t="n">
        <f aca="false">IF(AND(AC77&gt;=0,AC78&lt;0),1,0)</f>
        <v>0</v>
      </c>
      <c r="AD79" s="101" t="n">
        <f aca="false">IF(AND(AD77&gt;=0,AD78&lt;0),1,0)</f>
        <v>0</v>
      </c>
      <c r="AE79" s="101" t="n">
        <f aca="false">IF(AND(AE77&gt;=0,AE78&lt;0),1,0)</f>
        <v>0</v>
      </c>
      <c r="AF79" s="101" t="n">
        <f aca="false">IF(AND(AF77&gt;=0,AF78&lt;0),1,0)</f>
        <v>0</v>
      </c>
      <c r="AG79" s="101" t="n">
        <f aca="false">IF(AND(AG77&gt;=0,AG78&lt;0),1,0)</f>
        <v>0</v>
      </c>
      <c r="AH79" s="101" t="n">
        <f aca="false">IF(AND(AH77&gt;=0,AH78&lt;0),1,0)</f>
        <v>0</v>
      </c>
      <c r="AI79" s="101" t="n">
        <f aca="false">IF(AND(AI77&gt;=0,AI78&lt;0),1,0)</f>
        <v>0</v>
      </c>
      <c r="AJ79" s="101" t="n">
        <f aca="false">IF(AND(AJ77&gt;=0,AJ78&lt;0),1,0)</f>
        <v>0</v>
      </c>
      <c r="AK79" s="101" t="n">
        <f aca="false">IF(AND(AK77&gt;=0,AK78&lt;0),1,0)</f>
        <v>0</v>
      </c>
      <c r="AL79" s="101" t="n">
        <f aca="false">IF(AND(AL77&gt;=0,AL78&lt;0),1,0)</f>
        <v>0</v>
      </c>
      <c r="AM79" s="101" t="n">
        <f aca="false">IF(AND(AM77&gt;=0,AM78&lt;0),1,0)</f>
        <v>0</v>
      </c>
      <c r="AN79" s="101" t="n">
        <f aca="false">IF(AND(AN77&gt;=0,AN78&lt;0),1,0)</f>
        <v>0</v>
      </c>
      <c r="AO79" s="101" t="n">
        <f aca="false">IF(AND(AO77&gt;=0,AO78&lt;0),1,0)</f>
        <v>0</v>
      </c>
      <c r="AP79" s="101" t="n">
        <f aca="false">IF(AND(AP77&gt;=0,AP78&lt;0),1,0)</f>
        <v>0</v>
      </c>
      <c r="AQ79" s="101" t="n">
        <f aca="false">IF(AND(AQ77&gt;=0,AQ78&lt;0),1,0)</f>
        <v>0</v>
      </c>
      <c r="AR79" s="101" t="n">
        <f aca="false">IF(AND(AR77&gt;=0,AR78&lt;0),1,0)</f>
        <v>0</v>
      </c>
      <c r="AS79" s="101" t="n">
        <f aca="false">IF(AND(AS77&gt;=0,AS78&lt;0),1,0)</f>
        <v>0</v>
      </c>
      <c r="AT79" s="101" t="n">
        <f aca="false">IF(AND(AT77&gt;=0,AT78&lt;0),1,0)</f>
        <v>0</v>
      </c>
      <c r="AU79" s="101" t="n">
        <f aca="false">IF(AND(AU77&gt;=0,AU78&lt;0),1,0)</f>
        <v>0</v>
      </c>
      <c r="AV79" s="101" t="n">
        <f aca="false">IF(AND(AV77&gt;=0,AV78&lt;0),1,0)</f>
        <v>0</v>
      </c>
      <c r="AW79" s="101" t="n">
        <f aca="false">IF(AND(AW77&gt;=0,AW78&lt;0),1,0)</f>
        <v>0</v>
      </c>
      <c r="AX79" s="101" t="n">
        <f aca="false">IF(AND(AX77&gt;=0,AX78&lt;0),1,0)</f>
        <v>0</v>
      </c>
      <c r="AY79" s="101" t="n">
        <f aca="false">IF(AND(AY77&gt;=0,AY78&lt;0),1,0)</f>
        <v>0</v>
      </c>
      <c r="AZ79" s="101" t="n">
        <f aca="false">IF(AND(AZ77&gt;=0,AZ78&lt;0),1,0)</f>
        <v>0</v>
      </c>
      <c r="BA79" s="101" t="n">
        <f aca="false">IF(AND(BA77&gt;=0,BA78&lt;0),1,0)</f>
        <v>0</v>
      </c>
      <c r="BB79" s="101" t="n">
        <f aca="false">IF(AND(BB77&gt;=0,BB78&lt;0),1,0)</f>
        <v>0</v>
      </c>
      <c r="BC79" s="101" t="n">
        <f aca="false">IF(AND(BC77&gt;=0,BC78&lt;0),1,0)</f>
        <v>0</v>
      </c>
      <c r="BD79" s="101" t="n">
        <f aca="false">IF(AND(BD77&gt;=0,BD78&lt;0),1,0)</f>
        <v>0</v>
      </c>
      <c r="BE79" s="101" t="n">
        <f aca="false">IF(AND(BE77&gt;=0,BE78&lt;0),1,0)</f>
        <v>0</v>
      </c>
      <c r="BF79" s="101" t="n">
        <f aca="false">IF(AND(BF77&gt;=0,BF78&lt;0),1,0)</f>
        <v>0</v>
      </c>
      <c r="BG79" s="101" t="n">
        <f aca="false">IF(AND(BG77&gt;=0,BG78&lt;0),1,0)</f>
        <v>0</v>
      </c>
      <c r="BH79" s="101" t="n">
        <f aca="false">IF(AND(BH77&gt;=0,BH78&lt;0),1,0)</f>
        <v>0</v>
      </c>
      <c r="BI79" s="101" t="n">
        <f aca="false">IF(AND(BI77&gt;=0,BI78&lt;0),1,0)</f>
        <v>0</v>
      </c>
      <c r="BJ79" s="101" t="n">
        <f aca="false">IF(AND(BJ77&gt;=0,BJ78&lt;0),1,0)</f>
        <v>0</v>
      </c>
    </row>
    <row r="80" customFormat="false" ht="15" hidden="false" customHeight="false" outlineLevel="0" collapsed="false">
      <c r="A80" s="6" t="s">
        <v>418</v>
      </c>
      <c r="C80" s="51" t="n">
        <f aca="false">C65-C30*(1-Inputs!$E$46)+C66</f>
        <v>-1895777.16666667</v>
      </c>
      <c r="D80" s="51" t="n">
        <f aca="false">D65-D30*(1-Inputs!$E$46)+D66</f>
        <v>8789.56731185401</v>
      </c>
      <c r="E80" s="51" t="n">
        <f aca="false">E65-E30*(1-Inputs!$E$46)+E66</f>
        <v>8790.80797442501</v>
      </c>
      <c r="F80" s="51" t="n">
        <f aca="false">F65-F30*(1-Inputs!$E$46)+F66</f>
        <v>8792.05535725161</v>
      </c>
      <c r="G80" s="51" t="n">
        <f aca="false">G65-G30*(1-Inputs!$E$46)+G66</f>
        <v>8793.30949673517</v>
      </c>
      <c r="H80" s="51" t="n">
        <f aca="false">H65-H30*(1-Inputs!$E$46)+H66</f>
        <v>8794.57042947428</v>
      </c>
      <c r="I80" s="51" t="n">
        <f aca="false">I65-I30*(1-Inputs!$E$46)+I66</f>
        <v>8795.83819226572</v>
      </c>
      <c r="J80" s="51" t="n">
        <f aca="false">J65-J30*(1-Inputs!$E$46)+J66</f>
        <v>8797.11282210562</v>
      </c>
      <c r="K80" s="51" t="n">
        <f aca="false">K65-K30*(1-Inputs!$E$46)+K66</f>
        <v>8798.39435619048</v>
      </c>
      <c r="L80" s="51" t="n">
        <f aca="false">L65-L30*(1-Inputs!$E$46)+L66</f>
        <v>8799.6828319183</v>
      </c>
      <c r="M80" s="51" t="n">
        <f aca="false">M65-M30*(1-Inputs!$E$46)+M66</f>
        <v>8800.97828688965</v>
      </c>
      <c r="N80" s="51" t="n">
        <f aca="false">N65-N30*(1-Inputs!$E$46)+N66</f>
        <v>8802.28075890876</v>
      </c>
      <c r="O80" s="51" t="n">
        <f aca="false">O65-O30*(1-Inputs!$E$46)+O66</f>
        <v>9136.22528598464</v>
      </c>
      <c r="P80" s="51" t="n">
        <f aca="false">P65-P30*(1-Inputs!$E$46)+P66</f>
        <v>9109.50690633218</v>
      </c>
      <c r="Q80" s="51" t="n">
        <f aca="false">Q65-Q30*(1-Inputs!$E$46)+Q66</f>
        <v>9110.83065837327</v>
      </c>
      <c r="R80" s="51" t="n">
        <f aca="false">R65-R30*(1-Inputs!$E$46)+R66</f>
        <v>9112.16158073791</v>
      </c>
      <c r="S80" s="51" t="n">
        <f aca="false">S65-S30*(1-Inputs!$E$46)+S66</f>
        <v>9113.49971226537</v>
      </c>
      <c r="T80" s="51" t="n">
        <f aca="false">T65-T30*(1-Inputs!$E$46)+T66</f>
        <v>9114.84509200526</v>
      </c>
      <c r="U80" s="51" t="n">
        <f aca="false">U65-U30*(1-Inputs!$E$46)+U66</f>
        <v>9116.19775921875</v>
      </c>
      <c r="V80" s="51" t="n">
        <f aca="false">V65-V30*(1-Inputs!$E$46)+V66</f>
        <v>9117.55775337964</v>
      </c>
      <c r="W80" s="51" t="n">
        <f aca="false">W65-W30*(1-Inputs!$E$46)+W66</f>
        <v>9118.92511417557</v>
      </c>
      <c r="X80" s="51" t="n">
        <f aca="false">X65-X30*(1-Inputs!$E$46)+X66</f>
        <v>9120.29988150914</v>
      </c>
      <c r="Y80" s="51" t="n">
        <f aca="false">Y65-Y30*(1-Inputs!$E$46)+Y66</f>
        <v>9121.68209549911</v>
      </c>
      <c r="Z80" s="51" t="n">
        <f aca="false">Z65-Z30*(1-Inputs!$E$46)+Z66</f>
        <v>9123.07179648152</v>
      </c>
      <c r="AA80" s="51" t="n">
        <f aca="false">AA65-AA30*(1-Inputs!$E$46)+AA66</f>
        <v>9467.08307501091</v>
      </c>
      <c r="AB80" s="51" t="n">
        <f aca="false">AB65-AB30*(1-Inputs!$E$46)+AB66</f>
        <v>9439.61182186151</v>
      </c>
      <c r="AC80" s="51" t="n">
        <f aca="false">AC65-AC30*(1-Inputs!$E$46)+AC66</f>
        <v>9441.02422802839</v>
      </c>
      <c r="AD80" s="51" t="n">
        <f aca="false">AD65-AD30*(1-Inputs!$E$46)+AD66</f>
        <v>9442.44428472867</v>
      </c>
      <c r="AE80" s="51" t="n">
        <f aca="false">AE65-AE30*(1-Inputs!$E$46)+AE66</f>
        <v>9443.87203340273</v>
      </c>
      <c r="AF80" s="51" t="n">
        <f aca="false">AF65-AF30*(1-Inputs!$E$46)+AF66</f>
        <v>9445.30751571545</v>
      </c>
      <c r="AG80" s="51" t="n">
        <f aca="false">AG65-AG30*(1-Inputs!$E$46)+AG66</f>
        <v>9446.75077355737</v>
      </c>
      <c r="AH80" s="51" t="n">
        <f aca="false">AH65-AH30*(1-Inputs!$E$46)+AH66</f>
        <v>9448.20184904593</v>
      </c>
      <c r="AI80" s="51" t="n">
        <f aca="false">AI65-AI30*(1-Inputs!$E$46)+AI66</f>
        <v>9449.66078452672</v>
      </c>
      <c r="AJ80" s="51" t="n">
        <f aca="false">AJ65-AJ30*(1-Inputs!$E$46)+AJ66</f>
        <v>9451.1276225747</v>
      </c>
      <c r="AK80" s="51" t="n">
        <f aca="false">AK65-AK30*(1-Inputs!$E$46)+AK66</f>
        <v>9452.60240599543</v>
      </c>
      <c r="AL80" s="51" t="n">
        <f aca="false">AL65-AL30*(1-Inputs!$E$46)+AL66</f>
        <v>9454.08517782636</v>
      </c>
      <c r="AM80" s="51" t="n">
        <f aca="false">AM65-AM30*(1-Inputs!$E$46)+AM66</f>
        <v>9808.46845283805</v>
      </c>
      <c r="AN80" s="51" t="n">
        <f aca="false">AN65-AN30*(1-Inputs!$E$46)+AN66</f>
        <v>9780.22500003542</v>
      </c>
      <c r="AO80" s="51" t="n">
        <f aca="false">AO65-AO30*(1-Inputs!$E$46)+AO66</f>
        <v>9781.73199765907</v>
      </c>
      <c r="AP80" s="51" t="n">
        <f aca="false">AP65-AP30*(1-Inputs!$E$46)+AP66</f>
        <v>9783.24715818651</v>
      </c>
      <c r="AQ80" s="51" t="n">
        <f aca="false">AQ65-AQ30*(1-Inputs!$E$46)+AQ66</f>
        <v>9784.77052583348</v>
      </c>
      <c r="AR80" s="51" t="n">
        <f aca="false">AR65-AR30*(1-Inputs!$E$46)+AR66</f>
        <v>9786.3021450552</v>
      </c>
      <c r="AS80" s="51" t="n">
        <f aca="false">AS65-AS30*(1-Inputs!$E$46)+AS66</f>
        <v>9787.8420605477</v>
      </c>
      <c r="AT80" s="51" t="n">
        <f aca="false">AT65-AT30*(1-Inputs!$E$46)+AT66</f>
        <v>9789.39031724913</v>
      </c>
      <c r="AU80" s="51" t="n">
        <f aca="false">AU65-AU30*(1-Inputs!$E$46)+AU66</f>
        <v>9790.94696034101</v>
      </c>
      <c r="AV80" s="51" t="n">
        <f aca="false">AV65-AV30*(1-Inputs!$E$46)+AV66</f>
        <v>9792.51203524965</v>
      </c>
      <c r="AW80" s="51" t="n">
        <f aca="false">AW65-AW30*(1-Inputs!$E$46)+AW66</f>
        <v>9794.08558764738</v>
      </c>
      <c r="AX80" s="51" t="n">
        <f aca="false">AX65-AX30*(1-Inputs!$E$46)+AX66</f>
        <v>9795.66766345393</v>
      </c>
      <c r="AY80" s="51" t="n">
        <f aca="false">AY65-AY30*(1-Inputs!$E$46)+AY66</f>
        <v>10160.7375544828</v>
      </c>
      <c r="AZ80" s="51" t="n">
        <f aca="false">AZ65-AZ30*(1-Inputs!$E$46)+AZ66</f>
        <v>10131.7022144174</v>
      </c>
      <c r="BA80" s="51" t="n">
        <f aca="false">BA65-BA30*(1-Inputs!$E$46)+BA66</f>
        <v>10133.3101384629</v>
      </c>
      <c r="BB80" s="51" t="n">
        <f aca="false">BB65-BB30*(1-Inputs!$E$46)+BB66</f>
        <v>10134.9267720969</v>
      </c>
      <c r="BC80" s="51" t="n">
        <f aca="false">BC65-BC30*(1-Inputs!$E$46)+BC66</f>
        <v>10136.5521624965</v>
      </c>
      <c r="BD80" s="51" t="n">
        <f aca="false">BD65-BD30*(1-Inputs!$E$46)+BD66</f>
        <v>10138.1863570941</v>
      </c>
      <c r="BE80" s="51" t="n">
        <f aca="false">BE65-BE30*(1-Inputs!$E$46)+BE66</f>
        <v>10139.829403579</v>
      </c>
      <c r="BF80" s="51" t="n">
        <f aca="false">BF65-BF30*(1-Inputs!$E$46)+BF66</f>
        <v>10141.4813498991</v>
      </c>
      <c r="BG80" s="51" t="n">
        <f aca="false">BG65-BG30*(1-Inputs!$E$46)+BG66</f>
        <v>10143.1422442618</v>
      </c>
      <c r="BH80" s="51" t="n">
        <f aca="false">BH65-BH30*(1-Inputs!$E$46)+BH66</f>
        <v>10144.8121351356</v>
      </c>
      <c r="BI80" s="51" t="n">
        <f aca="false">BI65-BI30*(1-Inputs!$E$46)+BI66</f>
        <v>10125.6231824202</v>
      </c>
      <c r="BJ80" s="51" t="n">
        <f aca="false">BJ65-BJ30*(1-Inputs!$E$46)+BJ66</f>
        <v>9966.19417262263</v>
      </c>
    </row>
    <row r="82" customFormat="false" ht="15.75" hidden="false" customHeight="true" outlineLevel="0" collapsed="false">
      <c r="A82" s="7" t="s">
        <v>419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6" t="s">
        <v>95</v>
      </c>
      <c r="C83" s="51" t="n">
        <f aca="false">C67</f>
        <v>760000</v>
      </c>
      <c r="D83" s="51" t="n">
        <f aca="false">C83+D67</f>
        <v>760000</v>
      </c>
      <c r="E83" s="51" t="n">
        <f aca="false">D83+E67</f>
        <v>760000</v>
      </c>
      <c r="F83" s="51" t="n">
        <f aca="false">E83+F67</f>
        <v>760000</v>
      </c>
      <c r="G83" s="51" t="n">
        <f aca="false">F83+G67</f>
        <v>760000</v>
      </c>
      <c r="H83" s="51" t="n">
        <f aca="false">G83+H67</f>
        <v>760000</v>
      </c>
      <c r="I83" s="51" t="n">
        <f aca="false">H83+I67</f>
        <v>760000</v>
      </c>
      <c r="J83" s="51" t="n">
        <f aca="false">I83+J67</f>
        <v>760000</v>
      </c>
      <c r="K83" s="51" t="n">
        <f aca="false">J83+K67</f>
        <v>760000</v>
      </c>
      <c r="L83" s="51" t="n">
        <f aca="false">K83+L67</f>
        <v>760000</v>
      </c>
      <c r="M83" s="51" t="n">
        <f aca="false">L83+M67</f>
        <v>760000</v>
      </c>
      <c r="N83" s="51" t="n">
        <f aca="false">M83+N67</f>
        <v>760000</v>
      </c>
      <c r="O83" s="51" t="n">
        <f aca="false">N83+O67</f>
        <v>760000</v>
      </c>
      <c r="P83" s="51" t="n">
        <f aca="false">O83+P67</f>
        <v>760000</v>
      </c>
      <c r="Q83" s="51" t="n">
        <f aca="false">P83+Q67</f>
        <v>760000</v>
      </c>
      <c r="R83" s="51" t="n">
        <f aca="false">Q83+R67</f>
        <v>760000</v>
      </c>
      <c r="S83" s="51" t="n">
        <f aca="false">R83+S67</f>
        <v>760000</v>
      </c>
      <c r="T83" s="51" t="n">
        <f aca="false">S83+T67</f>
        <v>760000</v>
      </c>
      <c r="U83" s="51" t="n">
        <f aca="false">T83+U67</f>
        <v>760000</v>
      </c>
      <c r="V83" s="51" t="n">
        <f aca="false">U83+V67</f>
        <v>760000</v>
      </c>
      <c r="W83" s="51" t="n">
        <f aca="false">V83+W67</f>
        <v>760000</v>
      </c>
      <c r="X83" s="51" t="n">
        <f aca="false">W83+X67</f>
        <v>760000</v>
      </c>
      <c r="Y83" s="51" t="n">
        <f aca="false">X83+Y67</f>
        <v>760000</v>
      </c>
      <c r="Z83" s="51" t="n">
        <f aca="false">Y83+Z67</f>
        <v>760000</v>
      </c>
      <c r="AA83" s="51" t="n">
        <f aca="false">Z83+AA67</f>
        <v>760000</v>
      </c>
      <c r="AB83" s="51" t="n">
        <f aca="false">AA83+AB67</f>
        <v>760000</v>
      </c>
      <c r="AC83" s="51" t="n">
        <f aca="false">AB83+AC67</f>
        <v>760000</v>
      </c>
      <c r="AD83" s="51" t="n">
        <f aca="false">AC83+AD67</f>
        <v>760000</v>
      </c>
      <c r="AE83" s="51" t="n">
        <f aca="false">AD83+AE67</f>
        <v>760000</v>
      </c>
      <c r="AF83" s="51" t="n">
        <f aca="false">AE83+AF67</f>
        <v>760000</v>
      </c>
      <c r="AG83" s="51" t="n">
        <f aca="false">AF83+AG67</f>
        <v>760000</v>
      </c>
      <c r="AH83" s="51" t="n">
        <f aca="false">AG83+AH67</f>
        <v>760000</v>
      </c>
      <c r="AI83" s="51" t="n">
        <f aca="false">AH83+AI67</f>
        <v>760000</v>
      </c>
      <c r="AJ83" s="51" t="n">
        <f aca="false">AI83+AJ67</f>
        <v>760000</v>
      </c>
      <c r="AK83" s="51" t="n">
        <f aca="false">AJ83+AK67</f>
        <v>760000</v>
      </c>
      <c r="AL83" s="51" t="n">
        <f aca="false">AK83+AL67</f>
        <v>760000</v>
      </c>
      <c r="AM83" s="51" t="n">
        <f aca="false">AL83+AM67</f>
        <v>760000</v>
      </c>
      <c r="AN83" s="51" t="n">
        <f aca="false">AM83+AN67</f>
        <v>760000</v>
      </c>
      <c r="AO83" s="51" t="n">
        <f aca="false">AN83+AO67</f>
        <v>760000</v>
      </c>
      <c r="AP83" s="51" t="n">
        <f aca="false">AO83+AP67</f>
        <v>760000</v>
      </c>
      <c r="AQ83" s="51" t="n">
        <f aca="false">AP83+AQ67</f>
        <v>760000</v>
      </c>
      <c r="AR83" s="51" t="n">
        <f aca="false">AQ83+AR67</f>
        <v>760000</v>
      </c>
      <c r="AS83" s="51" t="n">
        <f aca="false">AR83+AS67</f>
        <v>760000</v>
      </c>
      <c r="AT83" s="51" t="n">
        <f aca="false">AS83+AT67</f>
        <v>760000</v>
      </c>
      <c r="AU83" s="51" t="n">
        <f aca="false">AT83+AU67</f>
        <v>760000</v>
      </c>
      <c r="AV83" s="51" t="n">
        <f aca="false">AU83+AV67</f>
        <v>760000</v>
      </c>
      <c r="AW83" s="51" t="n">
        <f aca="false">AV83+AW67</f>
        <v>760000</v>
      </c>
      <c r="AX83" s="51" t="n">
        <f aca="false">AW83+AX67</f>
        <v>760000</v>
      </c>
      <c r="AY83" s="51" t="n">
        <f aca="false">AX83+AY67</f>
        <v>760000</v>
      </c>
      <c r="AZ83" s="51" t="n">
        <f aca="false">AY83+AZ67</f>
        <v>760000</v>
      </c>
      <c r="BA83" s="51" t="n">
        <f aca="false">AZ83+BA67</f>
        <v>760000</v>
      </c>
      <c r="BB83" s="51" t="n">
        <f aca="false">BA83+BB67</f>
        <v>760000</v>
      </c>
      <c r="BC83" s="51" t="n">
        <f aca="false">BB83+BC67</f>
        <v>760000</v>
      </c>
      <c r="BD83" s="51" t="n">
        <f aca="false">BC83+BD67</f>
        <v>760000</v>
      </c>
      <c r="BE83" s="51" t="n">
        <f aca="false">BD83+BE67</f>
        <v>760000</v>
      </c>
      <c r="BF83" s="51" t="n">
        <f aca="false">BE83+BF67</f>
        <v>760000</v>
      </c>
      <c r="BG83" s="51" t="n">
        <f aca="false">BF83+BG67</f>
        <v>760000</v>
      </c>
      <c r="BH83" s="51" t="n">
        <f aca="false">BG83+BH67</f>
        <v>760000</v>
      </c>
      <c r="BI83" s="51" t="n">
        <f aca="false">BH83+BI67</f>
        <v>760000</v>
      </c>
      <c r="BJ83" s="51" t="n">
        <f aca="false">BI83+BJ67</f>
        <v>760000</v>
      </c>
    </row>
    <row r="84" customFormat="false" ht="15" hidden="false" customHeight="false" outlineLevel="0" collapsed="false">
      <c r="A84" s="6" t="s">
        <v>96</v>
      </c>
      <c r="C84" s="51" t="n">
        <f aca="false">C35</f>
        <v>-795.097736625515</v>
      </c>
      <c r="D84" s="51" t="n">
        <f aca="false">C84+D35</f>
        <v>-1585.21959081864</v>
      </c>
      <c r="E84" s="51" t="n">
        <f aca="false">D84+E35</f>
        <v>-2370.33373376832</v>
      </c>
      <c r="F84" s="51" t="n">
        <f aca="false">E84+F35</f>
        <v>-3150.40816425745</v>
      </c>
      <c r="G84" s="51" t="n">
        <f aca="false">F84+G35</f>
        <v>-3925.41070772899</v>
      </c>
      <c r="H84" s="51" t="n">
        <f aca="false">G84+H35</f>
        <v>-4695.30901534706</v>
      </c>
      <c r="I84" s="51" t="n">
        <f aca="false">H84+I35</f>
        <v>-5460.07056305292</v>
      </c>
      <c r="J84" s="51" t="n">
        <f aca="false">I84+J35</f>
        <v>-6219.66265061582</v>
      </c>
      <c r="K84" s="51" t="n">
        <f aca="false">J84+K35</f>
        <v>-6974.0524006788</v>
      </c>
      <c r="L84" s="51" t="n">
        <f aca="false">K84+L35</f>
        <v>-7723.20675779918</v>
      </c>
      <c r="M84" s="51" t="n">
        <f aca="false">L84+M35</f>
        <v>-8467.09248748398</v>
      </c>
      <c r="N84" s="51" t="n">
        <f aca="false">M84+N35</f>
        <v>-9205.67617522005</v>
      </c>
      <c r="O84" s="51" t="n">
        <f aca="false">N84+O35</f>
        <v>-9625.60123167181</v>
      </c>
      <c r="P84" s="51" t="n">
        <f aca="false">O84+P35</f>
        <v>-10040.1838793552</v>
      </c>
      <c r="Q84" s="51" t="n">
        <f aca="false">P84+Q35</f>
        <v>-10449.3901578246</v>
      </c>
      <c r="R84" s="51" t="n">
        <f aca="false">Q84+R35</f>
        <v>-10853.1859226823</v>
      </c>
      <c r="S84" s="51" t="n">
        <f aca="false">R84+S35</f>
        <v>-11251.5368445815</v>
      </c>
      <c r="T84" s="51" t="n">
        <f aca="false">S84+T35</f>
        <v>-11644.4084082249</v>
      </c>
      <c r="U84" s="51" t="n">
        <f aca="false">T84+U35</f>
        <v>-12031.7659113573</v>
      </c>
      <c r="V84" s="51" t="n">
        <f aca="false">U84+V35</f>
        <v>-12413.5744637529</v>
      </c>
      <c r="W84" s="51" t="n">
        <f aca="false">V84+W35</f>
        <v>-12789.7989861973</v>
      </c>
      <c r="X84" s="51" t="n">
        <f aca="false">W84+X35</f>
        <v>-13160.4042094636</v>
      </c>
      <c r="Y84" s="51" t="n">
        <f aca="false">X84+Y35</f>
        <v>-13525.3546732832</v>
      </c>
      <c r="Z84" s="51" t="n">
        <f aca="false">Y84+Z35</f>
        <v>-13884.6147253113</v>
      </c>
      <c r="AA84" s="51" t="n">
        <f aca="false">Z84+AA35</f>
        <v>-13915.4258364439</v>
      </c>
      <c r="AB84" s="51" t="n">
        <f aca="false">AA84+AB35</f>
        <v>-13940.5024670564</v>
      </c>
      <c r="AC84" s="51" t="n">
        <f aca="false">AB84+AC35</f>
        <v>-13959.8083823092</v>
      </c>
      <c r="AD84" s="51" t="n">
        <f aca="false">AC84+AD35</f>
        <v>-13973.307151091</v>
      </c>
      <c r="AE84" s="51" t="n">
        <f aca="false">AD84+AE35</f>
        <v>-13980.9621449551</v>
      </c>
      <c r="AF84" s="51" t="n">
        <f aca="false">AE84+AF35</f>
        <v>-13982.7365370508</v>
      </c>
      <c r="AG84" s="51" t="n">
        <f aca="false">AF84+AG35</f>
        <v>-13978.5933010487</v>
      </c>
      <c r="AH84" s="51" t="n">
        <f aca="false">AG84+AH35</f>
        <v>-13968.4952100598</v>
      </c>
      <c r="AI84" s="51" t="n">
        <f aca="false">AH84+AI35</f>
        <v>-13952.4048355499</v>
      </c>
      <c r="AJ84" s="51" t="n">
        <f aca="false">AI84+AJ35</f>
        <v>-13930.2845462465</v>
      </c>
      <c r="AK84" s="51" t="n">
        <f aca="false">AJ84+AK35</f>
        <v>-13902.0965070414</v>
      </c>
      <c r="AL84" s="51" t="n">
        <f aca="false">AK84+AL35</f>
        <v>-13867.8026778858</v>
      </c>
      <c r="AM84" s="51" t="n">
        <f aca="false">AL84+AM35</f>
        <v>-13494.9604485299</v>
      </c>
      <c r="AN84" s="51" t="n">
        <f aca="false">AM84+AN35</f>
        <v>-13115.9643807084</v>
      </c>
      <c r="AO84" s="51" t="n">
        <f aca="false">AN84+AO35</f>
        <v>-12730.7758128677</v>
      </c>
      <c r="AP84" s="51" t="n">
        <f aca="false">AO84+AP35</f>
        <v>-12339.3558740371</v>
      </c>
      <c r="AQ84" s="51" t="n">
        <f aca="false">AP84+AQ35</f>
        <v>-11941.6654826953</v>
      </c>
      <c r="AR84" s="51" t="n">
        <f aca="false">AQ84+AR35</f>
        <v>-11537.6653456292</v>
      </c>
      <c r="AS84" s="51" t="n">
        <f aca="false">AR84+AS35</f>
        <v>-11127.3159567872</v>
      </c>
      <c r="AT84" s="51" t="n">
        <f aca="false">AS84+AT35</f>
        <v>-10710.5775961271</v>
      </c>
      <c r="AU84" s="51" t="n">
        <f aca="false">AT84+AU35</f>
        <v>-10287.410328456</v>
      </c>
      <c r="AV84" s="51" t="n">
        <f aca="false">AU84+AV35</f>
        <v>-9857.77400226574</v>
      </c>
      <c r="AW84" s="51" t="n">
        <f aca="false">AV84+AW35</f>
        <v>-9421.62824856056</v>
      </c>
      <c r="AX84" s="51" t="n">
        <f aca="false">AW84+AX35</f>
        <v>-8978.93247967945</v>
      </c>
      <c r="AY84" s="51" t="n">
        <f aca="false">AX84+AY35</f>
        <v>-8187.26939303573</v>
      </c>
      <c r="AZ84" s="51" t="n">
        <f aca="false">AY84+AZ35</f>
        <v>-7389.00396552785</v>
      </c>
      <c r="BA84" s="51" t="n">
        <f aca="false">AZ84+BA35</f>
        <v>-6584.09494636624</v>
      </c>
      <c r="BB84" s="51" t="n">
        <f aca="false">BA84+BB35</f>
        <v>-5772.50086131959</v>
      </c>
      <c r="BC84" s="51" t="n">
        <f aca="false">BB84+BC35</f>
        <v>-4954.18001150447</v>
      </c>
      <c r="BD84" s="51" t="n">
        <f aca="false">BC84+BD35</f>
        <v>-4129.09047216851</v>
      </c>
      <c r="BE84" s="51" t="n">
        <f aca="false">BD84+BE35</f>
        <v>-3297.19009146694</v>
      </c>
      <c r="BF84" s="51" t="n">
        <f aca="false">BE84+BF35</f>
        <v>-2458.43648923248</v>
      </c>
      <c r="BG84" s="51" t="n">
        <f aca="false">BF84+BG35</f>
        <v>-1612.78705573862</v>
      </c>
      <c r="BH84" s="51" t="n">
        <f aca="false">BG84+BH35</f>
        <v>-760.198950456162</v>
      </c>
      <c r="BI84" s="51" t="n">
        <f aca="false">BH84+BI35</f>
        <v>78.5030103655888</v>
      </c>
      <c r="BJ84" s="51" t="n">
        <f aca="false">BI84+BJ35</f>
        <v>763.112981298949</v>
      </c>
    </row>
    <row r="85" customFormat="false" ht="15" hidden="false" customHeight="false" outlineLevel="0" collapsed="false">
      <c r="A85" s="4" t="s">
        <v>91</v>
      </c>
      <c r="C85" s="58" t="n">
        <f aca="false">C71+C57+C58+C46</f>
        <v>1959054.58598146</v>
      </c>
      <c r="D85" s="58" t="n">
        <f aca="false">D71+D57+D58+D46</f>
        <v>1957173.77175716</v>
      </c>
      <c r="E85" s="58" t="n">
        <f aca="false">E71+E57+E58+E46</f>
        <v>1955292.05732709</v>
      </c>
      <c r="F85" s="58" t="n">
        <f aca="false">F71+F57+F58+F46</f>
        <v>1953409.44269127</v>
      </c>
      <c r="G85" s="58" t="n">
        <f aca="false">G71+G57+G58+G46</f>
        <v>1951525.92784968</v>
      </c>
      <c r="H85" s="58" t="n">
        <f aca="false">H71+H57+H58+H46</f>
        <v>1949641.51280233</v>
      </c>
      <c r="I85" s="58" t="n">
        <f aca="false">I71+I57+I58+I46</f>
        <v>1947756.19754923</v>
      </c>
      <c r="J85" s="58" t="n">
        <f aca="false">J71+J57+J58+J46</f>
        <v>1945869.98209036</v>
      </c>
      <c r="K85" s="58" t="n">
        <f aca="false">K71+K57+K58+K46</f>
        <v>1943982.86642572</v>
      </c>
      <c r="L85" s="58" t="n">
        <f aca="false">L71+L57+L58+L46</f>
        <v>1942094.85055533</v>
      </c>
      <c r="M85" s="58" t="n">
        <f aca="false">M71+M57+M58+M46</f>
        <v>1940205.93447918</v>
      </c>
      <c r="N85" s="58" t="n">
        <f aca="false">N71+N57+N58+N46</f>
        <v>1938316.11819726</v>
      </c>
      <c r="O85" s="58" t="n">
        <f aca="false">O71+O57+O58+O46</f>
        <v>1936766.75970341</v>
      </c>
      <c r="P85" s="58" t="n">
        <f aca="false">P71+P57+P58+P46</f>
        <v>1935188.43899763</v>
      </c>
      <c r="Q85" s="58" t="n">
        <f aca="false">Q71+Q57+Q58+Q46</f>
        <v>1933609.19107991</v>
      </c>
      <c r="R85" s="58" t="n">
        <f aca="false">R71+R57+R58+R46</f>
        <v>1932029.01595026</v>
      </c>
      <c r="S85" s="58" t="n">
        <f aca="false">S71+S57+S58+S46</f>
        <v>1930447.91360867</v>
      </c>
      <c r="T85" s="58" t="n">
        <f aca="false">T71+T57+T58+T46</f>
        <v>1928865.88405515</v>
      </c>
      <c r="U85" s="58" t="n">
        <f aca="false">U71+U57+U58+U46</f>
        <v>1927282.9272897</v>
      </c>
      <c r="V85" s="58" t="n">
        <f aca="false">V71+V57+V58+V46</f>
        <v>1925699.04331231</v>
      </c>
      <c r="W85" s="58" t="n">
        <f aca="false">W71+W57+W58+W46</f>
        <v>1924114.23212298</v>
      </c>
      <c r="X85" s="58" t="n">
        <f aca="false">X71+X57+X58+X46</f>
        <v>1922528.49372173</v>
      </c>
      <c r="Y85" s="58" t="n">
        <f aca="false">Y71+Y57+Y58+Y46</f>
        <v>1920941.82810854</v>
      </c>
      <c r="Z85" s="58" t="n">
        <f aca="false">Z71+Z57+Z58+Z46</f>
        <v>1919354.23528341</v>
      </c>
      <c r="AA85" s="58" t="n">
        <f aca="false">AA71+AA57+AA58+AA46</f>
        <v>1918117.31397999</v>
      </c>
      <c r="AB85" s="58" t="n">
        <f aca="false">AB71+AB57+AB58+AB46</f>
        <v>1916850.56159828</v>
      </c>
      <c r="AC85" s="58" t="n">
        <f aca="false">AC71+AC57+AC58+AC46</f>
        <v>1915582.85418828</v>
      </c>
      <c r="AD85" s="58" t="n">
        <f aca="false">AD71+AD57+AD58+AD46</f>
        <v>1914314.19174999</v>
      </c>
      <c r="AE85" s="58" t="n">
        <f aca="false">AE71+AE57+AE58+AE46</f>
        <v>1913044.5742834</v>
      </c>
      <c r="AF85" s="58" t="n">
        <f aca="false">AF71+AF57+AF58+AF46</f>
        <v>1911774.00178852</v>
      </c>
      <c r="AG85" s="58" t="n">
        <f aca="false">AG71+AG57+AG58+AG46</f>
        <v>1910502.47426535</v>
      </c>
      <c r="AH85" s="58" t="n">
        <f aca="false">AH71+AH57+AH58+AH46</f>
        <v>1909229.99171389</v>
      </c>
      <c r="AI85" s="58" t="n">
        <f aca="false">AI71+AI57+AI58+AI46</f>
        <v>1907956.55413413</v>
      </c>
      <c r="AJ85" s="58" t="n">
        <f aca="false">AJ71+AJ57+AJ58+AJ46</f>
        <v>1906682.16152609</v>
      </c>
      <c r="AK85" s="58" t="n">
        <f aca="false">AK71+AK57+AK58+AK46</f>
        <v>1905406.81388975</v>
      </c>
      <c r="AL85" s="58" t="n">
        <f aca="false">AL71+AL57+AL58+AL46</f>
        <v>1904130.51122512</v>
      </c>
      <c r="AM85" s="58" t="n">
        <f aca="false">AM71+AM57+AM58+AM46</f>
        <v>1903215.40022784</v>
      </c>
      <c r="AN85" s="58" t="n">
        <f aca="false">AN71+AN57+AN58+AN46</f>
        <v>1902269.56321993</v>
      </c>
      <c r="AO85" s="58" t="n">
        <f aca="false">AO71+AO57+AO58+AO46</f>
        <v>1901322.74253288</v>
      </c>
      <c r="AP85" s="58" t="n">
        <f aca="false">AP71+AP57+AP58+AP46</f>
        <v>1900374.93816668</v>
      </c>
      <c r="AQ85" s="58" t="n">
        <f aca="false">AQ71+AQ57+AQ58+AQ46</f>
        <v>1899426.15012134</v>
      </c>
      <c r="AR85" s="58" t="n">
        <f aca="false">AR71+AR57+AR58+AR46</f>
        <v>1898476.37839687</v>
      </c>
      <c r="AS85" s="58" t="n">
        <f aca="false">AS71+AS57+AS58+AS46</f>
        <v>1897525.62299325</v>
      </c>
      <c r="AT85" s="58" t="n">
        <f aca="false">AT71+AT57+AT58+AT46</f>
        <v>1896573.88391049</v>
      </c>
      <c r="AU85" s="58" t="n">
        <f aca="false">AU71+AU57+AU58+AU46</f>
        <v>1895621.16114859</v>
      </c>
      <c r="AV85" s="58" t="n">
        <f aca="false">AV71+AV57+AV58+AV46</f>
        <v>1894667.45470755</v>
      </c>
      <c r="AW85" s="58" t="n">
        <f aca="false">AW71+AW57+AW58+AW46</f>
        <v>1893712.76458737</v>
      </c>
      <c r="AX85" s="58" t="n">
        <f aca="false">AX71+AX57+AX58+AX46</f>
        <v>1892757.09078804</v>
      </c>
      <c r="AY85" s="58" t="n">
        <f aca="false">AY71+AY57+AY58+AY46</f>
        <v>1892173.4444061</v>
      </c>
      <c r="AZ85" s="58" t="n">
        <f aca="false">AZ71+AZ57+AZ58+AZ46</f>
        <v>1891558.1502332</v>
      </c>
      <c r="BA85" s="58" t="n">
        <f aca="false">BA71+BA57+BA58+BA46</f>
        <v>1890941.84287078</v>
      </c>
      <c r="BB85" s="58" t="n">
        <f aca="false">BB71+BB57+BB58+BB46</f>
        <v>1890324.52231885</v>
      </c>
      <c r="BC85" s="58" t="n">
        <f aca="false">BC71+BC57+BC58+BC46</f>
        <v>1889706.1885774</v>
      </c>
      <c r="BD85" s="58" t="n">
        <f aca="false">BD71+BD57+BD58+BD46</f>
        <v>1889086.84164643</v>
      </c>
      <c r="BE85" s="58" t="n">
        <f aca="false">BE71+BE57+BE58+BE46</f>
        <v>1888466.48152595</v>
      </c>
      <c r="BF85" s="58" t="n">
        <f aca="false">BF71+BF57+BF58+BF46</f>
        <v>1887845.10821596</v>
      </c>
      <c r="BG85" s="58" t="n">
        <f aca="false">BG71+BG57+BG58+BG46</f>
        <v>1887222.72171645</v>
      </c>
      <c r="BH85" s="58" t="n">
        <f aca="false">BH71+BH57+BH58+BH46</f>
        <v>1886599.32202742</v>
      </c>
      <c r="BI85" s="58" t="n">
        <f aca="false">BI71+BI57+BI58+BI46</f>
        <v>1885954.04126005</v>
      </c>
      <c r="BJ85" s="58" t="n">
        <f aca="false">BJ71+BJ57+BJ58+BJ46</f>
        <v>1885146.63026302</v>
      </c>
    </row>
    <row r="86" customFormat="false" ht="15" hidden="false" customHeight="false" outlineLevel="0" collapsed="false">
      <c r="A86" s="6" t="s">
        <v>94</v>
      </c>
      <c r="C86" s="51" t="n">
        <f aca="false">C59+C54</f>
        <v>1199849.68371808</v>
      </c>
      <c r="D86" s="51" t="n">
        <f aca="false">D59+D54</f>
        <v>1198758.99134798</v>
      </c>
      <c r="E86" s="51" t="n">
        <f aca="false">E59+E54</f>
        <v>1197662.39106086</v>
      </c>
      <c r="F86" s="51" t="n">
        <f aca="false">F59+F54</f>
        <v>1196559.85085553</v>
      </c>
      <c r="G86" s="51" t="n">
        <f aca="false">G59+G54</f>
        <v>1195451.33855741</v>
      </c>
      <c r="H86" s="51" t="n">
        <f aca="false">H59+H54</f>
        <v>1194336.82181768</v>
      </c>
      <c r="I86" s="51" t="n">
        <f aca="false">I59+I54</f>
        <v>1193216.26811228</v>
      </c>
      <c r="J86" s="51" t="n">
        <f aca="false">J59+J54</f>
        <v>1192089.64474097</v>
      </c>
      <c r="K86" s="51" t="n">
        <f aca="false">K59+K54</f>
        <v>1190956.9188264</v>
      </c>
      <c r="L86" s="51" t="n">
        <f aca="false">L59+L54</f>
        <v>1189818.05731313</v>
      </c>
      <c r="M86" s="51" t="n">
        <f aca="false">M59+M54</f>
        <v>1188673.02696666</v>
      </c>
      <c r="N86" s="51" t="n">
        <f aca="false">N59+N54</f>
        <v>1187521.79437248</v>
      </c>
      <c r="O86" s="51" t="n">
        <f aca="false">O59+O54</f>
        <v>1186392.36093508</v>
      </c>
      <c r="P86" s="51" t="n">
        <f aca="false">P59+P54</f>
        <v>1185228.62287698</v>
      </c>
      <c r="Q86" s="51" t="n">
        <f aca="false">Q59+Q54</f>
        <v>1184058.58123773</v>
      </c>
      <c r="R86" s="51" t="n">
        <f aca="false">R59+R54</f>
        <v>1182882.20187294</v>
      </c>
      <c r="S86" s="51" t="n">
        <f aca="false">S59+S54</f>
        <v>1181699.45045325</v>
      </c>
      <c r="T86" s="51" t="n">
        <f aca="false">T59+T54</f>
        <v>1180510.29246337</v>
      </c>
      <c r="U86" s="51" t="n">
        <f aca="false">U59+U54</f>
        <v>1179314.69320105</v>
      </c>
      <c r="V86" s="51" t="n">
        <f aca="false">V59+V54</f>
        <v>1178112.61777606</v>
      </c>
      <c r="W86" s="51" t="n">
        <f aca="false">W59+W54</f>
        <v>1176904.03110918</v>
      </c>
      <c r="X86" s="51" t="n">
        <f aca="false">X59+X54</f>
        <v>1175688.89793119</v>
      </c>
      <c r="Y86" s="51" t="n">
        <f aca="false">Y59+Y54</f>
        <v>1174467.18278182</v>
      </c>
      <c r="Z86" s="51" t="n">
        <f aca="false">Z59+Z54</f>
        <v>1173238.85000872</v>
      </c>
      <c r="AA86" s="51" t="n">
        <f aca="false">AA59+AA54</f>
        <v>1172032.73981644</v>
      </c>
      <c r="AB86" s="51" t="n">
        <f aca="false">AB59+AB54</f>
        <v>1170791.06406534</v>
      </c>
      <c r="AC86" s="51" t="n">
        <f aca="false">AC59+AC54</f>
        <v>1169542.66257059</v>
      </c>
      <c r="AD86" s="51" t="n">
        <f aca="false">AD59+AD54</f>
        <v>1168287.49890108</v>
      </c>
      <c r="AE86" s="51" t="n">
        <f aca="false">AE59+AE54</f>
        <v>1167025.53642835</v>
      </c>
      <c r="AF86" s="51" t="n">
        <f aca="false">AF59+AF54</f>
        <v>1165756.73832557</v>
      </c>
      <c r="AG86" s="51" t="n">
        <f aca="false">AG59+AG54</f>
        <v>1164481.0675664</v>
      </c>
      <c r="AH86" s="51" t="n">
        <f aca="false">AH59+AH54</f>
        <v>1163198.48692395</v>
      </c>
      <c r="AI86" s="51" t="n">
        <f aca="false">AI59+AI54</f>
        <v>1161908.95896968</v>
      </c>
      <c r="AJ86" s="51" t="n">
        <f aca="false">AJ59+AJ54</f>
        <v>1160612.44607233</v>
      </c>
      <c r="AK86" s="51" t="n">
        <f aca="false">AK59+AK54</f>
        <v>1159308.91039679</v>
      </c>
      <c r="AL86" s="51" t="n">
        <f aca="false">AL59+AL54</f>
        <v>1157998.313903</v>
      </c>
      <c r="AM86" s="51" t="n">
        <f aca="false">AM59+AM54</f>
        <v>1156710.36067637</v>
      </c>
      <c r="AN86" s="51" t="n">
        <f aca="false">AN59+AN54</f>
        <v>1155385.52760064</v>
      </c>
      <c r="AO86" s="51" t="n">
        <f aca="false">AO59+AO54</f>
        <v>1154053.51834574</v>
      </c>
      <c r="AP86" s="51" t="n">
        <f aca="false">AP59+AP54</f>
        <v>1152714.29404072</v>
      </c>
      <c r="AQ86" s="51" t="n">
        <f aca="false">AQ59+AQ54</f>
        <v>1151367.81560404</v>
      </c>
      <c r="AR86" s="51" t="n">
        <f aca="false">AR59+AR54</f>
        <v>1150014.04374249</v>
      </c>
      <c r="AS86" s="51" t="n">
        <f aca="false">AS59+AS54</f>
        <v>1148652.93895003</v>
      </c>
      <c r="AT86" s="51" t="n">
        <f aca="false">AT59+AT54</f>
        <v>1147284.46150661</v>
      </c>
      <c r="AU86" s="51" t="n">
        <f aca="false">AU59+AU54</f>
        <v>1145908.57147704</v>
      </c>
      <c r="AV86" s="51" t="n">
        <f aca="false">AV59+AV54</f>
        <v>1144525.22870981</v>
      </c>
      <c r="AW86" s="51" t="n">
        <f aca="false">AW59+AW54</f>
        <v>1143134.39283592</v>
      </c>
      <c r="AX86" s="51" t="n">
        <f aca="false">AX59+AX54</f>
        <v>1141736.02326772</v>
      </c>
      <c r="AY86" s="51" t="n">
        <f aca="false">AY59+AY54</f>
        <v>1140360.71379913</v>
      </c>
      <c r="AZ86" s="51" t="n">
        <f aca="false">AZ59+AZ54</f>
        <v>1138947.15419872</v>
      </c>
      <c r="BA86" s="51" t="n">
        <f aca="false">BA59+BA54</f>
        <v>1137525.93781714</v>
      </c>
      <c r="BB86" s="51" t="n">
        <f aca="false">BB59+BB54</f>
        <v>1136097.02318016</v>
      </c>
      <c r="BC86" s="51" t="n">
        <f aca="false">BC59+BC54</f>
        <v>1134660.3685889</v>
      </c>
      <c r="BD86" s="51" t="n">
        <f aca="false">BD59+BD54</f>
        <v>1133215.9321186</v>
      </c>
      <c r="BE86" s="51" t="n">
        <f aca="false">BE59+BE54</f>
        <v>1131763.67161742</v>
      </c>
      <c r="BF86" s="51" t="n">
        <f aca="false">BF59+BF54</f>
        <v>1130303.54470519</v>
      </c>
      <c r="BG86" s="51" t="n">
        <f aca="false">BG59+BG54</f>
        <v>1128835.50877218</v>
      </c>
      <c r="BH86" s="51" t="n">
        <f aca="false">BH59+BH54</f>
        <v>1127359.52097788</v>
      </c>
      <c r="BI86" s="51" t="n">
        <f aca="false">BI59+BI54</f>
        <v>1125875.53824968</v>
      </c>
      <c r="BJ86" s="51" t="n">
        <f aca="false">BJ59+BJ54</f>
        <v>1124383.51728171</v>
      </c>
    </row>
    <row r="87" customFormat="false" ht="15" hidden="false" customHeight="false" outlineLevel="0" collapsed="false">
      <c r="A87" s="6" t="s">
        <v>97</v>
      </c>
      <c r="C87" s="51" t="n">
        <f aca="false">C83+C84</f>
        <v>759204.902263375</v>
      </c>
      <c r="D87" s="51" t="n">
        <f aca="false">D83+D84</f>
        <v>758414.780409181</v>
      </c>
      <c r="E87" s="51" t="n">
        <f aca="false">E83+E84</f>
        <v>757629.666266232</v>
      </c>
      <c r="F87" s="51" t="n">
        <f aca="false">F83+F84</f>
        <v>756849.591835743</v>
      </c>
      <c r="G87" s="51" t="n">
        <f aca="false">G83+G84</f>
        <v>756074.589292271</v>
      </c>
      <c r="H87" s="51" t="n">
        <f aca="false">H83+H84</f>
        <v>755304.690984653</v>
      </c>
      <c r="I87" s="51" t="n">
        <f aca="false">I83+I84</f>
        <v>754539.929436947</v>
      </c>
      <c r="J87" s="51" t="n">
        <f aca="false">J83+J84</f>
        <v>753780.337349384</v>
      </c>
      <c r="K87" s="51" t="n">
        <f aca="false">K83+K84</f>
        <v>753025.947599321</v>
      </c>
      <c r="L87" s="51" t="n">
        <f aca="false">L83+L84</f>
        <v>752276.793242201</v>
      </c>
      <c r="M87" s="51" t="n">
        <f aca="false">M83+M84</f>
        <v>751532.907512516</v>
      </c>
      <c r="N87" s="51" t="n">
        <f aca="false">N83+N84</f>
        <v>750794.32382478</v>
      </c>
      <c r="O87" s="51" t="n">
        <f aca="false">O83+O84</f>
        <v>750374.398768328</v>
      </c>
      <c r="P87" s="51" t="n">
        <f aca="false">P83+P84</f>
        <v>749959.816120645</v>
      </c>
      <c r="Q87" s="51" t="n">
        <f aca="false">Q83+Q84</f>
        <v>749550.609842175</v>
      </c>
      <c r="R87" s="51" t="n">
        <f aca="false">R83+R84</f>
        <v>749146.814077318</v>
      </c>
      <c r="S87" s="51" t="n">
        <f aca="false">S83+S84</f>
        <v>748748.463155419</v>
      </c>
      <c r="T87" s="51" t="n">
        <f aca="false">T83+T84</f>
        <v>748355.591591775</v>
      </c>
      <c r="U87" s="51" t="n">
        <f aca="false">U83+U84</f>
        <v>747968.234088643</v>
      </c>
      <c r="V87" s="51" t="n">
        <f aca="false">V83+V84</f>
        <v>747586.425536247</v>
      </c>
      <c r="W87" s="51" t="n">
        <f aca="false">W83+W84</f>
        <v>747210.201013803</v>
      </c>
      <c r="X87" s="51" t="n">
        <f aca="false">X83+X84</f>
        <v>746839.595790536</v>
      </c>
      <c r="Y87" s="51" t="n">
        <f aca="false">Y83+Y84</f>
        <v>746474.645326717</v>
      </c>
      <c r="Z87" s="51" t="n">
        <f aca="false">Z83+Z84</f>
        <v>746115.385274689</v>
      </c>
      <c r="AA87" s="51" t="n">
        <f aca="false">AA83+AA84</f>
        <v>746084.574163556</v>
      </c>
      <c r="AB87" s="51" t="n">
        <f aca="false">AB83+AB84</f>
        <v>746059.497532944</v>
      </c>
      <c r="AC87" s="51" t="n">
        <f aca="false">AC83+AC84</f>
        <v>746040.191617691</v>
      </c>
      <c r="AD87" s="51" t="n">
        <f aca="false">AD83+AD84</f>
        <v>746026.692848909</v>
      </c>
      <c r="AE87" s="51" t="n">
        <f aca="false">AE83+AE84</f>
        <v>746019.037855045</v>
      </c>
      <c r="AF87" s="51" t="n">
        <f aca="false">AF83+AF84</f>
        <v>746017.263462949</v>
      </c>
      <c r="AG87" s="51" t="n">
        <f aca="false">AG83+AG84</f>
        <v>746021.406698951</v>
      </c>
      <c r="AH87" s="51" t="n">
        <f aca="false">AH83+AH84</f>
        <v>746031.50478994</v>
      </c>
      <c r="AI87" s="51" t="n">
        <f aca="false">AI83+AI84</f>
        <v>746047.59516445</v>
      </c>
      <c r="AJ87" s="51" t="n">
        <f aca="false">AJ83+AJ84</f>
        <v>746069.715453754</v>
      </c>
      <c r="AK87" s="51" t="n">
        <f aca="false">AK83+AK84</f>
        <v>746097.903492959</v>
      </c>
      <c r="AL87" s="51" t="n">
        <f aca="false">AL83+AL84</f>
        <v>746132.197322114</v>
      </c>
      <c r="AM87" s="51" t="n">
        <f aca="false">AM83+AM84</f>
        <v>746505.03955147</v>
      </c>
      <c r="AN87" s="51" t="n">
        <f aca="false">AN83+AN84</f>
        <v>746884.035619292</v>
      </c>
      <c r="AO87" s="51" t="n">
        <f aca="false">AO83+AO84</f>
        <v>747269.224187132</v>
      </c>
      <c r="AP87" s="51" t="n">
        <f aca="false">AP83+AP84</f>
        <v>747660.644125963</v>
      </c>
      <c r="AQ87" s="51" t="n">
        <f aca="false">AQ83+AQ84</f>
        <v>748058.334517305</v>
      </c>
      <c r="AR87" s="51" t="n">
        <f aca="false">AR83+AR84</f>
        <v>748462.334654371</v>
      </c>
      <c r="AS87" s="51" t="n">
        <f aca="false">AS83+AS84</f>
        <v>748872.684043213</v>
      </c>
      <c r="AT87" s="51" t="n">
        <f aca="false">AT83+AT84</f>
        <v>749289.422403873</v>
      </c>
      <c r="AU87" s="51" t="n">
        <f aca="false">AU83+AU84</f>
        <v>749712.589671544</v>
      </c>
      <c r="AV87" s="51" t="n">
        <f aca="false">AV83+AV84</f>
        <v>750142.225997734</v>
      </c>
      <c r="AW87" s="51" t="n">
        <f aca="false">AW83+AW84</f>
        <v>750578.371751439</v>
      </c>
      <c r="AX87" s="51" t="n">
        <f aca="false">AX83+AX84</f>
        <v>751021.067520321</v>
      </c>
      <c r="AY87" s="51" t="n">
        <f aca="false">AY83+AY84</f>
        <v>751812.730606964</v>
      </c>
      <c r="AZ87" s="51" t="n">
        <f aca="false">AZ83+AZ84</f>
        <v>752610.996034472</v>
      </c>
      <c r="BA87" s="51" t="n">
        <f aca="false">BA83+BA84</f>
        <v>753415.905053634</v>
      </c>
      <c r="BB87" s="51" t="n">
        <f aca="false">BB83+BB84</f>
        <v>754227.49913868</v>
      </c>
      <c r="BC87" s="51" t="n">
        <f aca="false">BC83+BC84</f>
        <v>755045.819988496</v>
      </c>
      <c r="BD87" s="51" t="n">
        <f aca="false">BD83+BD84</f>
        <v>755870.909527832</v>
      </c>
      <c r="BE87" s="51" t="n">
        <f aca="false">BE83+BE84</f>
        <v>756702.809908533</v>
      </c>
      <c r="BF87" s="51" t="n">
        <f aca="false">BF83+BF84</f>
        <v>757541.563510768</v>
      </c>
      <c r="BG87" s="51" t="n">
        <f aca="false">BG83+BG84</f>
        <v>758387.212944261</v>
      </c>
      <c r="BH87" s="51" t="n">
        <f aca="false">BH83+BH84</f>
        <v>759239.801049544</v>
      </c>
      <c r="BI87" s="51" t="n">
        <f aca="false">BI83+BI84</f>
        <v>760078.503010366</v>
      </c>
      <c r="BJ87" s="51" t="n">
        <f aca="false">BJ83+BJ84</f>
        <v>760763.112981299</v>
      </c>
    </row>
    <row r="88" customFormat="false" ht="15" hidden="false" customHeight="false" outlineLevel="0" collapsed="false">
      <c r="A88" s="4" t="s">
        <v>98</v>
      </c>
      <c r="C88" s="58" t="n">
        <f aca="false">C86+C87</f>
        <v>1959054.58598146</v>
      </c>
      <c r="D88" s="58" t="n">
        <f aca="false">D86+D87</f>
        <v>1957173.77175716</v>
      </c>
      <c r="E88" s="58" t="n">
        <f aca="false">E86+E87</f>
        <v>1955292.05732709</v>
      </c>
      <c r="F88" s="58" t="n">
        <f aca="false">F86+F87</f>
        <v>1953409.44269127</v>
      </c>
      <c r="G88" s="58" t="n">
        <f aca="false">G86+G87</f>
        <v>1951525.92784968</v>
      </c>
      <c r="H88" s="58" t="n">
        <f aca="false">H86+H87</f>
        <v>1949641.51280233</v>
      </c>
      <c r="I88" s="58" t="n">
        <f aca="false">I86+I87</f>
        <v>1947756.19754922</v>
      </c>
      <c r="J88" s="58" t="n">
        <f aca="false">J86+J87</f>
        <v>1945869.98209035</v>
      </c>
      <c r="K88" s="58" t="n">
        <f aca="false">K86+K87</f>
        <v>1943982.86642572</v>
      </c>
      <c r="L88" s="58" t="n">
        <f aca="false">L86+L87</f>
        <v>1942094.85055533</v>
      </c>
      <c r="M88" s="58" t="n">
        <f aca="false">M86+M87</f>
        <v>1940205.93447918</v>
      </c>
      <c r="N88" s="58" t="n">
        <f aca="false">N86+N87</f>
        <v>1938316.11819726</v>
      </c>
      <c r="O88" s="58" t="n">
        <f aca="false">O86+O87</f>
        <v>1936766.75970341</v>
      </c>
      <c r="P88" s="58" t="n">
        <f aca="false">P86+P87</f>
        <v>1935188.43899763</v>
      </c>
      <c r="Q88" s="58" t="n">
        <f aca="false">Q86+Q87</f>
        <v>1933609.19107991</v>
      </c>
      <c r="R88" s="58" t="n">
        <f aca="false">R86+R87</f>
        <v>1932029.01595026</v>
      </c>
      <c r="S88" s="58" t="n">
        <f aca="false">S86+S87</f>
        <v>1930447.91360867</v>
      </c>
      <c r="T88" s="58" t="n">
        <f aca="false">T86+T87</f>
        <v>1928865.88405515</v>
      </c>
      <c r="U88" s="58" t="n">
        <f aca="false">U86+U87</f>
        <v>1927282.92728969</v>
      </c>
      <c r="V88" s="58" t="n">
        <f aca="false">V86+V87</f>
        <v>1925699.04331231</v>
      </c>
      <c r="W88" s="58" t="n">
        <f aca="false">W86+W87</f>
        <v>1924114.23212298</v>
      </c>
      <c r="X88" s="58" t="n">
        <f aca="false">X86+X87</f>
        <v>1922528.49372173</v>
      </c>
      <c r="Y88" s="58" t="n">
        <f aca="false">Y86+Y87</f>
        <v>1920941.82810853</v>
      </c>
      <c r="Z88" s="58" t="n">
        <f aca="false">Z86+Z87</f>
        <v>1919354.23528341</v>
      </c>
      <c r="AA88" s="58" t="n">
        <f aca="false">AA86+AA87</f>
        <v>1918117.31397999</v>
      </c>
      <c r="AB88" s="58" t="n">
        <f aca="false">AB86+AB87</f>
        <v>1916850.56159828</v>
      </c>
      <c r="AC88" s="58" t="n">
        <f aca="false">AC86+AC87</f>
        <v>1915582.85418828</v>
      </c>
      <c r="AD88" s="58" t="n">
        <f aca="false">AD86+AD87</f>
        <v>1914314.19174999</v>
      </c>
      <c r="AE88" s="58" t="n">
        <f aca="false">AE86+AE87</f>
        <v>1913044.5742834</v>
      </c>
      <c r="AF88" s="58" t="n">
        <f aca="false">AF86+AF87</f>
        <v>1911774.00178852</v>
      </c>
      <c r="AG88" s="58" t="n">
        <f aca="false">AG86+AG87</f>
        <v>1910502.47426535</v>
      </c>
      <c r="AH88" s="58" t="n">
        <f aca="false">AH86+AH87</f>
        <v>1909229.99171389</v>
      </c>
      <c r="AI88" s="58" t="n">
        <f aca="false">AI86+AI87</f>
        <v>1907956.55413413</v>
      </c>
      <c r="AJ88" s="58" t="n">
        <f aca="false">AJ86+AJ87</f>
        <v>1906682.16152608</v>
      </c>
      <c r="AK88" s="58" t="n">
        <f aca="false">AK86+AK87</f>
        <v>1905406.81388975</v>
      </c>
      <c r="AL88" s="58" t="n">
        <f aca="false">AL86+AL87</f>
        <v>1904130.51122511</v>
      </c>
      <c r="AM88" s="58" t="n">
        <f aca="false">AM86+AM87</f>
        <v>1903215.40022784</v>
      </c>
      <c r="AN88" s="58" t="n">
        <f aca="false">AN86+AN87</f>
        <v>1902269.56321993</v>
      </c>
      <c r="AO88" s="58" t="n">
        <f aca="false">AO86+AO87</f>
        <v>1901322.74253287</v>
      </c>
      <c r="AP88" s="58" t="n">
        <f aca="false">AP86+AP87</f>
        <v>1900374.93816668</v>
      </c>
      <c r="AQ88" s="58" t="n">
        <f aca="false">AQ86+AQ87</f>
        <v>1899426.15012134</v>
      </c>
      <c r="AR88" s="58" t="n">
        <f aca="false">AR86+AR87</f>
        <v>1898476.37839686</v>
      </c>
      <c r="AS88" s="58" t="n">
        <f aca="false">AS86+AS87</f>
        <v>1897525.62299325</v>
      </c>
      <c r="AT88" s="58" t="n">
        <f aca="false">AT86+AT87</f>
        <v>1896573.88391049</v>
      </c>
      <c r="AU88" s="58" t="n">
        <f aca="false">AU86+AU87</f>
        <v>1895621.16114859</v>
      </c>
      <c r="AV88" s="58" t="n">
        <f aca="false">AV86+AV87</f>
        <v>1894667.45470755</v>
      </c>
      <c r="AW88" s="58" t="n">
        <f aca="false">AW86+AW87</f>
        <v>1893712.76458736</v>
      </c>
      <c r="AX88" s="58" t="n">
        <f aca="false">AX86+AX87</f>
        <v>1892757.09078804</v>
      </c>
      <c r="AY88" s="58" t="n">
        <f aca="false">AY86+AY87</f>
        <v>1892173.4444061</v>
      </c>
      <c r="AZ88" s="58" t="n">
        <f aca="false">AZ86+AZ87</f>
        <v>1891558.15023319</v>
      </c>
      <c r="BA88" s="58" t="n">
        <f aca="false">BA86+BA87</f>
        <v>1890941.84287078</v>
      </c>
      <c r="BB88" s="58" t="n">
        <f aca="false">BB86+BB87</f>
        <v>1890324.52231884</v>
      </c>
      <c r="BC88" s="58" t="n">
        <f aca="false">BC86+BC87</f>
        <v>1889706.18857739</v>
      </c>
      <c r="BD88" s="58" t="n">
        <f aca="false">BD86+BD87</f>
        <v>1889086.84164643</v>
      </c>
      <c r="BE88" s="58" t="n">
        <f aca="false">BE86+BE87</f>
        <v>1888466.48152595</v>
      </c>
      <c r="BF88" s="58" t="n">
        <f aca="false">BF86+BF87</f>
        <v>1887845.10821596</v>
      </c>
      <c r="BG88" s="58" t="n">
        <f aca="false">BG86+BG87</f>
        <v>1887222.72171645</v>
      </c>
      <c r="BH88" s="58" t="n">
        <f aca="false">BH86+BH87</f>
        <v>1886599.32202742</v>
      </c>
      <c r="BI88" s="58" t="n">
        <f aca="false">BI86+BI87</f>
        <v>1885954.04126005</v>
      </c>
      <c r="BJ88" s="58" t="n">
        <f aca="false">BJ86+BJ87</f>
        <v>1885146.63026301</v>
      </c>
    </row>
    <row r="89" customFormat="false" ht="15" hidden="false" customHeight="false" outlineLevel="0" collapsed="false">
      <c r="A89" s="6" t="s">
        <v>420</v>
      </c>
      <c r="C89" s="51" t="n">
        <f aca="false">C85-C88</f>
        <v>0</v>
      </c>
      <c r="D89" s="51" t="n">
        <f aca="false">D85-D88</f>
        <v>0</v>
      </c>
      <c r="E89" s="51" t="n">
        <f aca="false">E85-E88</f>
        <v>0</v>
      </c>
      <c r="F89" s="51" t="n">
        <f aca="false">F85-F88</f>
        <v>0</v>
      </c>
      <c r="G89" s="51" t="n">
        <f aca="false">G85-G88</f>
        <v>0</v>
      </c>
      <c r="H89" s="51" t="n">
        <f aca="false">H85-H88</f>
        <v>0</v>
      </c>
      <c r="I89" s="51" t="n">
        <f aca="false">I85-I88</f>
        <v>0</v>
      </c>
      <c r="J89" s="51" t="n">
        <f aca="false">J85-J88</f>
        <v>0</v>
      </c>
      <c r="K89" s="51" t="n">
        <f aca="false">K85-K88</f>
        <v>0</v>
      </c>
      <c r="L89" s="51" t="n">
        <f aca="false">L85-L88</f>
        <v>0</v>
      </c>
      <c r="M89" s="51" t="n">
        <f aca="false">M85-M88</f>
        <v>0</v>
      </c>
      <c r="N89" s="51" t="n">
        <f aca="false">N85-N88</f>
        <v>0</v>
      </c>
      <c r="O89" s="51" t="n">
        <f aca="false">O85-O88</f>
        <v>0</v>
      </c>
      <c r="P89" s="51" t="n">
        <f aca="false">P85-P88</f>
        <v>0</v>
      </c>
      <c r="Q89" s="51" t="n">
        <f aca="false">Q85-Q88</f>
        <v>0</v>
      </c>
      <c r="R89" s="51" t="n">
        <f aca="false">R85-R88</f>
        <v>0</v>
      </c>
      <c r="S89" s="51" t="n">
        <f aca="false">S85-S88</f>
        <v>0</v>
      </c>
      <c r="T89" s="51" t="n">
        <f aca="false">T85-T88</f>
        <v>0</v>
      </c>
      <c r="U89" s="51" t="n">
        <f aca="false">U85-U88</f>
        <v>0</v>
      </c>
      <c r="V89" s="51" t="n">
        <f aca="false">V85-V88</f>
        <v>0</v>
      </c>
      <c r="W89" s="51" t="n">
        <f aca="false">W85-W88</f>
        <v>0</v>
      </c>
      <c r="X89" s="51" t="n">
        <f aca="false">X85-X88</f>
        <v>0</v>
      </c>
      <c r="Y89" s="51" t="n">
        <f aca="false">Y85-Y88</f>
        <v>0</v>
      </c>
      <c r="Z89" s="51" t="n">
        <f aca="false">Z85-Z88</f>
        <v>0</v>
      </c>
      <c r="AA89" s="51" t="n">
        <f aca="false">AA85-AA88</f>
        <v>0</v>
      </c>
      <c r="AB89" s="51" t="n">
        <f aca="false">AB85-AB88</f>
        <v>0</v>
      </c>
      <c r="AC89" s="51" t="n">
        <f aca="false">AC85-AC88</f>
        <v>0</v>
      </c>
      <c r="AD89" s="51" t="n">
        <f aca="false">AD85-AD88</f>
        <v>0</v>
      </c>
      <c r="AE89" s="51" t="n">
        <f aca="false">AE85-AE88</f>
        <v>0</v>
      </c>
      <c r="AF89" s="51" t="n">
        <f aca="false">AF85-AF88</f>
        <v>0</v>
      </c>
      <c r="AG89" s="51" t="n">
        <f aca="false">AG85-AG88</f>
        <v>0</v>
      </c>
      <c r="AH89" s="51" t="n">
        <f aca="false">AH85-AH88</f>
        <v>0</v>
      </c>
      <c r="AI89" s="51" t="n">
        <f aca="false">AI85-AI88</f>
        <v>0</v>
      </c>
      <c r="AJ89" s="51" t="n">
        <f aca="false">AJ85-AJ88</f>
        <v>0</v>
      </c>
      <c r="AK89" s="51" t="n">
        <f aca="false">AK85-AK88</f>
        <v>0</v>
      </c>
      <c r="AL89" s="51" t="n">
        <f aca="false">AL85-AL88</f>
        <v>0</v>
      </c>
      <c r="AM89" s="51" t="n">
        <f aca="false">AM85-AM88</f>
        <v>0</v>
      </c>
      <c r="AN89" s="51" t="n">
        <f aca="false">AN85-AN88</f>
        <v>0</v>
      </c>
      <c r="AO89" s="51" t="n">
        <f aca="false">AO85-AO88</f>
        <v>0</v>
      </c>
      <c r="AP89" s="51" t="n">
        <f aca="false">AP85-AP88</f>
        <v>0</v>
      </c>
      <c r="AQ89" s="51" t="n">
        <f aca="false">AQ85-AQ88</f>
        <v>0</v>
      </c>
      <c r="AR89" s="51" t="n">
        <f aca="false">AR85-AR88</f>
        <v>0</v>
      </c>
      <c r="AS89" s="51" t="n">
        <f aca="false">AS85-AS88</f>
        <v>0</v>
      </c>
      <c r="AT89" s="51" t="n">
        <f aca="false">AT85-AT88</f>
        <v>0</v>
      </c>
      <c r="AU89" s="51" t="n">
        <f aca="false">AU85-AU88</f>
        <v>0</v>
      </c>
      <c r="AV89" s="51" t="n">
        <f aca="false">AV85-AV88</f>
        <v>0</v>
      </c>
      <c r="AW89" s="51" t="n">
        <f aca="false">AW85-AW88</f>
        <v>0</v>
      </c>
      <c r="AX89" s="51" t="n">
        <f aca="false">AX85-AX88</f>
        <v>0</v>
      </c>
      <c r="AY89" s="51" t="n">
        <f aca="false">AY85-AY88</f>
        <v>0</v>
      </c>
      <c r="AZ89" s="51" t="n">
        <f aca="false">AZ85-AZ88</f>
        <v>0</v>
      </c>
      <c r="BA89" s="51" t="n">
        <f aca="false">BA85-BA88</f>
        <v>0</v>
      </c>
      <c r="BB89" s="51" t="n">
        <f aca="false">BB85-BB88</f>
        <v>0</v>
      </c>
      <c r="BC89" s="51" t="n">
        <f aca="false">BC85-BC88</f>
        <v>0</v>
      </c>
      <c r="BD89" s="51" t="n">
        <f aca="false">BD85-BD88</f>
        <v>0</v>
      </c>
      <c r="BE89" s="51" t="n">
        <f aca="false">BE85-BE88</f>
        <v>0</v>
      </c>
      <c r="BF89" s="51" t="n">
        <f aca="false">BF85-BF88</f>
        <v>0</v>
      </c>
      <c r="BG89" s="51" t="n">
        <f aca="false">BG85-BG88</f>
        <v>0</v>
      </c>
      <c r="BH89" s="51" t="n">
        <f aca="false">BH85-BH88</f>
        <v>0</v>
      </c>
      <c r="BI89" s="51" t="n">
        <f aca="false">BI85-BI88</f>
        <v>0</v>
      </c>
      <c r="BJ89" s="51" t="n">
        <f aca="false">BJ85-BJ88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421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324</v>
      </c>
    </row>
    <row r="3" customFormat="false" ht="15" hidden="false" customHeight="false" outlineLevel="0" collapsed="false">
      <c r="A3" s="33" t="s">
        <v>325</v>
      </c>
      <c r="C3" s="57" t="s">
        <v>326</v>
      </c>
      <c r="D3" s="57" t="s">
        <v>327</v>
      </c>
      <c r="E3" s="57" t="s">
        <v>328</v>
      </c>
      <c r="F3" s="57" t="s">
        <v>329</v>
      </c>
      <c r="G3" s="57" t="s">
        <v>330</v>
      </c>
      <c r="H3" s="57" t="s">
        <v>331</v>
      </c>
      <c r="I3" s="57" t="s">
        <v>332</v>
      </c>
      <c r="J3" s="57" t="s">
        <v>333</v>
      </c>
      <c r="K3" s="57" t="s">
        <v>334</v>
      </c>
      <c r="L3" s="57" t="s">
        <v>335</v>
      </c>
      <c r="M3" s="57" t="s">
        <v>336</v>
      </c>
      <c r="N3" s="57" t="s">
        <v>337</v>
      </c>
      <c r="O3" s="57" t="s">
        <v>338</v>
      </c>
      <c r="P3" s="57" t="s">
        <v>339</v>
      </c>
      <c r="Q3" s="57" t="s">
        <v>340</v>
      </c>
      <c r="R3" s="57" t="s">
        <v>341</v>
      </c>
      <c r="S3" s="57" t="s">
        <v>342</v>
      </c>
      <c r="T3" s="57" t="s">
        <v>343</v>
      </c>
      <c r="U3" s="57" t="s">
        <v>344</v>
      </c>
      <c r="V3" s="57" t="s">
        <v>345</v>
      </c>
      <c r="W3" s="57" t="s">
        <v>346</v>
      </c>
      <c r="X3" s="57" t="s">
        <v>347</v>
      </c>
      <c r="Y3" s="57" t="s">
        <v>348</v>
      </c>
      <c r="Z3" s="57" t="s">
        <v>349</v>
      </c>
      <c r="AA3" s="57" t="s">
        <v>350</v>
      </c>
      <c r="AB3" s="57" t="s">
        <v>351</v>
      </c>
      <c r="AC3" s="57" t="s">
        <v>352</v>
      </c>
      <c r="AD3" s="57" t="s">
        <v>353</v>
      </c>
      <c r="AE3" s="57" t="s">
        <v>354</v>
      </c>
      <c r="AF3" s="57" t="s">
        <v>355</v>
      </c>
      <c r="AG3" s="57" t="s">
        <v>356</v>
      </c>
      <c r="AH3" s="57" t="s">
        <v>357</v>
      </c>
      <c r="AI3" s="57" t="s">
        <v>358</v>
      </c>
      <c r="AJ3" s="57" t="s">
        <v>359</v>
      </c>
      <c r="AK3" s="57" t="s">
        <v>360</v>
      </c>
      <c r="AL3" s="57" t="s">
        <v>361</v>
      </c>
      <c r="AM3" s="57" t="s">
        <v>362</v>
      </c>
      <c r="AN3" s="57" t="s">
        <v>363</v>
      </c>
      <c r="AO3" s="57" t="s">
        <v>364</v>
      </c>
      <c r="AP3" s="57" t="s">
        <v>365</v>
      </c>
      <c r="AQ3" s="57" t="s">
        <v>366</v>
      </c>
      <c r="AR3" s="57" t="s">
        <v>367</v>
      </c>
      <c r="AS3" s="57" t="s">
        <v>368</v>
      </c>
      <c r="AT3" s="57" t="s">
        <v>369</v>
      </c>
      <c r="AU3" s="57" t="s">
        <v>370</v>
      </c>
      <c r="AV3" s="57" t="s">
        <v>371</v>
      </c>
      <c r="AW3" s="57" t="s">
        <v>372</v>
      </c>
      <c r="AX3" s="57" t="s">
        <v>373</v>
      </c>
      <c r="AY3" s="57" t="s">
        <v>374</v>
      </c>
      <c r="AZ3" s="57" t="s">
        <v>375</v>
      </c>
      <c r="BA3" s="57" t="s">
        <v>376</v>
      </c>
      <c r="BB3" s="57" t="s">
        <v>377</v>
      </c>
      <c r="BC3" s="57" t="s">
        <v>378</v>
      </c>
      <c r="BD3" s="57" t="s">
        <v>379</v>
      </c>
      <c r="BE3" s="57" t="s">
        <v>380</v>
      </c>
      <c r="BF3" s="57" t="s">
        <v>381</v>
      </c>
      <c r="BG3" s="57" t="s">
        <v>382</v>
      </c>
      <c r="BH3" s="57" t="s">
        <v>383</v>
      </c>
      <c r="BI3" s="57" t="s">
        <v>384</v>
      </c>
      <c r="BJ3" s="57" t="s">
        <v>385</v>
      </c>
    </row>
    <row r="4" customFormat="false" ht="15" hidden="false" customHeight="false" outlineLevel="0" collapsed="false">
      <c r="A4" s="56" t="s">
        <v>386</v>
      </c>
      <c r="C4" s="56" t="n">
        <v>1</v>
      </c>
      <c r="D4" s="56" t="n">
        <v>2</v>
      </c>
      <c r="E4" s="56" t="n">
        <v>3</v>
      </c>
      <c r="F4" s="56" t="n">
        <v>4</v>
      </c>
      <c r="G4" s="56" t="n">
        <v>5</v>
      </c>
      <c r="H4" s="56" t="n">
        <v>6</v>
      </c>
      <c r="I4" s="56" t="n">
        <v>7</v>
      </c>
      <c r="J4" s="56" t="n">
        <v>8</v>
      </c>
      <c r="K4" s="56" t="n">
        <v>9</v>
      </c>
      <c r="L4" s="56" t="n">
        <v>10</v>
      </c>
      <c r="M4" s="56" t="n">
        <v>11</v>
      </c>
      <c r="N4" s="56" t="n">
        <v>12</v>
      </c>
      <c r="O4" s="56" t="n">
        <v>13</v>
      </c>
      <c r="P4" s="56" t="n">
        <v>14</v>
      </c>
      <c r="Q4" s="56" t="n">
        <v>15</v>
      </c>
      <c r="R4" s="56" t="n">
        <v>16</v>
      </c>
      <c r="S4" s="56" t="n">
        <v>17</v>
      </c>
      <c r="T4" s="56" t="n">
        <v>18</v>
      </c>
      <c r="U4" s="56" t="n">
        <v>19</v>
      </c>
      <c r="V4" s="56" t="n">
        <v>20</v>
      </c>
      <c r="W4" s="56" t="n">
        <v>21</v>
      </c>
      <c r="X4" s="56" t="n">
        <v>22</v>
      </c>
      <c r="Y4" s="56" t="n">
        <v>23</v>
      </c>
      <c r="Z4" s="56" t="n">
        <v>24</v>
      </c>
      <c r="AA4" s="56" t="n">
        <v>25</v>
      </c>
      <c r="AB4" s="56" t="n">
        <v>26</v>
      </c>
      <c r="AC4" s="56" t="n">
        <v>27</v>
      </c>
      <c r="AD4" s="56" t="n">
        <v>28</v>
      </c>
      <c r="AE4" s="56" t="n">
        <v>29</v>
      </c>
      <c r="AF4" s="56" t="n">
        <v>30</v>
      </c>
      <c r="AG4" s="56" t="n">
        <v>31</v>
      </c>
      <c r="AH4" s="56" t="n">
        <v>32</v>
      </c>
      <c r="AI4" s="56" t="n">
        <v>33</v>
      </c>
      <c r="AJ4" s="56" t="n">
        <v>34</v>
      </c>
      <c r="AK4" s="56" t="n">
        <v>35</v>
      </c>
      <c r="AL4" s="56" t="n">
        <v>36</v>
      </c>
      <c r="AM4" s="56" t="n">
        <v>37</v>
      </c>
      <c r="AN4" s="56" t="n">
        <v>38</v>
      </c>
      <c r="AO4" s="56" t="n">
        <v>39</v>
      </c>
      <c r="AP4" s="56" t="n">
        <v>40</v>
      </c>
      <c r="AQ4" s="56" t="n">
        <v>41</v>
      </c>
      <c r="AR4" s="56" t="n">
        <v>42</v>
      </c>
      <c r="AS4" s="56" t="n">
        <v>43</v>
      </c>
      <c r="AT4" s="56" t="n">
        <v>44</v>
      </c>
      <c r="AU4" s="56" t="n">
        <v>45</v>
      </c>
      <c r="AV4" s="56" t="n">
        <v>46</v>
      </c>
      <c r="AW4" s="56" t="n">
        <v>47</v>
      </c>
      <c r="AX4" s="56" t="n">
        <v>48</v>
      </c>
      <c r="AY4" s="56" t="n">
        <v>49</v>
      </c>
      <c r="AZ4" s="56" t="n">
        <v>50</v>
      </c>
      <c r="BA4" s="56" t="n">
        <v>51</v>
      </c>
      <c r="BB4" s="56" t="n">
        <v>52</v>
      </c>
      <c r="BC4" s="56" t="n">
        <v>53</v>
      </c>
      <c r="BD4" s="56" t="n">
        <v>54</v>
      </c>
      <c r="BE4" s="56" t="n">
        <v>55</v>
      </c>
      <c r="BF4" s="56" t="n">
        <v>56</v>
      </c>
      <c r="BG4" s="56" t="n">
        <v>57</v>
      </c>
      <c r="BH4" s="56" t="n">
        <v>58</v>
      </c>
      <c r="BI4" s="56" t="n">
        <v>59</v>
      </c>
      <c r="BJ4" s="56" t="n">
        <v>60</v>
      </c>
    </row>
    <row r="5" customFormat="false" ht="15" hidden="false" customHeight="false" outlineLevel="0" collapsed="false">
      <c r="A5" s="56" t="s">
        <v>122</v>
      </c>
      <c r="C5" s="56" t="n">
        <f aca="false">ROUNDUP(C4*1/12,0)</f>
        <v>1</v>
      </c>
      <c r="D5" s="56" t="n">
        <f aca="false">ROUNDUP(D4*1/12,0)</f>
        <v>1</v>
      </c>
      <c r="E5" s="56" t="n">
        <f aca="false">ROUNDUP(E4*1/12,0)</f>
        <v>1</v>
      </c>
      <c r="F5" s="56" t="n">
        <f aca="false">ROUNDUP(F4*1/12,0)</f>
        <v>1</v>
      </c>
      <c r="G5" s="56" t="n">
        <f aca="false">ROUNDUP(G4*1/12,0)</f>
        <v>1</v>
      </c>
      <c r="H5" s="56" t="n">
        <f aca="false">ROUNDUP(H4*1/12,0)</f>
        <v>1</v>
      </c>
      <c r="I5" s="56" t="n">
        <f aca="false">ROUNDUP(I4*1/12,0)</f>
        <v>1</v>
      </c>
      <c r="J5" s="56" t="n">
        <f aca="false">ROUNDUP(J4*1/12,0)</f>
        <v>1</v>
      </c>
      <c r="K5" s="56" t="n">
        <f aca="false">ROUNDUP(K4*1/12,0)</f>
        <v>1</v>
      </c>
      <c r="L5" s="56" t="n">
        <f aca="false">ROUNDUP(L4*1/12,0)</f>
        <v>1</v>
      </c>
      <c r="M5" s="56" t="n">
        <f aca="false">ROUNDUP(M4*1/12,0)</f>
        <v>1</v>
      </c>
      <c r="N5" s="56" t="n">
        <f aca="false">ROUNDUP(N4*1/12,0)</f>
        <v>1</v>
      </c>
      <c r="O5" s="56" t="n">
        <f aca="false">ROUNDUP(O4*1/12,0)</f>
        <v>2</v>
      </c>
      <c r="P5" s="56" t="n">
        <f aca="false">ROUNDUP(P4*1/12,0)</f>
        <v>2</v>
      </c>
      <c r="Q5" s="56" t="n">
        <f aca="false">ROUNDUP(Q4*1/12,0)</f>
        <v>2</v>
      </c>
      <c r="R5" s="56" t="n">
        <f aca="false">ROUNDUP(R4*1/12,0)</f>
        <v>2</v>
      </c>
      <c r="S5" s="56" t="n">
        <f aca="false">ROUNDUP(S4*1/12,0)</f>
        <v>2</v>
      </c>
      <c r="T5" s="56" t="n">
        <f aca="false">ROUNDUP(T4*1/12,0)</f>
        <v>2</v>
      </c>
      <c r="U5" s="56" t="n">
        <f aca="false">ROUNDUP(U4*1/12,0)</f>
        <v>2</v>
      </c>
      <c r="V5" s="56" t="n">
        <f aca="false">ROUNDUP(V4*1/12,0)</f>
        <v>2</v>
      </c>
      <c r="W5" s="56" t="n">
        <f aca="false">ROUNDUP(W4*1/12,0)</f>
        <v>2</v>
      </c>
      <c r="X5" s="56" t="n">
        <f aca="false">ROUNDUP(X4*1/12,0)</f>
        <v>2</v>
      </c>
      <c r="Y5" s="56" t="n">
        <f aca="false">ROUNDUP(Y4*1/12,0)</f>
        <v>2</v>
      </c>
      <c r="Z5" s="56" t="n">
        <f aca="false">ROUNDUP(Z4*1/12,0)</f>
        <v>2</v>
      </c>
      <c r="AA5" s="56" t="n">
        <f aca="false">ROUNDUP(AA4*1/12,0)</f>
        <v>3</v>
      </c>
      <c r="AB5" s="56" t="n">
        <f aca="false">ROUNDUP(AB4*1/12,0)</f>
        <v>3</v>
      </c>
      <c r="AC5" s="56" t="n">
        <f aca="false">ROUNDUP(AC4*1/12,0)</f>
        <v>3</v>
      </c>
      <c r="AD5" s="56" t="n">
        <f aca="false">ROUNDUP(AD4*1/12,0)</f>
        <v>3</v>
      </c>
      <c r="AE5" s="56" t="n">
        <f aca="false">ROUNDUP(AE4*1/12,0)</f>
        <v>3</v>
      </c>
      <c r="AF5" s="56" t="n">
        <f aca="false">ROUNDUP(AF4*1/12,0)</f>
        <v>3</v>
      </c>
      <c r="AG5" s="56" t="n">
        <f aca="false">ROUNDUP(AG4*1/12,0)</f>
        <v>3</v>
      </c>
      <c r="AH5" s="56" t="n">
        <f aca="false">ROUNDUP(AH4*1/12,0)</f>
        <v>3</v>
      </c>
      <c r="AI5" s="56" t="n">
        <f aca="false">ROUNDUP(AI4*1/12,0)</f>
        <v>3</v>
      </c>
      <c r="AJ5" s="56" t="n">
        <f aca="false">ROUNDUP(AJ4*1/12,0)</f>
        <v>3</v>
      </c>
      <c r="AK5" s="56" t="n">
        <f aca="false">ROUNDUP(AK4*1/12,0)</f>
        <v>3</v>
      </c>
      <c r="AL5" s="56" t="n">
        <f aca="false">ROUNDUP(AL4*1/12,0)</f>
        <v>3</v>
      </c>
      <c r="AM5" s="56" t="n">
        <f aca="false">ROUNDUP(AM4*1/12,0)</f>
        <v>4</v>
      </c>
      <c r="AN5" s="56" t="n">
        <f aca="false">ROUNDUP(AN4*1/12,0)</f>
        <v>4</v>
      </c>
      <c r="AO5" s="56" t="n">
        <f aca="false">ROUNDUP(AO4*1/12,0)</f>
        <v>4</v>
      </c>
      <c r="AP5" s="56" t="n">
        <f aca="false">ROUNDUP(AP4*1/12,0)</f>
        <v>4</v>
      </c>
      <c r="AQ5" s="56" t="n">
        <f aca="false">ROUNDUP(AQ4*1/12,0)</f>
        <v>4</v>
      </c>
      <c r="AR5" s="56" t="n">
        <f aca="false">ROUNDUP(AR4*1/12,0)</f>
        <v>4</v>
      </c>
      <c r="AS5" s="56" t="n">
        <f aca="false">ROUNDUP(AS4*1/12,0)</f>
        <v>4</v>
      </c>
      <c r="AT5" s="56" t="n">
        <f aca="false">ROUNDUP(AT4*1/12,0)</f>
        <v>4</v>
      </c>
      <c r="AU5" s="56" t="n">
        <f aca="false">ROUNDUP(AU4*1/12,0)</f>
        <v>4</v>
      </c>
      <c r="AV5" s="56" t="n">
        <f aca="false">ROUNDUP(AV4*1/12,0)</f>
        <v>4</v>
      </c>
      <c r="AW5" s="56" t="n">
        <f aca="false">ROUNDUP(AW4*1/12,0)</f>
        <v>4</v>
      </c>
      <c r="AX5" s="56" t="n">
        <f aca="false">ROUNDUP(AX4*1/12,0)</f>
        <v>4</v>
      </c>
      <c r="AY5" s="56" t="n">
        <f aca="false">ROUNDUP(AY4*1/12,0)</f>
        <v>5</v>
      </c>
      <c r="AZ5" s="56" t="n">
        <f aca="false">ROUNDUP(AZ4*1/12,0)</f>
        <v>5</v>
      </c>
      <c r="BA5" s="56" t="n">
        <f aca="false">ROUNDUP(BA4*1/12,0)</f>
        <v>5</v>
      </c>
      <c r="BB5" s="56" t="n">
        <f aca="false">ROUNDUP(BB4*1/12,0)</f>
        <v>5</v>
      </c>
      <c r="BC5" s="56" t="n">
        <f aca="false">ROUNDUP(BC4*1/12,0)</f>
        <v>5</v>
      </c>
      <c r="BD5" s="56" t="n">
        <f aca="false">ROUNDUP(BD4*1/12,0)</f>
        <v>5</v>
      </c>
      <c r="BE5" s="56" t="n">
        <f aca="false">ROUNDUP(BE4*1/12,0)</f>
        <v>5</v>
      </c>
      <c r="BF5" s="56" t="n">
        <f aca="false">ROUNDUP(BF4*1/12,0)</f>
        <v>5</v>
      </c>
      <c r="BG5" s="56" t="n">
        <f aca="false">ROUNDUP(BG4*1/12,0)</f>
        <v>5</v>
      </c>
      <c r="BH5" s="56" t="n">
        <f aca="false">ROUNDUP(BH4*1/12,0)</f>
        <v>5</v>
      </c>
      <c r="BI5" s="56" t="n">
        <f aca="false">ROUNDUP(BI4*1/12,0)</f>
        <v>5</v>
      </c>
      <c r="BJ5" s="56" t="n">
        <f aca="false">ROUNDUP(BJ4*1/12,0)</f>
        <v>5</v>
      </c>
    </row>
    <row r="6" customFormat="false" ht="15" hidden="false" customHeight="false" outlineLevel="0" collapsed="false">
      <c r="A6" s="96" t="s">
        <v>422</v>
      </c>
      <c r="C6" s="102" t="n">
        <f aca="false">0</f>
        <v>0</v>
      </c>
      <c r="D6" s="102" t="n">
        <f aca="false">0</f>
        <v>0</v>
      </c>
      <c r="E6" s="102" t="n">
        <f aca="false">0</f>
        <v>0</v>
      </c>
      <c r="F6" s="102" t="n">
        <f aca="false">0</f>
        <v>0</v>
      </c>
      <c r="G6" s="102" t="n">
        <f aca="false">0</f>
        <v>0</v>
      </c>
      <c r="H6" s="102" t="n">
        <f aca="false">0</f>
        <v>0</v>
      </c>
      <c r="I6" s="102" t="n">
        <f aca="false">0</f>
        <v>0</v>
      </c>
      <c r="J6" s="102" t="n">
        <f aca="false">0</f>
        <v>0</v>
      </c>
      <c r="K6" s="102" t="n">
        <f aca="false">0</f>
        <v>0</v>
      </c>
      <c r="L6" s="102" t="n">
        <f aca="false">0</f>
        <v>0</v>
      </c>
      <c r="M6" s="102" t="n">
        <f aca="false">0</f>
        <v>0</v>
      </c>
      <c r="N6" s="102" t="n">
        <f aca="false">0</f>
        <v>0</v>
      </c>
      <c r="O6" s="102" t="n">
        <f aca="false">0</f>
        <v>0</v>
      </c>
      <c r="P6" s="102" t="n">
        <f aca="false">0</f>
        <v>0</v>
      </c>
      <c r="Q6" s="102" t="n">
        <f aca="false">0</f>
        <v>0</v>
      </c>
      <c r="R6" s="102" t="n">
        <f aca="false">0</f>
        <v>0</v>
      </c>
      <c r="S6" s="102" t="n">
        <f aca="false">0</f>
        <v>0</v>
      </c>
      <c r="T6" s="102" t="n">
        <f aca="false">0</f>
        <v>0</v>
      </c>
      <c r="U6" s="102" t="n">
        <f aca="false">0</f>
        <v>0</v>
      </c>
      <c r="V6" s="102" t="n">
        <f aca="false">0</f>
        <v>0</v>
      </c>
      <c r="W6" s="102" t="n">
        <f aca="false">0</f>
        <v>0</v>
      </c>
      <c r="X6" s="102" t="n">
        <f aca="false">0</f>
        <v>0</v>
      </c>
      <c r="Y6" s="102" t="n">
        <f aca="false">0</f>
        <v>0</v>
      </c>
      <c r="Z6" s="102" t="n">
        <f aca="false">0</f>
        <v>0</v>
      </c>
      <c r="AA6" s="102" t="n">
        <f aca="false">0</f>
        <v>0</v>
      </c>
      <c r="AB6" s="102" t="n">
        <f aca="false">0</f>
        <v>0</v>
      </c>
      <c r="AC6" s="102" t="n">
        <f aca="false">0</f>
        <v>0</v>
      </c>
      <c r="AD6" s="102" t="n">
        <f aca="false">0</f>
        <v>0</v>
      </c>
      <c r="AE6" s="102" t="n">
        <f aca="false">0</f>
        <v>0</v>
      </c>
      <c r="AF6" s="102" t="n">
        <f aca="false">0</f>
        <v>0</v>
      </c>
      <c r="AG6" s="102" t="n">
        <f aca="false">0</f>
        <v>0</v>
      </c>
      <c r="AH6" s="102" t="n">
        <f aca="false">0</f>
        <v>0</v>
      </c>
      <c r="AI6" s="102" t="n">
        <f aca="false">0</f>
        <v>0</v>
      </c>
      <c r="AJ6" s="102" t="n">
        <f aca="false">0</f>
        <v>0</v>
      </c>
      <c r="AK6" s="102" t="n">
        <f aca="false">0</f>
        <v>0</v>
      </c>
      <c r="AL6" s="102" t="n">
        <f aca="false">0</f>
        <v>0</v>
      </c>
      <c r="AM6" s="102" t="n">
        <f aca="false">0</f>
        <v>0</v>
      </c>
      <c r="AN6" s="102" t="n">
        <f aca="false">0</f>
        <v>0</v>
      </c>
      <c r="AO6" s="102" t="n">
        <f aca="false">0</f>
        <v>0</v>
      </c>
      <c r="AP6" s="102" t="n">
        <f aca="false">0</f>
        <v>0</v>
      </c>
      <c r="AQ6" s="102" t="n">
        <f aca="false">0</f>
        <v>0</v>
      </c>
      <c r="AR6" s="102" t="n">
        <f aca="false">0</f>
        <v>0</v>
      </c>
      <c r="AS6" s="102" t="n">
        <f aca="false">0</f>
        <v>0</v>
      </c>
      <c r="AT6" s="102" t="n">
        <f aca="false">0</f>
        <v>0</v>
      </c>
      <c r="AU6" s="102" t="n">
        <f aca="false">0</f>
        <v>0</v>
      </c>
      <c r="AV6" s="102" t="n">
        <f aca="false">0</f>
        <v>0</v>
      </c>
      <c r="AW6" s="102" t="n">
        <f aca="false">0</f>
        <v>0</v>
      </c>
      <c r="AX6" s="102" t="n">
        <f aca="false">0</f>
        <v>0</v>
      </c>
      <c r="AY6" s="102" t="n">
        <f aca="false">0</f>
        <v>0</v>
      </c>
      <c r="AZ6" s="102" t="n">
        <f aca="false">0</f>
        <v>0</v>
      </c>
      <c r="BA6" s="102" t="n">
        <f aca="false">0</f>
        <v>0</v>
      </c>
      <c r="BB6" s="102" t="n">
        <f aca="false">0</f>
        <v>0</v>
      </c>
      <c r="BC6" s="102" t="n">
        <f aca="false">0</f>
        <v>0</v>
      </c>
      <c r="BD6" s="102" t="n">
        <f aca="false">0</f>
        <v>0</v>
      </c>
      <c r="BE6" s="102" t="n">
        <f aca="false">0</f>
        <v>0</v>
      </c>
      <c r="BF6" s="102" t="n">
        <f aca="false">0</f>
        <v>0</v>
      </c>
      <c r="BG6" s="102" t="n">
        <f aca="false">0</f>
        <v>0</v>
      </c>
      <c r="BH6" s="102" t="n">
        <f aca="false">0</f>
        <v>0</v>
      </c>
      <c r="BI6" s="102" t="n">
        <f aca="false">0</f>
        <v>0</v>
      </c>
      <c r="BJ6" s="102" t="n">
        <f aca="false">0</f>
        <v>0</v>
      </c>
    </row>
    <row r="7" customFormat="false" ht="15" hidden="false" customHeight="false" outlineLevel="0" collapsed="false">
      <c r="A7" s="96" t="s">
        <v>423</v>
      </c>
      <c r="C7" s="52" t="n">
        <f aca="false">0</f>
        <v>0</v>
      </c>
      <c r="D7" s="52" t="n">
        <f aca="false">0</f>
        <v>0</v>
      </c>
      <c r="E7" s="52" t="n">
        <f aca="false">0</f>
        <v>0</v>
      </c>
      <c r="F7" s="52" t="n">
        <f aca="false">0</f>
        <v>0</v>
      </c>
      <c r="G7" s="52" t="n">
        <f aca="false">0</f>
        <v>0</v>
      </c>
      <c r="H7" s="52" t="n">
        <f aca="false">0</f>
        <v>0</v>
      </c>
      <c r="I7" s="52" t="n">
        <f aca="false">0</f>
        <v>0</v>
      </c>
      <c r="J7" s="52" t="n">
        <f aca="false">0</f>
        <v>0</v>
      </c>
      <c r="K7" s="52" t="n">
        <f aca="false">0</f>
        <v>0</v>
      </c>
      <c r="L7" s="52" t="n">
        <f aca="false">0</f>
        <v>0</v>
      </c>
      <c r="M7" s="52" t="n">
        <f aca="false">0</f>
        <v>0</v>
      </c>
      <c r="N7" s="52" t="n">
        <f aca="false">0</f>
        <v>0</v>
      </c>
      <c r="O7" s="52" t="n">
        <f aca="false">0</f>
        <v>0</v>
      </c>
      <c r="P7" s="52" t="n">
        <f aca="false">0</f>
        <v>0</v>
      </c>
      <c r="Q7" s="52" t="n">
        <f aca="false">0</f>
        <v>0</v>
      </c>
      <c r="R7" s="52" t="n">
        <f aca="false">0</f>
        <v>0</v>
      </c>
      <c r="S7" s="52" t="n">
        <f aca="false">0</f>
        <v>0</v>
      </c>
      <c r="T7" s="52" t="n">
        <f aca="false">0</f>
        <v>0</v>
      </c>
      <c r="U7" s="52" t="n">
        <f aca="false">0</f>
        <v>0</v>
      </c>
      <c r="V7" s="52" t="n">
        <f aca="false">0</f>
        <v>0</v>
      </c>
      <c r="W7" s="52" t="n">
        <f aca="false">0</f>
        <v>0</v>
      </c>
      <c r="X7" s="52" t="n">
        <f aca="false">0</f>
        <v>0</v>
      </c>
      <c r="Y7" s="52" t="n">
        <f aca="false">0</f>
        <v>0</v>
      </c>
      <c r="Z7" s="52" t="n">
        <f aca="false">0</f>
        <v>0</v>
      </c>
      <c r="AA7" s="52" t="n">
        <f aca="false">0</f>
        <v>0</v>
      </c>
      <c r="AB7" s="52" t="n">
        <f aca="false">0</f>
        <v>0</v>
      </c>
      <c r="AC7" s="52" t="n">
        <f aca="false">0</f>
        <v>0</v>
      </c>
      <c r="AD7" s="52" t="n">
        <f aca="false">0</f>
        <v>0</v>
      </c>
      <c r="AE7" s="52" t="n">
        <f aca="false">0</f>
        <v>0</v>
      </c>
      <c r="AF7" s="52" t="n">
        <f aca="false">0</f>
        <v>0</v>
      </c>
      <c r="AG7" s="52" t="n">
        <f aca="false">0</f>
        <v>0</v>
      </c>
      <c r="AH7" s="52" t="n">
        <f aca="false">0</f>
        <v>0</v>
      </c>
      <c r="AI7" s="52" t="n">
        <f aca="false">0</f>
        <v>0</v>
      </c>
      <c r="AJ7" s="52" t="n">
        <f aca="false">0</f>
        <v>0</v>
      </c>
      <c r="AK7" s="52" t="n">
        <f aca="false">0</f>
        <v>0</v>
      </c>
      <c r="AL7" s="52" t="n">
        <f aca="false">0</f>
        <v>0</v>
      </c>
      <c r="AM7" s="52" t="n">
        <f aca="false">0</f>
        <v>0</v>
      </c>
      <c r="AN7" s="52" t="n">
        <f aca="false">0</f>
        <v>0</v>
      </c>
      <c r="AO7" s="52" t="n">
        <f aca="false">0</f>
        <v>0</v>
      </c>
      <c r="AP7" s="52" t="n">
        <f aca="false">0</f>
        <v>0</v>
      </c>
      <c r="AQ7" s="52" t="n">
        <f aca="false">0</f>
        <v>0</v>
      </c>
      <c r="AR7" s="52" t="n">
        <f aca="false">0</f>
        <v>0</v>
      </c>
      <c r="AS7" s="52" t="n">
        <f aca="false">0</f>
        <v>0</v>
      </c>
      <c r="AT7" s="52" t="n">
        <f aca="false">0</f>
        <v>0</v>
      </c>
      <c r="AU7" s="52" t="n">
        <f aca="false">0</f>
        <v>0</v>
      </c>
      <c r="AV7" s="52" t="n">
        <f aca="false">0</f>
        <v>0</v>
      </c>
      <c r="AW7" s="52" t="n">
        <f aca="false">0</f>
        <v>0</v>
      </c>
      <c r="AX7" s="52" t="n">
        <f aca="false">0</f>
        <v>0</v>
      </c>
      <c r="AY7" s="52" t="n">
        <f aca="false">0</f>
        <v>0</v>
      </c>
      <c r="AZ7" s="52" t="n">
        <f aca="false">0</f>
        <v>0</v>
      </c>
      <c r="BA7" s="52" t="n">
        <f aca="false">0</f>
        <v>0</v>
      </c>
      <c r="BB7" s="52" t="n">
        <f aca="false">0</f>
        <v>0</v>
      </c>
      <c r="BC7" s="52" t="n">
        <f aca="false">0</f>
        <v>0</v>
      </c>
      <c r="BD7" s="52" t="n">
        <f aca="false">0</f>
        <v>0</v>
      </c>
      <c r="BE7" s="52" t="n">
        <f aca="false">0</f>
        <v>0</v>
      </c>
      <c r="BF7" s="52" t="n">
        <f aca="false">0</f>
        <v>0</v>
      </c>
      <c r="BG7" s="52" t="n">
        <f aca="false">0</f>
        <v>0</v>
      </c>
      <c r="BH7" s="52" t="n">
        <f aca="false">0</f>
        <v>0</v>
      </c>
      <c r="BI7" s="52" t="n">
        <f aca="false">0</f>
        <v>0</v>
      </c>
      <c r="BJ7" s="52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424</v>
      </c>
    </row>
    <row r="3" customFormat="false" ht="15" hidden="false" customHeight="false" outlineLevel="0" collapsed="false">
      <c r="A3" s="33" t="s">
        <v>425</v>
      </c>
      <c r="B3" s="33" t="s">
        <v>426</v>
      </c>
      <c r="C3" s="33" t="s">
        <v>427</v>
      </c>
    </row>
    <row r="4" customFormat="false" ht="15" hidden="false" customHeight="false" outlineLevel="0" collapsed="false">
      <c r="A4" s="6" t="s">
        <v>428</v>
      </c>
      <c r="B4" s="4" t="str">
        <f aca="false">IF(ABS(SUM('P&amp;L'!$B$5:$F$5)-SUM(Monthly!$C$12:$BJ$12))&lt;0.5,"PASS","FAIL")</f>
        <v>PASS</v>
      </c>
      <c r="C4" s="18" t="s">
        <v>429</v>
      </c>
    </row>
    <row r="5" customFormat="false" ht="15" hidden="false" customHeight="false" outlineLevel="0" collapsed="false">
      <c r="A5" s="6" t="s">
        <v>430</v>
      </c>
      <c r="B5" s="4" t="str">
        <f aca="false">IF(ABS(SUM('P&amp;L'!$B$21:$F$21)-SUM(Monthly!$C$35:$BJ$35))&lt;0.5,"PASS","FAIL")</f>
        <v>PASS</v>
      </c>
      <c r="C5" s="18" t="s">
        <v>431</v>
      </c>
    </row>
    <row r="6" customFormat="false" ht="15" hidden="false" customHeight="false" outlineLevel="0" collapsed="false">
      <c r="A6" s="6" t="s">
        <v>432</v>
      </c>
      <c r="B6" s="4" t="str">
        <f aca="false">IF(ABS(SUM(Monthly!$C$26:$BJ$26)-SUM(Monthly!$C$18:$BJ$18)-SUM(Monthly!$C$25:$BJ$25))&lt;0.5,"PASS","FAIL")</f>
        <v>PASS</v>
      </c>
      <c r="C6" s="18" t="s">
        <v>433</v>
      </c>
    </row>
    <row r="7" customFormat="false" ht="15" hidden="false" customHeight="false" outlineLevel="0" collapsed="false">
      <c r="A7" s="6" t="s">
        <v>434</v>
      </c>
      <c r="B7" s="4" t="str">
        <f aca="false">IF(ABS(INDEX(Monthly!$C$71:$BJ$71,60)-SUM(Monthly!$C$69:$BJ$69))&lt;0.5,"PASS","FAIL")</f>
        <v>PASS</v>
      </c>
      <c r="C7" s="18" t="s">
        <v>435</v>
      </c>
    </row>
    <row r="8" customFormat="false" ht="15" hidden="false" customHeight="false" outlineLevel="0" collapsed="false">
      <c r="A8" s="6" t="s">
        <v>436</v>
      </c>
      <c r="B8" s="4" t="str">
        <f aca="false">IF(AND(ISNUMBER(Dashboard!B4),Dashboard!B4&gt;=1,Dashboard!B4&lt;=3,INT(Dashboard!B4)=Dashboard!B4),"PASS","FAIL")</f>
        <v>PASS</v>
      </c>
      <c r="C8" s="18" t="s">
        <v>437</v>
      </c>
    </row>
    <row r="9" customFormat="false" ht="15" hidden="false" customHeight="false" outlineLevel="0" collapsed="false">
      <c r="A9" s="6" t="s">
        <v>438</v>
      </c>
      <c r="B9" s="4" t="str">
        <f aca="false">IF(AND(Inputs!$B$9&gt;=Inputs!$C$9,Inputs!$C$9&gt;=Inputs!$D$9,Inputs!$B$13&lt;=Inputs!$C$13,Inputs!$C$13&lt;=Inputs!$D$13,Inputs!$B$14&lt;=Inputs!$C$14,Inputs!$C$14&lt;=Inputs!$D$14,Inputs!$B$15&gt;=Inputs!$C$15,Inputs!$C$15&gt;=Inputs!$D$15,Inputs!$B$16&lt;=Inputs!$C$16,Inputs!$C$16&lt;=Inputs!$D$16,Inputs!$B$19&gt;=Inputs!$C$19,Inputs!$C$19&gt;=Inputs!$D$19,Inputs!$B$23&gt;=Inputs!$C$23,Inputs!$C$23&gt;=Inputs!$D$23,Inputs!$B$25&gt;=Inputs!$C$25,Inputs!$C$25&gt;=Inputs!$D$25,Inputs!$B$29&gt;=Inputs!$C$29,Inputs!$C$29&gt;=Inputs!$D$29,Inputs!$B$30&gt;=Inputs!$C$30,Inputs!$C$30&gt;=Inputs!$D$30,Inputs!$B$52&gt;=Inputs!$C$52,Inputs!$C$52&gt;=Inputs!$D$52,Inputs!$B$53&lt;=Inputs!$C$53,Inputs!$C$53&lt;=Inputs!$D$53,Inputs!$B$54&lt;=Inputs!$C$54,Inputs!$C$54&lt;=Inputs!$D$54),"PASS","FAIL")</f>
        <v>PASS</v>
      </c>
      <c r="C9" s="18" t="s">
        <v>439</v>
      </c>
    </row>
    <row r="10" customFormat="false" ht="15" hidden="false" customHeight="false" outlineLevel="0" collapsed="false">
      <c r="A10" s="6" t="s">
        <v>440</v>
      </c>
      <c r="B10" s="4" t="str">
        <f aca="false">IF(AND(MIN('P&amp;L'!$B$8:$F$8)&gt;=0,MAX('P&amp;L'!$B$8:$F$8)&lt;=1),"PASS","FAIL")</f>
        <v>PASS</v>
      </c>
      <c r="C10" s="18" t="s">
        <v>441</v>
      </c>
    </row>
    <row r="11" customFormat="false" ht="15" hidden="false" customHeight="false" outlineLevel="0" collapsed="false">
      <c r="A11" s="6" t="s">
        <v>442</v>
      </c>
      <c r="B11" s="4" t="str">
        <f aca="false">IF(MIN(Monthly!$C$54:$BJ$54)&gt;=-0.5,"PASS","FAIL")</f>
        <v>PASS</v>
      </c>
      <c r="C11" s="18" t="s">
        <v>443</v>
      </c>
    </row>
    <row r="12" customFormat="false" ht="15" hidden="false" customHeight="false" outlineLevel="0" collapsed="false">
      <c r="A12" s="6" t="s">
        <v>444</v>
      </c>
      <c r="B12" s="4" t="str">
        <f aca="false">IF(ABS('Break-even'!B18-('Break-even'!B16-'Break-even'!B10))&lt;0.5,"PASS","FAIL")</f>
        <v>PASS</v>
      </c>
      <c r="C12" s="18" t="s">
        <v>445</v>
      </c>
    </row>
    <row r="13" customFormat="false" ht="15" hidden="false" customHeight="false" outlineLevel="0" collapsed="false">
      <c r="A13" s="6" t="s">
        <v>446</v>
      </c>
      <c r="B13" s="4" t="str">
        <f aca="false">IF(ABS(Valuation!B23-NPV(Valuation!B6,Valuation!$B$17:$F$17))&lt;0.5,"PASS","FAIL")</f>
        <v>PASS</v>
      </c>
      <c r="C13" s="18" t="s">
        <v>447</v>
      </c>
    </row>
    <row r="14" customFormat="false" ht="15" hidden="false" customHeight="false" outlineLevel="0" collapsed="false">
      <c r="A14" s="6" t="s">
        <v>448</v>
      </c>
      <c r="B14" s="4" t="str">
        <f aca="false">IF(Valuation!B6&gt;Valuation!B7,"PASS","FAIL")</f>
        <v>PASS</v>
      </c>
      <c r="C14" s="18" t="s">
        <v>449</v>
      </c>
    </row>
    <row r="15" customFormat="false" ht="15" hidden="false" customHeight="false" outlineLevel="0" collapsed="false">
      <c r="A15" s="6" t="s">
        <v>450</v>
      </c>
      <c r="B15" s="4" t="str">
        <f aca="false">IF(ABS(Valuation!D36-Valuation!B27)&lt;0.5,"PASS","FAIL")</f>
        <v>PASS</v>
      </c>
      <c r="C15" s="18" t="s">
        <v>451</v>
      </c>
    </row>
    <row r="16" customFormat="false" ht="15" hidden="false" customHeight="false" outlineLevel="0" collapsed="false">
      <c r="A16" s="6" t="s">
        <v>452</v>
      </c>
      <c r="B16" s="4" t="str">
        <f aca="false">IF(Valuation!$F$17&gt;0,"PASS","WARN")</f>
        <v>PASS</v>
      </c>
      <c r="C16" s="18" t="s">
        <v>453</v>
      </c>
    </row>
    <row r="17" customFormat="false" ht="15" hidden="false" customHeight="false" outlineLevel="0" collapsed="false">
      <c r="A17" s="6" t="s">
        <v>454</v>
      </c>
      <c r="B17" s="4" t="str">
        <f aca="false">IF(ABS('Sources &amp; Uses'!B21-'Sources &amp; Uses'!B28)&lt;0.5,"PASS","FAIL")</f>
        <v>PASS</v>
      </c>
      <c r="C17" s="18" t="s">
        <v>455</v>
      </c>
    </row>
    <row r="18" customFormat="false" ht="15" hidden="false" customHeight="false" outlineLevel="0" collapsed="false">
      <c r="A18" s="6" t="s">
        <v>456</v>
      </c>
      <c r="B18" s="4" t="str">
        <f aca="false">IF(ABS(SUM(Returns!$B$17:$G$17)-SUM(Monthly!$C$26:$BJ$26))&lt;0.5,"PASS","FAIL")</f>
        <v>PASS</v>
      </c>
      <c r="C18" s="18" t="s">
        <v>457</v>
      </c>
    </row>
    <row r="19" customFormat="false" ht="15" hidden="false" customHeight="false" outlineLevel="0" collapsed="false">
      <c r="A19" s="6" t="s">
        <v>458</v>
      </c>
      <c r="B19" s="4" t="str">
        <f aca="false">IF(ABS(SUM(Returns!$B$16:$G$16)+SUM(Monthly!$C$38:$BJ$38))&lt;0.5,"PASS","FAIL")</f>
        <v>PASS</v>
      </c>
      <c r="C19" s="18" t="s">
        <v>459</v>
      </c>
    </row>
    <row r="20" customFormat="false" ht="15" hidden="false" customHeight="false" outlineLevel="0" collapsed="false">
      <c r="A20" s="6" t="s">
        <v>460</v>
      </c>
      <c r="B20" s="4" t="str">
        <f aca="false">IF(ABS(SUM(Returns!$B$21:$G$21)+SUM(Returns!$B$23:$G$23)+SUM(Returns!$B$24:$G$24))&lt;0.5,"PASS","FAIL")</f>
        <v>PASS</v>
      </c>
      <c r="C20" s="18" t="s">
        <v>461</v>
      </c>
    </row>
    <row r="21" customFormat="false" ht="15" hidden="false" customHeight="false" outlineLevel="0" collapsed="false">
      <c r="A21" s="6" t="s">
        <v>462</v>
      </c>
      <c r="B21" s="4" t="str">
        <f aca="false">IF(IF(ISNUMBER(Returns!B42),ABS(SUMPRODUCT(Returns!$B$20:$G$20/(1+Returns!B42)^Returns!$B$15:$G$15))&lt;1,TRUE()),"PASS","FAIL")</f>
        <v>PASS</v>
      </c>
      <c r="C21" s="18" t="s">
        <v>463</v>
      </c>
    </row>
    <row r="22" customFormat="false" ht="15" hidden="false" customHeight="false" outlineLevel="0" collapsed="false">
      <c r="A22" s="6" t="s">
        <v>464</v>
      </c>
      <c r="B22" s="4" t="str">
        <f aca="false">IF(IF(ISNUMBER(Returns!C42),ABS(SUMPRODUCT(Returns!$B$25:$G$25/(1+Returns!C42)^Returns!$B$15:$G$15))&lt;1,TRUE()),"PASS","FAIL")</f>
        <v>PASS</v>
      </c>
      <c r="C22" s="18" t="s">
        <v>465</v>
      </c>
    </row>
    <row r="23" customFormat="false" ht="15" hidden="false" customHeight="false" outlineLevel="0" collapsed="false">
      <c r="A23" s="6" t="s">
        <v>466</v>
      </c>
      <c r="B23" s="4" t="str">
        <f aca="false">IF(SUMPRODUCT(--ISNUMBER(Returns!$C$26:$G$26),--(Returns!$C$26:$G$26&lt;1))=0,"PASS","WARN")</f>
        <v>PASS</v>
      </c>
      <c r="C23" s="18" t="s">
        <v>467</v>
      </c>
    </row>
    <row r="24" customFormat="false" ht="15" hidden="false" customHeight="false" outlineLevel="0" collapsed="false">
      <c r="A24" s="6" t="s">
        <v>468</v>
      </c>
      <c r="B24" s="4" t="str">
        <f aca="false">IF(SUMPRODUCT(--ISERROR(Monthly!$C$4:$BJ$89))+SUMPRODUCT(--ISERROR(Headcount!$C$4:$BJ$7))+SUMPRODUCT(--ISERROR('P&amp;L'!$B$3:$F$22))+SUMPRODUCT(--ISERROR('Cash Flow'!$B$3:$F$18))+SUMPRODUCT(--ISERROR('Balance Sheet'!$B$3:$F$17))+SUMPRODUCT(--ISERROR(KPIs!$B$26:$F$41))+SUMPRODUCT(--ISERROR('Break-even'!$B$26:$F$33))+SUMPRODUCT(--ISERROR(Valuation!$B$14:$F$19))+SUMPRODUCT(--ISERROR('Break-even'!$B$3:$F$35))+SUMPRODUCT(--ISERROR(Valuation!$A$3:$F$40))+SUMPRODUCT(--ISERROR('Sources &amp; Uses'!$B$3:$C$30))+SUMPRODUCT(--ISERROR(Returns!$A$3:$G$51))+SUMPRODUCT(--ISERROR(Dashboard!$A$6:$W$43))+SUMPRODUCT(--ISERROR(Summary!$A$5:$S$52))+SUMPRODUCT(--ISERROR(KPIs!$A$4:$G$41))=0,"PASS","FAIL")</f>
        <v>PASS</v>
      </c>
      <c r="C24" s="18" t="s">
        <v>469</v>
      </c>
    </row>
    <row r="25" customFormat="false" ht="15" hidden="false" customHeight="false" outlineLevel="0" collapsed="false">
      <c r="A25" s="6" t="s">
        <v>470</v>
      </c>
      <c r="B25" s="4" t="str">
        <f aca="false">IF(IFERROR(AND(SUMPRODUCT(--(ABS(Summary!$B$7:$F$7-'P&amp;L'!$B$5:$F$5)&gt;0.5))=0,SUMPRODUCT(--(ABS(Summary!$B$19:$F$19-'P&amp;L'!$B$21:$F$21)&gt;0.5))=0,SUMPRODUCT(--(ABS(Summary!$B$31:$F$31-'Cash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25" s="18" t="s">
        <v>471</v>
      </c>
    </row>
    <row r="26" customFormat="false" ht="15" hidden="false" customHeight="false" outlineLevel="0" collapsed="false">
      <c r="A26" s="6" t="s">
        <v>472</v>
      </c>
      <c r="B26" s="4" t="str">
        <f aca="false">IF(SUMPRODUCT(--(ABS(KPIs!$B$23:$F$23)&gt;0.000000001))&gt;0,"FAIL",IF(SUMPRODUCT(ISNUMBER(KPIs!$B$22:$F$22)*ISNUMBER(KPIs!$B$15:$F$15))=0,"n/a","PASS"))</f>
        <v>PASS</v>
      </c>
      <c r="C26" s="18" t="s">
        <v>473</v>
      </c>
    </row>
    <row r="27" customFormat="false" ht="15" hidden="false" customHeight="false" outlineLevel="0" collapsed="false">
      <c r="A27" s="6" t="s">
        <v>474</v>
      </c>
      <c r="B27" s="4" t="str">
        <f aca="false">IF(SUMPRODUCT(--(ABS(Monthly!$C$89:$BJ$89)&gt;0.5))=0,"PASS","FAIL")</f>
        <v>PASS</v>
      </c>
      <c r="C27" s="18" t="s">
        <v>475</v>
      </c>
    </row>
    <row r="28" customFormat="false" ht="15" hidden="false" customHeight="false" outlineLevel="0" collapsed="false">
      <c r="A28" s="6" t="s">
        <v>476</v>
      </c>
      <c r="B28" s="4" t="str">
        <f aca="false">IF(MIN(Monthly!$C$71:$BJ$71)&gt;=0,"PASS","WARN")</f>
        <v>PASS</v>
      </c>
      <c r="C28" s="18" t="s">
        <v>477</v>
      </c>
    </row>
    <row r="30" customFormat="false" ht="15" hidden="false" customHeight="false" outlineLevel="0" collapsed="false">
      <c r="A30" s="54" t="s">
        <v>478</v>
      </c>
      <c r="B30" s="54" t="str">
        <f aca="false">IF(COUNTIF(B4:B28,"FAIL")&gt;0,"FAIL",IF(COUNTIF(B4:B28,"WARN")&gt;0,"PASS WITH WARNINGS","PASS"))</f>
        <v>PASS</v>
      </c>
      <c r="C30" s="103"/>
    </row>
  </sheetData>
  <conditionalFormatting sqref="B4:B30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2026-10-21T09:46:04Z</dcterms:created>
  <dc:creator/>
  <dc:description/>
  <dc:language>en-US</dc:language>
  <cp:lastModifiedBy/>
  <dcterms:modified xsi:type="dcterms:W3CDTF">2026-10-21T09:46:05Z</dcterms:modified>
  <cp:revision>0</cp:revision>
  <dc:subject/>
  <dc:title>Rental property financial model (early)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