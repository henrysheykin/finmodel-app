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Returns" sheetId="9" state="visible" r:id="rId11"/>
    <sheet name="Inputs" sheetId="10" state="visible" r:id="rId12"/>
    <sheet name="P&amp;L" sheetId="11" state="visible" r:id="rId13"/>
    <sheet name="Cash Flow" sheetId="12" state="visible" r:id="rId14"/>
    <sheet name="Balance Sheet" sheetId="13" state="visible" r:id="rId15"/>
    <sheet name="Monthly" sheetId="14" state="visible" r:id="rId16"/>
    <sheet name="Headcount" sheetId="15" state="visible" r:id="rId17"/>
    <sheet name="Scenario calc" sheetId="16" state="visible" r:id="rId18"/>
    <sheet name="Check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<sst xmlns="http://schemas.openxmlformats.org/spreadsheetml/2006/main" count="1224" uniqueCount="514">
  <si>
    <t xml:space="preserve">Rental property financial model (early)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</si>
  <si>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</si>
  <si>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</si>
  <si>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</si>
  <si>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</si>
  <si>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</si>
  <si>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</si>
  <si>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</si>
  <si>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</si>
  <si>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</si>
  <si>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</si>
  <si>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</si>
  <si>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</si>
  <si>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</si>
  <si>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</si>
  <si>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</si>
  <si>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</si>
  <si>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Property returns: unlevered and levered IRR, NPV, multiple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</si>
  <si>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</si>
  <si>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</si>
  <si>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</si>
  <si>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</si>
  <si>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</si>
  <si>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</si>
  <si>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</si>
  <si>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</si>
  <si>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</si>
  <si>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</si>
  <si>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</si>
  <si>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</si>
  <si>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</si>
  <si>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</si>
  <si>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</si>
  <si>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</si>
  <si>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</si>
  <si>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</si>
  <si>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</si>
  <si>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</si>
  <si>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</si>
  <si>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</si>
  <si>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</si>
  <si>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</si>
  <si>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</si>
  <si>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</si>
  <si>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</si>
  <si>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</si>
  <si>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</si>
  <si>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</si>
  <si>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</si>
  <si>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</si>
  <si>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</si>
  <si>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</si>
  <si>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</si>
  <si>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</si>
  <si>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</si>
  <si>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</si>
  <si>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</si>
  <si>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</si>
  <si>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Property metrics</t>
  </si>
  <si>
    <t xml:space="preserve">Net operating income (NOI)</t>
  </si>
  <si>
    <t xml:space="preserve">Economic occupancy</t>
  </si>
  <si>
    <t xml:space="preserve">Debt service (interest + principal)</t>
  </si>
  <si>
    <t xml:space="preserve">Debt service coverage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</si>
  <si>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</si>
  <si>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</si>
  <si>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</si>
  <si>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</si>
  <si>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</si>
  <si>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</si>
  <si>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</si>
  <si>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</si>
  <si>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</si>
  <si>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</si>
  <si>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</si>
  <si>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</si>
  <si>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</si>
  <si>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Direct property costs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</si>
  <si>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</si>
  <si>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</si>
  <si>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</si>
  <si>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</si>
  <si>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</si>
  <si>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</si>
  <si>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</si>
  <si>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</si>
  <si>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</si>
  <si>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</si>
  <si>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</si>
  <si>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</si>
  <si>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</si>
  <si>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</si>
  <si>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</si>
  <si>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</si>
  <si>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</si>
  <si>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</si>
  <si>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</si>
  <si>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</si>
  <si>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</si>
  <si>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</si>
  <si>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</si>
  <si>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</si>
  <si>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</si>
  <si>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</si>
  <si>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</si>
  <si>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</si>
  <si>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</si>
  <si>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</si>
  <si>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</si>
  <si>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</si>
  <si>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Purchase price ($)</t>
  </si>
  <si>
    <t xml:space="preserve">Rentable units (#)</t>
  </si>
  <si>
    <t xml:space="preserve">Average rent per unit per month (year 1) ($)</t>
  </si>
  <si>
    <t xml:space="preserve">Vacancy &amp; credit loss, % of potential rent (%)</t>
  </si>
  <si>
    <t xml:space="preserve">Loan drawn at start ($)</t>
  </si>
  <si>
    <t xml:space="preserve">Loan interest rate per year (%)</t>
  </si>
  <si>
    <t xml:space="preserve">Equity raised at start ($)</t>
  </si>
  <si>
    <t xml:space="preserve">Exit cap rate (next-year NOI ÷ sale price) (%)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</si>
  <si>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</si>
  <si>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</si>
  <si>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</si>
  <si>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</si>
  <si>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</si>
  <si>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</si>
  <si>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</si>
  <si>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</si>
  <si>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</si>
  <si>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</si>
  <si>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</si>
  <si>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</si>
  <si>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</si>
  <si>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</si>
  <si>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</si>
  <si>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</si>
  <si>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</si>
  <si>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</si>
  <si>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</si>
  <si>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</si>
  <si>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</si>
  <si>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</si>
  <si>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</si>
  <si>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</si>
  <si>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</si>
  <si>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</si>
  <si>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</si>
  <si>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</si>
  <si>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</si>
  <si>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</si>
  <si>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</si>
  <si>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</si>
  <si>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</si>
  <si>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</si>
  <si>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</si>
  <si>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</si>
  <si>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</si>
  <si>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</si>
  <si>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</si>
  <si>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</si>
  <si>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</si>
  <si>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</si>
  <si>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</si>
  <si>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</si>
  <si>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</si>
  <si>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</si>
  <si>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</si>
  <si>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</si>
  <si>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</si>
  <si>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</si>
  <si>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</si>
  <si>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</si>
  <si>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</si>
  <si>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</si>
  <si>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</si>
  <si>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</si>
  <si>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</si>
  <si>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</si>
  <si>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</si>
  <si>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</si>
  <si>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</si>
  <si>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</si>
  <si>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</si>
  <si>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</si>
  <si>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</si>
  <si>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</si>
  <si>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</si>
  <si>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</si>
  <si>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</si>
  <si>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</si>
  <si>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</si>
  <si>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</si>
  <si>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</si>
  <si>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</si>
  <si>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</si>
  <si>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</si>
  <si>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</si>
  <si>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</si>
  <si>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</si>
  <si>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</si>
  <si>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</si>
  <si>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</si>
  <si>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</si>
  <si>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</si>
  <si>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</si>
  <si>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</si>
  <si>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</si>
  <si>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</si>
  <si>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</si>
  <si>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</si>
  <si>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</si>
  <si>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</si>
  <si>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</si>
  <si>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</si>
  <si>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</si>
  <si>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</si>
  <si>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</si>
  <si>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</si>
  <si>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</si>
  <si>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</si>
  <si>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Rental property financial model (early)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</si>
  <si>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</si>
  <si>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</si>
  <si>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</si>
  <si>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</si>
  <si>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</si>
  <si>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</si>
  <si>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</si>
  <si>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</si>
  <si>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</si>
  <si>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</si>
  <si>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</si>
  <si>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</si>
  <si>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</si>
  <si>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</si>
  <si>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Property metrics ($'000; per-unit rows in $)</t>
  </si>
  <si>
    <t xml:space="preserve">Average rent per unit per month ($)</t>
  </si>
  <si>
    <t xml:space="preserve">Gross potential rent</t>
  </si>
  <si>
    <t xml:space="preserve">Vacancy &amp; credit loss</t>
  </si>
  <si>
    <t xml:space="preserve">Economic occupancy (collected ÷ potential rent)</t>
  </si>
  <si>
    <t xml:space="preserve">Revenue (effective gross income)</t>
  </si>
  <si>
    <t xml:space="preserve">Net operating income (NOI = EBITDA)</t>
  </si>
  <si>
    <t xml:space="preserve">NOI margin</t>
  </si>
  <si>
    <t xml:space="preserve">Operating expense ratio</t>
  </si>
  <si>
    <t xml:space="preserve">NOI per unit ($)</t>
  </si>
  <si>
    <t xml:space="preserve">NOI ÷ purchase price</t>
  </si>
  <si>
    <t xml:space="preserve">Debt service coverage (NOI ÷ debt service)</t>
  </si>
  <si>
    <t xml:space="preserve">Loan balance (year end)</t>
  </si>
  <si>
    <t xml:space="preserve">Loan ÷ purchase price (year end)</t>
  </si>
  <si>
    <t xml:space="preserve">Property returns — purchase, hold and sale</t>
  </si>
  <si>
    <t xml:space="preserve">Live for the selected scenario. Year 0 = purchase; sale at the end of year 5. Cash flows before income tax.</t>
  </si>
  <si>
    <t xml:space="preserve">Purchase (active scenario, from the Inputs sheet)</t>
  </si>
  <si>
    <t xml:space="preserve">Purchase price</t>
  </si>
  <si>
    <t xml:space="preserve">Closing costs</t>
  </si>
  <si>
    <t xml:space="preserve">All-in purchase cost</t>
  </si>
  <si>
    <t xml:space="preserve">Loan drawn at purchase</t>
  </si>
  <si>
    <t xml:space="preserve">Equity invested in the property</t>
  </si>
  <si>
    <t xml:space="preserve">Loan-to-value at purchase</t>
  </si>
  <si>
    <t xml:space="preserve">Cash flows by year</t>
  </si>
  <si>
    <t xml:space="preserve">Year 0</t>
  </si>
  <si>
    <t xml:space="preserve">Purchase incl. closing costs</t>
  </si>
  <si>
    <t xml:space="preserve">Capital reserves (capex other than the purchase)</t>
  </si>
  <si>
    <t xml:space="preserve">Sale proceeds, net of selling costs</t>
  </si>
  <si>
    <t xml:space="preserve">Unlevered cash flow (property, before tax)</t>
  </si>
  <si>
    <t xml:space="preserve">Principal repaid</t>
  </si>
  <si>
    <t xml:space="preserve">Loan balance repaid at sale</t>
  </si>
  <si>
    <t xml:space="preserve">Levered cash flow (equity, before tax)</t>
  </si>
  <si>
    <t xml:space="preserve">Cash-on-cash return (levered cash flow before sale ÷ equity invested)</t>
  </si>
  <si>
    <t xml:space="preserve">Helper: sign of the unlevered cash flow (a zero keeps the previous sign)</t>
  </si>
  <si>
    <t xml:space="preserve">Helper: sign of the levered cash flow (a zero keeps the previous sign)</t>
  </si>
  <si>
    <t xml:space="preserve">Sale at the end of year 5</t>
  </si>
  <si>
    <t xml:space="preserve">Year 6 NOI (year 5 NOI × (1 + rent growth))</t>
  </si>
  <si>
    <t xml:space="preserve">Exit cap rate</t>
  </si>
  <si>
    <t xml:space="preserve">Sale price (next-year NOI ÷ exit cap rate)</t>
  </si>
  <si>
    <t xml:space="preserve">Selling costs</t>
  </si>
  <si>
    <t xml:space="preserve">Net sale proceeds</t>
  </si>
  <si>
    <t xml:space="preserve">Loan balance at the end of year 5</t>
  </si>
  <si>
    <t xml:space="preserve">Net proceeds to equity</t>
  </si>
  <si>
    <t xml:space="preserve">Returns</t>
  </si>
  <si>
    <t xml:space="preserve">Unlevered</t>
  </si>
  <si>
    <t xml:space="preserve">Levered</t>
  </si>
  <si>
    <t xml:space="preserve">Internal rate of return (IRR)</t>
  </si>
  <si>
    <t xml:space="preserve">Helper: IRR starting estimate ((inflows ÷ outflows) ^ (1 ÷ years) − 1)</t>
  </si>
  <si>
    <t xml:space="preserve">Helper: IRR defined (1 = one sign change and inflows ≥ 25% of outflows)</t>
  </si>
  <si>
    <t xml:space="preserve">Discount rate for NPV</t>
  </si>
  <si>
    <t xml:space="preserve">Net present value at the discount rate</t>
  </si>
  <si>
    <t xml:space="preserve">Total profit (sum of cash flows)</t>
  </si>
  <si>
    <t xml:space="preserve">Multiple of money invested (inflows ÷ year-0 outflow)</t>
  </si>
  <si>
    <t xml:space="preserve">Going-in cap rate (year-1 NOI ÷ purchase price)</t>
  </si>
  <si>
    <t xml:space="preserve">IRR and NPV use yearly flows with the purchase at year 0 and the sale at the end of the final year. n/a = no debt service or no equity invested; IRR n/a = the flows change sign more than once (IRR not unique) or return less than 25% of the money put in.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</si>
  <si>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</si>
  <si>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</si>
  <si>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</si>
  <si>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</si>
  <si>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Property</t>
  </si>
  <si>
    <t xml:space="preserve">$</t>
  </si>
  <si>
    <t xml:space="preserve">Land share of the price (not depreciated)</t>
  </si>
  <si>
    <t xml:space="preserve">%</t>
  </si>
  <si>
    <t xml:space="preserve">Closing costs, % of price</t>
  </si>
  <si>
    <t xml:space="preserve">Low ≥ Base ≥ High (lower is better)</t>
  </si>
  <si>
    <t xml:space="preserve">Rentable units</t>
  </si>
  <si>
    <t xml:space="preserve">#</t>
  </si>
  <si>
    <t xml:space="preserve">Rent roll</t>
  </si>
  <si>
    <t xml:space="preserve">Average rent per unit per month (year 1)</t>
  </si>
  <si>
    <t xml:space="preserve">Low ≤ Base ≤ High</t>
  </si>
  <si>
    <t xml:space="preserve">Rent growth per year</t>
  </si>
  <si>
    <t xml:space="preserve">Vacancy &amp; credit loss, % of potential rent</t>
  </si>
  <si>
    <t xml:space="preserve">Other income per unit per month (parking, laundry, fees)</t>
  </si>
  <si>
    <t xml:space="preserve">Operating costs</t>
  </si>
  <si>
    <t xml:space="preserve">Repairs &amp; maintenance, % of collected rent</t>
  </si>
  <si>
    <t xml:space="preserve">Owner-paid utilities &amp; common areas per month</t>
  </si>
  <si>
    <t xml:space="preserve">Property tax per year, % of purchase price</t>
  </si>
  <si>
    <t xml:space="preserve">Insurance per unit per year</t>
  </si>
  <si>
    <t xml:space="preserve">Property management fee, % of revenue</t>
  </si>
  <si>
    <t xml:space="preserve">Legal, accounting &amp; other G&amp;A per month</t>
  </si>
  <si>
    <t xml:space="preserve">Operating cost inflation per year</t>
  </si>
  <si>
    <t xml:space="preserve">Capital reserve per unit per year (roofs, appliances)</t>
  </si>
  <si>
    <t xml:space="preserve">Sale &amp; returns</t>
  </si>
  <si>
    <t xml:space="preserve">Exit cap rate (next-year NOI ÷ sale price)</t>
  </si>
  <si>
    <t xml:space="preserve">Selling costs, % of sale price</t>
  </si>
  <si>
    <t xml:space="preserve">Discount rate for NPV (your target return)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</si>
  <si>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</si>
  <si>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</si>
  <si>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</si>
  <si>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</si>
  <si>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</si>
  <si>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</si>
  <si>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</si>
  <si>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</si>
  <si>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</si>
  <si>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</si>
  <si>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</si>
  <si>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</si>
  <si>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</si>
  <si>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</si>
  <si>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</si>
  <si>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</si>
  <si>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</si>
  <si>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</si>
  <si>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</si>
  <si>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</si>
  <si>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</si>
  <si>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</si>
  <si>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</si>
  <si>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Property tax</t>
  </si>
  <si>
    <t xml:space="preserve">Insurance</t>
  </si>
  <si>
    <t xml:space="preserve">Property management</t>
  </si>
  <si>
    <t xml:space="preserve">Legal, accounting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</si>
  <si>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</si>
  <si>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</si>
  <si>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</si>
  <si>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</si>
  <si>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</si>
  <si>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</si>
  <si>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</si>
  <si>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</si>
  <si>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</si>
  <si>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</si>
  <si>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</si>
  <si>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</si>
  <si>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</si>
  <si>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</si>
  <si>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</si>
  <si>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</si>
  <si>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</si>
  <si>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</si>
  <si>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</si>
  <si>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</si>
  <si>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</si>
  <si>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</si>
  <si>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</si>
  <si>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</si>
  <si>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</si>
  <si>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</si>
  <si>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</si>
  <si>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</si>
  <si>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</si>
  <si>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</si>
  <si>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</si>
  <si>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</si>
  <si>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</si>
  <si>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</si>
  <si>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</si>
  <si>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</si>
  <si>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</si>
  <si>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</si>
  <si>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</si>
  <si>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</si>
  <si>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</si>
  <si>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</si>
  <si>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</si>
  <si>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</si>
  <si>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</si>
  <si>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</si>
  <si>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</si>
  <si>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</si>
  <si>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</si>
  <si>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</si>
  <si>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</si>
  <si>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</si>
  <si>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</si>
  <si>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</si>
  <si>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</si>
  <si>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</si>
  <si>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</si>
  <si>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</si>
  <si>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</si>
  <si>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</si>
  <si>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</si>
  <si>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</si>
  <si>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</si>
  <si>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</si>
  <si>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</si>
  <si>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</si>
  <si>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</si>
  <si>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</si>
  <si>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</si>
  <si>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</si>
  <si>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Average rent per unit per month</t>
  </si>
  <si>
    <t xml:space="preserve">Gross potential rent (all units let)</t>
  </si>
  <si>
    <t xml:space="preserve">Other income (parking, laundry, fees)</t>
  </si>
  <si>
    <t xml:space="preserve">Repairs &amp; maintenance</t>
  </si>
  <si>
    <t xml:space="preserve">Owner-paid utilities &amp; common areas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</si>
  <si>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</si>
  <si>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</si>
  <si>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</si>
  <si>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</si>
  <si>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</si>
  <si>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 incl. closing costs</t>
  </si>
  <si>
    <t xml:space="preserve">of which land (not depreciated)</t>
  </si>
  <si>
    <t xml:space="preserve">Capital reserve spent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</si>
  <si>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</si>
  <si>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</si>
  <si>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</si>
  <si>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</si>
  <si>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</si>
  <si>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</si>
  <si>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</si>
  <si>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</si>
  <si>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</si>
  <si>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</si>
  <si>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</si>
  <si>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</si>
  <si>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</si>
  <si>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</si>
  <si>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</si>
  <si>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</si>
  <si>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</si>
  <si>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</si>
  <si>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</si>
  <si>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</si>
  <si>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</si>
  <si>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</si>
  <si>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Total FTE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</si>
  <si>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</si>
  <si>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</si>
  <si>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</si>
  <si>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</si>
  <si>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</si>
  <si>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</si>
  <si>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</si>
  <si>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</si>
  <si>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</si>
  <si>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</si>
  <si>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</si>
  <si>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</si>
  <si>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</si>
  <si>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</si>
  <si>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</si>
  <si>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</si>
  <si>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</si>
  <si>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</si>
  <si>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</si>
  <si>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</si>
  <si>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</si>
  <si>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</si>
  <si>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</si>
  <si>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</si>
  <si>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</si>
  <si>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</si>
  <si>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</si>
  <si>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</si>
  <si>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</si>
  <si>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</si>
  <si>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</si>
  <si>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</si>
  <si>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</si>
  <si>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</si>
  <si>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</si>
  <si>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</si>
  <si>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</si>
  <si>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</si>
  <si>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Returns: NOI ties to EBITDA</t>
  </si>
  <si>
    <t xml:space="preserve">NOI on the Returns sheet equals EBITDA summed over every period</t>
  </si>
  <si>
    <t xml:space="preserve">Returns: purchase ties to capital spending</t>
  </si>
  <si>
    <t xml:space="preserve">Purchase price + closing costs equals the purchase in the capex line</t>
  </si>
  <si>
    <t xml:space="preserve">Returns: loan fully repaid at sale</t>
  </si>
  <si>
    <t xml:space="preserve">Drawdown = principal repaid + balance repaid from the sale</t>
  </si>
  <si>
    <t xml:space="preserve">Returns: IRR discounts cash flows to zero</t>
  </si>
  <si>
    <t xml:space="preserve">NPV of the unlevered cash flows at their IRR is zero</t>
  </si>
  <si>
    <t xml:space="preserve">Returns: levered IRR discounts cash flows to zero</t>
  </si>
  <si>
    <t xml:space="preserve">NPV of the levered cash flows at their IRR is zero</t>
  </si>
  <si>
    <t xml:space="preserve">Debt service covered (DSCR ≥ 1.0x)</t>
  </si>
  <si>
    <t xml:space="preserve">Business warning: NOI does not cover the loan payments in at least one year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</si>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</sst>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0.0\x;\(0.0&quot;x)&quot;;\-"/>
    <numFmt numFmtId="176" formatCode="&quot;Month &quot;0"/>
    <numFmt numFmtId="177" formatCode="\$#,##0.0,,\M"/>
    <numFmt numFmtId="178" formatCode="0%"/>
    <numFmt numFmtId="179" formatCode="0.0\x"/>
    <numFmt numFmtId="180" formatCode="\M0"/>
    <numFmt numFmtId="181" formatCode="\$#,##0,\K"/>
    <numFmt numFmtId="182" formatCode="\$#,##0;&quot;($&quot;#,##0\);\-"/>
    <numFmt numFmtId="183" formatCode="#,##0;\(#,##0\);\-"/>
    <numFmt numFmtId="184" formatCode="\$#,##0.00;&quot;($&quot;#,##0.00\);\-"/>
    <numFmt numFmtId="185" formatCode="0.0%;\(0.0%\);\-"/>
    <numFmt numFmtId="186" formatCode="0"/>
    <numFmt numFmtId="187" formatCode="0.0\x"/>
    <numFmt numFmtId="188" formatCode="0.000"/>
    <numFmt numFmtId="189" formatCode="[&gt;=1000000]\$#,##0.0,,\M;[&gt;=1000]\$#,##0,\k;\$#,##0"/>
    <numFmt numFmtId="190" formatCode="\$#,##0.00"/>
    <numFmt numFmtId="191" formatCode="0.00\x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196650</c:v>
                </c:pt>
                <c:pt idx="1">
                  <c:v>202549.5</c:v>
                </c:pt>
                <c:pt idx="2">
                  <c:v>208625.985</c:v>
                </c:pt>
                <c:pt idx="3">
                  <c:v>214884.76455</c:v>
                </c:pt>
                <c:pt idx="4">
                  <c:v>221331.3074865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</c:ser>
        <c:gapWidth val="60"/>
        <c:overlap val="0"/>
        <c:axId val="5812129"/>
        <c:axId val="40388074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  <c:pt idx="3">
                  <c:v>0.637376048817696</c:v>
                </c:pt>
                <c:pt idx="4">
                  <c:v>0.637376048817696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0105266"/>
        <c:axId val="45320413"/>
      </c:lineChart>
      <c:catAx>
        <c:axId val="581212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388074"/>
        <c:crosses val="autoZero"/>
        <c:auto val="1"/>
        <c:lblAlgn val="ctr"/>
        <c:lblOffset val="100"/>
        <c:noMultiLvlLbl val="0"/>
      </c:catAx>
      <c:valAx>
        <c:axId val="403880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12129"/>
        <c:crosses val="autoZero"/>
        <c:crossBetween val="between"/>
      </c:valAx>
      <c:catAx>
        <c:axId val="8010526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320413"/>
        <c:crosses val="autoZero"/>
        <c:auto val="1"/>
        <c:lblAlgn val="ctr"/>
        <c:lblOffset val="100"/>
        <c:noMultiLvlLbl val="0"/>
      </c:catAx>
      <c:valAx>
        <c:axId val="4532041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10526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48669.4102445331</c:v>
                </c:pt>
                <c:pt idx="1">
                  <c:v>52421.418980773</c:v>
                </c:pt>
                <c:pt idx="2">
                  <c:v>57253.6988227342</c:v>
                </c:pt>
                <c:pt idx="3">
                  <c:v>62266.3820952929</c:v>
                </c:pt>
                <c:pt idx="4">
                  <c:v>67264.4012334961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-1909000</c:v>
                </c:pt>
                <c:pt idx="1">
                  <c:v>-3605</c:v>
                </c:pt>
                <c:pt idx="2">
                  <c:v>-3713.15</c:v>
                </c:pt>
                <c:pt idx="3">
                  <c:v>-3824.5445</c:v>
                </c:pt>
                <c:pt idx="4">
                  <c:v>-3939.280835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1946587.29437248</c:v>
                </c:pt>
                <c:pt idx="1">
                  <c:v>-14310.9793637598</c:v>
                </c:pt>
                <c:pt idx="2">
                  <c:v>-15269.4121557209</c:v>
                </c:pt>
                <c:pt idx="3">
                  <c:v>-16292.0329667797</c:v>
                </c:pt>
                <c:pt idx="4">
                  <c:v>-17383.1405874514</c:v>
                </c:pt>
              </c:numCache>
            </c:numRef>
          </c:val>
        </c:ser>
        <c:gapWidth val="60"/>
        <c:overlap val="0"/>
        <c:axId val="87109865"/>
        <c:axId val="85256653"/>
      </c:barChart>
      <c:catAx>
        <c:axId val="8710986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256653"/>
        <c:crosses val="autoZero"/>
        <c:auto val="1"/>
        <c:lblAlgn val="ctr"/>
        <c:lblOffset val="100"/>
        <c:noMultiLvlLbl val="0"/>
      </c:catAx>
      <c:valAx>
        <c:axId val="852566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1098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86256.7046170131</c:v>
                </c:pt>
                <c:pt idx="1">
                  <c:v>120762.144234026</c:v>
                </c:pt>
                <c:pt idx="2">
                  <c:v>159033.28090104</c:v>
                </c:pt>
                <c:pt idx="3">
                  <c:v>201183.085529553</c:v>
                </c:pt>
                <c:pt idx="4">
                  <c:v>247125.065340597</c:v>
                </c:pt>
              </c:numCache>
            </c:numRef>
          </c:val>
        </c:ser>
        <c:gapWidth val="60"/>
        <c:overlap val="0"/>
        <c:axId val="32116722"/>
        <c:axId val="7909903"/>
      </c:barChart>
      <c:catAx>
        <c:axId val="321167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09903"/>
        <c:crosses val="autoZero"/>
        <c:auto val="1"/>
        <c:lblAlgn val="ctr"/>
        <c:lblOffset val="100"/>
        <c:noMultiLvlLbl val="0"/>
      </c:catAx>
      <c:valAx>
        <c:axId val="79099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1167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NOI, debt service &amp; coverage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Net operating income (NOI)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</c:ser>
        <c:ser>
          <c:idx val="1"/>
          <c:order val="1"/>
          <c:tx>
            <c:strRef>
              <c:f>Dashboard!$A$30</c:f>
              <c:strCache>
                <c:ptCount val="1"/>
                <c:pt idx="0">
                  <c:v>Debt service (interest + principal)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Dashboard!$B$30:$F$30</c:f>
              <c:numCache>
                <c:formatCode>\$#,##0,;"($"#,##0,\);\-</c:formatCode>
                <c:ptCount val="5"/>
                <c:pt idx="0">
                  <c:v>91017.7953829868</c:v>
                </c:pt>
                <c:pt idx="1">
                  <c:v>91017.7953829868</c:v>
                </c:pt>
                <c:pt idx="2">
                  <c:v>91017.7953829868</c:v>
                </c:pt>
                <c:pt idx="3">
                  <c:v>91017.7953829868</c:v>
                </c:pt>
                <c:pt idx="4">
                  <c:v>91017.7953829868</c:v>
                </c:pt>
              </c:numCache>
            </c:numRef>
          </c:val>
        </c:ser>
        <c:gapWidth val="60"/>
        <c:overlap val="0"/>
        <c:axId val="56577260"/>
        <c:axId val="75382717"/>
      </c:barChart>
      <c:lineChart>
        <c:grouping val="standard"/>
        <c:varyColors val="0"/>
        <c:ser>
          <c:idx val="2"/>
          <c:order val="2"/>
          <c:tx>
            <c:strRef>
              <c:f>Dashboard!$A$31</c:f>
              <c:strCache>
                <c:ptCount val="1"/>
                <c:pt idx="0">
                  <c:v>Debt service coverage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Dashboard!$B$31:$F$31</c:f>
              <c:numCache>
                <c:formatCode>0.0\x;\(0.0"x)";\-</c:formatCode>
                <c:ptCount val="5"/>
                <c:pt idx="0">
                  <c:v>1.37709334172061</c:v>
                </c:pt>
                <c:pt idx="1">
                  <c:v>1.41840614197223</c:v>
                </c:pt>
                <c:pt idx="2">
                  <c:v>1.4609583262314</c:v>
                </c:pt>
                <c:pt idx="3">
                  <c:v>1.50478707601834</c:v>
                </c:pt>
                <c:pt idx="4">
                  <c:v>1.54993068829889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881405"/>
        <c:axId val="19633018"/>
      </c:lineChart>
      <c:catAx>
        <c:axId val="5657726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382717"/>
        <c:crosses val="autoZero"/>
        <c:auto val="1"/>
        <c:lblAlgn val="ctr"/>
        <c:lblOffset val="100"/>
        <c:noMultiLvlLbl val="0"/>
      </c:catAx>
      <c:valAx>
        <c:axId val="7538271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577260"/>
        <c:crosses val="autoZero"/>
        <c:crossBetween val="between"/>
      </c:valAx>
      <c:catAx>
        <c:axId val="7188140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633018"/>
        <c:crosses val="autoZero"/>
        <c:auto val="1"/>
        <c:lblAlgn val="ctr"/>
        <c:lblOffset val="100"/>
        <c:noMultiLvlLbl val="0"/>
      </c:catAx>
      <c:valAx>
        <c:axId val="19633018"/>
        <c:scaling>
          <c:orientation val="minMax"/>
        </c:scaling>
        <c:delete val="0"/>
        <c:axPos val="r"/>
        <c:numFmt formatCode="0.0\x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88140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16387.5</c:v>
                </c:pt>
                <c:pt idx="1">
                  <c:v>16387.5</c:v>
                </c:pt>
                <c:pt idx="2">
                  <c:v>16387.5</c:v>
                </c:pt>
                <c:pt idx="3">
                  <c:v>16387.5</c:v>
                </c:pt>
                <c:pt idx="4">
                  <c:v>16387.5</c:v>
                </c:pt>
                <c:pt idx="5">
                  <c:v>16387.5</c:v>
                </c:pt>
                <c:pt idx="6">
                  <c:v>16387.5</c:v>
                </c:pt>
                <c:pt idx="7">
                  <c:v>16387.5</c:v>
                </c:pt>
                <c:pt idx="8">
                  <c:v>16387.5</c:v>
                </c:pt>
                <c:pt idx="9">
                  <c:v>16387.5</c:v>
                </c:pt>
                <c:pt idx="10">
                  <c:v>16387.5</c:v>
                </c:pt>
                <c:pt idx="11">
                  <c:v>16387.5</c:v>
                </c:pt>
              </c:numCache>
            </c:numRef>
          </c:val>
        </c:ser>
        <c:gapWidth val="60"/>
        <c:overlap val="0"/>
        <c:axId val="12475210"/>
        <c:axId val="83822979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10445</c:v>
                </c:pt>
                <c:pt idx="1">
                  <c:v>10445</c:v>
                </c:pt>
                <c:pt idx="2">
                  <c:v>10445</c:v>
                </c:pt>
                <c:pt idx="3">
                  <c:v>10445</c:v>
                </c:pt>
                <c:pt idx="4">
                  <c:v>10445</c:v>
                </c:pt>
                <c:pt idx="5">
                  <c:v>10445</c:v>
                </c:pt>
                <c:pt idx="6">
                  <c:v>10445</c:v>
                </c:pt>
                <c:pt idx="7">
                  <c:v>10445</c:v>
                </c:pt>
                <c:pt idx="8">
                  <c:v>10445</c:v>
                </c:pt>
                <c:pt idx="9">
                  <c:v>10445</c:v>
                </c:pt>
                <c:pt idx="10">
                  <c:v>10445</c:v>
                </c:pt>
                <c:pt idx="11">
                  <c:v>10445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-795.097736625515</c:v>
                </c:pt>
                <c:pt idx="1">
                  <c:v>-790.121854193122</c:v>
                </c:pt>
                <c:pt idx="2">
                  <c:v>-785.114142949681</c:v>
                </c:pt>
                <c:pt idx="3">
                  <c:v>-780.07443048913</c:v>
                </c:pt>
                <c:pt idx="4">
                  <c:v>-775.002543471544</c:v>
                </c:pt>
                <c:pt idx="5">
                  <c:v>-769.898307618073</c:v>
                </c:pt>
                <c:pt idx="6">
                  <c:v>-764.761547705854</c:v>
                </c:pt>
                <c:pt idx="7">
                  <c:v>-759.592087562905</c:v>
                </c:pt>
                <c:pt idx="8">
                  <c:v>-754.389750062974</c:v>
                </c:pt>
                <c:pt idx="9">
                  <c:v>-749.154357120377</c:v>
                </c:pt>
                <c:pt idx="10">
                  <c:v>-743.8857296848</c:v>
                </c:pt>
                <c:pt idx="11">
                  <c:v>-738.583687736074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475210"/>
        <c:axId val="83822979"/>
      </c:lineChart>
      <c:catAx>
        <c:axId val="1247521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822979"/>
        <c:crosses val="autoZero"/>
        <c:auto val="1"/>
        <c:lblAlgn val="ctr"/>
        <c:lblOffset val="100"/>
        <c:noMultiLvlLbl val="0"/>
      </c:catAx>
      <c:valAx>
        <c:axId val="8382297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4752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4879.5</c:v>
                </c:pt>
                <c:pt idx="1">
                  <c:v>3950.87608819371</c:v>
                </c:pt>
                <c:pt idx="2">
                  <c:v>3956.78400519847</c:v>
                </c:pt>
                <c:pt idx="3">
                  <c:v>3962.72392342034</c:v>
                </c:pt>
                <c:pt idx="4">
                  <c:v>3968.69601619924</c:v>
                </c:pt>
                <c:pt idx="5">
                  <c:v>3974.70045781403</c:v>
                </c:pt>
                <c:pt idx="6">
                  <c:v>3980.73742348756</c:v>
                </c:pt>
                <c:pt idx="7">
                  <c:v>3986.80708939183</c:v>
                </c:pt>
                <c:pt idx="8">
                  <c:v>3992.90963265308</c:v>
                </c:pt>
                <c:pt idx="9">
                  <c:v>3999.04523135699</c:v>
                </c:pt>
                <c:pt idx="10">
                  <c:v>4005.21406455389</c:v>
                </c:pt>
                <c:pt idx="11">
                  <c:v>4011.41631226393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-1905791.66666667</c:v>
                </c:pt>
                <c:pt idx="1">
                  <c:v>-291.666666666667</c:v>
                </c:pt>
                <c:pt idx="2">
                  <c:v>-291.666666666667</c:v>
                </c:pt>
                <c:pt idx="3">
                  <c:v>-291.666666666667</c:v>
                </c:pt>
                <c:pt idx="4">
                  <c:v>-291.666666666667</c:v>
                </c:pt>
                <c:pt idx="5">
                  <c:v>-291.666666666667</c:v>
                </c:pt>
                <c:pt idx="6">
                  <c:v>-291.666666666667</c:v>
                </c:pt>
                <c:pt idx="7">
                  <c:v>-291.666666666667</c:v>
                </c:pt>
                <c:pt idx="8">
                  <c:v>-291.666666666667</c:v>
                </c:pt>
                <c:pt idx="9">
                  <c:v>-291.666666666667</c:v>
                </c:pt>
                <c:pt idx="10">
                  <c:v>-291.666666666667</c:v>
                </c:pt>
                <c:pt idx="11">
                  <c:v>-291.666666666667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1958915.18371808</c:v>
                </c:pt>
                <c:pt idx="1">
                  <c:v>-1090.69237010927</c:v>
                </c:pt>
                <c:pt idx="2">
                  <c:v>-1096.60028711403</c:v>
                </c:pt>
                <c:pt idx="3">
                  <c:v>-1102.5402053359</c:v>
                </c:pt>
                <c:pt idx="4">
                  <c:v>-1108.5122981148</c:v>
                </c:pt>
                <c:pt idx="5">
                  <c:v>-1114.51673972959</c:v>
                </c:pt>
                <c:pt idx="6">
                  <c:v>-1120.55370540313</c:v>
                </c:pt>
                <c:pt idx="7">
                  <c:v>-1126.62337130739</c:v>
                </c:pt>
                <c:pt idx="8">
                  <c:v>-1132.72591456864</c:v>
                </c:pt>
                <c:pt idx="9">
                  <c:v>-1138.86151327256</c:v>
                </c:pt>
                <c:pt idx="10">
                  <c:v>-1145.03034646945</c:v>
                </c:pt>
                <c:pt idx="11">
                  <c:v>-1151.23259417949</c:v>
                </c:pt>
              </c:numCache>
            </c:numRef>
          </c:val>
        </c:ser>
        <c:gapWidth val="60"/>
        <c:overlap val="0"/>
        <c:axId val="34876686"/>
        <c:axId val="60510528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58003.0170514176</c:v>
                </c:pt>
                <c:pt idx="1">
                  <c:v>60571.5341028354</c:v>
                </c:pt>
                <c:pt idx="2">
                  <c:v>63140.0511542531</c:v>
                </c:pt>
                <c:pt idx="3">
                  <c:v>65708.5682056709</c:v>
                </c:pt>
                <c:pt idx="4">
                  <c:v>68277.0852570887</c:v>
                </c:pt>
                <c:pt idx="5">
                  <c:v>70845.6023085065</c:v>
                </c:pt>
                <c:pt idx="6">
                  <c:v>73414.1193599242</c:v>
                </c:pt>
                <c:pt idx="7">
                  <c:v>75982.636411342</c:v>
                </c:pt>
                <c:pt idx="8">
                  <c:v>78551.1534627598</c:v>
                </c:pt>
                <c:pt idx="9">
                  <c:v>81119.6705141776</c:v>
                </c:pt>
                <c:pt idx="10">
                  <c:v>83688.1875655953</c:v>
                </c:pt>
                <c:pt idx="11">
                  <c:v>86256.7046170131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960692"/>
        <c:axId val="56435796"/>
      </c:lineChart>
      <c:catAx>
        <c:axId val="3487668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510528"/>
        <c:crosses val="autoZero"/>
        <c:auto val="1"/>
        <c:lblAlgn val="ctr"/>
        <c:lblOffset val="100"/>
        <c:noMultiLvlLbl val="0"/>
      </c:catAx>
      <c:valAx>
        <c:axId val="605105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876686"/>
        <c:crosses val="autoZero"/>
        <c:crossBetween val="between"/>
      </c:valAx>
      <c:catAx>
        <c:axId val="12960692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435796"/>
        <c:crosses val="autoZero"/>
        <c:auto val="1"/>
        <c:lblAlgn val="ctr"/>
        <c:lblOffset val="100"/>
        <c:noMultiLvlLbl val="0"/>
      </c:catAx>
      <c:valAx>
        <c:axId val="5643579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96069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58003.0170514176</c:v>
                </c:pt>
                <c:pt idx="1">
                  <c:v>60571.5341028354</c:v>
                </c:pt>
                <c:pt idx="2">
                  <c:v>63140.0511542531</c:v>
                </c:pt>
                <c:pt idx="3">
                  <c:v>65708.5682056709</c:v>
                </c:pt>
                <c:pt idx="4">
                  <c:v>68277.0852570887</c:v>
                </c:pt>
                <c:pt idx="5">
                  <c:v>70845.6023085065</c:v>
                </c:pt>
                <c:pt idx="6">
                  <c:v>73414.1193599242</c:v>
                </c:pt>
                <c:pt idx="7">
                  <c:v>75982.636411342</c:v>
                </c:pt>
                <c:pt idx="8">
                  <c:v>78551.1534627598</c:v>
                </c:pt>
                <c:pt idx="9">
                  <c:v>81119.6705141776</c:v>
                </c:pt>
                <c:pt idx="10">
                  <c:v>83688.1875655953</c:v>
                </c:pt>
                <c:pt idx="11">
                  <c:v>86256.7046170131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1901051.56893004</c:v>
                </c:pt>
                <c:pt idx="1">
                  <c:v>1896602.23765432</c:v>
                </c:pt>
                <c:pt idx="2">
                  <c:v>1892152.00617284</c:v>
                </c:pt>
                <c:pt idx="3">
                  <c:v>1887700.8744856</c:v>
                </c:pt>
                <c:pt idx="4">
                  <c:v>1883248.84259259</c:v>
                </c:pt>
                <c:pt idx="5">
                  <c:v>1878795.91049383</c:v>
                </c:pt>
                <c:pt idx="6">
                  <c:v>1874342.0781893</c:v>
                </c:pt>
                <c:pt idx="7">
                  <c:v>1869887.34567901</c:v>
                </c:pt>
                <c:pt idx="8">
                  <c:v>1865431.71296296</c:v>
                </c:pt>
                <c:pt idx="9">
                  <c:v>1860975.18004115</c:v>
                </c:pt>
                <c:pt idx="10">
                  <c:v>1856517.74691358</c:v>
                </c:pt>
                <c:pt idx="11">
                  <c:v>1852059.41358025</c:v>
                </c:pt>
              </c:numCache>
            </c:numRef>
          </c:val>
        </c:ser>
        <c:gapWidth val="60"/>
        <c:overlap val="100"/>
        <c:axId val="67366921"/>
        <c:axId val="61246796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759204.902263375</c:v>
                </c:pt>
                <c:pt idx="1">
                  <c:v>758414.780409181</c:v>
                </c:pt>
                <c:pt idx="2">
                  <c:v>757629.666266232</c:v>
                </c:pt>
                <c:pt idx="3">
                  <c:v>756849.591835743</c:v>
                </c:pt>
                <c:pt idx="4">
                  <c:v>756074.589292271</c:v>
                </c:pt>
                <c:pt idx="5">
                  <c:v>755304.690984653</c:v>
                </c:pt>
                <c:pt idx="6">
                  <c:v>754539.929436947</c:v>
                </c:pt>
                <c:pt idx="7">
                  <c:v>753780.337349384</c:v>
                </c:pt>
                <c:pt idx="8">
                  <c:v>753025.947599321</c:v>
                </c:pt>
                <c:pt idx="9">
                  <c:v>752276.793242201</c:v>
                </c:pt>
                <c:pt idx="10">
                  <c:v>751532.907512516</c:v>
                </c:pt>
                <c:pt idx="11">
                  <c:v>750794.32382478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366921"/>
        <c:axId val="61246796"/>
      </c:lineChart>
      <c:catAx>
        <c:axId val="6736692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246796"/>
        <c:crosses val="autoZero"/>
        <c:auto val="1"/>
        <c:lblAlgn val="ctr"/>
        <c:lblOffset val="100"/>
        <c:noMultiLvlLbl val="0"/>
      </c:catAx>
      <c:valAx>
        <c:axId val="612467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36692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178848</c:v>
                </c:pt>
                <c:pt idx="1">
                  <c:v>182424.96</c:v>
                </c:pt>
                <c:pt idx="2">
                  <c:v>186073.4592</c:v>
                </c:pt>
                <c:pt idx="3">
                  <c:v>189794.928384</c:v>
                </c:pt>
                <c:pt idx="4">
                  <c:v>193590.82695168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196650</c:v>
                </c:pt>
                <c:pt idx="1">
                  <c:v>202549.5</c:v>
                </c:pt>
                <c:pt idx="2">
                  <c:v>208625.985</c:v>
                </c:pt>
                <c:pt idx="3">
                  <c:v>214884.76455</c:v>
                </c:pt>
                <c:pt idx="4">
                  <c:v>221331.3074865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Scenarios!$B$33:$F$33</c:f>
              <c:numCache>
                <c:formatCode>\$#,##0,;"($"#,##0,\);\-</c:formatCode>
                <c:ptCount val="5"/>
                <c:pt idx="0">
                  <c:v>210816</c:v>
                </c:pt>
                <c:pt idx="1">
                  <c:v>219248.64</c:v>
                </c:pt>
                <c:pt idx="2">
                  <c:v>228018.5856</c:v>
                </c:pt>
                <c:pt idx="3">
                  <c:v>237139.329024</c:v>
                </c:pt>
                <c:pt idx="4">
                  <c:v>246624.90218496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707347"/>
        <c:axId val="90091757"/>
      </c:lineChart>
      <c:catAx>
        <c:axId val="4470734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091757"/>
        <c:crosses val="autoZero"/>
        <c:auto val="1"/>
        <c:lblAlgn val="ctr"/>
        <c:lblOffset val="100"/>
        <c:noMultiLvlLbl val="0"/>
      </c:catAx>
      <c:valAx>
        <c:axId val="900917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7073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108225.36</c:v>
                </c:pt>
                <c:pt idx="1">
                  <c:v>109510.8672</c:v>
                </c:pt>
                <c:pt idx="2">
                  <c:v>110786.924544</c:v>
                </c:pt>
                <c:pt idx="3">
                  <c:v>112051.93663488</c:v>
                </c:pt>
                <c:pt idx="4">
                  <c:v>113304.219911578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Scenarios!$B$39:$F$39</c:f>
              <c:numCache>
                <c:formatCode>\$#,##0,;"($"#,##0,\);\-</c:formatCode>
                <c:ptCount val="5"/>
                <c:pt idx="0">
                  <c:v>139632.72</c:v>
                </c:pt>
                <c:pt idx="1">
                  <c:v>145877.2788</c:v>
                </c:pt>
                <c:pt idx="2">
                  <c:v>152388.101202</c:v>
                </c:pt>
                <c:pt idx="3">
                  <c:v>159176.24978133</c:v>
                </c:pt>
                <c:pt idx="4">
                  <c:v>166253.239917115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794470"/>
        <c:axId val="99922422"/>
      </c:lineChart>
      <c:catAx>
        <c:axId val="6679447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922422"/>
        <c:crosses val="autoZero"/>
        <c:auto val="1"/>
        <c:lblAlgn val="ctr"/>
        <c:lblOffset val="100"/>
        <c:noMultiLvlLbl val="0"/>
      </c:catAx>
      <c:valAx>
        <c:axId val="9992242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7944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-26320.31617522</c:v>
                </c:pt>
                <c:pt idx="1">
                  <c:v>-24268.973510585</c:v>
                </c:pt>
                <c:pt idx="2">
                  <c:v>-22172.219177093</c:v>
                </c:pt>
                <c:pt idx="3">
                  <c:v>-20027.8315097221</c:v>
                </c:pt>
                <c:pt idx="4">
                  <c:v>-17833.4156563034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-9205.67617522005</c:v>
                </c:pt>
                <c:pt idx="1">
                  <c:v>-4678.93855009125</c:v>
                </c:pt>
                <c:pt idx="2">
                  <c:v>16.8120474254474</c:v>
                </c:pt>
                <c:pt idx="3">
                  <c:v>4888.8701982064</c:v>
                </c:pt>
                <c:pt idx="4">
                  <c:v>9742.0454609784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Scenarios!$B$45:$F$45</c:f>
              <c:numCache>
                <c:formatCode>\$#,##0,;"($"#,##0,\);\-</c:formatCode>
                <c:ptCount val="5"/>
                <c:pt idx="0">
                  <c:v>4018.76462157616</c:v>
                </c:pt>
                <c:pt idx="1">
                  <c:v>9557.808150823</c:v>
                </c:pt>
                <c:pt idx="2">
                  <c:v>15352.1307253101</c:v>
                </c:pt>
                <c:pt idx="3">
                  <c:v>21413.5897892563</c:v>
                </c:pt>
                <c:pt idx="4">
                  <c:v>27754.6120435344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413651"/>
        <c:axId val="51363765"/>
      </c:lineChart>
      <c:catAx>
        <c:axId val="7141365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363765"/>
        <c:crosses val="autoZero"/>
        <c:auto val="1"/>
        <c:lblAlgn val="ctr"/>
        <c:lblOffset val="100"/>
        <c:noMultiLvlLbl val="0"/>
      </c:catAx>
      <c:valAx>
        <c:axId val="513637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4136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69172.7646170131</c:v>
                </c:pt>
                <c:pt idx="1">
                  <c:v>84054.1404340263</c:v>
                </c:pt>
                <c:pt idx="2">
                  <c:v>100066.899675039</c:v>
                </c:pt>
                <c:pt idx="3">
                  <c:v>117194.206008533</c:v>
                </c:pt>
                <c:pt idx="4">
                  <c:v>135417.307816356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86256.7046170131</c:v>
                </c:pt>
                <c:pt idx="1">
                  <c:v>120762.144234026</c:v>
                </c:pt>
                <c:pt idx="2">
                  <c:v>159033.28090104</c:v>
                </c:pt>
                <c:pt idx="3">
                  <c:v>201183.085529553</c:v>
                </c:pt>
                <c:pt idx="4">
                  <c:v>247125.065340597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Scenarios!$B$51:$F$51</c:f>
              <c:numCache>
                <c:formatCode>\$#,##0,;"($"#,##0,\);\-</c:formatCode>
                <c:ptCount val="5"/>
                <c:pt idx="0">
                  <c:v>99428.6454138094</c:v>
                </c:pt>
                <c:pt idx="1">
                  <c:v>148188.47565149</c:v>
                </c:pt>
                <c:pt idx="2">
                  <c:v>201830.150278332</c:v>
                </c:pt>
                <c:pt idx="3">
                  <c:v>260557.776997864</c:v>
                </c:pt>
                <c:pt idx="4">
                  <c:v>324583.620819518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370817"/>
        <c:axId val="83617455"/>
      </c:lineChart>
      <c:catAx>
        <c:axId val="2137081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617455"/>
        <c:crosses val="autoZero"/>
        <c:auto val="1"/>
        <c:lblAlgn val="ctr"/>
        <c:lblOffset val="100"/>
        <c:noMultiLvlLbl val="0"/>
      </c:catAx>
      <c:valAx>
        <c:axId val="8361745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3708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760000</c:v>
                </c:pt>
                <c:pt idx="1">
                  <c:v>1200000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1909000</c:v>
                </c:pt>
                <c:pt idx="2">
                  <c:v>13412.7056275198</c:v>
                </c:pt>
                <c:pt idx="3">
                  <c:v>86256.7046170131</c:v>
                </c:pt>
              </c:numCache>
            </c:numRef>
          </c:val>
        </c:ser>
        <c:gapWidth val="60"/>
        <c:overlap val="0"/>
        <c:axId val="69352906"/>
        <c:axId val="52827459"/>
      </c:barChart>
      <c:catAx>
        <c:axId val="6935290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827459"/>
        <c:crosses val="autoZero"/>
        <c:auto val="1"/>
        <c:lblAlgn val="ctr"/>
        <c:lblOffset val="100"/>
        <c:noMultiLvlLbl val="0"/>
      </c:catAx>
      <c:valAx>
        <c:axId val="5282745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35290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0.885949656750572</c:v>
                </c:pt>
                <c:pt idx="1">
                  <c:v>0.885949656750572</c:v>
                </c:pt>
                <c:pt idx="2">
                  <c:v>0.885949656750572</c:v>
                </c:pt>
                <c:pt idx="3">
                  <c:v>0.885949656750572</c:v>
                </c:pt>
                <c:pt idx="4">
                  <c:v>0.885949656750572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  <c:pt idx="3">
                  <c:v>0.637376048817696</c:v>
                </c:pt>
                <c:pt idx="4">
                  <c:v>0.637376048817696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-0.0468124900850244</c:v>
                </c:pt>
                <c:pt idx="1">
                  <c:v>-0.0231002226620715</c:v>
                </c:pt>
                <c:pt idx="2">
                  <c:v>8.05846281586036E-005</c:v>
                </c:pt>
                <c:pt idx="3">
                  <c:v>0.0227511252761191</c:v>
                </c:pt>
                <c:pt idx="4">
                  <c:v>0.0440156685089506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571798"/>
        <c:axId val="63011925"/>
      </c:lineChart>
      <c:catAx>
        <c:axId val="5157179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011925"/>
        <c:crosses val="autoZero"/>
        <c:auto val="1"/>
        <c:lblAlgn val="ctr"/>
        <c:lblOffset val="100"/>
        <c:noMultiLvlLbl val="0"/>
      </c:catAx>
      <c:valAx>
        <c:axId val="630119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5717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KPIs!$A$14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KPIs!$B$14:$F$14</c:f>
              <c:numCache>
                <c:formatCode>0.0%;\(0.0%\);\-</c:formatCode>
                <c:ptCount val="5"/>
                <c:pt idx="0">
                  <c:v>-0.00474931621771883</c:v>
                </c:pt>
                <c:pt idx="1">
                  <c:v>-0.00243776706981885</c:v>
                </c:pt>
                <c:pt idx="2">
                  <c:v>8.82925163287813E-006</c:v>
                </c:pt>
                <c:pt idx="3">
                  <c:v>0.00258293587803754</c:v>
                </c:pt>
                <c:pt idx="4">
                  <c:v>0.00516779188662857</c:v>
                </c:pt>
              </c:numCache>
            </c:numRef>
          </c:val>
        </c:ser>
        <c:ser>
          <c:idx val="1"/>
          <c:order val="1"/>
          <c:tx>
            <c:strRef>
              <c:f>KPIs!$A$15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-0.0122612490306579</c:v>
                </c:pt>
                <c:pt idx="1">
                  <c:v>-0.00627106563198487</c:v>
                </c:pt>
                <c:pt idx="2">
                  <c:v>2.25322637004357E-005</c:v>
                </c:pt>
                <c:pt idx="3">
                  <c:v>0.00650963123357937</c:v>
                </c:pt>
                <c:pt idx="4">
                  <c:v>0.0128056227947238</c:v>
                </c:pt>
              </c:numCache>
            </c:numRef>
          </c:val>
        </c:ser>
        <c:gapWidth val="60"/>
        <c:overlap val="0"/>
        <c:axId val="8899093"/>
        <c:axId val="24763319"/>
      </c:barChart>
      <c:catAx>
        <c:axId val="889909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763319"/>
        <c:crosses val="autoZero"/>
        <c:auto val="1"/>
        <c:lblAlgn val="ctr"/>
        <c:lblOffset val="100"/>
        <c:noMultiLvlLbl val="0"/>
      </c:catAx>
      <c:valAx>
        <c:axId val="247633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990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NOI and NOI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KPIs!$A$33</c:f>
              <c:strCache>
                <c:ptCount val="1"/>
                <c:pt idx="0">
                  <c:v>Net operating income (NOI = EBITDA)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</c:ser>
        <c:gapWidth val="60"/>
        <c:overlap val="0"/>
        <c:axId val="96597618"/>
        <c:axId val="23594646"/>
      </c:barChart>
      <c:lineChart>
        <c:grouping val="standard"/>
        <c:varyColors val="0"/>
        <c:ser>
          <c:idx val="1"/>
          <c:order val="1"/>
          <c:tx>
            <c:strRef>
              <c:f>KPIs!$A$34</c:f>
              <c:strCache>
                <c:ptCount val="1"/>
                <c:pt idx="0">
                  <c:v>NOI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0.0%;\(0.0%\);\-</c:formatCode>
                <c:ptCount val="5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  <c:pt idx="3">
                  <c:v>0.637376048817696</c:v>
                </c:pt>
                <c:pt idx="4">
                  <c:v>0.637376048817696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226378"/>
        <c:axId val="26685304"/>
      </c:lineChart>
      <c:catAx>
        <c:axId val="9659761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594646"/>
        <c:crosses val="autoZero"/>
        <c:auto val="1"/>
        <c:lblAlgn val="ctr"/>
        <c:lblOffset val="100"/>
        <c:noMultiLvlLbl val="0"/>
      </c:catAx>
      <c:valAx>
        <c:axId val="235946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597618"/>
        <c:crosses val="autoZero"/>
        <c:crossBetween val="between"/>
      </c:valAx>
      <c:catAx>
        <c:axId val="4322637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685304"/>
        <c:crosses val="autoZero"/>
        <c:auto val="1"/>
        <c:lblAlgn val="ctr"/>
        <c:lblOffset val="100"/>
        <c:noMultiLvlLbl val="0"/>
      </c:catAx>
      <c:valAx>
        <c:axId val="2668530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22637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Rent per unit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KPIs!$A$28</c:f>
              <c:strCache>
                <c:ptCount val="1"/>
                <c:pt idx="0">
                  <c:v>Average rent per unit per month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KPIs!$B$28:$F$28</c:f>
              <c:numCache>
                <c:formatCode>\$#,##0.00;"($"#,##0.00\);\-</c:formatCode>
                <c:ptCount val="5"/>
                <c:pt idx="0">
                  <c:v>1700</c:v>
                </c:pt>
                <c:pt idx="1">
                  <c:v>1751</c:v>
                </c:pt>
                <c:pt idx="2">
                  <c:v>1803.53</c:v>
                </c:pt>
                <c:pt idx="3">
                  <c:v>1857.6359</c:v>
                </c:pt>
                <c:pt idx="4">
                  <c:v>1913.364977</c:v>
                </c:pt>
              </c:numCache>
            </c:numRef>
          </c:val>
        </c:ser>
        <c:gapWidth val="60"/>
        <c:overlap val="0"/>
        <c:axId val="53332704"/>
        <c:axId val="91461500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Economic occupancy (collected ÷ potential rent)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0.0%;\(0.0%\);\-</c:formatCode>
                <c:ptCount val="5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156350"/>
        <c:axId val="18295059"/>
      </c:lineChart>
      <c:catAx>
        <c:axId val="533327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461500"/>
        <c:crosses val="autoZero"/>
        <c:auto val="1"/>
        <c:lblAlgn val="ctr"/>
        <c:lblOffset val="100"/>
        <c:noMultiLvlLbl val="0"/>
      </c:catAx>
      <c:valAx>
        <c:axId val="9146150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332704"/>
        <c:crosses val="autoZero"/>
        <c:crossBetween val="between"/>
      </c:valAx>
      <c:catAx>
        <c:axId val="2515635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295059"/>
        <c:crosses val="autoZero"/>
        <c:auto val="1"/>
        <c:lblAlgn val="ctr"/>
        <c:lblOffset val="100"/>
        <c:noMultiLvlLbl val="0"/>
      </c:catAx>
      <c:valAx>
        <c:axId val="1829505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15635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Checks!B31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B19" s="9" t="n">
        <v>8</v>
      </c>
      <c r="C19" s="10" t="str">
        <f aca="false">HYPERLINK("#Returns!A1","Returns")</f>
        <v>Returns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9</v>
      </c>
      <c r="C21" s="10" t="str">
        <f aca="false">HYPERLINK("#Inputs!A1","Inputs")</f>
        <v>Inputs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HYPERLINK("#'P&amp;L'!A1","P&amp;L")</f>
        <v>P&amp;L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HYPERLINK("#'Cash Flow'!A1","Cash Flow")</f>
        <v>Cash Flow</v>
      </c>
      <c r="D24" s="11" t="s">
        <v>22</v>
      </c>
    </row>
    <row r="25" customFormat="false" ht="15" hidden="false" customHeight="false" outlineLevel="0" collapsed="false">
      <c r="B25" s="9" t="n">
        <v>12</v>
      </c>
      <c r="C25" s="10" t="str">
        <f aca="false">HYPERLINK("#'Balance Sheet'!A1","Balance Sheet")</f>
        <v>Balance Sheet</v>
      </c>
      <c r="D25" s="11" t="s">
        <v>23</v>
      </c>
    </row>
    <row r="26" customFormat="false" ht="15" hidden="false" customHeight="false" outlineLevel="0" collapsed="false">
      <c r="C26" s="8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HYPERLINK("#Monthly!A1","Monthly")</f>
        <v>Monthly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HYPERLINK("#Headcount!A1","Headcount")</f>
        <v>Headcount</v>
      </c>
      <c r="D28" s="11" t="s">
        <v>26</v>
      </c>
    </row>
    <row r="29" customFormat="false" ht="15" hidden="false" customHeight="false" outlineLevel="0" collapsed="false">
      <c r="B29" s="9" t="n">
        <v>15</v>
      </c>
      <c r="C29" s="10" t="str">
        <f aca="false">HYPERLINK("#'Scenario calc'!A1","Scenario calc")</f>
        <v>Scenario calc</v>
      </c>
      <c r="D29" s="11" t="s">
        <v>27</v>
      </c>
    </row>
    <row r="30" customFormat="false" ht="15" hidden="false" customHeight="false" outlineLevel="0" collapsed="false">
      <c r="C30" s="8" t="s">
        <v>28</v>
      </c>
    </row>
    <row r="31" customFormat="false" ht="15" hidden="false" customHeight="false" outlineLevel="0" collapsed="false">
      <c r="B31" s="9" t="n">
        <v>16</v>
      </c>
      <c r="C31" s="10" t="str">
        <f aca="false">HYPERLINK("#Checks!A1","Checks")</f>
        <v>Checks</v>
      </c>
      <c r="D31" s="11" t="s">
        <v>29</v>
      </c>
    </row>
    <row r="33" customFormat="false" ht="15" hidden="false" customHeight="false" outlineLevel="0" collapsed="false">
      <c r="B33" s="3" t="s">
        <v>30</v>
      </c>
    </row>
    <row r="34" customFormat="false" ht="15" hidden="false" customHeight="false" outlineLevel="0" collapsed="false">
      <c r="C34" s="12" t="n">
        <v>1000</v>
      </c>
      <c r="D34" s="6" t="s">
        <v>31</v>
      </c>
    </row>
    <row r="35" customFormat="false" ht="15" hidden="false" customHeight="false" outlineLevel="0" collapsed="false">
      <c r="C35" s="13" t="n">
        <v>1000</v>
      </c>
      <c r="D35" s="6" t="s">
        <v>32</v>
      </c>
    </row>
    <row r="36" customFormat="false" ht="15" hidden="false" customHeight="false" outlineLevel="0" collapsed="false">
      <c r="C36" s="14" t="n">
        <v>1000</v>
      </c>
      <c r="D36" s="6" t="s">
        <v>33</v>
      </c>
    </row>
    <row r="37" customFormat="false" ht="15" hidden="false" customHeight="false" outlineLevel="0" collapsed="false">
      <c r="C37" s="15" t="n">
        <v>1000</v>
      </c>
      <c r="D37" s="6" t="s">
        <v>34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35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36</v>
      </c>
      <c r="S4" s="22" t="s">
        <v>5</v>
      </c>
      <c r="T4" s="23" t="str">
        <f aca="false">Checks!B31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37</v>
      </c>
      <c r="B6" s="24"/>
      <c r="C6" s="24" t="s">
        <v>38</v>
      </c>
      <c r="D6" s="24"/>
      <c r="E6" s="24"/>
      <c r="F6" s="24"/>
      <c r="H6" s="24" t="s">
        <v>39</v>
      </c>
      <c r="I6" s="24"/>
      <c r="J6" s="24"/>
      <c r="K6" s="24"/>
      <c r="L6" s="24" t="s">
        <v>40</v>
      </c>
      <c r="M6" s="24"/>
      <c r="N6" s="24"/>
      <c r="O6" s="24"/>
      <c r="P6" s="24" t="s">
        <v>41</v>
      </c>
      <c r="Q6" s="24"/>
      <c r="R6" s="24"/>
      <c r="S6" s="24"/>
      <c r="T6" s="24" t="s">
        <v>42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221331.3074865</v>
      </c>
      <c r="B7" s="25"/>
      <c r="C7" s="26" t="n">
        <f aca="false">F17</f>
        <v>0.637376048817696</v>
      </c>
      <c r="D7" s="26"/>
      <c r="E7" s="26"/>
      <c r="F7" s="26"/>
      <c r="H7" s="25" t="n">
        <f aca="false">F18</f>
        <v>9742.0454609784</v>
      </c>
      <c r="I7" s="25"/>
      <c r="J7" s="25"/>
      <c r="K7" s="25"/>
      <c r="L7" s="25" t="n">
        <f aca="false">F38</f>
        <v>58003.0170514176</v>
      </c>
      <c r="M7" s="25"/>
      <c r="N7" s="25"/>
      <c r="O7" s="25"/>
      <c r="P7" s="25" t="n">
        <f aca="false">F36</f>
        <v>1913996.98294858</v>
      </c>
      <c r="Q7" s="25"/>
      <c r="R7" s="25"/>
      <c r="S7" s="25"/>
      <c r="T7" s="25" t="n">
        <f aca="false">F43</f>
        <v>-986206.556075488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0.03</v>
      </c>
      <c r="B8" s="27"/>
      <c r="C8" s="28" t="n">
        <f aca="false">F16</f>
        <v>141071.2742454</v>
      </c>
      <c r="D8" s="28"/>
      <c r="E8" s="28"/>
      <c r="F8" s="28"/>
      <c r="H8" s="29" t="n">
        <f aca="false">F19</f>
        <v>0.0440156685089506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IF(F37&gt;=0,"Covered by funding raised",-F37)</f>
        <v>Covered by funding raised</v>
      </c>
      <c r="Q8" s="31"/>
      <c r="R8" s="31"/>
      <c r="S8" s="31"/>
      <c r="T8" s="32" t="s">
        <v>43</v>
      </c>
      <c r="U8" s="32"/>
      <c r="V8" s="32"/>
      <c r="W8" s="32"/>
    </row>
    <row r="10" customFormat="false" ht="15.75" hidden="false" customHeight="true" outlineLevel="0" collapsed="false">
      <c r="A10" s="7" t="s">
        <v>44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45</v>
      </c>
      <c r="B12" s="35" t="n">
        <f aca="false">SUMIF(Monthly!$C$5:$BJ$5,B$11,Monthly!$C$12:$BJ$12)</f>
        <v>196650</v>
      </c>
      <c r="C12" s="35" t="n">
        <f aca="false">SUMIF(Monthly!$C$5:$BJ$5,C$11,Monthly!$C$12:$BJ$12)</f>
        <v>202549.5</v>
      </c>
      <c r="D12" s="35" t="n">
        <f aca="false">SUMIF(Monthly!$C$5:$BJ$5,D$11,Monthly!$C$12:$BJ$12)</f>
        <v>208625.985</v>
      </c>
      <c r="E12" s="35" t="n">
        <f aca="false">SUMIF(Monthly!$C$5:$BJ$5,E$11,Monthly!$C$12:$BJ$12)</f>
        <v>214884.76455</v>
      </c>
      <c r="F12" s="35" t="n">
        <f aca="false">SUMIF(Monthly!$C$5:$BJ$5,F$11,Monthly!$C$12:$BJ$12)</f>
        <v>221331.3074865</v>
      </c>
    </row>
    <row r="13" customFormat="false" ht="15" hidden="false" customHeight="false" outlineLevel="0" collapsed="false">
      <c r="A13" s="36" t="s">
        <v>46</v>
      </c>
      <c r="B13" s="37" t="n">
        <f aca="false">SUMIF(Monthly!$C$5:$BJ$5,B$11,Monthly!$C$18:$BJ$18)</f>
        <v>174222</v>
      </c>
      <c r="C13" s="37" t="n">
        <f aca="false">SUMIF(Monthly!$C$5:$BJ$5,C$11,Monthly!$C$18:$BJ$18)</f>
        <v>179448.66</v>
      </c>
      <c r="D13" s="37" t="n">
        <f aca="false">SUMIF(Monthly!$C$5:$BJ$5,D$11,Monthly!$C$18:$BJ$18)</f>
        <v>184832.1198</v>
      </c>
      <c r="E13" s="37" t="n">
        <f aca="false">SUMIF(Monthly!$C$5:$BJ$5,E$11,Monthly!$C$18:$BJ$18)</f>
        <v>190377.083394</v>
      </c>
      <c r="F13" s="37" t="n">
        <f aca="false">SUMIF(Monthly!$C$5:$BJ$5,F$11,Monthly!$C$18:$BJ$18)</f>
        <v>196088.39589582</v>
      </c>
    </row>
    <row r="14" customFormat="false" ht="15" hidden="false" customHeight="false" outlineLevel="0" collapsed="false">
      <c r="A14" s="38" t="s">
        <v>47</v>
      </c>
      <c r="B14" s="39" t="n">
        <f aca="false">IF(B12=0,0,B13/B12)</f>
        <v>0.885949656750572</v>
      </c>
      <c r="C14" s="39" t="n">
        <f aca="false">IF(C12=0,0,C13/C12)</f>
        <v>0.885949656750572</v>
      </c>
      <c r="D14" s="39" t="n">
        <f aca="false">IF(D12=0,0,D13/D12)</f>
        <v>0.885949656750572</v>
      </c>
      <c r="E14" s="39" t="n">
        <f aca="false">IF(E12=0,0,E13/E12)</f>
        <v>0.885949656750572</v>
      </c>
      <c r="F14" s="39" t="n">
        <f aca="false">IF(F12=0,0,F13/F12)</f>
        <v>0.885949656750572</v>
      </c>
    </row>
    <row r="15" customFormat="false" ht="15" hidden="false" customHeight="false" outlineLevel="0" collapsed="false">
      <c r="A15" s="6" t="s">
        <v>48</v>
      </c>
      <c r="B15" s="35" t="n">
        <f aca="false">SUMIF(Monthly!$C$5:$BJ$5,B$11,Monthly!$C$25:$BJ$25)</f>
        <v>-48882</v>
      </c>
      <c r="C15" s="35" t="n">
        <f aca="false">SUMIF(Monthly!$C$5:$BJ$5,C$11,Monthly!$C$25:$BJ$25)</f>
        <v>-50348.46</v>
      </c>
      <c r="D15" s="35" t="n">
        <f aca="false">SUMIF(Monthly!$C$5:$BJ$5,D$11,Monthly!$C$25:$BJ$25)</f>
        <v>-51858.9138</v>
      </c>
      <c r="E15" s="35" t="n">
        <f aca="false">SUMIF(Monthly!$C$5:$BJ$5,E$11,Monthly!$C$25:$BJ$25)</f>
        <v>-53414.681214</v>
      </c>
      <c r="F15" s="35" t="n">
        <f aca="false">SUMIF(Monthly!$C$5:$BJ$5,F$11,Monthly!$C$25:$BJ$25)</f>
        <v>-55017.12165042</v>
      </c>
    </row>
    <row r="16" customFormat="false" ht="15" hidden="false" customHeight="false" outlineLevel="0" collapsed="false">
      <c r="A16" s="36" t="s">
        <v>49</v>
      </c>
      <c r="B16" s="37" t="n">
        <f aca="false">SUMIF(Monthly!$C$5:$BJ$5,B$11,Monthly!$C$26:$BJ$26)</f>
        <v>125340</v>
      </c>
      <c r="C16" s="37" t="n">
        <f aca="false">SUMIF(Monthly!$C$5:$BJ$5,C$11,Monthly!$C$26:$BJ$26)</f>
        <v>129100.2</v>
      </c>
      <c r="D16" s="37" t="n">
        <f aca="false">SUMIF(Monthly!$C$5:$BJ$5,D$11,Monthly!$C$26:$BJ$26)</f>
        <v>132973.206</v>
      </c>
      <c r="E16" s="37" t="n">
        <f aca="false">SUMIF(Monthly!$C$5:$BJ$5,E$11,Monthly!$C$26:$BJ$26)</f>
        <v>136962.40218</v>
      </c>
      <c r="F16" s="37" t="n">
        <f aca="false">SUMIF(Monthly!$C$5:$BJ$5,F$11,Monthly!$C$26:$BJ$26)</f>
        <v>141071.2742454</v>
      </c>
    </row>
    <row r="17" customFormat="false" ht="15" hidden="false" customHeight="false" outlineLevel="0" collapsed="false">
      <c r="A17" s="38" t="s">
        <v>50</v>
      </c>
      <c r="B17" s="39" t="n">
        <f aca="false">IF(B12=0,0,B16/B12)</f>
        <v>0.637376048817696</v>
      </c>
      <c r="C17" s="39" t="n">
        <f aca="false">IF(C12=0,0,C16/C12)</f>
        <v>0.637376048817697</v>
      </c>
      <c r="D17" s="39" t="n">
        <f aca="false">IF(D12=0,0,D16/D12)</f>
        <v>0.637376048817697</v>
      </c>
      <c r="E17" s="39" t="n">
        <f aca="false">IF(E12=0,0,E16/E12)</f>
        <v>0.637376048817696</v>
      </c>
      <c r="F17" s="39" t="n">
        <f aca="false">IF(F12=0,0,F16/F12)</f>
        <v>0.637376048817696</v>
      </c>
    </row>
    <row r="18" customFormat="false" ht="15" hidden="false" customHeight="false" outlineLevel="0" collapsed="false">
      <c r="A18" s="40" t="s">
        <v>51</v>
      </c>
      <c r="B18" s="41" t="n">
        <f aca="false">SUMIF(Monthly!$C$5:$BJ$5,B$11,Monthly!$C$35:$BJ$35)</f>
        <v>-9205.67617522005</v>
      </c>
      <c r="C18" s="41" t="n">
        <f aca="false">SUMIF(Monthly!$C$5:$BJ$5,C$11,Monthly!$C$35:$BJ$35)</f>
        <v>-4678.93855009125</v>
      </c>
      <c r="D18" s="41" t="n">
        <f aca="false">SUMIF(Monthly!$C$5:$BJ$5,D$11,Monthly!$C$35:$BJ$35)</f>
        <v>16.8120474254474</v>
      </c>
      <c r="E18" s="41" t="n">
        <f aca="false">SUMIF(Monthly!$C$5:$BJ$5,E$11,Monthly!$C$35:$BJ$35)</f>
        <v>4888.8701982064</v>
      </c>
      <c r="F18" s="41" t="n">
        <f aca="false">SUMIF(Monthly!$C$5:$BJ$5,F$11,Monthly!$C$35:$BJ$35)</f>
        <v>9742.0454609784</v>
      </c>
    </row>
    <row r="19" customFormat="false" ht="15" hidden="false" customHeight="false" outlineLevel="0" collapsed="false">
      <c r="A19" s="38" t="s">
        <v>52</v>
      </c>
      <c r="B19" s="39" t="n">
        <f aca="false">IF(B12=0,0,B18/B12)</f>
        <v>-0.0468124900850244</v>
      </c>
      <c r="C19" s="39" t="n">
        <f aca="false">IF(C12=0,0,C18/C12)</f>
        <v>-0.0231002226620715</v>
      </c>
      <c r="D19" s="39" t="n">
        <f aca="false">IF(D12=0,0,D18/D12)</f>
        <v>8.05846281586036E-005</v>
      </c>
      <c r="E19" s="39" t="n">
        <f aca="false">IF(E12=0,0,E18/E12)</f>
        <v>0.0227511252761191</v>
      </c>
      <c r="F19" s="39" t="n">
        <f aca="false">IF(F12=0,0,F18/F12)</f>
        <v>0.0440156685089506</v>
      </c>
    </row>
    <row r="20" customFormat="false" ht="15" hidden="false" customHeight="false" outlineLevel="0" collapsed="false">
      <c r="A20" s="6" t="s">
        <v>53</v>
      </c>
      <c r="B20" s="35" t="n">
        <f aca="false">SUMIF(Monthly!$C$5:$BJ$5,B$11,Monthly!$C$65:$BJ$65)</f>
        <v>48669.4102445331</v>
      </c>
      <c r="C20" s="35" t="n">
        <f aca="false">SUMIF(Monthly!$C$5:$BJ$5,C$11,Monthly!$C$65:$BJ$65)</f>
        <v>52421.418980773</v>
      </c>
      <c r="D20" s="35" t="n">
        <f aca="false">SUMIF(Monthly!$C$5:$BJ$5,D$11,Monthly!$C$65:$BJ$65)</f>
        <v>57253.6988227342</v>
      </c>
      <c r="E20" s="35" t="n">
        <f aca="false">SUMIF(Monthly!$C$5:$BJ$5,E$11,Monthly!$C$65:$BJ$65)</f>
        <v>62266.3820952929</v>
      </c>
      <c r="F20" s="35" t="n">
        <f aca="false">SUMIF(Monthly!$C$5:$BJ$5,F$11,Monthly!$C$65:$BJ$65)</f>
        <v>67264.4012334961</v>
      </c>
    </row>
    <row r="21" customFormat="false" ht="15" hidden="false" customHeight="false" outlineLevel="0" collapsed="false">
      <c r="A21" s="6" t="s">
        <v>54</v>
      </c>
      <c r="B21" s="35" t="n">
        <f aca="false">SUMIF(Monthly!$C$5:$BJ$5,B$11,Monthly!$C$66:$BJ$66)</f>
        <v>-1909000</v>
      </c>
      <c r="C21" s="35" t="n">
        <f aca="false">SUMIF(Monthly!$C$5:$BJ$5,C$11,Monthly!$C$66:$BJ$66)</f>
        <v>-3605</v>
      </c>
      <c r="D21" s="35" t="n">
        <f aca="false">SUMIF(Monthly!$C$5:$BJ$5,D$11,Monthly!$C$66:$BJ$66)</f>
        <v>-3713.15</v>
      </c>
      <c r="E21" s="35" t="n">
        <f aca="false">SUMIF(Monthly!$C$5:$BJ$5,E$11,Monthly!$C$66:$BJ$66)</f>
        <v>-3824.5445</v>
      </c>
      <c r="F21" s="35" t="n">
        <f aca="false">SUMIF(Monthly!$C$5:$BJ$5,F$11,Monthly!$C$66:$BJ$66)</f>
        <v>-3939.280835</v>
      </c>
    </row>
    <row r="22" customFormat="false" ht="15" hidden="false" customHeight="false" outlineLevel="0" collapsed="false">
      <c r="A22" s="6" t="s">
        <v>55</v>
      </c>
      <c r="B22" s="35" t="n">
        <f aca="false">SUMIF(Monthly!$C$5:$BJ$5,B$11,Monthly!$C$68:$BJ$68)</f>
        <v>1946587.29437248</v>
      </c>
      <c r="C22" s="35" t="n">
        <f aca="false">SUMIF(Monthly!$C$5:$BJ$5,C$11,Monthly!$C$68:$BJ$68)</f>
        <v>-14310.9793637598</v>
      </c>
      <c r="D22" s="35" t="n">
        <f aca="false">SUMIF(Monthly!$C$5:$BJ$5,D$11,Monthly!$C$68:$BJ$68)</f>
        <v>-15269.4121557209</v>
      </c>
      <c r="E22" s="35" t="n">
        <f aca="false">SUMIF(Monthly!$C$5:$BJ$5,E$11,Monthly!$C$68:$BJ$68)</f>
        <v>-16292.0329667797</v>
      </c>
      <c r="F22" s="35" t="n">
        <f aca="false">SUMIF(Monthly!$C$5:$BJ$5,F$11,Monthly!$C$68:$BJ$68)</f>
        <v>-17383.1405874514</v>
      </c>
    </row>
    <row r="23" customFormat="false" ht="15" hidden="false" customHeight="false" outlineLevel="0" collapsed="false">
      <c r="A23" s="36" t="s">
        <v>56</v>
      </c>
      <c r="B23" s="37" t="n">
        <f aca="false">SUMIF(Monthly!$C$5:$BJ$5,B$11,Monthly!$C$69:$BJ$69)</f>
        <v>86256.7046170131</v>
      </c>
      <c r="C23" s="37" t="n">
        <f aca="false">SUMIF(Monthly!$C$5:$BJ$5,C$11,Monthly!$C$69:$BJ$69)</f>
        <v>34505.4396170132</v>
      </c>
      <c r="D23" s="37" t="n">
        <f aca="false">SUMIF(Monthly!$C$5:$BJ$5,D$11,Monthly!$C$69:$BJ$69)</f>
        <v>38271.1366670132</v>
      </c>
      <c r="E23" s="37" t="n">
        <f aca="false">SUMIF(Monthly!$C$5:$BJ$5,E$11,Monthly!$C$69:$BJ$69)</f>
        <v>42149.8046285132</v>
      </c>
      <c r="F23" s="37" t="n">
        <f aca="false">SUMIF(Monthly!$C$5:$BJ$5,F$11,Monthly!$C$69:$BJ$69)</f>
        <v>45941.9798110446</v>
      </c>
    </row>
    <row r="24" customFormat="false" ht="15" hidden="false" customHeight="false" outlineLevel="0" collapsed="false">
      <c r="A24" s="40" t="s">
        <v>57</v>
      </c>
      <c r="B24" s="41" t="n">
        <f aca="false">INDEX(Monthly!$C$71:$BJ$71,B$11*12)</f>
        <v>86256.7046170131</v>
      </c>
      <c r="C24" s="41" t="n">
        <f aca="false">INDEX(Monthly!$C$71:$BJ$71,C$11*12)</f>
        <v>120762.144234026</v>
      </c>
      <c r="D24" s="41" t="n">
        <f aca="false">INDEX(Monthly!$C$71:$BJ$71,D$11*12)</f>
        <v>159033.28090104</v>
      </c>
      <c r="E24" s="41" t="n">
        <f aca="false">INDEX(Monthly!$C$71:$BJ$71,E$11*12)</f>
        <v>201183.085529553</v>
      </c>
      <c r="F24" s="41" t="n">
        <f aca="false">INDEX(Monthly!$C$71:$BJ$71,F$11*12)</f>
        <v>247125.065340597</v>
      </c>
    </row>
    <row r="26" customFormat="false" ht="15.75" hidden="false" customHeight="true" outlineLevel="0" collapsed="false">
      <c r="A26" s="7" t="s">
        <v>58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59</v>
      </c>
      <c r="B28" s="35" t="n">
        <f aca="false">KPIs!B33</f>
        <v>125340</v>
      </c>
      <c r="C28" s="35" t="n">
        <f aca="false">KPIs!C33</f>
        <v>129100.2</v>
      </c>
      <c r="D28" s="35" t="n">
        <f aca="false">KPIs!D33</f>
        <v>132973.206</v>
      </c>
      <c r="E28" s="35" t="n">
        <f aca="false">KPIs!E33</f>
        <v>136962.40218</v>
      </c>
      <c r="F28" s="35" t="n">
        <f aca="false">KPIs!F33</f>
        <v>141071.2742454</v>
      </c>
    </row>
    <row r="29" customFormat="false" ht="15" hidden="false" customHeight="false" outlineLevel="0" collapsed="false">
      <c r="A29" s="6" t="s">
        <v>60</v>
      </c>
      <c r="B29" s="42" t="n">
        <f aca="false">KPIs!B31</f>
        <v>0.95</v>
      </c>
      <c r="C29" s="42" t="n">
        <f aca="false">KPIs!C31</f>
        <v>0.95</v>
      </c>
      <c r="D29" s="42" t="n">
        <f aca="false">KPIs!D31</f>
        <v>0.95</v>
      </c>
      <c r="E29" s="42" t="n">
        <f aca="false">KPIs!E31</f>
        <v>0.95</v>
      </c>
      <c r="F29" s="42" t="n">
        <f aca="false">KPIs!F31</f>
        <v>0.95</v>
      </c>
    </row>
    <row r="30" customFormat="false" ht="15" hidden="false" customHeight="false" outlineLevel="0" collapsed="false">
      <c r="A30" s="6" t="s">
        <v>61</v>
      </c>
      <c r="B30" s="35" t="n">
        <f aca="false">KPIs!B38</f>
        <v>91017.7953829868</v>
      </c>
      <c r="C30" s="35" t="n">
        <f aca="false">KPIs!C38</f>
        <v>91017.7953829868</v>
      </c>
      <c r="D30" s="35" t="n">
        <f aca="false">KPIs!D38</f>
        <v>91017.7953829868</v>
      </c>
      <c r="E30" s="35" t="n">
        <f aca="false">KPIs!E38</f>
        <v>91017.7953829868</v>
      </c>
      <c r="F30" s="35" t="n">
        <f aca="false">KPIs!F38</f>
        <v>91017.7953829868</v>
      </c>
    </row>
    <row r="31" customFormat="false" ht="15" hidden="false" customHeight="false" outlineLevel="0" collapsed="false">
      <c r="A31" s="6" t="s">
        <v>62</v>
      </c>
      <c r="B31" s="43" t="n">
        <f aca="false">KPIs!B39</f>
        <v>1.37709334172061</v>
      </c>
      <c r="C31" s="43" t="n">
        <f aca="false">KPIs!C39</f>
        <v>1.41840614197223</v>
      </c>
      <c r="D31" s="43" t="n">
        <f aca="false">KPIs!D39</f>
        <v>1.4609583262314</v>
      </c>
      <c r="E31" s="43" t="n">
        <f aca="false">KPIs!E39</f>
        <v>1.50478707601834</v>
      </c>
      <c r="F31" s="43" t="n">
        <f aca="false">KPIs!F39</f>
        <v>1.54993068829889</v>
      </c>
    </row>
    <row r="33" customFormat="false" ht="15.75" hidden="false" customHeight="true" outlineLevel="0" collapsed="false">
      <c r="A33" s="7" t="s">
        <v>63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64</v>
      </c>
      <c r="B34" s="44"/>
      <c r="C34" s="44"/>
      <c r="D34" s="44"/>
      <c r="E34" s="44"/>
      <c r="F34" s="45" t="n">
        <f aca="false">Inputs!$E$34</f>
        <v>760000</v>
      </c>
    </row>
    <row r="35" customFormat="false" ht="15" hidden="false" customHeight="false" outlineLevel="0" collapsed="false">
      <c r="A35" s="6" t="s">
        <v>65</v>
      </c>
      <c r="B35" s="44"/>
      <c r="C35" s="44"/>
      <c r="D35" s="44"/>
      <c r="E35" s="44"/>
      <c r="F35" s="45" t="n">
        <f aca="false">Inputs!$E$35</f>
        <v>1200000</v>
      </c>
    </row>
    <row r="36" customFormat="false" ht="15" hidden="false" customHeight="false" outlineLevel="0" collapsed="false">
      <c r="A36" s="6" t="s">
        <v>66</v>
      </c>
      <c r="B36" s="44"/>
      <c r="C36" s="44"/>
      <c r="D36" s="44"/>
      <c r="E36" s="44"/>
      <c r="F36" s="45" t="n">
        <f aca="false">'Break-even'!B12</f>
        <v>1913996.98294858</v>
      </c>
    </row>
    <row r="37" customFormat="false" ht="15" hidden="false" customHeight="false" outlineLevel="0" collapsed="false">
      <c r="A37" s="36" t="s">
        <v>67</v>
      </c>
      <c r="B37" s="36"/>
      <c r="C37" s="36"/>
      <c r="D37" s="36"/>
      <c r="E37" s="36"/>
      <c r="F37" s="37" t="n">
        <f aca="false">'Break-even'!B17</f>
        <v>46003.0170514176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1)</v>
      </c>
      <c r="B38" s="44"/>
      <c r="C38" s="44"/>
      <c r="D38" s="44"/>
      <c r="E38" s="44"/>
      <c r="F38" s="45" t="n">
        <f aca="false">'Break-even'!B18</f>
        <v>58003.0170514176</v>
      </c>
    </row>
    <row r="39" customFormat="false" ht="15" hidden="false" customHeight="false" outlineLevel="0" collapsed="false">
      <c r="A39" s="6" t="s">
        <v>68</v>
      </c>
      <c r="B39" s="44"/>
      <c r="C39" s="44"/>
      <c r="D39" s="44"/>
      <c r="E39" s="44"/>
      <c r="F39" s="46" t="n">
        <f aca="false">'Break-even'!B21</f>
        <v>1</v>
      </c>
    </row>
    <row r="40" customFormat="false" ht="15" hidden="false" customHeight="false" outlineLevel="0" collapsed="false">
      <c r="A40" s="6" t="s">
        <v>69</v>
      </c>
      <c r="B40" s="44"/>
      <c r="C40" s="44"/>
      <c r="D40" s="44"/>
      <c r="E40" s="44"/>
      <c r="F40" s="46" t="str">
        <f aca="false">'Break-even'!B23</f>
        <v>Not within horizon</v>
      </c>
    </row>
    <row r="41" customFormat="false" ht="15" hidden="false" customHeight="false" outlineLevel="0" collapsed="false">
      <c r="A41" s="6" t="s">
        <v>70</v>
      </c>
      <c r="B41" s="44"/>
      <c r="C41" s="44"/>
      <c r="D41" s="44"/>
      <c r="E41" s="44"/>
      <c r="F41" s="45" t="n">
        <f aca="false">Valuation!B27</f>
        <v>-975424.297472256</v>
      </c>
    </row>
    <row r="42" customFormat="false" ht="15" hidden="false" customHeight="false" outlineLevel="0" collapsed="false">
      <c r="A42" s="6" t="s">
        <v>71</v>
      </c>
      <c r="B42" s="44"/>
      <c r="C42" s="44"/>
      <c r="D42" s="44"/>
      <c r="E42" s="44"/>
      <c r="F42" s="45" t="n">
        <f aca="false">Valuation!C27</f>
        <v>-996988.814678721</v>
      </c>
    </row>
    <row r="43" customFormat="false" ht="15" hidden="false" customHeight="false" outlineLevel="0" collapsed="false">
      <c r="A43" s="40" t="s">
        <v>72</v>
      </c>
      <c r="B43" s="40"/>
      <c r="C43" s="40"/>
      <c r="D43" s="40"/>
      <c r="E43" s="40"/>
      <c r="F43" s="41" t="n">
        <f aca="false">Valuation!B30</f>
        <v>-986206.556075488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7" t="n">
        <v>1</v>
      </c>
      <c r="S2" s="47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45</v>
      </c>
      <c r="B7" s="35" t="n">
        <f aca="false">'P&amp;L'!B5</f>
        <v>196650</v>
      </c>
      <c r="C7" s="35" t="n">
        <f aca="false">'P&amp;L'!C5</f>
        <v>202549.5</v>
      </c>
      <c r="D7" s="35" t="n">
        <f aca="false">'P&amp;L'!D5</f>
        <v>208625.985</v>
      </c>
      <c r="E7" s="35" t="n">
        <f aca="false">'P&amp;L'!E5</f>
        <v>214884.76455</v>
      </c>
      <c r="F7" s="35" t="n">
        <f aca="false">'P&amp;L'!F5</f>
        <v>221331.3074865</v>
      </c>
      <c r="H7" s="35" t="n">
        <f aca="false">INDEX(Monthly!$C$12:$BJ$12,($R$2-1)*12+1)</f>
        <v>16387.5</v>
      </c>
      <c r="I7" s="35" t="n">
        <f aca="false">INDEX(Monthly!$C$12:$BJ$12,($R$2-1)*12+2)</f>
        <v>16387.5</v>
      </c>
      <c r="J7" s="35" t="n">
        <f aca="false">INDEX(Monthly!$C$12:$BJ$12,($R$2-1)*12+3)</f>
        <v>16387.5</v>
      </c>
      <c r="K7" s="35" t="n">
        <f aca="false">INDEX(Monthly!$C$12:$BJ$12,($R$2-1)*12+4)</f>
        <v>16387.5</v>
      </c>
      <c r="L7" s="35" t="n">
        <f aca="false">INDEX(Monthly!$C$12:$BJ$12,($R$2-1)*12+5)</f>
        <v>16387.5</v>
      </c>
      <c r="M7" s="35" t="n">
        <f aca="false">INDEX(Monthly!$C$12:$BJ$12,($R$2-1)*12+6)</f>
        <v>16387.5</v>
      </c>
      <c r="N7" s="35" t="n">
        <f aca="false">INDEX(Monthly!$C$12:$BJ$12,($R$2-1)*12+7)</f>
        <v>16387.5</v>
      </c>
      <c r="O7" s="35" t="n">
        <f aca="false">INDEX(Monthly!$C$12:$BJ$12,($R$2-1)*12+8)</f>
        <v>16387.5</v>
      </c>
      <c r="P7" s="35" t="n">
        <f aca="false">INDEX(Monthly!$C$12:$BJ$12,($R$2-1)*12+9)</f>
        <v>16387.5</v>
      </c>
      <c r="Q7" s="35" t="n">
        <f aca="false">INDEX(Monthly!$C$12:$BJ$12,($R$2-1)*12+10)</f>
        <v>16387.5</v>
      </c>
      <c r="R7" s="35" t="n">
        <f aca="false">INDEX(Monthly!$C$12:$BJ$12,($R$2-1)*12+11)</f>
        <v>16387.5</v>
      </c>
      <c r="S7" s="35" t="n">
        <f aca="false">INDEX(Monthly!$C$12:$BJ$12,($R$2-1)*12+12)</f>
        <v>16387.5</v>
      </c>
    </row>
    <row r="8" customFormat="false" ht="15" hidden="false" customHeight="false" outlineLevel="0" collapsed="false">
      <c r="A8" s="49" t="s">
        <v>76</v>
      </c>
      <c r="B8" s="35" t="n">
        <f aca="false">'P&amp;L'!B6</f>
        <v>-22428</v>
      </c>
      <c r="C8" s="35" t="n">
        <f aca="false">'P&amp;L'!C6</f>
        <v>-23100.84</v>
      </c>
      <c r="D8" s="35" t="n">
        <f aca="false">'P&amp;L'!D6</f>
        <v>-23793.8652</v>
      </c>
      <c r="E8" s="35" t="n">
        <f aca="false">'P&amp;L'!E6</f>
        <v>-24507.681156</v>
      </c>
      <c r="F8" s="35" t="n">
        <f aca="false">'P&amp;L'!F6</f>
        <v>-25242.91159068</v>
      </c>
      <c r="H8" s="35" t="n">
        <f aca="false">INDEX(Monthly!$C$17:$BJ$17,($R$2-1)*12+1)</f>
        <v>-1869</v>
      </c>
      <c r="I8" s="35" t="n">
        <f aca="false">INDEX(Monthly!$C$17:$BJ$17,($R$2-1)*12+2)</f>
        <v>-1869</v>
      </c>
      <c r="J8" s="35" t="n">
        <f aca="false">INDEX(Monthly!$C$17:$BJ$17,($R$2-1)*12+3)</f>
        <v>-1869</v>
      </c>
      <c r="K8" s="35" t="n">
        <f aca="false">INDEX(Monthly!$C$17:$BJ$17,($R$2-1)*12+4)</f>
        <v>-1869</v>
      </c>
      <c r="L8" s="35" t="n">
        <f aca="false">INDEX(Monthly!$C$17:$BJ$17,($R$2-1)*12+5)</f>
        <v>-1869</v>
      </c>
      <c r="M8" s="35" t="n">
        <f aca="false">INDEX(Monthly!$C$17:$BJ$17,($R$2-1)*12+6)</f>
        <v>-1869</v>
      </c>
      <c r="N8" s="35" t="n">
        <f aca="false">INDEX(Monthly!$C$17:$BJ$17,($R$2-1)*12+7)</f>
        <v>-1869</v>
      </c>
      <c r="O8" s="35" t="n">
        <f aca="false">INDEX(Monthly!$C$17:$BJ$17,($R$2-1)*12+8)</f>
        <v>-1869</v>
      </c>
      <c r="P8" s="35" t="n">
        <f aca="false">INDEX(Monthly!$C$17:$BJ$17,($R$2-1)*12+9)</f>
        <v>-1869</v>
      </c>
      <c r="Q8" s="35" t="n">
        <f aca="false">INDEX(Monthly!$C$17:$BJ$17,($R$2-1)*12+10)</f>
        <v>-1869</v>
      </c>
      <c r="R8" s="35" t="n">
        <f aca="false">INDEX(Monthly!$C$17:$BJ$17,($R$2-1)*12+11)</f>
        <v>-1869</v>
      </c>
      <c r="S8" s="35" t="n">
        <f aca="false">INDEX(Monthly!$C$17:$BJ$17,($R$2-1)*12+12)</f>
        <v>-1869</v>
      </c>
    </row>
    <row r="9" customFormat="false" ht="15" hidden="false" customHeight="false" outlineLevel="0" collapsed="false">
      <c r="A9" s="36" t="s">
        <v>46</v>
      </c>
      <c r="B9" s="37" t="n">
        <f aca="false">'P&amp;L'!B7</f>
        <v>174222</v>
      </c>
      <c r="C9" s="37" t="n">
        <f aca="false">'P&amp;L'!C7</f>
        <v>179448.66</v>
      </c>
      <c r="D9" s="37" t="n">
        <f aca="false">'P&amp;L'!D7</f>
        <v>184832.1198</v>
      </c>
      <c r="E9" s="37" t="n">
        <f aca="false">'P&amp;L'!E7</f>
        <v>190377.083394</v>
      </c>
      <c r="F9" s="37" t="n">
        <f aca="false">'P&amp;L'!F7</f>
        <v>196088.39589582</v>
      </c>
      <c r="H9" s="37" t="n">
        <f aca="false">INDEX(Monthly!$C$18:$BJ$18,($R$2-1)*12+1)</f>
        <v>14518.5</v>
      </c>
      <c r="I9" s="37" t="n">
        <f aca="false">INDEX(Monthly!$C$18:$BJ$18,($R$2-1)*12+2)</f>
        <v>14518.5</v>
      </c>
      <c r="J9" s="37" t="n">
        <f aca="false">INDEX(Monthly!$C$18:$BJ$18,($R$2-1)*12+3)</f>
        <v>14518.5</v>
      </c>
      <c r="K9" s="37" t="n">
        <f aca="false">INDEX(Monthly!$C$18:$BJ$18,($R$2-1)*12+4)</f>
        <v>14518.5</v>
      </c>
      <c r="L9" s="37" t="n">
        <f aca="false">INDEX(Monthly!$C$18:$BJ$18,($R$2-1)*12+5)</f>
        <v>14518.5</v>
      </c>
      <c r="M9" s="37" t="n">
        <f aca="false">INDEX(Monthly!$C$18:$BJ$18,($R$2-1)*12+6)</f>
        <v>14518.5</v>
      </c>
      <c r="N9" s="37" t="n">
        <f aca="false">INDEX(Monthly!$C$18:$BJ$18,($R$2-1)*12+7)</f>
        <v>14518.5</v>
      </c>
      <c r="O9" s="37" t="n">
        <f aca="false">INDEX(Monthly!$C$18:$BJ$18,($R$2-1)*12+8)</f>
        <v>14518.5</v>
      </c>
      <c r="P9" s="37" t="n">
        <f aca="false">INDEX(Monthly!$C$18:$BJ$18,($R$2-1)*12+9)</f>
        <v>14518.5</v>
      </c>
      <c r="Q9" s="37" t="n">
        <f aca="false">INDEX(Monthly!$C$18:$BJ$18,($R$2-1)*12+10)</f>
        <v>14518.5</v>
      </c>
      <c r="R9" s="37" t="n">
        <f aca="false">INDEX(Monthly!$C$18:$BJ$18,($R$2-1)*12+11)</f>
        <v>14518.5</v>
      </c>
      <c r="S9" s="37" t="n">
        <f aca="false">INDEX(Monthly!$C$18:$BJ$18,($R$2-1)*12+12)</f>
        <v>14518.5</v>
      </c>
    </row>
    <row r="10" customFormat="false" ht="15" hidden="false" customHeight="false" outlineLevel="0" collapsed="false">
      <c r="A10" s="38" t="s">
        <v>47</v>
      </c>
      <c r="B10" s="39" t="n">
        <f aca="false">'P&amp;L'!B8</f>
        <v>0.885949656750572</v>
      </c>
      <c r="C10" s="39" t="n">
        <f aca="false">'P&amp;L'!C8</f>
        <v>0.885949656750572</v>
      </c>
      <c r="D10" s="39" t="n">
        <f aca="false">'P&amp;L'!D8</f>
        <v>0.885949656750572</v>
      </c>
      <c r="E10" s="39" t="n">
        <f aca="false">'P&amp;L'!E8</f>
        <v>0.885949656750572</v>
      </c>
      <c r="F10" s="39" t="n">
        <f aca="false">'P&amp;L'!F8</f>
        <v>0.885949656750572</v>
      </c>
      <c r="H10" s="39" t="n">
        <f aca="false">IF(H7=0,0,H9/H7)</f>
        <v>0.885949656750572</v>
      </c>
      <c r="I10" s="39" t="n">
        <f aca="false">IF(I7=0,0,I9/I7)</f>
        <v>0.885949656750572</v>
      </c>
      <c r="J10" s="39" t="n">
        <f aca="false">IF(J7=0,0,J9/J7)</f>
        <v>0.885949656750572</v>
      </c>
      <c r="K10" s="39" t="n">
        <f aca="false">IF(K7=0,0,K9/K7)</f>
        <v>0.885949656750572</v>
      </c>
      <c r="L10" s="39" t="n">
        <f aca="false">IF(L7=0,0,L9/L7)</f>
        <v>0.885949656750572</v>
      </c>
      <c r="M10" s="39" t="n">
        <f aca="false">IF(M7=0,0,M9/M7)</f>
        <v>0.885949656750572</v>
      </c>
      <c r="N10" s="39" t="n">
        <f aca="false">IF(N7=0,0,N9/N7)</f>
        <v>0.885949656750572</v>
      </c>
      <c r="O10" s="39" t="n">
        <f aca="false">IF(O7=0,0,O9/O7)</f>
        <v>0.885949656750572</v>
      </c>
      <c r="P10" s="39" t="n">
        <f aca="false">IF(P7=0,0,P9/P7)</f>
        <v>0.885949656750572</v>
      </c>
      <c r="Q10" s="39" t="n">
        <f aca="false">IF(Q7=0,0,Q9/Q7)</f>
        <v>0.885949656750572</v>
      </c>
      <c r="R10" s="39" t="n">
        <f aca="false">IF(R7=0,0,R9/R7)</f>
        <v>0.885949656750572</v>
      </c>
      <c r="S10" s="39" t="n">
        <f aca="false">IF(S7=0,0,S9/S7)</f>
        <v>0.885949656750572</v>
      </c>
    </row>
    <row r="11" customFormat="false" ht="15" hidden="false" customHeight="false" outlineLevel="0" collapsed="false">
      <c r="A11" s="49" t="s">
        <v>77</v>
      </c>
      <c r="B11" s="35" t="n">
        <f aca="false">'P&amp;L'!B13</f>
        <v>-48882</v>
      </c>
      <c r="C11" s="35" t="n">
        <f aca="false">'P&amp;L'!C13</f>
        <v>-50348.46</v>
      </c>
      <c r="D11" s="35" t="n">
        <f aca="false">'P&amp;L'!D13</f>
        <v>-51858.9138</v>
      </c>
      <c r="E11" s="35" t="n">
        <f aca="false">'P&amp;L'!E13</f>
        <v>-53414.681214</v>
      </c>
      <c r="F11" s="35" t="n">
        <f aca="false">'P&amp;L'!F13</f>
        <v>-55017.12165042</v>
      </c>
      <c r="H11" s="35" t="n">
        <f aca="false">INDEX(Monthly!$C$25:$BJ$25,($R$2-1)*12+1)</f>
        <v>-4073.5</v>
      </c>
      <c r="I11" s="35" t="n">
        <f aca="false">INDEX(Monthly!$C$25:$BJ$25,($R$2-1)*12+2)</f>
        <v>-4073.5</v>
      </c>
      <c r="J11" s="35" t="n">
        <f aca="false">INDEX(Monthly!$C$25:$BJ$25,($R$2-1)*12+3)</f>
        <v>-4073.5</v>
      </c>
      <c r="K11" s="35" t="n">
        <f aca="false">INDEX(Monthly!$C$25:$BJ$25,($R$2-1)*12+4)</f>
        <v>-4073.5</v>
      </c>
      <c r="L11" s="35" t="n">
        <f aca="false">INDEX(Monthly!$C$25:$BJ$25,($R$2-1)*12+5)</f>
        <v>-4073.5</v>
      </c>
      <c r="M11" s="35" t="n">
        <f aca="false">INDEX(Monthly!$C$25:$BJ$25,($R$2-1)*12+6)</f>
        <v>-4073.5</v>
      </c>
      <c r="N11" s="35" t="n">
        <f aca="false">INDEX(Monthly!$C$25:$BJ$25,($R$2-1)*12+7)</f>
        <v>-4073.5</v>
      </c>
      <c r="O11" s="35" t="n">
        <f aca="false">INDEX(Monthly!$C$25:$BJ$25,($R$2-1)*12+8)</f>
        <v>-4073.5</v>
      </c>
      <c r="P11" s="35" t="n">
        <f aca="false">INDEX(Monthly!$C$25:$BJ$25,($R$2-1)*12+9)</f>
        <v>-4073.5</v>
      </c>
      <c r="Q11" s="35" t="n">
        <f aca="false">INDEX(Monthly!$C$25:$BJ$25,($R$2-1)*12+10)</f>
        <v>-4073.5</v>
      </c>
      <c r="R11" s="35" t="n">
        <f aca="false">INDEX(Monthly!$C$25:$BJ$25,($R$2-1)*12+11)</f>
        <v>-4073.5</v>
      </c>
      <c r="S11" s="35" t="n">
        <f aca="false">INDEX(Monthly!$C$25:$BJ$25,($R$2-1)*12+12)</f>
        <v>-4073.5</v>
      </c>
    </row>
    <row r="12" customFormat="false" ht="15" hidden="false" customHeight="false" outlineLevel="0" collapsed="false">
      <c r="A12" s="36" t="s">
        <v>49</v>
      </c>
      <c r="B12" s="37" t="n">
        <f aca="false">'P&amp;L'!B14</f>
        <v>125340</v>
      </c>
      <c r="C12" s="37" t="n">
        <f aca="false">'P&amp;L'!C14</f>
        <v>129100.2</v>
      </c>
      <c r="D12" s="37" t="n">
        <f aca="false">'P&amp;L'!D14</f>
        <v>132973.206</v>
      </c>
      <c r="E12" s="37" t="n">
        <f aca="false">'P&amp;L'!E14</f>
        <v>136962.40218</v>
      </c>
      <c r="F12" s="37" t="n">
        <f aca="false">'P&amp;L'!F14</f>
        <v>141071.2742454</v>
      </c>
      <c r="H12" s="37" t="n">
        <f aca="false">INDEX(Monthly!$C$26:$BJ$26,($R$2-1)*12+1)</f>
        <v>10445</v>
      </c>
      <c r="I12" s="37" t="n">
        <f aca="false">INDEX(Monthly!$C$26:$BJ$26,($R$2-1)*12+2)</f>
        <v>10445</v>
      </c>
      <c r="J12" s="37" t="n">
        <f aca="false">INDEX(Monthly!$C$26:$BJ$26,($R$2-1)*12+3)</f>
        <v>10445</v>
      </c>
      <c r="K12" s="37" t="n">
        <f aca="false">INDEX(Monthly!$C$26:$BJ$26,($R$2-1)*12+4)</f>
        <v>10445</v>
      </c>
      <c r="L12" s="37" t="n">
        <f aca="false">INDEX(Monthly!$C$26:$BJ$26,($R$2-1)*12+5)</f>
        <v>10445</v>
      </c>
      <c r="M12" s="37" t="n">
        <f aca="false">INDEX(Monthly!$C$26:$BJ$26,($R$2-1)*12+6)</f>
        <v>10445</v>
      </c>
      <c r="N12" s="37" t="n">
        <f aca="false">INDEX(Monthly!$C$26:$BJ$26,($R$2-1)*12+7)</f>
        <v>10445</v>
      </c>
      <c r="O12" s="37" t="n">
        <f aca="false">INDEX(Monthly!$C$26:$BJ$26,($R$2-1)*12+8)</f>
        <v>10445</v>
      </c>
      <c r="P12" s="37" t="n">
        <f aca="false">INDEX(Monthly!$C$26:$BJ$26,($R$2-1)*12+9)</f>
        <v>10445</v>
      </c>
      <c r="Q12" s="37" t="n">
        <f aca="false">INDEX(Monthly!$C$26:$BJ$26,($R$2-1)*12+10)</f>
        <v>10445</v>
      </c>
      <c r="R12" s="37" t="n">
        <f aca="false">INDEX(Monthly!$C$26:$BJ$26,($R$2-1)*12+11)</f>
        <v>10445</v>
      </c>
      <c r="S12" s="37" t="n">
        <f aca="false">INDEX(Monthly!$C$26:$BJ$26,($R$2-1)*12+12)</f>
        <v>10445</v>
      </c>
    </row>
    <row r="13" customFormat="false" ht="15" hidden="false" customHeight="false" outlineLevel="0" collapsed="false">
      <c r="A13" s="38" t="s">
        <v>50</v>
      </c>
      <c r="B13" s="39" t="n">
        <f aca="false">'P&amp;L'!B15</f>
        <v>0.637376048817696</v>
      </c>
      <c r="C13" s="39" t="n">
        <f aca="false">'P&amp;L'!C15</f>
        <v>0.637376048817697</v>
      </c>
      <c r="D13" s="39" t="n">
        <f aca="false">'P&amp;L'!D15</f>
        <v>0.637376048817697</v>
      </c>
      <c r="E13" s="39" t="n">
        <f aca="false">'P&amp;L'!E15</f>
        <v>0.637376048817696</v>
      </c>
      <c r="F13" s="39" t="n">
        <f aca="false">'P&amp;L'!F15</f>
        <v>0.637376048817696</v>
      </c>
      <c r="H13" s="39" t="n">
        <f aca="false">IF(H7=0,0,H12/H7)</f>
        <v>0.637376048817696</v>
      </c>
      <c r="I13" s="39" t="n">
        <f aca="false">IF(I7=0,0,I12/I7)</f>
        <v>0.637376048817696</v>
      </c>
      <c r="J13" s="39" t="n">
        <f aca="false">IF(J7=0,0,J12/J7)</f>
        <v>0.637376048817696</v>
      </c>
      <c r="K13" s="39" t="n">
        <f aca="false">IF(K7=0,0,K12/K7)</f>
        <v>0.637376048817696</v>
      </c>
      <c r="L13" s="39" t="n">
        <f aca="false">IF(L7=0,0,L12/L7)</f>
        <v>0.637376048817696</v>
      </c>
      <c r="M13" s="39" t="n">
        <f aca="false">IF(M7=0,0,M12/M7)</f>
        <v>0.637376048817696</v>
      </c>
      <c r="N13" s="39" t="n">
        <f aca="false">IF(N7=0,0,N12/N7)</f>
        <v>0.637376048817696</v>
      </c>
      <c r="O13" s="39" t="n">
        <f aca="false">IF(O7=0,0,O12/O7)</f>
        <v>0.637376048817696</v>
      </c>
      <c r="P13" s="39" t="n">
        <f aca="false">IF(P7=0,0,P12/P7)</f>
        <v>0.637376048817696</v>
      </c>
      <c r="Q13" s="39" t="n">
        <f aca="false">IF(Q7=0,0,Q12/Q7)</f>
        <v>0.637376048817696</v>
      </c>
      <c r="R13" s="39" t="n">
        <f aca="false">IF(R7=0,0,R12/R7)</f>
        <v>0.637376048817696</v>
      </c>
      <c r="S13" s="39" t="n">
        <f aca="false">IF(S7=0,0,S12/S7)</f>
        <v>0.637376048817696</v>
      </c>
    </row>
    <row r="14" customFormat="false" ht="15" hidden="false" customHeight="false" outlineLevel="0" collapsed="false">
      <c r="A14" s="49" t="s">
        <v>78</v>
      </c>
      <c r="B14" s="35" t="n">
        <f aca="false">'P&amp;L'!B16</f>
        <v>-56940.5864197531</v>
      </c>
      <c r="C14" s="35" t="n">
        <f aca="false">'P&amp;L'!C16</f>
        <v>-57072.3225308643</v>
      </c>
      <c r="D14" s="35" t="n">
        <f aca="false">'P&amp;L'!D16</f>
        <v>-57208.0107253087</v>
      </c>
      <c r="E14" s="35" t="n">
        <f aca="false">'P&amp;L'!E16</f>
        <v>-57347.7695655865</v>
      </c>
      <c r="F14" s="35" t="n">
        <f aca="false">'P&amp;L'!F16</f>
        <v>-57491.7211710727</v>
      </c>
      <c r="H14" s="35" t="n">
        <f aca="false">INDEX(Monthly!$C$44:$BJ$44,($R$2-1)*12+1)</f>
        <v>-4740.09773662552</v>
      </c>
      <c r="I14" s="35" t="n">
        <f aca="false">INDEX(Monthly!$C$44:$BJ$44,($R$2-1)*12+2)</f>
        <v>-4740.99794238683</v>
      </c>
      <c r="J14" s="35" t="n">
        <f aca="false">INDEX(Monthly!$C$44:$BJ$44,($R$2-1)*12+3)</f>
        <v>-4741.89814814815</v>
      </c>
      <c r="K14" s="35" t="n">
        <f aca="false">INDEX(Monthly!$C$44:$BJ$44,($R$2-1)*12+4)</f>
        <v>-4742.79835390947</v>
      </c>
      <c r="L14" s="35" t="n">
        <f aca="false">INDEX(Monthly!$C$44:$BJ$44,($R$2-1)*12+5)</f>
        <v>-4743.69855967078</v>
      </c>
      <c r="M14" s="35" t="n">
        <f aca="false">INDEX(Monthly!$C$44:$BJ$44,($R$2-1)*12+6)</f>
        <v>-4744.5987654321</v>
      </c>
      <c r="N14" s="35" t="n">
        <f aca="false">INDEX(Monthly!$C$44:$BJ$44,($R$2-1)*12+7)</f>
        <v>-4745.49897119342</v>
      </c>
      <c r="O14" s="35" t="n">
        <f aca="false">INDEX(Monthly!$C$44:$BJ$44,($R$2-1)*12+8)</f>
        <v>-4746.39917695474</v>
      </c>
      <c r="P14" s="35" t="n">
        <f aca="false">INDEX(Monthly!$C$44:$BJ$44,($R$2-1)*12+9)</f>
        <v>-4747.29938271605</v>
      </c>
      <c r="Q14" s="35" t="n">
        <f aca="false">INDEX(Monthly!$C$44:$BJ$44,($R$2-1)*12+10)</f>
        <v>-4748.19958847737</v>
      </c>
      <c r="R14" s="35" t="n">
        <f aca="false">INDEX(Monthly!$C$44:$BJ$44,($R$2-1)*12+11)</f>
        <v>-4749.09979423869</v>
      </c>
      <c r="S14" s="35" t="n">
        <f aca="false">INDEX(Monthly!$C$44:$BJ$44,($R$2-1)*12+12)</f>
        <v>-4750</v>
      </c>
    </row>
    <row r="15" customFormat="false" ht="15" hidden="false" customHeight="false" outlineLevel="0" collapsed="false">
      <c r="A15" s="36" t="s">
        <v>79</v>
      </c>
      <c r="B15" s="37" t="n">
        <f aca="false">'P&amp;L'!B17</f>
        <v>68399.4135802469</v>
      </c>
      <c r="C15" s="37" t="n">
        <f aca="false">'P&amp;L'!C17</f>
        <v>72027.8774691358</v>
      </c>
      <c r="D15" s="37" t="n">
        <f aca="false">'P&amp;L'!D17</f>
        <v>75765.1952746913</v>
      </c>
      <c r="E15" s="37" t="n">
        <f aca="false">'P&amp;L'!E17</f>
        <v>79614.6326144135</v>
      </c>
      <c r="F15" s="37" t="n">
        <f aca="false">'P&amp;L'!F17</f>
        <v>83579.5530743274</v>
      </c>
      <c r="H15" s="37" t="n">
        <f aca="false">INDEX(Monthly!$C$29:$BJ$29,($R$2-1)*12+1)</f>
        <v>5704.90226337449</v>
      </c>
      <c r="I15" s="37" t="n">
        <f aca="false">INDEX(Monthly!$C$29:$BJ$29,($R$2-1)*12+2)</f>
        <v>5704.00205761317</v>
      </c>
      <c r="J15" s="37" t="n">
        <f aca="false">INDEX(Monthly!$C$29:$BJ$29,($R$2-1)*12+3)</f>
        <v>5703.10185185185</v>
      </c>
      <c r="K15" s="37" t="n">
        <f aca="false">INDEX(Monthly!$C$29:$BJ$29,($R$2-1)*12+4)</f>
        <v>5702.20164609053</v>
      </c>
      <c r="L15" s="37" t="n">
        <f aca="false">INDEX(Monthly!$C$29:$BJ$29,($R$2-1)*12+5)</f>
        <v>5701.30144032922</v>
      </c>
      <c r="M15" s="37" t="n">
        <f aca="false">INDEX(Monthly!$C$29:$BJ$29,($R$2-1)*12+6)</f>
        <v>5700.4012345679</v>
      </c>
      <c r="N15" s="37" t="n">
        <f aca="false">INDEX(Monthly!$C$29:$BJ$29,($R$2-1)*12+7)</f>
        <v>5699.50102880658</v>
      </c>
      <c r="O15" s="37" t="n">
        <f aca="false">INDEX(Monthly!$C$29:$BJ$29,($R$2-1)*12+8)</f>
        <v>5698.60082304527</v>
      </c>
      <c r="P15" s="37" t="n">
        <f aca="false">INDEX(Monthly!$C$29:$BJ$29,($R$2-1)*12+9)</f>
        <v>5697.70061728395</v>
      </c>
      <c r="Q15" s="37" t="n">
        <f aca="false">INDEX(Monthly!$C$29:$BJ$29,($R$2-1)*12+10)</f>
        <v>5696.80041152263</v>
      </c>
      <c r="R15" s="37" t="n">
        <f aca="false">INDEX(Monthly!$C$29:$BJ$29,($R$2-1)*12+11)</f>
        <v>5695.90020576131</v>
      </c>
      <c r="S15" s="37" t="n">
        <f aca="false">INDEX(Monthly!$C$29:$BJ$29,($R$2-1)*12+12)</f>
        <v>5695</v>
      </c>
    </row>
    <row r="16" customFormat="false" ht="15" hidden="false" customHeight="false" outlineLevel="0" collapsed="false">
      <c r="A16" s="49" t="s">
        <v>80</v>
      </c>
      <c r="B16" s="35" t="n">
        <f aca="false">'P&amp;L'!B18</f>
        <v>-77605.089755467</v>
      </c>
      <c r="C16" s="35" t="n">
        <f aca="false">'P&amp;L'!C18</f>
        <v>-76706.816019227</v>
      </c>
      <c r="D16" s="35" t="n">
        <f aca="false">'P&amp;L'!D18</f>
        <v>-75748.3832272659</v>
      </c>
      <c r="E16" s="35" t="n">
        <f aca="false">'P&amp;L'!E18</f>
        <v>-74725.7624162071</v>
      </c>
      <c r="F16" s="35" t="n">
        <f aca="false">'P&amp;L'!F18</f>
        <v>-73634.6547955354</v>
      </c>
      <c r="H16" s="35" t="n">
        <f aca="false">INDEX(Monthly!$C$30:$BJ$30,($R$2-1)*12+1)</f>
        <v>-6500</v>
      </c>
      <c r="I16" s="35" t="n">
        <f aca="false">INDEX(Monthly!$C$30:$BJ$30,($R$2-1)*12+2)</f>
        <v>-6494.12391180629</v>
      </c>
      <c r="J16" s="35" t="n">
        <f aca="false">INDEX(Monthly!$C$30:$BJ$30,($R$2-1)*12+3)</f>
        <v>-6488.21599480153</v>
      </c>
      <c r="K16" s="35" t="n">
        <f aca="false">INDEX(Monthly!$C$30:$BJ$30,($R$2-1)*12+4)</f>
        <v>-6482.27607657966</v>
      </c>
      <c r="L16" s="35" t="n">
        <f aca="false">INDEX(Monthly!$C$30:$BJ$30,($R$2-1)*12+5)</f>
        <v>-6476.30398380076</v>
      </c>
      <c r="M16" s="35" t="n">
        <f aca="false">INDEX(Monthly!$C$30:$BJ$30,($R$2-1)*12+6)</f>
        <v>-6470.29954218597</v>
      </c>
      <c r="N16" s="35" t="n">
        <f aca="false">INDEX(Monthly!$C$30:$BJ$30,($R$2-1)*12+7)</f>
        <v>-6464.26257651244</v>
      </c>
      <c r="O16" s="35" t="n">
        <f aca="false">INDEX(Monthly!$C$30:$BJ$30,($R$2-1)*12+8)</f>
        <v>-6458.19291060817</v>
      </c>
      <c r="P16" s="35" t="n">
        <f aca="false">INDEX(Monthly!$C$30:$BJ$30,($R$2-1)*12+9)</f>
        <v>-6452.09036734692</v>
      </c>
      <c r="Q16" s="35" t="n">
        <f aca="false">INDEX(Monthly!$C$30:$BJ$30,($R$2-1)*12+10)</f>
        <v>-6445.95476864301</v>
      </c>
      <c r="R16" s="35" t="n">
        <f aca="false">INDEX(Monthly!$C$30:$BJ$30,($R$2-1)*12+11)</f>
        <v>-6439.78593544611</v>
      </c>
      <c r="S16" s="35" t="n">
        <f aca="false">INDEX(Monthly!$C$30:$BJ$30,($R$2-1)*12+12)</f>
        <v>-6433.58368773607</v>
      </c>
    </row>
    <row r="17" customFormat="false" ht="15" hidden="false" customHeight="false" outlineLevel="0" collapsed="false">
      <c r="A17" s="49" t="s">
        <v>81</v>
      </c>
      <c r="B17" s="35" t="n">
        <f aca="false">'P&amp;L'!B19</f>
        <v>-9205.67617522005</v>
      </c>
      <c r="C17" s="35" t="n">
        <f aca="false">'P&amp;L'!C19</f>
        <v>-4678.93855009125</v>
      </c>
      <c r="D17" s="35" t="n">
        <f aca="false">'P&amp;L'!D19</f>
        <v>16.8120474254474</v>
      </c>
      <c r="E17" s="35" t="n">
        <f aca="false">'P&amp;L'!E19</f>
        <v>4888.8701982064</v>
      </c>
      <c r="F17" s="35" t="n">
        <f aca="false">'P&amp;L'!F19</f>
        <v>9944.89827879204</v>
      </c>
      <c r="H17" s="35" t="n">
        <f aca="false">INDEX(Monthly!$C$31:$BJ$31,($R$2-1)*12+1)</f>
        <v>-795.097736625515</v>
      </c>
      <c r="I17" s="35" t="n">
        <f aca="false">INDEX(Monthly!$C$31:$BJ$31,($R$2-1)*12+2)</f>
        <v>-790.121854193122</v>
      </c>
      <c r="J17" s="35" t="n">
        <f aca="false">INDEX(Monthly!$C$31:$BJ$31,($R$2-1)*12+3)</f>
        <v>-785.114142949681</v>
      </c>
      <c r="K17" s="35" t="n">
        <f aca="false">INDEX(Monthly!$C$31:$BJ$31,($R$2-1)*12+4)</f>
        <v>-780.07443048913</v>
      </c>
      <c r="L17" s="35" t="n">
        <f aca="false">INDEX(Monthly!$C$31:$BJ$31,($R$2-1)*12+5)</f>
        <v>-775.002543471544</v>
      </c>
      <c r="M17" s="35" t="n">
        <f aca="false">INDEX(Monthly!$C$31:$BJ$31,($R$2-1)*12+6)</f>
        <v>-769.898307618073</v>
      </c>
      <c r="N17" s="35" t="n">
        <f aca="false">INDEX(Monthly!$C$31:$BJ$31,($R$2-1)*12+7)</f>
        <v>-764.761547705854</v>
      </c>
      <c r="O17" s="35" t="n">
        <f aca="false">INDEX(Monthly!$C$31:$BJ$31,($R$2-1)*12+8)</f>
        <v>-759.592087562905</v>
      </c>
      <c r="P17" s="35" t="n">
        <f aca="false">INDEX(Monthly!$C$31:$BJ$31,($R$2-1)*12+9)</f>
        <v>-754.389750062974</v>
      </c>
      <c r="Q17" s="35" t="n">
        <f aca="false">INDEX(Monthly!$C$31:$BJ$31,($R$2-1)*12+10)</f>
        <v>-749.154357120377</v>
      </c>
      <c r="R17" s="35" t="n">
        <f aca="false">INDEX(Monthly!$C$31:$BJ$31,($R$2-1)*12+11)</f>
        <v>-743.8857296848</v>
      </c>
      <c r="S17" s="35" t="n">
        <f aca="false">INDEX(Monthly!$C$31:$BJ$31,($R$2-1)*12+12)</f>
        <v>-738.583687736074</v>
      </c>
    </row>
    <row r="18" customFormat="false" ht="15" hidden="false" customHeight="false" outlineLevel="0" collapsed="false">
      <c r="A18" s="49" t="s">
        <v>82</v>
      </c>
      <c r="B18" s="35" t="n">
        <f aca="false">'P&amp;L'!B20</f>
        <v>0</v>
      </c>
      <c r="C18" s="35" t="n">
        <f aca="false">'P&amp;L'!C20</f>
        <v>0</v>
      </c>
      <c r="D18" s="35" t="n">
        <f aca="false">'P&amp;L'!D20</f>
        <v>0</v>
      </c>
      <c r="E18" s="35" t="n">
        <f aca="false">'P&amp;L'!E20</f>
        <v>0</v>
      </c>
      <c r="F18" s="35" t="n">
        <f aca="false">'P&amp;L'!F20</f>
        <v>-202.852817813645</v>
      </c>
      <c r="H18" s="35" t="n">
        <f aca="false">INDEX(Monthly!$C$34:$BJ$34,($R$2-1)*12+1)</f>
        <v>-0</v>
      </c>
      <c r="I18" s="35" t="n">
        <f aca="false">INDEX(Monthly!$C$34:$BJ$34,($R$2-1)*12+2)</f>
        <v>-0</v>
      </c>
      <c r="J18" s="35" t="n">
        <f aca="false">INDEX(Monthly!$C$34:$BJ$34,($R$2-1)*12+3)</f>
        <v>-0</v>
      </c>
      <c r="K18" s="35" t="n">
        <f aca="false">INDEX(Monthly!$C$34:$BJ$34,($R$2-1)*12+4)</f>
        <v>-0</v>
      </c>
      <c r="L18" s="35" t="n">
        <f aca="false">INDEX(Monthly!$C$34:$BJ$34,($R$2-1)*12+5)</f>
        <v>-0</v>
      </c>
      <c r="M18" s="35" t="n">
        <f aca="false">INDEX(Monthly!$C$34:$BJ$34,($R$2-1)*12+6)</f>
        <v>-0</v>
      </c>
      <c r="N18" s="35" t="n">
        <f aca="false">INDEX(Monthly!$C$34:$BJ$34,($R$2-1)*12+7)</f>
        <v>-0</v>
      </c>
      <c r="O18" s="35" t="n">
        <f aca="false">INDEX(Monthly!$C$34:$BJ$34,($R$2-1)*12+8)</f>
        <v>-0</v>
      </c>
      <c r="P18" s="35" t="n">
        <f aca="false">INDEX(Monthly!$C$34:$BJ$34,($R$2-1)*12+9)</f>
        <v>-0</v>
      </c>
      <c r="Q18" s="35" t="n">
        <f aca="false">INDEX(Monthly!$C$34:$BJ$34,($R$2-1)*12+10)</f>
        <v>-0</v>
      </c>
      <c r="R18" s="35" t="n">
        <f aca="false">INDEX(Monthly!$C$34:$BJ$34,($R$2-1)*12+11)</f>
        <v>-0</v>
      </c>
      <c r="S18" s="35" t="n">
        <f aca="false">INDEX(Monthly!$C$34:$BJ$34,($R$2-1)*12+12)</f>
        <v>-0</v>
      </c>
    </row>
    <row r="19" customFormat="false" ht="15" hidden="false" customHeight="false" outlineLevel="0" collapsed="false">
      <c r="A19" s="40" t="s">
        <v>51</v>
      </c>
      <c r="B19" s="41" t="n">
        <f aca="false">'P&amp;L'!B21</f>
        <v>-9205.67617522005</v>
      </c>
      <c r="C19" s="41" t="n">
        <f aca="false">'P&amp;L'!C21</f>
        <v>-4678.93855009125</v>
      </c>
      <c r="D19" s="41" t="n">
        <f aca="false">'P&amp;L'!D21</f>
        <v>16.8120474254474</v>
      </c>
      <c r="E19" s="41" t="n">
        <f aca="false">'P&amp;L'!E21</f>
        <v>4888.8701982064</v>
      </c>
      <c r="F19" s="41" t="n">
        <f aca="false">'P&amp;L'!F21</f>
        <v>9742.0454609784</v>
      </c>
      <c r="H19" s="41" t="n">
        <f aca="false">INDEX(Monthly!$C$35:$BJ$35,($R$2-1)*12+1)</f>
        <v>-795.097736625515</v>
      </c>
      <c r="I19" s="41" t="n">
        <f aca="false">INDEX(Monthly!$C$35:$BJ$35,($R$2-1)*12+2)</f>
        <v>-790.121854193122</v>
      </c>
      <c r="J19" s="41" t="n">
        <f aca="false">INDEX(Monthly!$C$35:$BJ$35,($R$2-1)*12+3)</f>
        <v>-785.114142949681</v>
      </c>
      <c r="K19" s="41" t="n">
        <f aca="false">INDEX(Monthly!$C$35:$BJ$35,($R$2-1)*12+4)</f>
        <v>-780.07443048913</v>
      </c>
      <c r="L19" s="41" t="n">
        <f aca="false">INDEX(Monthly!$C$35:$BJ$35,($R$2-1)*12+5)</f>
        <v>-775.002543471544</v>
      </c>
      <c r="M19" s="41" t="n">
        <f aca="false">INDEX(Monthly!$C$35:$BJ$35,($R$2-1)*12+6)</f>
        <v>-769.898307618073</v>
      </c>
      <c r="N19" s="41" t="n">
        <f aca="false">INDEX(Monthly!$C$35:$BJ$35,($R$2-1)*12+7)</f>
        <v>-764.761547705854</v>
      </c>
      <c r="O19" s="41" t="n">
        <f aca="false">INDEX(Monthly!$C$35:$BJ$35,($R$2-1)*12+8)</f>
        <v>-759.592087562905</v>
      </c>
      <c r="P19" s="41" t="n">
        <f aca="false">INDEX(Monthly!$C$35:$BJ$35,($R$2-1)*12+9)</f>
        <v>-754.389750062974</v>
      </c>
      <c r="Q19" s="41" t="n">
        <f aca="false">INDEX(Monthly!$C$35:$BJ$35,($R$2-1)*12+10)</f>
        <v>-749.154357120377</v>
      </c>
      <c r="R19" s="41" t="n">
        <f aca="false">INDEX(Monthly!$C$35:$BJ$35,($R$2-1)*12+11)</f>
        <v>-743.8857296848</v>
      </c>
      <c r="S19" s="41" t="n">
        <f aca="false">INDEX(Monthly!$C$35:$BJ$35,($R$2-1)*12+12)</f>
        <v>-738.583687736074</v>
      </c>
    </row>
    <row r="20" customFormat="false" ht="15" hidden="false" customHeight="false" outlineLevel="0" collapsed="false">
      <c r="A20" s="38" t="s">
        <v>52</v>
      </c>
      <c r="B20" s="39" t="n">
        <f aca="false">'P&amp;L'!B22</f>
        <v>-0.0468124900850244</v>
      </c>
      <c r="C20" s="39" t="n">
        <f aca="false">'P&amp;L'!C22</f>
        <v>-0.0231002226620715</v>
      </c>
      <c r="D20" s="39" t="n">
        <f aca="false">'P&amp;L'!D22</f>
        <v>8.05846281586036E-005</v>
      </c>
      <c r="E20" s="39" t="n">
        <f aca="false">'P&amp;L'!E22</f>
        <v>0.0227511252761191</v>
      </c>
      <c r="F20" s="39" t="n">
        <f aca="false">'P&amp;L'!F22</f>
        <v>0.0440156685089506</v>
      </c>
      <c r="H20" s="39" t="n">
        <f aca="false">IF(H7=0,0,H19/H7)</f>
        <v>-0.0485185499084982</v>
      </c>
      <c r="I20" s="39" t="n">
        <f aca="false">IF(I7=0,0,I19/I7)</f>
        <v>-0.0482149110110219</v>
      </c>
      <c r="J20" s="39" t="n">
        <f aca="false">IF(J7=0,0,J19/J7)</f>
        <v>-0.0479093298520019</v>
      </c>
      <c r="K20" s="39" t="n">
        <f aca="false">IF(K7=0,0,K19/K7)</f>
        <v>-0.0476017959108546</v>
      </c>
      <c r="L20" s="39" t="n">
        <f aca="false">IF(L7=0,0,L19/L7)</f>
        <v>-0.0472922986100103</v>
      </c>
      <c r="M20" s="39" t="n">
        <f aca="false">IF(M7=0,0,M19/M7)</f>
        <v>-0.046980827314604</v>
      </c>
      <c r="N20" s="39" t="n">
        <f aca="false">IF(N7=0,0,N19/N7)</f>
        <v>-0.046667371332165</v>
      </c>
      <c r="O20" s="39" t="n">
        <f aca="false">IF(O7=0,0,O19/O7)</f>
        <v>-0.0463519199123054</v>
      </c>
      <c r="P20" s="39" t="n">
        <f aca="false">IF(P7=0,0,P19/P7)</f>
        <v>-0.0460344622464057</v>
      </c>
      <c r="Q20" s="39" t="n">
        <f aca="false">IF(Q7=0,0,Q19/Q7)</f>
        <v>-0.0457149874672999</v>
      </c>
      <c r="R20" s="39" t="n">
        <f aca="false">IF(R7=0,0,R19/R7)</f>
        <v>-0.0453934846489581</v>
      </c>
      <c r="S20" s="39" t="n">
        <f aca="false">IF(S7=0,0,S19/S7)</f>
        <v>-0.0450699428061678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53</v>
      </c>
      <c r="B24" s="37" t="n">
        <f aca="false">'Cash Flow'!B10</f>
        <v>48669.4102445331</v>
      </c>
      <c r="C24" s="37" t="n">
        <f aca="false">'Cash Flow'!C10</f>
        <v>52421.418980773</v>
      </c>
      <c r="D24" s="37" t="n">
        <f aca="false">'Cash Flow'!D10</f>
        <v>57253.6988227342</v>
      </c>
      <c r="E24" s="37" t="n">
        <f aca="false">'Cash Flow'!E10</f>
        <v>62266.3820952929</v>
      </c>
      <c r="F24" s="37" t="n">
        <f aca="false">'Cash Flow'!F10</f>
        <v>67264.4012334961</v>
      </c>
      <c r="H24" s="37" t="n">
        <f aca="false">INDEX(Monthly!$C$65:$BJ$65,($R$2-1)*12+1)</f>
        <v>4879.5</v>
      </c>
      <c r="I24" s="37" t="n">
        <f aca="false">INDEX(Monthly!$C$65:$BJ$65,($R$2-1)*12+2)</f>
        <v>3950.87608819371</v>
      </c>
      <c r="J24" s="37" t="n">
        <f aca="false">INDEX(Monthly!$C$65:$BJ$65,($R$2-1)*12+3)</f>
        <v>3956.78400519847</v>
      </c>
      <c r="K24" s="37" t="n">
        <f aca="false">INDEX(Monthly!$C$65:$BJ$65,($R$2-1)*12+4)</f>
        <v>3962.72392342034</v>
      </c>
      <c r="L24" s="37" t="n">
        <f aca="false">INDEX(Monthly!$C$65:$BJ$65,($R$2-1)*12+5)</f>
        <v>3968.69601619924</v>
      </c>
      <c r="M24" s="37" t="n">
        <f aca="false">INDEX(Monthly!$C$65:$BJ$65,($R$2-1)*12+6)</f>
        <v>3974.70045781403</v>
      </c>
      <c r="N24" s="37" t="n">
        <f aca="false">INDEX(Monthly!$C$65:$BJ$65,($R$2-1)*12+7)</f>
        <v>3980.73742348756</v>
      </c>
      <c r="O24" s="37" t="n">
        <f aca="false">INDEX(Monthly!$C$65:$BJ$65,($R$2-1)*12+8)</f>
        <v>3986.80708939183</v>
      </c>
      <c r="P24" s="37" t="n">
        <f aca="false">INDEX(Monthly!$C$65:$BJ$65,($R$2-1)*12+9)</f>
        <v>3992.90963265308</v>
      </c>
      <c r="Q24" s="37" t="n">
        <f aca="false">INDEX(Monthly!$C$65:$BJ$65,($R$2-1)*12+10)</f>
        <v>3999.04523135699</v>
      </c>
      <c r="R24" s="37" t="n">
        <f aca="false">INDEX(Monthly!$C$65:$BJ$65,($R$2-1)*12+11)</f>
        <v>4005.21406455389</v>
      </c>
      <c r="S24" s="37" t="n">
        <f aca="false">INDEX(Monthly!$C$65:$BJ$65,($R$2-1)*12+12)</f>
        <v>4011.41631226393</v>
      </c>
    </row>
    <row r="25" customFormat="false" ht="15" hidden="false" customHeight="false" outlineLevel="0" collapsed="false">
      <c r="A25" s="49" t="s">
        <v>84</v>
      </c>
      <c r="B25" s="35" t="n">
        <f aca="false">'Cash Flow'!B11</f>
        <v>-1909000</v>
      </c>
      <c r="C25" s="35" t="n">
        <f aca="false">'Cash Flow'!C11</f>
        <v>-3605</v>
      </c>
      <c r="D25" s="35" t="n">
        <f aca="false">'Cash Flow'!D11</f>
        <v>-3713.15</v>
      </c>
      <c r="E25" s="35" t="n">
        <f aca="false">'Cash Flow'!E11</f>
        <v>-3824.5445</v>
      </c>
      <c r="F25" s="35" t="n">
        <f aca="false">'Cash Flow'!F11</f>
        <v>-3939.280835</v>
      </c>
      <c r="H25" s="35" t="n">
        <f aca="false">INDEX(Monthly!$C$66:$BJ$66,($R$2-1)*12+1)</f>
        <v>-1905791.66666667</v>
      </c>
      <c r="I25" s="35" t="n">
        <f aca="false">INDEX(Monthly!$C$66:$BJ$66,($R$2-1)*12+2)</f>
        <v>-291.666666666667</v>
      </c>
      <c r="J25" s="35" t="n">
        <f aca="false">INDEX(Monthly!$C$66:$BJ$66,($R$2-1)*12+3)</f>
        <v>-291.666666666667</v>
      </c>
      <c r="K25" s="35" t="n">
        <f aca="false">INDEX(Monthly!$C$66:$BJ$66,($R$2-1)*12+4)</f>
        <v>-291.666666666667</v>
      </c>
      <c r="L25" s="35" t="n">
        <f aca="false">INDEX(Monthly!$C$66:$BJ$66,($R$2-1)*12+5)</f>
        <v>-291.666666666667</v>
      </c>
      <c r="M25" s="35" t="n">
        <f aca="false">INDEX(Monthly!$C$66:$BJ$66,($R$2-1)*12+6)</f>
        <v>-291.666666666667</v>
      </c>
      <c r="N25" s="35" t="n">
        <f aca="false">INDEX(Monthly!$C$66:$BJ$66,($R$2-1)*12+7)</f>
        <v>-291.666666666667</v>
      </c>
      <c r="O25" s="35" t="n">
        <f aca="false">INDEX(Monthly!$C$66:$BJ$66,($R$2-1)*12+8)</f>
        <v>-291.666666666667</v>
      </c>
      <c r="P25" s="35" t="n">
        <f aca="false">INDEX(Monthly!$C$66:$BJ$66,($R$2-1)*12+9)</f>
        <v>-291.666666666667</v>
      </c>
      <c r="Q25" s="35" t="n">
        <f aca="false">INDEX(Monthly!$C$66:$BJ$66,($R$2-1)*12+10)</f>
        <v>-291.666666666667</v>
      </c>
      <c r="R25" s="35" t="n">
        <f aca="false">INDEX(Monthly!$C$66:$BJ$66,($R$2-1)*12+11)</f>
        <v>-291.666666666667</v>
      </c>
      <c r="S25" s="35" t="n">
        <f aca="false">INDEX(Monthly!$C$66:$BJ$66,($R$2-1)*12+12)</f>
        <v>-291.666666666667</v>
      </c>
    </row>
    <row r="26" customFormat="false" ht="15" hidden="false" customHeight="false" outlineLevel="0" collapsed="false">
      <c r="A26" s="49" t="s">
        <v>64</v>
      </c>
      <c r="B26" s="35" t="n">
        <f aca="false">'Cash Flow'!B12</f>
        <v>760000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INDEX(Monthly!$C$67:$BJ$67,($R$2-1)*12+1)</f>
        <v>760000</v>
      </c>
      <c r="I26" s="35" t="n">
        <f aca="false">INDEX(Monthly!$C$67:$BJ$67,($R$2-1)*12+2)</f>
        <v>0</v>
      </c>
      <c r="J26" s="35" t="n">
        <f aca="false">INDEX(Monthly!$C$67:$BJ$67,($R$2-1)*12+3)</f>
        <v>0</v>
      </c>
      <c r="K26" s="35" t="n">
        <f aca="false">INDEX(Monthly!$C$67:$BJ$67,($R$2-1)*12+4)</f>
        <v>0</v>
      </c>
      <c r="L26" s="35" t="n">
        <f aca="false">INDEX(Monthly!$C$67:$BJ$67,($R$2-1)*12+5)</f>
        <v>0</v>
      </c>
      <c r="M26" s="35" t="n">
        <f aca="false">INDEX(Monthly!$C$67:$BJ$67,($R$2-1)*12+6)</f>
        <v>0</v>
      </c>
      <c r="N26" s="35" t="n">
        <f aca="false">INDEX(Monthly!$C$67:$BJ$67,($R$2-1)*12+7)</f>
        <v>0</v>
      </c>
      <c r="O26" s="35" t="n">
        <f aca="false">INDEX(Monthly!$C$67:$BJ$67,($R$2-1)*12+8)</f>
        <v>0</v>
      </c>
      <c r="P26" s="35" t="n">
        <f aca="false">INDEX(Monthly!$C$67:$BJ$67,($R$2-1)*12+9)</f>
        <v>0</v>
      </c>
      <c r="Q26" s="35" t="n">
        <f aca="false">INDEX(Monthly!$C$67:$BJ$67,($R$2-1)*12+10)</f>
        <v>0</v>
      </c>
      <c r="R26" s="35" t="n">
        <f aca="false">INDEX(Monthly!$C$67:$BJ$67,($R$2-1)*12+11)</f>
        <v>0</v>
      </c>
      <c r="S26" s="35" t="n">
        <f aca="false">INDEX(Monthly!$C$67:$BJ$67,($R$2-1)*12+12)</f>
        <v>0</v>
      </c>
    </row>
    <row r="27" customFormat="false" ht="15" hidden="false" customHeight="false" outlineLevel="0" collapsed="false">
      <c r="A27" s="49" t="s">
        <v>85</v>
      </c>
      <c r="B27" s="35" t="n">
        <f aca="false">'Cash Flow'!B13</f>
        <v>1200000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INDEX(Monthly!$C$50:$BJ$50,($R$2-1)*12+1)</f>
        <v>1200000</v>
      </c>
      <c r="I27" s="35" t="n">
        <f aca="false">INDEX(Monthly!$C$50:$BJ$50,($R$2-1)*12+2)</f>
        <v>0</v>
      </c>
      <c r="J27" s="35" t="n">
        <f aca="false">INDEX(Monthly!$C$50:$BJ$50,($R$2-1)*12+3)</f>
        <v>0</v>
      </c>
      <c r="K27" s="35" t="n">
        <f aca="false">INDEX(Monthly!$C$50:$BJ$50,($R$2-1)*12+4)</f>
        <v>0</v>
      </c>
      <c r="L27" s="35" t="n">
        <f aca="false">INDEX(Monthly!$C$50:$BJ$50,($R$2-1)*12+5)</f>
        <v>0</v>
      </c>
      <c r="M27" s="35" t="n">
        <f aca="false">INDEX(Monthly!$C$50:$BJ$50,($R$2-1)*12+6)</f>
        <v>0</v>
      </c>
      <c r="N27" s="35" t="n">
        <f aca="false">INDEX(Monthly!$C$50:$BJ$50,($R$2-1)*12+7)</f>
        <v>0</v>
      </c>
      <c r="O27" s="35" t="n">
        <f aca="false">INDEX(Monthly!$C$50:$BJ$50,($R$2-1)*12+8)</f>
        <v>0</v>
      </c>
      <c r="P27" s="35" t="n">
        <f aca="false">INDEX(Monthly!$C$50:$BJ$50,($R$2-1)*12+9)</f>
        <v>0</v>
      </c>
      <c r="Q27" s="35" t="n">
        <f aca="false">INDEX(Monthly!$C$50:$BJ$50,($R$2-1)*12+10)</f>
        <v>0</v>
      </c>
      <c r="R27" s="35" t="n">
        <f aca="false">INDEX(Monthly!$C$50:$BJ$50,($R$2-1)*12+11)</f>
        <v>0</v>
      </c>
      <c r="S27" s="35" t="n">
        <f aca="false">INDEX(Monthly!$C$50:$BJ$50,($R$2-1)*12+12)</f>
        <v>0</v>
      </c>
    </row>
    <row r="28" customFormat="false" ht="15" hidden="false" customHeight="false" outlineLevel="0" collapsed="false">
      <c r="A28" s="49" t="s">
        <v>86</v>
      </c>
      <c r="B28" s="35" t="n">
        <f aca="false">'Cash Flow'!B14</f>
        <v>-13412.7056275198</v>
      </c>
      <c r="C28" s="35" t="n">
        <f aca="false">'Cash Flow'!C14</f>
        <v>-14310.9793637598</v>
      </c>
      <c r="D28" s="35" t="n">
        <f aca="false">'Cash Flow'!D14</f>
        <v>-15269.4121557209</v>
      </c>
      <c r="E28" s="35" t="n">
        <f aca="false">'Cash Flow'!E14</f>
        <v>-16292.0329667797</v>
      </c>
      <c r="F28" s="35" t="n">
        <f aca="false">'Cash Flow'!F14</f>
        <v>-17383.1405874514</v>
      </c>
      <c r="H28" s="35" t="n">
        <f aca="false">INDEX(Monthly!$C$52:$BJ$52,($R$2-1)*12+1)</f>
        <v>-1084.81628191557</v>
      </c>
      <c r="I28" s="35" t="n">
        <f aca="false">INDEX(Monthly!$C$52:$BJ$52,($R$2-1)*12+2)</f>
        <v>-1090.69237010927</v>
      </c>
      <c r="J28" s="35" t="n">
        <f aca="false">INDEX(Monthly!$C$52:$BJ$52,($R$2-1)*12+3)</f>
        <v>-1096.60028711403</v>
      </c>
      <c r="K28" s="35" t="n">
        <f aca="false">INDEX(Monthly!$C$52:$BJ$52,($R$2-1)*12+4)</f>
        <v>-1102.5402053359</v>
      </c>
      <c r="L28" s="35" t="n">
        <f aca="false">INDEX(Monthly!$C$52:$BJ$52,($R$2-1)*12+5)</f>
        <v>-1108.5122981148</v>
      </c>
      <c r="M28" s="35" t="n">
        <f aca="false">INDEX(Monthly!$C$52:$BJ$52,($R$2-1)*12+6)</f>
        <v>-1114.51673972959</v>
      </c>
      <c r="N28" s="35" t="n">
        <f aca="false">INDEX(Monthly!$C$52:$BJ$52,($R$2-1)*12+7)</f>
        <v>-1120.55370540313</v>
      </c>
      <c r="O28" s="35" t="n">
        <f aca="false">INDEX(Monthly!$C$52:$BJ$52,($R$2-1)*12+8)</f>
        <v>-1126.62337130739</v>
      </c>
      <c r="P28" s="35" t="n">
        <f aca="false">INDEX(Monthly!$C$52:$BJ$52,($R$2-1)*12+9)</f>
        <v>-1132.72591456864</v>
      </c>
      <c r="Q28" s="35" t="n">
        <f aca="false">INDEX(Monthly!$C$52:$BJ$52,($R$2-1)*12+10)</f>
        <v>-1138.86151327256</v>
      </c>
      <c r="R28" s="35" t="n">
        <f aca="false">INDEX(Monthly!$C$52:$BJ$52,($R$2-1)*12+11)</f>
        <v>-1145.03034646945</v>
      </c>
      <c r="S28" s="35" t="n">
        <f aca="false">INDEX(Monthly!$C$52:$BJ$52,($R$2-1)*12+12)</f>
        <v>-1151.23259417949</v>
      </c>
    </row>
    <row r="29" customFormat="false" ht="15" hidden="false" customHeight="false" outlineLevel="0" collapsed="false">
      <c r="A29" s="36" t="s">
        <v>55</v>
      </c>
      <c r="B29" s="37" t="n">
        <f aca="false">'Cash Flow'!B15</f>
        <v>1946587.29437248</v>
      </c>
      <c r="C29" s="37" t="n">
        <f aca="false">'Cash Flow'!C15</f>
        <v>-14310.9793637598</v>
      </c>
      <c r="D29" s="37" t="n">
        <f aca="false">'Cash Flow'!D15</f>
        <v>-15269.4121557209</v>
      </c>
      <c r="E29" s="37" t="n">
        <f aca="false">'Cash Flow'!E15</f>
        <v>-16292.0329667797</v>
      </c>
      <c r="F29" s="37" t="n">
        <f aca="false">'Cash Flow'!F15</f>
        <v>-17383.1405874514</v>
      </c>
      <c r="H29" s="37" t="n">
        <f aca="false">INDEX(Monthly!$C$68:$BJ$68,($R$2-1)*12+1)</f>
        <v>1958915.18371808</v>
      </c>
      <c r="I29" s="37" t="n">
        <f aca="false">INDEX(Monthly!$C$68:$BJ$68,($R$2-1)*12+2)</f>
        <v>-1090.69237010927</v>
      </c>
      <c r="J29" s="37" t="n">
        <f aca="false">INDEX(Monthly!$C$68:$BJ$68,($R$2-1)*12+3)</f>
        <v>-1096.60028711403</v>
      </c>
      <c r="K29" s="37" t="n">
        <f aca="false">INDEX(Monthly!$C$68:$BJ$68,($R$2-1)*12+4)</f>
        <v>-1102.5402053359</v>
      </c>
      <c r="L29" s="37" t="n">
        <f aca="false">INDEX(Monthly!$C$68:$BJ$68,($R$2-1)*12+5)</f>
        <v>-1108.5122981148</v>
      </c>
      <c r="M29" s="37" t="n">
        <f aca="false">INDEX(Monthly!$C$68:$BJ$68,($R$2-1)*12+6)</f>
        <v>-1114.51673972959</v>
      </c>
      <c r="N29" s="37" t="n">
        <f aca="false">INDEX(Monthly!$C$68:$BJ$68,($R$2-1)*12+7)</f>
        <v>-1120.55370540313</v>
      </c>
      <c r="O29" s="37" t="n">
        <f aca="false">INDEX(Monthly!$C$68:$BJ$68,($R$2-1)*12+8)</f>
        <v>-1126.62337130739</v>
      </c>
      <c r="P29" s="37" t="n">
        <f aca="false">INDEX(Monthly!$C$68:$BJ$68,($R$2-1)*12+9)</f>
        <v>-1132.72591456864</v>
      </c>
      <c r="Q29" s="37" t="n">
        <f aca="false">INDEX(Monthly!$C$68:$BJ$68,($R$2-1)*12+10)</f>
        <v>-1138.86151327256</v>
      </c>
      <c r="R29" s="37" t="n">
        <f aca="false">INDEX(Monthly!$C$68:$BJ$68,($R$2-1)*12+11)</f>
        <v>-1145.03034646945</v>
      </c>
      <c r="S29" s="37" t="n">
        <f aca="false">INDEX(Monthly!$C$68:$BJ$68,($R$2-1)*12+12)</f>
        <v>-1151.23259417949</v>
      </c>
    </row>
    <row r="30" customFormat="false" ht="15" hidden="false" customHeight="false" outlineLevel="0" collapsed="false">
      <c r="A30" s="36" t="s">
        <v>56</v>
      </c>
      <c r="B30" s="37" t="n">
        <f aca="false">'Cash Flow'!B16</f>
        <v>86256.7046170131</v>
      </c>
      <c r="C30" s="37" t="n">
        <f aca="false">'Cash Flow'!C16</f>
        <v>34505.4396170132</v>
      </c>
      <c r="D30" s="37" t="n">
        <f aca="false">'Cash Flow'!D16</f>
        <v>38271.1366670132</v>
      </c>
      <c r="E30" s="37" t="n">
        <f aca="false">'Cash Flow'!E16</f>
        <v>42149.8046285132</v>
      </c>
      <c r="F30" s="37" t="n">
        <f aca="false">'Cash Flow'!F16</f>
        <v>45941.9798110446</v>
      </c>
      <c r="H30" s="37" t="n">
        <f aca="false">INDEX(Monthly!$C$69:$BJ$69,($R$2-1)*12+1)</f>
        <v>58003.0170514176</v>
      </c>
      <c r="I30" s="37" t="n">
        <f aca="false">INDEX(Monthly!$C$69:$BJ$69,($R$2-1)*12+2)</f>
        <v>2568.51705141777</v>
      </c>
      <c r="J30" s="37" t="n">
        <f aca="false">INDEX(Monthly!$C$69:$BJ$69,($R$2-1)*12+3)</f>
        <v>2568.51705141777</v>
      </c>
      <c r="K30" s="37" t="n">
        <f aca="false">INDEX(Monthly!$C$69:$BJ$69,($R$2-1)*12+4)</f>
        <v>2568.51705141777</v>
      </c>
      <c r="L30" s="37" t="n">
        <f aca="false">INDEX(Monthly!$C$69:$BJ$69,($R$2-1)*12+5)</f>
        <v>2568.51705141777</v>
      </c>
      <c r="M30" s="37" t="n">
        <f aca="false">INDEX(Monthly!$C$69:$BJ$69,($R$2-1)*12+6)</f>
        <v>2568.51705141777</v>
      </c>
      <c r="N30" s="37" t="n">
        <f aca="false">INDEX(Monthly!$C$69:$BJ$69,($R$2-1)*12+7)</f>
        <v>2568.51705141777</v>
      </c>
      <c r="O30" s="37" t="n">
        <f aca="false">INDEX(Monthly!$C$69:$BJ$69,($R$2-1)*12+8)</f>
        <v>2568.51705141777</v>
      </c>
      <c r="P30" s="37" t="n">
        <f aca="false">INDEX(Monthly!$C$69:$BJ$69,($R$2-1)*12+9)</f>
        <v>2568.51705141777</v>
      </c>
      <c r="Q30" s="37" t="n">
        <f aca="false">INDEX(Monthly!$C$69:$BJ$69,($R$2-1)*12+10)</f>
        <v>2568.51705141777</v>
      </c>
      <c r="R30" s="37" t="n">
        <f aca="false">INDEX(Monthly!$C$69:$BJ$69,($R$2-1)*12+11)</f>
        <v>2568.51705141777</v>
      </c>
      <c r="S30" s="37" t="n">
        <f aca="false">INDEX(Monthly!$C$69:$BJ$69,($R$2-1)*12+12)</f>
        <v>2568.51705141777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86256.7046170131</v>
      </c>
      <c r="C31" s="41" t="n">
        <f aca="false">'Cash Flow'!C18</f>
        <v>120762.144234026</v>
      </c>
      <c r="D31" s="41" t="n">
        <f aca="false">'Cash Flow'!D18</f>
        <v>159033.28090104</v>
      </c>
      <c r="E31" s="41" t="n">
        <f aca="false">'Cash Flow'!E18</f>
        <v>201183.085529553</v>
      </c>
      <c r="F31" s="41" t="n">
        <f aca="false">'Cash Flow'!F18</f>
        <v>247125.065340597</v>
      </c>
      <c r="H31" s="41" t="n">
        <f aca="false">INDEX(Monthly!$C$71:$BJ$71,($R$2-1)*12+1)</f>
        <v>58003.0170514176</v>
      </c>
      <c r="I31" s="41" t="n">
        <f aca="false">INDEX(Monthly!$C$71:$BJ$71,($R$2-1)*12+2)</f>
        <v>60571.5341028354</v>
      </c>
      <c r="J31" s="41" t="n">
        <f aca="false">INDEX(Monthly!$C$71:$BJ$71,($R$2-1)*12+3)</f>
        <v>63140.0511542531</v>
      </c>
      <c r="K31" s="41" t="n">
        <f aca="false">INDEX(Monthly!$C$71:$BJ$71,($R$2-1)*12+4)</f>
        <v>65708.5682056709</v>
      </c>
      <c r="L31" s="41" t="n">
        <f aca="false">INDEX(Monthly!$C$71:$BJ$71,($R$2-1)*12+5)</f>
        <v>68277.0852570887</v>
      </c>
      <c r="M31" s="41" t="n">
        <f aca="false">INDEX(Monthly!$C$71:$BJ$71,($R$2-1)*12+6)</f>
        <v>70845.6023085065</v>
      </c>
      <c r="N31" s="41" t="n">
        <f aca="false">INDEX(Monthly!$C$71:$BJ$71,($R$2-1)*12+7)</f>
        <v>73414.1193599242</v>
      </c>
      <c r="O31" s="41" t="n">
        <f aca="false">INDEX(Monthly!$C$71:$BJ$71,($R$2-1)*12+8)</f>
        <v>75982.636411342</v>
      </c>
      <c r="P31" s="41" t="n">
        <f aca="false">INDEX(Monthly!$C$71:$BJ$71,($R$2-1)*12+9)</f>
        <v>78551.1534627598</v>
      </c>
      <c r="Q31" s="41" t="n">
        <f aca="false">INDEX(Monthly!$C$71:$BJ$71,($R$2-1)*12+10)</f>
        <v>81119.6705141776</v>
      </c>
      <c r="R31" s="41" t="n">
        <f aca="false">INDEX(Monthly!$C$71:$BJ$71,($R$2-1)*12+11)</f>
        <v>83688.1875655953</v>
      </c>
      <c r="S31" s="41" t="n">
        <f aca="false">INDEX(Monthly!$C$71:$BJ$71,($R$2-1)*12+12)</f>
        <v>86256.7046170131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89</v>
      </c>
      <c r="B41" s="35" t="n">
        <f aca="false">'Balance Sheet'!B5</f>
        <v>86256.7046170131</v>
      </c>
      <c r="C41" s="35" t="n">
        <f aca="false">'Balance Sheet'!C5</f>
        <v>120762.144234026</v>
      </c>
      <c r="D41" s="35" t="n">
        <f aca="false">'Balance Sheet'!D5</f>
        <v>159033.28090104</v>
      </c>
      <c r="E41" s="35" t="n">
        <f aca="false">'Balance Sheet'!E5</f>
        <v>201183.085529553</v>
      </c>
      <c r="F41" s="35" t="n">
        <f aca="false">'Balance Sheet'!F5</f>
        <v>247125.065340597</v>
      </c>
      <c r="H41" s="35" t="n">
        <f aca="false">INDEX(Monthly!$C$71:$BJ$71,($R$2-1)*12+1)</f>
        <v>58003.0170514176</v>
      </c>
      <c r="I41" s="35" t="n">
        <f aca="false">INDEX(Monthly!$C$71:$BJ$71,($R$2-1)*12+2)</f>
        <v>60571.5341028354</v>
      </c>
      <c r="J41" s="35" t="n">
        <f aca="false">INDEX(Monthly!$C$71:$BJ$71,($R$2-1)*12+3)</f>
        <v>63140.0511542531</v>
      </c>
      <c r="K41" s="35" t="n">
        <f aca="false">INDEX(Monthly!$C$71:$BJ$71,($R$2-1)*12+4)</f>
        <v>65708.5682056709</v>
      </c>
      <c r="L41" s="35" t="n">
        <f aca="false">INDEX(Monthly!$C$71:$BJ$71,($R$2-1)*12+5)</f>
        <v>68277.0852570887</v>
      </c>
      <c r="M41" s="35" t="n">
        <f aca="false">INDEX(Monthly!$C$71:$BJ$71,($R$2-1)*12+6)</f>
        <v>70845.6023085065</v>
      </c>
      <c r="N41" s="35" t="n">
        <f aca="false">INDEX(Monthly!$C$71:$BJ$71,($R$2-1)*12+7)</f>
        <v>73414.1193599242</v>
      </c>
      <c r="O41" s="35" t="n">
        <f aca="false">INDEX(Monthly!$C$71:$BJ$71,($R$2-1)*12+8)</f>
        <v>75982.636411342</v>
      </c>
      <c r="P41" s="35" t="n">
        <f aca="false">INDEX(Monthly!$C$71:$BJ$71,($R$2-1)*12+9)</f>
        <v>78551.1534627598</v>
      </c>
      <c r="Q41" s="35" t="n">
        <f aca="false">INDEX(Monthly!$C$71:$BJ$71,($R$2-1)*12+10)</f>
        <v>81119.6705141776</v>
      </c>
      <c r="R41" s="35" t="n">
        <f aca="false">INDEX(Monthly!$C$71:$BJ$71,($R$2-1)*12+11)</f>
        <v>83688.1875655953</v>
      </c>
      <c r="S41" s="35" t="n">
        <f aca="false">INDEX(Monthly!$C$71:$BJ$71,($R$2-1)*12+12)</f>
        <v>86256.7046170131</v>
      </c>
    </row>
    <row r="42" customFormat="false" ht="15" hidden="false" customHeight="false" outlineLevel="0" collapsed="false">
      <c r="A42" s="49" t="s">
        <v>90</v>
      </c>
      <c r="B42" s="35" t="n">
        <f aca="false">'Balance Sheet'!B6</f>
        <v>0</v>
      </c>
      <c r="C42" s="35" t="n">
        <f aca="false">'Balance Sheet'!C6</f>
        <v>0</v>
      </c>
      <c r="D42" s="35" t="n">
        <f aca="false">'Balance Sheet'!D6</f>
        <v>0</v>
      </c>
      <c r="E42" s="35" t="n">
        <f aca="false">'Balance Sheet'!E6</f>
        <v>0</v>
      </c>
      <c r="F42" s="35" t="n">
        <f aca="false">'Balance Sheet'!F6</f>
        <v>0</v>
      </c>
      <c r="H42" s="35" t="n">
        <f aca="false">INDEX(Monthly!$C$57:$BJ$57,($R$2-1)*12+1)</f>
        <v>0</v>
      </c>
      <c r="I42" s="35" t="n">
        <f aca="false">INDEX(Monthly!$C$57:$BJ$57,($R$2-1)*12+2)</f>
        <v>0</v>
      </c>
      <c r="J42" s="35" t="n">
        <f aca="false">INDEX(Monthly!$C$57:$BJ$57,($R$2-1)*12+3)</f>
        <v>0</v>
      </c>
      <c r="K42" s="35" t="n">
        <f aca="false">INDEX(Monthly!$C$57:$BJ$57,($R$2-1)*12+4)</f>
        <v>0</v>
      </c>
      <c r="L42" s="35" t="n">
        <f aca="false">INDEX(Monthly!$C$57:$BJ$57,($R$2-1)*12+5)</f>
        <v>0</v>
      </c>
      <c r="M42" s="35" t="n">
        <f aca="false">INDEX(Monthly!$C$57:$BJ$57,($R$2-1)*12+6)</f>
        <v>0</v>
      </c>
      <c r="N42" s="35" t="n">
        <f aca="false">INDEX(Monthly!$C$57:$BJ$57,($R$2-1)*12+7)</f>
        <v>0</v>
      </c>
      <c r="O42" s="35" t="n">
        <f aca="false">INDEX(Monthly!$C$57:$BJ$57,($R$2-1)*12+8)</f>
        <v>0</v>
      </c>
      <c r="P42" s="35" t="n">
        <f aca="false">INDEX(Monthly!$C$57:$BJ$57,($R$2-1)*12+9)</f>
        <v>0</v>
      </c>
      <c r="Q42" s="35" t="n">
        <f aca="false">INDEX(Monthly!$C$57:$BJ$57,($R$2-1)*12+10)</f>
        <v>0</v>
      </c>
      <c r="R42" s="35" t="n">
        <f aca="false">INDEX(Monthly!$C$57:$BJ$57,($R$2-1)*12+11)</f>
        <v>0</v>
      </c>
      <c r="S42" s="35" t="n">
        <f aca="false">INDEX(Monthly!$C$57:$BJ$57,($R$2-1)*12+12)</f>
        <v>0</v>
      </c>
    </row>
    <row r="43" customFormat="false" ht="15" hidden="false" customHeight="false" outlineLevel="0" collapsed="false">
      <c r="A43" s="49" t="s">
        <v>91</v>
      </c>
      <c r="B43" s="35" t="n">
        <f aca="false">'Balance Sheet'!B7</f>
        <v>0</v>
      </c>
      <c r="C43" s="35" t="n">
        <f aca="false">'Balance Sheet'!C7</f>
        <v>0</v>
      </c>
      <c r="D43" s="35" t="n">
        <f aca="false">'Balance Sheet'!D7</f>
        <v>0</v>
      </c>
      <c r="E43" s="35" t="n">
        <f aca="false">'Balance Sheet'!E7</f>
        <v>0</v>
      </c>
      <c r="F43" s="35" t="n">
        <f aca="false">'Balance Sheet'!F7</f>
        <v>0</v>
      </c>
      <c r="H43" s="35" t="n">
        <f aca="false">INDEX(Monthly!$C$58:$BJ$58,($R$2-1)*12+1)</f>
        <v>0</v>
      </c>
      <c r="I43" s="35" t="n">
        <f aca="false">INDEX(Monthly!$C$58:$BJ$58,($R$2-1)*12+2)</f>
        <v>0</v>
      </c>
      <c r="J43" s="35" t="n">
        <f aca="false">INDEX(Monthly!$C$58:$BJ$58,($R$2-1)*12+3)</f>
        <v>0</v>
      </c>
      <c r="K43" s="35" t="n">
        <f aca="false">INDEX(Monthly!$C$58:$BJ$58,($R$2-1)*12+4)</f>
        <v>0</v>
      </c>
      <c r="L43" s="35" t="n">
        <f aca="false">INDEX(Monthly!$C$58:$BJ$58,($R$2-1)*12+5)</f>
        <v>0</v>
      </c>
      <c r="M43" s="35" t="n">
        <f aca="false">INDEX(Monthly!$C$58:$BJ$58,($R$2-1)*12+6)</f>
        <v>0</v>
      </c>
      <c r="N43" s="35" t="n">
        <f aca="false">INDEX(Monthly!$C$58:$BJ$58,($R$2-1)*12+7)</f>
        <v>0</v>
      </c>
      <c r="O43" s="35" t="n">
        <f aca="false">INDEX(Monthly!$C$58:$BJ$58,($R$2-1)*12+8)</f>
        <v>0</v>
      </c>
      <c r="P43" s="35" t="n">
        <f aca="false">INDEX(Monthly!$C$58:$BJ$58,($R$2-1)*12+9)</f>
        <v>0</v>
      </c>
      <c r="Q43" s="35" t="n">
        <f aca="false">INDEX(Monthly!$C$58:$BJ$58,($R$2-1)*12+10)</f>
        <v>0</v>
      </c>
      <c r="R43" s="35" t="n">
        <f aca="false">INDEX(Monthly!$C$58:$BJ$58,($R$2-1)*12+11)</f>
        <v>0</v>
      </c>
      <c r="S43" s="35" t="n">
        <f aca="false">INDEX(Monthly!$C$58:$BJ$58,($R$2-1)*12+12)</f>
        <v>0</v>
      </c>
    </row>
    <row r="44" customFormat="false" ht="15" hidden="false" customHeight="false" outlineLevel="0" collapsed="false">
      <c r="A44" s="49" t="s">
        <v>92</v>
      </c>
      <c r="B44" s="35" t="n">
        <f aca="false">'Balance Sheet'!B8</f>
        <v>1852059.41358025</v>
      </c>
      <c r="C44" s="35" t="n">
        <f aca="false">'Balance Sheet'!C8</f>
        <v>1798592.09104938</v>
      </c>
      <c r="D44" s="35" t="n">
        <f aca="false">'Balance Sheet'!D8</f>
        <v>1745097.23032408</v>
      </c>
      <c r="E44" s="35" t="n">
        <f aca="false">'Balance Sheet'!E8</f>
        <v>1691574.00525849</v>
      </c>
      <c r="F44" s="35" t="n">
        <f aca="false">'Balance Sheet'!F8</f>
        <v>1638021.56492242</v>
      </c>
      <c r="H44" s="35" t="n">
        <f aca="false">INDEX(Monthly!$C$46:$BJ$46,($R$2-1)*12+1)</f>
        <v>1901051.56893004</v>
      </c>
      <c r="I44" s="35" t="n">
        <f aca="false">INDEX(Monthly!$C$46:$BJ$46,($R$2-1)*12+2)</f>
        <v>1896602.23765432</v>
      </c>
      <c r="J44" s="35" t="n">
        <f aca="false">INDEX(Monthly!$C$46:$BJ$46,($R$2-1)*12+3)</f>
        <v>1892152.00617284</v>
      </c>
      <c r="K44" s="35" t="n">
        <f aca="false">INDEX(Monthly!$C$46:$BJ$46,($R$2-1)*12+4)</f>
        <v>1887700.8744856</v>
      </c>
      <c r="L44" s="35" t="n">
        <f aca="false">INDEX(Monthly!$C$46:$BJ$46,($R$2-1)*12+5)</f>
        <v>1883248.84259259</v>
      </c>
      <c r="M44" s="35" t="n">
        <f aca="false">INDEX(Monthly!$C$46:$BJ$46,($R$2-1)*12+6)</f>
        <v>1878795.91049383</v>
      </c>
      <c r="N44" s="35" t="n">
        <f aca="false">INDEX(Monthly!$C$46:$BJ$46,($R$2-1)*12+7)</f>
        <v>1874342.0781893</v>
      </c>
      <c r="O44" s="35" t="n">
        <f aca="false">INDEX(Monthly!$C$46:$BJ$46,($R$2-1)*12+8)</f>
        <v>1869887.34567901</v>
      </c>
      <c r="P44" s="35" t="n">
        <f aca="false">INDEX(Monthly!$C$46:$BJ$46,($R$2-1)*12+9)</f>
        <v>1865431.71296296</v>
      </c>
      <c r="Q44" s="35" t="n">
        <f aca="false">INDEX(Monthly!$C$46:$BJ$46,($R$2-1)*12+10)</f>
        <v>1860975.18004115</v>
      </c>
      <c r="R44" s="35" t="n">
        <f aca="false">INDEX(Monthly!$C$46:$BJ$46,($R$2-1)*12+11)</f>
        <v>1856517.74691358</v>
      </c>
      <c r="S44" s="35" t="n">
        <f aca="false">INDEX(Monthly!$C$46:$BJ$46,($R$2-1)*12+12)</f>
        <v>1852059.41358025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1938316.11819726</v>
      </c>
      <c r="C45" s="37" t="n">
        <f aca="false">'Balance Sheet'!C9</f>
        <v>1919354.23528341</v>
      </c>
      <c r="D45" s="37" t="n">
        <f aca="false">'Balance Sheet'!D9</f>
        <v>1904130.51122512</v>
      </c>
      <c r="E45" s="37" t="n">
        <f aca="false">'Balance Sheet'!E9</f>
        <v>1892757.09078804</v>
      </c>
      <c r="F45" s="37" t="n">
        <f aca="false">'Balance Sheet'!F9</f>
        <v>1885146.63026302</v>
      </c>
      <c r="H45" s="37" t="n">
        <f aca="false">INDEX(Monthly!$C$85:$BJ$85,($R$2-1)*12+1)</f>
        <v>1959054.58598146</v>
      </c>
      <c r="I45" s="37" t="n">
        <f aca="false">INDEX(Monthly!$C$85:$BJ$85,($R$2-1)*12+2)</f>
        <v>1957173.77175716</v>
      </c>
      <c r="J45" s="37" t="n">
        <f aca="false">INDEX(Monthly!$C$85:$BJ$85,($R$2-1)*12+3)</f>
        <v>1955292.05732709</v>
      </c>
      <c r="K45" s="37" t="n">
        <f aca="false">INDEX(Monthly!$C$85:$BJ$85,($R$2-1)*12+4)</f>
        <v>1953409.44269127</v>
      </c>
      <c r="L45" s="37" t="n">
        <f aca="false">INDEX(Monthly!$C$85:$BJ$85,($R$2-1)*12+5)</f>
        <v>1951525.92784968</v>
      </c>
      <c r="M45" s="37" t="n">
        <f aca="false">INDEX(Monthly!$C$85:$BJ$85,($R$2-1)*12+6)</f>
        <v>1949641.51280233</v>
      </c>
      <c r="N45" s="37" t="n">
        <f aca="false">INDEX(Monthly!$C$85:$BJ$85,($R$2-1)*12+7)</f>
        <v>1947756.19754923</v>
      </c>
      <c r="O45" s="37" t="n">
        <f aca="false">INDEX(Monthly!$C$85:$BJ$85,($R$2-1)*12+8)</f>
        <v>1945869.98209036</v>
      </c>
      <c r="P45" s="37" t="n">
        <f aca="false">INDEX(Monthly!$C$85:$BJ$85,($R$2-1)*12+9)</f>
        <v>1943982.86642572</v>
      </c>
      <c r="Q45" s="37" t="n">
        <f aca="false">INDEX(Monthly!$C$85:$BJ$85,($R$2-1)*12+10)</f>
        <v>1942094.85055533</v>
      </c>
      <c r="R45" s="37" t="n">
        <f aca="false">INDEX(Monthly!$C$85:$BJ$85,($R$2-1)*12+11)</f>
        <v>1940205.93447918</v>
      </c>
      <c r="S45" s="37" t="n">
        <f aca="false">INDEX(Monthly!$C$85:$BJ$85,($R$2-1)*12+12)</f>
        <v>1938316.11819726</v>
      </c>
    </row>
    <row r="46" customFormat="false" ht="15" hidden="false" customHeight="false" outlineLevel="0" collapsed="false">
      <c r="A46" s="49" t="s">
        <v>94</v>
      </c>
      <c r="B46" s="35" t="n">
        <f aca="false">'Balance Sheet'!B10</f>
        <v>934.5</v>
      </c>
      <c r="C46" s="35" t="n">
        <f aca="false">'Balance Sheet'!C10</f>
        <v>962.535</v>
      </c>
      <c r="D46" s="35" t="n">
        <f aca="false">'Balance Sheet'!D10</f>
        <v>991.41105</v>
      </c>
      <c r="E46" s="35" t="n">
        <f aca="false">'Balance Sheet'!E10</f>
        <v>1021.1533815</v>
      </c>
      <c r="F46" s="35" t="n">
        <f aca="false">'Balance Sheet'!F10</f>
        <v>1051.787982945</v>
      </c>
      <c r="H46" s="35" t="n">
        <f aca="false">INDEX(Monthly!$C$59:$BJ$59,($R$2-1)*12+1)</f>
        <v>934.5</v>
      </c>
      <c r="I46" s="35" t="n">
        <f aca="false">INDEX(Monthly!$C$59:$BJ$59,($R$2-1)*12+2)</f>
        <v>934.5</v>
      </c>
      <c r="J46" s="35" t="n">
        <f aca="false">INDEX(Monthly!$C$59:$BJ$59,($R$2-1)*12+3)</f>
        <v>934.5</v>
      </c>
      <c r="K46" s="35" t="n">
        <f aca="false">INDEX(Monthly!$C$59:$BJ$59,($R$2-1)*12+4)</f>
        <v>934.5</v>
      </c>
      <c r="L46" s="35" t="n">
        <f aca="false">INDEX(Monthly!$C$59:$BJ$59,($R$2-1)*12+5)</f>
        <v>934.5</v>
      </c>
      <c r="M46" s="35" t="n">
        <f aca="false">INDEX(Monthly!$C$59:$BJ$59,($R$2-1)*12+6)</f>
        <v>934.5</v>
      </c>
      <c r="N46" s="35" t="n">
        <f aca="false">INDEX(Monthly!$C$59:$BJ$59,($R$2-1)*12+7)</f>
        <v>934.5</v>
      </c>
      <c r="O46" s="35" t="n">
        <f aca="false">INDEX(Monthly!$C$59:$BJ$59,($R$2-1)*12+8)</f>
        <v>934.5</v>
      </c>
      <c r="P46" s="35" t="n">
        <f aca="false">INDEX(Monthly!$C$59:$BJ$59,($R$2-1)*12+9)</f>
        <v>934.5</v>
      </c>
      <c r="Q46" s="35" t="n">
        <f aca="false">INDEX(Monthly!$C$59:$BJ$59,($R$2-1)*12+10)</f>
        <v>934.5</v>
      </c>
      <c r="R46" s="35" t="n">
        <f aca="false">INDEX(Monthly!$C$59:$BJ$59,($R$2-1)*12+11)</f>
        <v>934.5</v>
      </c>
      <c r="S46" s="35" t="n">
        <f aca="false">INDEX(Monthly!$C$59:$BJ$59,($R$2-1)*12+12)</f>
        <v>934.5</v>
      </c>
    </row>
    <row r="47" customFormat="false" ht="15" hidden="false" customHeight="false" outlineLevel="0" collapsed="false">
      <c r="A47" s="49" t="s">
        <v>95</v>
      </c>
      <c r="B47" s="35" t="n">
        <f aca="false">'Balance Sheet'!B11</f>
        <v>1186587.29437248</v>
      </c>
      <c r="C47" s="35" t="n">
        <f aca="false">'Balance Sheet'!C11</f>
        <v>1172276.31500872</v>
      </c>
      <c r="D47" s="35" t="n">
        <f aca="false">'Balance Sheet'!D11</f>
        <v>1157006.902853</v>
      </c>
      <c r="E47" s="35" t="n">
        <f aca="false">'Balance Sheet'!E11</f>
        <v>1140714.86988622</v>
      </c>
      <c r="F47" s="35" t="n">
        <f aca="false">'Balance Sheet'!F11</f>
        <v>1123331.72929877</v>
      </c>
      <c r="H47" s="35" t="n">
        <f aca="false">INDEX(Monthly!$C$54:$BJ$54,($R$2-1)*12+1)</f>
        <v>1198915.18371808</v>
      </c>
      <c r="I47" s="35" t="n">
        <f aca="false">INDEX(Monthly!$C$54:$BJ$54,($R$2-1)*12+2)</f>
        <v>1197824.49134798</v>
      </c>
      <c r="J47" s="35" t="n">
        <f aca="false">INDEX(Monthly!$C$54:$BJ$54,($R$2-1)*12+3)</f>
        <v>1196727.89106086</v>
      </c>
      <c r="K47" s="35" t="n">
        <f aca="false">INDEX(Monthly!$C$54:$BJ$54,($R$2-1)*12+4)</f>
        <v>1195625.35085553</v>
      </c>
      <c r="L47" s="35" t="n">
        <f aca="false">INDEX(Monthly!$C$54:$BJ$54,($R$2-1)*12+5)</f>
        <v>1194516.83855741</v>
      </c>
      <c r="M47" s="35" t="n">
        <f aca="false">INDEX(Monthly!$C$54:$BJ$54,($R$2-1)*12+6)</f>
        <v>1193402.32181768</v>
      </c>
      <c r="N47" s="35" t="n">
        <f aca="false">INDEX(Monthly!$C$54:$BJ$54,($R$2-1)*12+7)</f>
        <v>1192281.76811228</v>
      </c>
      <c r="O47" s="35" t="n">
        <f aca="false">INDEX(Monthly!$C$54:$BJ$54,($R$2-1)*12+8)</f>
        <v>1191155.14474097</v>
      </c>
      <c r="P47" s="35" t="n">
        <f aca="false">INDEX(Monthly!$C$54:$BJ$54,($R$2-1)*12+9)</f>
        <v>1190022.4188264</v>
      </c>
      <c r="Q47" s="35" t="n">
        <f aca="false">INDEX(Monthly!$C$54:$BJ$54,($R$2-1)*12+10)</f>
        <v>1188883.55731313</v>
      </c>
      <c r="R47" s="35" t="n">
        <f aca="false">INDEX(Monthly!$C$54:$BJ$54,($R$2-1)*12+11)</f>
        <v>1187738.52696666</v>
      </c>
      <c r="S47" s="35" t="n">
        <f aca="false">INDEX(Monthly!$C$54:$BJ$54,($R$2-1)*12+12)</f>
        <v>1186587.29437248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1187521.79437248</v>
      </c>
      <c r="C48" s="37" t="n">
        <f aca="false">'Balance Sheet'!C12</f>
        <v>1173238.85000872</v>
      </c>
      <c r="D48" s="37" t="n">
        <f aca="false">'Balance Sheet'!D12</f>
        <v>1157998.313903</v>
      </c>
      <c r="E48" s="37" t="n">
        <f aca="false">'Balance Sheet'!E12</f>
        <v>1141736.02326772</v>
      </c>
      <c r="F48" s="37" t="n">
        <f aca="false">'Balance Sheet'!F12</f>
        <v>1124383.51728171</v>
      </c>
      <c r="H48" s="37" t="n">
        <f aca="false">INDEX(Monthly!$C$86:$BJ$86,($R$2-1)*12+1)</f>
        <v>1199849.68371808</v>
      </c>
      <c r="I48" s="37" t="n">
        <f aca="false">INDEX(Monthly!$C$86:$BJ$86,($R$2-1)*12+2)</f>
        <v>1198758.99134798</v>
      </c>
      <c r="J48" s="37" t="n">
        <f aca="false">INDEX(Monthly!$C$86:$BJ$86,($R$2-1)*12+3)</f>
        <v>1197662.39106086</v>
      </c>
      <c r="K48" s="37" t="n">
        <f aca="false">INDEX(Monthly!$C$86:$BJ$86,($R$2-1)*12+4)</f>
        <v>1196559.85085553</v>
      </c>
      <c r="L48" s="37" t="n">
        <f aca="false">INDEX(Monthly!$C$86:$BJ$86,($R$2-1)*12+5)</f>
        <v>1195451.33855741</v>
      </c>
      <c r="M48" s="37" t="n">
        <f aca="false">INDEX(Monthly!$C$86:$BJ$86,($R$2-1)*12+6)</f>
        <v>1194336.82181768</v>
      </c>
      <c r="N48" s="37" t="n">
        <f aca="false">INDEX(Monthly!$C$86:$BJ$86,($R$2-1)*12+7)</f>
        <v>1193216.26811228</v>
      </c>
      <c r="O48" s="37" t="n">
        <f aca="false">INDEX(Monthly!$C$86:$BJ$86,($R$2-1)*12+8)</f>
        <v>1192089.64474097</v>
      </c>
      <c r="P48" s="37" t="n">
        <f aca="false">INDEX(Monthly!$C$86:$BJ$86,($R$2-1)*12+9)</f>
        <v>1190956.9188264</v>
      </c>
      <c r="Q48" s="37" t="n">
        <f aca="false">INDEX(Monthly!$C$86:$BJ$86,($R$2-1)*12+10)</f>
        <v>1189818.05731313</v>
      </c>
      <c r="R48" s="37" t="n">
        <f aca="false">INDEX(Monthly!$C$86:$BJ$86,($R$2-1)*12+11)</f>
        <v>1188673.02696666</v>
      </c>
      <c r="S48" s="37" t="n">
        <f aca="false">INDEX(Monthly!$C$86:$BJ$86,($R$2-1)*12+12)</f>
        <v>1187521.79437248</v>
      </c>
    </row>
    <row r="49" customFormat="false" ht="15" hidden="false" customHeight="false" outlineLevel="0" collapsed="false">
      <c r="A49" s="49" t="s">
        <v>97</v>
      </c>
      <c r="B49" s="35" t="n">
        <f aca="false">'Balance Sheet'!B13</f>
        <v>760000</v>
      </c>
      <c r="C49" s="35" t="n">
        <f aca="false">'Balance Sheet'!C13</f>
        <v>760000</v>
      </c>
      <c r="D49" s="35" t="n">
        <f aca="false">'Balance Sheet'!D13</f>
        <v>760000</v>
      </c>
      <c r="E49" s="35" t="n">
        <f aca="false">'Balance Sheet'!E13</f>
        <v>760000</v>
      </c>
      <c r="F49" s="35" t="n">
        <f aca="false">'Balance Sheet'!F13</f>
        <v>760000</v>
      </c>
      <c r="H49" s="35" t="n">
        <f aca="false">INDEX(Monthly!$C$83:$BJ$83,($R$2-1)*12+1)</f>
        <v>760000</v>
      </c>
      <c r="I49" s="35" t="n">
        <f aca="false">INDEX(Monthly!$C$83:$BJ$83,($R$2-1)*12+2)</f>
        <v>760000</v>
      </c>
      <c r="J49" s="35" t="n">
        <f aca="false">INDEX(Monthly!$C$83:$BJ$83,($R$2-1)*12+3)</f>
        <v>760000</v>
      </c>
      <c r="K49" s="35" t="n">
        <f aca="false">INDEX(Monthly!$C$83:$BJ$83,($R$2-1)*12+4)</f>
        <v>760000</v>
      </c>
      <c r="L49" s="35" t="n">
        <f aca="false">INDEX(Monthly!$C$83:$BJ$83,($R$2-1)*12+5)</f>
        <v>760000</v>
      </c>
      <c r="M49" s="35" t="n">
        <f aca="false">INDEX(Monthly!$C$83:$BJ$83,($R$2-1)*12+6)</f>
        <v>760000</v>
      </c>
      <c r="N49" s="35" t="n">
        <f aca="false">INDEX(Monthly!$C$83:$BJ$83,($R$2-1)*12+7)</f>
        <v>760000</v>
      </c>
      <c r="O49" s="35" t="n">
        <f aca="false">INDEX(Monthly!$C$83:$BJ$83,($R$2-1)*12+8)</f>
        <v>760000</v>
      </c>
      <c r="P49" s="35" t="n">
        <f aca="false">INDEX(Monthly!$C$83:$BJ$83,($R$2-1)*12+9)</f>
        <v>760000</v>
      </c>
      <c r="Q49" s="35" t="n">
        <f aca="false">INDEX(Monthly!$C$83:$BJ$83,($R$2-1)*12+10)</f>
        <v>760000</v>
      </c>
      <c r="R49" s="35" t="n">
        <f aca="false">INDEX(Monthly!$C$83:$BJ$83,($R$2-1)*12+11)</f>
        <v>760000</v>
      </c>
      <c r="S49" s="35" t="n">
        <f aca="false">INDEX(Monthly!$C$83:$BJ$83,($R$2-1)*12+12)</f>
        <v>760000</v>
      </c>
    </row>
    <row r="50" customFormat="false" ht="15" hidden="false" customHeight="false" outlineLevel="0" collapsed="false">
      <c r="A50" s="49" t="s">
        <v>98</v>
      </c>
      <c r="B50" s="35" t="n">
        <f aca="false">'Balance Sheet'!B14</f>
        <v>-9205.67617522005</v>
      </c>
      <c r="C50" s="35" t="n">
        <f aca="false">'Balance Sheet'!C14</f>
        <v>-13884.6147253113</v>
      </c>
      <c r="D50" s="35" t="n">
        <f aca="false">'Balance Sheet'!D14</f>
        <v>-13867.8026778858</v>
      </c>
      <c r="E50" s="35" t="n">
        <f aca="false">'Balance Sheet'!E14</f>
        <v>-8978.93247967945</v>
      </c>
      <c r="F50" s="35" t="n">
        <f aca="false">'Balance Sheet'!F14</f>
        <v>763.112981298949</v>
      </c>
      <c r="H50" s="35" t="n">
        <f aca="false">INDEX(Monthly!$C$84:$BJ$84,($R$2-1)*12+1)</f>
        <v>-795.097736625515</v>
      </c>
      <c r="I50" s="35" t="n">
        <f aca="false">INDEX(Monthly!$C$84:$BJ$84,($R$2-1)*12+2)</f>
        <v>-1585.21959081864</v>
      </c>
      <c r="J50" s="35" t="n">
        <f aca="false">INDEX(Monthly!$C$84:$BJ$84,($R$2-1)*12+3)</f>
        <v>-2370.33373376832</v>
      </c>
      <c r="K50" s="35" t="n">
        <f aca="false">INDEX(Monthly!$C$84:$BJ$84,($R$2-1)*12+4)</f>
        <v>-3150.40816425745</v>
      </c>
      <c r="L50" s="35" t="n">
        <f aca="false">INDEX(Monthly!$C$84:$BJ$84,($R$2-1)*12+5)</f>
        <v>-3925.41070772899</v>
      </c>
      <c r="M50" s="35" t="n">
        <f aca="false">INDEX(Monthly!$C$84:$BJ$84,($R$2-1)*12+6)</f>
        <v>-4695.30901534706</v>
      </c>
      <c r="N50" s="35" t="n">
        <f aca="false">INDEX(Monthly!$C$84:$BJ$84,($R$2-1)*12+7)</f>
        <v>-5460.07056305292</v>
      </c>
      <c r="O50" s="35" t="n">
        <f aca="false">INDEX(Monthly!$C$84:$BJ$84,($R$2-1)*12+8)</f>
        <v>-6219.66265061582</v>
      </c>
      <c r="P50" s="35" t="n">
        <f aca="false">INDEX(Monthly!$C$84:$BJ$84,($R$2-1)*12+9)</f>
        <v>-6974.0524006788</v>
      </c>
      <c r="Q50" s="35" t="n">
        <f aca="false">INDEX(Monthly!$C$84:$BJ$84,($R$2-1)*12+10)</f>
        <v>-7723.20675779918</v>
      </c>
      <c r="R50" s="35" t="n">
        <f aca="false">INDEX(Monthly!$C$84:$BJ$84,($R$2-1)*12+11)</f>
        <v>-8467.09248748398</v>
      </c>
      <c r="S50" s="35" t="n">
        <f aca="false">INDEX(Monthly!$C$84:$BJ$84,($R$2-1)*12+12)</f>
        <v>-9205.67617522005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750794.32382478</v>
      </c>
      <c r="C51" s="37" t="n">
        <f aca="false">'Balance Sheet'!C15</f>
        <v>746115.385274689</v>
      </c>
      <c r="D51" s="37" t="n">
        <f aca="false">'Balance Sheet'!D15</f>
        <v>746132.197322114</v>
      </c>
      <c r="E51" s="37" t="n">
        <f aca="false">'Balance Sheet'!E15</f>
        <v>751021.067520321</v>
      </c>
      <c r="F51" s="37" t="n">
        <f aca="false">'Balance Sheet'!F15</f>
        <v>760763.112981299</v>
      </c>
      <c r="H51" s="37" t="n">
        <f aca="false">INDEX(Monthly!$C$87:$BJ$87,($R$2-1)*12+1)</f>
        <v>759204.902263375</v>
      </c>
      <c r="I51" s="37" t="n">
        <f aca="false">INDEX(Monthly!$C$87:$BJ$87,($R$2-1)*12+2)</f>
        <v>758414.780409181</v>
      </c>
      <c r="J51" s="37" t="n">
        <f aca="false">INDEX(Monthly!$C$87:$BJ$87,($R$2-1)*12+3)</f>
        <v>757629.666266232</v>
      </c>
      <c r="K51" s="37" t="n">
        <f aca="false">INDEX(Monthly!$C$87:$BJ$87,($R$2-1)*12+4)</f>
        <v>756849.591835743</v>
      </c>
      <c r="L51" s="37" t="n">
        <f aca="false">INDEX(Monthly!$C$87:$BJ$87,($R$2-1)*12+5)</f>
        <v>756074.589292271</v>
      </c>
      <c r="M51" s="37" t="n">
        <f aca="false">INDEX(Monthly!$C$87:$BJ$87,($R$2-1)*12+6)</f>
        <v>755304.690984653</v>
      </c>
      <c r="N51" s="37" t="n">
        <f aca="false">INDEX(Monthly!$C$87:$BJ$87,($R$2-1)*12+7)</f>
        <v>754539.929436947</v>
      </c>
      <c r="O51" s="37" t="n">
        <f aca="false">INDEX(Monthly!$C$87:$BJ$87,($R$2-1)*12+8)</f>
        <v>753780.337349384</v>
      </c>
      <c r="P51" s="37" t="n">
        <f aca="false">INDEX(Monthly!$C$87:$BJ$87,($R$2-1)*12+9)</f>
        <v>753025.947599321</v>
      </c>
      <c r="Q51" s="37" t="n">
        <f aca="false">INDEX(Monthly!$C$87:$BJ$87,($R$2-1)*12+10)</f>
        <v>752276.793242201</v>
      </c>
      <c r="R51" s="37" t="n">
        <f aca="false">INDEX(Monthly!$C$87:$BJ$87,($R$2-1)*12+11)</f>
        <v>751532.907512516</v>
      </c>
      <c r="S51" s="37" t="n">
        <f aca="false">INDEX(Monthly!$C$87:$BJ$87,($R$2-1)*12+12)</f>
        <v>750794.32382478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1938316.11819726</v>
      </c>
      <c r="C52" s="41" t="n">
        <f aca="false">'Balance Sheet'!C16</f>
        <v>1919354.23528341</v>
      </c>
      <c r="D52" s="41" t="n">
        <f aca="false">'Balance Sheet'!D16</f>
        <v>1904130.51122511</v>
      </c>
      <c r="E52" s="41" t="n">
        <f aca="false">'Balance Sheet'!E16</f>
        <v>1892757.09078804</v>
      </c>
      <c r="F52" s="41" t="n">
        <f aca="false">'Balance Sheet'!F16</f>
        <v>1885146.63026301</v>
      </c>
      <c r="H52" s="41" t="n">
        <f aca="false">INDEX(Monthly!$C$88:$BJ$88,($R$2-1)*12+1)</f>
        <v>1959054.58598146</v>
      </c>
      <c r="I52" s="41" t="n">
        <f aca="false">INDEX(Monthly!$C$88:$BJ$88,($R$2-1)*12+2)</f>
        <v>1957173.77175716</v>
      </c>
      <c r="J52" s="41" t="n">
        <f aca="false">INDEX(Monthly!$C$88:$BJ$88,($R$2-1)*12+3)</f>
        <v>1955292.05732709</v>
      </c>
      <c r="K52" s="41" t="n">
        <f aca="false">INDEX(Monthly!$C$88:$BJ$88,($R$2-1)*12+4)</f>
        <v>1953409.44269127</v>
      </c>
      <c r="L52" s="41" t="n">
        <f aca="false">INDEX(Monthly!$C$88:$BJ$88,($R$2-1)*12+5)</f>
        <v>1951525.92784968</v>
      </c>
      <c r="M52" s="41" t="n">
        <f aca="false">INDEX(Monthly!$C$88:$BJ$88,($R$2-1)*12+6)</f>
        <v>1949641.51280233</v>
      </c>
      <c r="N52" s="41" t="n">
        <f aca="false">INDEX(Monthly!$C$88:$BJ$88,($R$2-1)*12+7)</f>
        <v>1947756.19754922</v>
      </c>
      <c r="O52" s="41" t="n">
        <f aca="false">INDEX(Monthly!$C$88:$BJ$88,($R$2-1)*12+8)</f>
        <v>1945869.98209035</v>
      </c>
      <c r="P52" s="41" t="n">
        <f aca="false">INDEX(Monthly!$C$88:$BJ$88,($R$2-1)*12+9)</f>
        <v>1943982.86642572</v>
      </c>
      <c r="Q52" s="41" t="n">
        <f aca="false">INDEX(Monthly!$C$88:$BJ$88,($R$2-1)*12+10)</f>
        <v>1942094.85055533</v>
      </c>
      <c r="R52" s="41" t="n">
        <f aca="false">INDEX(Monthly!$C$88:$BJ$88,($R$2-1)*12+11)</f>
        <v>1940205.93447918</v>
      </c>
      <c r="S52" s="41" t="n">
        <f aca="false">INDEX(Monthly!$C$88:$BJ$88,($R$2-1)*12+12)</f>
        <v>1938316.11819726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0" t="s">
        <v>105</v>
      </c>
      <c r="C6" s="50" t="s">
        <v>106</v>
      </c>
      <c r="D6" s="50" t="s">
        <v>107</v>
      </c>
      <c r="E6" s="50" t="s">
        <v>108</v>
      </c>
    </row>
    <row r="7" customFormat="false" ht="15" hidden="false" customHeight="false" outlineLevel="0" collapsed="false">
      <c r="A7" s="6" t="s">
        <v>109</v>
      </c>
      <c r="B7" s="51" t="n">
        <f aca="false">Inputs!$B$7</f>
        <v>1850000</v>
      </c>
      <c r="C7" s="51" t="n">
        <f aca="false">Inputs!$C$7</f>
        <v>1850000</v>
      </c>
      <c r="D7" s="51" t="n">
        <f aca="false">Inputs!$D$7</f>
        <v>1850000</v>
      </c>
      <c r="E7" s="52" t="n">
        <f aca="false">Inputs!$E$7</f>
        <v>1850000</v>
      </c>
    </row>
    <row r="8" customFormat="false" ht="15" hidden="false" customHeight="false" outlineLevel="0" collapsed="false">
      <c r="A8" s="6" t="s">
        <v>110</v>
      </c>
      <c r="B8" s="53" t="n">
        <f aca="false">Inputs!$B$10</f>
        <v>10</v>
      </c>
      <c r="C8" s="53" t="n">
        <f aca="false">Inputs!$C$10</f>
        <v>10</v>
      </c>
      <c r="D8" s="53" t="n">
        <f aca="false">Inputs!$D$10</f>
        <v>10</v>
      </c>
      <c r="E8" s="54" t="n">
        <f aca="false">Inputs!$E$10</f>
        <v>10</v>
      </c>
    </row>
    <row r="9" customFormat="false" ht="15" hidden="false" customHeight="false" outlineLevel="0" collapsed="false">
      <c r="A9" s="6" t="s">
        <v>111</v>
      </c>
      <c r="B9" s="55" t="n">
        <f aca="false">Inputs!$B$13</f>
        <v>1600</v>
      </c>
      <c r="C9" s="55" t="n">
        <f aca="false">Inputs!$C$13</f>
        <v>1700</v>
      </c>
      <c r="D9" s="55" t="n">
        <f aca="false">Inputs!$D$13</f>
        <v>1800</v>
      </c>
      <c r="E9" s="56" t="n">
        <f aca="false">Inputs!$E$13</f>
        <v>1700</v>
      </c>
    </row>
    <row r="10" customFormat="false" ht="15" hidden="false" customHeight="false" outlineLevel="0" collapsed="false">
      <c r="A10" s="6" t="s">
        <v>112</v>
      </c>
      <c r="B10" s="57" t="n">
        <f aca="false">Inputs!$B$15</f>
        <v>0.08</v>
      </c>
      <c r="C10" s="57" t="n">
        <f aca="false">Inputs!$C$15</f>
        <v>0.05</v>
      </c>
      <c r="D10" s="57" t="n">
        <f aca="false">Inputs!$D$15</f>
        <v>0.04</v>
      </c>
      <c r="E10" s="58" t="n">
        <f aca="false">Inputs!$E$15</f>
        <v>0.05</v>
      </c>
    </row>
    <row r="11" customFormat="false" ht="15" hidden="false" customHeight="false" outlineLevel="0" collapsed="false">
      <c r="A11" s="6" t="s">
        <v>113</v>
      </c>
      <c r="B11" s="51" t="n">
        <f aca="false">Inputs!$B$35</f>
        <v>1200000</v>
      </c>
      <c r="C11" s="51" t="n">
        <f aca="false">Inputs!$C$35</f>
        <v>1200000</v>
      </c>
      <c r="D11" s="51" t="n">
        <f aca="false">Inputs!$D$35</f>
        <v>1200000</v>
      </c>
      <c r="E11" s="52" t="n">
        <f aca="false">Inputs!$E$35</f>
        <v>1200000</v>
      </c>
    </row>
    <row r="12" customFormat="false" ht="15" hidden="false" customHeight="false" outlineLevel="0" collapsed="false">
      <c r="A12" s="6" t="s">
        <v>114</v>
      </c>
      <c r="B12" s="57" t="n">
        <f aca="false">Inputs!$B$36</f>
        <v>0.065</v>
      </c>
      <c r="C12" s="57" t="n">
        <f aca="false">Inputs!$C$36</f>
        <v>0.065</v>
      </c>
      <c r="D12" s="57" t="n">
        <f aca="false">Inputs!$D$36</f>
        <v>0.065</v>
      </c>
      <c r="E12" s="58" t="n">
        <f aca="false">Inputs!$E$36</f>
        <v>0.065</v>
      </c>
    </row>
    <row r="13" customFormat="false" ht="15" hidden="false" customHeight="false" outlineLevel="0" collapsed="false">
      <c r="A13" s="6" t="s">
        <v>115</v>
      </c>
      <c r="B13" s="51" t="n">
        <f aca="false">Inputs!$B$34</f>
        <v>760000</v>
      </c>
      <c r="C13" s="51" t="n">
        <f aca="false">Inputs!$C$34</f>
        <v>760000</v>
      </c>
      <c r="D13" s="51" t="n">
        <f aca="false">Inputs!$D$34</f>
        <v>760000</v>
      </c>
      <c r="E13" s="52" t="n">
        <f aca="false">Inputs!$E$34</f>
        <v>760000</v>
      </c>
    </row>
    <row r="14" customFormat="false" ht="15" hidden="false" customHeight="false" outlineLevel="0" collapsed="false">
      <c r="A14" s="6" t="s">
        <v>116</v>
      </c>
      <c r="B14" s="57" t="n">
        <f aca="false">Inputs!$B$29</f>
        <v>0.0725</v>
      </c>
      <c r="C14" s="57" t="n">
        <f aca="false">Inputs!$C$29</f>
        <v>0.0675</v>
      </c>
      <c r="D14" s="57" t="n">
        <f aca="false">Inputs!$D$29</f>
        <v>0.0625</v>
      </c>
      <c r="E14" s="58" t="n">
        <f aca="false">Inputs!$E$29</f>
        <v>0.0675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  <c r="F16" s="7"/>
    </row>
    <row r="17" customFormat="false" ht="15" hidden="false" customHeight="false" outlineLevel="0" collapsed="false">
      <c r="A17" s="33" t="s">
        <v>118</v>
      </c>
      <c r="B17" s="50" t="s">
        <v>105</v>
      </c>
      <c r="C17" s="50" t="s">
        <v>106</v>
      </c>
      <c r="D17" s="50" t="s">
        <v>107</v>
      </c>
      <c r="E17" s="50" t="s">
        <v>108</v>
      </c>
    </row>
    <row r="18" customFormat="false" ht="15" hidden="false" customHeight="false" outlineLevel="0" collapsed="false">
      <c r="A18" s="6" t="s">
        <v>119</v>
      </c>
      <c r="B18" s="59" t="n">
        <f aca="false">F31</f>
        <v>193590.82695168</v>
      </c>
      <c r="C18" s="59" t="n">
        <f aca="false">F32</f>
        <v>221331.3074865</v>
      </c>
      <c r="D18" s="59" t="n">
        <f aca="false">F33</f>
        <v>246624.90218496</v>
      </c>
      <c r="E18" s="60" t="n">
        <f aca="false">'P&amp;L'!F5</f>
        <v>221331.3074865</v>
      </c>
    </row>
    <row r="19" customFormat="false" ht="15" hidden="false" customHeight="false" outlineLevel="0" collapsed="false">
      <c r="A19" s="6" t="s">
        <v>120</v>
      </c>
      <c r="B19" s="59" t="n">
        <f aca="false">SUM(B31:F31)</f>
        <v>930732.17453568</v>
      </c>
      <c r="C19" s="59" t="n">
        <f aca="false">SUM(B32:F32)</f>
        <v>1044041.5570365</v>
      </c>
      <c r="D19" s="59" t="n">
        <f aca="false">SUM(B33:F33)</f>
        <v>1141847.45680896</v>
      </c>
      <c r="E19" s="60" t="n">
        <f aca="false">SUM('P&amp;L'!$B$5:$F$5)</f>
        <v>1044041.5570365</v>
      </c>
    </row>
    <row r="20" customFormat="false" ht="15" hidden="false" customHeight="false" outlineLevel="0" collapsed="false">
      <c r="A20" s="6" t="s">
        <v>121</v>
      </c>
      <c r="B20" s="59" t="n">
        <f aca="false">F37</f>
        <v>113304.219911578</v>
      </c>
      <c r="C20" s="59" t="n">
        <f aca="false">F38</f>
        <v>141071.2742454</v>
      </c>
      <c r="D20" s="59" t="n">
        <f aca="false">F39</f>
        <v>166253.239917115</v>
      </c>
      <c r="E20" s="60" t="n">
        <f aca="false">'P&amp;L'!F14</f>
        <v>141071.2742454</v>
      </c>
    </row>
    <row r="21" customFormat="false" ht="15" hidden="false" customHeight="false" outlineLevel="0" collapsed="false">
      <c r="A21" s="6" t="s">
        <v>122</v>
      </c>
      <c r="B21" s="61" t="n">
        <f aca="false">IF(B18=0,0,B20/B18)</f>
        <v>0.585276801053483</v>
      </c>
      <c r="C21" s="61" t="n">
        <f aca="false">IF(C18=0,0,C20/C18)</f>
        <v>0.637376048817696</v>
      </c>
      <c r="D21" s="61" t="n">
        <f aca="false">IF(D18=0,0,D20/D18)</f>
        <v>0.674113759171125</v>
      </c>
      <c r="E21" s="62" t="n">
        <f aca="false">IF(E18=0,0,E20/E18)</f>
        <v>0.637376048817696</v>
      </c>
    </row>
    <row r="22" customFormat="false" ht="15" hidden="false" customHeight="false" outlineLevel="0" collapsed="false">
      <c r="A22" s="6" t="s">
        <v>123</v>
      </c>
      <c r="B22" s="59" t="n">
        <f aca="false">F43</f>
        <v>-17833.4156563034</v>
      </c>
      <c r="C22" s="59" t="n">
        <f aca="false">F44</f>
        <v>9742.0454609784</v>
      </c>
      <c r="D22" s="59" t="n">
        <f aca="false">F45</f>
        <v>27754.6120435344</v>
      </c>
      <c r="E22" s="60" t="n">
        <f aca="false">'P&amp;L'!F21</f>
        <v>9742.0454609784</v>
      </c>
    </row>
    <row r="23" customFormat="false" ht="15" hidden="false" customHeight="false" outlineLevel="0" collapsed="false">
      <c r="A23" s="6" t="s">
        <v>124</v>
      </c>
      <c r="B23" s="59" t="n">
        <f aca="false">SUM(B43:F43)</f>
        <v>-110622.756028924</v>
      </c>
      <c r="C23" s="59" t="n">
        <f aca="false">SUM(B44:F44)</f>
        <v>763.112981298949</v>
      </c>
      <c r="D23" s="59" t="n">
        <f aca="false">SUM(B45:F45)</f>
        <v>78096.9053305</v>
      </c>
      <c r="E23" s="60" t="n">
        <f aca="false">SUM('P&amp;L'!$B$21:$F$21)</f>
        <v>763.112981298949</v>
      </c>
    </row>
    <row r="24" customFormat="false" ht="15" hidden="false" customHeight="false" outlineLevel="0" collapsed="false">
      <c r="A24" s="6" t="s">
        <v>125</v>
      </c>
      <c r="B24" s="59" t="n">
        <f aca="false">F49</f>
        <v>135417.307816356</v>
      </c>
      <c r="C24" s="59" t="n">
        <f aca="false">F50</f>
        <v>247125.065340597</v>
      </c>
      <c r="D24" s="59" t="n">
        <f aca="false">F51</f>
        <v>324583.620819518</v>
      </c>
      <c r="E24" s="60" t="n">
        <f aca="false">'Balance Sheet'!F5</f>
        <v>247125.065340597</v>
      </c>
    </row>
    <row r="25" customFormat="false" ht="15" hidden="false" customHeight="false" outlineLevel="0" collapsed="false">
      <c r="A25" s="6" t="s">
        <v>126</v>
      </c>
      <c r="B25" s="59" t="n">
        <f aca="false">MIN('Scenario calc'!$C$73:$BJ$73)</f>
        <v>56607.4970514176</v>
      </c>
      <c r="C25" s="59" t="n">
        <f aca="false">MIN('Scenario calc'!$C$165:$BJ$165)</f>
        <v>58003.0170514176</v>
      </c>
      <c r="D25" s="59" t="n">
        <f aca="false">MIN('Scenario calc'!$C$257:$BJ$257)</f>
        <v>59058.4249761091</v>
      </c>
      <c r="E25" s="60" t="n">
        <f aca="false">'Break-even'!B18</f>
        <v>58003.0170514176</v>
      </c>
    </row>
    <row r="26" customFormat="false" ht="15" hidden="false" customHeight="false" outlineLevel="0" collapsed="false">
      <c r="A26" s="6" t="s">
        <v>127</v>
      </c>
      <c r="B26" s="63" t="n">
        <f aca="false">MATCH(MIN('Scenario calc'!$C$73:$BJ$73),'Scenario calc'!$C$73:$BJ$73,0)</f>
        <v>1</v>
      </c>
      <c r="C26" s="63" t="n">
        <f aca="false">MATCH(MIN('Scenario calc'!$C$165:$BJ$165),'Scenario calc'!$C$165:$BJ$165,0)</f>
        <v>1</v>
      </c>
      <c r="D26" s="63" t="n">
        <f aca="false">MATCH(MIN('Scenario calc'!$C$257:$BJ$257),'Scenario calc'!$C$257:$BJ$257,0)</f>
        <v>1</v>
      </c>
      <c r="E26" s="64" t="n">
        <f aca="false">'Break-even'!B6</f>
        <v>1</v>
      </c>
    </row>
    <row r="27" customFormat="false" ht="15" hidden="false" customHeight="false" outlineLevel="0" collapsed="false">
      <c r="A27" s="4" t="s">
        <v>66</v>
      </c>
      <c r="B27" s="59" t="n">
        <f aca="false">SUMPRODUCT(--('Scenario calc'!$C$6:$BJ$6&lt;=B26),'Scenario calc'!$C$43:$BJ$43)-SUMPRODUCT(--('Scenario calc'!$C$6:$BJ$6&lt;=B26),'Scenario calc'!$C$67:$BJ$67)-SUMPRODUCT(--('Scenario calc'!$C$6:$BJ$6&lt;=B26),'Scenario calc'!$C$54:$BJ$54)+Inputs!$B$49</f>
        <v>1915392.50294858</v>
      </c>
      <c r="C27" s="59" t="n">
        <f aca="false">SUMPRODUCT(--('Scenario calc'!$C$98:$BJ$98&lt;=C26),'Scenario calc'!$C$135:$BJ$135)-SUMPRODUCT(--('Scenario calc'!$C$98:$BJ$98&lt;=C26),'Scenario calc'!$C$159:$BJ$159)-SUMPRODUCT(--('Scenario calc'!$C$98:$BJ$98&lt;=C26),'Scenario calc'!$C$146:$BJ$146)+Inputs!$C$49</f>
        <v>1913996.98294858</v>
      </c>
      <c r="D27" s="59" t="n">
        <f aca="false">SUMPRODUCT(--('Scenario calc'!$C$190:$BJ$190&lt;=D26),'Scenario calc'!$C$227:$BJ$227)-SUMPRODUCT(--('Scenario calc'!$C$190:$BJ$190&lt;=D26),'Scenario calc'!$C$251:$BJ$251)-SUMPRODUCT(--('Scenario calc'!$C$190:$BJ$190&lt;=D26),'Scenario calc'!$C$238:$BJ$238)+Inputs!$D$49</f>
        <v>1912941.57502389</v>
      </c>
      <c r="E27" s="60" t="n">
        <f aca="false">'Break-even'!B12</f>
        <v>1913996.98294858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  <c r="F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  <c r="E30" s="34" t="n">
        <v>4</v>
      </c>
      <c r="F30" s="34" t="n">
        <v>5</v>
      </c>
    </row>
    <row r="31" customFormat="false" ht="15" hidden="false" customHeight="false" outlineLevel="0" collapsed="false">
      <c r="A31" s="6" t="s">
        <v>105</v>
      </c>
      <c r="B31" s="59" t="n">
        <f aca="false">SUMIF('Scenario calc'!$C$7:$BJ$7,B$30,'Scenario calc'!$C$14:$BJ$14)</f>
        <v>178848</v>
      </c>
      <c r="C31" s="59" t="n">
        <f aca="false">SUMIF('Scenario calc'!$C$7:$BJ$7,C$30,'Scenario calc'!$C$14:$BJ$14)</f>
        <v>182424.96</v>
      </c>
      <c r="D31" s="59" t="n">
        <f aca="false">SUMIF('Scenario calc'!$C$7:$BJ$7,D$30,'Scenario calc'!$C$14:$BJ$14)</f>
        <v>186073.4592</v>
      </c>
      <c r="E31" s="59" t="n">
        <f aca="false">SUMIF('Scenario calc'!$C$7:$BJ$7,E$30,'Scenario calc'!$C$14:$BJ$14)</f>
        <v>189794.928384</v>
      </c>
      <c r="F31" s="59" t="n">
        <f aca="false">SUMIF('Scenario calc'!$C$7:$BJ$7,F$30,'Scenario calc'!$C$14:$BJ$14)</f>
        <v>193590.82695168</v>
      </c>
    </row>
    <row r="32" customFormat="false" ht="15" hidden="false" customHeight="false" outlineLevel="0" collapsed="false">
      <c r="A32" s="6" t="s">
        <v>106</v>
      </c>
      <c r="B32" s="59" t="n">
        <f aca="false">SUMIF('Scenario calc'!$C$99:$BJ$99,B$30,'Scenario calc'!$C$106:$BJ$106)</f>
        <v>196650</v>
      </c>
      <c r="C32" s="59" t="n">
        <f aca="false">SUMIF('Scenario calc'!$C$99:$BJ$99,C$30,'Scenario calc'!$C$106:$BJ$106)</f>
        <v>202549.5</v>
      </c>
      <c r="D32" s="59" t="n">
        <f aca="false">SUMIF('Scenario calc'!$C$99:$BJ$99,D$30,'Scenario calc'!$C$106:$BJ$106)</f>
        <v>208625.985</v>
      </c>
      <c r="E32" s="59" t="n">
        <f aca="false">SUMIF('Scenario calc'!$C$99:$BJ$99,E$30,'Scenario calc'!$C$106:$BJ$106)</f>
        <v>214884.76455</v>
      </c>
      <c r="F32" s="59" t="n">
        <f aca="false">SUMIF('Scenario calc'!$C$99:$BJ$99,F$30,'Scenario calc'!$C$106:$BJ$106)</f>
        <v>221331.3074865</v>
      </c>
    </row>
    <row r="33" customFormat="false" ht="15" hidden="false" customHeight="false" outlineLevel="0" collapsed="false">
      <c r="A33" s="6" t="s">
        <v>107</v>
      </c>
      <c r="B33" s="59" t="n">
        <f aca="false">SUMIF('Scenario calc'!$C$191:$BJ$191,B$30,'Scenario calc'!$C$198:$BJ$198)</f>
        <v>210816</v>
      </c>
      <c r="C33" s="59" t="n">
        <f aca="false">SUMIF('Scenario calc'!$C$191:$BJ$191,C$30,'Scenario calc'!$C$198:$BJ$198)</f>
        <v>219248.64</v>
      </c>
      <c r="D33" s="59" t="n">
        <f aca="false">SUMIF('Scenario calc'!$C$191:$BJ$191,D$30,'Scenario calc'!$C$198:$BJ$198)</f>
        <v>228018.5856</v>
      </c>
      <c r="E33" s="59" t="n">
        <f aca="false">SUMIF('Scenario calc'!$C$191:$BJ$191,E$30,'Scenario calc'!$C$198:$BJ$198)</f>
        <v>237139.329024</v>
      </c>
      <c r="F33" s="59" t="n">
        <f aca="false">SUMIF('Scenario calc'!$C$191:$BJ$191,F$30,'Scenario calc'!$C$198:$BJ$198)</f>
        <v>246624.90218496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  <c r="F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  <c r="E36" s="34" t="n">
        <v>4</v>
      </c>
      <c r="F36" s="34" t="n">
        <v>5</v>
      </c>
    </row>
    <row r="37" customFormat="false" ht="15" hidden="false" customHeight="false" outlineLevel="0" collapsed="false">
      <c r="A37" s="6" t="s">
        <v>105</v>
      </c>
      <c r="B37" s="59" t="n">
        <f aca="false">SUMIF('Scenario calc'!$C$7:$BJ$7,B$36,'Scenario calc'!$C$28:$BJ$28)</f>
        <v>108225.36</v>
      </c>
      <c r="C37" s="59" t="n">
        <f aca="false">SUMIF('Scenario calc'!$C$7:$BJ$7,C$36,'Scenario calc'!$C$28:$BJ$28)</f>
        <v>109510.8672</v>
      </c>
      <c r="D37" s="59" t="n">
        <f aca="false">SUMIF('Scenario calc'!$C$7:$BJ$7,D$36,'Scenario calc'!$C$28:$BJ$28)</f>
        <v>110786.924544</v>
      </c>
      <c r="E37" s="59" t="n">
        <f aca="false">SUMIF('Scenario calc'!$C$7:$BJ$7,E$36,'Scenario calc'!$C$28:$BJ$28)</f>
        <v>112051.93663488</v>
      </c>
      <c r="F37" s="59" t="n">
        <f aca="false">SUMIF('Scenario calc'!$C$7:$BJ$7,F$36,'Scenario calc'!$C$28:$BJ$28)</f>
        <v>113304.219911578</v>
      </c>
    </row>
    <row r="38" customFormat="false" ht="15" hidden="false" customHeight="false" outlineLevel="0" collapsed="false">
      <c r="A38" s="6" t="s">
        <v>106</v>
      </c>
      <c r="B38" s="59" t="n">
        <f aca="false">SUMIF('Scenario calc'!$C$99:$BJ$99,B$36,'Scenario calc'!$C$120:$BJ$120)</f>
        <v>125340</v>
      </c>
      <c r="C38" s="59" t="n">
        <f aca="false">SUMIF('Scenario calc'!$C$99:$BJ$99,C$36,'Scenario calc'!$C$120:$BJ$120)</f>
        <v>129100.2</v>
      </c>
      <c r="D38" s="59" t="n">
        <f aca="false">SUMIF('Scenario calc'!$C$99:$BJ$99,D$36,'Scenario calc'!$C$120:$BJ$120)</f>
        <v>132973.206</v>
      </c>
      <c r="E38" s="59" t="n">
        <f aca="false">SUMIF('Scenario calc'!$C$99:$BJ$99,E$36,'Scenario calc'!$C$120:$BJ$120)</f>
        <v>136962.40218</v>
      </c>
      <c r="F38" s="59" t="n">
        <f aca="false">SUMIF('Scenario calc'!$C$99:$BJ$99,F$36,'Scenario calc'!$C$120:$BJ$120)</f>
        <v>141071.2742454</v>
      </c>
    </row>
    <row r="39" customFormat="false" ht="15" hidden="false" customHeight="false" outlineLevel="0" collapsed="false">
      <c r="A39" s="6" t="s">
        <v>107</v>
      </c>
      <c r="B39" s="59" t="n">
        <f aca="false">SUMIF('Scenario calc'!$C$191:$BJ$191,B$36,'Scenario calc'!$C$212:$BJ$212)</f>
        <v>139632.72</v>
      </c>
      <c r="C39" s="59" t="n">
        <f aca="false">SUMIF('Scenario calc'!$C$191:$BJ$191,C$36,'Scenario calc'!$C$212:$BJ$212)</f>
        <v>145877.2788</v>
      </c>
      <c r="D39" s="59" t="n">
        <f aca="false">SUMIF('Scenario calc'!$C$191:$BJ$191,D$36,'Scenario calc'!$C$212:$BJ$212)</f>
        <v>152388.101202</v>
      </c>
      <c r="E39" s="59" t="n">
        <f aca="false">SUMIF('Scenario calc'!$C$191:$BJ$191,E$36,'Scenario calc'!$C$212:$BJ$212)</f>
        <v>159176.24978133</v>
      </c>
      <c r="F39" s="59" t="n">
        <f aca="false">SUMIF('Scenario calc'!$C$191:$BJ$191,F$36,'Scenario calc'!$C$212:$BJ$212)</f>
        <v>166253.239917115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  <c r="F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  <c r="E42" s="34" t="n">
        <v>4</v>
      </c>
      <c r="F42" s="34" t="n">
        <v>5</v>
      </c>
    </row>
    <row r="43" customFormat="false" ht="15" hidden="false" customHeight="false" outlineLevel="0" collapsed="false">
      <c r="A43" s="6" t="s">
        <v>105</v>
      </c>
      <c r="B43" s="59" t="n">
        <f aca="false">SUMIF('Scenario calc'!$C$7:$BJ$7,B$42,'Scenario calc'!$C$37:$BJ$37)</f>
        <v>-26320.31617522</v>
      </c>
      <c r="C43" s="59" t="n">
        <f aca="false">SUMIF('Scenario calc'!$C$7:$BJ$7,C$42,'Scenario calc'!$C$37:$BJ$37)</f>
        <v>-24268.973510585</v>
      </c>
      <c r="D43" s="59" t="n">
        <f aca="false">SUMIF('Scenario calc'!$C$7:$BJ$7,D$42,'Scenario calc'!$C$37:$BJ$37)</f>
        <v>-22172.219177093</v>
      </c>
      <c r="E43" s="59" t="n">
        <f aca="false">SUMIF('Scenario calc'!$C$7:$BJ$7,E$42,'Scenario calc'!$C$37:$BJ$37)</f>
        <v>-20027.8315097221</v>
      </c>
      <c r="F43" s="59" t="n">
        <f aca="false">SUMIF('Scenario calc'!$C$7:$BJ$7,F$42,'Scenario calc'!$C$37:$BJ$37)</f>
        <v>-17833.4156563034</v>
      </c>
    </row>
    <row r="44" customFormat="false" ht="15" hidden="false" customHeight="false" outlineLevel="0" collapsed="false">
      <c r="A44" s="6" t="s">
        <v>106</v>
      </c>
      <c r="B44" s="59" t="n">
        <f aca="false">SUMIF('Scenario calc'!$C$99:$BJ$99,B$42,'Scenario calc'!$C$129:$BJ$129)</f>
        <v>-9205.67617522005</v>
      </c>
      <c r="C44" s="59" t="n">
        <f aca="false">SUMIF('Scenario calc'!$C$99:$BJ$99,C$42,'Scenario calc'!$C$129:$BJ$129)</f>
        <v>-4678.93855009125</v>
      </c>
      <c r="D44" s="59" t="n">
        <f aca="false">SUMIF('Scenario calc'!$C$99:$BJ$99,D$42,'Scenario calc'!$C$129:$BJ$129)</f>
        <v>16.8120474254474</v>
      </c>
      <c r="E44" s="59" t="n">
        <f aca="false">SUMIF('Scenario calc'!$C$99:$BJ$99,E$42,'Scenario calc'!$C$129:$BJ$129)</f>
        <v>4888.8701982064</v>
      </c>
      <c r="F44" s="59" t="n">
        <f aca="false">SUMIF('Scenario calc'!$C$99:$BJ$99,F$42,'Scenario calc'!$C$129:$BJ$129)</f>
        <v>9742.0454609784</v>
      </c>
    </row>
    <row r="45" customFormat="false" ht="15" hidden="false" customHeight="false" outlineLevel="0" collapsed="false">
      <c r="A45" s="6" t="s">
        <v>107</v>
      </c>
      <c r="B45" s="59" t="n">
        <f aca="false">SUMIF('Scenario calc'!$C$191:$BJ$191,B$42,'Scenario calc'!$C$221:$BJ$221)</f>
        <v>4018.76462157616</v>
      </c>
      <c r="C45" s="59" t="n">
        <f aca="false">SUMIF('Scenario calc'!$C$191:$BJ$191,C$42,'Scenario calc'!$C$221:$BJ$221)</f>
        <v>9557.808150823</v>
      </c>
      <c r="D45" s="59" t="n">
        <f aca="false">SUMIF('Scenario calc'!$C$191:$BJ$191,D$42,'Scenario calc'!$C$221:$BJ$221)</f>
        <v>15352.1307253101</v>
      </c>
      <c r="E45" s="59" t="n">
        <f aca="false">SUMIF('Scenario calc'!$C$191:$BJ$191,E$42,'Scenario calc'!$C$221:$BJ$221)</f>
        <v>21413.5897892563</v>
      </c>
      <c r="F45" s="59" t="n">
        <f aca="false">SUMIF('Scenario calc'!$C$191:$BJ$191,F$42,'Scenario calc'!$C$221:$BJ$221)</f>
        <v>27754.6120435344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  <c r="F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  <c r="E48" s="34" t="n">
        <v>4</v>
      </c>
      <c r="F48" s="34" t="n">
        <v>5</v>
      </c>
    </row>
    <row r="49" customFormat="false" ht="15" hidden="false" customHeight="false" outlineLevel="0" collapsed="false">
      <c r="A49" s="6" t="s">
        <v>105</v>
      </c>
      <c r="B49" s="59" t="n">
        <f aca="false">INDEX('Scenario calc'!$C$73:$BJ$73,B$48*12)</f>
        <v>69172.7646170131</v>
      </c>
      <c r="C49" s="59" t="n">
        <f aca="false">INDEX('Scenario calc'!$C$73:$BJ$73,C$48*12)</f>
        <v>84054.1404340263</v>
      </c>
      <c r="D49" s="59" t="n">
        <f aca="false">INDEX('Scenario calc'!$C$73:$BJ$73,D$48*12)</f>
        <v>100066.899675039</v>
      </c>
      <c r="E49" s="59" t="n">
        <f aca="false">INDEX('Scenario calc'!$C$73:$BJ$73,E$48*12)</f>
        <v>117194.206008533</v>
      </c>
      <c r="F49" s="59" t="n">
        <f aca="false">INDEX('Scenario calc'!$C$73:$BJ$73,F$48*12)</f>
        <v>135417.307816356</v>
      </c>
    </row>
    <row r="50" customFormat="false" ht="15" hidden="false" customHeight="false" outlineLevel="0" collapsed="false">
      <c r="A50" s="6" t="s">
        <v>106</v>
      </c>
      <c r="B50" s="59" t="n">
        <f aca="false">INDEX('Scenario calc'!$C$165:$BJ$165,B$48*12)</f>
        <v>86256.7046170131</v>
      </c>
      <c r="C50" s="59" t="n">
        <f aca="false">INDEX('Scenario calc'!$C$165:$BJ$165,C$48*12)</f>
        <v>120762.144234026</v>
      </c>
      <c r="D50" s="59" t="n">
        <f aca="false">INDEX('Scenario calc'!$C$165:$BJ$165,D$48*12)</f>
        <v>159033.28090104</v>
      </c>
      <c r="E50" s="59" t="n">
        <f aca="false">INDEX('Scenario calc'!$C$165:$BJ$165,E$48*12)</f>
        <v>201183.085529553</v>
      </c>
      <c r="F50" s="59" t="n">
        <f aca="false">INDEX('Scenario calc'!$C$165:$BJ$165,F$48*12)</f>
        <v>247125.065340597</v>
      </c>
    </row>
    <row r="51" customFormat="false" ht="15" hidden="false" customHeight="false" outlineLevel="0" collapsed="false">
      <c r="A51" s="6" t="s">
        <v>107</v>
      </c>
      <c r="B51" s="59" t="n">
        <f aca="false">INDEX('Scenario calc'!$C$257:$BJ$257,B$48*12)</f>
        <v>99428.6454138094</v>
      </c>
      <c r="C51" s="59" t="n">
        <f aca="false">INDEX('Scenario calc'!$C$257:$BJ$257,C$48*12)</f>
        <v>148188.47565149</v>
      </c>
      <c r="D51" s="59" t="n">
        <f aca="false">INDEX('Scenario calc'!$C$257:$BJ$257,D$48*12)</f>
        <v>201830.150278332</v>
      </c>
      <c r="E51" s="59" t="n">
        <f aca="false">INDEX('Scenario calc'!$C$257:$BJ$257,E$48*12)</f>
        <v>260557.776997864</v>
      </c>
      <c r="F51" s="59" t="n">
        <f aca="false">INDEX('Scenario calc'!$C$257:$BJ$257,F$48*12)</f>
        <v>324583.620819518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127</v>
      </c>
      <c r="B6" s="63" t="n">
        <f aca="false">MATCH(MIN(Monthly!$C$71:$BJ$71),Monthly!$C$71:$BJ$71,0)</f>
        <v>1</v>
      </c>
    </row>
    <row r="7" customFormat="false" ht="15" hidden="false" customHeight="false" outlineLevel="0" collapsed="false">
      <c r="A7" s="6" t="s">
        <v>137</v>
      </c>
      <c r="B7" s="65" t="n">
        <f aca="false">SUMPRODUCT(--(Monthly!$C$4:$BJ$4&lt;=$B$6),Monthly!$C$41:$BJ$41)</f>
        <v>1905791.66666667</v>
      </c>
    </row>
    <row r="8" customFormat="false" ht="15" hidden="false" customHeight="false" outlineLevel="0" collapsed="false">
      <c r="A8" s="6" t="s">
        <v>138</v>
      </c>
      <c r="B8" s="65" t="n">
        <f aca="false">-SUMPRODUCT(--(Monthly!$C$4:$BJ$4&lt;=$B$6),Monthly!$C$65:$BJ$65)</f>
        <v>-4879.5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5" t="n">
        <f aca="false">-SUMPRODUCT(--(Monthly!$C$4:$BJ$4&lt;=$B$6),Monthly!$C$52:$BJ$52)</f>
        <v>1084.81628191557</v>
      </c>
    </row>
    <row r="10" customFormat="false" ht="15" hidden="false" customHeight="false" outlineLevel="0" collapsed="false">
      <c r="A10" s="4" t="s">
        <v>141</v>
      </c>
      <c r="B10" s="66" t="n">
        <f aca="false">B7+B8+B9</f>
        <v>1901996.98294858</v>
      </c>
    </row>
    <row r="11" customFormat="false" ht="15" hidden="false" customHeight="false" outlineLevel="0" collapsed="false">
      <c r="A11" s="6" t="s">
        <v>142</v>
      </c>
      <c r="B11" s="67" t="n">
        <f aca="false">Inputs!$E$49</f>
        <v>12000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66" t="n">
        <f aca="false">B10+B11</f>
        <v>1913996.98294858</v>
      </c>
    </row>
    <row r="14" customFormat="false" ht="15" hidden="false" customHeight="false" outlineLevel="0" collapsed="false">
      <c r="A14" s="6" t="s">
        <v>64</v>
      </c>
      <c r="B14" s="67" t="n">
        <f aca="false">Inputs!$E$34</f>
        <v>760000</v>
      </c>
    </row>
    <row r="15" customFormat="false" ht="15" hidden="false" customHeight="false" outlineLevel="0" collapsed="false">
      <c r="A15" s="6" t="s">
        <v>65</v>
      </c>
      <c r="B15" s="67" t="n">
        <f aca="false">Inputs!$E$35</f>
        <v>1200000</v>
      </c>
    </row>
    <row r="16" customFormat="false" ht="15" hidden="false" customHeight="false" outlineLevel="0" collapsed="false">
      <c r="A16" s="4" t="s">
        <v>145</v>
      </c>
      <c r="B16" s="66" t="n">
        <f aca="false">B14+B15</f>
        <v>1960000</v>
      </c>
    </row>
    <row r="17" customFormat="false" ht="15" hidden="false" customHeight="false" outlineLevel="0" collapsed="false">
      <c r="A17" s="68" t="s">
        <v>67</v>
      </c>
      <c r="B17" s="69" t="n">
        <f aca="false">B16-B12</f>
        <v>46003.0170514176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5" t="n">
        <f aca="false">MIN(Monthly!$C$71:$BJ$71)</f>
        <v>58003.0170514176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150</v>
      </c>
      <c r="B21" s="63" t="n">
        <f aca="false">IFERROR(MATCH(1,Monthly!$C$72:$BJ$72,0),"Not within horizon")</f>
        <v>1</v>
      </c>
    </row>
    <row r="22" customFormat="false" ht="15" hidden="false" customHeight="false" outlineLevel="0" collapsed="false">
      <c r="A22" s="6" t="s">
        <v>151</v>
      </c>
      <c r="B22" s="63" t="n">
        <f aca="false">IFERROR(MATCH(1,Monthly!$C$75:$BJ$75,0),"Not within horizon")</f>
        <v>31</v>
      </c>
    </row>
    <row r="23" customFormat="false" ht="15" hidden="false" customHeight="false" outlineLevel="0" collapsed="false">
      <c r="A23" s="6" t="s">
        <v>152</v>
      </c>
      <c r="B23" s="63" t="str">
        <f aca="false">IF(MIN(Monthly!$C$77:$BJ$77)&gt;=0,"No investment to pay back",IFERROR(MATCH(1,Monthly!$C$79:$BJ$79,0),"Not within horizon"))</f>
        <v>Not within horizon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0" t="s">
        <v>155</v>
      </c>
      <c r="B26" s="70" t="n">
        <v>1</v>
      </c>
      <c r="C26" s="70" t="n">
        <v>2</v>
      </c>
      <c r="D26" s="70" t="n">
        <v>3</v>
      </c>
      <c r="E26" s="70" t="n">
        <v>4</v>
      </c>
      <c r="F26" s="70" t="n">
        <v>5</v>
      </c>
    </row>
    <row r="27" customFormat="false" ht="15" hidden="false" customHeight="false" outlineLevel="0" collapsed="false">
      <c r="A27" s="33"/>
      <c r="B27" s="50" t="s">
        <v>156</v>
      </c>
      <c r="C27" s="50" t="s">
        <v>157</v>
      </c>
      <c r="D27" s="50" t="s">
        <v>158</v>
      </c>
      <c r="E27" s="50" t="s">
        <v>159</v>
      </c>
      <c r="F27" s="50" t="s">
        <v>160</v>
      </c>
    </row>
    <row r="28" customFormat="false" ht="15" hidden="false" customHeight="false" outlineLevel="0" collapsed="false">
      <c r="A28" s="4" t="s">
        <v>45</v>
      </c>
      <c r="B28" s="71" t="n">
        <f aca="false">SUMIF(Monthly!$C$5:$BJ$5,B$26,Monthly!$C$12:$BJ$12)</f>
        <v>196650</v>
      </c>
      <c r="C28" s="71" t="n">
        <f aca="false">SUMIF(Monthly!$C$5:$BJ$5,C$26,Monthly!$C$12:$BJ$12)</f>
        <v>202549.5</v>
      </c>
      <c r="D28" s="71" t="n">
        <f aca="false">SUMIF(Monthly!$C$5:$BJ$5,D$26,Monthly!$C$12:$BJ$12)</f>
        <v>208625.985</v>
      </c>
      <c r="E28" s="71" t="n">
        <f aca="false">SUMIF(Monthly!$C$5:$BJ$5,E$26,Monthly!$C$12:$BJ$12)</f>
        <v>214884.76455</v>
      </c>
      <c r="F28" s="71" t="n">
        <f aca="false">SUMIF(Monthly!$C$5:$BJ$5,F$26,Monthly!$C$12:$BJ$12)</f>
        <v>221331.3074865</v>
      </c>
    </row>
    <row r="29" customFormat="false" ht="15" hidden="false" customHeight="false" outlineLevel="0" collapsed="false">
      <c r="A29" s="6" t="s">
        <v>46</v>
      </c>
      <c r="B29" s="65" t="n">
        <f aca="false">SUMIF(Monthly!$C$5:$BJ$5,B$26,Monthly!$C$18:$BJ$18)</f>
        <v>174222</v>
      </c>
      <c r="C29" s="65" t="n">
        <f aca="false">SUMIF(Monthly!$C$5:$BJ$5,C$26,Monthly!$C$18:$BJ$18)</f>
        <v>179448.66</v>
      </c>
      <c r="D29" s="65" t="n">
        <f aca="false">SUMIF(Monthly!$C$5:$BJ$5,D$26,Monthly!$C$18:$BJ$18)</f>
        <v>184832.1198</v>
      </c>
      <c r="E29" s="65" t="n">
        <f aca="false">SUMIF(Monthly!$C$5:$BJ$5,E$26,Monthly!$C$18:$BJ$18)</f>
        <v>190377.083394</v>
      </c>
      <c r="F29" s="65" t="n">
        <f aca="false">SUMIF(Monthly!$C$5:$BJ$5,F$26,Monthly!$C$18:$BJ$18)</f>
        <v>196088.39589582</v>
      </c>
    </row>
    <row r="30" customFormat="false" ht="15" hidden="false" customHeight="false" outlineLevel="0" collapsed="false">
      <c r="A30" s="38" t="s">
        <v>161</v>
      </c>
      <c r="B30" s="72" t="n">
        <f aca="false">IF(B28=0,0,B29/B28)</f>
        <v>0.885949656750572</v>
      </c>
      <c r="C30" s="72" t="n">
        <f aca="false">IF(C28=0,0,C29/C28)</f>
        <v>0.885949656750572</v>
      </c>
      <c r="D30" s="72" t="n">
        <f aca="false">IF(D28=0,0,D29/D28)</f>
        <v>0.885949656750572</v>
      </c>
      <c r="E30" s="72" t="n">
        <f aca="false">IF(E28=0,0,E29/E28)</f>
        <v>0.885949656750572</v>
      </c>
      <c r="F30" s="72" t="n">
        <f aca="false">IF(F28=0,0,F29/F28)</f>
        <v>0.885949656750572</v>
      </c>
    </row>
    <row r="31" customFormat="false" ht="15" hidden="false" customHeight="false" outlineLevel="0" collapsed="false">
      <c r="A31" s="6" t="s">
        <v>162</v>
      </c>
      <c r="B31" s="65" t="n">
        <f aca="false">-SUMIF(Monthly!$C$5:$BJ$5,B$26,Monthly!$C$25:$BJ$25)</f>
        <v>48882</v>
      </c>
      <c r="C31" s="65" t="n">
        <f aca="false">-SUMIF(Monthly!$C$5:$BJ$5,C$26,Monthly!$C$25:$BJ$25)</f>
        <v>50348.46</v>
      </c>
      <c r="D31" s="65" t="n">
        <f aca="false">-SUMIF(Monthly!$C$5:$BJ$5,D$26,Monthly!$C$25:$BJ$25)</f>
        <v>51858.9138</v>
      </c>
      <c r="E31" s="65" t="n">
        <f aca="false">-SUMIF(Monthly!$C$5:$BJ$5,E$26,Monthly!$C$25:$BJ$25)</f>
        <v>53414.681214</v>
      </c>
      <c r="F31" s="65" t="n">
        <f aca="false">-SUMIF(Monthly!$C$5:$BJ$5,F$26,Monthly!$C$25:$BJ$25)</f>
        <v>55017.12165042</v>
      </c>
    </row>
    <row r="32" customFormat="false" ht="15" hidden="false" customHeight="false" outlineLevel="0" collapsed="false">
      <c r="A32" s="4" t="s">
        <v>163</v>
      </c>
      <c r="B32" s="71" t="n">
        <f aca="false">IF(B30&gt;0,B31/B30,"n/a")</f>
        <v>55174.6926335365</v>
      </c>
      <c r="C32" s="71" t="n">
        <f aca="false">IF(C30&gt;0,C31/C30,"n/a")</f>
        <v>56829.9334125426</v>
      </c>
      <c r="D32" s="71" t="n">
        <f aca="false">IF(D30&gt;0,D31/D30,"n/a")</f>
        <v>58534.8314149189</v>
      </c>
      <c r="E32" s="71" t="n">
        <f aca="false">IF(E30&gt;0,E31/E30,"n/a")</f>
        <v>60290.8763573665</v>
      </c>
      <c r="F32" s="71" t="n">
        <f aca="false">IF(F30&gt;0,F31/F30,"n/a")</f>
        <v>62099.6026480875</v>
      </c>
    </row>
    <row r="33" customFormat="false" ht="15" hidden="false" customHeight="false" outlineLevel="0" collapsed="false">
      <c r="A33" s="38" t="s">
        <v>164</v>
      </c>
      <c r="B33" s="72" t="n">
        <f aca="false">IF(AND(ISNUMBER(B32),B28&gt;0),(B28-B32)/B28,"n/a")</f>
        <v>0.719426938044564</v>
      </c>
      <c r="C33" s="72" t="n">
        <f aca="false">IF(AND(ISNUMBER(C32),C28&gt;0),(C28-C32)/C28,"n/a")</f>
        <v>0.719426938044564</v>
      </c>
      <c r="D33" s="72" t="n">
        <f aca="false">IF(AND(ISNUMBER(D32),D28&gt;0),(D28-D32)/D28,"n/a")</f>
        <v>0.719426938044564</v>
      </c>
      <c r="E33" s="72" t="n">
        <f aca="false">IF(AND(ISNUMBER(E32),E28&gt;0),(E28-E32)/E28,"n/a")</f>
        <v>0.719426938044564</v>
      </c>
      <c r="F33" s="72" t="n">
        <f aca="false">IF(AND(ISNUMBER(F32),F28&gt;0),(F28-F32)/F28,"n/a")</f>
        <v>0.719426938044564</v>
      </c>
    </row>
    <row r="35" customFormat="false" ht="15" hidden="false" customHeight="false" outlineLevel="0" collapsed="false">
      <c r="A35" s="38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166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167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168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169</v>
      </c>
      <c r="B6" s="73" t="n">
        <f aca="false">Inputs!$E$52</f>
        <v>0.2</v>
      </c>
    </row>
    <row r="7" customFormat="false" ht="15" hidden="false" customHeight="false" outlineLevel="0" collapsed="false">
      <c r="A7" s="38" t="s">
        <v>170</v>
      </c>
      <c r="B7" s="73" t="n">
        <f aca="false">Inputs!$E$53</f>
        <v>0.02</v>
      </c>
    </row>
    <row r="8" customFormat="false" ht="15" hidden="false" customHeight="false" outlineLevel="0" collapsed="false">
      <c r="A8" s="6" t="s">
        <v>171</v>
      </c>
      <c r="B8" s="74" t="n">
        <f aca="false">Inputs!$E$54</f>
        <v>4.5</v>
      </c>
    </row>
    <row r="9" customFormat="false" ht="15" hidden="false" customHeight="false" outlineLevel="0" collapsed="false">
      <c r="A9" s="38" t="s">
        <v>172</v>
      </c>
      <c r="B9" s="73" t="n">
        <f aca="false">Inputs!$E$46</f>
        <v>0.21</v>
      </c>
    </row>
    <row r="10" customFormat="false" ht="15" hidden="false" customHeight="false" outlineLevel="0" collapsed="false">
      <c r="A10" s="38" t="s">
        <v>173</v>
      </c>
      <c r="B10" s="73" t="n">
        <f aca="false">Inputs!$E$55</f>
        <v>0.01</v>
      </c>
    </row>
    <row r="11" customFormat="false" ht="15" hidden="false" customHeight="false" outlineLevel="0" collapsed="false">
      <c r="A11" s="38" t="s">
        <v>174</v>
      </c>
      <c r="B11" s="73" t="n">
        <f aca="false">Inputs!$E$56</f>
        <v>0.005</v>
      </c>
    </row>
    <row r="13" customFormat="false" ht="15.75" hidden="false" customHeight="true" outlineLevel="0" collapsed="false">
      <c r="A13" s="7" t="s">
        <v>175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0" t="s">
        <v>155</v>
      </c>
      <c r="B14" s="70" t="n">
        <v>1</v>
      </c>
      <c r="C14" s="70" t="n">
        <v>2</v>
      </c>
      <c r="D14" s="70" t="n">
        <v>3</v>
      </c>
      <c r="E14" s="70" t="n">
        <v>4</v>
      </c>
      <c r="F14" s="70" t="n">
        <v>5</v>
      </c>
    </row>
    <row r="15" customFormat="false" ht="15" hidden="false" customHeight="false" outlineLevel="0" collapsed="false">
      <c r="A15" s="33"/>
      <c r="B15" s="50" t="s">
        <v>156</v>
      </c>
      <c r="C15" s="50" t="s">
        <v>157</v>
      </c>
      <c r="D15" s="50" t="s">
        <v>158</v>
      </c>
      <c r="E15" s="50" t="s">
        <v>159</v>
      </c>
      <c r="F15" s="50" t="s">
        <v>160</v>
      </c>
    </row>
    <row r="16" customFormat="false" ht="15" hidden="false" customHeight="false" outlineLevel="0" collapsed="false">
      <c r="A16" s="6" t="s">
        <v>49</v>
      </c>
      <c r="B16" s="65" t="n">
        <f aca="false">SUMIF(Monthly!$C$5:$BJ$5,B$14,Monthly!$C$26:$BJ$26)</f>
        <v>125340</v>
      </c>
      <c r="C16" s="65" t="n">
        <f aca="false">SUMIF(Monthly!$C$5:$BJ$5,C$14,Monthly!$C$26:$BJ$26)</f>
        <v>129100.2</v>
      </c>
      <c r="D16" s="65" t="n">
        <f aca="false">SUMIF(Monthly!$C$5:$BJ$5,D$14,Monthly!$C$26:$BJ$26)</f>
        <v>132973.206</v>
      </c>
      <c r="E16" s="65" t="n">
        <f aca="false">SUMIF(Monthly!$C$5:$BJ$5,E$14,Monthly!$C$26:$BJ$26)</f>
        <v>136962.40218</v>
      </c>
      <c r="F16" s="65" t="n">
        <f aca="false">SUMIF(Monthly!$C$5:$BJ$5,F$14,Monthly!$C$26:$BJ$26)</f>
        <v>141071.2742454</v>
      </c>
    </row>
    <row r="17" customFormat="false" ht="15" hidden="false" customHeight="false" outlineLevel="0" collapsed="false">
      <c r="A17" s="4" t="s">
        <v>176</v>
      </c>
      <c r="B17" s="71" t="n">
        <f aca="false">SUMIF(Monthly!$C$5:$BJ$5,B$14,Monthly!$C$80:$BJ$80)</f>
        <v>-1799022.56884865</v>
      </c>
      <c r="C17" s="71" t="n">
        <f aca="false">SUMIF(Monthly!$C$5:$BJ$5,C$14,Monthly!$C$80:$BJ$80)</f>
        <v>109414.803635962</v>
      </c>
      <c r="D17" s="71" t="n">
        <f aca="false">SUMIF(Monthly!$C$5:$BJ$5,D$14,Monthly!$C$80:$BJ$80)</f>
        <v>113381.771572274</v>
      </c>
      <c r="E17" s="71" t="n">
        <f aca="false">SUMIF(Monthly!$C$5:$BJ$5,E$14,Monthly!$C$80:$BJ$80)</f>
        <v>117475.189904097</v>
      </c>
      <c r="F17" s="71" t="n">
        <f aca="false">SUMIF(Monthly!$C$5:$BJ$5,F$14,Monthly!$C$80:$BJ$80)</f>
        <v>121496.497686969</v>
      </c>
    </row>
    <row r="18" customFormat="false" ht="15" hidden="false" customHeight="false" outlineLevel="0" collapsed="false">
      <c r="A18" s="6" t="s">
        <v>177</v>
      </c>
      <c r="B18" s="75" t="n">
        <f aca="false">1/(1+Inputs!$E$52)^B$14</f>
        <v>0.833333333333333</v>
      </c>
      <c r="C18" s="75" t="n">
        <f aca="false">1/(1+Inputs!$E$52)^C$14</f>
        <v>0.694444444444444</v>
      </c>
      <c r="D18" s="75" t="n">
        <f aca="false">1/(1+Inputs!$E$52)^D$14</f>
        <v>0.578703703703704</v>
      </c>
      <c r="E18" s="75" t="n">
        <f aca="false">1/(1+Inputs!$E$52)^E$14</f>
        <v>0.482253086419753</v>
      </c>
      <c r="F18" s="75" t="n">
        <f aca="false">1/(1+Inputs!$E$52)^F$14</f>
        <v>0.401877572016461</v>
      </c>
    </row>
    <row r="19" customFormat="false" ht="15" hidden="false" customHeight="false" outlineLevel="0" collapsed="false">
      <c r="A19" s="6" t="s">
        <v>178</v>
      </c>
      <c r="B19" s="65" t="n">
        <f aca="false">B17*B18</f>
        <v>-1499185.47404054</v>
      </c>
      <c r="C19" s="65" t="n">
        <f aca="false">C17*C18</f>
        <v>75982.5025249739</v>
      </c>
      <c r="D19" s="65" t="n">
        <f aca="false">D17*D18</f>
        <v>65614.4511413624</v>
      </c>
      <c r="E19" s="65" t="n">
        <f aca="false">E17*E18</f>
        <v>56652.7729089972</v>
      </c>
      <c r="F19" s="65" t="n">
        <f aca="false">F17*F18</f>
        <v>48826.7174989427</v>
      </c>
    </row>
    <row r="21" customFormat="false" ht="15.75" hidden="false" customHeight="true" outlineLevel="0" collapsed="false">
      <c r="A21" s="7" t="s">
        <v>179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0" t="s">
        <v>180</v>
      </c>
      <c r="C22" s="50" t="s">
        <v>181</v>
      </c>
    </row>
    <row r="23" customFormat="false" ht="15" hidden="false" customHeight="false" outlineLevel="0" collapsed="false">
      <c r="A23" s="6" t="s">
        <v>182</v>
      </c>
      <c r="B23" s="65" t="n">
        <f aca="false">SUM($B$19:$F$19)</f>
        <v>-1252109.02996626</v>
      </c>
      <c r="C23" s="65" t="n">
        <f aca="false">B23</f>
        <v>-1252109.02996626</v>
      </c>
    </row>
    <row r="24" customFormat="false" ht="15" hidden="false" customHeight="false" outlineLevel="0" collapsed="false">
      <c r="A24" s="6" t="s">
        <v>183</v>
      </c>
      <c r="B24" s="65" t="n">
        <f aca="false">$F$17</f>
        <v>121496.497686969</v>
      </c>
      <c r="C24" s="65" t="n">
        <f aca="false">$F$16</f>
        <v>141071.2742454</v>
      </c>
    </row>
    <row r="25" customFormat="false" ht="15" hidden="false" customHeight="false" outlineLevel="0" collapsed="false">
      <c r="A25" s="6" t="s">
        <v>184</v>
      </c>
      <c r="B25" s="65" t="n">
        <f aca="false">IF($B$6&gt;$B$7,B24*(1+$B$7)/($B$6-$B$7),0)</f>
        <v>688480.153559491</v>
      </c>
      <c r="C25" s="65" t="n">
        <f aca="false">C24*$B$8</f>
        <v>634820.7341043</v>
      </c>
    </row>
    <row r="26" customFormat="false" ht="15" hidden="false" customHeight="false" outlineLevel="0" collapsed="false">
      <c r="A26" s="6" t="s">
        <v>185</v>
      </c>
      <c r="B26" s="65" t="n">
        <f aca="false">B25/(1+$B$6)^$F$14</f>
        <v>276684.732494008</v>
      </c>
      <c r="C26" s="65" t="n">
        <f aca="false">C25/(1+$B$6)^$F$14</f>
        <v>255120.215287544</v>
      </c>
    </row>
    <row r="27" customFormat="false" ht="15" hidden="false" customHeight="false" outlineLevel="0" collapsed="false">
      <c r="A27" s="4" t="s">
        <v>179</v>
      </c>
      <c r="B27" s="66" t="n">
        <f aca="false">B23+B26</f>
        <v>-975424.297472256</v>
      </c>
      <c r="C27" s="66" t="n">
        <f aca="false">C23+C26</f>
        <v>-996988.814678721</v>
      </c>
    </row>
    <row r="28" customFormat="false" ht="15" hidden="false" customHeight="false" outlineLevel="0" collapsed="false">
      <c r="A28" s="38" t="s">
        <v>186</v>
      </c>
      <c r="B28" s="72" t="n">
        <f aca="false">IF(B27&lt;&gt;0,B26/B27,0)</f>
        <v>-0.283655772376204</v>
      </c>
      <c r="C28" s="72" t="n">
        <f aca="false">IF(C27&lt;&gt;0,C26/C27,0)</f>
        <v>-0.255890749757063</v>
      </c>
    </row>
    <row r="29" customFormat="false" ht="15" hidden="false" customHeight="false" outlineLevel="0" collapsed="false">
      <c r="A29" s="6" t="s">
        <v>187</v>
      </c>
      <c r="B29" s="76" t="n">
        <f aca="false">IF(C24&gt;0,B25/C24,"n/a")</f>
        <v>4.88037098439933</v>
      </c>
      <c r="C29" s="72" t="n">
        <f aca="false">IF(C25+B24&lt;&gt;0,(C25*$B$6-B24)/(C25+B24),"n/a")</f>
        <v>0.00722930657145207</v>
      </c>
    </row>
    <row r="30" customFormat="false" ht="15" hidden="false" customHeight="false" outlineLevel="0" collapsed="false">
      <c r="A30" s="68" t="s">
        <v>188</v>
      </c>
      <c r="B30" s="69" t="n">
        <f aca="false">AVERAGE(B27,C27)</f>
        <v>-986206.556075488</v>
      </c>
    </row>
    <row r="32" customFormat="false" ht="15.75" hidden="false" customHeight="true" outlineLevel="0" collapsed="false">
      <c r="A32" s="7" t="s">
        <v>189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190</v>
      </c>
      <c r="B33" s="77" t="n">
        <f aca="false">$B$7+(-2)*$B$11</f>
        <v>0.01</v>
      </c>
      <c r="C33" s="77" t="n">
        <f aca="false">$B$7+(-1)*$B$11</f>
        <v>0.015</v>
      </c>
      <c r="D33" s="77" t="n">
        <f aca="false">$B$7+(0)*$B$11</f>
        <v>0.02</v>
      </c>
      <c r="E33" s="77" t="n">
        <f aca="false">$B$7+(1)*$B$11</f>
        <v>0.025</v>
      </c>
      <c r="F33" s="77" t="n">
        <f aca="false">$B$7+(2)*$B$11</f>
        <v>0.03</v>
      </c>
    </row>
    <row r="34" customFormat="false" ht="15" hidden="false" customHeight="false" outlineLevel="0" collapsed="false">
      <c r="A34" s="72" t="n">
        <f aca="false">$B$6+(-2)*$B$10</f>
        <v>0.18</v>
      </c>
      <c r="B34" s="65" t="n">
        <f aca="false">IF($A34&gt;B$33,SUMPRODUCT($B$17:$F$17/(1+$A34)^$B$14:$F$14)+$F$17*(1+B$33)/($A34-B$33)/(1+$A34)^$F$14,"n/a")</f>
        <v>-947788.629413026</v>
      </c>
      <c r="C34" s="65" t="n">
        <f aca="false">IF($A34&gt;C$33,SUMPRODUCT($B$17:$F$17/(1+$A34)^$B$14:$F$14)+$F$17*(1+C$33)/($A34-C$33)/(1+$A34)^$F$14,"n/a")</f>
        <v>-936618.12283961</v>
      </c>
      <c r="D34" s="65" t="n">
        <f aca="false">IF($A34&gt;D$33,SUMPRODUCT($B$17:$F$17/(1+$A34)^$B$14:$F$14)+$F$17*(1+D$33)/($A34-D$33)/(1+$A34)^$F$14,"n/a")</f>
        <v>-924749.459605356</v>
      </c>
      <c r="E34" s="65" t="n">
        <f aca="false">IF($A34&gt;E$33,SUMPRODUCT($B$17:$F$17/(1+$A34)^$B$14:$F$14)+$F$17*(1+E$33)/($A34-E$33)/(1+$A34)^$F$14,"n/a")</f>
        <v>-912115.07616244</v>
      </c>
      <c r="F34" s="65" t="n">
        <f aca="false">IF($A34&gt;F$33,SUMPRODUCT($B$17:$F$17/(1+$A34)^$B$14:$F$14)+$F$17*(1+F$33)/($A34-F$33)/(1+$A34)^$F$14,"n/a")</f>
        <v>-898638.400489996</v>
      </c>
    </row>
    <row r="35" customFormat="false" ht="15" hidden="false" customHeight="false" outlineLevel="0" collapsed="false">
      <c r="A35" s="72" t="n">
        <f aca="false">$B$6+(-1)*$B$10</f>
        <v>0.19</v>
      </c>
      <c r="B35" s="65" t="n">
        <f aca="false">IF($A35&gt;B$33,SUMPRODUCT($B$17:$F$17/(1+$A35)^$B$14:$F$14)+$F$17*(1+B$33)/($A35-B$33)/(1+$A35)^$F$14,"n/a")</f>
        <v>-972063.339293628</v>
      </c>
      <c r="C35" s="65" t="n">
        <f aca="false">IF($A35&gt;C$33,SUMPRODUCT($B$17:$F$17/(1+$A35)^$B$14:$F$14)+$F$17*(1+C$33)/($A35-C$33)/(1+$A35)^$F$14,"n/a")</f>
        <v>-962446.433452042</v>
      </c>
      <c r="D35" s="65" t="n">
        <f aca="false">IF($A35&gt;D$33,SUMPRODUCT($B$17:$F$17/(1+$A35)^$B$14:$F$14)+$F$17*(1+D$33)/($A35-D$33)/(1+$A35)^$F$14,"n/a")</f>
        <v>-952263.827266833</v>
      </c>
      <c r="E35" s="65" t="n">
        <f aca="false">IF($A35&gt;E$33,SUMPRODUCT($B$17:$F$17/(1+$A35)^$B$14:$F$14)+$F$17*(1+E$33)/($A35-E$33)/(1+$A35)^$F$14,"n/a")</f>
        <v>-941464.093434036</v>
      </c>
      <c r="F35" s="65" t="n">
        <f aca="false">IF($A35&gt;F$33,SUMPRODUCT($B$17:$F$17/(1+$A35)^$B$14:$F$14)+$F$17*(1+F$33)/($A35-F$33)/(1+$A35)^$F$14,"n/a")</f>
        <v>-929989.376236688</v>
      </c>
    </row>
    <row r="36" customFormat="false" ht="15" hidden="false" customHeight="false" outlineLevel="0" collapsed="false">
      <c r="A36" s="72" t="n">
        <f aca="false">$B$6+(0)*$B$10</f>
        <v>0.2</v>
      </c>
      <c r="B36" s="65" t="n">
        <f aca="false">IF($A36&gt;B$33,SUMPRODUCT($B$17:$F$17/(1+$A36)^$B$14:$F$14)+$F$17*(1+B$33)/($A36-B$33)/(1+$A36)^$F$14,"n/a")</f>
        <v>-992556.479050832</v>
      </c>
      <c r="C36" s="65" t="n">
        <f aca="false">IF($A36&gt;C$33,SUMPRODUCT($B$17:$F$17/(1+$A36)^$B$14:$F$14)+$F$17*(1+C$33)/($A36-C$33)/(1+$A36)^$F$14,"n/a")</f>
        <v>-984221.904228822</v>
      </c>
      <c r="D36" s="65" t="n">
        <f aca="false">IF($A36&gt;D$33,SUMPRODUCT($B$17:$F$17/(1+$A36)^$B$14:$F$14)+$F$17*(1+D$33)/($A36-D$33)/(1+$A36)^$F$14,"n/a")</f>
        <v>-975424.297472256</v>
      </c>
      <c r="E36" s="65" t="n">
        <f aca="false">IF($A36&gt;E$33,SUMPRODUCT($B$17:$F$17/(1+$A36)^$B$14:$F$14)+$F$17*(1+E$33)/($A36-E$33)/(1+$A36)^$F$14,"n/a")</f>
        <v>-966123.9703296</v>
      </c>
      <c r="F36" s="65" t="n">
        <f aca="false">IF($A36&gt;F$33,SUMPRODUCT($B$17:$F$17/(1+$A36)^$B$14:$F$14)+$F$17*(1+F$33)/($A36-F$33)/(1+$A36)^$F$14,"n/a")</f>
        <v>-956276.565119729</v>
      </c>
    </row>
    <row r="37" customFormat="false" ht="15" hidden="false" customHeight="false" outlineLevel="0" collapsed="false">
      <c r="A37" s="72" t="n">
        <f aca="false">$B$6+(1)*$B$10</f>
        <v>0.21</v>
      </c>
      <c r="B37" s="65" t="n">
        <f aca="false">IF($A37&gt;B$33,SUMPRODUCT($B$17:$F$17/(1+$A37)^$B$14:$F$14)+$F$17*(1+B$33)/($A37-B$33)/(1+$A37)^$F$14,"n/a")</f>
        <v>-1009864.56686498</v>
      </c>
      <c r="C37" s="65" t="n">
        <f aca="false">IF($A37&gt;C$33,SUMPRODUCT($B$17:$F$17/(1+$A37)^$B$14:$F$14)+$F$17*(1+C$33)/($A37-C$33)/(1+$A37)^$F$14,"n/a")</f>
        <v>-1002598.02675721</v>
      </c>
      <c r="D37" s="65" t="n">
        <f aca="false">IF($A37&gt;D$33,SUMPRODUCT($B$17:$F$17/(1+$A37)^$B$14:$F$14)+$F$17*(1+D$33)/($A37-D$33)/(1+$A37)^$F$14,"n/a")</f>
        <v>-994949.037170087</v>
      </c>
      <c r="E37" s="65" t="n">
        <f aca="false">IF($A37&gt;E$33,SUMPRODUCT($B$17:$F$17/(1+$A37)^$B$14:$F$14)+$F$17*(1+E$33)/($A37-E$33)/(1+$A37)^$F$14,"n/a")</f>
        <v>-986886.588686359</v>
      </c>
      <c r="F37" s="65" t="n">
        <f aca="false">IF($A37&gt;F$33,SUMPRODUCT($B$17:$F$17/(1+$A37)^$B$14:$F$14)+$F$17*(1+F$33)/($A37-F$33)/(1+$A37)^$F$14,"n/a")</f>
        <v>-978376.22639798</v>
      </c>
    </row>
    <row r="38" customFormat="false" ht="15" hidden="false" customHeight="false" outlineLevel="0" collapsed="false">
      <c r="A38" s="72" t="n">
        <f aca="false">$B$6+(2)*$B$10</f>
        <v>0.22</v>
      </c>
      <c r="B38" s="65" t="n">
        <f aca="false">IF($A38&gt;B$33,SUMPRODUCT($B$17:$F$17/(1+$A38)^$B$14:$F$14)+$F$17*(1+B$33)/($A38-B$33)/(1+$A38)^$F$14,"n/a")</f>
        <v>-1024469.56714038</v>
      </c>
      <c r="C38" s="65" t="n">
        <f aca="false">IF($A38&gt;C$33,SUMPRODUCT($B$17:$F$17/(1+$A38)^$B$14:$F$14)+$F$17*(1+C$33)/($A38-C$33)/(1+$A38)^$F$14,"n/a")</f>
        <v>-1018099.8333133</v>
      </c>
      <c r="D38" s="65" t="n">
        <f aca="false">IF($A38&gt;D$33,SUMPRODUCT($B$17:$F$17/(1+$A38)^$B$14:$F$14)+$F$17*(1+D$33)/($A38-D$33)/(1+$A38)^$F$14,"n/a")</f>
        <v>-1011411.61279486</v>
      </c>
      <c r="E38" s="65" t="n">
        <f aca="false">IF($A38&gt;E$33,SUMPRODUCT($B$17:$F$17/(1+$A38)^$B$14:$F$14)+$F$17*(1+E$33)/($A38-E$33)/(1+$A38)^$F$14,"n/a")</f>
        <v>-1004380.40660882</v>
      </c>
      <c r="F38" s="65" t="n">
        <f aca="false">IF($A38&gt;F$33,SUMPRODUCT($B$17:$F$17/(1+$A38)^$B$14:$F$14)+$F$17*(1+F$33)/($A38-F$33)/(1+$A38)^$F$14,"n/a")</f>
        <v>-996979.136939296</v>
      </c>
    </row>
    <row r="40" customFormat="false" ht="15" hidden="false" customHeight="false" outlineLevel="0" collapsed="false">
      <c r="A40" s="38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192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193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194</v>
      </c>
      <c r="B5" s="7"/>
      <c r="C5" s="7"/>
    </row>
    <row r="6" customFormat="false" ht="15" hidden="false" customHeight="false" outlineLevel="0" collapsed="false">
      <c r="B6" s="50" t="s">
        <v>195</v>
      </c>
      <c r="C6" s="50" t="s">
        <v>196</v>
      </c>
    </row>
    <row r="7" customFormat="false" ht="15" hidden="false" customHeight="false" outlineLevel="0" collapsed="false">
      <c r="A7" s="6" t="s">
        <v>197</v>
      </c>
      <c r="B7" s="78" t="n">
        <f aca="false">Inputs!$E$34</f>
        <v>760000</v>
      </c>
      <c r="C7" s="72" t="n">
        <f aca="false">IF($B$9=0,0,B7/$B$9)</f>
        <v>0.387755102040816</v>
      </c>
    </row>
    <row r="8" customFormat="false" ht="15" hidden="false" customHeight="false" outlineLevel="0" collapsed="false">
      <c r="A8" s="6" t="s">
        <v>198</v>
      </c>
      <c r="B8" s="78" t="n">
        <f aca="false">Inputs!$E$35</f>
        <v>1200000</v>
      </c>
      <c r="C8" s="72" t="n">
        <f aca="false">IF($B$9=0,0,B8/$B$9)</f>
        <v>0.612244897959184</v>
      </c>
    </row>
    <row r="9" customFormat="false" ht="15" hidden="false" customHeight="false" outlineLevel="0" collapsed="false">
      <c r="A9" s="4" t="s">
        <v>199</v>
      </c>
      <c r="B9" s="79" t="n">
        <f aca="false">B7+B8</f>
        <v>1960000</v>
      </c>
      <c r="C9" s="80" t="n">
        <f aca="false">IF(B9=0,0,1)</f>
        <v>1</v>
      </c>
    </row>
    <row r="10" customFormat="false" ht="15" hidden="false" customHeight="false" outlineLevel="0" collapsed="false">
      <c r="A10" s="6" t="s">
        <v>200</v>
      </c>
      <c r="B10" s="76" t="n">
        <f aca="false">IF(B7&lt;=0,IF(B8&gt;0,"n/a",0),B8/B7)</f>
        <v>1.57894736842105</v>
      </c>
      <c r="D10" s="18" t="s">
        <v>201</v>
      </c>
    </row>
    <row r="11" customFormat="false" ht="15" hidden="false" customHeight="false" outlineLevel="0" collapsed="false">
      <c r="A11" s="6" t="s">
        <v>202</v>
      </c>
      <c r="B11" s="78" t="n">
        <f aca="false">'Break-even'!B12</f>
        <v>1913996.98294858</v>
      </c>
    </row>
    <row r="12" customFormat="false" ht="15" hidden="false" customHeight="false" outlineLevel="0" collapsed="false">
      <c r="A12" s="68" t="s">
        <v>67</v>
      </c>
      <c r="B12" s="81" t="n">
        <f aca="false">'Break-even'!B17</f>
        <v>46003.0170514176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203</v>
      </c>
      <c r="B15" s="82" t="n">
        <v>12</v>
      </c>
      <c r="D15" s="18" t="s">
        <v>204</v>
      </c>
    </row>
    <row r="16" customFormat="false" ht="15" hidden="false" customHeight="false" outlineLevel="0" collapsed="false">
      <c r="A16" s="6" t="s">
        <v>205</v>
      </c>
      <c r="B16" s="63" t="n">
        <f aca="false">MIN(60,MAX(1,ROUND(B15,0)))</f>
        <v>12</v>
      </c>
    </row>
    <row r="17" customFormat="false" ht="15" hidden="false" customHeight="false" outlineLevel="0" collapsed="false">
      <c r="A17" s="33" t="s">
        <v>206</v>
      </c>
      <c r="B17" s="50" t="s">
        <v>195</v>
      </c>
      <c r="C17" s="50" t="s">
        <v>196</v>
      </c>
    </row>
    <row r="18" customFormat="false" ht="15" hidden="false" customHeight="false" outlineLevel="0" collapsed="false">
      <c r="A18" s="6" t="s">
        <v>64</v>
      </c>
      <c r="B18" s="59" t="n">
        <f aca="false">SUMPRODUCT(--(Monthly!$C$4:$BJ$4&lt;=$B$16),Monthly!$C$67:$BJ$67)</f>
        <v>760000</v>
      </c>
      <c r="C18" s="72" t="n">
        <f aca="false">IF($B$21=0,0,B18/$B$21)</f>
        <v>0.378359921311033</v>
      </c>
    </row>
    <row r="19" customFormat="false" ht="15" hidden="false" customHeight="false" outlineLevel="0" collapsed="false">
      <c r="A19" s="6" t="s">
        <v>207</v>
      </c>
      <c r="B19" s="59" t="n">
        <f aca="false">SUMPRODUCT(--(Monthly!$C$4:$BJ$4&lt;=$B$16),Monthly!$C$50:$BJ$50)</f>
        <v>1200000</v>
      </c>
      <c r="C19" s="72" t="n">
        <f aca="false">IF($B$21=0,0,B19/$B$21)</f>
        <v>0.597410402070052</v>
      </c>
    </row>
    <row r="20" customFormat="false" ht="15" hidden="false" customHeight="false" outlineLevel="0" collapsed="false">
      <c r="A20" s="6" t="s">
        <v>208</v>
      </c>
      <c r="B20" s="59" t="n">
        <f aca="false">MAX(0,SUMPRODUCT(--(Monthly!$C$4:$BJ$4&lt;=$B$16),Monthly!$C$65:$BJ$65))</f>
        <v>48669.4102445331</v>
      </c>
      <c r="C20" s="72" t="n">
        <f aca="false">IF($B$21=0,0,B20/$B$21)</f>
        <v>0.0242296766189157</v>
      </c>
    </row>
    <row r="21" customFormat="false" ht="15" hidden="false" customHeight="false" outlineLevel="0" collapsed="false">
      <c r="A21" s="4" t="s">
        <v>209</v>
      </c>
      <c r="B21" s="79" t="n">
        <f aca="false">SUM(B18:B20)</f>
        <v>2008669.41024453</v>
      </c>
      <c r="C21" s="80" t="n">
        <f aca="false">IF(B21=0,0,1)</f>
        <v>1</v>
      </c>
    </row>
    <row r="23" customFormat="false" ht="15" hidden="false" customHeight="false" outlineLevel="0" collapsed="false">
      <c r="A23" s="33" t="s">
        <v>210</v>
      </c>
      <c r="B23" s="50" t="s">
        <v>195</v>
      </c>
      <c r="C23" s="50" t="s">
        <v>196</v>
      </c>
    </row>
    <row r="24" customFormat="false" ht="15" hidden="false" customHeight="false" outlineLevel="0" collapsed="false">
      <c r="A24" s="6" t="s">
        <v>211</v>
      </c>
      <c r="B24" s="59" t="n">
        <f aca="false">MAX(0,-SUMPRODUCT(--(Monthly!$C$4:$BJ$4&lt;=$B$16),Monthly!$C$65:$BJ$65))</f>
        <v>0</v>
      </c>
      <c r="C24" s="72" t="n">
        <f aca="false">IF($B$28=0,0,B24/$B$28)</f>
        <v>0</v>
      </c>
    </row>
    <row r="25" customFormat="false" ht="15" hidden="false" customHeight="false" outlineLevel="0" collapsed="false">
      <c r="A25" s="6" t="s">
        <v>84</v>
      </c>
      <c r="B25" s="59" t="n">
        <f aca="false">-SUMPRODUCT(--(Monthly!$C$4:$BJ$4&lt;=$B$16),Monthly!$C$66:$BJ$66)</f>
        <v>1909000</v>
      </c>
      <c r="C25" s="72" t="n">
        <f aca="false">IF($B$28=0,0,B25/$B$28)</f>
        <v>0.950380381293107</v>
      </c>
    </row>
    <row r="26" customFormat="false" ht="15" hidden="false" customHeight="false" outlineLevel="0" collapsed="false">
      <c r="A26" s="6" t="s">
        <v>212</v>
      </c>
      <c r="B26" s="59" t="n">
        <f aca="false">-SUMPRODUCT(--(Monthly!$C$4:$BJ$4&lt;=$B$16),Monthly!$C$52:$BJ$52)</f>
        <v>13412.7056275198</v>
      </c>
      <c r="C26" s="72" t="n">
        <f aca="false">IF($B$28=0,0,B26/$B$28)</f>
        <v>0.00667740821815323</v>
      </c>
    </row>
    <row r="27" customFormat="false" ht="15" hidden="false" customHeight="false" outlineLevel="0" collapsed="false">
      <c r="A27" s="6" t="s">
        <v>213</v>
      </c>
      <c r="B27" s="59" t="n">
        <f aca="false">INDEX(Monthly!$C$71:$BJ$71,$B$16)</f>
        <v>86256.7046170131</v>
      </c>
      <c r="C27" s="72" t="n">
        <f aca="false">IF($B$28=0,0,B27/$B$28)</f>
        <v>0.0429422104887396</v>
      </c>
    </row>
    <row r="28" customFormat="false" ht="15" hidden="false" customHeight="false" outlineLevel="0" collapsed="false">
      <c r="A28" s="4" t="s">
        <v>214</v>
      </c>
      <c r="B28" s="79" t="n">
        <f aca="false">SUM(B24:B27)</f>
        <v>2008669.41024453</v>
      </c>
      <c r="C28" s="80" t="n">
        <f aca="false">IF(B28=0,0,1)</f>
        <v>1</v>
      </c>
    </row>
    <row r="29" customFormat="false" ht="15" hidden="false" customHeight="false" outlineLevel="0" collapsed="false">
      <c r="A29" s="6" t="s">
        <v>215</v>
      </c>
      <c r="B29" s="59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217</v>
      </c>
    </row>
    <row r="4" customFormat="false" ht="15.75" hidden="false" customHeight="true" outlineLevel="0" collapsed="false">
      <c r="A4" s="7" t="s">
        <v>218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0" t="s">
        <v>219</v>
      </c>
    </row>
    <row r="6" customFormat="false" ht="15" hidden="false" customHeight="false" outlineLevel="0" collapsed="false">
      <c r="A6" s="38" t="s">
        <v>220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0.03</v>
      </c>
      <c r="D6" s="39" t="n">
        <f aca="false">IF(N('P&amp;L'!C5)&lt;=0,"n/a",'P&amp;L'!D5/'P&amp;L'!C5-1)</f>
        <v>0.03</v>
      </c>
      <c r="E6" s="39" t="n">
        <f aca="false">IF(N('P&amp;L'!D5)&lt;=0,"n/a",'P&amp;L'!E5/'P&amp;L'!D5-1)</f>
        <v>0.03</v>
      </c>
      <c r="F6" s="39" t="n">
        <f aca="false">IF(N('P&amp;L'!E5)&lt;=0,"n/a",'P&amp;L'!F5/'P&amp;L'!E5-1)</f>
        <v>0.0300000000000003</v>
      </c>
      <c r="G6" s="83"/>
    </row>
    <row r="7" customFormat="false" ht="15" hidden="false" customHeight="false" outlineLevel="0" collapsed="false">
      <c r="A7" s="38" t="s">
        <v>47</v>
      </c>
      <c r="B7" s="39" t="n">
        <f aca="false">IF('P&amp;L'!B5&lt;=0,"n/a",'P&amp;L'!B7/'P&amp;L'!B5)</f>
        <v>0.885949656750572</v>
      </c>
      <c r="C7" s="39" t="n">
        <f aca="false">IF('P&amp;L'!C5&lt;=0,"n/a",'P&amp;L'!C7/'P&amp;L'!C5)</f>
        <v>0.885949656750572</v>
      </c>
      <c r="D7" s="39" t="n">
        <f aca="false">IF('P&amp;L'!D5&lt;=0,"n/a",'P&amp;L'!D7/'P&amp;L'!D5)</f>
        <v>0.885949656750572</v>
      </c>
      <c r="E7" s="39" t="n">
        <f aca="false">IF('P&amp;L'!E5&lt;=0,"n/a",'P&amp;L'!E7/'P&amp;L'!E5)</f>
        <v>0.885949656750572</v>
      </c>
      <c r="F7" s="39" t="n">
        <f aca="false">IF('P&amp;L'!F5&lt;=0,"n/a",'P&amp;L'!F7/'P&amp;L'!F5)</f>
        <v>0.885949656750572</v>
      </c>
      <c r="G7" s="83"/>
    </row>
    <row r="8" customFormat="false" ht="15" hidden="false" customHeight="false" outlineLevel="0" collapsed="false">
      <c r="A8" s="38" t="s">
        <v>50</v>
      </c>
      <c r="B8" s="39" t="n">
        <f aca="false">IF('P&amp;L'!B5&lt;=0,"n/a",'P&amp;L'!B14/'P&amp;L'!B5)</f>
        <v>0.637376048817696</v>
      </c>
      <c r="C8" s="39" t="n">
        <f aca="false">IF('P&amp;L'!C5&lt;=0,"n/a",'P&amp;L'!C14/'P&amp;L'!C5)</f>
        <v>0.637376048817697</v>
      </c>
      <c r="D8" s="39" t="n">
        <f aca="false">IF('P&amp;L'!D5&lt;=0,"n/a",'P&amp;L'!D14/'P&amp;L'!D5)</f>
        <v>0.637376048817697</v>
      </c>
      <c r="E8" s="39" t="n">
        <f aca="false">IF('P&amp;L'!E5&lt;=0,"n/a",'P&amp;L'!E14/'P&amp;L'!E5)</f>
        <v>0.637376048817696</v>
      </c>
      <c r="F8" s="39" t="n">
        <f aca="false">IF('P&amp;L'!F5&lt;=0,"n/a",'P&amp;L'!F14/'P&amp;L'!F5)</f>
        <v>0.637376048817696</v>
      </c>
      <c r="G8" s="83"/>
    </row>
    <row r="9" customFormat="false" ht="15" hidden="false" customHeight="false" outlineLevel="0" collapsed="false">
      <c r="A9" s="38" t="s">
        <v>52</v>
      </c>
      <c r="B9" s="39" t="n">
        <f aca="false">IF('P&amp;L'!B5&lt;=0,"n/a",'P&amp;L'!B21/'P&amp;L'!B5)</f>
        <v>-0.0468124900850244</v>
      </c>
      <c r="C9" s="39" t="n">
        <f aca="false">IF('P&amp;L'!C5&lt;=0,"n/a",'P&amp;L'!C21/'P&amp;L'!C5)</f>
        <v>-0.0231002226620715</v>
      </c>
      <c r="D9" s="39" t="n">
        <f aca="false">IF('P&amp;L'!D5&lt;=0,"n/a",'P&amp;L'!D21/'P&amp;L'!D5)</f>
        <v>8.05846281586036E-005</v>
      </c>
      <c r="E9" s="39" t="n">
        <f aca="false">IF('P&amp;L'!E5&lt;=0,"n/a",'P&amp;L'!E21/'P&amp;L'!E5)</f>
        <v>0.0227511252761191</v>
      </c>
      <c r="F9" s="39" t="n">
        <f aca="false">IF('P&amp;L'!F5&lt;=0,"n/a",'P&amp;L'!F21/'P&amp;L'!F5)</f>
        <v>0.0440156685089506</v>
      </c>
      <c r="G9" s="83"/>
    </row>
    <row r="10" customFormat="false" ht="15" hidden="false" customHeight="false" outlineLevel="0" collapsed="false">
      <c r="A10" s="38" t="s">
        <v>221</v>
      </c>
      <c r="B10" s="39" t="n">
        <f aca="false">IF('P&amp;L'!B5&lt;=0,"n/a",-SUMIF(Headcount!$C$5:$BJ$5,B$5,Headcount!$C$7:$BJ$7)/'P&amp;L'!B5)</f>
        <v>-0</v>
      </c>
      <c r="C10" s="39" t="n">
        <f aca="false">IF('P&amp;L'!C5&lt;=0,"n/a",-SUMIF(Headcount!$C$5:$BJ$5,C$5,Headcount!$C$7:$BJ$7)/'P&amp;L'!C5)</f>
        <v>-0</v>
      </c>
      <c r="D10" s="39" t="n">
        <f aca="false">IF('P&amp;L'!D5&lt;=0,"n/a",-SUMIF(Headcount!$C$5:$BJ$5,D$5,Headcount!$C$7:$BJ$7)/'P&amp;L'!D5)</f>
        <v>-0</v>
      </c>
      <c r="E10" s="39" t="n">
        <f aca="false">IF('P&amp;L'!E5&lt;=0,"n/a",-SUMIF(Headcount!$C$5:$BJ$5,E$5,Headcount!$C$7:$BJ$7)/'P&amp;L'!E5)</f>
        <v>-0</v>
      </c>
      <c r="F10" s="39" t="n">
        <f aca="false">IF('P&amp;L'!F5&lt;=0,"n/a",-SUMIF(Headcount!$C$5:$BJ$5,F$5,Headcount!$C$7:$BJ$7)/'P&amp;L'!F5)</f>
        <v>-0</v>
      </c>
      <c r="G10" s="83"/>
    </row>
    <row r="11" customFormat="false" ht="15" hidden="false" customHeight="false" outlineLevel="0" collapsed="false">
      <c r="A11" s="38" t="s">
        <v>222</v>
      </c>
      <c r="B11" s="39" t="n">
        <f aca="false">IF('P&amp;L'!B5&lt;=0,"n/a",-'P&amp;L'!B13/'P&amp;L'!B5)</f>
        <v>0.248573607932876</v>
      </c>
      <c r="C11" s="39" t="n">
        <f aca="false">IF('P&amp;L'!C5&lt;=0,"n/a",-'P&amp;L'!C13/'P&amp;L'!C5)</f>
        <v>0.248573607932876</v>
      </c>
      <c r="D11" s="39" t="n">
        <f aca="false">IF('P&amp;L'!D5&lt;=0,"n/a",-'P&amp;L'!D13/'P&amp;L'!D5)</f>
        <v>0.248573607932876</v>
      </c>
      <c r="E11" s="39" t="n">
        <f aca="false">IF('P&amp;L'!E5&lt;=0,"n/a",-'P&amp;L'!E13/'P&amp;L'!E5)</f>
        <v>0.248573607932876</v>
      </c>
      <c r="F11" s="39" t="n">
        <f aca="false">IF('P&amp;L'!F5&lt;=0,"n/a",-'P&amp;L'!F13/'P&amp;L'!F5)</f>
        <v>0.248573607932876</v>
      </c>
      <c r="G11" s="83"/>
    </row>
    <row r="12" customFormat="false" ht="15" hidden="false" customHeight="false" outlineLevel="0" collapsed="false">
      <c r="A12" s="6" t="s">
        <v>223</v>
      </c>
      <c r="B12" s="43" t="n">
        <f aca="false">IF(('Balance Sheet'!B12-'Balance Sheet'!B11)&lt;=0,"n/a",('Balance Sheet'!B5+'Balance Sheet'!B6+'Balance Sheet'!B7)/('Balance Sheet'!B12-'Balance Sheet'!B11))</f>
        <v>92.3025196543747</v>
      </c>
      <c r="C12" s="43" t="n">
        <f aca="false">IF(('Balance Sheet'!C12-'Balance Sheet'!C11)&lt;=0,"n/a",('Balance Sheet'!C5+'Balance Sheet'!C6+'Balance Sheet'!C7)/('Balance Sheet'!C12-'Balance Sheet'!C11))</f>
        <v>125.462600564174</v>
      </c>
      <c r="D12" s="43" t="n">
        <f aca="false">IF(('Balance Sheet'!D12-'Balance Sheet'!D11)&lt;=0,"n/a",('Balance Sheet'!D5+'Balance Sheet'!D6+'Balance Sheet'!D7)/('Balance Sheet'!D12-'Balance Sheet'!D11))</f>
        <v>160.411043331664</v>
      </c>
      <c r="E12" s="43" t="n">
        <f aca="false">IF(('Balance Sheet'!E12-'Balance Sheet'!E11)&lt;=0,"n/a",('Balance Sheet'!E5+'Balance Sheet'!E6+'Balance Sheet'!E7)/('Balance Sheet'!E12-'Balance Sheet'!E11))</f>
        <v>197.015540637043</v>
      </c>
      <c r="F12" s="43" t="n">
        <f aca="false">IF(('Balance Sheet'!F12-'Balance Sheet'!F11)&lt;=0,"n/a",('Balance Sheet'!F5+'Balance Sheet'!F6+'Balance Sheet'!F7)/('Balance Sheet'!F12-'Balance Sheet'!F11))</f>
        <v>234.957110508741</v>
      </c>
      <c r="G12" s="84"/>
    </row>
    <row r="13" customFormat="false" ht="15" hidden="false" customHeight="false" outlineLevel="0" collapsed="false">
      <c r="A13" s="6" t="s">
        <v>224</v>
      </c>
      <c r="B13" s="43" t="n">
        <f aca="false">IF('Balance Sheet'!B15&lt;=0,"n/a",'Balance Sheet'!B11/'Balance Sheet'!B15)</f>
        <v>1.58044254827026</v>
      </c>
      <c r="C13" s="43" t="n">
        <f aca="false">IF('Balance Sheet'!C15&lt;=0,"n/a",'Balance Sheet'!C11/'Balance Sheet'!C15)</f>
        <v>1.57117295547677</v>
      </c>
      <c r="D13" s="43" t="n">
        <f aca="false">IF('Balance Sheet'!D15&lt;=0,"n/a",'Balance Sheet'!D11/'Balance Sheet'!D15)</f>
        <v>1.55067279901005</v>
      </c>
      <c r="E13" s="43" t="n">
        <f aca="false">IF('Balance Sheet'!E15&lt;=0,"n/a",'Balance Sheet'!E11/'Balance Sheet'!E15)</f>
        <v>1.51888531390014</v>
      </c>
      <c r="F13" s="43" t="n">
        <f aca="false">IF('Balance Sheet'!F15&lt;=0,"n/a",'Balance Sheet'!F11/'Balance Sheet'!F15)</f>
        <v>1.47658543130019</v>
      </c>
      <c r="G13" s="84"/>
    </row>
    <row r="14" customFormat="false" ht="15" hidden="false" customHeight="false" outlineLevel="0" collapsed="false">
      <c r="A14" s="38" t="s">
        <v>225</v>
      </c>
      <c r="B14" s="39" t="n">
        <f aca="false">IF('Balance Sheet'!B9&lt;=0,"n/a",'P&amp;L'!B21/'Balance Sheet'!B9)</f>
        <v>-0.00474931621771883</v>
      </c>
      <c r="C14" s="39" t="n">
        <f aca="false">IF('Balance Sheet'!C9&lt;=0,"n/a",'P&amp;L'!C21/'Balance Sheet'!C9)</f>
        <v>-0.00243776706981885</v>
      </c>
      <c r="D14" s="39" t="n">
        <f aca="false">IF('Balance Sheet'!D9&lt;=0,"n/a",'P&amp;L'!D21/'Balance Sheet'!D9)</f>
        <v>8.82925163287813E-006</v>
      </c>
      <c r="E14" s="39" t="n">
        <f aca="false">IF('Balance Sheet'!E9&lt;=0,"n/a",'P&amp;L'!E21/'Balance Sheet'!E9)</f>
        <v>0.00258293587803754</v>
      </c>
      <c r="F14" s="39" t="n">
        <f aca="false">IF('Balance Sheet'!F9&lt;=0,"n/a",'P&amp;L'!F21/'Balance Sheet'!F9)</f>
        <v>0.00516779188662857</v>
      </c>
      <c r="G14" s="83"/>
    </row>
    <row r="15" customFormat="false" ht="15" hidden="false" customHeight="false" outlineLevel="0" collapsed="false">
      <c r="A15" s="38" t="s">
        <v>226</v>
      </c>
      <c r="B15" s="39" t="n">
        <f aca="false">IF('Balance Sheet'!B15&lt;=0,"n/a",'P&amp;L'!B21/'Balance Sheet'!B15)</f>
        <v>-0.0122612490306579</v>
      </c>
      <c r="C15" s="39" t="n">
        <f aca="false">IF('Balance Sheet'!C15&lt;=0,"n/a",'P&amp;L'!C21/'Balance Sheet'!C15)</f>
        <v>-0.00627106563198487</v>
      </c>
      <c r="D15" s="39" t="n">
        <f aca="false">IF('Balance Sheet'!D15&lt;=0,"n/a",'P&amp;L'!D21/'Balance Sheet'!D15)</f>
        <v>2.25322637004357E-005</v>
      </c>
      <c r="E15" s="39" t="n">
        <f aca="false">IF('Balance Sheet'!E15&lt;=0,"n/a",'P&amp;L'!E21/'Balance Sheet'!E15)</f>
        <v>0.00650963123357937</v>
      </c>
      <c r="F15" s="39" t="n">
        <f aca="false">IF('Balance Sheet'!F15&lt;=0,"n/a",'P&amp;L'!F21/'Balance Sheet'!F15)</f>
        <v>0.0128056227947238</v>
      </c>
      <c r="G15" s="83"/>
    </row>
    <row r="17" customFormat="false" ht="15.75" hidden="false" customHeight="true" outlineLevel="0" collapsed="false">
      <c r="A17" s="7" t="s">
        <v>227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33"/>
      <c r="B18" s="34" t="n">
        <v>1</v>
      </c>
      <c r="C18" s="34" t="n">
        <v>2</v>
      </c>
      <c r="D18" s="34" t="n">
        <v>3</v>
      </c>
      <c r="E18" s="34" t="n">
        <v>4</v>
      </c>
      <c r="F18" s="34" t="n">
        <v>5</v>
      </c>
    </row>
    <row r="19" customFormat="false" ht="15" hidden="false" customHeight="false" outlineLevel="0" collapsed="false">
      <c r="A19" s="49" t="s">
        <v>52</v>
      </c>
      <c r="B19" s="39" t="n">
        <f aca="false">IF('P&amp;L'!B5&lt;=0,"n/a",'P&amp;L'!B21/'P&amp;L'!B5)</f>
        <v>-0.0468124900850244</v>
      </c>
      <c r="C19" s="39" t="n">
        <f aca="false">IF('P&amp;L'!C5&lt;=0,"n/a",'P&amp;L'!C21/'P&amp;L'!C5)</f>
        <v>-0.0231002226620715</v>
      </c>
      <c r="D19" s="39" t="n">
        <f aca="false">IF('P&amp;L'!D5&lt;=0,"n/a",'P&amp;L'!D21/'P&amp;L'!D5)</f>
        <v>8.05846281586036E-005</v>
      </c>
      <c r="E19" s="39" t="n">
        <f aca="false">IF('P&amp;L'!E5&lt;=0,"n/a",'P&amp;L'!E21/'P&amp;L'!E5)</f>
        <v>0.0227511252761191</v>
      </c>
      <c r="F19" s="39" t="n">
        <f aca="false">IF('P&amp;L'!F5&lt;=0,"n/a",'P&amp;L'!F21/'P&amp;L'!F5)</f>
        <v>0.0440156685089506</v>
      </c>
    </row>
    <row r="20" customFormat="false" ht="15" hidden="false" customHeight="false" outlineLevel="0" collapsed="false">
      <c r="A20" s="49" t="s">
        <v>228</v>
      </c>
      <c r="B20" s="43" t="n">
        <f aca="false">IF('Balance Sheet'!B9&lt;=0,"n/a",'P&amp;L'!B5/'Balance Sheet'!B9)</f>
        <v>0.101454039490161</v>
      </c>
      <c r="C20" s="43" t="n">
        <f aca="false">IF('Balance Sheet'!C9&lt;=0,"n/a",'P&amp;L'!C5/'Balance Sheet'!C9)</f>
        <v>0.10553002477424</v>
      </c>
      <c r="D20" s="43" t="n">
        <f aca="false">IF('Balance Sheet'!D9&lt;=0,"n/a",'P&amp;L'!D5/'Balance Sheet'!D9)</f>
        <v>0.109564960894288</v>
      </c>
      <c r="E20" s="43" t="n">
        <f aca="false">IF('Balance Sheet'!E9&lt;=0,"n/a",'P&amp;L'!E5/'Balance Sheet'!E9)</f>
        <v>0.113530027490497</v>
      </c>
      <c r="F20" s="43" t="n">
        <f aca="false">IF('Balance Sheet'!F9&lt;=0,"n/a",'P&amp;L'!F5/'Balance Sheet'!F9)</f>
        <v>0.117408006323423</v>
      </c>
    </row>
    <row r="21" customFormat="false" ht="15" hidden="false" customHeight="false" outlineLevel="0" collapsed="false">
      <c r="A21" s="49" t="s">
        <v>229</v>
      </c>
      <c r="B21" s="43" t="n">
        <f aca="false">IF('Balance Sheet'!B15&lt;=0,"n/a",'Balance Sheet'!B9/'Balance Sheet'!B15)</f>
        <v>2.58168723002976</v>
      </c>
      <c r="C21" s="43" t="n">
        <f aca="false">IF('Balance Sheet'!C15&lt;=0,"n/a",'Balance Sheet'!C9/'Balance Sheet'!C15)</f>
        <v>2.57246301733449</v>
      </c>
      <c r="D21" s="43" t="n">
        <f aca="false">IF('Balance Sheet'!D15&lt;=0,"n/a",'Balance Sheet'!D9/'Balance Sheet'!D15)</f>
        <v>2.55200153278345</v>
      </c>
      <c r="E21" s="43" t="n">
        <f aca="false">IF('Balance Sheet'!E15&lt;=0,"n/a",'Balance Sheet'!E9/'Balance Sheet'!E15)</f>
        <v>2.52024500063286</v>
      </c>
      <c r="F21" s="43" t="n">
        <f aca="false">IF('Balance Sheet'!F15&lt;=0,"n/a",'Balance Sheet'!F9/'Balance Sheet'!F15)</f>
        <v>2.47796797465042</v>
      </c>
    </row>
    <row r="22" customFormat="false" ht="15" hidden="false" customHeight="false" outlineLevel="0" collapsed="false">
      <c r="A22" s="40" t="s">
        <v>230</v>
      </c>
      <c r="B22" s="85" t="n">
        <f aca="false">IF(AND(ISNUMBER(B19),ISNUMBER(B20),ISNUMBER(B21)),B19*B20*B21,"n/a")</f>
        <v>-0.0122612490306579</v>
      </c>
      <c r="C22" s="85" t="n">
        <f aca="false">IF(AND(ISNUMBER(C19),ISNUMBER(C20),ISNUMBER(C21)),C19*C20*C21,"n/a")</f>
        <v>-0.00627106563198487</v>
      </c>
      <c r="D22" s="85" t="n">
        <f aca="false">IF(AND(ISNUMBER(D19),ISNUMBER(D20),ISNUMBER(D21)),D19*D20*D21,"n/a")</f>
        <v>2.25322637004357E-005</v>
      </c>
      <c r="E22" s="85" t="n">
        <f aca="false">IF(AND(ISNUMBER(E19),ISNUMBER(E20),ISNUMBER(E21)),E19*E20*E21,"n/a")</f>
        <v>0.00650963123357937</v>
      </c>
      <c r="F22" s="85" t="n">
        <f aca="false">IF(AND(ISNUMBER(F19),ISNUMBER(F20),ISNUMBER(F21)),F19*F20*F21,"n/a")</f>
        <v>0.0128056227947238</v>
      </c>
    </row>
    <row r="23" customFormat="false" ht="15" hidden="false" customHeight="false" outlineLevel="0" collapsed="false">
      <c r="A23" s="21" t="s">
        <v>231</v>
      </c>
      <c r="B23" s="39" t="n">
        <f aca="false">IF(AND(ISNUMBER(B22),ISNUMBER(B15)),B22-B15,IF(ISNUMBER(B22),1,IF(AND(ISNUMBER(B15),ISNUMBER(B19),ISNUMBER(B20)),1,0)))</f>
        <v>0</v>
      </c>
      <c r="C23" s="39" t="n">
        <f aca="false">IF(AND(ISNUMBER(C22),ISNUMBER(C15)),C22-C15,IF(ISNUMBER(C22),1,IF(AND(ISNUMBER(C15),ISNUMBER(C19),ISNUMBER(C20)),1,0)))</f>
        <v>0</v>
      </c>
      <c r="D23" s="39" t="n">
        <f aca="false">IF(AND(ISNUMBER(D22),ISNUMBER(D15)),D22-D15,IF(ISNUMBER(D22),1,IF(AND(ISNUMBER(D15),ISNUMBER(D19),ISNUMBER(D20)),1,0)))</f>
        <v>0</v>
      </c>
      <c r="E23" s="39" t="n">
        <f aca="false">IF(AND(ISNUMBER(E22),ISNUMBER(E15)),E22-E15,IF(ISNUMBER(E22),1,IF(AND(ISNUMBER(E15),ISNUMBER(E19),ISNUMBER(E20)),1,0)))</f>
        <v>0</v>
      </c>
      <c r="F23" s="39" t="n">
        <f aca="false">IF(AND(ISNUMBER(F22),ISNUMBER(F15)),F22-F15,IF(ISNUMBER(F22),1,IF(AND(ISNUMBER(F15),ISNUMBER(F19),ISNUMBER(F20)),1,0)))</f>
        <v>0</v>
      </c>
    </row>
    <row r="25" customFormat="false" ht="15.75" hidden="false" customHeight="true" outlineLevel="0" collapsed="false">
      <c r="A25" s="7" t="s">
        <v>232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70" t="s">
        <v>155</v>
      </c>
      <c r="B26" s="70" t="n">
        <v>1</v>
      </c>
      <c r="C26" s="70" t="n">
        <v>2</v>
      </c>
      <c r="D26" s="70" t="n">
        <v>3</v>
      </c>
      <c r="E26" s="70" t="n">
        <v>4</v>
      </c>
      <c r="F26" s="70" t="n">
        <v>5</v>
      </c>
    </row>
    <row r="27" customFormat="false" ht="15" hidden="false" customHeight="false" outlineLevel="0" collapsed="false">
      <c r="A27" s="33"/>
      <c r="B27" s="50" t="s">
        <v>156</v>
      </c>
      <c r="C27" s="50" t="s">
        <v>157</v>
      </c>
      <c r="D27" s="50" t="s">
        <v>158</v>
      </c>
      <c r="E27" s="50" t="s">
        <v>159</v>
      </c>
      <c r="F27" s="50" t="s">
        <v>160</v>
      </c>
      <c r="G27" s="50" t="s">
        <v>219</v>
      </c>
    </row>
    <row r="28" customFormat="false" ht="15" hidden="false" customHeight="false" outlineLevel="0" collapsed="false">
      <c r="A28" s="6" t="s">
        <v>233</v>
      </c>
      <c r="B28" s="86" t="n">
        <f aca="false">INDEX(Monthly!$C$8:$BJ$8,B$26*12)</f>
        <v>1700</v>
      </c>
      <c r="C28" s="86" t="n">
        <f aca="false">INDEX(Monthly!$C$8:$BJ$8,C$26*12)</f>
        <v>1751</v>
      </c>
      <c r="D28" s="86" t="n">
        <f aca="false">INDEX(Monthly!$C$8:$BJ$8,D$26*12)</f>
        <v>1803.53</v>
      </c>
      <c r="E28" s="86" t="n">
        <f aca="false">INDEX(Monthly!$C$8:$BJ$8,E$26*12)</f>
        <v>1857.6359</v>
      </c>
      <c r="F28" s="86" t="n">
        <f aca="false">INDEX(Monthly!$C$8:$BJ$8,F$26*12)</f>
        <v>1913.364977</v>
      </c>
      <c r="G28" s="87"/>
    </row>
    <row r="29" customFormat="false" ht="15" hidden="false" customHeight="false" outlineLevel="0" collapsed="false">
      <c r="A29" s="4" t="s">
        <v>234</v>
      </c>
      <c r="B29" s="88" t="n">
        <f aca="false">SUMIF(Monthly!$C$5:$BJ$5,B$26,Monthly!$C$9:$BJ$9)</f>
        <v>204000</v>
      </c>
      <c r="C29" s="88" t="n">
        <f aca="false">SUMIF(Monthly!$C$5:$BJ$5,C$26,Monthly!$C$9:$BJ$9)</f>
        <v>210120</v>
      </c>
      <c r="D29" s="88" t="n">
        <f aca="false">SUMIF(Monthly!$C$5:$BJ$5,D$26,Monthly!$C$9:$BJ$9)</f>
        <v>216423.6</v>
      </c>
      <c r="E29" s="88" t="n">
        <f aca="false">SUMIF(Monthly!$C$5:$BJ$5,E$26,Monthly!$C$9:$BJ$9)</f>
        <v>222916.308</v>
      </c>
      <c r="F29" s="88" t="n">
        <f aca="false">SUMIF(Monthly!$C$5:$BJ$5,F$26,Monthly!$C$9:$BJ$9)</f>
        <v>229603.79724</v>
      </c>
      <c r="G29" s="89"/>
    </row>
    <row r="30" customFormat="false" ht="15" hidden="false" customHeight="false" outlineLevel="0" collapsed="false">
      <c r="A30" s="6" t="s">
        <v>235</v>
      </c>
      <c r="B30" s="35" t="n">
        <f aca="false">SUMIF(Monthly!$C$5:$BJ$5,B$26,Monthly!$C$10:$BJ$10)</f>
        <v>-10200</v>
      </c>
      <c r="C30" s="35" t="n">
        <f aca="false">SUMIF(Monthly!$C$5:$BJ$5,C$26,Monthly!$C$10:$BJ$10)</f>
        <v>-10506</v>
      </c>
      <c r="D30" s="35" t="n">
        <f aca="false">SUMIF(Monthly!$C$5:$BJ$5,D$26,Monthly!$C$10:$BJ$10)</f>
        <v>-10821.18</v>
      </c>
      <c r="E30" s="35" t="n">
        <f aca="false">SUMIF(Monthly!$C$5:$BJ$5,E$26,Monthly!$C$10:$BJ$10)</f>
        <v>-11145.8154</v>
      </c>
      <c r="F30" s="35" t="n">
        <f aca="false">SUMIF(Monthly!$C$5:$BJ$5,F$26,Monthly!$C$10:$BJ$10)</f>
        <v>-11480.189862</v>
      </c>
      <c r="G30" s="89"/>
    </row>
    <row r="31" customFormat="false" ht="15" hidden="false" customHeight="false" outlineLevel="0" collapsed="false">
      <c r="A31" s="38" t="s">
        <v>236</v>
      </c>
      <c r="B31" s="90" t="n">
        <f aca="false">IF(B29=0,0,(B29+B30)/B29)</f>
        <v>0.95</v>
      </c>
      <c r="C31" s="90" t="n">
        <f aca="false">IF(C29=0,0,(C29+C30)/C29)</f>
        <v>0.95</v>
      </c>
      <c r="D31" s="90" t="n">
        <f aca="false">IF(D29=0,0,(D29+D30)/D29)</f>
        <v>0.95</v>
      </c>
      <c r="E31" s="90" t="n">
        <f aca="false">IF(E29=0,0,(E29+E30)/E29)</f>
        <v>0.95</v>
      </c>
      <c r="F31" s="90" t="n">
        <f aca="false">IF(F29=0,0,(F29+F30)/F29)</f>
        <v>0.95</v>
      </c>
      <c r="G31" s="91"/>
    </row>
    <row r="32" customFormat="false" ht="15" hidden="false" customHeight="false" outlineLevel="0" collapsed="false">
      <c r="A32" s="6" t="s">
        <v>237</v>
      </c>
      <c r="B32" s="35" t="n">
        <f aca="false">SUMIF(Monthly!$C$5:$BJ$5,B$26,Monthly!$C$12:$BJ$12)</f>
        <v>196650</v>
      </c>
      <c r="C32" s="35" t="n">
        <f aca="false">SUMIF(Monthly!$C$5:$BJ$5,C$26,Monthly!$C$12:$BJ$12)</f>
        <v>202549.5</v>
      </c>
      <c r="D32" s="35" t="n">
        <f aca="false">SUMIF(Monthly!$C$5:$BJ$5,D$26,Monthly!$C$12:$BJ$12)</f>
        <v>208625.985</v>
      </c>
      <c r="E32" s="35" t="n">
        <f aca="false">SUMIF(Monthly!$C$5:$BJ$5,E$26,Monthly!$C$12:$BJ$12)</f>
        <v>214884.76455</v>
      </c>
      <c r="F32" s="35" t="n">
        <f aca="false">SUMIF(Monthly!$C$5:$BJ$5,F$26,Monthly!$C$12:$BJ$12)</f>
        <v>221331.3074865</v>
      </c>
      <c r="G32" s="89"/>
    </row>
    <row r="33" customFormat="false" ht="15" hidden="false" customHeight="false" outlineLevel="0" collapsed="false">
      <c r="A33" s="4" t="s">
        <v>238</v>
      </c>
      <c r="B33" s="88" t="n">
        <f aca="false">SUMIF(Monthly!$C$5:$BJ$5,B$26,Monthly!$C$26:$BJ$26)</f>
        <v>125340</v>
      </c>
      <c r="C33" s="88" t="n">
        <f aca="false">SUMIF(Monthly!$C$5:$BJ$5,C$26,Monthly!$C$26:$BJ$26)</f>
        <v>129100.2</v>
      </c>
      <c r="D33" s="88" t="n">
        <f aca="false">SUMIF(Monthly!$C$5:$BJ$5,D$26,Monthly!$C$26:$BJ$26)</f>
        <v>132973.206</v>
      </c>
      <c r="E33" s="88" t="n">
        <f aca="false">SUMIF(Monthly!$C$5:$BJ$5,E$26,Monthly!$C$26:$BJ$26)</f>
        <v>136962.40218</v>
      </c>
      <c r="F33" s="88" t="n">
        <f aca="false">SUMIF(Monthly!$C$5:$BJ$5,F$26,Monthly!$C$26:$BJ$26)</f>
        <v>141071.2742454</v>
      </c>
      <c r="G33" s="89"/>
    </row>
    <row r="34" customFormat="false" ht="15" hidden="false" customHeight="false" outlineLevel="0" collapsed="false">
      <c r="A34" s="38" t="s">
        <v>239</v>
      </c>
      <c r="B34" s="90" t="n">
        <f aca="false">IF(B32=0,0,B33/B32)</f>
        <v>0.637376048817696</v>
      </c>
      <c r="C34" s="90" t="n">
        <f aca="false">IF(C32=0,0,C33/C32)</f>
        <v>0.637376048817697</v>
      </c>
      <c r="D34" s="90" t="n">
        <f aca="false">IF(D32=0,0,D33/D32)</f>
        <v>0.637376048817697</v>
      </c>
      <c r="E34" s="90" t="n">
        <f aca="false">IF(E32=0,0,E33/E32)</f>
        <v>0.637376048817696</v>
      </c>
      <c r="F34" s="90" t="n">
        <f aca="false">IF(F32=0,0,F33/F32)</f>
        <v>0.637376048817696</v>
      </c>
      <c r="G34" s="91"/>
    </row>
    <row r="35" customFormat="false" ht="15" hidden="false" customHeight="false" outlineLevel="0" collapsed="false">
      <c r="A35" s="38" t="s">
        <v>240</v>
      </c>
      <c r="B35" s="90" t="n">
        <f aca="false">IF(B32=0,0,1-B33/B32)</f>
        <v>0.362623951182304</v>
      </c>
      <c r="C35" s="90" t="n">
        <f aca="false">IF(C32=0,0,1-C33/C32)</f>
        <v>0.362623951182304</v>
      </c>
      <c r="D35" s="90" t="n">
        <f aca="false">IF(D32=0,0,1-D33/D32)</f>
        <v>0.362623951182304</v>
      </c>
      <c r="E35" s="90" t="n">
        <f aca="false">IF(E32=0,0,1-E33/E32)</f>
        <v>0.362623951182304</v>
      </c>
      <c r="F35" s="90" t="n">
        <f aca="false">IF(F32=0,0,1-F33/F32)</f>
        <v>0.362623951182304</v>
      </c>
      <c r="G35" s="91"/>
    </row>
    <row r="36" customFormat="false" ht="15" hidden="false" customHeight="false" outlineLevel="0" collapsed="false">
      <c r="A36" s="6" t="s">
        <v>241</v>
      </c>
      <c r="B36" s="92" t="n">
        <f aca="false">IF(Inputs!$E$10=0,0,B33/Inputs!$E$10)</f>
        <v>12534</v>
      </c>
      <c r="C36" s="92" t="n">
        <f aca="false">IF(Inputs!$E$10=0,0,C33/Inputs!$E$10)</f>
        <v>12910.02</v>
      </c>
      <c r="D36" s="92" t="n">
        <f aca="false">IF(Inputs!$E$10=0,0,D33/Inputs!$E$10)</f>
        <v>13297.3206</v>
      </c>
      <c r="E36" s="92" t="n">
        <f aca="false">IF(Inputs!$E$10=0,0,E33/Inputs!$E$10)</f>
        <v>13696.240218</v>
      </c>
      <c r="F36" s="92" t="n">
        <f aca="false">IF(Inputs!$E$10=0,0,F33/Inputs!$E$10)</f>
        <v>14107.12742454</v>
      </c>
      <c r="G36" s="93"/>
    </row>
    <row r="37" customFormat="false" ht="15" hidden="false" customHeight="false" outlineLevel="0" collapsed="false">
      <c r="A37" s="38" t="s">
        <v>242</v>
      </c>
      <c r="B37" s="90" t="n">
        <f aca="false">IF(Inputs!$E$7=0,0,B33/Inputs!$E$7)</f>
        <v>0.0677513513513514</v>
      </c>
      <c r="C37" s="90" t="n">
        <f aca="false">IF(Inputs!$E$7=0,0,C33/Inputs!$E$7)</f>
        <v>0.0697838918918919</v>
      </c>
      <c r="D37" s="90" t="n">
        <f aca="false">IF(Inputs!$E$7=0,0,D33/Inputs!$E$7)</f>
        <v>0.0718774086486487</v>
      </c>
      <c r="E37" s="90" t="n">
        <f aca="false">IF(Inputs!$E$7=0,0,E33/Inputs!$E$7)</f>
        <v>0.0740337309081081</v>
      </c>
      <c r="F37" s="90" t="n">
        <f aca="false">IF(Inputs!$E$7=0,0,F33/Inputs!$E$7)</f>
        <v>0.0762547428353514</v>
      </c>
      <c r="G37" s="91"/>
    </row>
    <row r="38" customFormat="false" ht="15" hidden="false" customHeight="false" outlineLevel="0" collapsed="false">
      <c r="A38" s="6" t="s">
        <v>61</v>
      </c>
      <c r="B38" s="35" t="n">
        <f aca="false">-SUMIF(Monthly!$C$5:$BJ$5,B$26,Monthly!$C$53:$BJ$53)</f>
        <v>91017.7953829868</v>
      </c>
      <c r="C38" s="35" t="n">
        <f aca="false">-SUMIF(Monthly!$C$5:$BJ$5,C$26,Monthly!$C$53:$BJ$53)</f>
        <v>91017.7953829868</v>
      </c>
      <c r="D38" s="35" t="n">
        <f aca="false">-SUMIF(Monthly!$C$5:$BJ$5,D$26,Monthly!$C$53:$BJ$53)</f>
        <v>91017.7953829868</v>
      </c>
      <c r="E38" s="35" t="n">
        <f aca="false">-SUMIF(Monthly!$C$5:$BJ$5,E$26,Monthly!$C$53:$BJ$53)</f>
        <v>91017.7953829868</v>
      </c>
      <c r="F38" s="35" t="n">
        <f aca="false">-SUMIF(Monthly!$C$5:$BJ$5,F$26,Monthly!$C$53:$BJ$53)</f>
        <v>91017.7953829868</v>
      </c>
      <c r="G38" s="89"/>
    </row>
    <row r="39" customFormat="false" ht="15" hidden="false" customHeight="false" outlineLevel="0" collapsed="false">
      <c r="A39" s="6" t="s">
        <v>243</v>
      </c>
      <c r="B39" s="94" t="n">
        <f aca="false">IF(B38&gt;0.5,B33/B38,"n/a")</f>
        <v>1.37709334172061</v>
      </c>
      <c r="C39" s="94" t="n">
        <f aca="false">IF(C38&gt;0.5,C33/C38,"n/a")</f>
        <v>1.41840614197223</v>
      </c>
      <c r="D39" s="94" t="n">
        <f aca="false">IF(D38&gt;0.5,D33/D38,"n/a")</f>
        <v>1.4609583262314</v>
      </c>
      <c r="E39" s="94" t="n">
        <f aca="false">IF(E38&gt;0.5,E33/E38,"n/a")</f>
        <v>1.50478707601834</v>
      </c>
      <c r="F39" s="94" t="n">
        <f aca="false">IF(F38&gt;0.5,F33/F38,"n/a")</f>
        <v>1.54993068829889</v>
      </c>
      <c r="G39" s="95"/>
    </row>
    <row r="40" customFormat="false" ht="15" hidden="false" customHeight="false" outlineLevel="0" collapsed="false">
      <c r="A40" s="6" t="s">
        <v>244</v>
      </c>
      <c r="B40" s="35" t="n">
        <f aca="false">INDEX(Monthly!$C$54:$BJ$54,B$26*12)</f>
        <v>1186587.29437248</v>
      </c>
      <c r="C40" s="35" t="n">
        <f aca="false">INDEX(Monthly!$C$54:$BJ$54,C$26*12)</f>
        <v>1172276.31500872</v>
      </c>
      <c r="D40" s="35" t="n">
        <f aca="false">INDEX(Monthly!$C$54:$BJ$54,D$26*12)</f>
        <v>1157006.902853</v>
      </c>
      <c r="E40" s="35" t="n">
        <f aca="false">INDEX(Monthly!$C$54:$BJ$54,E$26*12)</f>
        <v>1140714.86988622</v>
      </c>
      <c r="F40" s="35" t="n">
        <f aca="false">INDEX(Monthly!$C$54:$BJ$54,F$26*12)</f>
        <v>1123331.72929877</v>
      </c>
      <c r="G40" s="89"/>
    </row>
    <row r="41" customFormat="false" ht="15" hidden="false" customHeight="false" outlineLevel="0" collapsed="false">
      <c r="A41" s="38" t="s">
        <v>245</v>
      </c>
      <c r="B41" s="90" t="n">
        <f aca="false">IF(Inputs!$E$7=0,0,B40/Inputs!$E$7)</f>
        <v>0.641398537498638</v>
      </c>
      <c r="C41" s="90" t="n">
        <f aca="false">IF(Inputs!$E$7=0,0,C40/Inputs!$E$7)</f>
        <v>0.633662872977687</v>
      </c>
      <c r="D41" s="90" t="n">
        <f aca="false">IF(Inputs!$E$7=0,0,D40/Inputs!$E$7)</f>
        <v>0.625409136677297</v>
      </c>
      <c r="E41" s="90" t="n">
        <f aca="false">IF(Inputs!$E$7=0,0,E40/Inputs!$E$7)</f>
        <v>0.61660263237093</v>
      </c>
      <c r="F41" s="90" t="n">
        <f aca="false">IF(Inputs!$E$7=0,0,F40/Inputs!$E$7)</f>
        <v>0.607206340161497</v>
      </c>
      <c r="G41" s="91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6"/>
  </cols>
  <sheetData>
    <row r="1" customFormat="false" ht="21.75" hidden="false" customHeight="true" outlineLevel="0" collapsed="false">
      <c r="A1" s="16" t="s">
        <v>246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247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248</v>
      </c>
      <c r="B5" s="7"/>
      <c r="C5" s="7"/>
      <c r="D5" s="7"/>
      <c r="E5" s="7"/>
      <c r="F5" s="7"/>
      <c r="G5" s="7"/>
    </row>
    <row r="6" customFormat="false" ht="15" hidden="false" customHeight="false" outlineLevel="0" collapsed="false">
      <c r="A6" s="6" t="s">
        <v>249</v>
      </c>
      <c r="B6" s="67" t="n">
        <f aca="false">Inputs!$E$7</f>
        <v>1850000</v>
      </c>
    </row>
    <row r="7" customFormat="false" ht="15" hidden="false" customHeight="false" outlineLevel="0" collapsed="false">
      <c r="A7" s="6" t="s">
        <v>250</v>
      </c>
      <c r="B7" s="65" t="n">
        <f aca="false">B6*Inputs!$E$9</f>
        <v>55500</v>
      </c>
    </row>
    <row r="8" customFormat="false" ht="15" hidden="false" customHeight="false" outlineLevel="0" collapsed="false">
      <c r="A8" s="4" t="s">
        <v>251</v>
      </c>
      <c r="B8" s="66" t="n">
        <f aca="false">B6+B7</f>
        <v>1905500</v>
      </c>
    </row>
    <row r="9" customFormat="false" ht="15" hidden="false" customHeight="false" outlineLevel="0" collapsed="false">
      <c r="A9" s="6" t="s">
        <v>252</v>
      </c>
      <c r="B9" s="67" t="n">
        <f aca="false">Inputs!$E$35</f>
        <v>1200000</v>
      </c>
    </row>
    <row r="10" customFormat="false" ht="15" hidden="false" customHeight="false" outlineLevel="0" collapsed="false">
      <c r="A10" s="4" t="s">
        <v>253</v>
      </c>
      <c r="B10" s="71" t="n">
        <f aca="false">B8-B9</f>
        <v>705500</v>
      </c>
    </row>
    <row r="11" customFormat="false" ht="15" hidden="false" customHeight="false" outlineLevel="0" collapsed="false">
      <c r="A11" s="38" t="s">
        <v>254</v>
      </c>
      <c r="B11" s="72" t="n">
        <f aca="false">IF(B6&gt;0,B9/B6,0)</f>
        <v>0.648648648648649</v>
      </c>
    </row>
    <row r="13" customFormat="false" ht="15.75" hidden="false" customHeight="true" outlineLevel="0" collapsed="false">
      <c r="A13" s="7" t="s">
        <v>255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B14" s="50" t="s">
        <v>256</v>
      </c>
      <c r="C14" s="50" t="s">
        <v>156</v>
      </c>
      <c r="D14" s="50" t="s">
        <v>157</v>
      </c>
      <c r="E14" s="50" t="s">
        <v>158</v>
      </c>
      <c r="F14" s="50" t="s">
        <v>159</v>
      </c>
      <c r="G14" s="50" t="s">
        <v>160</v>
      </c>
    </row>
    <row r="15" customFormat="false" ht="15" hidden="false" customHeight="false" outlineLevel="0" collapsed="false">
      <c r="A15" s="6" t="s">
        <v>155</v>
      </c>
      <c r="B15" s="63" t="n">
        <f aca="false">0</f>
        <v>0</v>
      </c>
      <c r="C15" s="63" t="n">
        <f aca="false">B15+1</f>
        <v>1</v>
      </c>
      <c r="D15" s="63" t="n">
        <f aca="false">C15+1</f>
        <v>2</v>
      </c>
      <c r="E15" s="63" t="n">
        <f aca="false">D15+1</f>
        <v>3</v>
      </c>
      <c r="F15" s="63" t="n">
        <f aca="false">E15+1</f>
        <v>4</v>
      </c>
      <c r="G15" s="63" t="n">
        <f aca="false">F15+1</f>
        <v>5</v>
      </c>
    </row>
    <row r="16" customFormat="false" ht="15" hidden="false" customHeight="false" outlineLevel="0" collapsed="false">
      <c r="A16" s="6" t="s">
        <v>257</v>
      </c>
      <c r="B16" s="65" t="n">
        <f aca="false">-IF(B$15=0,$B$8,0)</f>
        <v>-1905500</v>
      </c>
      <c r="C16" s="65" t="n">
        <f aca="false">-IF(C$15=0,$B$8,0)</f>
        <v>-0</v>
      </c>
      <c r="D16" s="65" t="n">
        <f aca="false">-IF(D$15=0,$B$8,0)</f>
        <v>-0</v>
      </c>
      <c r="E16" s="65" t="n">
        <f aca="false">-IF(E$15=0,$B$8,0)</f>
        <v>-0</v>
      </c>
      <c r="F16" s="65" t="n">
        <f aca="false">-IF(F$15=0,$B$8,0)</f>
        <v>-0</v>
      </c>
      <c r="G16" s="65" t="n">
        <f aca="false">-IF(G$15=0,$B$8,0)</f>
        <v>-0</v>
      </c>
    </row>
    <row r="17" customFormat="false" ht="15" hidden="false" customHeight="false" outlineLevel="0" collapsed="false">
      <c r="A17" s="6" t="s">
        <v>238</v>
      </c>
      <c r="B17" s="65" t="n">
        <f aca="false">SUMIF(Monthly!$C$5:$BJ$5,B$15,Monthly!$C$26:$BJ$26)</f>
        <v>0</v>
      </c>
      <c r="C17" s="65" t="n">
        <f aca="false">SUMIF(Monthly!$C$5:$BJ$5,C$15,Monthly!$C$26:$BJ$26)</f>
        <v>125340</v>
      </c>
      <c r="D17" s="65" t="n">
        <f aca="false">SUMIF(Monthly!$C$5:$BJ$5,D$15,Monthly!$C$26:$BJ$26)</f>
        <v>129100.2</v>
      </c>
      <c r="E17" s="65" t="n">
        <f aca="false">SUMIF(Monthly!$C$5:$BJ$5,E$15,Monthly!$C$26:$BJ$26)</f>
        <v>132973.206</v>
      </c>
      <c r="F17" s="65" t="n">
        <f aca="false">SUMIF(Monthly!$C$5:$BJ$5,F$15,Monthly!$C$26:$BJ$26)</f>
        <v>136962.40218</v>
      </c>
      <c r="G17" s="65" t="n">
        <f aca="false">SUMIF(Monthly!$C$5:$BJ$5,G$15,Monthly!$C$26:$BJ$26)</f>
        <v>141071.2742454</v>
      </c>
    </row>
    <row r="18" customFormat="false" ht="15" hidden="false" customHeight="false" outlineLevel="0" collapsed="false">
      <c r="A18" s="6" t="s">
        <v>258</v>
      </c>
      <c r="B18" s="65" t="n">
        <f aca="false">-(SUMIF(Monthly!$C$5:$BJ$5,B$15,Monthly!$C$41:$BJ$41)-SUMIF(Monthly!$C$5:$BJ$5,B$15,Monthly!$C$38:$BJ$38))</f>
        <v>-0</v>
      </c>
      <c r="C18" s="65" t="n">
        <f aca="false">-(SUMIF(Monthly!$C$5:$BJ$5,C$15,Monthly!$C$41:$BJ$41)-SUMIF(Monthly!$C$5:$BJ$5,C$15,Monthly!$C$38:$BJ$38))</f>
        <v>-3500</v>
      </c>
      <c r="D18" s="65" t="n">
        <f aca="false">-(SUMIF(Monthly!$C$5:$BJ$5,D$15,Monthly!$C$41:$BJ$41)-SUMIF(Monthly!$C$5:$BJ$5,D$15,Monthly!$C$38:$BJ$38))</f>
        <v>-3605</v>
      </c>
      <c r="E18" s="65" t="n">
        <f aca="false">-(SUMIF(Monthly!$C$5:$BJ$5,E$15,Monthly!$C$41:$BJ$41)-SUMIF(Monthly!$C$5:$BJ$5,E$15,Monthly!$C$38:$BJ$38))</f>
        <v>-3713.15</v>
      </c>
      <c r="F18" s="65" t="n">
        <f aca="false">-(SUMIF(Monthly!$C$5:$BJ$5,F$15,Monthly!$C$41:$BJ$41)-SUMIF(Monthly!$C$5:$BJ$5,F$15,Monthly!$C$38:$BJ$38))</f>
        <v>-3824.5445</v>
      </c>
      <c r="G18" s="65" t="n">
        <f aca="false">-(SUMIF(Monthly!$C$5:$BJ$5,G$15,Monthly!$C$41:$BJ$41)-SUMIF(Monthly!$C$5:$BJ$5,G$15,Monthly!$C$38:$BJ$38))</f>
        <v>-3939.280835</v>
      </c>
    </row>
    <row r="19" customFormat="false" ht="15" hidden="false" customHeight="false" outlineLevel="0" collapsed="false">
      <c r="A19" s="6" t="s">
        <v>259</v>
      </c>
      <c r="B19" s="65" t="n">
        <f aca="false">IF(B$15=$G$15,$B$36,0)</f>
        <v>0</v>
      </c>
      <c r="C19" s="65" t="n">
        <f aca="false">IF(C$15=$G$15,$B$36,0)</f>
        <v>0</v>
      </c>
      <c r="D19" s="65" t="n">
        <f aca="false">IF(D$15=$G$15,$B$36,0)</f>
        <v>0</v>
      </c>
      <c r="E19" s="65" t="n">
        <f aca="false">IF(E$15=$G$15,$B$36,0)</f>
        <v>0</v>
      </c>
      <c r="F19" s="65" t="n">
        <f aca="false">IF(F$15=$G$15,$B$36,0)</f>
        <v>0</v>
      </c>
      <c r="G19" s="65" t="n">
        <f aca="false">IF(G$15=$G$15,$B$36,0)</f>
        <v>2045010.99035739</v>
      </c>
    </row>
    <row r="20" customFormat="false" ht="15" hidden="false" customHeight="false" outlineLevel="0" collapsed="false">
      <c r="A20" s="4" t="s">
        <v>260</v>
      </c>
      <c r="B20" s="66" t="n">
        <f aca="false">B16+B17+B18+B19</f>
        <v>-1905500</v>
      </c>
      <c r="C20" s="66" t="n">
        <f aca="false">C16+C17+C18+C19</f>
        <v>121840</v>
      </c>
      <c r="D20" s="66" t="n">
        <f aca="false">D16+D17+D18+D19</f>
        <v>125495.2</v>
      </c>
      <c r="E20" s="66" t="n">
        <f aca="false">E16+E17+E18+E19</f>
        <v>129260.056</v>
      </c>
      <c r="F20" s="66" t="n">
        <f aca="false">F16+F17+F18+F19</f>
        <v>133137.85768</v>
      </c>
      <c r="G20" s="66" t="n">
        <f aca="false">G16+G17+G18+G19</f>
        <v>2182142.98376779</v>
      </c>
    </row>
    <row r="21" customFormat="false" ht="15" hidden="false" customHeight="false" outlineLevel="0" collapsed="false">
      <c r="A21" s="6" t="s">
        <v>65</v>
      </c>
      <c r="B21" s="65" t="n">
        <f aca="false">IF(B$15=0,$B$9,0)</f>
        <v>1200000</v>
      </c>
      <c r="C21" s="65" t="n">
        <f aca="false">IF(C$15=0,$B$9,0)</f>
        <v>0</v>
      </c>
      <c r="D21" s="65" t="n">
        <f aca="false">IF(D$15=0,$B$9,0)</f>
        <v>0</v>
      </c>
      <c r="E21" s="65" t="n">
        <f aca="false">IF(E$15=0,$B$9,0)</f>
        <v>0</v>
      </c>
      <c r="F21" s="65" t="n">
        <f aca="false">IF(F$15=0,$B$9,0)</f>
        <v>0</v>
      </c>
      <c r="G21" s="65" t="n">
        <f aca="false">IF(G$15=0,$B$9,0)</f>
        <v>0</v>
      </c>
    </row>
    <row r="22" customFormat="false" ht="15" hidden="false" customHeight="false" outlineLevel="0" collapsed="false">
      <c r="A22" s="6" t="s">
        <v>80</v>
      </c>
      <c r="B22" s="65" t="n">
        <f aca="false">SUMIF(Monthly!$C$5:$BJ$5,B$15,Monthly!$C$30:$BJ$30)</f>
        <v>0</v>
      </c>
      <c r="C22" s="65" t="n">
        <f aca="false">SUMIF(Monthly!$C$5:$BJ$5,C$15,Monthly!$C$30:$BJ$30)</f>
        <v>-77605.089755467</v>
      </c>
      <c r="D22" s="65" t="n">
        <f aca="false">SUMIF(Monthly!$C$5:$BJ$5,D$15,Monthly!$C$30:$BJ$30)</f>
        <v>-76706.816019227</v>
      </c>
      <c r="E22" s="65" t="n">
        <f aca="false">SUMIF(Monthly!$C$5:$BJ$5,E$15,Monthly!$C$30:$BJ$30)</f>
        <v>-75748.3832272659</v>
      </c>
      <c r="F22" s="65" t="n">
        <f aca="false">SUMIF(Monthly!$C$5:$BJ$5,F$15,Monthly!$C$30:$BJ$30)</f>
        <v>-74725.7624162071</v>
      </c>
      <c r="G22" s="65" t="n">
        <f aca="false">SUMIF(Monthly!$C$5:$BJ$5,G$15,Monthly!$C$30:$BJ$30)</f>
        <v>-73634.6547955354</v>
      </c>
    </row>
    <row r="23" customFormat="false" ht="15" hidden="false" customHeight="false" outlineLevel="0" collapsed="false">
      <c r="A23" s="6" t="s">
        <v>261</v>
      </c>
      <c r="B23" s="65" t="n">
        <f aca="false">SUMIF(Monthly!$C$5:$BJ$5,B$15,Monthly!$C$52:$BJ$52)</f>
        <v>0</v>
      </c>
      <c r="C23" s="65" t="n">
        <f aca="false">SUMIF(Monthly!$C$5:$BJ$5,C$15,Monthly!$C$52:$BJ$52)</f>
        <v>-13412.7056275198</v>
      </c>
      <c r="D23" s="65" t="n">
        <f aca="false">SUMIF(Monthly!$C$5:$BJ$5,D$15,Monthly!$C$52:$BJ$52)</f>
        <v>-14310.9793637598</v>
      </c>
      <c r="E23" s="65" t="n">
        <f aca="false">SUMIF(Monthly!$C$5:$BJ$5,E$15,Monthly!$C$52:$BJ$52)</f>
        <v>-15269.4121557209</v>
      </c>
      <c r="F23" s="65" t="n">
        <f aca="false">SUMIF(Monthly!$C$5:$BJ$5,F$15,Monthly!$C$52:$BJ$52)</f>
        <v>-16292.0329667797</v>
      </c>
      <c r="G23" s="65" t="n">
        <f aca="false">SUMIF(Monthly!$C$5:$BJ$5,G$15,Monthly!$C$52:$BJ$52)</f>
        <v>-17383.1405874514</v>
      </c>
    </row>
    <row r="24" customFormat="false" ht="15" hidden="false" customHeight="false" outlineLevel="0" collapsed="false">
      <c r="A24" s="6" t="s">
        <v>262</v>
      </c>
      <c r="B24" s="65" t="n">
        <f aca="false">-IF(B$15=$G$15,$B$37,0)</f>
        <v>-0</v>
      </c>
      <c r="C24" s="65" t="n">
        <f aca="false">-IF(C$15=$G$15,$B$37,0)</f>
        <v>-0</v>
      </c>
      <c r="D24" s="65" t="n">
        <f aca="false">-IF(D$15=$G$15,$B$37,0)</f>
        <v>-0</v>
      </c>
      <c r="E24" s="65" t="n">
        <f aca="false">-IF(E$15=$G$15,$B$37,0)</f>
        <v>-0</v>
      </c>
      <c r="F24" s="65" t="n">
        <f aca="false">-IF(F$15=$G$15,$B$37,0)</f>
        <v>-0</v>
      </c>
      <c r="G24" s="65" t="n">
        <f aca="false">-IF(G$15=$G$15,$B$37,0)</f>
        <v>-1123331.72929877</v>
      </c>
    </row>
    <row r="25" customFormat="false" ht="15" hidden="false" customHeight="false" outlineLevel="0" collapsed="false">
      <c r="A25" s="4" t="s">
        <v>263</v>
      </c>
      <c r="B25" s="66" t="n">
        <f aca="false">B20+B21+B22+B23+B24</f>
        <v>-705500</v>
      </c>
      <c r="C25" s="66" t="n">
        <f aca="false">C20+C21+C22+C23+C24</f>
        <v>30822.2046170132</v>
      </c>
      <c r="D25" s="66" t="n">
        <f aca="false">D20+D21+D22+D23+D24</f>
        <v>34477.4046170132</v>
      </c>
      <c r="E25" s="66" t="n">
        <f aca="false">E20+E21+E22+E23+E24</f>
        <v>38242.2606170132</v>
      </c>
      <c r="F25" s="66" t="n">
        <f aca="false">F20+F21+F22+F23+F24</f>
        <v>42120.0622970132</v>
      </c>
      <c r="G25" s="66" t="n">
        <f aca="false">G20+G21+G22+G23+G24</f>
        <v>967793.459086036</v>
      </c>
    </row>
    <row r="26" customFormat="false" ht="15" hidden="false" customHeight="false" outlineLevel="0" collapsed="false">
      <c r="A26" s="6" t="s">
        <v>243</v>
      </c>
      <c r="B26" s="96" t="str">
        <f aca="false">IF(-(B22+B23)&gt;0.5,B17/-(B22+B23),"n/a")</f>
        <v>n/a</v>
      </c>
      <c r="C26" s="96" t="n">
        <f aca="false">IF(-(C22+C23)&gt;0.5,C17/-(C22+C23),"n/a")</f>
        <v>1.37709334172061</v>
      </c>
      <c r="D26" s="96" t="n">
        <f aca="false">IF(-(D22+D23)&gt;0.5,D17/-(D22+D23),"n/a")</f>
        <v>1.41840614197223</v>
      </c>
      <c r="E26" s="96" t="n">
        <f aca="false">IF(-(E22+E23)&gt;0.5,E17/-(E22+E23),"n/a")</f>
        <v>1.4609583262314</v>
      </c>
      <c r="F26" s="96" t="n">
        <f aca="false">IF(-(F22+F23)&gt;0.5,F17/-(F22+F23),"n/a")</f>
        <v>1.50478707601834</v>
      </c>
      <c r="G26" s="96" t="n">
        <f aca="false">IF(-(G22+G23)&gt;0.5,G17/-(G22+G23),"n/a")</f>
        <v>1.54993068829889</v>
      </c>
    </row>
    <row r="27" customFormat="false" ht="15" hidden="false" customHeight="false" outlineLevel="0" collapsed="false">
      <c r="A27" s="38" t="s">
        <v>264</v>
      </c>
      <c r="B27" s="72" t="str">
        <f aca="false">IF(AND(B$15&gt;0,$B$10&gt;0),(B17+B18+B22+B23)/$B$10,"n/a")</f>
        <v>n/a</v>
      </c>
      <c r="C27" s="72" t="n">
        <f aca="false">IF(AND(C$15&gt;0,$B$10&gt;0),(C17+C18+C22+C23)/$B$10,"n/a")</f>
        <v>0.0436884544535978</v>
      </c>
      <c r="D27" s="72" t="n">
        <f aca="false">IF(AND(D$15&gt;0,$B$10&gt;0),(D17+D18+D22+D23)/$B$10,"n/a")</f>
        <v>0.0488694608320528</v>
      </c>
      <c r="E27" s="72" t="n">
        <f aca="false">IF(AND(E$15&gt;0,$B$10&gt;0),(E17+E18+E22+E23)/$B$10,"n/a")</f>
        <v>0.0542058974018614</v>
      </c>
      <c r="F27" s="72" t="n">
        <f aca="false">IF(AND(F$15&gt;0,$B$10&gt;0),(F17+F18+F22+F23)/$B$10,"n/a")</f>
        <v>0.0597024270687643</v>
      </c>
      <c r="G27" s="72" t="n">
        <f aca="false">IF(AND(G$15&gt;0,$B$10&gt;0),(G17+G18+G22+G23)/$B$10,"n/a")</f>
        <v>0.0653638526256743</v>
      </c>
    </row>
    <row r="28" customFormat="false" ht="15" hidden="false" customHeight="false" outlineLevel="0" collapsed="false">
      <c r="A28" s="6" t="s">
        <v>265</v>
      </c>
      <c r="B28" s="63" t="n">
        <f aca="false">SIGN(B20)</f>
        <v>-1</v>
      </c>
      <c r="C28" s="63" t="n">
        <f aca="false">IF(C20=0,B28,SIGN(C20))</f>
        <v>1</v>
      </c>
      <c r="D28" s="63" t="n">
        <f aca="false">IF(D20=0,C28,SIGN(D20))</f>
        <v>1</v>
      </c>
      <c r="E28" s="63" t="n">
        <f aca="false">IF(E20=0,D28,SIGN(E20))</f>
        <v>1</v>
      </c>
      <c r="F28" s="63" t="n">
        <f aca="false">IF(F20=0,E28,SIGN(F20))</f>
        <v>1</v>
      </c>
      <c r="G28" s="63" t="n">
        <f aca="false">IF(G20=0,F28,SIGN(G20))</f>
        <v>1</v>
      </c>
    </row>
    <row r="29" customFormat="false" ht="15" hidden="false" customHeight="false" outlineLevel="0" collapsed="false">
      <c r="A29" s="6" t="s">
        <v>266</v>
      </c>
      <c r="B29" s="63" t="n">
        <f aca="false">SIGN(B25)</f>
        <v>-1</v>
      </c>
      <c r="C29" s="63" t="n">
        <f aca="false">IF(C25=0,B29,SIGN(C25))</f>
        <v>1</v>
      </c>
      <c r="D29" s="63" t="n">
        <f aca="false">IF(D25=0,C29,SIGN(D25))</f>
        <v>1</v>
      </c>
      <c r="E29" s="63" t="n">
        <f aca="false">IF(E25=0,D29,SIGN(E25))</f>
        <v>1</v>
      </c>
      <c r="F29" s="63" t="n">
        <f aca="false">IF(F25=0,E29,SIGN(F25))</f>
        <v>1</v>
      </c>
      <c r="G29" s="63" t="n">
        <f aca="false">IF(G25=0,F29,SIGN(G25))</f>
        <v>1</v>
      </c>
    </row>
    <row r="31" customFormat="false" ht="15.75" hidden="false" customHeight="true" outlineLevel="0" collapsed="false">
      <c r="A31" s="7" t="s">
        <v>267</v>
      </c>
      <c r="B31" s="7"/>
      <c r="C31" s="7"/>
      <c r="D31" s="7"/>
      <c r="E31" s="7"/>
      <c r="F31" s="7"/>
      <c r="G31" s="7"/>
    </row>
    <row r="32" customFormat="false" ht="15" hidden="false" customHeight="false" outlineLevel="0" collapsed="false">
      <c r="A32" s="6" t="s">
        <v>268</v>
      </c>
      <c r="B32" s="65" t="n">
        <f aca="false">G17*(1+Inputs!$E$14)</f>
        <v>145303.412472762</v>
      </c>
    </row>
    <row r="33" customFormat="false" ht="15" hidden="false" customHeight="false" outlineLevel="0" collapsed="false">
      <c r="A33" s="38" t="s">
        <v>269</v>
      </c>
      <c r="B33" s="73" t="n">
        <f aca="false">Inputs!$E$29</f>
        <v>0.0675</v>
      </c>
    </row>
    <row r="34" customFormat="false" ht="15" hidden="false" customHeight="false" outlineLevel="0" collapsed="false">
      <c r="A34" s="6" t="s">
        <v>270</v>
      </c>
      <c r="B34" s="65" t="n">
        <f aca="false">IF(B33&gt;0,B32/B33,0)</f>
        <v>2152643.14774462</v>
      </c>
    </row>
    <row r="35" customFormat="false" ht="15" hidden="false" customHeight="false" outlineLevel="0" collapsed="false">
      <c r="A35" s="6" t="s">
        <v>271</v>
      </c>
      <c r="B35" s="65" t="n">
        <f aca="false">-B34*Inputs!$E$30</f>
        <v>-107632.157387231</v>
      </c>
    </row>
    <row r="36" customFormat="false" ht="15" hidden="false" customHeight="false" outlineLevel="0" collapsed="false">
      <c r="A36" s="4" t="s">
        <v>272</v>
      </c>
      <c r="B36" s="66" t="n">
        <f aca="false">B34+B35</f>
        <v>2045010.99035739</v>
      </c>
    </row>
    <row r="37" customFormat="false" ht="15" hidden="false" customHeight="false" outlineLevel="0" collapsed="false">
      <c r="A37" s="6" t="s">
        <v>273</v>
      </c>
      <c r="B37" s="65" t="n">
        <f aca="false">INDEX(Monthly!$C$54:$BJ$54,60)</f>
        <v>1123331.72929877</v>
      </c>
    </row>
    <row r="38" customFormat="false" ht="15" hidden="false" customHeight="false" outlineLevel="0" collapsed="false">
      <c r="A38" s="4" t="s">
        <v>274</v>
      </c>
      <c r="B38" s="71" t="n">
        <f aca="false">B36-B37</f>
        <v>921679.261058623</v>
      </c>
    </row>
    <row r="40" customFormat="false" ht="15.75" hidden="false" customHeight="true" outlineLevel="0" collapsed="false">
      <c r="A40" s="7" t="s">
        <v>275</v>
      </c>
      <c r="B40" s="7"/>
      <c r="C40" s="7"/>
      <c r="D40" s="7"/>
      <c r="E40" s="7"/>
      <c r="F40" s="7"/>
      <c r="G40" s="7"/>
    </row>
    <row r="41" customFormat="false" ht="15" hidden="false" customHeight="false" outlineLevel="0" collapsed="false">
      <c r="B41" s="50" t="s">
        <v>276</v>
      </c>
      <c r="C41" s="50" t="s">
        <v>277</v>
      </c>
    </row>
    <row r="42" customFormat="false" ht="15" hidden="false" customHeight="false" outlineLevel="0" collapsed="false">
      <c r="A42" s="38" t="s">
        <v>278</v>
      </c>
      <c r="B42" s="72" t="n">
        <f aca="false">IF(B44=1,IFERROR(IRR($B$20:$G$20,B43),IFERROR(IRR($B$20:$G$20),"n/a")),"n/a")</f>
        <v>0.0800648743703037</v>
      </c>
      <c r="C42" s="72" t="n">
        <f aca="false">IF(C44=1,IFERROR(IRR($B$25:$G$25,C43),IFERROR(IRR($B$25:$G$25),"n/a")),"n/a")</f>
        <v>0.10318134786923</v>
      </c>
    </row>
    <row r="43" customFormat="false" ht="15" hidden="false" customHeight="false" outlineLevel="0" collapsed="false">
      <c r="A43" s="38" t="s">
        <v>279</v>
      </c>
      <c r="B43" s="72" t="n">
        <f aca="false">IF(AND(SUMIF($B$20:$G$20,"&gt;0")&gt;0,-SUMIF($B$20:$G$20,"&lt;0")&gt;0),MAX(-0.99,(SUMIF($B$20:$G$20,"&gt;0")/(-SUMIF($B$20:$G$20,"&lt;0")))^(1/$G$15)-1),0.1)</f>
        <v>0.0715420600990793</v>
      </c>
      <c r="C43" s="72" t="n">
        <f aca="false">IF(AND(SUMIF($B$25:$G$25,"&gt;0")&gt;0,-SUMIF($B$25:$G$25,"&lt;0")&gt;0),MAX(-0.99,(SUMIF($B$25:$G$25,"&gt;0")/(-SUMIF($B$25:$G$25,"&lt;0")))^(1/$G$15)-1),0.1)</f>
        <v>0.0955574610468881</v>
      </c>
    </row>
    <row r="44" customFormat="false" ht="15" hidden="false" customHeight="false" outlineLevel="0" collapsed="false">
      <c r="A44" s="6" t="s">
        <v>280</v>
      </c>
      <c r="B44" s="63" t="n">
        <f aca="false">IF(AND(SUMPRODUCT(--($B$28:$F$28*$C$28:$G$28&lt;0))=1,SUMIF($B$20:$G$20,"&gt;0")&gt;=0.25*-SUMIF($B$20:$G$20,"&lt;0")),1,0)</f>
        <v>1</v>
      </c>
      <c r="C44" s="63" t="n">
        <f aca="false">IF(AND(SUMPRODUCT(--($B$29:$F$29*$C$29:$G$29&lt;0))=1,SUMIF($B$25:$G$25,"&gt;0")&gt;=0.25*-SUMIF($B$25:$G$25,"&lt;0")),1,0)</f>
        <v>1</v>
      </c>
    </row>
    <row r="45" customFormat="false" ht="15" hidden="false" customHeight="false" outlineLevel="0" collapsed="false">
      <c r="A45" s="38" t="s">
        <v>281</v>
      </c>
      <c r="B45" s="73" t="n">
        <f aca="false">Inputs!$E$31</f>
        <v>0.1</v>
      </c>
    </row>
    <row r="46" customFormat="false" ht="15" hidden="false" customHeight="false" outlineLevel="0" collapsed="false">
      <c r="A46" s="4" t="s">
        <v>282</v>
      </c>
      <c r="B46" s="71" t="n">
        <f aca="false">$B$20+NPV($B$45,$C$20:$G$20)</f>
        <v>-148032.272276614</v>
      </c>
      <c r="C46" s="71" t="n">
        <f aca="false">$B$25+NPV($B$45,$C$25:$G$25)</f>
        <v>9438.04961431481</v>
      </c>
    </row>
    <row r="47" customFormat="false" ht="15" hidden="false" customHeight="false" outlineLevel="0" collapsed="false">
      <c r="A47" s="6" t="s">
        <v>283</v>
      </c>
      <c r="B47" s="65" t="n">
        <f aca="false">SUM($B$20:$G$20)</f>
        <v>786376.097447792</v>
      </c>
      <c r="C47" s="65" t="n">
        <f aca="false">SUM($B$25:$G$25)</f>
        <v>407955.391234089</v>
      </c>
    </row>
    <row r="48" customFormat="false" ht="15" hidden="false" customHeight="false" outlineLevel="0" collapsed="false">
      <c r="A48" s="6" t="s">
        <v>284</v>
      </c>
      <c r="B48" s="96" t="n">
        <f aca="false">IF($B$20&lt;0,SUM($C$20:$G$20)/-$B$20,"n/a")</f>
        <v>1.41268753474038</v>
      </c>
      <c r="C48" s="96" t="n">
        <f aca="false">IF($B$25&lt;0,SUM($C$25:$G$25)/-$B$25,"n/a")</f>
        <v>1.57825002301076</v>
      </c>
    </row>
    <row r="49" customFormat="false" ht="15" hidden="false" customHeight="false" outlineLevel="0" collapsed="false">
      <c r="A49" s="38" t="s">
        <v>285</v>
      </c>
      <c r="B49" s="72" t="n">
        <f aca="false">IF(B6&gt;0,C17/B6,0)</f>
        <v>0.0677513513513514</v>
      </c>
    </row>
    <row r="51" customFormat="false" ht="15" hidden="false" customHeight="false" outlineLevel="0" collapsed="false">
      <c r="A51" s="38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287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288</v>
      </c>
    </row>
    <row r="5" customFormat="false" ht="15" hidden="false" customHeight="false" outlineLevel="0" collapsed="false">
      <c r="A5" s="33" t="s">
        <v>104</v>
      </c>
      <c r="B5" s="50" t="s">
        <v>105</v>
      </c>
      <c r="C5" s="50" t="s">
        <v>106</v>
      </c>
      <c r="D5" s="50" t="s">
        <v>107</v>
      </c>
      <c r="E5" s="50" t="s">
        <v>108</v>
      </c>
      <c r="F5" s="33" t="s">
        <v>289</v>
      </c>
      <c r="G5" s="33" t="s">
        <v>290</v>
      </c>
    </row>
    <row r="6" customFormat="false" ht="15.75" hidden="false" customHeight="true" outlineLevel="0" collapsed="false">
      <c r="A6" s="7" t="s">
        <v>291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249</v>
      </c>
      <c r="B7" s="97" t="n">
        <v>1850000</v>
      </c>
      <c r="C7" s="97" t="n">
        <v>1850000</v>
      </c>
      <c r="D7" s="97" t="n">
        <v>1850000</v>
      </c>
      <c r="E7" s="98" t="n">
        <f aca="false">CHOOSE(Dashboard!$B$4,B7,C7,D7)</f>
        <v>1850000</v>
      </c>
      <c r="F7" s="38" t="s">
        <v>292</v>
      </c>
      <c r="G7" s="99"/>
    </row>
    <row r="8" customFormat="false" ht="15" hidden="false" customHeight="false" outlineLevel="0" collapsed="false">
      <c r="A8" s="6" t="s">
        <v>293</v>
      </c>
      <c r="B8" s="100" t="n">
        <v>0.2</v>
      </c>
      <c r="C8" s="100" t="n">
        <v>0.2</v>
      </c>
      <c r="D8" s="100" t="n">
        <v>0.2</v>
      </c>
      <c r="E8" s="101" t="n">
        <f aca="false">CHOOSE(Dashboard!$B$4,B8,C8,D8)</f>
        <v>0.2</v>
      </c>
      <c r="F8" s="38" t="s">
        <v>294</v>
      </c>
      <c r="G8" s="99"/>
    </row>
    <row r="9" customFormat="false" ht="15" hidden="false" customHeight="false" outlineLevel="0" collapsed="false">
      <c r="A9" s="6" t="s">
        <v>295</v>
      </c>
      <c r="B9" s="100" t="n">
        <v>0.03</v>
      </c>
      <c r="C9" s="100" t="n">
        <v>0.03</v>
      </c>
      <c r="D9" s="100" t="n">
        <v>0.03</v>
      </c>
      <c r="E9" s="101" t="n">
        <f aca="false">CHOOSE(Dashboard!$B$4,B9,C9,D9)</f>
        <v>0.03</v>
      </c>
      <c r="F9" s="38" t="s">
        <v>294</v>
      </c>
      <c r="G9" s="99" t="s">
        <v>296</v>
      </c>
    </row>
    <row r="10" customFormat="false" ht="15" hidden="false" customHeight="false" outlineLevel="0" collapsed="false">
      <c r="A10" s="6" t="s">
        <v>297</v>
      </c>
      <c r="B10" s="102" t="n">
        <v>10</v>
      </c>
      <c r="C10" s="102" t="n">
        <v>10</v>
      </c>
      <c r="D10" s="102" t="n">
        <v>10</v>
      </c>
      <c r="E10" s="103" t="n">
        <f aca="false">CHOOSE(Dashboard!$B$4,B10,C10,D10)</f>
        <v>10</v>
      </c>
      <c r="F10" s="38" t="s">
        <v>298</v>
      </c>
      <c r="G10" s="99"/>
    </row>
    <row r="12" customFormat="false" ht="15.75" hidden="false" customHeight="true" outlineLevel="0" collapsed="false">
      <c r="A12" s="7" t="s">
        <v>299</v>
      </c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6" t="s">
        <v>300</v>
      </c>
      <c r="B13" s="104" t="n">
        <v>1600</v>
      </c>
      <c r="C13" s="104" t="n">
        <v>1700</v>
      </c>
      <c r="D13" s="104" t="n">
        <v>1800</v>
      </c>
      <c r="E13" s="105" t="n">
        <f aca="false">CHOOSE(Dashboard!$B$4,B13,C13,D13)</f>
        <v>1700</v>
      </c>
      <c r="F13" s="38" t="s">
        <v>292</v>
      </c>
      <c r="G13" s="99" t="s">
        <v>301</v>
      </c>
    </row>
    <row r="14" customFormat="false" ht="15" hidden="false" customHeight="false" outlineLevel="0" collapsed="false">
      <c r="A14" s="6" t="s">
        <v>302</v>
      </c>
      <c r="B14" s="100" t="n">
        <v>0.02</v>
      </c>
      <c r="C14" s="100" t="n">
        <v>0.03</v>
      </c>
      <c r="D14" s="100" t="n">
        <v>0.04</v>
      </c>
      <c r="E14" s="101" t="n">
        <f aca="false">CHOOSE(Dashboard!$B$4,B14,C14,D14)</f>
        <v>0.03</v>
      </c>
      <c r="F14" s="38" t="s">
        <v>294</v>
      </c>
      <c r="G14" s="99" t="s">
        <v>301</v>
      </c>
    </row>
    <row r="15" customFormat="false" ht="15" hidden="false" customHeight="false" outlineLevel="0" collapsed="false">
      <c r="A15" s="6" t="s">
        <v>303</v>
      </c>
      <c r="B15" s="100" t="n">
        <v>0.08</v>
      </c>
      <c r="C15" s="100" t="n">
        <v>0.05</v>
      </c>
      <c r="D15" s="100" t="n">
        <v>0.04</v>
      </c>
      <c r="E15" s="101" t="n">
        <f aca="false">CHOOSE(Dashboard!$B$4,B15,C15,D15)</f>
        <v>0.05</v>
      </c>
      <c r="F15" s="38" t="s">
        <v>294</v>
      </c>
      <c r="G15" s="99" t="s">
        <v>296</v>
      </c>
    </row>
    <row r="16" customFormat="false" ht="15" hidden="false" customHeight="false" outlineLevel="0" collapsed="false">
      <c r="A16" s="6" t="s">
        <v>304</v>
      </c>
      <c r="B16" s="104" t="n">
        <v>20</v>
      </c>
      <c r="C16" s="104" t="n">
        <v>25</v>
      </c>
      <c r="D16" s="104" t="n">
        <v>30</v>
      </c>
      <c r="E16" s="105" t="n">
        <f aca="false">CHOOSE(Dashboard!$B$4,B16,C16,D16)</f>
        <v>25</v>
      </c>
      <c r="F16" s="38" t="s">
        <v>292</v>
      </c>
      <c r="G16" s="99" t="s">
        <v>301</v>
      </c>
    </row>
    <row r="18" customFormat="false" ht="15.75" hidden="false" customHeight="true" outlineLevel="0" collapsed="false">
      <c r="A18" s="7" t="s">
        <v>305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306</v>
      </c>
      <c r="B19" s="100" t="n">
        <v>0.07</v>
      </c>
      <c r="C19" s="100" t="n">
        <v>0.06</v>
      </c>
      <c r="D19" s="100" t="n">
        <v>0.05</v>
      </c>
      <c r="E19" s="101" t="n">
        <f aca="false">CHOOSE(Dashboard!$B$4,B19,C19,D19)</f>
        <v>0.06</v>
      </c>
      <c r="F19" s="38" t="s">
        <v>294</v>
      </c>
      <c r="G19" s="99" t="s">
        <v>296</v>
      </c>
    </row>
    <row r="20" customFormat="false" ht="15" hidden="false" customHeight="false" outlineLevel="0" collapsed="false">
      <c r="A20" s="6" t="s">
        <v>307</v>
      </c>
      <c r="B20" s="97" t="n">
        <v>900</v>
      </c>
      <c r="C20" s="97" t="n">
        <v>900</v>
      </c>
      <c r="D20" s="97" t="n">
        <v>900</v>
      </c>
      <c r="E20" s="98" t="n">
        <f aca="false">CHOOSE(Dashboard!$B$4,B20,C20,D20)</f>
        <v>900</v>
      </c>
      <c r="F20" s="38" t="s">
        <v>292</v>
      </c>
      <c r="G20" s="99"/>
    </row>
    <row r="21" customFormat="false" ht="15" hidden="false" customHeight="false" outlineLevel="0" collapsed="false">
      <c r="A21" s="6" t="s">
        <v>308</v>
      </c>
      <c r="B21" s="100" t="n">
        <v>0.011</v>
      </c>
      <c r="C21" s="100" t="n">
        <v>0.011</v>
      </c>
      <c r="D21" s="100" t="n">
        <v>0.011</v>
      </c>
      <c r="E21" s="101" t="n">
        <f aca="false">CHOOSE(Dashboard!$B$4,B21,C21,D21)</f>
        <v>0.011</v>
      </c>
      <c r="F21" s="38" t="s">
        <v>294</v>
      </c>
      <c r="G21" s="99"/>
    </row>
    <row r="22" customFormat="false" ht="15" hidden="false" customHeight="false" outlineLevel="0" collapsed="false">
      <c r="A22" s="6" t="s">
        <v>309</v>
      </c>
      <c r="B22" s="97" t="n">
        <v>800</v>
      </c>
      <c r="C22" s="97" t="n">
        <v>800</v>
      </c>
      <c r="D22" s="97" t="n">
        <v>800</v>
      </c>
      <c r="E22" s="98" t="n">
        <f aca="false">CHOOSE(Dashboard!$B$4,B22,C22,D22)</f>
        <v>800</v>
      </c>
      <c r="F22" s="38" t="s">
        <v>292</v>
      </c>
      <c r="G22" s="99"/>
    </row>
    <row r="23" customFormat="false" ht="15" hidden="false" customHeight="false" outlineLevel="0" collapsed="false">
      <c r="A23" s="6" t="s">
        <v>310</v>
      </c>
      <c r="B23" s="100" t="n">
        <v>0.08</v>
      </c>
      <c r="C23" s="100" t="n">
        <v>0.08</v>
      </c>
      <c r="D23" s="100" t="n">
        <v>0.08</v>
      </c>
      <c r="E23" s="101" t="n">
        <f aca="false">CHOOSE(Dashboard!$B$4,B23,C23,D23)</f>
        <v>0.08</v>
      </c>
      <c r="F23" s="38" t="s">
        <v>294</v>
      </c>
      <c r="G23" s="99" t="s">
        <v>296</v>
      </c>
    </row>
    <row r="24" customFormat="false" ht="15" hidden="false" customHeight="false" outlineLevel="0" collapsed="false">
      <c r="A24" s="6" t="s">
        <v>311</v>
      </c>
      <c r="B24" s="97" t="n">
        <v>400</v>
      </c>
      <c r="C24" s="97" t="n">
        <v>400</v>
      </c>
      <c r="D24" s="97" t="n">
        <v>400</v>
      </c>
      <c r="E24" s="98" t="n">
        <f aca="false">CHOOSE(Dashboard!$B$4,B24,C24,D24)</f>
        <v>400</v>
      </c>
      <c r="F24" s="38" t="s">
        <v>292</v>
      </c>
      <c r="G24" s="99"/>
    </row>
    <row r="25" customFormat="false" ht="15" hidden="false" customHeight="false" outlineLevel="0" collapsed="false">
      <c r="A25" s="6" t="s">
        <v>312</v>
      </c>
      <c r="B25" s="100" t="n">
        <v>0.04</v>
      </c>
      <c r="C25" s="100" t="n">
        <v>0.03</v>
      </c>
      <c r="D25" s="100" t="n">
        <v>0.025</v>
      </c>
      <c r="E25" s="101" t="n">
        <f aca="false">CHOOSE(Dashboard!$B$4,B25,C25,D25)</f>
        <v>0.03</v>
      </c>
      <c r="F25" s="38" t="s">
        <v>294</v>
      </c>
      <c r="G25" s="99" t="s">
        <v>296</v>
      </c>
    </row>
    <row r="26" customFormat="false" ht="15" hidden="false" customHeight="false" outlineLevel="0" collapsed="false">
      <c r="A26" s="6" t="s">
        <v>313</v>
      </c>
      <c r="B26" s="97" t="n">
        <v>350</v>
      </c>
      <c r="C26" s="97" t="n">
        <v>350</v>
      </c>
      <c r="D26" s="97" t="n">
        <v>350</v>
      </c>
      <c r="E26" s="98" t="n">
        <f aca="false">CHOOSE(Dashboard!$B$4,B26,C26,D26)</f>
        <v>350</v>
      </c>
      <c r="F26" s="38" t="s">
        <v>292</v>
      </c>
      <c r="G26" s="99"/>
    </row>
    <row r="28" customFormat="false" ht="15.75" hidden="false" customHeight="true" outlineLevel="0" collapsed="false">
      <c r="A28" s="7" t="s">
        <v>314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315</v>
      </c>
      <c r="B29" s="100" t="n">
        <v>0.0725</v>
      </c>
      <c r="C29" s="100" t="n">
        <v>0.0675</v>
      </c>
      <c r="D29" s="100" t="n">
        <v>0.0625</v>
      </c>
      <c r="E29" s="101" t="n">
        <f aca="false">CHOOSE(Dashboard!$B$4,B29,C29,D29)</f>
        <v>0.0675</v>
      </c>
      <c r="F29" s="38" t="s">
        <v>294</v>
      </c>
      <c r="G29" s="99" t="s">
        <v>296</v>
      </c>
    </row>
    <row r="30" customFormat="false" ht="15" hidden="false" customHeight="false" outlineLevel="0" collapsed="false">
      <c r="A30" s="6" t="s">
        <v>316</v>
      </c>
      <c r="B30" s="100" t="n">
        <v>0.06</v>
      </c>
      <c r="C30" s="100" t="n">
        <v>0.05</v>
      </c>
      <c r="D30" s="100" t="n">
        <v>0.05</v>
      </c>
      <c r="E30" s="101" t="n">
        <f aca="false">CHOOSE(Dashboard!$B$4,B30,C30,D30)</f>
        <v>0.05</v>
      </c>
      <c r="F30" s="38" t="s">
        <v>294</v>
      </c>
      <c r="G30" s="99" t="s">
        <v>296</v>
      </c>
    </row>
    <row r="31" customFormat="false" ht="15" hidden="false" customHeight="false" outlineLevel="0" collapsed="false">
      <c r="A31" s="6" t="s">
        <v>317</v>
      </c>
      <c r="B31" s="100" t="n">
        <v>0.1</v>
      </c>
      <c r="C31" s="100" t="n">
        <v>0.1</v>
      </c>
      <c r="D31" s="100" t="n">
        <v>0.1</v>
      </c>
      <c r="E31" s="101" t="n">
        <f aca="false">CHOOSE(Dashboard!$B$4,B31,C31,D31)</f>
        <v>0.1</v>
      </c>
      <c r="F31" s="38" t="s">
        <v>294</v>
      </c>
      <c r="G31" s="99"/>
    </row>
    <row r="33" customFormat="false" ht="15.75" hidden="false" customHeight="true" outlineLevel="0" collapsed="false">
      <c r="A33" s="7" t="s">
        <v>318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319</v>
      </c>
      <c r="B34" s="97" t="n">
        <v>760000</v>
      </c>
      <c r="C34" s="97" t="n">
        <v>760000</v>
      </c>
      <c r="D34" s="97" t="n">
        <v>760000</v>
      </c>
      <c r="E34" s="98" t="n">
        <f aca="false">CHOOSE(Dashboard!$B$4,B34,C34,D34)</f>
        <v>760000</v>
      </c>
      <c r="F34" s="38" t="s">
        <v>292</v>
      </c>
      <c r="G34" s="99"/>
    </row>
    <row r="35" customFormat="false" ht="15" hidden="false" customHeight="false" outlineLevel="0" collapsed="false">
      <c r="A35" s="6" t="s">
        <v>320</v>
      </c>
      <c r="B35" s="97" t="n">
        <v>1200000</v>
      </c>
      <c r="C35" s="97" t="n">
        <v>1200000</v>
      </c>
      <c r="D35" s="97" t="n">
        <v>1200000</v>
      </c>
      <c r="E35" s="98" t="n">
        <f aca="false">CHOOSE(Dashboard!$B$4,B35,C35,D35)</f>
        <v>1200000</v>
      </c>
      <c r="F35" s="38" t="s">
        <v>292</v>
      </c>
      <c r="G35" s="99"/>
    </row>
    <row r="36" customFormat="false" ht="15" hidden="false" customHeight="false" outlineLevel="0" collapsed="false">
      <c r="A36" s="6" t="s">
        <v>321</v>
      </c>
      <c r="B36" s="100" t="n">
        <v>0.065</v>
      </c>
      <c r="C36" s="100" t="n">
        <v>0.065</v>
      </c>
      <c r="D36" s="100" t="n">
        <v>0.065</v>
      </c>
      <c r="E36" s="101" t="n">
        <f aca="false">CHOOSE(Dashboard!$B$4,B36,C36,D36)</f>
        <v>0.065</v>
      </c>
      <c r="F36" s="38" t="s">
        <v>294</v>
      </c>
      <c r="G36" s="99"/>
    </row>
    <row r="37" customFormat="false" ht="15" hidden="false" customHeight="false" outlineLevel="0" collapsed="false">
      <c r="A37" s="6" t="s">
        <v>322</v>
      </c>
      <c r="B37" s="102" t="n">
        <v>30</v>
      </c>
      <c r="C37" s="102" t="n">
        <v>30</v>
      </c>
      <c r="D37" s="102" t="n">
        <v>30</v>
      </c>
      <c r="E37" s="103" t="n">
        <f aca="false">CHOOSE(Dashboard!$B$4,B37,C37,D37)</f>
        <v>30</v>
      </c>
      <c r="F37" s="38" t="s">
        <v>323</v>
      </c>
      <c r="G37" s="99"/>
    </row>
    <row r="39" customFormat="false" ht="15.75" hidden="false" customHeight="true" outlineLevel="0" collapsed="false">
      <c r="A39" s="7" t="s">
        <v>324</v>
      </c>
      <c r="B39" s="7"/>
      <c r="C39" s="7"/>
      <c r="D39" s="7"/>
      <c r="E39" s="7"/>
      <c r="F39" s="7"/>
      <c r="G39" s="7"/>
    </row>
    <row r="40" customFormat="false" ht="15" hidden="false" customHeight="false" outlineLevel="0" collapsed="false">
      <c r="A40" s="6" t="s">
        <v>325</v>
      </c>
      <c r="B40" s="102" t="n">
        <v>0</v>
      </c>
      <c r="C40" s="102" t="n">
        <v>0</v>
      </c>
      <c r="D40" s="102" t="n">
        <v>0</v>
      </c>
      <c r="E40" s="103" t="n">
        <f aca="false">CHOOSE(Dashboard!$B$4,B40,C40,D40)</f>
        <v>0</v>
      </c>
      <c r="F40" s="38" t="s">
        <v>326</v>
      </c>
      <c r="G40" s="99"/>
    </row>
    <row r="41" customFormat="false" ht="15" hidden="false" customHeight="false" outlineLevel="0" collapsed="false">
      <c r="A41" s="6" t="s">
        <v>327</v>
      </c>
      <c r="B41" s="102" t="n">
        <v>0</v>
      </c>
      <c r="C41" s="102" t="n">
        <v>0</v>
      </c>
      <c r="D41" s="102" t="n">
        <v>0</v>
      </c>
      <c r="E41" s="103" t="n">
        <f aca="false">CHOOSE(Dashboard!$B$4,B41,C41,D41)</f>
        <v>0</v>
      </c>
      <c r="F41" s="38" t="s">
        <v>326</v>
      </c>
      <c r="G41" s="99"/>
    </row>
    <row r="42" customFormat="false" ht="15" hidden="false" customHeight="false" outlineLevel="0" collapsed="false">
      <c r="A42" s="6" t="s">
        <v>328</v>
      </c>
      <c r="B42" s="102" t="n">
        <v>15</v>
      </c>
      <c r="C42" s="102" t="n">
        <v>15</v>
      </c>
      <c r="D42" s="102" t="n">
        <v>15</v>
      </c>
      <c r="E42" s="103" t="n">
        <f aca="false">CHOOSE(Dashboard!$B$4,B42,C42,D42)</f>
        <v>15</v>
      </c>
      <c r="F42" s="38" t="s">
        <v>326</v>
      </c>
      <c r="G42" s="99"/>
    </row>
    <row r="44" customFormat="false" ht="15.75" hidden="false" customHeight="true" outlineLevel="0" collapsed="false">
      <c r="A44" s="7" t="s">
        <v>329</v>
      </c>
      <c r="B44" s="7"/>
      <c r="C44" s="7"/>
      <c r="D44" s="7"/>
      <c r="E44" s="7"/>
      <c r="F44" s="7"/>
      <c r="G44" s="7"/>
    </row>
    <row r="45" customFormat="false" ht="15" hidden="false" customHeight="false" outlineLevel="0" collapsed="false">
      <c r="A45" s="6" t="s">
        <v>330</v>
      </c>
      <c r="B45" s="102" t="n">
        <v>27</v>
      </c>
      <c r="C45" s="102" t="n">
        <v>27</v>
      </c>
      <c r="D45" s="102" t="n">
        <v>27</v>
      </c>
      <c r="E45" s="103" t="n">
        <f aca="false">CHOOSE(Dashboard!$B$4,B45,C45,D45)</f>
        <v>27</v>
      </c>
      <c r="F45" s="38" t="s">
        <v>323</v>
      </c>
      <c r="G45" s="99"/>
    </row>
    <row r="46" customFormat="false" ht="15" hidden="false" customHeight="false" outlineLevel="0" collapsed="false">
      <c r="A46" s="6" t="s">
        <v>331</v>
      </c>
      <c r="B46" s="100" t="n">
        <v>0.21</v>
      </c>
      <c r="C46" s="100" t="n">
        <v>0.21</v>
      </c>
      <c r="D46" s="100" t="n">
        <v>0.21</v>
      </c>
      <c r="E46" s="101" t="n">
        <f aca="false">CHOOSE(Dashboard!$B$4,B46,C46,D46)</f>
        <v>0.21</v>
      </c>
      <c r="F46" s="38" t="s">
        <v>294</v>
      </c>
      <c r="G46" s="99"/>
    </row>
    <row r="48" customFormat="false" ht="15.75" hidden="false" customHeight="true" outlineLevel="0" collapsed="false">
      <c r="A48" s="7" t="s">
        <v>332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142</v>
      </c>
      <c r="B49" s="97" t="n">
        <v>12000</v>
      </c>
      <c r="C49" s="97" t="n">
        <v>12000</v>
      </c>
      <c r="D49" s="97" t="n">
        <v>12000</v>
      </c>
      <c r="E49" s="98" t="n">
        <f aca="false">CHOOSE(Dashboard!$B$4,B49,C49,D49)</f>
        <v>12000</v>
      </c>
      <c r="F49" s="38" t="s">
        <v>292</v>
      </c>
      <c r="G49" s="99" t="s">
        <v>333</v>
      </c>
    </row>
    <row r="51" customFormat="false" ht="15.75" hidden="false" customHeight="true" outlineLevel="0" collapsed="false">
      <c r="A51" s="7" t="s">
        <v>334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169</v>
      </c>
      <c r="B52" s="100" t="n">
        <v>0.25</v>
      </c>
      <c r="C52" s="100" t="n">
        <v>0.2</v>
      </c>
      <c r="D52" s="100" t="n">
        <v>0.17</v>
      </c>
      <c r="E52" s="101" t="n">
        <f aca="false">CHOOSE(Dashboard!$B$4,B52,C52,D52)</f>
        <v>0.2</v>
      </c>
      <c r="F52" s="38" t="s">
        <v>294</v>
      </c>
      <c r="G52" s="99" t="s">
        <v>296</v>
      </c>
    </row>
    <row r="53" customFormat="false" ht="15" hidden="false" customHeight="false" outlineLevel="0" collapsed="false">
      <c r="A53" s="6" t="s">
        <v>335</v>
      </c>
      <c r="B53" s="100" t="n">
        <v>0.01</v>
      </c>
      <c r="C53" s="100" t="n">
        <v>0.02</v>
      </c>
      <c r="D53" s="100" t="n">
        <v>0.03</v>
      </c>
      <c r="E53" s="101" t="n">
        <f aca="false">CHOOSE(Dashboard!$B$4,B53,C53,D53)</f>
        <v>0.02</v>
      </c>
      <c r="F53" s="38" t="s">
        <v>294</v>
      </c>
      <c r="G53" s="99" t="s">
        <v>301</v>
      </c>
    </row>
    <row r="54" customFormat="false" ht="15" hidden="false" customHeight="false" outlineLevel="0" collapsed="false">
      <c r="A54" s="6" t="s">
        <v>171</v>
      </c>
      <c r="B54" s="106" t="n">
        <v>3.5</v>
      </c>
      <c r="C54" s="106" t="n">
        <v>4.5</v>
      </c>
      <c r="D54" s="106" t="n">
        <v>6</v>
      </c>
      <c r="E54" s="107" t="n">
        <f aca="false">CHOOSE(Dashboard!$B$4,B54,C54,D54)</f>
        <v>4.5</v>
      </c>
      <c r="F54" s="38" t="s">
        <v>336</v>
      </c>
      <c r="G54" s="99" t="s">
        <v>301</v>
      </c>
    </row>
    <row r="55" customFormat="false" ht="15" hidden="false" customHeight="false" outlineLevel="0" collapsed="false">
      <c r="A55" s="6" t="s">
        <v>337</v>
      </c>
      <c r="B55" s="100" t="n">
        <v>0.01</v>
      </c>
      <c r="C55" s="100" t="n">
        <v>0.01</v>
      </c>
      <c r="D55" s="100" t="n">
        <v>0.01</v>
      </c>
      <c r="E55" s="101" t="n">
        <f aca="false">CHOOSE(Dashboard!$B$4,B55,C55,D55)</f>
        <v>0.01</v>
      </c>
      <c r="F55" s="38" t="s">
        <v>294</v>
      </c>
      <c r="G55" s="99"/>
    </row>
    <row r="56" customFormat="false" ht="15" hidden="false" customHeight="false" outlineLevel="0" collapsed="false">
      <c r="A56" s="6" t="s">
        <v>338</v>
      </c>
      <c r="B56" s="100" t="n">
        <v>0.005</v>
      </c>
      <c r="C56" s="100" t="n">
        <v>0.005</v>
      </c>
      <c r="D56" s="100" t="n">
        <v>0.005</v>
      </c>
      <c r="E56" s="101" t="n">
        <f aca="false">CHOOSE(Dashboard!$B$4,B56,C56,D56)</f>
        <v>0.005</v>
      </c>
      <c r="F56" s="38" t="s">
        <v>294</v>
      </c>
      <c r="G56" s="99"/>
    </row>
    <row r="58" customFormat="false" ht="15" hidden="false" customHeight="false" outlineLevel="0" collapsed="false">
      <c r="A58" s="21" t="s">
        <v>339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340</v>
      </c>
    </row>
    <row r="3" customFormat="false" ht="15" hidden="false" customHeight="false" outlineLevel="0" collapsed="false">
      <c r="A3" s="70" t="s">
        <v>155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4" t="s">
        <v>45</v>
      </c>
      <c r="B5" s="71" t="n">
        <f aca="false">SUMIF(Monthly!$C$5:$BJ$5,B$3,Monthly!$C$12:$BJ$12)</f>
        <v>196650</v>
      </c>
      <c r="C5" s="71" t="n">
        <f aca="false">SUMIF(Monthly!$C$5:$BJ$5,C$3,Monthly!$C$12:$BJ$12)</f>
        <v>202549.5</v>
      </c>
      <c r="D5" s="71" t="n">
        <f aca="false">SUMIF(Monthly!$C$5:$BJ$5,D$3,Monthly!$C$12:$BJ$12)</f>
        <v>208625.985</v>
      </c>
      <c r="E5" s="71" t="n">
        <f aca="false">SUMIF(Monthly!$C$5:$BJ$5,E$3,Monthly!$C$12:$BJ$12)</f>
        <v>214884.76455</v>
      </c>
      <c r="F5" s="71" t="n">
        <f aca="false">SUMIF(Monthly!$C$5:$BJ$5,F$3,Monthly!$C$12:$BJ$12)</f>
        <v>221331.3074865</v>
      </c>
    </row>
    <row r="6" customFormat="false" ht="15" hidden="false" customHeight="false" outlineLevel="0" collapsed="false">
      <c r="A6" s="6" t="s">
        <v>76</v>
      </c>
      <c r="B6" s="65" t="n">
        <f aca="false">SUMIF(Monthly!$C$5:$BJ$5,B$3,Monthly!$C$17:$BJ$17)</f>
        <v>-22428</v>
      </c>
      <c r="C6" s="65" t="n">
        <f aca="false">SUMIF(Monthly!$C$5:$BJ$5,C$3,Monthly!$C$17:$BJ$17)</f>
        <v>-23100.84</v>
      </c>
      <c r="D6" s="65" t="n">
        <f aca="false">SUMIF(Monthly!$C$5:$BJ$5,D$3,Monthly!$C$17:$BJ$17)</f>
        <v>-23793.8652</v>
      </c>
      <c r="E6" s="65" t="n">
        <f aca="false">SUMIF(Monthly!$C$5:$BJ$5,E$3,Monthly!$C$17:$BJ$17)</f>
        <v>-24507.681156</v>
      </c>
      <c r="F6" s="65" t="n">
        <f aca="false">SUMIF(Monthly!$C$5:$BJ$5,F$3,Monthly!$C$17:$BJ$17)</f>
        <v>-25242.91159068</v>
      </c>
    </row>
    <row r="7" customFormat="false" ht="15" hidden="false" customHeight="false" outlineLevel="0" collapsed="false">
      <c r="A7" s="108" t="s">
        <v>46</v>
      </c>
      <c r="B7" s="66" t="n">
        <f aca="false">SUMIF(Monthly!$C$5:$BJ$5,B$3,Monthly!$C$18:$BJ$18)</f>
        <v>174222</v>
      </c>
      <c r="C7" s="66" t="n">
        <f aca="false">SUMIF(Monthly!$C$5:$BJ$5,C$3,Monthly!$C$18:$BJ$18)</f>
        <v>179448.66</v>
      </c>
      <c r="D7" s="66" t="n">
        <f aca="false">SUMIF(Monthly!$C$5:$BJ$5,D$3,Monthly!$C$18:$BJ$18)</f>
        <v>184832.1198</v>
      </c>
      <c r="E7" s="66" t="n">
        <f aca="false">SUMIF(Monthly!$C$5:$BJ$5,E$3,Monthly!$C$18:$BJ$18)</f>
        <v>190377.083394</v>
      </c>
      <c r="F7" s="66" t="n">
        <f aca="false">SUMIF(Monthly!$C$5:$BJ$5,F$3,Monthly!$C$18:$BJ$18)</f>
        <v>196088.39589582</v>
      </c>
    </row>
    <row r="8" customFormat="false" ht="15" hidden="false" customHeight="false" outlineLevel="0" collapsed="false">
      <c r="A8" s="38" t="s">
        <v>47</v>
      </c>
      <c r="B8" s="72" t="n">
        <f aca="false">IF(B5=0,0,B7/B5)</f>
        <v>0.885949656750572</v>
      </c>
      <c r="C8" s="72" t="n">
        <f aca="false">IF(C5=0,0,C7/C5)</f>
        <v>0.885949656750572</v>
      </c>
      <c r="D8" s="72" t="n">
        <f aca="false">IF(D5=0,0,D7/D5)</f>
        <v>0.885949656750572</v>
      </c>
      <c r="E8" s="72" t="n">
        <f aca="false">IF(E5=0,0,E7/E5)</f>
        <v>0.885949656750572</v>
      </c>
      <c r="F8" s="72" t="n">
        <f aca="false">IF(F5=0,0,F7/F5)</f>
        <v>0.885949656750572</v>
      </c>
    </row>
    <row r="9" customFormat="false" ht="15" hidden="false" customHeight="false" outlineLevel="0" collapsed="false">
      <c r="A9" s="6" t="s">
        <v>341</v>
      </c>
      <c r="B9" s="65" t="n">
        <f aca="false">SUMIF(Monthly!$C$5:$BJ$5,B$3,Monthly!$C$21:$BJ$21)</f>
        <v>-20350</v>
      </c>
      <c r="C9" s="65" t="n">
        <f aca="false">SUMIF(Monthly!$C$5:$BJ$5,C$3,Monthly!$C$21:$BJ$21)</f>
        <v>-20960.5</v>
      </c>
      <c r="D9" s="65" t="n">
        <f aca="false">SUMIF(Monthly!$C$5:$BJ$5,D$3,Monthly!$C$21:$BJ$21)</f>
        <v>-21589.315</v>
      </c>
      <c r="E9" s="65" t="n">
        <f aca="false">SUMIF(Monthly!$C$5:$BJ$5,E$3,Monthly!$C$21:$BJ$21)</f>
        <v>-22236.99445</v>
      </c>
      <c r="F9" s="65" t="n">
        <f aca="false">SUMIF(Monthly!$C$5:$BJ$5,F$3,Monthly!$C$21:$BJ$21)</f>
        <v>-22904.1042835</v>
      </c>
    </row>
    <row r="10" customFormat="false" ht="15" hidden="false" customHeight="false" outlineLevel="0" collapsed="false">
      <c r="A10" s="6" t="s">
        <v>342</v>
      </c>
      <c r="B10" s="65" t="n">
        <f aca="false">SUMIF(Monthly!$C$5:$BJ$5,B$3,Monthly!$C$22:$BJ$22)</f>
        <v>-8000</v>
      </c>
      <c r="C10" s="65" t="n">
        <f aca="false">SUMIF(Monthly!$C$5:$BJ$5,C$3,Monthly!$C$22:$BJ$22)</f>
        <v>-8240</v>
      </c>
      <c r="D10" s="65" t="n">
        <f aca="false">SUMIF(Monthly!$C$5:$BJ$5,D$3,Monthly!$C$22:$BJ$22)</f>
        <v>-8487.2</v>
      </c>
      <c r="E10" s="65" t="n">
        <f aca="false">SUMIF(Monthly!$C$5:$BJ$5,E$3,Monthly!$C$22:$BJ$22)</f>
        <v>-8741.816</v>
      </c>
      <c r="F10" s="65" t="n">
        <f aca="false">SUMIF(Monthly!$C$5:$BJ$5,F$3,Monthly!$C$22:$BJ$22)</f>
        <v>-9004.07048</v>
      </c>
    </row>
    <row r="11" customFormat="false" ht="15" hidden="false" customHeight="false" outlineLevel="0" collapsed="false">
      <c r="A11" s="6" t="s">
        <v>343</v>
      </c>
      <c r="B11" s="65" t="n">
        <f aca="false">SUMIF(Monthly!$C$5:$BJ$5,B$3,Monthly!$C$23:$BJ$23)</f>
        <v>-15732</v>
      </c>
      <c r="C11" s="65" t="n">
        <f aca="false">SUMIF(Monthly!$C$5:$BJ$5,C$3,Monthly!$C$23:$BJ$23)</f>
        <v>-16203.96</v>
      </c>
      <c r="D11" s="65" t="n">
        <f aca="false">SUMIF(Monthly!$C$5:$BJ$5,D$3,Monthly!$C$23:$BJ$23)</f>
        <v>-16690.0788</v>
      </c>
      <c r="E11" s="65" t="n">
        <f aca="false">SUMIF(Monthly!$C$5:$BJ$5,E$3,Monthly!$C$23:$BJ$23)</f>
        <v>-17190.781164</v>
      </c>
      <c r="F11" s="65" t="n">
        <f aca="false">SUMIF(Monthly!$C$5:$BJ$5,F$3,Monthly!$C$23:$BJ$23)</f>
        <v>-17706.50459892</v>
      </c>
    </row>
    <row r="12" customFormat="false" ht="15" hidden="false" customHeight="false" outlineLevel="0" collapsed="false">
      <c r="A12" s="6" t="s">
        <v>344</v>
      </c>
      <c r="B12" s="65" t="n">
        <f aca="false">SUMIF(Monthly!$C$5:$BJ$5,B$3,Monthly!$C$24:$BJ$24)</f>
        <v>-4800</v>
      </c>
      <c r="C12" s="65" t="n">
        <f aca="false">SUMIF(Monthly!$C$5:$BJ$5,C$3,Monthly!$C$24:$BJ$24)</f>
        <v>-4944</v>
      </c>
      <c r="D12" s="65" t="n">
        <f aca="false">SUMIF(Monthly!$C$5:$BJ$5,D$3,Monthly!$C$24:$BJ$24)</f>
        <v>-5092.32</v>
      </c>
      <c r="E12" s="65" t="n">
        <f aca="false">SUMIF(Monthly!$C$5:$BJ$5,E$3,Monthly!$C$24:$BJ$24)</f>
        <v>-5245.0896</v>
      </c>
      <c r="F12" s="65" t="n">
        <f aca="false">SUMIF(Monthly!$C$5:$BJ$5,F$3,Monthly!$C$24:$BJ$24)</f>
        <v>-5402.442288</v>
      </c>
    </row>
    <row r="13" customFormat="false" ht="15" hidden="false" customHeight="false" outlineLevel="0" collapsed="false">
      <c r="A13" s="108" t="s">
        <v>77</v>
      </c>
      <c r="B13" s="66" t="n">
        <f aca="false">SUMIF(Monthly!$C$5:$BJ$5,B$3,Monthly!$C$25:$BJ$25)</f>
        <v>-48882</v>
      </c>
      <c r="C13" s="66" t="n">
        <f aca="false">SUMIF(Monthly!$C$5:$BJ$5,C$3,Monthly!$C$25:$BJ$25)</f>
        <v>-50348.46</v>
      </c>
      <c r="D13" s="66" t="n">
        <f aca="false">SUMIF(Monthly!$C$5:$BJ$5,D$3,Monthly!$C$25:$BJ$25)</f>
        <v>-51858.9138</v>
      </c>
      <c r="E13" s="66" t="n">
        <f aca="false">SUMIF(Monthly!$C$5:$BJ$5,E$3,Monthly!$C$25:$BJ$25)</f>
        <v>-53414.681214</v>
      </c>
      <c r="F13" s="66" t="n">
        <f aca="false">SUMIF(Monthly!$C$5:$BJ$5,F$3,Monthly!$C$25:$BJ$25)</f>
        <v>-55017.12165042</v>
      </c>
    </row>
    <row r="14" customFormat="false" ht="15" hidden="false" customHeight="false" outlineLevel="0" collapsed="false">
      <c r="A14" s="108" t="s">
        <v>49</v>
      </c>
      <c r="B14" s="66" t="n">
        <f aca="false">SUMIF(Monthly!$C$5:$BJ$5,B$3,Monthly!$C$26:$BJ$26)</f>
        <v>125340</v>
      </c>
      <c r="C14" s="66" t="n">
        <f aca="false">SUMIF(Monthly!$C$5:$BJ$5,C$3,Monthly!$C$26:$BJ$26)</f>
        <v>129100.2</v>
      </c>
      <c r="D14" s="66" t="n">
        <f aca="false">SUMIF(Monthly!$C$5:$BJ$5,D$3,Monthly!$C$26:$BJ$26)</f>
        <v>132973.206</v>
      </c>
      <c r="E14" s="66" t="n">
        <f aca="false">SUMIF(Monthly!$C$5:$BJ$5,E$3,Monthly!$C$26:$BJ$26)</f>
        <v>136962.40218</v>
      </c>
      <c r="F14" s="66" t="n">
        <f aca="false">SUMIF(Monthly!$C$5:$BJ$5,F$3,Monthly!$C$26:$BJ$26)</f>
        <v>141071.2742454</v>
      </c>
    </row>
    <row r="15" customFormat="false" ht="15" hidden="false" customHeight="false" outlineLevel="0" collapsed="false">
      <c r="A15" s="38" t="s">
        <v>50</v>
      </c>
      <c r="B15" s="72" t="n">
        <f aca="false">IF(B5=0,0,B14/B5)</f>
        <v>0.637376048817696</v>
      </c>
      <c r="C15" s="72" t="n">
        <f aca="false">IF(C5=0,0,C14/C5)</f>
        <v>0.637376048817697</v>
      </c>
      <c r="D15" s="72" t="n">
        <f aca="false">IF(D5=0,0,D14/D5)</f>
        <v>0.637376048817697</v>
      </c>
      <c r="E15" s="72" t="n">
        <f aca="false">IF(E5=0,0,E14/E5)</f>
        <v>0.637376048817696</v>
      </c>
      <c r="F15" s="72" t="n">
        <f aca="false">IF(F5=0,0,F14/F5)</f>
        <v>0.637376048817696</v>
      </c>
    </row>
    <row r="16" customFormat="false" ht="15" hidden="false" customHeight="false" outlineLevel="0" collapsed="false">
      <c r="A16" s="6" t="s">
        <v>78</v>
      </c>
      <c r="B16" s="65" t="n">
        <f aca="false">SUMIF(Monthly!$C$5:$BJ$5,B$3,Monthly!$C$44:$BJ$44)</f>
        <v>-56940.5864197531</v>
      </c>
      <c r="C16" s="65" t="n">
        <f aca="false">SUMIF(Monthly!$C$5:$BJ$5,C$3,Monthly!$C$44:$BJ$44)</f>
        <v>-57072.3225308643</v>
      </c>
      <c r="D16" s="65" t="n">
        <f aca="false">SUMIF(Monthly!$C$5:$BJ$5,D$3,Monthly!$C$44:$BJ$44)</f>
        <v>-57208.0107253087</v>
      </c>
      <c r="E16" s="65" t="n">
        <f aca="false">SUMIF(Monthly!$C$5:$BJ$5,E$3,Monthly!$C$44:$BJ$44)</f>
        <v>-57347.7695655865</v>
      </c>
      <c r="F16" s="65" t="n">
        <f aca="false">SUMIF(Monthly!$C$5:$BJ$5,F$3,Monthly!$C$44:$BJ$44)</f>
        <v>-57491.7211710727</v>
      </c>
    </row>
    <row r="17" customFormat="false" ht="15" hidden="false" customHeight="false" outlineLevel="0" collapsed="false">
      <c r="A17" s="4" t="s">
        <v>79</v>
      </c>
      <c r="B17" s="71" t="n">
        <f aca="false">SUMIF(Monthly!$C$5:$BJ$5,B$3,Monthly!$C$29:$BJ$29)</f>
        <v>68399.4135802469</v>
      </c>
      <c r="C17" s="71" t="n">
        <f aca="false">SUMIF(Monthly!$C$5:$BJ$5,C$3,Monthly!$C$29:$BJ$29)</f>
        <v>72027.8774691358</v>
      </c>
      <c r="D17" s="71" t="n">
        <f aca="false">SUMIF(Monthly!$C$5:$BJ$5,D$3,Monthly!$C$29:$BJ$29)</f>
        <v>75765.1952746913</v>
      </c>
      <c r="E17" s="71" t="n">
        <f aca="false">SUMIF(Monthly!$C$5:$BJ$5,E$3,Monthly!$C$29:$BJ$29)</f>
        <v>79614.6326144135</v>
      </c>
      <c r="F17" s="71" t="n">
        <f aca="false">SUMIF(Monthly!$C$5:$BJ$5,F$3,Monthly!$C$29:$BJ$29)</f>
        <v>83579.5530743274</v>
      </c>
    </row>
    <row r="18" customFormat="false" ht="15" hidden="false" customHeight="false" outlineLevel="0" collapsed="false">
      <c r="A18" s="6" t="s">
        <v>80</v>
      </c>
      <c r="B18" s="65" t="n">
        <f aca="false">SUMIF(Monthly!$C$5:$BJ$5,B$3,Monthly!$C$30:$BJ$30)</f>
        <v>-77605.089755467</v>
      </c>
      <c r="C18" s="65" t="n">
        <f aca="false">SUMIF(Monthly!$C$5:$BJ$5,C$3,Monthly!$C$30:$BJ$30)</f>
        <v>-76706.816019227</v>
      </c>
      <c r="D18" s="65" t="n">
        <f aca="false">SUMIF(Monthly!$C$5:$BJ$5,D$3,Monthly!$C$30:$BJ$30)</f>
        <v>-75748.3832272659</v>
      </c>
      <c r="E18" s="65" t="n">
        <f aca="false">SUMIF(Monthly!$C$5:$BJ$5,E$3,Monthly!$C$30:$BJ$30)</f>
        <v>-74725.7624162071</v>
      </c>
      <c r="F18" s="65" t="n">
        <f aca="false">SUMIF(Monthly!$C$5:$BJ$5,F$3,Monthly!$C$30:$BJ$30)</f>
        <v>-73634.6547955354</v>
      </c>
    </row>
    <row r="19" customFormat="false" ht="15" hidden="false" customHeight="false" outlineLevel="0" collapsed="false">
      <c r="A19" s="109" t="s">
        <v>81</v>
      </c>
      <c r="B19" s="110" t="n">
        <f aca="false">SUMIF(Monthly!$C$5:$BJ$5,B$3,Monthly!$C$31:$BJ$31)</f>
        <v>-9205.67617522005</v>
      </c>
      <c r="C19" s="110" t="n">
        <f aca="false">SUMIF(Monthly!$C$5:$BJ$5,C$3,Monthly!$C$31:$BJ$31)</f>
        <v>-4678.93855009125</v>
      </c>
      <c r="D19" s="110" t="n">
        <f aca="false">SUMIF(Monthly!$C$5:$BJ$5,D$3,Monthly!$C$31:$BJ$31)</f>
        <v>16.8120474254474</v>
      </c>
      <c r="E19" s="110" t="n">
        <f aca="false">SUMIF(Monthly!$C$5:$BJ$5,E$3,Monthly!$C$31:$BJ$31)</f>
        <v>4888.8701982064</v>
      </c>
      <c r="F19" s="110" t="n">
        <f aca="false">SUMIF(Monthly!$C$5:$BJ$5,F$3,Monthly!$C$31:$BJ$31)</f>
        <v>9944.89827879204</v>
      </c>
    </row>
    <row r="20" customFormat="false" ht="15" hidden="false" customHeight="false" outlineLevel="0" collapsed="false">
      <c r="A20" s="6" t="s">
        <v>82</v>
      </c>
      <c r="B20" s="65" t="n">
        <f aca="false">SUMIF(Monthly!$C$5:$BJ$5,B$3,Monthly!$C$34:$BJ$34)</f>
        <v>0</v>
      </c>
      <c r="C20" s="65" t="n">
        <f aca="false">SUMIF(Monthly!$C$5:$BJ$5,C$3,Monthly!$C$34:$BJ$34)</f>
        <v>0</v>
      </c>
      <c r="D20" s="65" t="n">
        <f aca="false">SUMIF(Monthly!$C$5:$BJ$5,D$3,Monthly!$C$34:$BJ$34)</f>
        <v>0</v>
      </c>
      <c r="E20" s="65" t="n">
        <f aca="false">SUMIF(Monthly!$C$5:$BJ$5,E$3,Monthly!$C$34:$BJ$34)</f>
        <v>0</v>
      </c>
      <c r="F20" s="65" t="n">
        <f aca="false">SUMIF(Monthly!$C$5:$BJ$5,F$3,Monthly!$C$34:$BJ$34)</f>
        <v>-202.852817813645</v>
      </c>
    </row>
    <row r="21" customFormat="false" ht="15" hidden="false" customHeight="false" outlineLevel="0" collapsed="false">
      <c r="A21" s="68" t="s">
        <v>51</v>
      </c>
      <c r="B21" s="69" t="n">
        <f aca="false">SUMIF(Monthly!$C$5:$BJ$5,B$3,Monthly!$C$35:$BJ$35)</f>
        <v>-9205.67617522005</v>
      </c>
      <c r="C21" s="69" t="n">
        <f aca="false">SUMIF(Monthly!$C$5:$BJ$5,C$3,Monthly!$C$35:$BJ$35)</f>
        <v>-4678.93855009125</v>
      </c>
      <c r="D21" s="69" t="n">
        <f aca="false">SUMIF(Monthly!$C$5:$BJ$5,D$3,Monthly!$C$35:$BJ$35)</f>
        <v>16.8120474254474</v>
      </c>
      <c r="E21" s="69" t="n">
        <f aca="false">SUMIF(Monthly!$C$5:$BJ$5,E$3,Monthly!$C$35:$BJ$35)</f>
        <v>4888.8701982064</v>
      </c>
      <c r="F21" s="69" t="n">
        <f aca="false">SUMIF(Monthly!$C$5:$BJ$5,F$3,Monthly!$C$35:$BJ$35)</f>
        <v>9742.0454609784</v>
      </c>
    </row>
    <row r="22" customFormat="false" ht="15" hidden="false" customHeight="false" outlineLevel="0" collapsed="false">
      <c r="A22" s="38" t="s">
        <v>52</v>
      </c>
      <c r="B22" s="72" t="n">
        <f aca="false">IF(B5=0,0,B21/B5)</f>
        <v>-0.0468124900850244</v>
      </c>
      <c r="C22" s="72" t="n">
        <f aca="false">IF(C5=0,0,C21/C5)</f>
        <v>-0.0231002226620715</v>
      </c>
      <c r="D22" s="72" t="n">
        <f aca="false">IF(D5=0,0,D21/D5)</f>
        <v>8.05846281586036E-005</v>
      </c>
      <c r="E22" s="72" t="n">
        <f aca="false">IF(E5=0,0,E21/E5)</f>
        <v>0.0227511252761191</v>
      </c>
      <c r="F22" s="72" t="n">
        <f aca="false">IF(F5=0,0,F21/F5)</f>
        <v>0.0440156685089506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340</v>
      </c>
    </row>
    <row r="3" customFormat="false" ht="15" hidden="false" customHeight="false" outlineLevel="0" collapsed="false">
      <c r="A3" s="70" t="s">
        <v>155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6" t="s">
        <v>51</v>
      </c>
      <c r="B5" s="65" t="n">
        <f aca="false">SUMIF(Monthly!$C$5:$BJ$5,B$3,Monthly!$C$35:$BJ$35)</f>
        <v>-9205.67617522005</v>
      </c>
      <c r="C5" s="65" t="n">
        <f aca="false">SUMIF(Monthly!$C$5:$BJ$5,C$3,Monthly!$C$35:$BJ$35)</f>
        <v>-4678.93855009125</v>
      </c>
      <c r="D5" s="65" t="n">
        <f aca="false">SUMIF(Monthly!$C$5:$BJ$5,D$3,Monthly!$C$35:$BJ$35)</f>
        <v>16.8120474254474</v>
      </c>
      <c r="E5" s="65" t="n">
        <f aca="false">SUMIF(Monthly!$C$5:$BJ$5,E$3,Monthly!$C$35:$BJ$35)</f>
        <v>4888.8701982064</v>
      </c>
      <c r="F5" s="65" t="n">
        <f aca="false">SUMIF(Monthly!$C$5:$BJ$5,F$3,Monthly!$C$35:$BJ$35)</f>
        <v>9742.0454609784</v>
      </c>
    </row>
    <row r="6" customFormat="false" ht="15" hidden="false" customHeight="false" outlineLevel="0" collapsed="false">
      <c r="A6" s="6" t="s">
        <v>345</v>
      </c>
      <c r="B6" s="65" t="n">
        <f aca="false">-SUMIF(Monthly!$C$5:$BJ$5,B$3,Monthly!$C$44:$BJ$44)</f>
        <v>56940.5864197531</v>
      </c>
      <c r="C6" s="65" t="n">
        <f aca="false">-SUMIF(Monthly!$C$5:$BJ$5,C$3,Monthly!$C$44:$BJ$44)</f>
        <v>57072.3225308643</v>
      </c>
      <c r="D6" s="65" t="n">
        <f aca="false">-SUMIF(Monthly!$C$5:$BJ$5,D$3,Monthly!$C$44:$BJ$44)</f>
        <v>57208.0107253087</v>
      </c>
      <c r="E6" s="65" t="n">
        <f aca="false">-SUMIF(Monthly!$C$5:$BJ$5,E$3,Monthly!$C$44:$BJ$44)</f>
        <v>57347.7695655865</v>
      </c>
      <c r="F6" s="65" t="n">
        <f aca="false">-SUMIF(Monthly!$C$5:$BJ$5,F$3,Monthly!$C$44:$BJ$44)</f>
        <v>57491.7211710727</v>
      </c>
    </row>
    <row r="7" customFormat="false" ht="15" hidden="false" customHeight="false" outlineLevel="0" collapsed="false">
      <c r="A7" s="6" t="s">
        <v>346</v>
      </c>
      <c r="B7" s="65" t="n">
        <f aca="false">SUMIF(Monthly!$C$5:$BJ$5,B$3,Monthly!$C$60:$BJ$60)</f>
        <v>0</v>
      </c>
      <c r="C7" s="65" t="n">
        <f aca="false">SUMIF(Monthly!$C$5:$BJ$5,C$3,Monthly!$C$60:$BJ$60)</f>
        <v>0</v>
      </c>
      <c r="D7" s="65" t="n">
        <f aca="false">SUMIF(Monthly!$C$5:$BJ$5,D$3,Monthly!$C$60:$BJ$60)</f>
        <v>0</v>
      </c>
      <c r="E7" s="65" t="n">
        <f aca="false">SUMIF(Monthly!$C$5:$BJ$5,E$3,Monthly!$C$60:$BJ$60)</f>
        <v>0</v>
      </c>
      <c r="F7" s="65" t="n">
        <f aca="false">SUMIF(Monthly!$C$5:$BJ$5,F$3,Monthly!$C$60:$BJ$60)</f>
        <v>0</v>
      </c>
    </row>
    <row r="8" customFormat="false" ht="15" hidden="false" customHeight="false" outlineLevel="0" collapsed="false">
      <c r="A8" s="6" t="s">
        <v>347</v>
      </c>
      <c r="B8" s="65" t="n">
        <f aca="false">SUMIF(Monthly!$C$5:$BJ$5,B$3,Monthly!$C$61:$BJ$61)</f>
        <v>0</v>
      </c>
      <c r="C8" s="65" t="n">
        <f aca="false">SUMIF(Monthly!$C$5:$BJ$5,C$3,Monthly!$C$61:$BJ$61)</f>
        <v>0</v>
      </c>
      <c r="D8" s="65" t="n">
        <f aca="false">SUMIF(Monthly!$C$5:$BJ$5,D$3,Monthly!$C$61:$BJ$61)</f>
        <v>0</v>
      </c>
      <c r="E8" s="65" t="n">
        <f aca="false">SUMIF(Monthly!$C$5:$BJ$5,E$3,Monthly!$C$61:$BJ$61)</f>
        <v>0</v>
      </c>
      <c r="F8" s="65" t="n">
        <f aca="false">SUMIF(Monthly!$C$5:$BJ$5,F$3,Monthly!$C$61:$BJ$61)</f>
        <v>0</v>
      </c>
    </row>
    <row r="9" customFormat="false" ht="15" hidden="false" customHeight="false" outlineLevel="0" collapsed="false">
      <c r="A9" s="6" t="s">
        <v>348</v>
      </c>
      <c r="B9" s="65" t="n">
        <f aca="false">SUMIF(Monthly!$C$5:$BJ$5,B$3,Monthly!$C$62:$BJ$62)</f>
        <v>934.5</v>
      </c>
      <c r="C9" s="65" t="n">
        <f aca="false">SUMIF(Monthly!$C$5:$BJ$5,C$3,Monthly!$C$62:$BJ$62)</f>
        <v>28.035</v>
      </c>
      <c r="D9" s="65" t="n">
        <f aca="false">SUMIF(Monthly!$C$5:$BJ$5,D$3,Monthly!$C$62:$BJ$62)</f>
        <v>28.87605</v>
      </c>
      <c r="E9" s="65" t="n">
        <f aca="false">SUMIF(Monthly!$C$5:$BJ$5,E$3,Monthly!$C$62:$BJ$62)</f>
        <v>29.7423315000001</v>
      </c>
      <c r="F9" s="65" t="n">
        <f aca="false">SUMIF(Monthly!$C$5:$BJ$5,F$3,Monthly!$C$62:$BJ$62)</f>
        <v>30.6346014450003</v>
      </c>
    </row>
    <row r="10" customFormat="false" ht="15" hidden="false" customHeight="false" outlineLevel="0" collapsed="false">
      <c r="A10" s="108" t="s">
        <v>53</v>
      </c>
      <c r="B10" s="66" t="n">
        <f aca="false">SUMIF(Monthly!$C$5:$BJ$5,B$3,Monthly!$C$65:$BJ$65)</f>
        <v>48669.4102445331</v>
      </c>
      <c r="C10" s="66" t="n">
        <f aca="false">SUMIF(Monthly!$C$5:$BJ$5,C$3,Monthly!$C$65:$BJ$65)</f>
        <v>52421.418980773</v>
      </c>
      <c r="D10" s="66" t="n">
        <f aca="false">SUMIF(Monthly!$C$5:$BJ$5,D$3,Monthly!$C$65:$BJ$65)</f>
        <v>57253.6988227342</v>
      </c>
      <c r="E10" s="66" t="n">
        <f aca="false">SUMIF(Monthly!$C$5:$BJ$5,E$3,Monthly!$C$65:$BJ$65)</f>
        <v>62266.3820952929</v>
      </c>
      <c r="F10" s="66" t="n">
        <f aca="false">SUMIF(Monthly!$C$5:$BJ$5,F$3,Monthly!$C$65:$BJ$65)</f>
        <v>67264.4012334961</v>
      </c>
    </row>
    <row r="11" customFormat="false" ht="15" hidden="false" customHeight="false" outlineLevel="0" collapsed="false">
      <c r="A11" s="6" t="s">
        <v>84</v>
      </c>
      <c r="B11" s="65" t="n">
        <f aca="false">SUMIF(Monthly!$C$5:$BJ$5,B$3,Monthly!$C$66:$BJ$66)</f>
        <v>-1909000</v>
      </c>
      <c r="C11" s="65" t="n">
        <f aca="false">SUMIF(Monthly!$C$5:$BJ$5,C$3,Monthly!$C$66:$BJ$66)</f>
        <v>-3605</v>
      </c>
      <c r="D11" s="65" t="n">
        <f aca="false">SUMIF(Monthly!$C$5:$BJ$5,D$3,Monthly!$C$66:$BJ$66)</f>
        <v>-3713.15</v>
      </c>
      <c r="E11" s="65" t="n">
        <f aca="false">SUMIF(Monthly!$C$5:$BJ$5,E$3,Monthly!$C$66:$BJ$66)</f>
        <v>-3824.5445</v>
      </c>
      <c r="F11" s="65" t="n">
        <f aca="false">SUMIF(Monthly!$C$5:$BJ$5,F$3,Monthly!$C$66:$BJ$66)</f>
        <v>-3939.280835</v>
      </c>
    </row>
    <row r="12" customFormat="false" ht="15" hidden="false" customHeight="false" outlineLevel="0" collapsed="false">
      <c r="A12" s="6" t="s">
        <v>64</v>
      </c>
      <c r="B12" s="65" t="n">
        <f aca="false">SUMIF(Monthly!$C$5:$BJ$5,B$3,Monthly!$C$67:$BJ$67)</f>
        <v>760000</v>
      </c>
      <c r="C12" s="65" t="n">
        <f aca="false">SUMIF(Monthly!$C$5:$BJ$5,C$3,Monthly!$C$67:$BJ$67)</f>
        <v>0</v>
      </c>
      <c r="D12" s="65" t="n">
        <f aca="false">SUMIF(Monthly!$C$5:$BJ$5,D$3,Monthly!$C$67:$BJ$67)</f>
        <v>0</v>
      </c>
      <c r="E12" s="65" t="n">
        <f aca="false">SUMIF(Monthly!$C$5:$BJ$5,E$3,Monthly!$C$67:$BJ$67)</f>
        <v>0</v>
      </c>
      <c r="F12" s="65" t="n">
        <f aca="false">SUMIF(Monthly!$C$5:$BJ$5,F$3,Monthly!$C$67:$BJ$67)</f>
        <v>0</v>
      </c>
    </row>
    <row r="13" customFormat="false" ht="15" hidden="false" customHeight="false" outlineLevel="0" collapsed="false">
      <c r="A13" s="6" t="s">
        <v>85</v>
      </c>
      <c r="B13" s="65" t="n">
        <f aca="false">SUMIF(Monthly!$C$5:$BJ$5,B$3,Monthly!$C$50:$BJ$50)</f>
        <v>1200000</v>
      </c>
      <c r="C13" s="65" t="n">
        <f aca="false">SUMIF(Monthly!$C$5:$BJ$5,C$3,Monthly!$C$50:$BJ$50)</f>
        <v>0</v>
      </c>
      <c r="D13" s="65" t="n">
        <f aca="false">SUMIF(Monthly!$C$5:$BJ$5,D$3,Monthly!$C$50:$BJ$50)</f>
        <v>0</v>
      </c>
      <c r="E13" s="65" t="n">
        <f aca="false">SUMIF(Monthly!$C$5:$BJ$5,E$3,Monthly!$C$50:$BJ$50)</f>
        <v>0</v>
      </c>
      <c r="F13" s="65" t="n">
        <f aca="false">SUMIF(Monthly!$C$5:$BJ$5,F$3,Monthly!$C$50:$BJ$50)</f>
        <v>0</v>
      </c>
    </row>
    <row r="14" customFormat="false" ht="15" hidden="false" customHeight="false" outlineLevel="0" collapsed="false">
      <c r="A14" s="6" t="s">
        <v>86</v>
      </c>
      <c r="B14" s="65" t="n">
        <f aca="false">SUMIF(Monthly!$C$5:$BJ$5,B$3,Monthly!$C$52:$BJ$52)</f>
        <v>-13412.7056275198</v>
      </c>
      <c r="C14" s="65" t="n">
        <f aca="false">SUMIF(Monthly!$C$5:$BJ$5,C$3,Monthly!$C$52:$BJ$52)</f>
        <v>-14310.9793637598</v>
      </c>
      <c r="D14" s="65" t="n">
        <f aca="false">SUMIF(Monthly!$C$5:$BJ$5,D$3,Monthly!$C$52:$BJ$52)</f>
        <v>-15269.4121557209</v>
      </c>
      <c r="E14" s="65" t="n">
        <f aca="false">SUMIF(Monthly!$C$5:$BJ$5,E$3,Monthly!$C$52:$BJ$52)</f>
        <v>-16292.0329667797</v>
      </c>
      <c r="F14" s="65" t="n">
        <f aca="false">SUMIF(Monthly!$C$5:$BJ$5,F$3,Monthly!$C$52:$BJ$52)</f>
        <v>-17383.1405874514</v>
      </c>
    </row>
    <row r="15" customFormat="false" ht="15" hidden="false" customHeight="false" outlineLevel="0" collapsed="false">
      <c r="A15" s="108" t="s">
        <v>55</v>
      </c>
      <c r="B15" s="66" t="n">
        <f aca="false">SUMIF(Monthly!$C$5:$BJ$5,B$3,Monthly!$C$68:$BJ$68)</f>
        <v>1946587.29437248</v>
      </c>
      <c r="C15" s="66" t="n">
        <f aca="false">SUMIF(Monthly!$C$5:$BJ$5,C$3,Monthly!$C$68:$BJ$68)</f>
        <v>-14310.9793637598</v>
      </c>
      <c r="D15" s="66" t="n">
        <f aca="false">SUMIF(Monthly!$C$5:$BJ$5,D$3,Monthly!$C$68:$BJ$68)</f>
        <v>-15269.4121557209</v>
      </c>
      <c r="E15" s="66" t="n">
        <f aca="false">SUMIF(Monthly!$C$5:$BJ$5,E$3,Monthly!$C$68:$BJ$68)</f>
        <v>-16292.0329667797</v>
      </c>
      <c r="F15" s="66" t="n">
        <f aca="false">SUMIF(Monthly!$C$5:$BJ$5,F$3,Monthly!$C$68:$BJ$68)</f>
        <v>-17383.1405874514</v>
      </c>
    </row>
    <row r="16" customFormat="false" ht="15" hidden="false" customHeight="false" outlineLevel="0" collapsed="false">
      <c r="A16" s="4" t="s">
        <v>56</v>
      </c>
      <c r="B16" s="71" t="n">
        <f aca="false">SUMIF(Monthly!$C$5:$BJ$5,B$3,Monthly!$C$69:$BJ$69)</f>
        <v>86256.7046170131</v>
      </c>
      <c r="C16" s="71" t="n">
        <f aca="false">SUMIF(Monthly!$C$5:$BJ$5,C$3,Monthly!$C$69:$BJ$69)</f>
        <v>34505.4396170132</v>
      </c>
      <c r="D16" s="71" t="n">
        <f aca="false">SUMIF(Monthly!$C$5:$BJ$5,D$3,Monthly!$C$69:$BJ$69)</f>
        <v>38271.1366670132</v>
      </c>
      <c r="E16" s="71" t="n">
        <f aca="false">SUMIF(Monthly!$C$5:$BJ$5,E$3,Monthly!$C$69:$BJ$69)</f>
        <v>42149.8046285132</v>
      </c>
      <c r="F16" s="71" t="n">
        <f aca="false">SUMIF(Monthly!$C$5:$BJ$5,F$3,Monthly!$C$69:$BJ$69)</f>
        <v>45941.9798110446</v>
      </c>
    </row>
    <row r="17" customFormat="false" ht="15" hidden="false" customHeight="false" outlineLevel="0" collapsed="false">
      <c r="A17" s="6" t="s">
        <v>349</v>
      </c>
      <c r="B17" s="65" t="n">
        <f aca="false">INDEX(Monthly!$C$70:$BJ$70,(B$3-1)*12+1)</f>
        <v>0</v>
      </c>
      <c r="C17" s="65" t="n">
        <f aca="false">INDEX(Monthly!$C$70:$BJ$70,(C$3-1)*12+1)</f>
        <v>86256.7046170131</v>
      </c>
      <c r="D17" s="65" t="n">
        <f aca="false">INDEX(Monthly!$C$70:$BJ$70,(D$3-1)*12+1)</f>
        <v>120762.144234026</v>
      </c>
      <c r="E17" s="65" t="n">
        <f aca="false">INDEX(Monthly!$C$70:$BJ$70,(E$3-1)*12+1)</f>
        <v>159033.28090104</v>
      </c>
      <c r="F17" s="65" t="n">
        <f aca="false">INDEX(Monthly!$C$70:$BJ$70,(F$3-1)*12+1)</f>
        <v>201183.085529553</v>
      </c>
    </row>
    <row r="18" customFormat="false" ht="15" hidden="false" customHeight="false" outlineLevel="0" collapsed="false">
      <c r="A18" s="68" t="s">
        <v>87</v>
      </c>
      <c r="B18" s="69" t="n">
        <f aca="false">INDEX(Monthly!$C$71:$BJ$71,B$3*12)</f>
        <v>86256.7046170131</v>
      </c>
      <c r="C18" s="69" t="n">
        <f aca="false">INDEX(Monthly!$C$71:$BJ$71,C$3*12)</f>
        <v>120762.144234026</v>
      </c>
      <c r="D18" s="69" t="n">
        <f aca="false">INDEX(Monthly!$C$71:$BJ$71,D$3*12)</f>
        <v>159033.28090104</v>
      </c>
      <c r="E18" s="69" t="n">
        <f aca="false">INDEX(Monthly!$C$71:$BJ$71,E$3*12)</f>
        <v>201183.085529553</v>
      </c>
      <c r="F18" s="69" t="n">
        <f aca="false">INDEX(Monthly!$C$71:$BJ$71,F$3*12)</f>
        <v>247125.065340597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340</v>
      </c>
    </row>
    <row r="3" customFormat="false" ht="15" hidden="false" customHeight="false" outlineLevel="0" collapsed="false">
      <c r="A3" s="70" t="s">
        <v>155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6" t="s">
        <v>89</v>
      </c>
      <c r="B5" s="65" t="n">
        <f aca="false">INDEX(Monthly!$C$71:$BJ$71,B$3*12)</f>
        <v>86256.7046170131</v>
      </c>
      <c r="C5" s="65" t="n">
        <f aca="false">INDEX(Monthly!$C$71:$BJ$71,C$3*12)</f>
        <v>120762.144234026</v>
      </c>
      <c r="D5" s="65" t="n">
        <f aca="false">INDEX(Monthly!$C$71:$BJ$71,D$3*12)</f>
        <v>159033.28090104</v>
      </c>
      <c r="E5" s="65" t="n">
        <f aca="false">INDEX(Monthly!$C$71:$BJ$71,E$3*12)</f>
        <v>201183.085529553</v>
      </c>
      <c r="F5" s="65" t="n">
        <f aca="false">INDEX(Monthly!$C$71:$BJ$71,F$3*12)</f>
        <v>247125.065340597</v>
      </c>
    </row>
    <row r="6" customFormat="false" ht="15" hidden="false" customHeight="false" outlineLevel="0" collapsed="false">
      <c r="A6" s="6" t="s">
        <v>90</v>
      </c>
      <c r="B6" s="65" t="n">
        <f aca="false">INDEX(Monthly!$C$57:$BJ$57,B$3*12)</f>
        <v>0</v>
      </c>
      <c r="C6" s="65" t="n">
        <f aca="false">INDEX(Monthly!$C$57:$BJ$57,C$3*12)</f>
        <v>0</v>
      </c>
      <c r="D6" s="65" t="n">
        <f aca="false">INDEX(Monthly!$C$57:$BJ$57,D$3*12)</f>
        <v>0</v>
      </c>
      <c r="E6" s="65" t="n">
        <f aca="false">INDEX(Monthly!$C$57:$BJ$57,E$3*12)</f>
        <v>0</v>
      </c>
      <c r="F6" s="65" t="n">
        <f aca="false">INDEX(Monthly!$C$57:$BJ$57,F$3*12)</f>
        <v>0</v>
      </c>
    </row>
    <row r="7" customFormat="false" ht="15" hidden="false" customHeight="false" outlineLevel="0" collapsed="false">
      <c r="A7" s="6" t="s">
        <v>91</v>
      </c>
      <c r="B7" s="65" t="n">
        <f aca="false">INDEX(Monthly!$C$58:$BJ$58,B$3*12)</f>
        <v>0</v>
      </c>
      <c r="C7" s="65" t="n">
        <f aca="false">INDEX(Monthly!$C$58:$BJ$58,C$3*12)</f>
        <v>0</v>
      </c>
      <c r="D7" s="65" t="n">
        <f aca="false">INDEX(Monthly!$C$58:$BJ$58,D$3*12)</f>
        <v>0</v>
      </c>
      <c r="E7" s="65" t="n">
        <f aca="false">INDEX(Monthly!$C$58:$BJ$58,E$3*12)</f>
        <v>0</v>
      </c>
      <c r="F7" s="65" t="n">
        <f aca="false">INDEX(Monthly!$C$58:$BJ$58,F$3*12)</f>
        <v>0</v>
      </c>
    </row>
    <row r="8" customFormat="false" ht="15" hidden="false" customHeight="false" outlineLevel="0" collapsed="false">
      <c r="A8" s="6" t="s">
        <v>92</v>
      </c>
      <c r="B8" s="65" t="n">
        <f aca="false">INDEX(Monthly!$C$46:$BJ$46,B$3*12)</f>
        <v>1852059.41358025</v>
      </c>
      <c r="C8" s="65" t="n">
        <f aca="false">INDEX(Monthly!$C$46:$BJ$46,C$3*12)</f>
        <v>1798592.09104938</v>
      </c>
      <c r="D8" s="65" t="n">
        <f aca="false">INDEX(Monthly!$C$46:$BJ$46,D$3*12)</f>
        <v>1745097.23032408</v>
      </c>
      <c r="E8" s="65" t="n">
        <f aca="false">INDEX(Monthly!$C$46:$BJ$46,E$3*12)</f>
        <v>1691574.00525849</v>
      </c>
      <c r="F8" s="65" t="n">
        <f aca="false">INDEX(Monthly!$C$46:$BJ$46,F$3*12)</f>
        <v>1638021.56492242</v>
      </c>
    </row>
    <row r="9" customFormat="false" ht="15" hidden="false" customHeight="false" outlineLevel="0" collapsed="false">
      <c r="A9" s="108" t="s">
        <v>93</v>
      </c>
      <c r="B9" s="66" t="n">
        <f aca="false">INDEX(Monthly!$C$85:$BJ$85,B$3*12)</f>
        <v>1938316.11819726</v>
      </c>
      <c r="C9" s="66" t="n">
        <f aca="false">INDEX(Monthly!$C$85:$BJ$85,C$3*12)</f>
        <v>1919354.23528341</v>
      </c>
      <c r="D9" s="66" t="n">
        <f aca="false">INDEX(Monthly!$C$85:$BJ$85,D$3*12)</f>
        <v>1904130.51122512</v>
      </c>
      <c r="E9" s="66" t="n">
        <f aca="false">INDEX(Monthly!$C$85:$BJ$85,E$3*12)</f>
        <v>1892757.09078804</v>
      </c>
      <c r="F9" s="66" t="n">
        <f aca="false">INDEX(Monthly!$C$85:$BJ$85,F$3*12)</f>
        <v>1885146.63026302</v>
      </c>
    </row>
    <row r="10" customFormat="false" ht="15" hidden="false" customHeight="false" outlineLevel="0" collapsed="false">
      <c r="A10" s="6" t="s">
        <v>94</v>
      </c>
      <c r="B10" s="65" t="n">
        <f aca="false">INDEX(Monthly!$C$59:$BJ$59,B$3*12)</f>
        <v>934.5</v>
      </c>
      <c r="C10" s="65" t="n">
        <f aca="false">INDEX(Monthly!$C$59:$BJ$59,C$3*12)</f>
        <v>962.535</v>
      </c>
      <c r="D10" s="65" t="n">
        <f aca="false">INDEX(Monthly!$C$59:$BJ$59,D$3*12)</f>
        <v>991.41105</v>
      </c>
      <c r="E10" s="65" t="n">
        <f aca="false">INDEX(Monthly!$C$59:$BJ$59,E$3*12)</f>
        <v>1021.1533815</v>
      </c>
      <c r="F10" s="65" t="n">
        <f aca="false">INDEX(Monthly!$C$59:$BJ$59,F$3*12)</f>
        <v>1051.787982945</v>
      </c>
    </row>
    <row r="11" customFormat="false" ht="15" hidden="false" customHeight="false" outlineLevel="0" collapsed="false">
      <c r="A11" s="6" t="s">
        <v>95</v>
      </c>
      <c r="B11" s="65" t="n">
        <f aca="false">INDEX(Monthly!$C$54:$BJ$54,B$3*12)</f>
        <v>1186587.29437248</v>
      </c>
      <c r="C11" s="65" t="n">
        <f aca="false">INDEX(Monthly!$C$54:$BJ$54,C$3*12)</f>
        <v>1172276.31500872</v>
      </c>
      <c r="D11" s="65" t="n">
        <f aca="false">INDEX(Monthly!$C$54:$BJ$54,D$3*12)</f>
        <v>1157006.902853</v>
      </c>
      <c r="E11" s="65" t="n">
        <f aca="false">INDEX(Monthly!$C$54:$BJ$54,E$3*12)</f>
        <v>1140714.86988622</v>
      </c>
      <c r="F11" s="65" t="n">
        <f aca="false">INDEX(Monthly!$C$54:$BJ$54,F$3*12)</f>
        <v>1123331.72929877</v>
      </c>
    </row>
    <row r="12" customFormat="false" ht="15" hidden="false" customHeight="false" outlineLevel="0" collapsed="false">
      <c r="A12" s="109" t="s">
        <v>96</v>
      </c>
      <c r="B12" s="110" t="n">
        <f aca="false">INDEX(Monthly!$C$86:$BJ$86,B$3*12)</f>
        <v>1187521.79437248</v>
      </c>
      <c r="C12" s="110" t="n">
        <f aca="false">INDEX(Monthly!$C$86:$BJ$86,C$3*12)</f>
        <v>1173238.85000872</v>
      </c>
      <c r="D12" s="110" t="n">
        <f aca="false">INDEX(Monthly!$C$86:$BJ$86,D$3*12)</f>
        <v>1157998.313903</v>
      </c>
      <c r="E12" s="110" t="n">
        <f aca="false">INDEX(Monthly!$C$86:$BJ$86,E$3*12)</f>
        <v>1141736.02326772</v>
      </c>
      <c r="F12" s="110" t="n">
        <f aca="false">INDEX(Monthly!$C$86:$BJ$86,F$3*12)</f>
        <v>1124383.51728171</v>
      </c>
    </row>
    <row r="13" customFormat="false" ht="15" hidden="false" customHeight="false" outlineLevel="0" collapsed="false">
      <c r="A13" s="6" t="s">
        <v>97</v>
      </c>
      <c r="B13" s="65" t="n">
        <f aca="false">INDEX(Monthly!$C$83:$BJ$83,B$3*12)</f>
        <v>760000</v>
      </c>
      <c r="C13" s="65" t="n">
        <f aca="false">INDEX(Monthly!$C$83:$BJ$83,C$3*12)</f>
        <v>760000</v>
      </c>
      <c r="D13" s="65" t="n">
        <f aca="false">INDEX(Monthly!$C$83:$BJ$83,D$3*12)</f>
        <v>760000</v>
      </c>
      <c r="E13" s="65" t="n">
        <f aca="false">INDEX(Monthly!$C$83:$BJ$83,E$3*12)</f>
        <v>760000</v>
      </c>
      <c r="F13" s="65" t="n">
        <f aca="false">INDEX(Monthly!$C$83:$BJ$83,F$3*12)</f>
        <v>760000</v>
      </c>
    </row>
    <row r="14" customFormat="false" ht="15" hidden="false" customHeight="false" outlineLevel="0" collapsed="false">
      <c r="A14" s="6" t="s">
        <v>98</v>
      </c>
      <c r="B14" s="65" t="n">
        <f aca="false">INDEX(Monthly!$C$84:$BJ$84,B$3*12)</f>
        <v>-9205.67617522005</v>
      </c>
      <c r="C14" s="65" t="n">
        <f aca="false">INDEX(Monthly!$C$84:$BJ$84,C$3*12)</f>
        <v>-13884.6147253113</v>
      </c>
      <c r="D14" s="65" t="n">
        <f aca="false">INDEX(Monthly!$C$84:$BJ$84,D$3*12)</f>
        <v>-13867.8026778858</v>
      </c>
      <c r="E14" s="65" t="n">
        <f aca="false">INDEX(Monthly!$C$84:$BJ$84,E$3*12)</f>
        <v>-8978.93247967945</v>
      </c>
      <c r="F14" s="65" t="n">
        <f aca="false">INDEX(Monthly!$C$84:$BJ$84,F$3*12)</f>
        <v>763.112981298949</v>
      </c>
    </row>
    <row r="15" customFormat="false" ht="15" hidden="false" customHeight="false" outlineLevel="0" collapsed="false">
      <c r="A15" s="109" t="s">
        <v>99</v>
      </c>
      <c r="B15" s="110" t="n">
        <f aca="false">INDEX(Monthly!$C$87:$BJ$87,B$3*12)</f>
        <v>750794.32382478</v>
      </c>
      <c r="C15" s="110" t="n">
        <f aca="false">INDEX(Monthly!$C$87:$BJ$87,C$3*12)</f>
        <v>746115.385274689</v>
      </c>
      <c r="D15" s="110" t="n">
        <f aca="false">INDEX(Monthly!$C$87:$BJ$87,D$3*12)</f>
        <v>746132.197322114</v>
      </c>
      <c r="E15" s="110" t="n">
        <f aca="false">INDEX(Monthly!$C$87:$BJ$87,E$3*12)</f>
        <v>751021.067520321</v>
      </c>
      <c r="F15" s="110" t="n">
        <f aca="false">INDEX(Monthly!$C$87:$BJ$87,F$3*12)</f>
        <v>760763.112981299</v>
      </c>
    </row>
    <row r="16" customFormat="false" ht="15" hidden="false" customHeight="false" outlineLevel="0" collapsed="false">
      <c r="A16" s="68" t="s">
        <v>100</v>
      </c>
      <c r="B16" s="69" t="n">
        <f aca="false">INDEX(Monthly!$C$88:$BJ$88,B$3*12)</f>
        <v>1938316.11819726</v>
      </c>
      <c r="C16" s="69" t="n">
        <f aca="false">INDEX(Monthly!$C$88:$BJ$88,C$3*12)</f>
        <v>1919354.23528341</v>
      </c>
      <c r="D16" s="69" t="n">
        <f aca="false">INDEX(Monthly!$C$88:$BJ$88,D$3*12)</f>
        <v>1904130.51122511</v>
      </c>
      <c r="E16" s="69" t="n">
        <f aca="false">INDEX(Monthly!$C$88:$BJ$88,E$3*12)</f>
        <v>1892757.09078804</v>
      </c>
      <c r="F16" s="69" t="n">
        <f aca="false">INDEX(Monthly!$C$88:$BJ$88,F$3*12)</f>
        <v>1885146.63026301</v>
      </c>
    </row>
    <row r="17" customFormat="false" ht="15" hidden="false" customHeight="false" outlineLevel="0" collapsed="false">
      <c r="A17" s="6" t="s">
        <v>350</v>
      </c>
      <c r="B17" s="65" t="n">
        <f aca="false">INDEX(Monthly!$C$89:$BJ$89,B$3*12)</f>
        <v>0</v>
      </c>
      <c r="C17" s="65" t="n">
        <f aca="false">INDEX(Monthly!$C$89:$BJ$89,C$3*12)</f>
        <v>0</v>
      </c>
      <c r="D17" s="65" t="n">
        <f aca="false">INDEX(Monthly!$C$89:$BJ$89,D$3*12)</f>
        <v>0</v>
      </c>
      <c r="E17" s="65" t="n">
        <f aca="false">INDEX(Monthly!$C$89:$BJ$89,E$3*12)</f>
        <v>0</v>
      </c>
      <c r="F17" s="65" t="n">
        <f aca="false">INDEX(Monthly!$C$89:$BJ$89,F$3*12)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8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351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352</v>
      </c>
    </row>
    <row r="3" customFormat="false" ht="15" hidden="false" customHeight="false" outlineLevel="0" collapsed="false">
      <c r="A3" s="33" t="s">
        <v>353</v>
      </c>
      <c r="C3" s="50" t="s">
        <v>354</v>
      </c>
      <c r="D3" s="50" t="s">
        <v>355</v>
      </c>
      <c r="E3" s="50" t="s">
        <v>356</v>
      </c>
      <c r="F3" s="50" t="s">
        <v>357</v>
      </c>
      <c r="G3" s="50" t="s">
        <v>358</v>
      </c>
      <c r="H3" s="50" t="s">
        <v>359</v>
      </c>
      <c r="I3" s="50" t="s">
        <v>360</v>
      </c>
      <c r="J3" s="50" t="s">
        <v>361</v>
      </c>
      <c r="K3" s="50" t="s">
        <v>362</v>
      </c>
      <c r="L3" s="50" t="s">
        <v>363</v>
      </c>
      <c r="M3" s="50" t="s">
        <v>364</v>
      </c>
      <c r="N3" s="50" t="s">
        <v>365</v>
      </c>
      <c r="O3" s="50" t="s">
        <v>366</v>
      </c>
      <c r="P3" s="50" t="s">
        <v>367</v>
      </c>
      <c r="Q3" s="50" t="s">
        <v>368</v>
      </c>
      <c r="R3" s="50" t="s">
        <v>369</v>
      </c>
      <c r="S3" s="50" t="s">
        <v>370</v>
      </c>
      <c r="T3" s="50" t="s">
        <v>371</v>
      </c>
      <c r="U3" s="50" t="s">
        <v>372</v>
      </c>
      <c r="V3" s="50" t="s">
        <v>373</v>
      </c>
      <c r="W3" s="50" t="s">
        <v>374</v>
      </c>
      <c r="X3" s="50" t="s">
        <v>375</v>
      </c>
      <c r="Y3" s="50" t="s">
        <v>376</v>
      </c>
      <c r="Z3" s="50" t="s">
        <v>377</v>
      </c>
      <c r="AA3" s="50" t="s">
        <v>378</v>
      </c>
      <c r="AB3" s="50" t="s">
        <v>379</v>
      </c>
      <c r="AC3" s="50" t="s">
        <v>380</v>
      </c>
      <c r="AD3" s="50" t="s">
        <v>381</v>
      </c>
      <c r="AE3" s="50" t="s">
        <v>382</v>
      </c>
      <c r="AF3" s="50" t="s">
        <v>383</v>
      </c>
      <c r="AG3" s="50" t="s">
        <v>384</v>
      </c>
      <c r="AH3" s="50" t="s">
        <v>385</v>
      </c>
      <c r="AI3" s="50" t="s">
        <v>386</v>
      </c>
      <c r="AJ3" s="50" t="s">
        <v>387</v>
      </c>
      <c r="AK3" s="50" t="s">
        <v>388</v>
      </c>
      <c r="AL3" s="50" t="s">
        <v>389</v>
      </c>
      <c r="AM3" s="50" t="s">
        <v>390</v>
      </c>
      <c r="AN3" s="50" t="s">
        <v>391</v>
      </c>
      <c r="AO3" s="50" t="s">
        <v>392</v>
      </c>
      <c r="AP3" s="50" t="s">
        <v>393</v>
      </c>
      <c r="AQ3" s="50" t="s">
        <v>394</v>
      </c>
      <c r="AR3" s="50" t="s">
        <v>395</v>
      </c>
      <c r="AS3" s="50" t="s">
        <v>396</v>
      </c>
      <c r="AT3" s="50" t="s">
        <v>397</v>
      </c>
      <c r="AU3" s="50" t="s">
        <v>398</v>
      </c>
      <c r="AV3" s="50" t="s">
        <v>399</v>
      </c>
      <c r="AW3" s="50" t="s">
        <v>400</v>
      </c>
      <c r="AX3" s="50" t="s">
        <v>401</v>
      </c>
      <c r="AY3" s="50" t="s">
        <v>402</v>
      </c>
      <c r="AZ3" s="50" t="s">
        <v>403</v>
      </c>
      <c r="BA3" s="50" t="s">
        <v>404</v>
      </c>
      <c r="BB3" s="50" t="s">
        <v>405</v>
      </c>
      <c r="BC3" s="50" t="s">
        <v>406</v>
      </c>
      <c r="BD3" s="50" t="s">
        <v>407</v>
      </c>
      <c r="BE3" s="50" t="s">
        <v>408</v>
      </c>
      <c r="BF3" s="50" t="s">
        <v>409</v>
      </c>
      <c r="BG3" s="50" t="s">
        <v>410</v>
      </c>
      <c r="BH3" s="50" t="s">
        <v>411</v>
      </c>
      <c r="BI3" s="50" t="s">
        <v>412</v>
      </c>
      <c r="BJ3" s="50" t="s">
        <v>413</v>
      </c>
    </row>
    <row r="4" customFormat="false" ht="15" hidden="false" customHeight="false" outlineLevel="0" collapsed="false">
      <c r="A4" s="70" t="s">
        <v>414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  <c r="AM4" s="70" t="n">
        <v>37</v>
      </c>
      <c r="AN4" s="70" t="n">
        <v>38</v>
      </c>
      <c r="AO4" s="70" t="n">
        <v>39</v>
      </c>
      <c r="AP4" s="70" t="n">
        <v>40</v>
      </c>
      <c r="AQ4" s="70" t="n">
        <v>41</v>
      </c>
      <c r="AR4" s="70" t="n">
        <v>42</v>
      </c>
      <c r="AS4" s="70" t="n">
        <v>43</v>
      </c>
      <c r="AT4" s="70" t="n">
        <v>44</v>
      </c>
      <c r="AU4" s="70" t="n">
        <v>45</v>
      </c>
      <c r="AV4" s="70" t="n">
        <v>46</v>
      </c>
      <c r="AW4" s="70" t="n">
        <v>47</v>
      </c>
      <c r="AX4" s="70" t="n">
        <v>48</v>
      </c>
      <c r="AY4" s="70" t="n">
        <v>49</v>
      </c>
      <c r="AZ4" s="70" t="n">
        <v>50</v>
      </c>
      <c r="BA4" s="70" t="n">
        <v>51</v>
      </c>
      <c r="BB4" s="70" t="n">
        <v>52</v>
      </c>
      <c r="BC4" s="70" t="n">
        <v>53</v>
      </c>
      <c r="BD4" s="70" t="n">
        <v>54</v>
      </c>
      <c r="BE4" s="70" t="n">
        <v>55</v>
      </c>
      <c r="BF4" s="70" t="n">
        <v>56</v>
      </c>
      <c r="BG4" s="70" t="n">
        <v>57</v>
      </c>
      <c r="BH4" s="70" t="n">
        <v>58</v>
      </c>
      <c r="BI4" s="70" t="n">
        <v>59</v>
      </c>
      <c r="BJ4" s="70" t="n">
        <v>60</v>
      </c>
    </row>
    <row r="5" customFormat="false" ht="15" hidden="false" customHeight="false" outlineLevel="0" collapsed="false">
      <c r="A5" s="70" t="s">
        <v>155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  <c r="AM5" s="70" t="n">
        <f aca="false">ROUNDUP(AM4*1/12,0)</f>
        <v>4</v>
      </c>
      <c r="AN5" s="70" t="n">
        <f aca="false">ROUNDUP(AN4*1/12,0)</f>
        <v>4</v>
      </c>
      <c r="AO5" s="70" t="n">
        <f aca="false">ROUNDUP(AO4*1/12,0)</f>
        <v>4</v>
      </c>
      <c r="AP5" s="70" t="n">
        <f aca="false">ROUNDUP(AP4*1/12,0)</f>
        <v>4</v>
      </c>
      <c r="AQ5" s="70" t="n">
        <f aca="false">ROUNDUP(AQ4*1/12,0)</f>
        <v>4</v>
      </c>
      <c r="AR5" s="70" t="n">
        <f aca="false">ROUNDUP(AR4*1/12,0)</f>
        <v>4</v>
      </c>
      <c r="AS5" s="70" t="n">
        <f aca="false">ROUNDUP(AS4*1/12,0)</f>
        <v>4</v>
      </c>
      <c r="AT5" s="70" t="n">
        <f aca="false">ROUNDUP(AT4*1/12,0)</f>
        <v>4</v>
      </c>
      <c r="AU5" s="70" t="n">
        <f aca="false">ROUNDUP(AU4*1/12,0)</f>
        <v>4</v>
      </c>
      <c r="AV5" s="70" t="n">
        <f aca="false">ROUNDUP(AV4*1/12,0)</f>
        <v>4</v>
      </c>
      <c r="AW5" s="70" t="n">
        <f aca="false">ROUNDUP(AW4*1/12,0)</f>
        <v>4</v>
      </c>
      <c r="AX5" s="70" t="n">
        <f aca="false">ROUNDUP(AX4*1/12,0)</f>
        <v>4</v>
      </c>
      <c r="AY5" s="70" t="n">
        <f aca="false">ROUNDUP(AY4*1/12,0)</f>
        <v>5</v>
      </c>
      <c r="AZ5" s="70" t="n">
        <f aca="false">ROUNDUP(AZ4*1/12,0)</f>
        <v>5</v>
      </c>
      <c r="BA5" s="70" t="n">
        <f aca="false">ROUNDUP(BA4*1/12,0)</f>
        <v>5</v>
      </c>
      <c r="BB5" s="70" t="n">
        <f aca="false">ROUNDUP(BB4*1/12,0)</f>
        <v>5</v>
      </c>
      <c r="BC5" s="70" t="n">
        <f aca="false">ROUNDUP(BC4*1/12,0)</f>
        <v>5</v>
      </c>
      <c r="BD5" s="70" t="n">
        <f aca="false">ROUNDUP(BD4*1/12,0)</f>
        <v>5</v>
      </c>
      <c r="BE5" s="70" t="n">
        <f aca="false">ROUNDUP(BE4*1/12,0)</f>
        <v>5</v>
      </c>
      <c r="BF5" s="70" t="n">
        <f aca="false">ROUNDUP(BF4*1/12,0)</f>
        <v>5</v>
      </c>
      <c r="BG5" s="70" t="n">
        <f aca="false">ROUNDUP(BG4*1/12,0)</f>
        <v>5</v>
      </c>
      <c r="BH5" s="70" t="n">
        <f aca="false">ROUNDUP(BH4*1/12,0)</f>
        <v>5</v>
      </c>
      <c r="BI5" s="70" t="n">
        <f aca="false">ROUNDUP(BI4*1/12,0)</f>
        <v>5</v>
      </c>
      <c r="BJ5" s="70" t="n">
        <f aca="false">ROUNDUP(BJ4*1/12,0)</f>
        <v>5</v>
      </c>
    </row>
    <row r="7" customFormat="false" ht="15.75" hidden="false" customHeight="true" outlineLevel="0" collapsed="false">
      <c r="A7" s="7" t="s">
        <v>299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415</v>
      </c>
      <c r="C8" s="111" t="n">
        <f aca="false">Inputs!$E$13*(1+Inputs!$E$14)^(C$5-1)</f>
        <v>1700</v>
      </c>
      <c r="D8" s="111" t="n">
        <f aca="false">Inputs!$E$13*(1+Inputs!$E$14)^(D$5-1)</f>
        <v>1700</v>
      </c>
      <c r="E8" s="111" t="n">
        <f aca="false">Inputs!$E$13*(1+Inputs!$E$14)^(E$5-1)</f>
        <v>1700</v>
      </c>
      <c r="F8" s="111" t="n">
        <f aca="false">Inputs!$E$13*(1+Inputs!$E$14)^(F$5-1)</f>
        <v>1700</v>
      </c>
      <c r="G8" s="111" t="n">
        <f aca="false">Inputs!$E$13*(1+Inputs!$E$14)^(G$5-1)</f>
        <v>1700</v>
      </c>
      <c r="H8" s="111" t="n">
        <f aca="false">Inputs!$E$13*(1+Inputs!$E$14)^(H$5-1)</f>
        <v>1700</v>
      </c>
      <c r="I8" s="111" t="n">
        <f aca="false">Inputs!$E$13*(1+Inputs!$E$14)^(I$5-1)</f>
        <v>1700</v>
      </c>
      <c r="J8" s="111" t="n">
        <f aca="false">Inputs!$E$13*(1+Inputs!$E$14)^(J$5-1)</f>
        <v>1700</v>
      </c>
      <c r="K8" s="111" t="n">
        <f aca="false">Inputs!$E$13*(1+Inputs!$E$14)^(K$5-1)</f>
        <v>1700</v>
      </c>
      <c r="L8" s="111" t="n">
        <f aca="false">Inputs!$E$13*(1+Inputs!$E$14)^(L$5-1)</f>
        <v>1700</v>
      </c>
      <c r="M8" s="111" t="n">
        <f aca="false">Inputs!$E$13*(1+Inputs!$E$14)^(M$5-1)</f>
        <v>1700</v>
      </c>
      <c r="N8" s="111" t="n">
        <f aca="false">Inputs!$E$13*(1+Inputs!$E$14)^(N$5-1)</f>
        <v>1700</v>
      </c>
      <c r="O8" s="111" t="n">
        <f aca="false">Inputs!$E$13*(1+Inputs!$E$14)^(O$5-1)</f>
        <v>1751</v>
      </c>
      <c r="P8" s="111" t="n">
        <f aca="false">Inputs!$E$13*(1+Inputs!$E$14)^(P$5-1)</f>
        <v>1751</v>
      </c>
      <c r="Q8" s="111" t="n">
        <f aca="false">Inputs!$E$13*(1+Inputs!$E$14)^(Q$5-1)</f>
        <v>1751</v>
      </c>
      <c r="R8" s="111" t="n">
        <f aca="false">Inputs!$E$13*(1+Inputs!$E$14)^(R$5-1)</f>
        <v>1751</v>
      </c>
      <c r="S8" s="111" t="n">
        <f aca="false">Inputs!$E$13*(1+Inputs!$E$14)^(S$5-1)</f>
        <v>1751</v>
      </c>
      <c r="T8" s="111" t="n">
        <f aca="false">Inputs!$E$13*(1+Inputs!$E$14)^(T$5-1)</f>
        <v>1751</v>
      </c>
      <c r="U8" s="111" t="n">
        <f aca="false">Inputs!$E$13*(1+Inputs!$E$14)^(U$5-1)</f>
        <v>1751</v>
      </c>
      <c r="V8" s="111" t="n">
        <f aca="false">Inputs!$E$13*(1+Inputs!$E$14)^(V$5-1)</f>
        <v>1751</v>
      </c>
      <c r="W8" s="111" t="n">
        <f aca="false">Inputs!$E$13*(1+Inputs!$E$14)^(W$5-1)</f>
        <v>1751</v>
      </c>
      <c r="X8" s="111" t="n">
        <f aca="false">Inputs!$E$13*(1+Inputs!$E$14)^(X$5-1)</f>
        <v>1751</v>
      </c>
      <c r="Y8" s="111" t="n">
        <f aca="false">Inputs!$E$13*(1+Inputs!$E$14)^(Y$5-1)</f>
        <v>1751</v>
      </c>
      <c r="Z8" s="111" t="n">
        <f aca="false">Inputs!$E$13*(1+Inputs!$E$14)^(Z$5-1)</f>
        <v>1751</v>
      </c>
      <c r="AA8" s="111" t="n">
        <f aca="false">Inputs!$E$13*(1+Inputs!$E$14)^(AA$5-1)</f>
        <v>1803.53</v>
      </c>
      <c r="AB8" s="111" t="n">
        <f aca="false">Inputs!$E$13*(1+Inputs!$E$14)^(AB$5-1)</f>
        <v>1803.53</v>
      </c>
      <c r="AC8" s="111" t="n">
        <f aca="false">Inputs!$E$13*(1+Inputs!$E$14)^(AC$5-1)</f>
        <v>1803.53</v>
      </c>
      <c r="AD8" s="111" t="n">
        <f aca="false">Inputs!$E$13*(1+Inputs!$E$14)^(AD$5-1)</f>
        <v>1803.53</v>
      </c>
      <c r="AE8" s="111" t="n">
        <f aca="false">Inputs!$E$13*(1+Inputs!$E$14)^(AE$5-1)</f>
        <v>1803.53</v>
      </c>
      <c r="AF8" s="111" t="n">
        <f aca="false">Inputs!$E$13*(1+Inputs!$E$14)^(AF$5-1)</f>
        <v>1803.53</v>
      </c>
      <c r="AG8" s="111" t="n">
        <f aca="false">Inputs!$E$13*(1+Inputs!$E$14)^(AG$5-1)</f>
        <v>1803.53</v>
      </c>
      <c r="AH8" s="111" t="n">
        <f aca="false">Inputs!$E$13*(1+Inputs!$E$14)^(AH$5-1)</f>
        <v>1803.53</v>
      </c>
      <c r="AI8" s="111" t="n">
        <f aca="false">Inputs!$E$13*(1+Inputs!$E$14)^(AI$5-1)</f>
        <v>1803.53</v>
      </c>
      <c r="AJ8" s="111" t="n">
        <f aca="false">Inputs!$E$13*(1+Inputs!$E$14)^(AJ$5-1)</f>
        <v>1803.53</v>
      </c>
      <c r="AK8" s="111" t="n">
        <f aca="false">Inputs!$E$13*(1+Inputs!$E$14)^(AK$5-1)</f>
        <v>1803.53</v>
      </c>
      <c r="AL8" s="111" t="n">
        <f aca="false">Inputs!$E$13*(1+Inputs!$E$14)^(AL$5-1)</f>
        <v>1803.53</v>
      </c>
      <c r="AM8" s="111" t="n">
        <f aca="false">Inputs!$E$13*(1+Inputs!$E$14)^(AM$5-1)</f>
        <v>1857.6359</v>
      </c>
      <c r="AN8" s="111" t="n">
        <f aca="false">Inputs!$E$13*(1+Inputs!$E$14)^(AN$5-1)</f>
        <v>1857.6359</v>
      </c>
      <c r="AO8" s="111" t="n">
        <f aca="false">Inputs!$E$13*(1+Inputs!$E$14)^(AO$5-1)</f>
        <v>1857.6359</v>
      </c>
      <c r="AP8" s="111" t="n">
        <f aca="false">Inputs!$E$13*(1+Inputs!$E$14)^(AP$5-1)</f>
        <v>1857.6359</v>
      </c>
      <c r="AQ8" s="111" t="n">
        <f aca="false">Inputs!$E$13*(1+Inputs!$E$14)^(AQ$5-1)</f>
        <v>1857.6359</v>
      </c>
      <c r="AR8" s="111" t="n">
        <f aca="false">Inputs!$E$13*(1+Inputs!$E$14)^(AR$5-1)</f>
        <v>1857.6359</v>
      </c>
      <c r="AS8" s="111" t="n">
        <f aca="false">Inputs!$E$13*(1+Inputs!$E$14)^(AS$5-1)</f>
        <v>1857.6359</v>
      </c>
      <c r="AT8" s="111" t="n">
        <f aca="false">Inputs!$E$13*(1+Inputs!$E$14)^(AT$5-1)</f>
        <v>1857.6359</v>
      </c>
      <c r="AU8" s="111" t="n">
        <f aca="false">Inputs!$E$13*(1+Inputs!$E$14)^(AU$5-1)</f>
        <v>1857.6359</v>
      </c>
      <c r="AV8" s="111" t="n">
        <f aca="false">Inputs!$E$13*(1+Inputs!$E$14)^(AV$5-1)</f>
        <v>1857.6359</v>
      </c>
      <c r="AW8" s="111" t="n">
        <f aca="false">Inputs!$E$13*(1+Inputs!$E$14)^(AW$5-1)</f>
        <v>1857.6359</v>
      </c>
      <c r="AX8" s="111" t="n">
        <f aca="false">Inputs!$E$13*(1+Inputs!$E$14)^(AX$5-1)</f>
        <v>1857.6359</v>
      </c>
      <c r="AY8" s="111" t="n">
        <f aca="false">Inputs!$E$13*(1+Inputs!$E$14)^(AY$5-1)</f>
        <v>1913.364977</v>
      </c>
      <c r="AZ8" s="111" t="n">
        <f aca="false">Inputs!$E$13*(1+Inputs!$E$14)^(AZ$5-1)</f>
        <v>1913.364977</v>
      </c>
      <c r="BA8" s="111" t="n">
        <f aca="false">Inputs!$E$13*(1+Inputs!$E$14)^(BA$5-1)</f>
        <v>1913.364977</v>
      </c>
      <c r="BB8" s="111" t="n">
        <f aca="false">Inputs!$E$13*(1+Inputs!$E$14)^(BB$5-1)</f>
        <v>1913.364977</v>
      </c>
      <c r="BC8" s="111" t="n">
        <f aca="false">Inputs!$E$13*(1+Inputs!$E$14)^(BC$5-1)</f>
        <v>1913.364977</v>
      </c>
      <c r="BD8" s="111" t="n">
        <f aca="false">Inputs!$E$13*(1+Inputs!$E$14)^(BD$5-1)</f>
        <v>1913.364977</v>
      </c>
      <c r="BE8" s="111" t="n">
        <f aca="false">Inputs!$E$13*(1+Inputs!$E$14)^(BE$5-1)</f>
        <v>1913.364977</v>
      </c>
      <c r="BF8" s="111" t="n">
        <f aca="false">Inputs!$E$13*(1+Inputs!$E$14)^(BF$5-1)</f>
        <v>1913.364977</v>
      </c>
      <c r="BG8" s="111" t="n">
        <f aca="false">Inputs!$E$13*(1+Inputs!$E$14)^(BG$5-1)</f>
        <v>1913.364977</v>
      </c>
      <c r="BH8" s="111" t="n">
        <f aca="false">Inputs!$E$13*(1+Inputs!$E$14)^(BH$5-1)</f>
        <v>1913.364977</v>
      </c>
      <c r="BI8" s="111" t="n">
        <f aca="false">Inputs!$E$13*(1+Inputs!$E$14)^(BI$5-1)</f>
        <v>1913.364977</v>
      </c>
      <c r="BJ8" s="111" t="n">
        <f aca="false">Inputs!$E$13*(1+Inputs!$E$14)^(BJ$5-1)</f>
        <v>1913.364977</v>
      </c>
    </row>
    <row r="9" customFormat="false" ht="15" hidden="false" customHeight="false" outlineLevel="0" collapsed="false">
      <c r="A9" s="6" t="s">
        <v>416</v>
      </c>
      <c r="C9" s="65" t="n">
        <f aca="false">Inputs!$E$10*C8*1</f>
        <v>17000</v>
      </c>
      <c r="D9" s="65" t="n">
        <f aca="false">Inputs!$E$10*D8*1</f>
        <v>17000</v>
      </c>
      <c r="E9" s="65" t="n">
        <f aca="false">Inputs!$E$10*E8*1</f>
        <v>17000</v>
      </c>
      <c r="F9" s="65" t="n">
        <f aca="false">Inputs!$E$10*F8*1</f>
        <v>17000</v>
      </c>
      <c r="G9" s="65" t="n">
        <f aca="false">Inputs!$E$10*G8*1</f>
        <v>17000</v>
      </c>
      <c r="H9" s="65" t="n">
        <f aca="false">Inputs!$E$10*H8*1</f>
        <v>17000</v>
      </c>
      <c r="I9" s="65" t="n">
        <f aca="false">Inputs!$E$10*I8*1</f>
        <v>17000</v>
      </c>
      <c r="J9" s="65" t="n">
        <f aca="false">Inputs!$E$10*J8*1</f>
        <v>17000</v>
      </c>
      <c r="K9" s="65" t="n">
        <f aca="false">Inputs!$E$10*K8*1</f>
        <v>17000</v>
      </c>
      <c r="L9" s="65" t="n">
        <f aca="false">Inputs!$E$10*L8*1</f>
        <v>17000</v>
      </c>
      <c r="M9" s="65" t="n">
        <f aca="false">Inputs!$E$10*M8*1</f>
        <v>17000</v>
      </c>
      <c r="N9" s="65" t="n">
        <f aca="false">Inputs!$E$10*N8*1</f>
        <v>17000</v>
      </c>
      <c r="O9" s="65" t="n">
        <f aca="false">Inputs!$E$10*O8*1</f>
        <v>17510</v>
      </c>
      <c r="P9" s="65" t="n">
        <f aca="false">Inputs!$E$10*P8*1</f>
        <v>17510</v>
      </c>
      <c r="Q9" s="65" t="n">
        <f aca="false">Inputs!$E$10*Q8*1</f>
        <v>17510</v>
      </c>
      <c r="R9" s="65" t="n">
        <f aca="false">Inputs!$E$10*R8*1</f>
        <v>17510</v>
      </c>
      <c r="S9" s="65" t="n">
        <f aca="false">Inputs!$E$10*S8*1</f>
        <v>17510</v>
      </c>
      <c r="T9" s="65" t="n">
        <f aca="false">Inputs!$E$10*T8*1</f>
        <v>17510</v>
      </c>
      <c r="U9" s="65" t="n">
        <f aca="false">Inputs!$E$10*U8*1</f>
        <v>17510</v>
      </c>
      <c r="V9" s="65" t="n">
        <f aca="false">Inputs!$E$10*V8*1</f>
        <v>17510</v>
      </c>
      <c r="W9" s="65" t="n">
        <f aca="false">Inputs!$E$10*W8*1</f>
        <v>17510</v>
      </c>
      <c r="X9" s="65" t="n">
        <f aca="false">Inputs!$E$10*X8*1</f>
        <v>17510</v>
      </c>
      <c r="Y9" s="65" t="n">
        <f aca="false">Inputs!$E$10*Y8*1</f>
        <v>17510</v>
      </c>
      <c r="Z9" s="65" t="n">
        <f aca="false">Inputs!$E$10*Z8*1</f>
        <v>17510</v>
      </c>
      <c r="AA9" s="65" t="n">
        <f aca="false">Inputs!$E$10*AA8*1</f>
        <v>18035.3</v>
      </c>
      <c r="AB9" s="65" t="n">
        <f aca="false">Inputs!$E$10*AB8*1</f>
        <v>18035.3</v>
      </c>
      <c r="AC9" s="65" t="n">
        <f aca="false">Inputs!$E$10*AC8*1</f>
        <v>18035.3</v>
      </c>
      <c r="AD9" s="65" t="n">
        <f aca="false">Inputs!$E$10*AD8*1</f>
        <v>18035.3</v>
      </c>
      <c r="AE9" s="65" t="n">
        <f aca="false">Inputs!$E$10*AE8*1</f>
        <v>18035.3</v>
      </c>
      <c r="AF9" s="65" t="n">
        <f aca="false">Inputs!$E$10*AF8*1</f>
        <v>18035.3</v>
      </c>
      <c r="AG9" s="65" t="n">
        <f aca="false">Inputs!$E$10*AG8*1</f>
        <v>18035.3</v>
      </c>
      <c r="AH9" s="65" t="n">
        <f aca="false">Inputs!$E$10*AH8*1</f>
        <v>18035.3</v>
      </c>
      <c r="AI9" s="65" t="n">
        <f aca="false">Inputs!$E$10*AI8*1</f>
        <v>18035.3</v>
      </c>
      <c r="AJ9" s="65" t="n">
        <f aca="false">Inputs!$E$10*AJ8*1</f>
        <v>18035.3</v>
      </c>
      <c r="AK9" s="65" t="n">
        <f aca="false">Inputs!$E$10*AK8*1</f>
        <v>18035.3</v>
      </c>
      <c r="AL9" s="65" t="n">
        <f aca="false">Inputs!$E$10*AL8*1</f>
        <v>18035.3</v>
      </c>
      <c r="AM9" s="65" t="n">
        <f aca="false">Inputs!$E$10*AM8*1</f>
        <v>18576.359</v>
      </c>
      <c r="AN9" s="65" t="n">
        <f aca="false">Inputs!$E$10*AN8*1</f>
        <v>18576.359</v>
      </c>
      <c r="AO9" s="65" t="n">
        <f aca="false">Inputs!$E$10*AO8*1</f>
        <v>18576.359</v>
      </c>
      <c r="AP9" s="65" t="n">
        <f aca="false">Inputs!$E$10*AP8*1</f>
        <v>18576.359</v>
      </c>
      <c r="AQ9" s="65" t="n">
        <f aca="false">Inputs!$E$10*AQ8*1</f>
        <v>18576.359</v>
      </c>
      <c r="AR9" s="65" t="n">
        <f aca="false">Inputs!$E$10*AR8*1</f>
        <v>18576.359</v>
      </c>
      <c r="AS9" s="65" t="n">
        <f aca="false">Inputs!$E$10*AS8*1</f>
        <v>18576.359</v>
      </c>
      <c r="AT9" s="65" t="n">
        <f aca="false">Inputs!$E$10*AT8*1</f>
        <v>18576.359</v>
      </c>
      <c r="AU9" s="65" t="n">
        <f aca="false">Inputs!$E$10*AU8*1</f>
        <v>18576.359</v>
      </c>
      <c r="AV9" s="65" t="n">
        <f aca="false">Inputs!$E$10*AV8*1</f>
        <v>18576.359</v>
      </c>
      <c r="AW9" s="65" t="n">
        <f aca="false">Inputs!$E$10*AW8*1</f>
        <v>18576.359</v>
      </c>
      <c r="AX9" s="65" t="n">
        <f aca="false">Inputs!$E$10*AX8*1</f>
        <v>18576.359</v>
      </c>
      <c r="AY9" s="65" t="n">
        <f aca="false">Inputs!$E$10*AY8*1</f>
        <v>19133.64977</v>
      </c>
      <c r="AZ9" s="65" t="n">
        <f aca="false">Inputs!$E$10*AZ8*1</f>
        <v>19133.64977</v>
      </c>
      <c r="BA9" s="65" t="n">
        <f aca="false">Inputs!$E$10*BA8*1</f>
        <v>19133.64977</v>
      </c>
      <c r="BB9" s="65" t="n">
        <f aca="false">Inputs!$E$10*BB8*1</f>
        <v>19133.64977</v>
      </c>
      <c r="BC9" s="65" t="n">
        <f aca="false">Inputs!$E$10*BC8*1</f>
        <v>19133.64977</v>
      </c>
      <c r="BD9" s="65" t="n">
        <f aca="false">Inputs!$E$10*BD8*1</f>
        <v>19133.64977</v>
      </c>
      <c r="BE9" s="65" t="n">
        <f aca="false">Inputs!$E$10*BE8*1</f>
        <v>19133.64977</v>
      </c>
      <c r="BF9" s="65" t="n">
        <f aca="false">Inputs!$E$10*BF8*1</f>
        <v>19133.64977</v>
      </c>
      <c r="BG9" s="65" t="n">
        <f aca="false">Inputs!$E$10*BG8*1</f>
        <v>19133.64977</v>
      </c>
      <c r="BH9" s="65" t="n">
        <f aca="false">Inputs!$E$10*BH8*1</f>
        <v>19133.64977</v>
      </c>
      <c r="BI9" s="65" t="n">
        <f aca="false">Inputs!$E$10*BI8*1</f>
        <v>19133.64977</v>
      </c>
      <c r="BJ9" s="65" t="n">
        <f aca="false">Inputs!$E$10*BJ8*1</f>
        <v>19133.64977</v>
      </c>
    </row>
    <row r="10" customFormat="false" ht="15" hidden="false" customHeight="false" outlineLevel="0" collapsed="false">
      <c r="A10" s="6" t="s">
        <v>235</v>
      </c>
      <c r="C10" s="65" t="n">
        <f aca="false">-C9*Inputs!$E$15</f>
        <v>-850</v>
      </c>
      <c r="D10" s="65" t="n">
        <f aca="false">-D9*Inputs!$E$15</f>
        <v>-850</v>
      </c>
      <c r="E10" s="65" t="n">
        <f aca="false">-E9*Inputs!$E$15</f>
        <v>-850</v>
      </c>
      <c r="F10" s="65" t="n">
        <f aca="false">-F9*Inputs!$E$15</f>
        <v>-850</v>
      </c>
      <c r="G10" s="65" t="n">
        <f aca="false">-G9*Inputs!$E$15</f>
        <v>-850</v>
      </c>
      <c r="H10" s="65" t="n">
        <f aca="false">-H9*Inputs!$E$15</f>
        <v>-850</v>
      </c>
      <c r="I10" s="65" t="n">
        <f aca="false">-I9*Inputs!$E$15</f>
        <v>-850</v>
      </c>
      <c r="J10" s="65" t="n">
        <f aca="false">-J9*Inputs!$E$15</f>
        <v>-850</v>
      </c>
      <c r="K10" s="65" t="n">
        <f aca="false">-K9*Inputs!$E$15</f>
        <v>-850</v>
      </c>
      <c r="L10" s="65" t="n">
        <f aca="false">-L9*Inputs!$E$15</f>
        <v>-850</v>
      </c>
      <c r="M10" s="65" t="n">
        <f aca="false">-M9*Inputs!$E$15</f>
        <v>-850</v>
      </c>
      <c r="N10" s="65" t="n">
        <f aca="false">-N9*Inputs!$E$15</f>
        <v>-850</v>
      </c>
      <c r="O10" s="65" t="n">
        <f aca="false">-O9*Inputs!$E$15</f>
        <v>-875.5</v>
      </c>
      <c r="P10" s="65" t="n">
        <f aca="false">-P9*Inputs!$E$15</f>
        <v>-875.5</v>
      </c>
      <c r="Q10" s="65" t="n">
        <f aca="false">-Q9*Inputs!$E$15</f>
        <v>-875.5</v>
      </c>
      <c r="R10" s="65" t="n">
        <f aca="false">-R9*Inputs!$E$15</f>
        <v>-875.5</v>
      </c>
      <c r="S10" s="65" t="n">
        <f aca="false">-S9*Inputs!$E$15</f>
        <v>-875.5</v>
      </c>
      <c r="T10" s="65" t="n">
        <f aca="false">-T9*Inputs!$E$15</f>
        <v>-875.5</v>
      </c>
      <c r="U10" s="65" t="n">
        <f aca="false">-U9*Inputs!$E$15</f>
        <v>-875.5</v>
      </c>
      <c r="V10" s="65" t="n">
        <f aca="false">-V9*Inputs!$E$15</f>
        <v>-875.5</v>
      </c>
      <c r="W10" s="65" t="n">
        <f aca="false">-W9*Inputs!$E$15</f>
        <v>-875.5</v>
      </c>
      <c r="X10" s="65" t="n">
        <f aca="false">-X9*Inputs!$E$15</f>
        <v>-875.5</v>
      </c>
      <c r="Y10" s="65" t="n">
        <f aca="false">-Y9*Inputs!$E$15</f>
        <v>-875.5</v>
      </c>
      <c r="Z10" s="65" t="n">
        <f aca="false">-Z9*Inputs!$E$15</f>
        <v>-875.5</v>
      </c>
      <c r="AA10" s="65" t="n">
        <f aca="false">-AA9*Inputs!$E$15</f>
        <v>-901.765</v>
      </c>
      <c r="AB10" s="65" t="n">
        <f aca="false">-AB9*Inputs!$E$15</f>
        <v>-901.765</v>
      </c>
      <c r="AC10" s="65" t="n">
        <f aca="false">-AC9*Inputs!$E$15</f>
        <v>-901.765</v>
      </c>
      <c r="AD10" s="65" t="n">
        <f aca="false">-AD9*Inputs!$E$15</f>
        <v>-901.765</v>
      </c>
      <c r="AE10" s="65" t="n">
        <f aca="false">-AE9*Inputs!$E$15</f>
        <v>-901.765</v>
      </c>
      <c r="AF10" s="65" t="n">
        <f aca="false">-AF9*Inputs!$E$15</f>
        <v>-901.765</v>
      </c>
      <c r="AG10" s="65" t="n">
        <f aca="false">-AG9*Inputs!$E$15</f>
        <v>-901.765</v>
      </c>
      <c r="AH10" s="65" t="n">
        <f aca="false">-AH9*Inputs!$E$15</f>
        <v>-901.765</v>
      </c>
      <c r="AI10" s="65" t="n">
        <f aca="false">-AI9*Inputs!$E$15</f>
        <v>-901.765</v>
      </c>
      <c r="AJ10" s="65" t="n">
        <f aca="false">-AJ9*Inputs!$E$15</f>
        <v>-901.765</v>
      </c>
      <c r="AK10" s="65" t="n">
        <f aca="false">-AK9*Inputs!$E$15</f>
        <v>-901.765</v>
      </c>
      <c r="AL10" s="65" t="n">
        <f aca="false">-AL9*Inputs!$E$15</f>
        <v>-901.765</v>
      </c>
      <c r="AM10" s="65" t="n">
        <f aca="false">-AM9*Inputs!$E$15</f>
        <v>-928.81795</v>
      </c>
      <c r="AN10" s="65" t="n">
        <f aca="false">-AN9*Inputs!$E$15</f>
        <v>-928.81795</v>
      </c>
      <c r="AO10" s="65" t="n">
        <f aca="false">-AO9*Inputs!$E$15</f>
        <v>-928.81795</v>
      </c>
      <c r="AP10" s="65" t="n">
        <f aca="false">-AP9*Inputs!$E$15</f>
        <v>-928.81795</v>
      </c>
      <c r="AQ10" s="65" t="n">
        <f aca="false">-AQ9*Inputs!$E$15</f>
        <v>-928.81795</v>
      </c>
      <c r="AR10" s="65" t="n">
        <f aca="false">-AR9*Inputs!$E$15</f>
        <v>-928.81795</v>
      </c>
      <c r="AS10" s="65" t="n">
        <f aca="false">-AS9*Inputs!$E$15</f>
        <v>-928.81795</v>
      </c>
      <c r="AT10" s="65" t="n">
        <f aca="false">-AT9*Inputs!$E$15</f>
        <v>-928.81795</v>
      </c>
      <c r="AU10" s="65" t="n">
        <f aca="false">-AU9*Inputs!$E$15</f>
        <v>-928.81795</v>
      </c>
      <c r="AV10" s="65" t="n">
        <f aca="false">-AV9*Inputs!$E$15</f>
        <v>-928.81795</v>
      </c>
      <c r="AW10" s="65" t="n">
        <f aca="false">-AW9*Inputs!$E$15</f>
        <v>-928.81795</v>
      </c>
      <c r="AX10" s="65" t="n">
        <f aca="false">-AX9*Inputs!$E$15</f>
        <v>-928.81795</v>
      </c>
      <c r="AY10" s="65" t="n">
        <f aca="false">-AY9*Inputs!$E$15</f>
        <v>-956.6824885</v>
      </c>
      <c r="AZ10" s="65" t="n">
        <f aca="false">-AZ9*Inputs!$E$15</f>
        <v>-956.6824885</v>
      </c>
      <c r="BA10" s="65" t="n">
        <f aca="false">-BA9*Inputs!$E$15</f>
        <v>-956.6824885</v>
      </c>
      <c r="BB10" s="65" t="n">
        <f aca="false">-BB9*Inputs!$E$15</f>
        <v>-956.6824885</v>
      </c>
      <c r="BC10" s="65" t="n">
        <f aca="false">-BC9*Inputs!$E$15</f>
        <v>-956.6824885</v>
      </c>
      <c r="BD10" s="65" t="n">
        <f aca="false">-BD9*Inputs!$E$15</f>
        <v>-956.6824885</v>
      </c>
      <c r="BE10" s="65" t="n">
        <f aca="false">-BE9*Inputs!$E$15</f>
        <v>-956.6824885</v>
      </c>
      <c r="BF10" s="65" t="n">
        <f aca="false">-BF9*Inputs!$E$15</f>
        <v>-956.6824885</v>
      </c>
      <c r="BG10" s="65" t="n">
        <f aca="false">-BG9*Inputs!$E$15</f>
        <v>-956.6824885</v>
      </c>
      <c r="BH10" s="65" t="n">
        <f aca="false">-BH9*Inputs!$E$15</f>
        <v>-956.6824885</v>
      </c>
      <c r="BI10" s="65" t="n">
        <f aca="false">-BI9*Inputs!$E$15</f>
        <v>-956.6824885</v>
      </c>
      <c r="BJ10" s="65" t="n">
        <f aca="false">-BJ9*Inputs!$E$15</f>
        <v>-956.6824885</v>
      </c>
    </row>
    <row r="11" customFormat="false" ht="15" hidden="false" customHeight="false" outlineLevel="0" collapsed="false">
      <c r="A11" s="6" t="s">
        <v>417</v>
      </c>
      <c r="C11" s="65" t="n">
        <f aca="false">Inputs!$E$10*Inputs!$E$16*(1+Inputs!$E$14)^(C$5-1)*(1-Inputs!$E$15)*1</f>
        <v>237.5</v>
      </c>
      <c r="D11" s="65" t="n">
        <f aca="false">Inputs!$E$10*Inputs!$E$16*(1+Inputs!$E$14)^(D$5-1)*(1-Inputs!$E$15)*1</f>
        <v>237.5</v>
      </c>
      <c r="E11" s="65" t="n">
        <f aca="false">Inputs!$E$10*Inputs!$E$16*(1+Inputs!$E$14)^(E$5-1)*(1-Inputs!$E$15)*1</f>
        <v>237.5</v>
      </c>
      <c r="F11" s="65" t="n">
        <f aca="false">Inputs!$E$10*Inputs!$E$16*(1+Inputs!$E$14)^(F$5-1)*(1-Inputs!$E$15)*1</f>
        <v>237.5</v>
      </c>
      <c r="G11" s="65" t="n">
        <f aca="false">Inputs!$E$10*Inputs!$E$16*(1+Inputs!$E$14)^(G$5-1)*(1-Inputs!$E$15)*1</f>
        <v>237.5</v>
      </c>
      <c r="H11" s="65" t="n">
        <f aca="false">Inputs!$E$10*Inputs!$E$16*(1+Inputs!$E$14)^(H$5-1)*(1-Inputs!$E$15)*1</f>
        <v>237.5</v>
      </c>
      <c r="I11" s="65" t="n">
        <f aca="false">Inputs!$E$10*Inputs!$E$16*(1+Inputs!$E$14)^(I$5-1)*(1-Inputs!$E$15)*1</f>
        <v>237.5</v>
      </c>
      <c r="J11" s="65" t="n">
        <f aca="false">Inputs!$E$10*Inputs!$E$16*(1+Inputs!$E$14)^(J$5-1)*(1-Inputs!$E$15)*1</f>
        <v>237.5</v>
      </c>
      <c r="K11" s="65" t="n">
        <f aca="false">Inputs!$E$10*Inputs!$E$16*(1+Inputs!$E$14)^(K$5-1)*(1-Inputs!$E$15)*1</f>
        <v>237.5</v>
      </c>
      <c r="L11" s="65" t="n">
        <f aca="false">Inputs!$E$10*Inputs!$E$16*(1+Inputs!$E$14)^(L$5-1)*(1-Inputs!$E$15)*1</f>
        <v>237.5</v>
      </c>
      <c r="M11" s="65" t="n">
        <f aca="false">Inputs!$E$10*Inputs!$E$16*(1+Inputs!$E$14)^(M$5-1)*(1-Inputs!$E$15)*1</f>
        <v>237.5</v>
      </c>
      <c r="N11" s="65" t="n">
        <f aca="false">Inputs!$E$10*Inputs!$E$16*(1+Inputs!$E$14)^(N$5-1)*(1-Inputs!$E$15)*1</f>
        <v>237.5</v>
      </c>
      <c r="O11" s="65" t="n">
        <f aca="false">Inputs!$E$10*Inputs!$E$16*(1+Inputs!$E$14)^(O$5-1)*(1-Inputs!$E$15)*1</f>
        <v>244.625</v>
      </c>
      <c r="P11" s="65" t="n">
        <f aca="false">Inputs!$E$10*Inputs!$E$16*(1+Inputs!$E$14)^(P$5-1)*(1-Inputs!$E$15)*1</f>
        <v>244.625</v>
      </c>
      <c r="Q11" s="65" t="n">
        <f aca="false">Inputs!$E$10*Inputs!$E$16*(1+Inputs!$E$14)^(Q$5-1)*(1-Inputs!$E$15)*1</f>
        <v>244.625</v>
      </c>
      <c r="R11" s="65" t="n">
        <f aca="false">Inputs!$E$10*Inputs!$E$16*(1+Inputs!$E$14)^(R$5-1)*(1-Inputs!$E$15)*1</f>
        <v>244.625</v>
      </c>
      <c r="S11" s="65" t="n">
        <f aca="false">Inputs!$E$10*Inputs!$E$16*(1+Inputs!$E$14)^(S$5-1)*(1-Inputs!$E$15)*1</f>
        <v>244.625</v>
      </c>
      <c r="T11" s="65" t="n">
        <f aca="false">Inputs!$E$10*Inputs!$E$16*(1+Inputs!$E$14)^(T$5-1)*(1-Inputs!$E$15)*1</f>
        <v>244.625</v>
      </c>
      <c r="U11" s="65" t="n">
        <f aca="false">Inputs!$E$10*Inputs!$E$16*(1+Inputs!$E$14)^(U$5-1)*(1-Inputs!$E$15)*1</f>
        <v>244.625</v>
      </c>
      <c r="V11" s="65" t="n">
        <f aca="false">Inputs!$E$10*Inputs!$E$16*(1+Inputs!$E$14)^(V$5-1)*(1-Inputs!$E$15)*1</f>
        <v>244.625</v>
      </c>
      <c r="W11" s="65" t="n">
        <f aca="false">Inputs!$E$10*Inputs!$E$16*(1+Inputs!$E$14)^(W$5-1)*(1-Inputs!$E$15)*1</f>
        <v>244.625</v>
      </c>
      <c r="X11" s="65" t="n">
        <f aca="false">Inputs!$E$10*Inputs!$E$16*(1+Inputs!$E$14)^(X$5-1)*(1-Inputs!$E$15)*1</f>
        <v>244.625</v>
      </c>
      <c r="Y11" s="65" t="n">
        <f aca="false">Inputs!$E$10*Inputs!$E$16*(1+Inputs!$E$14)^(Y$5-1)*(1-Inputs!$E$15)*1</f>
        <v>244.625</v>
      </c>
      <c r="Z11" s="65" t="n">
        <f aca="false">Inputs!$E$10*Inputs!$E$16*(1+Inputs!$E$14)^(Z$5-1)*(1-Inputs!$E$15)*1</f>
        <v>244.625</v>
      </c>
      <c r="AA11" s="65" t="n">
        <f aca="false">Inputs!$E$10*Inputs!$E$16*(1+Inputs!$E$14)^(AA$5-1)*(1-Inputs!$E$15)*1</f>
        <v>251.96375</v>
      </c>
      <c r="AB11" s="65" t="n">
        <f aca="false">Inputs!$E$10*Inputs!$E$16*(1+Inputs!$E$14)^(AB$5-1)*(1-Inputs!$E$15)*1</f>
        <v>251.96375</v>
      </c>
      <c r="AC11" s="65" t="n">
        <f aca="false">Inputs!$E$10*Inputs!$E$16*(1+Inputs!$E$14)^(AC$5-1)*(1-Inputs!$E$15)*1</f>
        <v>251.96375</v>
      </c>
      <c r="AD11" s="65" t="n">
        <f aca="false">Inputs!$E$10*Inputs!$E$16*(1+Inputs!$E$14)^(AD$5-1)*(1-Inputs!$E$15)*1</f>
        <v>251.96375</v>
      </c>
      <c r="AE11" s="65" t="n">
        <f aca="false">Inputs!$E$10*Inputs!$E$16*(1+Inputs!$E$14)^(AE$5-1)*(1-Inputs!$E$15)*1</f>
        <v>251.96375</v>
      </c>
      <c r="AF11" s="65" t="n">
        <f aca="false">Inputs!$E$10*Inputs!$E$16*(1+Inputs!$E$14)^(AF$5-1)*(1-Inputs!$E$15)*1</f>
        <v>251.96375</v>
      </c>
      <c r="AG11" s="65" t="n">
        <f aca="false">Inputs!$E$10*Inputs!$E$16*(1+Inputs!$E$14)^(AG$5-1)*(1-Inputs!$E$15)*1</f>
        <v>251.96375</v>
      </c>
      <c r="AH11" s="65" t="n">
        <f aca="false">Inputs!$E$10*Inputs!$E$16*(1+Inputs!$E$14)^(AH$5-1)*(1-Inputs!$E$15)*1</f>
        <v>251.96375</v>
      </c>
      <c r="AI11" s="65" t="n">
        <f aca="false">Inputs!$E$10*Inputs!$E$16*(1+Inputs!$E$14)^(AI$5-1)*(1-Inputs!$E$15)*1</f>
        <v>251.96375</v>
      </c>
      <c r="AJ11" s="65" t="n">
        <f aca="false">Inputs!$E$10*Inputs!$E$16*(1+Inputs!$E$14)^(AJ$5-1)*(1-Inputs!$E$15)*1</f>
        <v>251.96375</v>
      </c>
      <c r="AK11" s="65" t="n">
        <f aca="false">Inputs!$E$10*Inputs!$E$16*(1+Inputs!$E$14)^(AK$5-1)*(1-Inputs!$E$15)*1</f>
        <v>251.96375</v>
      </c>
      <c r="AL11" s="65" t="n">
        <f aca="false">Inputs!$E$10*Inputs!$E$16*(1+Inputs!$E$14)^(AL$5-1)*(1-Inputs!$E$15)*1</f>
        <v>251.96375</v>
      </c>
      <c r="AM11" s="65" t="n">
        <f aca="false">Inputs!$E$10*Inputs!$E$16*(1+Inputs!$E$14)^(AM$5-1)*(1-Inputs!$E$15)*1</f>
        <v>259.5226625</v>
      </c>
      <c r="AN11" s="65" t="n">
        <f aca="false">Inputs!$E$10*Inputs!$E$16*(1+Inputs!$E$14)^(AN$5-1)*(1-Inputs!$E$15)*1</f>
        <v>259.5226625</v>
      </c>
      <c r="AO11" s="65" t="n">
        <f aca="false">Inputs!$E$10*Inputs!$E$16*(1+Inputs!$E$14)^(AO$5-1)*(1-Inputs!$E$15)*1</f>
        <v>259.5226625</v>
      </c>
      <c r="AP11" s="65" t="n">
        <f aca="false">Inputs!$E$10*Inputs!$E$16*(1+Inputs!$E$14)^(AP$5-1)*(1-Inputs!$E$15)*1</f>
        <v>259.5226625</v>
      </c>
      <c r="AQ11" s="65" t="n">
        <f aca="false">Inputs!$E$10*Inputs!$E$16*(1+Inputs!$E$14)^(AQ$5-1)*(1-Inputs!$E$15)*1</f>
        <v>259.5226625</v>
      </c>
      <c r="AR11" s="65" t="n">
        <f aca="false">Inputs!$E$10*Inputs!$E$16*(1+Inputs!$E$14)^(AR$5-1)*(1-Inputs!$E$15)*1</f>
        <v>259.5226625</v>
      </c>
      <c r="AS11" s="65" t="n">
        <f aca="false">Inputs!$E$10*Inputs!$E$16*(1+Inputs!$E$14)^(AS$5-1)*(1-Inputs!$E$15)*1</f>
        <v>259.5226625</v>
      </c>
      <c r="AT11" s="65" t="n">
        <f aca="false">Inputs!$E$10*Inputs!$E$16*(1+Inputs!$E$14)^(AT$5-1)*(1-Inputs!$E$15)*1</f>
        <v>259.5226625</v>
      </c>
      <c r="AU11" s="65" t="n">
        <f aca="false">Inputs!$E$10*Inputs!$E$16*(1+Inputs!$E$14)^(AU$5-1)*(1-Inputs!$E$15)*1</f>
        <v>259.5226625</v>
      </c>
      <c r="AV11" s="65" t="n">
        <f aca="false">Inputs!$E$10*Inputs!$E$16*(1+Inputs!$E$14)^(AV$5-1)*(1-Inputs!$E$15)*1</f>
        <v>259.5226625</v>
      </c>
      <c r="AW11" s="65" t="n">
        <f aca="false">Inputs!$E$10*Inputs!$E$16*(1+Inputs!$E$14)^(AW$5-1)*(1-Inputs!$E$15)*1</f>
        <v>259.5226625</v>
      </c>
      <c r="AX11" s="65" t="n">
        <f aca="false">Inputs!$E$10*Inputs!$E$16*(1+Inputs!$E$14)^(AX$5-1)*(1-Inputs!$E$15)*1</f>
        <v>259.5226625</v>
      </c>
      <c r="AY11" s="65" t="n">
        <f aca="false">Inputs!$E$10*Inputs!$E$16*(1+Inputs!$E$14)^(AY$5-1)*(1-Inputs!$E$15)*1</f>
        <v>267.308342375</v>
      </c>
      <c r="AZ11" s="65" t="n">
        <f aca="false">Inputs!$E$10*Inputs!$E$16*(1+Inputs!$E$14)^(AZ$5-1)*(1-Inputs!$E$15)*1</f>
        <v>267.308342375</v>
      </c>
      <c r="BA11" s="65" t="n">
        <f aca="false">Inputs!$E$10*Inputs!$E$16*(1+Inputs!$E$14)^(BA$5-1)*(1-Inputs!$E$15)*1</f>
        <v>267.308342375</v>
      </c>
      <c r="BB11" s="65" t="n">
        <f aca="false">Inputs!$E$10*Inputs!$E$16*(1+Inputs!$E$14)^(BB$5-1)*(1-Inputs!$E$15)*1</f>
        <v>267.308342375</v>
      </c>
      <c r="BC11" s="65" t="n">
        <f aca="false">Inputs!$E$10*Inputs!$E$16*(1+Inputs!$E$14)^(BC$5-1)*(1-Inputs!$E$15)*1</f>
        <v>267.308342375</v>
      </c>
      <c r="BD11" s="65" t="n">
        <f aca="false">Inputs!$E$10*Inputs!$E$16*(1+Inputs!$E$14)^(BD$5-1)*(1-Inputs!$E$15)*1</f>
        <v>267.308342375</v>
      </c>
      <c r="BE11" s="65" t="n">
        <f aca="false">Inputs!$E$10*Inputs!$E$16*(1+Inputs!$E$14)^(BE$5-1)*(1-Inputs!$E$15)*1</f>
        <v>267.308342375</v>
      </c>
      <c r="BF11" s="65" t="n">
        <f aca="false">Inputs!$E$10*Inputs!$E$16*(1+Inputs!$E$14)^(BF$5-1)*(1-Inputs!$E$15)*1</f>
        <v>267.308342375</v>
      </c>
      <c r="BG11" s="65" t="n">
        <f aca="false">Inputs!$E$10*Inputs!$E$16*(1+Inputs!$E$14)^(BG$5-1)*(1-Inputs!$E$15)*1</f>
        <v>267.308342375</v>
      </c>
      <c r="BH11" s="65" t="n">
        <f aca="false">Inputs!$E$10*Inputs!$E$16*(1+Inputs!$E$14)^(BH$5-1)*(1-Inputs!$E$15)*1</f>
        <v>267.308342375</v>
      </c>
      <c r="BI11" s="65" t="n">
        <f aca="false">Inputs!$E$10*Inputs!$E$16*(1+Inputs!$E$14)^(BI$5-1)*(1-Inputs!$E$15)*1</f>
        <v>267.308342375</v>
      </c>
      <c r="BJ11" s="65" t="n">
        <f aca="false">Inputs!$E$10*Inputs!$E$16*(1+Inputs!$E$14)^(BJ$5-1)*(1-Inputs!$E$15)*1</f>
        <v>267.308342375</v>
      </c>
    </row>
    <row r="12" customFormat="false" ht="15" hidden="false" customHeight="false" outlineLevel="0" collapsed="false">
      <c r="A12" s="108" t="s">
        <v>237</v>
      </c>
      <c r="C12" s="66" t="n">
        <f aca="false">C9+C10+C11</f>
        <v>16387.5</v>
      </c>
      <c r="D12" s="66" t="n">
        <f aca="false">D9+D10+D11</f>
        <v>16387.5</v>
      </c>
      <c r="E12" s="66" t="n">
        <f aca="false">E9+E10+E11</f>
        <v>16387.5</v>
      </c>
      <c r="F12" s="66" t="n">
        <f aca="false">F9+F10+F11</f>
        <v>16387.5</v>
      </c>
      <c r="G12" s="66" t="n">
        <f aca="false">G9+G10+G11</f>
        <v>16387.5</v>
      </c>
      <c r="H12" s="66" t="n">
        <f aca="false">H9+H10+H11</f>
        <v>16387.5</v>
      </c>
      <c r="I12" s="66" t="n">
        <f aca="false">I9+I10+I11</f>
        <v>16387.5</v>
      </c>
      <c r="J12" s="66" t="n">
        <f aca="false">J9+J10+J11</f>
        <v>16387.5</v>
      </c>
      <c r="K12" s="66" t="n">
        <f aca="false">K9+K10+K11</f>
        <v>16387.5</v>
      </c>
      <c r="L12" s="66" t="n">
        <f aca="false">L9+L10+L11</f>
        <v>16387.5</v>
      </c>
      <c r="M12" s="66" t="n">
        <f aca="false">M9+M10+M11</f>
        <v>16387.5</v>
      </c>
      <c r="N12" s="66" t="n">
        <f aca="false">N9+N10+N11</f>
        <v>16387.5</v>
      </c>
      <c r="O12" s="66" t="n">
        <f aca="false">O9+O10+O11</f>
        <v>16879.125</v>
      </c>
      <c r="P12" s="66" t="n">
        <f aca="false">P9+P10+P11</f>
        <v>16879.125</v>
      </c>
      <c r="Q12" s="66" t="n">
        <f aca="false">Q9+Q10+Q11</f>
        <v>16879.125</v>
      </c>
      <c r="R12" s="66" t="n">
        <f aca="false">R9+R10+R11</f>
        <v>16879.125</v>
      </c>
      <c r="S12" s="66" t="n">
        <f aca="false">S9+S10+S11</f>
        <v>16879.125</v>
      </c>
      <c r="T12" s="66" t="n">
        <f aca="false">T9+T10+T11</f>
        <v>16879.125</v>
      </c>
      <c r="U12" s="66" t="n">
        <f aca="false">U9+U10+U11</f>
        <v>16879.125</v>
      </c>
      <c r="V12" s="66" t="n">
        <f aca="false">V9+V10+V11</f>
        <v>16879.125</v>
      </c>
      <c r="W12" s="66" t="n">
        <f aca="false">W9+W10+W11</f>
        <v>16879.125</v>
      </c>
      <c r="X12" s="66" t="n">
        <f aca="false">X9+X10+X11</f>
        <v>16879.125</v>
      </c>
      <c r="Y12" s="66" t="n">
        <f aca="false">Y9+Y10+Y11</f>
        <v>16879.125</v>
      </c>
      <c r="Z12" s="66" t="n">
        <f aca="false">Z9+Z10+Z11</f>
        <v>16879.125</v>
      </c>
      <c r="AA12" s="66" t="n">
        <f aca="false">AA9+AA10+AA11</f>
        <v>17385.49875</v>
      </c>
      <c r="AB12" s="66" t="n">
        <f aca="false">AB9+AB10+AB11</f>
        <v>17385.49875</v>
      </c>
      <c r="AC12" s="66" t="n">
        <f aca="false">AC9+AC10+AC11</f>
        <v>17385.49875</v>
      </c>
      <c r="AD12" s="66" t="n">
        <f aca="false">AD9+AD10+AD11</f>
        <v>17385.49875</v>
      </c>
      <c r="AE12" s="66" t="n">
        <f aca="false">AE9+AE10+AE11</f>
        <v>17385.49875</v>
      </c>
      <c r="AF12" s="66" t="n">
        <f aca="false">AF9+AF10+AF11</f>
        <v>17385.49875</v>
      </c>
      <c r="AG12" s="66" t="n">
        <f aca="false">AG9+AG10+AG11</f>
        <v>17385.49875</v>
      </c>
      <c r="AH12" s="66" t="n">
        <f aca="false">AH9+AH10+AH11</f>
        <v>17385.49875</v>
      </c>
      <c r="AI12" s="66" t="n">
        <f aca="false">AI9+AI10+AI11</f>
        <v>17385.49875</v>
      </c>
      <c r="AJ12" s="66" t="n">
        <f aca="false">AJ9+AJ10+AJ11</f>
        <v>17385.49875</v>
      </c>
      <c r="AK12" s="66" t="n">
        <f aca="false">AK9+AK10+AK11</f>
        <v>17385.49875</v>
      </c>
      <c r="AL12" s="66" t="n">
        <f aca="false">AL9+AL10+AL11</f>
        <v>17385.49875</v>
      </c>
      <c r="AM12" s="66" t="n">
        <f aca="false">AM9+AM10+AM11</f>
        <v>17907.0637125</v>
      </c>
      <c r="AN12" s="66" t="n">
        <f aca="false">AN9+AN10+AN11</f>
        <v>17907.0637125</v>
      </c>
      <c r="AO12" s="66" t="n">
        <f aca="false">AO9+AO10+AO11</f>
        <v>17907.0637125</v>
      </c>
      <c r="AP12" s="66" t="n">
        <f aca="false">AP9+AP10+AP11</f>
        <v>17907.0637125</v>
      </c>
      <c r="AQ12" s="66" t="n">
        <f aca="false">AQ9+AQ10+AQ11</f>
        <v>17907.0637125</v>
      </c>
      <c r="AR12" s="66" t="n">
        <f aca="false">AR9+AR10+AR11</f>
        <v>17907.0637125</v>
      </c>
      <c r="AS12" s="66" t="n">
        <f aca="false">AS9+AS10+AS11</f>
        <v>17907.0637125</v>
      </c>
      <c r="AT12" s="66" t="n">
        <f aca="false">AT9+AT10+AT11</f>
        <v>17907.0637125</v>
      </c>
      <c r="AU12" s="66" t="n">
        <f aca="false">AU9+AU10+AU11</f>
        <v>17907.0637125</v>
      </c>
      <c r="AV12" s="66" t="n">
        <f aca="false">AV9+AV10+AV11</f>
        <v>17907.0637125</v>
      </c>
      <c r="AW12" s="66" t="n">
        <f aca="false">AW9+AW10+AW11</f>
        <v>17907.0637125</v>
      </c>
      <c r="AX12" s="66" t="n">
        <f aca="false">AX9+AX10+AX11</f>
        <v>17907.0637125</v>
      </c>
      <c r="AY12" s="66" t="n">
        <f aca="false">AY9+AY10+AY11</f>
        <v>18444.275623875</v>
      </c>
      <c r="AZ12" s="66" t="n">
        <f aca="false">AZ9+AZ10+AZ11</f>
        <v>18444.275623875</v>
      </c>
      <c r="BA12" s="66" t="n">
        <f aca="false">BA9+BA10+BA11</f>
        <v>18444.275623875</v>
      </c>
      <c r="BB12" s="66" t="n">
        <f aca="false">BB9+BB10+BB11</f>
        <v>18444.275623875</v>
      </c>
      <c r="BC12" s="66" t="n">
        <f aca="false">BC9+BC10+BC11</f>
        <v>18444.275623875</v>
      </c>
      <c r="BD12" s="66" t="n">
        <f aca="false">BD9+BD10+BD11</f>
        <v>18444.275623875</v>
      </c>
      <c r="BE12" s="66" t="n">
        <f aca="false">BE9+BE10+BE11</f>
        <v>18444.275623875</v>
      </c>
      <c r="BF12" s="66" t="n">
        <f aca="false">BF9+BF10+BF11</f>
        <v>18444.275623875</v>
      </c>
      <c r="BG12" s="66" t="n">
        <f aca="false">BG9+BG10+BG11</f>
        <v>18444.275623875</v>
      </c>
      <c r="BH12" s="66" t="n">
        <f aca="false">BH9+BH10+BH11</f>
        <v>18444.275623875</v>
      </c>
      <c r="BI12" s="66" t="n">
        <f aca="false">BI9+BI10+BI11</f>
        <v>18444.275623875</v>
      </c>
      <c r="BJ12" s="66" t="n">
        <f aca="false">BJ9+BJ10+BJ11</f>
        <v>18444.275623875</v>
      </c>
    </row>
    <row r="14" customFormat="false" ht="15.75" hidden="false" customHeight="true" outlineLevel="0" collapsed="false">
      <c r="A14" s="7" t="s">
        <v>76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418</v>
      </c>
      <c r="C15" s="65" t="n">
        <f aca="false">-(C9+C10)*Inputs!$E$19</f>
        <v>-969</v>
      </c>
      <c r="D15" s="65" t="n">
        <f aca="false">-(D9+D10)*Inputs!$E$19</f>
        <v>-969</v>
      </c>
      <c r="E15" s="65" t="n">
        <f aca="false">-(E9+E10)*Inputs!$E$19</f>
        <v>-969</v>
      </c>
      <c r="F15" s="65" t="n">
        <f aca="false">-(F9+F10)*Inputs!$E$19</f>
        <v>-969</v>
      </c>
      <c r="G15" s="65" t="n">
        <f aca="false">-(G9+G10)*Inputs!$E$19</f>
        <v>-969</v>
      </c>
      <c r="H15" s="65" t="n">
        <f aca="false">-(H9+H10)*Inputs!$E$19</f>
        <v>-969</v>
      </c>
      <c r="I15" s="65" t="n">
        <f aca="false">-(I9+I10)*Inputs!$E$19</f>
        <v>-969</v>
      </c>
      <c r="J15" s="65" t="n">
        <f aca="false">-(J9+J10)*Inputs!$E$19</f>
        <v>-969</v>
      </c>
      <c r="K15" s="65" t="n">
        <f aca="false">-(K9+K10)*Inputs!$E$19</f>
        <v>-969</v>
      </c>
      <c r="L15" s="65" t="n">
        <f aca="false">-(L9+L10)*Inputs!$E$19</f>
        <v>-969</v>
      </c>
      <c r="M15" s="65" t="n">
        <f aca="false">-(M9+M10)*Inputs!$E$19</f>
        <v>-969</v>
      </c>
      <c r="N15" s="65" t="n">
        <f aca="false">-(N9+N10)*Inputs!$E$19</f>
        <v>-969</v>
      </c>
      <c r="O15" s="65" t="n">
        <f aca="false">-(O9+O10)*Inputs!$E$19</f>
        <v>-998.07</v>
      </c>
      <c r="P15" s="65" t="n">
        <f aca="false">-(P9+P10)*Inputs!$E$19</f>
        <v>-998.07</v>
      </c>
      <c r="Q15" s="65" t="n">
        <f aca="false">-(Q9+Q10)*Inputs!$E$19</f>
        <v>-998.07</v>
      </c>
      <c r="R15" s="65" t="n">
        <f aca="false">-(R9+R10)*Inputs!$E$19</f>
        <v>-998.07</v>
      </c>
      <c r="S15" s="65" t="n">
        <f aca="false">-(S9+S10)*Inputs!$E$19</f>
        <v>-998.07</v>
      </c>
      <c r="T15" s="65" t="n">
        <f aca="false">-(T9+T10)*Inputs!$E$19</f>
        <v>-998.07</v>
      </c>
      <c r="U15" s="65" t="n">
        <f aca="false">-(U9+U10)*Inputs!$E$19</f>
        <v>-998.07</v>
      </c>
      <c r="V15" s="65" t="n">
        <f aca="false">-(V9+V10)*Inputs!$E$19</f>
        <v>-998.07</v>
      </c>
      <c r="W15" s="65" t="n">
        <f aca="false">-(W9+W10)*Inputs!$E$19</f>
        <v>-998.07</v>
      </c>
      <c r="X15" s="65" t="n">
        <f aca="false">-(X9+X10)*Inputs!$E$19</f>
        <v>-998.07</v>
      </c>
      <c r="Y15" s="65" t="n">
        <f aca="false">-(Y9+Y10)*Inputs!$E$19</f>
        <v>-998.07</v>
      </c>
      <c r="Z15" s="65" t="n">
        <f aca="false">-(Z9+Z10)*Inputs!$E$19</f>
        <v>-998.07</v>
      </c>
      <c r="AA15" s="65" t="n">
        <f aca="false">-(AA9+AA10)*Inputs!$E$19</f>
        <v>-1028.0121</v>
      </c>
      <c r="AB15" s="65" t="n">
        <f aca="false">-(AB9+AB10)*Inputs!$E$19</f>
        <v>-1028.0121</v>
      </c>
      <c r="AC15" s="65" t="n">
        <f aca="false">-(AC9+AC10)*Inputs!$E$19</f>
        <v>-1028.0121</v>
      </c>
      <c r="AD15" s="65" t="n">
        <f aca="false">-(AD9+AD10)*Inputs!$E$19</f>
        <v>-1028.0121</v>
      </c>
      <c r="AE15" s="65" t="n">
        <f aca="false">-(AE9+AE10)*Inputs!$E$19</f>
        <v>-1028.0121</v>
      </c>
      <c r="AF15" s="65" t="n">
        <f aca="false">-(AF9+AF10)*Inputs!$E$19</f>
        <v>-1028.0121</v>
      </c>
      <c r="AG15" s="65" t="n">
        <f aca="false">-(AG9+AG10)*Inputs!$E$19</f>
        <v>-1028.0121</v>
      </c>
      <c r="AH15" s="65" t="n">
        <f aca="false">-(AH9+AH10)*Inputs!$E$19</f>
        <v>-1028.0121</v>
      </c>
      <c r="AI15" s="65" t="n">
        <f aca="false">-(AI9+AI10)*Inputs!$E$19</f>
        <v>-1028.0121</v>
      </c>
      <c r="AJ15" s="65" t="n">
        <f aca="false">-(AJ9+AJ10)*Inputs!$E$19</f>
        <v>-1028.0121</v>
      </c>
      <c r="AK15" s="65" t="n">
        <f aca="false">-(AK9+AK10)*Inputs!$E$19</f>
        <v>-1028.0121</v>
      </c>
      <c r="AL15" s="65" t="n">
        <f aca="false">-(AL9+AL10)*Inputs!$E$19</f>
        <v>-1028.0121</v>
      </c>
      <c r="AM15" s="65" t="n">
        <f aca="false">-(AM9+AM10)*Inputs!$E$19</f>
        <v>-1058.852463</v>
      </c>
      <c r="AN15" s="65" t="n">
        <f aca="false">-(AN9+AN10)*Inputs!$E$19</f>
        <v>-1058.852463</v>
      </c>
      <c r="AO15" s="65" t="n">
        <f aca="false">-(AO9+AO10)*Inputs!$E$19</f>
        <v>-1058.852463</v>
      </c>
      <c r="AP15" s="65" t="n">
        <f aca="false">-(AP9+AP10)*Inputs!$E$19</f>
        <v>-1058.852463</v>
      </c>
      <c r="AQ15" s="65" t="n">
        <f aca="false">-(AQ9+AQ10)*Inputs!$E$19</f>
        <v>-1058.852463</v>
      </c>
      <c r="AR15" s="65" t="n">
        <f aca="false">-(AR9+AR10)*Inputs!$E$19</f>
        <v>-1058.852463</v>
      </c>
      <c r="AS15" s="65" t="n">
        <f aca="false">-(AS9+AS10)*Inputs!$E$19</f>
        <v>-1058.852463</v>
      </c>
      <c r="AT15" s="65" t="n">
        <f aca="false">-(AT9+AT10)*Inputs!$E$19</f>
        <v>-1058.852463</v>
      </c>
      <c r="AU15" s="65" t="n">
        <f aca="false">-(AU9+AU10)*Inputs!$E$19</f>
        <v>-1058.852463</v>
      </c>
      <c r="AV15" s="65" t="n">
        <f aca="false">-(AV9+AV10)*Inputs!$E$19</f>
        <v>-1058.852463</v>
      </c>
      <c r="AW15" s="65" t="n">
        <f aca="false">-(AW9+AW10)*Inputs!$E$19</f>
        <v>-1058.852463</v>
      </c>
      <c r="AX15" s="65" t="n">
        <f aca="false">-(AX9+AX10)*Inputs!$E$19</f>
        <v>-1058.852463</v>
      </c>
      <c r="AY15" s="65" t="n">
        <f aca="false">-(AY9+AY10)*Inputs!$E$19</f>
        <v>-1090.61803689</v>
      </c>
      <c r="AZ15" s="65" t="n">
        <f aca="false">-(AZ9+AZ10)*Inputs!$E$19</f>
        <v>-1090.61803689</v>
      </c>
      <c r="BA15" s="65" t="n">
        <f aca="false">-(BA9+BA10)*Inputs!$E$19</f>
        <v>-1090.61803689</v>
      </c>
      <c r="BB15" s="65" t="n">
        <f aca="false">-(BB9+BB10)*Inputs!$E$19</f>
        <v>-1090.61803689</v>
      </c>
      <c r="BC15" s="65" t="n">
        <f aca="false">-(BC9+BC10)*Inputs!$E$19</f>
        <v>-1090.61803689</v>
      </c>
      <c r="BD15" s="65" t="n">
        <f aca="false">-(BD9+BD10)*Inputs!$E$19</f>
        <v>-1090.61803689</v>
      </c>
      <c r="BE15" s="65" t="n">
        <f aca="false">-(BE9+BE10)*Inputs!$E$19</f>
        <v>-1090.61803689</v>
      </c>
      <c r="BF15" s="65" t="n">
        <f aca="false">-(BF9+BF10)*Inputs!$E$19</f>
        <v>-1090.61803689</v>
      </c>
      <c r="BG15" s="65" t="n">
        <f aca="false">-(BG9+BG10)*Inputs!$E$19</f>
        <v>-1090.61803689</v>
      </c>
      <c r="BH15" s="65" t="n">
        <f aca="false">-(BH9+BH10)*Inputs!$E$19</f>
        <v>-1090.61803689</v>
      </c>
      <c r="BI15" s="65" t="n">
        <f aca="false">-(BI9+BI10)*Inputs!$E$19</f>
        <v>-1090.61803689</v>
      </c>
      <c r="BJ15" s="65" t="n">
        <f aca="false">-(BJ9+BJ10)*Inputs!$E$19</f>
        <v>-1090.61803689</v>
      </c>
    </row>
    <row r="16" customFormat="false" ht="15" hidden="false" customHeight="false" outlineLevel="0" collapsed="false">
      <c r="A16" s="6" t="s">
        <v>419</v>
      </c>
      <c r="C16" s="65" t="n">
        <f aca="false">-Inputs!$E$20*(1+Inputs!$E$25)^(C$5-1)*1</f>
        <v>-900</v>
      </c>
      <c r="D16" s="65" t="n">
        <f aca="false">-Inputs!$E$20*(1+Inputs!$E$25)^(D$5-1)*1</f>
        <v>-900</v>
      </c>
      <c r="E16" s="65" t="n">
        <f aca="false">-Inputs!$E$20*(1+Inputs!$E$25)^(E$5-1)*1</f>
        <v>-900</v>
      </c>
      <c r="F16" s="65" t="n">
        <f aca="false">-Inputs!$E$20*(1+Inputs!$E$25)^(F$5-1)*1</f>
        <v>-900</v>
      </c>
      <c r="G16" s="65" t="n">
        <f aca="false">-Inputs!$E$20*(1+Inputs!$E$25)^(G$5-1)*1</f>
        <v>-900</v>
      </c>
      <c r="H16" s="65" t="n">
        <f aca="false">-Inputs!$E$20*(1+Inputs!$E$25)^(H$5-1)*1</f>
        <v>-900</v>
      </c>
      <c r="I16" s="65" t="n">
        <f aca="false">-Inputs!$E$20*(1+Inputs!$E$25)^(I$5-1)*1</f>
        <v>-900</v>
      </c>
      <c r="J16" s="65" t="n">
        <f aca="false">-Inputs!$E$20*(1+Inputs!$E$25)^(J$5-1)*1</f>
        <v>-900</v>
      </c>
      <c r="K16" s="65" t="n">
        <f aca="false">-Inputs!$E$20*(1+Inputs!$E$25)^(K$5-1)*1</f>
        <v>-900</v>
      </c>
      <c r="L16" s="65" t="n">
        <f aca="false">-Inputs!$E$20*(1+Inputs!$E$25)^(L$5-1)*1</f>
        <v>-900</v>
      </c>
      <c r="M16" s="65" t="n">
        <f aca="false">-Inputs!$E$20*(1+Inputs!$E$25)^(M$5-1)*1</f>
        <v>-900</v>
      </c>
      <c r="N16" s="65" t="n">
        <f aca="false">-Inputs!$E$20*(1+Inputs!$E$25)^(N$5-1)*1</f>
        <v>-900</v>
      </c>
      <c r="O16" s="65" t="n">
        <f aca="false">-Inputs!$E$20*(1+Inputs!$E$25)^(O$5-1)*1</f>
        <v>-927</v>
      </c>
      <c r="P16" s="65" t="n">
        <f aca="false">-Inputs!$E$20*(1+Inputs!$E$25)^(P$5-1)*1</f>
        <v>-927</v>
      </c>
      <c r="Q16" s="65" t="n">
        <f aca="false">-Inputs!$E$20*(1+Inputs!$E$25)^(Q$5-1)*1</f>
        <v>-927</v>
      </c>
      <c r="R16" s="65" t="n">
        <f aca="false">-Inputs!$E$20*(1+Inputs!$E$25)^(R$5-1)*1</f>
        <v>-927</v>
      </c>
      <c r="S16" s="65" t="n">
        <f aca="false">-Inputs!$E$20*(1+Inputs!$E$25)^(S$5-1)*1</f>
        <v>-927</v>
      </c>
      <c r="T16" s="65" t="n">
        <f aca="false">-Inputs!$E$20*(1+Inputs!$E$25)^(T$5-1)*1</f>
        <v>-927</v>
      </c>
      <c r="U16" s="65" t="n">
        <f aca="false">-Inputs!$E$20*(1+Inputs!$E$25)^(U$5-1)*1</f>
        <v>-927</v>
      </c>
      <c r="V16" s="65" t="n">
        <f aca="false">-Inputs!$E$20*(1+Inputs!$E$25)^(V$5-1)*1</f>
        <v>-927</v>
      </c>
      <c r="W16" s="65" t="n">
        <f aca="false">-Inputs!$E$20*(1+Inputs!$E$25)^(W$5-1)*1</f>
        <v>-927</v>
      </c>
      <c r="X16" s="65" t="n">
        <f aca="false">-Inputs!$E$20*(1+Inputs!$E$25)^(X$5-1)*1</f>
        <v>-927</v>
      </c>
      <c r="Y16" s="65" t="n">
        <f aca="false">-Inputs!$E$20*(1+Inputs!$E$25)^(Y$5-1)*1</f>
        <v>-927</v>
      </c>
      <c r="Z16" s="65" t="n">
        <f aca="false">-Inputs!$E$20*(1+Inputs!$E$25)^(Z$5-1)*1</f>
        <v>-927</v>
      </c>
      <c r="AA16" s="65" t="n">
        <f aca="false">-Inputs!$E$20*(1+Inputs!$E$25)^(AA$5-1)*1</f>
        <v>-954.81</v>
      </c>
      <c r="AB16" s="65" t="n">
        <f aca="false">-Inputs!$E$20*(1+Inputs!$E$25)^(AB$5-1)*1</f>
        <v>-954.81</v>
      </c>
      <c r="AC16" s="65" t="n">
        <f aca="false">-Inputs!$E$20*(1+Inputs!$E$25)^(AC$5-1)*1</f>
        <v>-954.81</v>
      </c>
      <c r="AD16" s="65" t="n">
        <f aca="false">-Inputs!$E$20*(1+Inputs!$E$25)^(AD$5-1)*1</f>
        <v>-954.81</v>
      </c>
      <c r="AE16" s="65" t="n">
        <f aca="false">-Inputs!$E$20*(1+Inputs!$E$25)^(AE$5-1)*1</f>
        <v>-954.81</v>
      </c>
      <c r="AF16" s="65" t="n">
        <f aca="false">-Inputs!$E$20*(1+Inputs!$E$25)^(AF$5-1)*1</f>
        <v>-954.81</v>
      </c>
      <c r="AG16" s="65" t="n">
        <f aca="false">-Inputs!$E$20*(1+Inputs!$E$25)^(AG$5-1)*1</f>
        <v>-954.81</v>
      </c>
      <c r="AH16" s="65" t="n">
        <f aca="false">-Inputs!$E$20*(1+Inputs!$E$25)^(AH$5-1)*1</f>
        <v>-954.81</v>
      </c>
      <c r="AI16" s="65" t="n">
        <f aca="false">-Inputs!$E$20*(1+Inputs!$E$25)^(AI$5-1)*1</f>
        <v>-954.81</v>
      </c>
      <c r="AJ16" s="65" t="n">
        <f aca="false">-Inputs!$E$20*(1+Inputs!$E$25)^(AJ$5-1)*1</f>
        <v>-954.81</v>
      </c>
      <c r="AK16" s="65" t="n">
        <f aca="false">-Inputs!$E$20*(1+Inputs!$E$25)^(AK$5-1)*1</f>
        <v>-954.81</v>
      </c>
      <c r="AL16" s="65" t="n">
        <f aca="false">-Inputs!$E$20*(1+Inputs!$E$25)^(AL$5-1)*1</f>
        <v>-954.81</v>
      </c>
      <c r="AM16" s="65" t="n">
        <f aca="false">-Inputs!$E$20*(1+Inputs!$E$25)^(AM$5-1)*1</f>
        <v>-983.4543</v>
      </c>
      <c r="AN16" s="65" t="n">
        <f aca="false">-Inputs!$E$20*(1+Inputs!$E$25)^(AN$5-1)*1</f>
        <v>-983.4543</v>
      </c>
      <c r="AO16" s="65" t="n">
        <f aca="false">-Inputs!$E$20*(1+Inputs!$E$25)^(AO$5-1)*1</f>
        <v>-983.4543</v>
      </c>
      <c r="AP16" s="65" t="n">
        <f aca="false">-Inputs!$E$20*(1+Inputs!$E$25)^(AP$5-1)*1</f>
        <v>-983.4543</v>
      </c>
      <c r="AQ16" s="65" t="n">
        <f aca="false">-Inputs!$E$20*(1+Inputs!$E$25)^(AQ$5-1)*1</f>
        <v>-983.4543</v>
      </c>
      <c r="AR16" s="65" t="n">
        <f aca="false">-Inputs!$E$20*(1+Inputs!$E$25)^(AR$5-1)*1</f>
        <v>-983.4543</v>
      </c>
      <c r="AS16" s="65" t="n">
        <f aca="false">-Inputs!$E$20*(1+Inputs!$E$25)^(AS$5-1)*1</f>
        <v>-983.4543</v>
      </c>
      <c r="AT16" s="65" t="n">
        <f aca="false">-Inputs!$E$20*(1+Inputs!$E$25)^(AT$5-1)*1</f>
        <v>-983.4543</v>
      </c>
      <c r="AU16" s="65" t="n">
        <f aca="false">-Inputs!$E$20*(1+Inputs!$E$25)^(AU$5-1)*1</f>
        <v>-983.4543</v>
      </c>
      <c r="AV16" s="65" t="n">
        <f aca="false">-Inputs!$E$20*(1+Inputs!$E$25)^(AV$5-1)*1</f>
        <v>-983.4543</v>
      </c>
      <c r="AW16" s="65" t="n">
        <f aca="false">-Inputs!$E$20*(1+Inputs!$E$25)^(AW$5-1)*1</f>
        <v>-983.4543</v>
      </c>
      <c r="AX16" s="65" t="n">
        <f aca="false">-Inputs!$E$20*(1+Inputs!$E$25)^(AX$5-1)*1</f>
        <v>-983.4543</v>
      </c>
      <c r="AY16" s="65" t="n">
        <f aca="false">-Inputs!$E$20*(1+Inputs!$E$25)^(AY$5-1)*1</f>
        <v>-1012.957929</v>
      </c>
      <c r="AZ16" s="65" t="n">
        <f aca="false">-Inputs!$E$20*(1+Inputs!$E$25)^(AZ$5-1)*1</f>
        <v>-1012.957929</v>
      </c>
      <c r="BA16" s="65" t="n">
        <f aca="false">-Inputs!$E$20*(1+Inputs!$E$25)^(BA$5-1)*1</f>
        <v>-1012.957929</v>
      </c>
      <c r="BB16" s="65" t="n">
        <f aca="false">-Inputs!$E$20*(1+Inputs!$E$25)^(BB$5-1)*1</f>
        <v>-1012.957929</v>
      </c>
      <c r="BC16" s="65" t="n">
        <f aca="false">-Inputs!$E$20*(1+Inputs!$E$25)^(BC$5-1)*1</f>
        <v>-1012.957929</v>
      </c>
      <c r="BD16" s="65" t="n">
        <f aca="false">-Inputs!$E$20*(1+Inputs!$E$25)^(BD$5-1)*1</f>
        <v>-1012.957929</v>
      </c>
      <c r="BE16" s="65" t="n">
        <f aca="false">-Inputs!$E$20*(1+Inputs!$E$25)^(BE$5-1)*1</f>
        <v>-1012.957929</v>
      </c>
      <c r="BF16" s="65" t="n">
        <f aca="false">-Inputs!$E$20*(1+Inputs!$E$25)^(BF$5-1)*1</f>
        <v>-1012.957929</v>
      </c>
      <c r="BG16" s="65" t="n">
        <f aca="false">-Inputs!$E$20*(1+Inputs!$E$25)^(BG$5-1)*1</f>
        <v>-1012.957929</v>
      </c>
      <c r="BH16" s="65" t="n">
        <f aca="false">-Inputs!$E$20*(1+Inputs!$E$25)^(BH$5-1)*1</f>
        <v>-1012.957929</v>
      </c>
      <c r="BI16" s="65" t="n">
        <f aca="false">-Inputs!$E$20*(1+Inputs!$E$25)^(BI$5-1)*1</f>
        <v>-1012.957929</v>
      </c>
      <c r="BJ16" s="65" t="n">
        <f aca="false">-Inputs!$E$20*(1+Inputs!$E$25)^(BJ$5-1)*1</f>
        <v>-1012.957929</v>
      </c>
    </row>
    <row r="17" customFormat="false" ht="15" hidden="false" customHeight="false" outlineLevel="0" collapsed="false">
      <c r="A17" s="4" t="s">
        <v>76</v>
      </c>
      <c r="C17" s="71" t="n">
        <f aca="false">C15+C16</f>
        <v>-1869</v>
      </c>
      <c r="D17" s="71" t="n">
        <f aca="false">D15+D16</f>
        <v>-1869</v>
      </c>
      <c r="E17" s="71" t="n">
        <f aca="false">E15+E16</f>
        <v>-1869</v>
      </c>
      <c r="F17" s="71" t="n">
        <f aca="false">F15+F16</f>
        <v>-1869</v>
      </c>
      <c r="G17" s="71" t="n">
        <f aca="false">G15+G16</f>
        <v>-1869</v>
      </c>
      <c r="H17" s="71" t="n">
        <f aca="false">H15+H16</f>
        <v>-1869</v>
      </c>
      <c r="I17" s="71" t="n">
        <f aca="false">I15+I16</f>
        <v>-1869</v>
      </c>
      <c r="J17" s="71" t="n">
        <f aca="false">J15+J16</f>
        <v>-1869</v>
      </c>
      <c r="K17" s="71" t="n">
        <f aca="false">K15+K16</f>
        <v>-1869</v>
      </c>
      <c r="L17" s="71" t="n">
        <f aca="false">L15+L16</f>
        <v>-1869</v>
      </c>
      <c r="M17" s="71" t="n">
        <f aca="false">M15+M16</f>
        <v>-1869</v>
      </c>
      <c r="N17" s="71" t="n">
        <f aca="false">N15+N16</f>
        <v>-1869</v>
      </c>
      <c r="O17" s="71" t="n">
        <f aca="false">O15+O16</f>
        <v>-1925.07</v>
      </c>
      <c r="P17" s="71" t="n">
        <f aca="false">P15+P16</f>
        <v>-1925.07</v>
      </c>
      <c r="Q17" s="71" t="n">
        <f aca="false">Q15+Q16</f>
        <v>-1925.07</v>
      </c>
      <c r="R17" s="71" t="n">
        <f aca="false">R15+R16</f>
        <v>-1925.07</v>
      </c>
      <c r="S17" s="71" t="n">
        <f aca="false">S15+S16</f>
        <v>-1925.07</v>
      </c>
      <c r="T17" s="71" t="n">
        <f aca="false">T15+T16</f>
        <v>-1925.07</v>
      </c>
      <c r="U17" s="71" t="n">
        <f aca="false">U15+U16</f>
        <v>-1925.07</v>
      </c>
      <c r="V17" s="71" t="n">
        <f aca="false">V15+V16</f>
        <v>-1925.07</v>
      </c>
      <c r="W17" s="71" t="n">
        <f aca="false">W15+W16</f>
        <v>-1925.07</v>
      </c>
      <c r="X17" s="71" t="n">
        <f aca="false">X15+X16</f>
        <v>-1925.07</v>
      </c>
      <c r="Y17" s="71" t="n">
        <f aca="false">Y15+Y16</f>
        <v>-1925.07</v>
      </c>
      <c r="Z17" s="71" t="n">
        <f aca="false">Z15+Z16</f>
        <v>-1925.07</v>
      </c>
      <c r="AA17" s="71" t="n">
        <f aca="false">AA15+AA16</f>
        <v>-1982.8221</v>
      </c>
      <c r="AB17" s="71" t="n">
        <f aca="false">AB15+AB16</f>
        <v>-1982.8221</v>
      </c>
      <c r="AC17" s="71" t="n">
        <f aca="false">AC15+AC16</f>
        <v>-1982.8221</v>
      </c>
      <c r="AD17" s="71" t="n">
        <f aca="false">AD15+AD16</f>
        <v>-1982.8221</v>
      </c>
      <c r="AE17" s="71" t="n">
        <f aca="false">AE15+AE16</f>
        <v>-1982.8221</v>
      </c>
      <c r="AF17" s="71" t="n">
        <f aca="false">AF15+AF16</f>
        <v>-1982.8221</v>
      </c>
      <c r="AG17" s="71" t="n">
        <f aca="false">AG15+AG16</f>
        <v>-1982.8221</v>
      </c>
      <c r="AH17" s="71" t="n">
        <f aca="false">AH15+AH16</f>
        <v>-1982.8221</v>
      </c>
      <c r="AI17" s="71" t="n">
        <f aca="false">AI15+AI16</f>
        <v>-1982.8221</v>
      </c>
      <c r="AJ17" s="71" t="n">
        <f aca="false">AJ15+AJ16</f>
        <v>-1982.8221</v>
      </c>
      <c r="AK17" s="71" t="n">
        <f aca="false">AK15+AK16</f>
        <v>-1982.8221</v>
      </c>
      <c r="AL17" s="71" t="n">
        <f aca="false">AL15+AL16</f>
        <v>-1982.8221</v>
      </c>
      <c r="AM17" s="71" t="n">
        <f aca="false">AM15+AM16</f>
        <v>-2042.306763</v>
      </c>
      <c r="AN17" s="71" t="n">
        <f aca="false">AN15+AN16</f>
        <v>-2042.306763</v>
      </c>
      <c r="AO17" s="71" t="n">
        <f aca="false">AO15+AO16</f>
        <v>-2042.306763</v>
      </c>
      <c r="AP17" s="71" t="n">
        <f aca="false">AP15+AP16</f>
        <v>-2042.306763</v>
      </c>
      <c r="AQ17" s="71" t="n">
        <f aca="false">AQ15+AQ16</f>
        <v>-2042.306763</v>
      </c>
      <c r="AR17" s="71" t="n">
        <f aca="false">AR15+AR16</f>
        <v>-2042.306763</v>
      </c>
      <c r="AS17" s="71" t="n">
        <f aca="false">AS15+AS16</f>
        <v>-2042.306763</v>
      </c>
      <c r="AT17" s="71" t="n">
        <f aca="false">AT15+AT16</f>
        <v>-2042.306763</v>
      </c>
      <c r="AU17" s="71" t="n">
        <f aca="false">AU15+AU16</f>
        <v>-2042.306763</v>
      </c>
      <c r="AV17" s="71" t="n">
        <f aca="false">AV15+AV16</f>
        <v>-2042.306763</v>
      </c>
      <c r="AW17" s="71" t="n">
        <f aca="false">AW15+AW16</f>
        <v>-2042.306763</v>
      </c>
      <c r="AX17" s="71" t="n">
        <f aca="false">AX15+AX16</f>
        <v>-2042.306763</v>
      </c>
      <c r="AY17" s="71" t="n">
        <f aca="false">AY15+AY16</f>
        <v>-2103.57596589</v>
      </c>
      <c r="AZ17" s="71" t="n">
        <f aca="false">AZ15+AZ16</f>
        <v>-2103.57596589</v>
      </c>
      <c r="BA17" s="71" t="n">
        <f aca="false">BA15+BA16</f>
        <v>-2103.57596589</v>
      </c>
      <c r="BB17" s="71" t="n">
        <f aca="false">BB15+BB16</f>
        <v>-2103.57596589</v>
      </c>
      <c r="BC17" s="71" t="n">
        <f aca="false">BC15+BC16</f>
        <v>-2103.57596589</v>
      </c>
      <c r="BD17" s="71" t="n">
        <f aca="false">BD15+BD16</f>
        <v>-2103.57596589</v>
      </c>
      <c r="BE17" s="71" t="n">
        <f aca="false">BE15+BE16</f>
        <v>-2103.57596589</v>
      </c>
      <c r="BF17" s="71" t="n">
        <f aca="false">BF15+BF16</f>
        <v>-2103.57596589</v>
      </c>
      <c r="BG17" s="71" t="n">
        <f aca="false">BG15+BG16</f>
        <v>-2103.57596589</v>
      </c>
      <c r="BH17" s="71" t="n">
        <f aca="false">BH15+BH16</f>
        <v>-2103.57596589</v>
      </c>
      <c r="BI17" s="71" t="n">
        <f aca="false">BI15+BI16</f>
        <v>-2103.57596589</v>
      </c>
      <c r="BJ17" s="71" t="n">
        <f aca="false">BJ15+BJ16</f>
        <v>-2103.57596589</v>
      </c>
    </row>
    <row r="18" customFormat="false" ht="15" hidden="false" customHeight="false" outlineLevel="0" collapsed="false">
      <c r="A18" s="108" t="s">
        <v>46</v>
      </c>
      <c r="C18" s="66" t="n">
        <f aca="false">C12+C17</f>
        <v>14518.5</v>
      </c>
      <c r="D18" s="66" t="n">
        <f aca="false">D12+D17</f>
        <v>14518.5</v>
      </c>
      <c r="E18" s="66" t="n">
        <f aca="false">E12+E17</f>
        <v>14518.5</v>
      </c>
      <c r="F18" s="66" t="n">
        <f aca="false">F12+F17</f>
        <v>14518.5</v>
      </c>
      <c r="G18" s="66" t="n">
        <f aca="false">G12+G17</f>
        <v>14518.5</v>
      </c>
      <c r="H18" s="66" t="n">
        <f aca="false">H12+H17</f>
        <v>14518.5</v>
      </c>
      <c r="I18" s="66" t="n">
        <f aca="false">I12+I17</f>
        <v>14518.5</v>
      </c>
      <c r="J18" s="66" t="n">
        <f aca="false">J12+J17</f>
        <v>14518.5</v>
      </c>
      <c r="K18" s="66" t="n">
        <f aca="false">K12+K17</f>
        <v>14518.5</v>
      </c>
      <c r="L18" s="66" t="n">
        <f aca="false">L12+L17</f>
        <v>14518.5</v>
      </c>
      <c r="M18" s="66" t="n">
        <f aca="false">M12+M17</f>
        <v>14518.5</v>
      </c>
      <c r="N18" s="66" t="n">
        <f aca="false">N12+N17</f>
        <v>14518.5</v>
      </c>
      <c r="O18" s="66" t="n">
        <f aca="false">O12+O17</f>
        <v>14954.055</v>
      </c>
      <c r="P18" s="66" t="n">
        <f aca="false">P12+P17</f>
        <v>14954.055</v>
      </c>
      <c r="Q18" s="66" t="n">
        <f aca="false">Q12+Q17</f>
        <v>14954.055</v>
      </c>
      <c r="R18" s="66" t="n">
        <f aca="false">R12+R17</f>
        <v>14954.055</v>
      </c>
      <c r="S18" s="66" t="n">
        <f aca="false">S12+S17</f>
        <v>14954.055</v>
      </c>
      <c r="T18" s="66" t="n">
        <f aca="false">T12+T17</f>
        <v>14954.055</v>
      </c>
      <c r="U18" s="66" t="n">
        <f aca="false">U12+U17</f>
        <v>14954.055</v>
      </c>
      <c r="V18" s="66" t="n">
        <f aca="false">V12+V17</f>
        <v>14954.055</v>
      </c>
      <c r="W18" s="66" t="n">
        <f aca="false">W12+W17</f>
        <v>14954.055</v>
      </c>
      <c r="X18" s="66" t="n">
        <f aca="false">X12+X17</f>
        <v>14954.055</v>
      </c>
      <c r="Y18" s="66" t="n">
        <f aca="false">Y12+Y17</f>
        <v>14954.055</v>
      </c>
      <c r="Z18" s="66" t="n">
        <f aca="false">Z12+Z17</f>
        <v>14954.055</v>
      </c>
      <c r="AA18" s="66" t="n">
        <f aca="false">AA12+AA17</f>
        <v>15402.67665</v>
      </c>
      <c r="AB18" s="66" t="n">
        <f aca="false">AB12+AB17</f>
        <v>15402.67665</v>
      </c>
      <c r="AC18" s="66" t="n">
        <f aca="false">AC12+AC17</f>
        <v>15402.67665</v>
      </c>
      <c r="AD18" s="66" t="n">
        <f aca="false">AD12+AD17</f>
        <v>15402.67665</v>
      </c>
      <c r="AE18" s="66" t="n">
        <f aca="false">AE12+AE17</f>
        <v>15402.67665</v>
      </c>
      <c r="AF18" s="66" t="n">
        <f aca="false">AF12+AF17</f>
        <v>15402.67665</v>
      </c>
      <c r="AG18" s="66" t="n">
        <f aca="false">AG12+AG17</f>
        <v>15402.67665</v>
      </c>
      <c r="AH18" s="66" t="n">
        <f aca="false">AH12+AH17</f>
        <v>15402.67665</v>
      </c>
      <c r="AI18" s="66" t="n">
        <f aca="false">AI12+AI17</f>
        <v>15402.67665</v>
      </c>
      <c r="AJ18" s="66" t="n">
        <f aca="false">AJ12+AJ17</f>
        <v>15402.67665</v>
      </c>
      <c r="AK18" s="66" t="n">
        <f aca="false">AK12+AK17</f>
        <v>15402.67665</v>
      </c>
      <c r="AL18" s="66" t="n">
        <f aca="false">AL12+AL17</f>
        <v>15402.67665</v>
      </c>
      <c r="AM18" s="66" t="n">
        <f aca="false">AM12+AM17</f>
        <v>15864.7569495</v>
      </c>
      <c r="AN18" s="66" t="n">
        <f aca="false">AN12+AN17</f>
        <v>15864.7569495</v>
      </c>
      <c r="AO18" s="66" t="n">
        <f aca="false">AO12+AO17</f>
        <v>15864.7569495</v>
      </c>
      <c r="AP18" s="66" t="n">
        <f aca="false">AP12+AP17</f>
        <v>15864.7569495</v>
      </c>
      <c r="AQ18" s="66" t="n">
        <f aca="false">AQ12+AQ17</f>
        <v>15864.7569495</v>
      </c>
      <c r="AR18" s="66" t="n">
        <f aca="false">AR12+AR17</f>
        <v>15864.7569495</v>
      </c>
      <c r="AS18" s="66" t="n">
        <f aca="false">AS12+AS17</f>
        <v>15864.7569495</v>
      </c>
      <c r="AT18" s="66" t="n">
        <f aca="false">AT12+AT17</f>
        <v>15864.7569495</v>
      </c>
      <c r="AU18" s="66" t="n">
        <f aca="false">AU12+AU17</f>
        <v>15864.7569495</v>
      </c>
      <c r="AV18" s="66" t="n">
        <f aca="false">AV12+AV17</f>
        <v>15864.7569495</v>
      </c>
      <c r="AW18" s="66" t="n">
        <f aca="false">AW12+AW17</f>
        <v>15864.7569495</v>
      </c>
      <c r="AX18" s="66" t="n">
        <f aca="false">AX12+AX17</f>
        <v>15864.7569495</v>
      </c>
      <c r="AY18" s="66" t="n">
        <f aca="false">AY12+AY17</f>
        <v>16340.699657985</v>
      </c>
      <c r="AZ18" s="66" t="n">
        <f aca="false">AZ12+AZ17</f>
        <v>16340.699657985</v>
      </c>
      <c r="BA18" s="66" t="n">
        <f aca="false">BA12+BA17</f>
        <v>16340.699657985</v>
      </c>
      <c r="BB18" s="66" t="n">
        <f aca="false">BB12+BB17</f>
        <v>16340.699657985</v>
      </c>
      <c r="BC18" s="66" t="n">
        <f aca="false">BC12+BC17</f>
        <v>16340.699657985</v>
      </c>
      <c r="BD18" s="66" t="n">
        <f aca="false">BD12+BD17</f>
        <v>16340.699657985</v>
      </c>
      <c r="BE18" s="66" t="n">
        <f aca="false">BE12+BE17</f>
        <v>16340.699657985</v>
      </c>
      <c r="BF18" s="66" t="n">
        <f aca="false">BF12+BF17</f>
        <v>16340.699657985</v>
      </c>
      <c r="BG18" s="66" t="n">
        <f aca="false">BG12+BG17</f>
        <v>16340.699657985</v>
      </c>
      <c r="BH18" s="66" t="n">
        <f aca="false">BH12+BH17</f>
        <v>16340.699657985</v>
      </c>
      <c r="BI18" s="66" t="n">
        <f aca="false">BI12+BI17</f>
        <v>16340.699657985</v>
      </c>
      <c r="BJ18" s="66" t="n">
        <f aca="false">BJ12+BJ17</f>
        <v>16340.699657985</v>
      </c>
    </row>
    <row r="20" customFormat="false" ht="15.75" hidden="false" customHeight="true" outlineLevel="0" collapsed="false">
      <c r="A20" s="7" t="s">
        <v>48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341</v>
      </c>
      <c r="C21" s="65" t="n">
        <f aca="false">-Inputs!$E$7*Inputs!$E$21/12*(1+Inputs!$E$25)^(C$5-1)*1</f>
        <v>-1695.83333333333</v>
      </c>
      <c r="D21" s="65" t="n">
        <f aca="false">-Inputs!$E$7*Inputs!$E$21/12*(1+Inputs!$E$25)^(D$5-1)*1</f>
        <v>-1695.83333333333</v>
      </c>
      <c r="E21" s="65" t="n">
        <f aca="false">-Inputs!$E$7*Inputs!$E$21/12*(1+Inputs!$E$25)^(E$5-1)*1</f>
        <v>-1695.83333333333</v>
      </c>
      <c r="F21" s="65" t="n">
        <f aca="false">-Inputs!$E$7*Inputs!$E$21/12*(1+Inputs!$E$25)^(F$5-1)*1</f>
        <v>-1695.83333333333</v>
      </c>
      <c r="G21" s="65" t="n">
        <f aca="false">-Inputs!$E$7*Inputs!$E$21/12*(1+Inputs!$E$25)^(G$5-1)*1</f>
        <v>-1695.83333333333</v>
      </c>
      <c r="H21" s="65" t="n">
        <f aca="false">-Inputs!$E$7*Inputs!$E$21/12*(1+Inputs!$E$25)^(H$5-1)*1</f>
        <v>-1695.83333333333</v>
      </c>
      <c r="I21" s="65" t="n">
        <f aca="false">-Inputs!$E$7*Inputs!$E$21/12*(1+Inputs!$E$25)^(I$5-1)*1</f>
        <v>-1695.83333333333</v>
      </c>
      <c r="J21" s="65" t="n">
        <f aca="false">-Inputs!$E$7*Inputs!$E$21/12*(1+Inputs!$E$25)^(J$5-1)*1</f>
        <v>-1695.83333333333</v>
      </c>
      <c r="K21" s="65" t="n">
        <f aca="false">-Inputs!$E$7*Inputs!$E$21/12*(1+Inputs!$E$25)^(K$5-1)*1</f>
        <v>-1695.83333333333</v>
      </c>
      <c r="L21" s="65" t="n">
        <f aca="false">-Inputs!$E$7*Inputs!$E$21/12*(1+Inputs!$E$25)^(L$5-1)*1</f>
        <v>-1695.83333333333</v>
      </c>
      <c r="M21" s="65" t="n">
        <f aca="false">-Inputs!$E$7*Inputs!$E$21/12*(1+Inputs!$E$25)^(M$5-1)*1</f>
        <v>-1695.83333333333</v>
      </c>
      <c r="N21" s="65" t="n">
        <f aca="false">-Inputs!$E$7*Inputs!$E$21/12*(1+Inputs!$E$25)^(N$5-1)*1</f>
        <v>-1695.83333333333</v>
      </c>
      <c r="O21" s="65" t="n">
        <f aca="false">-Inputs!$E$7*Inputs!$E$21/12*(1+Inputs!$E$25)^(O$5-1)*1</f>
        <v>-1746.70833333333</v>
      </c>
      <c r="P21" s="65" t="n">
        <f aca="false">-Inputs!$E$7*Inputs!$E$21/12*(1+Inputs!$E$25)^(P$5-1)*1</f>
        <v>-1746.70833333333</v>
      </c>
      <c r="Q21" s="65" t="n">
        <f aca="false">-Inputs!$E$7*Inputs!$E$21/12*(1+Inputs!$E$25)^(Q$5-1)*1</f>
        <v>-1746.70833333333</v>
      </c>
      <c r="R21" s="65" t="n">
        <f aca="false">-Inputs!$E$7*Inputs!$E$21/12*(1+Inputs!$E$25)^(R$5-1)*1</f>
        <v>-1746.70833333333</v>
      </c>
      <c r="S21" s="65" t="n">
        <f aca="false">-Inputs!$E$7*Inputs!$E$21/12*(1+Inputs!$E$25)^(S$5-1)*1</f>
        <v>-1746.70833333333</v>
      </c>
      <c r="T21" s="65" t="n">
        <f aca="false">-Inputs!$E$7*Inputs!$E$21/12*(1+Inputs!$E$25)^(T$5-1)*1</f>
        <v>-1746.70833333333</v>
      </c>
      <c r="U21" s="65" t="n">
        <f aca="false">-Inputs!$E$7*Inputs!$E$21/12*(1+Inputs!$E$25)^(U$5-1)*1</f>
        <v>-1746.70833333333</v>
      </c>
      <c r="V21" s="65" t="n">
        <f aca="false">-Inputs!$E$7*Inputs!$E$21/12*(1+Inputs!$E$25)^(V$5-1)*1</f>
        <v>-1746.70833333333</v>
      </c>
      <c r="W21" s="65" t="n">
        <f aca="false">-Inputs!$E$7*Inputs!$E$21/12*(1+Inputs!$E$25)^(W$5-1)*1</f>
        <v>-1746.70833333333</v>
      </c>
      <c r="X21" s="65" t="n">
        <f aca="false">-Inputs!$E$7*Inputs!$E$21/12*(1+Inputs!$E$25)^(X$5-1)*1</f>
        <v>-1746.70833333333</v>
      </c>
      <c r="Y21" s="65" t="n">
        <f aca="false">-Inputs!$E$7*Inputs!$E$21/12*(1+Inputs!$E$25)^(Y$5-1)*1</f>
        <v>-1746.70833333333</v>
      </c>
      <c r="Z21" s="65" t="n">
        <f aca="false">-Inputs!$E$7*Inputs!$E$21/12*(1+Inputs!$E$25)^(Z$5-1)*1</f>
        <v>-1746.70833333333</v>
      </c>
      <c r="AA21" s="65" t="n">
        <f aca="false">-Inputs!$E$7*Inputs!$E$21/12*(1+Inputs!$E$25)^(AA$5-1)*1</f>
        <v>-1799.10958333333</v>
      </c>
      <c r="AB21" s="65" t="n">
        <f aca="false">-Inputs!$E$7*Inputs!$E$21/12*(1+Inputs!$E$25)^(AB$5-1)*1</f>
        <v>-1799.10958333333</v>
      </c>
      <c r="AC21" s="65" t="n">
        <f aca="false">-Inputs!$E$7*Inputs!$E$21/12*(1+Inputs!$E$25)^(AC$5-1)*1</f>
        <v>-1799.10958333333</v>
      </c>
      <c r="AD21" s="65" t="n">
        <f aca="false">-Inputs!$E$7*Inputs!$E$21/12*(1+Inputs!$E$25)^(AD$5-1)*1</f>
        <v>-1799.10958333333</v>
      </c>
      <c r="AE21" s="65" t="n">
        <f aca="false">-Inputs!$E$7*Inputs!$E$21/12*(1+Inputs!$E$25)^(AE$5-1)*1</f>
        <v>-1799.10958333333</v>
      </c>
      <c r="AF21" s="65" t="n">
        <f aca="false">-Inputs!$E$7*Inputs!$E$21/12*(1+Inputs!$E$25)^(AF$5-1)*1</f>
        <v>-1799.10958333333</v>
      </c>
      <c r="AG21" s="65" t="n">
        <f aca="false">-Inputs!$E$7*Inputs!$E$21/12*(1+Inputs!$E$25)^(AG$5-1)*1</f>
        <v>-1799.10958333333</v>
      </c>
      <c r="AH21" s="65" t="n">
        <f aca="false">-Inputs!$E$7*Inputs!$E$21/12*(1+Inputs!$E$25)^(AH$5-1)*1</f>
        <v>-1799.10958333333</v>
      </c>
      <c r="AI21" s="65" t="n">
        <f aca="false">-Inputs!$E$7*Inputs!$E$21/12*(1+Inputs!$E$25)^(AI$5-1)*1</f>
        <v>-1799.10958333333</v>
      </c>
      <c r="AJ21" s="65" t="n">
        <f aca="false">-Inputs!$E$7*Inputs!$E$21/12*(1+Inputs!$E$25)^(AJ$5-1)*1</f>
        <v>-1799.10958333333</v>
      </c>
      <c r="AK21" s="65" t="n">
        <f aca="false">-Inputs!$E$7*Inputs!$E$21/12*(1+Inputs!$E$25)^(AK$5-1)*1</f>
        <v>-1799.10958333333</v>
      </c>
      <c r="AL21" s="65" t="n">
        <f aca="false">-Inputs!$E$7*Inputs!$E$21/12*(1+Inputs!$E$25)^(AL$5-1)*1</f>
        <v>-1799.10958333333</v>
      </c>
      <c r="AM21" s="65" t="n">
        <f aca="false">-Inputs!$E$7*Inputs!$E$21/12*(1+Inputs!$E$25)^(AM$5-1)*1</f>
        <v>-1853.08287083333</v>
      </c>
      <c r="AN21" s="65" t="n">
        <f aca="false">-Inputs!$E$7*Inputs!$E$21/12*(1+Inputs!$E$25)^(AN$5-1)*1</f>
        <v>-1853.08287083333</v>
      </c>
      <c r="AO21" s="65" t="n">
        <f aca="false">-Inputs!$E$7*Inputs!$E$21/12*(1+Inputs!$E$25)^(AO$5-1)*1</f>
        <v>-1853.08287083333</v>
      </c>
      <c r="AP21" s="65" t="n">
        <f aca="false">-Inputs!$E$7*Inputs!$E$21/12*(1+Inputs!$E$25)^(AP$5-1)*1</f>
        <v>-1853.08287083333</v>
      </c>
      <c r="AQ21" s="65" t="n">
        <f aca="false">-Inputs!$E$7*Inputs!$E$21/12*(1+Inputs!$E$25)^(AQ$5-1)*1</f>
        <v>-1853.08287083333</v>
      </c>
      <c r="AR21" s="65" t="n">
        <f aca="false">-Inputs!$E$7*Inputs!$E$21/12*(1+Inputs!$E$25)^(AR$5-1)*1</f>
        <v>-1853.08287083333</v>
      </c>
      <c r="AS21" s="65" t="n">
        <f aca="false">-Inputs!$E$7*Inputs!$E$21/12*(1+Inputs!$E$25)^(AS$5-1)*1</f>
        <v>-1853.08287083333</v>
      </c>
      <c r="AT21" s="65" t="n">
        <f aca="false">-Inputs!$E$7*Inputs!$E$21/12*(1+Inputs!$E$25)^(AT$5-1)*1</f>
        <v>-1853.08287083333</v>
      </c>
      <c r="AU21" s="65" t="n">
        <f aca="false">-Inputs!$E$7*Inputs!$E$21/12*(1+Inputs!$E$25)^(AU$5-1)*1</f>
        <v>-1853.08287083333</v>
      </c>
      <c r="AV21" s="65" t="n">
        <f aca="false">-Inputs!$E$7*Inputs!$E$21/12*(1+Inputs!$E$25)^(AV$5-1)*1</f>
        <v>-1853.08287083333</v>
      </c>
      <c r="AW21" s="65" t="n">
        <f aca="false">-Inputs!$E$7*Inputs!$E$21/12*(1+Inputs!$E$25)^(AW$5-1)*1</f>
        <v>-1853.08287083333</v>
      </c>
      <c r="AX21" s="65" t="n">
        <f aca="false">-Inputs!$E$7*Inputs!$E$21/12*(1+Inputs!$E$25)^(AX$5-1)*1</f>
        <v>-1853.08287083333</v>
      </c>
      <c r="AY21" s="65" t="n">
        <f aca="false">-Inputs!$E$7*Inputs!$E$21/12*(1+Inputs!$E$25)^(AY$5-1)*1</f>
        <v>-1908.67535695833</v>
      </c>
      <c r="AZ21" s="65" t="n">
        <f aca="false">-Inputs!$E$7*Inputs!$E$21/12*(1+Inputs!$E$25)^(AZ$5-1)*1</f>
        <v>-1908.67535695833</v>
      </c>
      <c r="BA21" s="65" t="n">
        <f aca="false">-Inputs!$E$7*Inputs!$E$21/12*(1+Inputs!$E$25)^(BA$5-1)*1</f>
        <v>-1908.67535695833</v>
      </c>
      <c r="BB21" s="65" t="n">
        <f aca="false">-Inputs!$E$7*Inputs!$E$21/12*(1+Inputs!$E$25)^(BB$5-1)*1</f>
        <v>-1908.67535695833</v>
      </c>
      <c r="BC21" s="65" t="n">
        <f aca="false">-Inputs!$E$7*Inputs!$E$21/12*(1+Inputs!$E$25)^(BC$5-1)*1</f>
        <v>-1908.67535695833</v>
      </c>
      <c r="BD21" s="65" t="n">
        <f aca="false">-Inputs!$E$7*Inputs!$E$21/12*(1+Inputs!$E$25)^(BD$5-1)*1</f>
        <v>-1908.67535695833</v>
      </c>
      <c r="BE21" s="65" t="n">
        <f aca="false">-Inputs!$E$7*Inputs!$E$21/12*(1+Inputs!$E$25)^(BE$5-1)*1</f>
        <v>-1908.67535695833</v>
      </c>
      <c r="BF21" s="65" t="n">
        <f aca="false">-Inputs!$E$7*Inputs!$E$21/12*(1+Inputs!$E$25)^(BF$5-1)*1</f>
        <v>-1908.67535695833</v>
      </c>
      <c r="BG21" s="65" t="n">
        <f aca="false">-Inputs!$E$7*Inputs!$E$21/12*(1+Inputs!$E$25)^(BG$5-1)*1</f>
        <v>-1908.67535695833</v>
      </c>
      <c r="BH21" s="65" t="n">
        <f aca="false">-Inputs!$E$7*Inputs!$E$21/12*(1+Inputs!$E$25)^(BH$5-1)*1</f>
        <v>-1908.67535695833</v>
      </c>
      <c r="BI21" s="65" t="n">
        <f aca="false">-Inputs!$E$7*Inputs!$E$21/12*(1+Inputs!$E$25)^(BI$5-1)*1</f>
        <v>-1908.67535695833</v>
      </c>
      <c r="BJ21" s="65" t="n">
        <f aca="false">-Inputs!$E$7*Inputs!$E$21/12*(1+Inputs!$E$25)^(BJ$5-1)*1</f>
        <v>-1908.67535695833</v>
      </c>
    </row>
    <row r="22" customFormat="false" ht="15" hidden="false" customHeight="false" outlineLevel="0" collapsed="false">
      <c r="A22" s="6" t="s">
        <v>342</v>
      </c>
      <c r="C22" s="65" t="n">
        <f aca="false">-Inputs!$E$10*Inputs!$E$22/12*(1+Inputs!$E$25)^(C$5-1)*1</f>
        <v>-666.666666666667</v>
      </c>
      <c r="D22" s="65" t="n">
        <f aca="false">-Inputs!$E$10*Inputs!$E$22/12*(1+Inputs!$E$25)^(D$5-1)*1</f>
        <v>-666.666666666667</v>
      </c>
      <c r="E22" s="65" t="n">
        <f aca="false">-Inputs!$E$10*Inputs!$E$22/12*(1+Inputs!$E$25)^(E$5-1)*1</f>
        <v>-666.666666666667</v>
      </c>
      <c r="F22" s="65" t="n">
        <f aca="false">-Inputs!$E$10*Inputs!$E$22/12*(1+Inputs!$E$25)^(F$5-1)*1</f>
        <v>-666.666666666667</v>
      </c>
      <c r="G22" s="65" t="n">
        <f aca="false">-Inputs!$E$10*Inputs!$E$22/12*(1+Inputs!$E$25)^(G$5-1)*1</f>
        <v>-666.666666666667</v>
      </c>
      <c r="H22" s="65" t="n">
        <f aca="false">-Inputs!$E$10*Inputs!$E$22/12*(1+Inputs!$E$25)^(H$5-1)*1</f>
        <v>-666.666666666667</v>
      </c>
      <c r="I22" s="65" t="n">
        <f aca="false">-Inputs!$E$10*Inputs!$E$22/12*(1+Inputs!$E$25)^(I$5-1)*1</f>
        <v>-666.666666666667</v>
      </c>
      <c r="J22" s="65" t="n">
        <f aca="false">-Inputs!$E$10*Inputs!$E$22/12*(1+Inputs!$E$25)^(J$5-1)*1</f>
        <v>-666.666666666667</v>
      </c>
      <c r="K22" s="65" t="n">
        <f aca="false">-Inputs!$E$10*Inputs!$E$22/12*(1+Inputs!$E$25)^(K$5-1)*1</f>
        <v>-666.666666666667</v>
      </c>
      <c r="L22" s="65" t="n">
        <f aca="false">-Inputs!$E$10*Inputs!$E$22/12*(1+Inputs!$E$25)^(L$5-1)*1</f>
        <v>-666.666666666667</v>
      </c>
      <c r="M22" s="65" t="n">
        <f aca="false">-Inputs!$E$10*Inputs!$E$22/12*(1+Inputs!$E$25)^(M$5-1)*1</f>
        <v>-666.666666666667</v>
      </c>
      <c r="N22" s="65" t="n">
        <f aca="false">-Inputs!$E$10*Inputs!$E$22/12*(1+Inputs!$E$25)^(N$5-1)*1</f>
        <v>-666.666666666667</v>
      </c>
      <c r="O22" s="65" t="n">
        <f aca="false">-Inputs!$E$10*Inputs!$E$22/12*(1+Inputs!$E$25)^(O$5-1)*1</f>
        <v>-686.666666666667</v>
      </c>
      <c r="P22" s="65" t="n">
        <f aca="false">-Inputs!$E$10*Inputs!$E$22/12*(1+Inputs!$E$25)^(P$5-1)*1</f>
        <v>-686.666666666667</v>
      </c>
      <c r="Q22" s="65" t="n">
        <f aca="false">-Inputs!$E$10*Inputs!$E$22/12*(1+Inputs!$E$25)^(Q$5-1)*1</f>
        <v>-686.666666666667</v>
      </c>
      <c r="R22" s="65" t="n">
        <f aca="false">-Inputs!$E$10*Inputs!$E$22/12*(1+Inputs!$E$25)^(R$5-1)*1</f>
        <v>-686.666666666667</v>
      </c>
      <c r="S22" s="65" t="n">
        <f aca="false">-Inputs!$E$10*Inputs!$E$22/12*(1+Inputs!$E$25)^(S$5-1)*1</f>
        <v>-686.666666666667</v>
      </c>
      <c r="T22" s="65" t="n">
        <f aca="false">-Inputs!$E$10*Inputs!$E$22/12*(1+Inputs!$E$25)^(T$5-1)*1</f>
        <v>-686.666666666667</v>
      </c>
      <c r="U22" s="65" t="n">
        <f aca="false">-Inputs!$E$10*Inputs!$E$22/12*(1+Inputs!$E$25)^(U$5-1)*1</f>
        <v>-686.666666666667</v>
      </c>
      <c r="V22" s="65" t="n">
        <f aca="false">-Inputs!$E$10*Inputs!$E$22/12*(1+Inputs!$E$25)^(V$5-1)*1</f>
        <v>-686.666666666667</v>
      </c>
      <c r="W22" s="65" t="n">
        <f aca="false">-Inputs!$E$10*Inputs!$E$22/12*(1+Inputs!$E$25)^(W$5-1)*1</f>
        <v>-686.666666666667</v>
      </c>
      <c r="X22" s="65" t="n">
        <f aca="false">-Inputs!$E$10*Inputs!$E$22/12*(1+Inputs!$E$25)^(X$5-1)*1</f>
        <v>-686.666666666667</v>
      </c>
      <c r="Y22" s="65" t="n">
        <f aca="false">-Inputs!$E$10*Inputs!$E$22/12*(1+Inputs!$E$25)^(Y$5-1)*1</f>
        <v>-686.666666666667</v>
      </c>
      <c r="Z22" s="65" t="n">
        <f aca="false">-Inputs!$E$10*Inputs!$E$22/12*(1+Inputs!$E$25)^(Z$5-1)*1</f>
        <v>-686.666666666667</v>
      </c>
      <c r="AA22" s="65" t="n">
        <f aca="false">-Inputs!$E$10*Inputs!$E$22/12*(1+Inputs!$E$25)^(AA$5-1)*1</f>
        <v>-707.266666666667</v>
      </c>
      <c r="AB22" s="65" t="n">
        <f aca="false">-Inputs!$E$10*Inputs!$E$22/12*(1+Inputs!$E$25)^(AB$5-1)*1</f>
        <v>-707.266666666667</v>
      </c>
      <c r="AC22" s="65" t="n">
        <f aca="false">-Inputs!$E$10*Inputs!$E$22/12*(1+Inputs!$E$25)^(AC$5-1)*1</f>
        <v>-707.266666666667</v>
      </c>
      <c r="AD22" s="65" t="n">
        <f aca="false">-Inputs!$E$10*Inputs!$E$22/12*(1+Inputs!$E$25)^(AD$5-1)*1</f>
        <v>-707.266666666667</v>
      </c>
      <c r="AE22" s="65" t="n">
        <f aca="false">-Inputs!$E$10*Inputs!$E$22/12*(1+Inputs!$E$25)^(AE$5-1)*1</f>
        <v>-707.266666666667</v>
      </c>
      <c r="AF22" s="65" t="n">
        <f aca="false">-Inputs!$E$10*Inputs!$E$22/12*(1+Inputs!$E$25)^(AF$5-1)*1</f>
        <v>-707.266666666667</v>
      </c>
      <c r="AG22" s="65" t="n">
        <f aca="false">-Inputs!$E$10*Inputs!$E$22/12*(1+Inputs!$E$25)^(AG$5-1)*1</f>
        <v>-707.266666666667</v>
      </c>
      <c r="AH22" s="65" t="n">
        <f aca="false">-Inputs!$E$10*Inputs!$E$22/12*(1+Inputs!$E$25)^(AH$5-1)*1</f>
        <v>-707.266666666667</v>
      </c>
      <c r="AI22" s="65" t="n">
        <f aca="false">-Inputs!$E$10*Inputs!$E$22/12*(1+Inputs!$E$25)^(AI$5-1)*1</f>
        <v>-707.266666666667</v>
      </c>
      <c r="AJ22" s="65" t="n">
        <f aca="false">-Inputs!$E$10*Inputs!$E$22/12*(1+Inputs!$E$25)^(AJ$5-1)*1</f>
        <v>-707.266666666667</v>
      </c>
      <c r="AK22" s="65" t="n">
        <f aca="false">-Inputs!$E$10*Inputs!$E$22/12*(1+Inputs!$E$25)^(AK$5-1)*1</f>
        <v>-707.266666666667</v>
      </c>
      <c r="AL22" s="65" t="n">
        <f aca="false">-Inputs!$E$10*Inputs!$E$22/12*(1+Inputs!$E$25)^(AL$5-1)*1</f>
        <v>-707.266666666667</v>
      </c>
      <c r="AM22" s="65" t="n">
        <f aca="false">-Inputs!$E$10*Inputs!$E$22/12*(1+Inputs!$E$25)^(AM$5-1)*1</f>
        <v>-728.484666666667</v>
      </c>
      <c r="AN22" s="65" t="n">
        <f aca="false">-Inputs!$E$10*Inputs!$E$22/12*(1+Inputs!$E$25)^(AN$5-1)*1</f>
        <v>-728.484666666667</v>
      </c>
      <c r="AO22" s="65" t="n">
        <f aca="false">-Inputs!$E$10*Inputs!$E$22/12*(1+Inputs!$E$25)^(AO$5-1)*1</f>
        <v>-728.484666666667</v>
      </c>
      <c r="AP22" s="65" t="n">
        <f aca="false">-Inputs!$E$10*Inputs!$E$22/12*(1+Inputs!$E$25)^(AP$5-1)*1</f>
        <v>-728.484666666667</v>
      </c>
      <c r="AQ22" s="65" t="n">
        <f aca="false">-Inputs!$E$10*Inputs!$E$22/12*(1+Inputs!$E$25)^(AQ$5-1)*1</f>
        <v>-728.484666666667</v>
      </c>
      <c r="AR22" s="65" t="n">
        <f aca="false">-Inputs!$E$10*Inputs!$E$22/12*(1+Inputs!$E$25)^(AR$5-1)*1</f>
        <v>-728.484666666667</v>
      </c>
      <c r="AS22" s="65" t="n">
        <f aca="false">-Inputs!$E$10*Inputs!$E$22/12*(1+Inputs!$E$25)^(AS$5-1)*1</f>
        <v>-728.484666666667</v>
      </c>
      <c r="AT22" s="65" t="n">
        <f aca="false">-Inputs!$E$10*Inputs!$E$22/12*(1+Inputs!$E$25)^(AT$5-1)*1</f>
        <v>-728.484666666667</v>
      </c>
      <c r="AU22" s="65" t="n">
        <f aca="false">-Inputs!$E$10*Inputs!$E$22/12*(1+Inputs!$E$25)^(AU$5-1)*1</f>
        <v>-728.484666666667</v>
      </c>
      <c r="AV22" s="65" t="n">
        <f aca="false">-Inputs!$E$10*Inputs!$E$22/12*(1+Inputs!$E$25)^(AV$5-1)*1</f>
        <v>-728.484666666667</v>
      </c>
      <c r="AW22" s="65" t="n">
        <f aca="false">-Inputs!$E$10*Inputs!$E$22/12*(1+Inputs!$E$25)^(AW$5-1)*1</f>
        <v>-728.484666666667</v>
      </c>
      <c r="AX22" s="65" t="n">
        <f aca="false">-Inputs!$E$10*Inputs!$E$22/12*(1+Inputs!$E$25)^(AX$5-1)*1</f>
        <v>-728.484666666667</v>
      </c>
      <c r="AY22" s="65" t="n">
        <f aca="false">-Inputs!$E$10*Inputs!$E$22/12*(1+Inputs!$E$25)^(AY$5-1)*1</f>
        <v>-750.339206666667</v>
      </c>
      <c r="AZ22" s="65" t="n">
        <f aca="false">-Inputs!$E$10*Inputs!$E$22/12*(1+Inputs!$E$25)^(AZ$5-1)*1</f>
        <v>-750.339206666667</v>
      </c>
      <c r="BA22" s="65" t="n">
        <f aca="false">-Inputs!$E$10*Inputs!$E$22/12*(1+Inputs!$E$25)^(BA$5-1)*1</f>
        <v>-750.339206666667</v>
      </c>
      <c r="BB22" s="65" t="n">
        <f aca="false">-Inputs!$E$10*Inputs!$E$22/12*(1+Inputs!$E$25)^(BB$5-1)*1</f>
        <v>-750.339206666667</v>
      </c>
      <c r="BC22" s="65" t="n">
        <f aca="false">-Inputs!$E$10*Inputs!$E$22/12*(1+Inputs!$E$25)^(BC$5-1)*1</f>
        <v>-750.339206666667</v>
      </c>
      <c r="BD22" s="65" t="n">
        <f aca="false">-Inputs!$E$10*Inputs!$E$22/12*(1+Inputs!$E$25)^(BD$5-1)*1</f>
        <v>-750.339206666667</v>
      </c>
      <c r="BE22" s="65" t="n">
        <f aca="false">-Inputs!$E$10*Inputs!$E$22/12*(1+Inputs!$E$25)^(BE$5-1)*1</f>
        <v>-750.339206666667</v>
      </c>
      <c r="BF22" s="65" t="n">
        <f aca="false">-Inputs!$E$10*Inputs!$E$22/12*(1+Inputs!$E$25)^(BF$5-1)*1</f>
        <v>-750.339206666667</v>
      </c>
      <c r="BG22" s="65" t="n">
        <f aca="false">-Inputs!$E$10*Inputs!$E$22/12*(1+Inputs!$E$25)^(BG$5-1)*1</f>
        <v>-750.339206666667</v>
      </c>
      <c r="BH22" s="65" t="n">
        <f aca="false">-Inputs!$E$10*Inputs!$E$22/12*(1+Inputs!$E$25)^(BH$5-1)*1</f>
        <v>-750.339206666667</v>
      </c>
      <c r="BI22" s="65" t="n">
        <f aca="false">-Inputs!$E$10*Inputs!$E$22/12*(1+Inputs!$E$25)^(BI$5-1)*1</f>
        <v>-750.339206666667</v>
      </c>
      <c r="BJ22" s="65" t="n">
        <f aca="false">-Inputs!$E$10*Inputs!$E$22/12*(1+Inputs!$E$25)^(BJ$5-1)*1</f>
        <v>-750.339206666667</v>
      </c>
    </row>
    <row r="23" customFormat="false" ht="15" hidden="false" customHeight="false" outlineLevel="0" collapsed="false">
      <c r="A23" s="6" t="s">
        <v>343</v>
      </c>
      <c r="C23" s="65" t="n">
        <f aca="false">-C12*Inputs!$E$23</f>
        <v>-1311</v>
      </c>
      <c r="D23" s="65" t="n">
        <f aca="false">-D12*Inputs!$E$23</f>
        <v>-1311</v>
      </c>
      <c r="E23" s="65" t="n">
        <f aca="false">-E12*Inputs!$E$23</f>
        <v>-1311</v>
      </c>
      <c r="F23" s="65" t="n">
        <f aca="false">-F12*Inputs!$E$23</f>
        <v>-1311</v>
      </c>
      <c r="G23" s="65" t="n">
        <f aca="false">-G12*Inputs!$E$23</f>
        <v>-1311</v>
      </c>
      <c r="H23" s="65" t="n">
        <f aca="false">-H12*Inputs!$E$23</f>
        <v>-1311</v>
      </c>
      <c r="I23" s="65" t="n">
        <f aca="false">-I12*Inputs!$E$23</f>
        <v>-1311</v>
      </c>
      <c r="J23" s="65" t="n">
        <f aca="false">-J12*Inputs!$E$23</f>
        <v>-1311</v>
      </c>
      <c r="K23" s="65" t="n">
        <f aca="false">-K12*Inputs!$E$23</f>
        <v>-1311</v>
      </c>
      <c r="L23" s="65" t="n">
        <f aca="false">-L12*Inputs!$E$23</f>
        <v>-1311</v>
      </c>
      <c r="M23" s="65" t="n">
        <f aca="false">-M12*Inputs!$E$23</f>
        <v>-1311</v>
      </c>
      <c r="N23" s="65" t="n">
        <f aca="false">-N12*Inputs!$E$23</f>
        <v>-1311</v>
      </c>
      <c r="O23" s="65" t="n">
        <f aca="false">-O12*Inputs!$E$23</f>
        <v>-1350.33</v>
      </c>
      <c r="P23" s="65" t="n">
        <f aca="false">-P12*Inputs!$E$23</f>
        <v>-1350.33</v>
      </c>
      <c r="Q23" s="65" t="n">
        <f aca="false">-Q12*Inputs!$E$23</f>
        <v>-1350.33</v>
      </c>
      <c r="R23" s="65" t="n">
        <f aca="false">-R12*Inputs!$E$23</f>
        <v>-1350.33</v>
      </c>
      <c r="S23" s="65" t="n">
        <f aca="false">-S12*Inputs!$E$23</f>
        <v>-1350.33</v>
      </c>
      <c r="T23" s="65" t="n">
        <f aca="false">-T12*Inputs!$E$23</f>
        <v>-1350.33</v>
      </c>
      <c r="U23" s="65" t="n">
        <f aca="false">-U12*Inputs!$E$23</f>
        <v>-1350.33</v>
      </c>
      <c r="V23" s="65" t="n">
        <f aca="false">-V12*Inputs!$E$23</f>
        <v>-1350.33</v>
      </c>
      <c r="W23" s="65" t="n">
        <f aca="false">-W12*Inputs!$E$23</f>
        <v>-1350.33</v>
      </c>
      <c r="X23" s="65" t="n">
        <f aca="false">-X12*Inputs!$E$23</f>
        <v>-1350.33</v>
      </c>
      <c r="Y23" s="65" t="n">
        <f aca="false">-Y12*Inputs!$E$23</f>
        <v>-1350.33</v>
      </c>
      <c r="Z23" s="65" t="n">
        <f aca="false">-Z12*Inputs!$E$23</f>
        <v>-1350.33</v>
      </c>
      <c r="AA23" s="65" t="n">
        <f aca="false">-AA12*Inputs!$E$23</f>
        <v>-1390.8399</v>
      </c>
      <c r="AB23" s="65" t="n">
        <f aca="false">-AB12*Inputs!$E$23</f>
        <v>-1390.8399</v>
      </c>
      <c r="AC23" s="65" t="n">
        <f aca="false">-AC12*Inputs!$E$23</f>
        <v>-1390.8399</v>
      </c>
      <c r="AD23" s="65" t="n">
        <f aca="false">-AD12*Inputs!$E$23</f>
        <v>-1390.8399</v>
      </c>
      <c r="AE23" s="65" t="n">
        <f aca="false">-AE12*Inputs!$E$23</f>
        <v>-1390.8399</v>
      </c>
      <c r="AF23" s="65" t="n">
        <f aca="false">-AF12*Inputs!$E$23</f>
        <v>-1390.8399</v>
      </c>
      <c r="AG23" s="65" t="n">
        <f aca="false">-AG12*Inputs!$E$23</f>
        <v>-1390.8399</v>
      </c>
      <c r="AH23" s="65" t="n">
        <f aca="false">-AH12*Inputs!$E$23</f>
        <v>-1390.8399</v>
      </c>
      <c r="AI23" s="65" t="n">
        <f aca="false">-AI12*Inputs!$E$23</f>
        <v>-1390.8399</v>
      </c>
      <c r="AJ23" s="65" t="n">
        <f aca="false">-AJ12*Inputs!$E$23</f>
        <v>-1390.8399</v>
      </c>
      <c r="AK23" s="65" t="n">
        <f aca="false">-AK12*Inputs!$E$23</f>
        <v>-1390.8399</v>
      </c>
      <c r="AL23" s="65" t="n">
        <f aca="false">-AL12*Inputs!$E$23</f>
        <v>-1390.8399</v>
      </c>
      <c r="AM23" s="65" t="n">
        <f aca="false">-AM12*Inputs!$E$23</f>
        <v>-1432.565097</v>
      </c>
      <c r="AN23" s="65" t="n">
        <f aca="false">-AN12*Inputs!$E$23</f>
        <v>-1432.565097</v>
      </c>
      <c r="AO23" s="65" t="n">
        <f aca="false">-AO12*Inputs!$E$23</f>
        <v>-1432.565097</v>
      </c>
      <c r="AP23" s="65" t="n">
        <f aca="false">-AP12*Inputs!$E$23</f>
        <v>-1432.565097</v>
      </c>
      <c r="AQ23" s="65" t="n">
        <f aca="false">-AQ12*Inputs!$E$23</f>
        <v>-1432.565097</v>
      </c>
      <c r="AR23" s="65" t="n">
        <f aca="false">-AR12*Inputs!$E$23</f>
        <v>-1432.565097</v>
      </c>
      <c r="AS23" s="65" t="n">
        <f aca="false">-AS12*Inputs!$E$23</f>
        <v>-1432.565097</v>
      </c>
      <c r="AT23" s="65" t="n">
        <f aca="false">-AT12*Inputs!$E$23</f>
        <v>-1432.565097</v>
      </c>
      <c r="AU23" s="65" t="n">
        <f aca="false">-AU12*Inputs!$E$23</f>
        <v>-1432.565097</v>
      </c>
      <c r="AV23" s="65" t="n">
        <f aca="false">-AV12*Inputs!$E$23</f>
        <v>-1432.565097</v>
      </c>
      <c r="AW23" s="65" t="n">
        <f aca="false">-AW12*Inputs!$E$23</f>
        <v>-1432.565097</v>
      </c>
      <c r="AX23" s="65" t="n">
        <f aca="false">-AX12*Inputs!$E$23</f>
        <v>-1432.565097</v>
      </c>
      <c r="AY23" s="65" t="n">
        <f aca="false">-AY12*Inputs!$E$23</f>
        <v>-1475.54204991</v>
      </c>
      <c r="AZ23" s="65" t="n">
        <f aca="false">-AZ12*Inputs!$E$23</f>
        <v>-1475.54204991</v>
      </c>
      <c r="BA23" s="65" t="n">
        <f aca="false">-BA12*Inputs!$E$23</f>
        <v>-1475.54204991</v>
      </c>
      <c r="BB23" s="65" t="n">
        <f aca="false">-BB12*Inputs!$E$23</f>
        <v>-1475.54204991</v>
      </c>
      <c r="BC23" s="65" t="n">
        <f aca="false">-BC12*Inputs!$E$23</f>
        <v>-1475.54204991</v>
      </c>
      <c r="BD23" s="65" t="n">
        <f aca="false">-BD12*Inputs!$E$23</f>
        <v>-1475.54204991</v>
      </c>
      <c r="BE23" s="65" t="n">
        <f aca="false">-BE12*Inputs!$E$23</f>
        <v>-1475.54204991</v>
      </c>
      <c r="BF23" s="65" t="n">
        <f aca="false">-BF12*Inputs!$E$23</f>
        <v>-1475.54204991</v>
      </c>
      <c r="BG23" s="65" t="n">
        <f aca="false">-BG12*Inputs!$E$23</f>
        <v>-1475.54204991</v>
      </c>
      <c r="BH23" s="65" t="n">
        <f aca="false">-BH12*Inputs!$E$23</f>
        <v>-1475.54204991</v>
      </c>
      <c r="BI23" s="65" t="n">
        <f aca="false">-BI12*Inputs!$E$23</f>
        <v>-1475.54204991</v>
      </c>
      <c r="BJ23" s="65" t="n">
        <f aca="false">-BJ12*Inputs!$E$23</f>
        <v>-1475.54204991</v>
      </c>
    </row>
    <row r="24" customFormat="false" ht="15" hidden="false" customHeight="false" outlineLevel="0" collapsed="false">
      <c r="A24" s="6" t="s">
        <v>344</v>
      </c>
      <c r="C24" s="65" t="n">
        <f aca="false">-Inputs!$E$24*(1+Inputs!$E$25)^(C$5-1)*1</f>
        <v>-400</v>
      </c>
      <c r="D24" s="65" t="n">
        <f aca="false">-Inputs!$E$24*(1+Inputs!$E$25)^(D$5-1)*1</f>
        <v>-400</v>
      </c>
      <c r="E24" s="65" t="n">
        <f aca="false">-Inputs!$E$24*(1+Inputs!$E$25)^(E$5-1)*1</f>
        <v>-400</v>
      </c>
      <c r="F24" s="65" t="n">
        <f aca="false">-Inputs!$E$24*(1+Inputs!$E$25)^(F$5-1)*1</f>
        <v>-400</v>
      </c>
      <c r="G24" s="65" t="n">
        <f aca="false">-Inputs!$E$24*(1+Inputs!$E$25)^(G$5-1)*1</f>
        <v>-400</v>
      </c>
      <c r="H24" s="65" t="n">
        <f aca="false">-Inputs!$E$24*(1+Inputs!$E$25)^(H$5-1)*1</f>
        <v>-400</v>
      </c>
      <c r="I24" s="65" t="n">
        <f aca="false">-Inputs!$E$24*(1+Inputs!$E$25)^(I$5-1)*1</f>
        <v>-400</v>
      </c>
      <c r="J24" s="65" t="n">
        <f aca="false">-Inputs!$E$24*(1+Inputs!$E$25)^(J$5-1)*1</f>
        <v>-400</v>
      </c>
      <c r="K24" s="65" t="n">
        <f aca="false">-Inputs!$E$24*(1+Inputs!$E$25)^(K$5-1)*1</f>
        <v>-400</v>
      </c>
      <c r="L24" s="65" t="n">
        <f aca="false">-Inputs!$E$24*(1+Inputs!$E$25)^(L$5-1)*1</f>
        <v>-400</v>
      </c>
      <c r="M24" s="65" t="n">
        <f aca="false">-Inputs!$E$24*(1+Inputs!$E$25)^(M$5-1)*1</f>
        <v>-400</v>
      </c>
      <c r="N24" s="65" t="n">
        <f aca="false">-Inputs!$E$24*(1+Inputs!$E$25)^(N$5-1)*1</f>
        <v>-400</v>
      </c>
      <c r="O24" s="65" t="n">
        <f aca="false">-Inputs!$E$24*(1+Inputs!$E$25)^(O$5-1)*1</f>
        <v>-412</v>
      </c>
      <c r="P24" s="65" t="n">
        <f aca="false">-Inputs!$E$24*(1+Inputs!$E$25)^(P$5-1)*1</f>
        <v>-412</v>
      </c>
      <c r="Q24" s="65" t="n">
        <f aca="false">-Inputs!$E$24*(1+Inputs!$E$25)^(Q$5-1)*1</f>
        <v>-412</v>
      </c>
      <c r="R24" s="65" t="n">
        <f aca="false">-Inputs!$E$24*(1+Inputs!$E$25)^(R$5-1)*1</f>
        <v>-412</v>
      </c>
      <c r="S24" s="65" t="n">
        <f aca="false">-Inputs!$E$24*(1+Inputs!$E$25)^(S$5-1)*1</f>
        <v>-412</v>
      </c>
      <c r="T24" s="65" t="n">
        <f aca="false">-Inputs!$E$24*(1+Inputs!$E$25)^(T$5-1)*1</f>
        <v>-412</v>
      </c>
      <c r="U24" s="65" t="n">
        <f aca="false">-Inputs!$E$24*(1+Inputs!$E$25)^(U$5-1)*1</f>
        <v>-412</v>
      </c>
      <c r="V24" s="65" t="n">
        <f aca="false">-Inputs!$E$24*(1+Inputs!$E$25)^(V$5-1)*1</f>
        <v>-412</v>
      </c>
      <c r="W24" s="65" t="n">
        <f aca="false">-Inputs!$E$24*(1+Inputs!$E$25)^(W$5-1)*1</f>
        <v>-412</v>
      </c>
      <c r="X24" s="65" t="n">
        <f aca="false">-Inputs!$E$24*(1+Inputs!$E$25)^(X$5-1)*1</f>
        <v>-412</v>
      </c>
      <c r="Y24" s="65" t="n">
        <f aca="false">-Inputs!$E$24*(1+Inputs!$E$25)^(Y$5-1)*1</f>
        <v>-412</v>
      </c>
      <c r="Z24" s="65" t="n">
        <f aca="false">-Inputs!$E$24*(1+Inputs!$E$25)^(Z$5-1)*1</f>
        <v>-412</v>
      </c>
      <c r="AA24" s="65" t="n">
        <f aca="false">-Inputs!$E$24*(1+Inputs!$E$25)^(AA$5-1)*1</f>
        <v>-424.36</v>
      </c>
      <c r="AB24" s="65" t="n">
        <f aca="false">-Inputs!$E$24*(1+Inputs!$E$25)^(AB$5-1)*1</f>
        <v>-424.36</v>
      </c>
      <c r="AC24" s="65" t="n">
        <f aca="false">-Inputs!$E$24*(1+Inputs!$E$25)^(AC$5-1)*1</f>
        <v>-424.36</v>
      </c>
      <c r="AD24" s="65" t="n">
        <f aca="false">-Inputs!$E$24*(1+Inputs!$E$25)^(AD$5-1)*1</f>
        <v>-424.36</v>
      </c>
      <c r="AE24" s="65" t="n">
        <f aca="false">-Inputs!$E$24*(1+Inputs!$E$25)^(AE$5-1)*1</f>
        <v>-424.36</v>
      </c>
      <c r="AF24" s="65" t="n">
        <f aca="false">-Inputs!$E$24*(1+Inputs!$E$25)^(AF$5-1)*1</f>
        <v>-424.36</v>
      </c>
      <c r="AG24" s="65" t="n">
        <f aca="false">-Inputs!$E$24*(1+Inputs!$E$25)^(AG$5-1)*1</f>
        <v>-424.36</v>
      </c>
      <c r="AH24" s="65" t="n">
        <f aca="false">-Inputs!$E$24*(1+Inputs!$E$25)^(AH$5-1)*1</f>
        <v>-424.36</v>
      </c>
      <c r="AI24" s="65" t="n">
        <f aca="false">-Inputs!$E$24*(1+Inputs!$E$25)^(AI$5-1)*1</f>
        <v>-424.36</v>
      </c>
      <c r="AJ24" s="65" t="n">
        <f aca="false">-Inputs!$E$24*(1+Inputs!$E$25)^(AJ$5-1)*1</f>
        <v>-424.36</v>
      </c>
      <c r="AK24" s="65" t="n">
        <f aca="false">-Inputs!$E$24*(1+Inputs!$E$25)^(AK$5-1)*1</f>
        <v>-424.36</v>
      </c>
      <c r="AL24" s="65" t="n">
        <f aca="false">-Inputs!$E$24*(1+Inputs!$E$25)^(AL$5-1)*1</f>
        <v>-424.36</v>
      </c>
      <c r="AM24" s="65" t="n">
        <f aca="false">-Inputs!$E$24*(1+Inputs!$E$25)^(AM$5-1)*1</f>
        <v>-437.0908</v>
      </c>
      <c r="AN24" s="65" t="n">
        <f aca="false">-Inputs!$E$24*(1+Inputs!$E$25)^(AN$5-1)*1</f>
        <v>-437.0908</v>
      </c>
      <c r="AO24" s="65" t="n">
        <f aca="false">-Inputs!$E$24*(1+Inputs!$E$25)^(AO$5-1)*1</f>
        <v>-437.0908</v>
      </c>
      <c r="AP24" s="65" t="n">
        <f aca="false">-Inputs!$E$24*(1+Inputs!$E$25)^(AP$5-1)*1</f>
        <v>-437.0908</v>
      </c>
      <c r="AQ24" s="65" t="n">
        <f aca="false">-Inputs!$E$24*(1+Inputs!$E$25)^(AQ$5-1)*1</f>
        <v>-437.0908</v>
      </c>
      <c r="AR24" s="65" t="n">
        <f aca="false">-Inputs!$E$24*(1+Inputs!$E$25)^(AR$5-1)*1</f>
        <v>-437.0908</v>
      </c>
      <c r="AS24" s="65" t="n">
        <f aca="false">-Inputs!$E$24*(1+Inputs!$E$25)^(AS$5-1)*1</f>
        <v>-437.0908</v>
      </c>
      <c r="AT24" s="65" t="n">
        <f aca="false">-Inputs!$E$24*(1+Inputs!$E$25)^(AT$5-1)*1</f>
        <v>-437.0908</v>
      </c>
      <c r="AU24" s="65" t="n">
        <f aca="false">-Inputs!$E$24*(1+Inputs!$E$25)^(AU$5-1)*1</f>
        <v>-437.0908</v>
      </c>
      <c r="AV24" s="65" t="n">
        <f aca="false">-Inputs!$E$24*(1+Inputs!$E$25)^(AV$5-1)*1</f>
        <v>-437.0908</v>
      </c>
      <c r="AW24" s="65" t="n">
        <f aca="false">-Inputs!$E$24*(1+Inputs!$E$25)^(AW$5-1)*1</f>
        <v>-437.0908</v>
      </c>
      <c r="AX24" s="65" t="n">
        <f aca="false">-Inputs!$E$24*(1+Inputs!$E$25)^(AX$5-1)*1</f>
        <v>-437.0908</v>
      </c>
      <c r="AY24" s="65" t="n">
        <f aca="false">-Inputs!$E$24*(1+Inputs!$E$25)^(AY$5-1)*1</f>
        <v>-450.203524</v>
      </c>
      <c r="AZ24" s="65" t="n">
        <f aca="false">-Inputs!$E$24*(1+Inputs!$E$25)^(AZ$5-1)*1</f>
        <v>-450.203524</v>
      </c>
      <c r="BA24" s="65" t="n">
        <f aca="false">-Inputs!$E$24*(1+Inputs!$E$25)^(BA$5-1)*1</f>
        <v>-450.203524</v>
      </c>
      <c r="BB24" s="65" t="n">
        <f aca="false">-Inputs!$E$24*(1+Inputs!$E$25)^(BB$5-1)*1</f>
        <v>-450.203524</v>
      </c>
      <c r="BC24" s="65" t="n">
        <f aca="false">-Inputs!$E$24*(1+Inputs!$E$25)^(BC$5-1)*1</f>
        <v>-450.203524</v>
      </c>
      <c r="BD24" s="65" t="n">
        <f aca="false">-Inputs!$E$24*(1+Inputs!$E$25)^(BD$5-1)*1</f>
        <v>-450.203524</v>
      </c>
      <c r="BE24" s="65" t="n">
        <f aca="false">-Inputs!$E$24*(1+Inputs!$E$25)^(BE$5-1)*1</f>
        <v>-450.203524</v>
      </c>
      <c r="BF24" s="65" t="n">
        <f aca="false">-Inputs!$E$24*(1+Inputs!$E$25)^(BF$5-1)*1</f>
        <v>-450.203524</v>
      </c>
      <c r="BG24" s="65" t="n">
        <f aca="false">-Inputs!$E$24*(1+Inputs!$E$25)^(BG$5-1)*1</f>
        <v>-450.203524</v>
      </c>
      <c r="BH24" s="65" t="n">
        <f aca="false">-Inputs!$E$24*(1+Inputs!$E$25)^(BH$5-1)*1</f>
        <v>-450.203524</v>
      </c>
      <c r="BI24" s="65" t="n">
        <f aca="false">-Inputs!$E$24*(1+Inputs!$E$25)^(BI$5-1)*1</f>
        <v>-450.203524</v>
      </c>
      <c r="BJ24" s="65" t="n">
        <f aca="false">-Inputs!$E$24*(1+Inputs!$E$25)^(BJ$5-1)*1</f>
        <v>-450.203524</v>
      </c>
    </row>
    <row r="25" customFormat="false" ht="15" hidden="false" customHeight="false" outlineLevel="0" collapsed="false">
      <c r="A25" s="108" t="s">
        <v>77</v>
      </c>
      <c r="C25" s="66" t="n">
        <f aca="false">C21+C22+C23+C24</f>
        <v>-4073.5</v>
      </c>
      <c r="D25" s="66" t="n">
        <f aca="false">D21+D22+D23+D24</f>
        <v>-4073.5</v>
      </c>
      <c r="E25" s="66" t="n">
        <f aca="false">E21+E22+E23+E24</f>
        <v>-4073.5</v>
      </c>
      <c r="F25" s="66" t="n">
        <f aca="false">F21+F22+F23+F24</f>
        <v>-4073.5</v>
      </c>
      <c r="G25" s="66" t="n">
        <f aca="false">G21+G22+G23+G24</f>
        <v>-4073.5</v>
      </c>
      <c r="H25" s="66" t="n">
        <f aca="false">H21+H22+H23+H24</f>
        <v>-4073.5</v>
      </c>
      <c r="I25" s="66" t="n">
        <f aca="false">I21+I22+I23+I24</f>
        <v>-4073.5</v>
      </c>
      <c r="J25" s="66" t="n">
        <f aca="false">J21+J22+J23+J24</f>
        <v>-4073.5</v>
      </c>
      <c r="K25" s="66" t="n">
        <f aca="false">K21+K22+K23+K24</f>
        <v>-4073.5</v>
      </c>
      <c r="L25" s="66" t="n">
        <f aca="false">L21+L22+L23+L24</f>
        <v>-4073.5</v>
      </c>
      <c r="M25" s="66" t="n">
        <f aca="false">M21+M22+M23+M24</f>
        <v>-4073.5</v>
      </c>
      <c r="N25" s="66" t="n">
        <f aca="false">N21+N22+N23+N24</f>
        <v>-4073.5</v>
      </c>
      <c r="O25" s="66" t="n">
        <f aca="false">O21+O22+O23+O24</f>
        <v>-4195.705</v>
      </c>
      <c r="P25" s="66" t="n">
        <f aca="false">P21+P22+P23+P24</f>
        <v>-4195.705</v>
      </c>
      <c r="Q25" s="66" t="n">
        <f aca="false">Q21+Q22+Q23+Q24</f>
        <v>-4195.705</v>
      </c>
      <c r="R25" s="66" t="n">
        <f aca="false">R21+R22+R23+R24</f>
        <v>-4195.705</v>
      </c>
      <c r="S25" s="66" t="n">
        <f aca="false">S21+S22+S23+S24</f>
        <v>-4195.705</v>
      </c>
      <c r="T25" s="66" t="n">
        <f aca="false">T21+T22+T23+T24</f>
        <v>-4195.705</v>
      </c>
      <c r="U25" s="66" t="n">
        <f aca="false">U21+U22+U23+U24</f>
        <v>-4195.705</v>
      </c>
      <c r="V25" s="66" t="n">
        <f aca="false">V21+V22+V23+V24</f>
        <v>-4195.705</v>
      </c>
      <c r="W25" s="66" t="n">
        <f aca="false">W21+W22+W23+W24</f>
        <v>-4195.705</v>
      </c>
      <c r="X25" s="66" t="n">
        <f aca="false">X21+X22+X23+X24</f>
        <v>-4195.705</v>
      </c>
      <c r="Y25" s="66" t="n">
        <f aca="false">Y21+Y22+Y23+Y24</f>
        <v>-4195.705</v>
      </c>
      <c r="Z25" s="66" t="n">
        <f aca="false">Z21+Z22+Z23+Z24</f>
        <v>-4195.705</v>
      </c>
      <c r="AA25" s="66" t="n">
        <f aca="false">AA21+AA22+AA23+AA24</f>
        <v>-4321.57615</v>
      </c>
      <c r="AB25" s="66" t="n">
        <f aca="false">AB21+AB22+AB23+AB24</f>
        <v>-4321.57615</v>
      </c>
      <c r="AC25" s="66" t="n">
        <f aca="false">AC21+AC22+AC23+AC24</f>
        <v>-4321.57615</v>
      </c>
      <c r="AD25" s="66" t="n">
        <f aca="false">AD21+AD22+AD23+AD24</f>
        <v>-4321.57615</v>
      </c>
      <c r="AE25" s="66" t="n">
        <f aca="false">AE21+AE22+AE23+AE24</f>
        <v>-4321.57615</v>
      </c>
      <c r="AF25" s="66" t="n">
        <f aca="false">AF21+AF22+AF23+AF24</f>
        <v>-4321.57615</v>
      </c>
      <c r="AG25" s="66" t="n">
        <f aca="false">AG21+AG22+AG23+AG24</f>
        <v>-4321.57615</v>
      </c>
      <c r="AH25" s="66" t="n">
        <f aca="false">AH21+AH22+AH23+AH24</f>
        <v>-4321.57615</v>
      </c>
      <c r="AI25" s="66" t="n">
        <f aca="false">AI21+AI22+AI23+AI24</f>
        <v>-4321.57615</v>
      </c>
      <c r="AJ25" s="66" t="n">
        <f aca="false">AJ21+AJ22+AJ23+AJ24</f>
        <v>-4321.57615</v>
      </c>
      <c r="AK25" s="66" t="n">
        <f aca="false">AK21+AK22+AK23+AK24</f>
        <v>-4321.57615</v>
      </c>
      <c r="AL25" s="66" t="n">
        <f aca="false">AL21+AL22+AL23+AL24</f>
        <v>-4321.57615</v>
      </c>
      <c r="AM25" s="66" t="n">
        <f aca="false">AM21+AM22+AM23+AM24</f>
        <v>-4451.2234345</v>
      </c>
      <c r="AN25" s="66" t="n">
        <f aca="false">AN21+AN22+AN23+AN24</f>
        <v>-4451.2234345</v>
      </c>
      <c r="AO25" s="66" t="n">
        <f aca="false">AO21+AO22+AO23+AO24</f>
        <v>-4451.2234345</v>
      </c>
      <c r="AP25" s="66" t="n">
        <f aca="false">AP21+AP22+AP23+AP24</f>
        <v>-4451.2234345</v>
      </c>
      <c r="AQ25" s="66" t="n">
        <f aca="false">AQ21+AQ22+AQ23+AQ24</f>
        <v>-4451.2234345</v>
      </c>
      <c r="AR25" s="66" t="n">
        <f aca="false">AR21+AR22+AR23+AR24</f>
        <v>-4451.2234345</v>
      </c>
      <c r="AS25" s="66" t="n">
        <f aca="false">AS21+AS22+AS23+AS24</f>
        <v>-4451.2234345</v>
      </c>
      <c r="AT25" s="66" t="n">
        <f aca="false">AT21+AT22+AT23+AT24</f>
        <v>-4451.2234345</v>
      </c>
      <c r="AU25" s="66" t="n">
        <f aca="false">AU21+AU22+AU23+AU24</f>
        <v>-4451.2234345</v>
      </c>
      <c r="AV25" s="66" t="n">
        <f aca="false">AV21+AV22+AV23+AV24</f>
        <v>-4451.2234345</v>
      </c>
      <c r="AW25" s="66" t="n">
        <f aca="false">AW21+AW22+AW23+AW24</f>
        <v>-4451.2234345</v>
      </c>
      <c r="AX25" s="66" t="n">
        <f aca="false">AX21+AX22+AX23+AX24</f>
        <v>-4451.2234345</v>
      </c>
      <c r="AY25" s="66" t="n">
        <f aca="false">AY21+AY22+AY23+AY24</f>
        <v>-4584.760137535</v>
      </c>
      <c r="AZ25" s="66" t="n">
        <f aca="false">AZ21+AZ22+AZ23+AZ24</f>
        <v>-4584.760137535</v>
      </c>
      <c r="BA25" s="66" t="n">
        <f aca="false">BA21+BA22+BA23+BA24</f>
        <v>-4584.760137535</v>
      </c>
      <c r="BB25" s="66" t="n">
        <f aca="false">BB21+BB22+BB23+BB24</f>
        <v>-4584.760137535</v>
      </c>
      <c r="BC25" s="66" t="n">
        <f aca="false">BC21+BC22+BC23+BC24</f>
        <v>-4584.760137535</v>
      </c>
      <c r="BD25" s="66" t="n">
        <f aca="false">BD21+BD22+BD23+BD24</f>
        <v>-4584.760137535</v>
      </c>
      <c r="BE25" s="66" t="n">
        <f aca="false">BE21+BE22+BE23+BE24</f>
        <v>-4584.760137535</v>
      </c>
      <c r="BF25" s="66" t="n">
        <f aca="false">BF21+BF22+BF23+BF24</f>
        <v>-4584.760137535</v>
      </c>
      <c r="BG25" s="66" t="n">
        <f aca="false">BG21+BG22+BG23+BG24</f>
        <v>-4584.760137535</v>
      </c>
      <c r="BH25" s="66" t="n">
        <f aca="false">BH21+BH22+BH23+BH24</f>
        <v>-4584.760137535</v>
      </c>
      <c r="BI25" s="66" t="n">
        <f aca="false">BI21+BI22+BI23+BI24</f>
        <v>-4584.760137535</v>
      </c>
      <c r="BJ25" s="66" t="n">
        <f aca="false">BJ21+BJ22+BJ23+BJ24</f>
        <v>-4584.760137535</v>
      </c>
    </row>
    <row r="26" customFormat="false" ht="15" hidden="false" customHeight="false" outlineLevel="0" collapsed="false">
      <c r="A26" s="108" t="s">
        <v>49</v>
      </c>
      <c r="C26" s="66" t="n">
        <f aca="false">C18+C25</f>
        <v>10445</v>
      </c>
      <c r="D26" s="66" t="n">
        <f aca="false">D18+D25</f>
        <v>10445</v>
      </c>
      <c r="E26" s="66" t="n">
        <f aca="false">E18+E25</f>
        <v>10445</v>
      </c>
      <c r="F26" s="66" t="n">
        <f aca="false">F18+F25</f>
        <v>10445</v>
      </c>
      <c r="G26" s="66" t="n">
        <f aca="false">G18+G25</f>
        <v>10445</v>
      </c>
      <c r="H26" s="66" t="n">
        <f aca="false">H18+H25</f>
        <v>10445</v>
      </c>
      <c r="I26" s="66" t="n">
        <f aca="false">I18+I25</f>
        <v>10445</v>
      </c>
      <c r="J26" s="66" t="n">
        <f aca="false">J18+J25</f>
        <v>10445</v>
      </c>
      <c r="K26" s="66" t="n">
        <f aca="false">K18+K25</f>
        <v>10445</v>
      </c>
      <c r="L26" s="66" t="n">
        <f aca="false">L18+L25</f>
        <v>10445</v>
      </c>
      <c r="M26" s="66" t="n">
        <f aca="false">M18+M25</f>
        <v>10445</v>
      </c>
      <c r="N26" s="66" t="n">
        <f aca="false">N18+N25</f>
        <v>10445</v>
      </c>
      <c r="O26" s="66" t="n">
        <f aca="false">O18+O25</f>
        <v>10758.35</v>
      </c>
      <c r="P26" s="66" t="n">
        <f aca="false">P18+P25</f>
        <v>10758.35</v>
      </c>
      <c r="Q26" s="66" t="n">
        <f aca="false">Q18+Q25</f>
        <v>10758.35</v>
      </c>
      <c r="R26" s="66" t="n">
        <f aca="false">R18+R25</f>
        <v>10758.35</v>
      </c>
      <c r="S26" s="66" t="n">
        <f aca="false">S18+S25</f>
        <v>10758.35</v>
      </c>
      <c r="T26" s="66" t="n">
        <f aca="false">T18+T25</f>
        <v>10758.35</v>
      </c>
      <c r="U26" s="66" t="n">
        <f aca="false">U18+U25</f>
        <v>10758.35</v>
      </c>
      <c r="V26" s="66" t="n">
        <f aca="false">V18+V25</f>
        <v>10758.35</v>
      </c>
      <c r="W26" s="66" t="n">
        <f aca="false">W18+W25</f>
        <v>10758.35</v>
      </c>
      <c r="X26" s="66" t="n">
        <f aca="false">X18+X25</f>
        <v>10758.35</v>
      </c>
      <c r="Y26" s="66" t="n">
        <f aca="false">Y18+Y25</f>
        <v>10758.35</v>
      </c>
      <c r="Z26" s="66" t="n">
        <f aca="false">Z18+Z25</f>
        <v>10758.35</v>
      </c>
      <c r="AA26" s="66" t="n">
        <f aca="false">AA18+AA25</f>
        <v>11081.1005</v>
      </c>
      <c r="AB26" s="66" t="n">
        <f aca="false">AB18+AB25</f>
        <v>11081.1005</v>
      </c>
      <c r="AC26" s="66" t="n">
        <f aca="false">AC18+AC25</f>
        <v>11081.1005</v>
      </c>
      <c r="AD26" s="66" t="n">
        <f aca="false">AD18+AD25</f>
        <v>11081.1005</v>
      </c>
      <c r="AE26" s="66" t="n">
        <f aca="false">AE18+AE25</f>
        <v>11081.1005</v>
      </c>
      <c r="AF26" s="66" t="n">
        <f aca="false">AF18+AF25</f>
        <v>11081.1005</v>
      </c>
      <c r="AG26" s="66" t="n">
        <f aca="false">AG18+AG25</f>
        <v>11081.1005</v>
      </c>
      <c r="AH26" s="66" t="n">
        <f aca="false">AH18+AH25</f>
        <v>11081.1005</v>
      </c>
      <c r="AI26" s="66" t="n">
        <f aca="false">AI18+AI25</f>
        <v>11081.1005</v>
      </c>
      <c r="AJ26" s="66" t="n">
        <f aca="false">AJ18+AJ25</f>
        <v>11081.1005</v>
      </c>
      <c r="AK26" s="66" t="n">
        <f aca="false">AK18+AK25</f>
        <v>11081.1005</v>
      </c>
      <c r="AL26" s="66" t="n">
        <f aca="false">AL18+AL25</f>
        <v>11081.1005</v>
      </c>
      <c r="AM26" s="66" t="n">
        <f aca="false">AM18+AM25</f>
        <v>11413.533515</v>
      </c>
      <c r="AN26" s="66" t="n">
        <f aca="false">AN18+AN25</f>
        <v>11413.533515</v>
      </c>
      <c r="AO26" s="66" t="n">
        <f aca="false">AO18+AO25</f>
        <v>11413.533515</v>
      </c>
      <c r="AP26" s="66" t="n">
        <f aca="false">AP18+AP25</f>
        <v>11413.533515</v>
      </c>
      <c r="AQ26" s="66" t="n">
        <f aca="false">AQ18+AQ25</f>
        <v>11413.533515</v>
      </c>
      <c r="AR26" s="66" t="n">
        <f aca="false">AR18+AR25</f>
        <v>11413.533515</v>
      </c>
      <c r="AS26" s="66" t="n">
        <f aca="false">AS18+AS25</f>
        <v>11413.533515</v>
      </c>
      <c r="AT26" s="66" t="n">
        <f aca="false">AT18+AT25</f>
        <v>11413.533515</v>
      </c>
      <c r="AU26" s="66" t="n">
        <f aca="false">AU18+AU25</f>
        <v>11413.533515</v>
      </c>
      <c r="AV26" s="66" t="n">
        <f aca="false">AV18+AV25</f>
        <v>11413.533515</v>
      </c>
      <c r="AW26" s="66" t="n">
        <f aca="false">AW18+AW25</f>
        <v>11413.533515</v>
      </c>
      <c r="AX26" s="66" t="n">
        <f aca="false">AX18+AX25</f>
        <v>11413.533515</v>
      </c>
      <c r="AY26" s="66" t="n">
        <f aca="false">AY18+AY25</f>
        <v>11755.93952045</v>
      </c>
      <c r="AZ26" s="66" t="n">
        <f aca="false">AZ18+AZ25</f>
        <v>11755.93952045</v>
      </c>
      <c r="BA26" s="66" t="n">
        <f aca="false">BA18+BA25</f>
        <v>11755.93952045</v>
      </c>
      <c r="BB26" s="66" t="n">
        <f aca="false">BB18+BB25</f>
        <v>11755.93952045</v>
      </c>
      <c r="BC26" s="66" t="n">
        <f aca="false">BC18+BC25</f>
        <v>11755.93952045</v>
      </c>
      <c r="BD26" s="66" t="n">
        <f aca="false">BD18+BD25</f>
        <v>11755.93952045</v>
      </c>
      <c r="BE26" s="66" t="n">
        <f aca="false">BE18+BE25</f>
        <v>11755.93952045</v>
      </c>
      <c r="BF26" s="66" t="n">
        <f aca="false">BF18+BF25</f>
        <v>11755.93952045</v>
      </c>
      <c r="BG26" s="66" t="n">
        <f aca="false">BG18+BG25</f>
        <v>11755.93952045</v>
      </c>
      <c r="BH26" s="66" t="n">
        <f aca="false">BH18+BH25</f>
        <v>11755.93952045</v>
      </c>
      <c r="BI26" s="66" t="n">
        <f aca="false">BI18+BI25</f>
        <v>11755.93952045</v>
      </c>
      <c r="BJ26" s="66" t="n">
        <f aca="false">BJ18+BJ25</f>
        <v>11755.93952045</v>
      </c>
    </row>
    <row r="28" customFormat="false" ht="15.75" hidden="false" customHeight="true" outlineLevel="0" collapsed="false">
      <c r="A28" s="7" t="s">
        <v>420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4" t="s">
        <v>79</v>
      </c>
      <c r="C29" s="71" t="n">
        <f aca="false">C26+C44</f>
        <v>5704.90226337449</v>
      </c>
      <c r="D29" s="71" t="n">
        <f aca="false">D26+D44</f>
        <v>5704.00205761317</v>
      </c>
      <c r="E29" s="71" t="n">
        <f aca="false">E26+E44</f>
        <v>5703.10185185185</v>
      </c>
      <c r="F29" s="71" t="n">
        <f aca="false">F26+F44</f>
        <v>5702.20164609053</v>
      </c>
      <c r="G29" s="71" t="n">
        <f aca="false">G26+G44</f>
        <v>5701.30144032922</v>
      </c>
      <c r="H29" s="71" t="n">
        <f aca="false">H26+H44</f>
        <v>5700.4012345679</v>
      </c>
      <c r="I29" s="71" t="n">
        <f aca="false">I26+I44</f>
        <v>5699.50102880658</v>
      </c>
      <c r="J29" s="71" t="n">
        <f aca="false">J26+J44</f>
        <v>5698.60082304527</v>
      </c>
      <c r="K29" s="71" t="n">
        <f aca="false">K26+K44</f>
        <v>5697.70061728395</v>
      </c>
      <c r="L29" s="71" t="n">
        <f aca="false">L26+L44</f>
        <v>5696.80041152263</v>
      </c>
      <c r="M29" s="71" t="n">
        <f aca="false">M26+M44</f>
        <v>5695.90020576131</v>
      </c>
      <c r="N29" s="71" t="n">
        <f aca="false">N26+N44</f>
        <v>5695</v>
      </c>
      <c r="O29" s="71" t="n">
        <f aca="false">O26+O44</f>
        <v>6007.42278806584</v>
      </c>
      <c r="P29" s="71" t="n">
        <f aca="false">P26+P44</f>
        <v>6006.49557613168</v>
      </c>
      <c r="Q29" s="71" t="n">
        <f aca="false">Q26+Q44</f>
        <v>6005.56836419753</v>
      </c>
      <c r="R29" s="71" t="n">
        <f aca="false">R26+R44</f>
        <v>6004.64115226337</v>
      </c>
      <c r="S29" s="71" t="n">
        <f aca="false">S26+S44</f>
        <v>6003.71394032921</v>
      </c>
      <c r="T29" s="71" t="n">
        <f aca="false">T26+T44</f>
        <v>6002.78672839506</v>
      </c>
      <c r="U29" s="71" t="n">
        <f aca="false">U26+U44</f>
        <v>6001.8595164609</v>
      </c>
      <c r="V29" s="71" t="n">
        <f aca="false">V26+V44</f>
        <v>6000.93230452675</v>
      </c>
      <c r="W29" s="71" t="n">
        <f aca="false">W26+W44</f>
        <v>6000.00509259259</v>
      </c>
      <c r="X29" s="71" t="n">
        <f aca="false">X26+X44</f>
        <v>5999.07788065843</v>
      </c>
      <c r="Y29" s="71" t="n">
        <f aca="false">Y26+Y44</f>
        <v>5998.15066872427</v>
      </c>
      <c r="Z29" s="71" t="n">
        <f aca="false">Z26+Z44</f>
        <v>5997.22345679012</v>
      </c>
      <c r="AA29" s="71" t="n">
        <f aca="false">AA26+AA44</f>
        <v>6319.01892849794</v>
      </c>
      <c r="AB29" s="71" t="n">
        <f aca="false">AB26+AB44</f>
        <v>6318.06390020576</v>
      </c>
      <c r="AC29" s="71" t="n">
        <f aca="false">AC26+AC44</f>
        <v>6317.10887191358</v>
      </c>
      <c r="AD29" s="71" t="n">
        <f aca="false">AD26+AD44</f>
        <v>6316.15384362139</v>
      </c>
      <c r="AE29" s="71" t="n">
        <f aca="false">AE26+AE44</f>
        <v>6315.19881532921</v>
      </c>
      <c r="AF29" s="71" t="n">
        <f aca="false">AF26+AF44</f>
        <v>6314.24378703703</v>
      </c>
      <c r="AG29" s="71" t="n">
        <f aca="false">AG26+AG44</f>
        <v>6313.28875874485</v>
      </c>
      <c r="AH29" s="71" t="n">
        <f aca="false">AH26+AH44</f>
        <v>6312.33373045267</v>
      </c>
      <c r="AI29" s="71" t="n">
        <f aca="false">AI26+AI44</f>
        <v>6311.37870216049</v>
      </c>
      <c r="AJ29" s="71" t="n">
        <f aca="false">AJ26+AJ44</f>
        <v>6310.42367386831</v>
      </c>
      <c r="AK29" s="71" t="n">
        <f aca="false">AK26+AK44</f>
        <v>6309.46864557613</v>
      </c>
      <c r="AL29" s="71" t="n">
        <f aca="false">AL26+AL44</f>
        <v>6308.51361728394</v>
      </c>
      <c r="AM29" s="71" t="n">
        <f aca="false">AM26+AM44</f>
        <v>6639.962953143</v>
      </c>
      <c r="AN29" s="71" t="n">
        <f aca="false">AN26+AN44</f>
        <v>6638.97927400205</v>
      </c>
      <c r="AO29" s="71" t="n">
        <f aca="false">AO26+AO44</f>
        <v>6637.9955948611</v>
      </c>
      <c r="AP29" s="71" t="n">
        <f aca="false">AP26+AP44</f>
        <v>6637.01191572016</v>
      </c>
      <c r="AQ29" s="71" t="n">
        <f aca="false">AQ26+AQ44</f>
        <v>6636.02823657921</v>
      </c>
      <c r="AR29" s="71" t="n">
        <f aca="false">AR26+AR44</f>
        <v>6635.04455743826</v>
      </c>
      <c r="AS29" s="71" t="n">
        <f aca="false">AS26+AS44</f>
        <v>6634.06087829732</v>
      </c>
      <c r="AT29" s="71" t="n">
        <f aca="false">AT26+AT44</f>
        <v>6633.07719915637</v>
      </c>
      <c r="AU29" s="71" t="n">
        <f aca="false">AU26+AU44</f>
        <v>6632.09352001542</v>
      </c>
      <c r="AV29" s="71" t="n">
        <f aca="false">AV26+AV44</f>
        <v>6631.10984087448</v>
      </c>
      <c r="AW29" s="71" t="n">
        <f aca="false">AW26+AW44</f>
        <v>6630.12616173353</v>
      </c>
      <c r="AX29" s="71" t="n">
        <f aca="false">AX26+AX44</f>
        <v>6629.14248259258</v>
      </c>
      <c r="AY29" s="71" t="n">
        <f aca="false">AY26+AY44</f>
        <v>6970.53529852741</v>
      </c>
      <c r="AZ29" s="71" t="n">
        <f aca="false">AZ26+AZ44</f>
        <v>6969.52210901224</v>
      </c>
      <c r="BA29" s="71" t="n">
        <f aca="false">BA26+BA44</f>
        <v>6968.50891949706</v>
      </c>
      <c r="BB29" s="71" t="n">
        <f aca="false">BB26+BB44</f>
        <v>6967.49572998189</v>
      </c>
      <c r="BC29" s="71" t="n">
        <f aca="false">BC26+BC44</f>
        <v>6966.48254046671</v>
      </c>
      <c r="BD29" s="71" t="n">
        <f aca="false">BD26+BD44</f>
        <v>6965.46935095154</v>
      </c>
      <c r="BE29" s="71" t="n">
        <f aca="false">BE26+BE44</f>
        <v>6964.45616143636</v>
      </c>
      <c r="BF29" s="71" t="n">
        <f aca="false">BF26+BF44</f>
        <v>6963.44297192119</v>
      </c>
      <c r="BG29" s="71" t="n">
        <f aca="false">BG26+BG44</f>
        <v>6962.42978240601</v>
      </c>
      <c r="BH29" s="71" t="n">
        <f aca="false">BH26+BH44</f>
        <v>6961.41659289084</v>
      </c>
      <c r="BI29" s="71" t="n">
        <f aca="false">BI26+BI44</f>
        <v>6960.40340337566</v>
      </c>
      <c r="BJ29" s="71" t="n">
        <f aca="false">BJ26+BJ44</f>
        <v>6959.39021386049</v>
      </c>
    </row>
    <row r="30" customFormat="false" ht="15" hidden="false" customHeight="false" outlineLevel="0" collapsed="false">
      <c r="A30" s="6" t="s">
        <v>421</v>
      </c>
      <c r="C30" s="65" t="n">
        <f aca="false">-(C49+C50)*Inputs!$E$36/12</f>
        <v>-6500</v>
      </c>
      <c r="D30" s="65" t="n">
        <f aca="false">-(D49+D50)*Inputs!$E$36/12</f>
        <v>-6494.12391180629</v>
      </c>
      <c r="E30" s="65" t="n">
        <f aca="false">-(E49+E50)*Inputs!$E$36/12</f>
        <v>-6488.21599480153</v>
      </c>
      <c r="F30" s="65" t="n">
        <f aca="false">-(F49+F50)*Inputs!$E$36/12</f>
        <v>-6482.27607657966</v>
      </c>
      <c r="G30" s="65" t="n">
        <f aca="false">-(G49+G50)*Inputs!$E$36/12</f>
        <v>-6476.30398380076</v>
      </c>
      <c r="H30" s="65" t="n">
        <f aca="false">-(H49+H50)*Inputs!$E$36/12</f>
        <v>-6470.29954218597</v>
      </c>
      <c r="I30" s="65" t="n">
        <f aca="false">-(I49+I50)*Inputs!$E$36/12</f>
        <v>-6464.26257651244</v>
      </c>
      <c r="J30" s="65" t="n">
        <f aca="false">-(J49+J50)*Inputs!$E$36/12</f>
        <v>-6458.19291060817</v>
      </c>
      <c r="K30" s="65" t="n">
        <f aca="false">-(K49+K50)*Inputs!$E$36/12</f>
        <v>-6452.09036734692</v>
      </c>
      <c r="L30" s="65" t="n">
        <f aca="false">-(L49+L50)*Inputs!$E$36/12</f>
        <v>-6445.95476864301</v>
      </c>
      <c r="M30" s="65" t="n">
        <f aca="false">-(M49+M50)*Inputs!$E$36/12</f>
        <v>-6439.78593544611</v>
      </c>
      <c r="N30" s="65" t="n">
        <f aca="false">-(N49+N50)*Inputs!$E$36/12</f>
        <v>-6433.58368773607</v>
      </c>
      <c r="O30" s="65" t="n">
        <f aca="false">-(O49+O50)*Inputs!$E$36/12</f>
        <v>-6427.3478445176</v>
      </c>
      <c r="P30" s="65" t="n">
        <f aca="false">-(P49+P50)*Inputs!$E$36/12</f>
        <v>-6421.07822381503</v>
      </c>
      <c r="Q30" s="65" t="n">
        <f aca="false">-(Q49+Q50)*Inputs!$E$36/12</f>
        <v>-6414.77464266698</v>
      </c>
      <c r="R30" s="65" t="n">
        <f aca="false">-(R49+R50)*Inputs!$E$36/12</f>
        <v>-6408.43691712105</v>
      </c>
      <c r="S30" s="65" t="n">
        <f aca="false">-(S49+S50)*Inputs!$E$36/12</f>
        <v>-6402.06486222842</v>
      </c>
      <c r="T30" s="65" t="n">
        <f aca="false">-(T49+T50)*Inputs!$E$36/12</f>
        <v>-6395.65829203844</v>
      </c>
      <c r="U30" s="65" t="n">
        <f aca="false">-(U49+U50)*Inputs!$E$36/12</f>
        <v>-6389.21701959328</v>
      </c>
      <c r="V30" s="65" t="n">
        <f aca="false">-(V49+V50)*Inputs!$E$36/12</f>
        <v>-6382.74085692237</v>
      </c>
      <c r="W30" s="65" t="n">
        <f aca="false">-(W49+W50)*Inputs!$E$36/12</f>
        <v>-6376.22961503699</v>
      </c>
      <c r="X30" s="65" t="n">
        <f aca="false">-(X49+X50)*Inputs!$E$36/12</f>
        <v>-6369.68310392473</v>
      </c>
      <c r="Y30" s="65" t="n">
        <f aca="false">-(Y49+Y50)*Inputs!$E$36/12</f>
        <v>-6363.10113254394</v>
      </c>
      <c r="Z30" s="65" t="n">
        <f aca="false">-(Z49+Z50)*Inputs!$E$36/12</f>
        <v>-6356.48350881818</v>
      </c>
      <c r="AA30" s="65" t="n">
        <f aca="false">-(AA49+AA50)*Inputs!$E$36/12</f>
        <v>-6349.83003963057</v>
      </c>
      <c r="AB30" s="65" t="n">
        <f aca="false">-(AB49+AB50)*Inputs!$E$36/12</f>
        <v>-6343.14053081819</v>
      </c>
      <c r="AC30" s="65" t="n">
        <f aca="false">-(AC49+AC50)*Inputs!$E$36/12</f>
        <v>-6336.41478716641</v>
      </c>
      <c r="AD30" s="65" t="n">
        <f aca="false">-(AD49+AD50)*Inputs!$E$36/12</f>
        <v>-6329.65261240319</v>
      </c>
      <c r="AE30" s="65" t="n">
        <f aca="false">-(AE49+AE50)*Inputs!$E$36/12</f>
        <v>-6322.85380919333</v>
      </c>
      <c r="AF30" s="65" t="n">
        <f aca="false">-(AF49+AF50)*Inputs!$E$36/12</f>
        <v>-6316.01817913275</v>
      </c>
      <c r="AG30" s="65" t="n">
        <f aca="false">-(AG49+AG50)*Inputs!$E$36/12</f>
        <v>-6309.14552274268</v>
      </c>
      <c r="AH30" s="65" t="n">
        <f aca="false">-(AH49+AH50)*Inputs!$E$36/12</f>
        <v>-6302.23563946383</v>
      </c>
      <c r="AI30" s="65" t="n">
        <f aca="false">-(AI49+AI50)*Inputs!$E$36/12</f>
        <v>-6295.28832765055</v>
      </c>
      <c r="AJ30" s="65" t="n">
        <f aca="false">-(AJ49+AJ50)*Inputs!$E$36/12</f>
        <v>-6288.30338456494</v>
      </c>
      <c r="AK30" s="65" t="n">
        <f aca="false">-(AK49+AK50)*Inputs!$E$36/12</f>
        <v>-6281.28060637096</v>
      </c>
      <c r="AL30" s="65" t="n">
        <f aca="false">-(AL49+AL50)*Inputs!$E$36/12</f>
        <v>-6274.21978812843</v>
      </c>
      <c r="AM30" s="65" t="n">
        <f aca="false">-(AM49+AM50)*Inputs!$E$36/12</f>
        <v>-6267.12072378708</v>
      </c>
      <c r="AN30" s="65" t="n">
        <f aca="false">-(AN49+AN50)*Inputs!$E$36/12</f>
        <v>-6259.98320618055</v>
      </c>
      <c r="AO30" s="65" t="n">
        <f aca="false">-(AO49+AO50)*Inputs!$E$36/12</f>
        <v>-6252.80702702032</v>
      </c>
      <c r="AP30" s="65" t="n">
        <f aca="false">-(AP49+AP50)*Inputs!$E$36/12</f>
        <v>-6245.59197688964</v>
      </c>
      <c r="AQ30" s="65" t="n">
        <f aca="false">-(AQ49+AQ50)*Inputs!$E$36/12</f>
        <v>-6238.33784523742</v>
      </c>
      <c r="AR30" s="65" t="n">
        <f aca="false">-(AR49+AR50)*Inputs!$E$36/12</f>
        <v>-6231.04442037208</v>
      </c>
      <c r="AS30" s="65" t="n">
        <f aca="false">-(AS49+AS50)*Inputs!$E$36/12</f>
        <v>-6223.71148945538</v>
      </c>
      <c r="AT30" s="65" t="n">
        <f aca="false">-(AT49+AT50)*Inputs!$E$36/12</f>
        <v>-6216.33883849622</v>
      </c>
      <c r="AU30" s="65" t="n">
        <f aca="false">-(AU49+AU50)*Inputs!$E$36/12</f>
        <v>-6208.92625234437</v>
      </c>
      <c r="AV30" s="65" t="n">
        <f aca="false">-(AV49+AV50)*Inputs!$E$36/12</f>
        <v>-6201.47351468419</v>
      </c>
      <c r="AW30" s="65" t="n">
        <f aca="false">-(AW49+AW50)*Inputs!$E$36/12</f>
        <v>-6193.98040802835</v>
      </c>
      <c r="AX30" s="65" t="n">
        <f aca="false">-(AX49+AX50)*Inputs!$E$36/12</f>
        <v>-6186.44671371147</v>
      </c>
      <c r="AY30" s="65" t="n">
        <f aca="false">-(AY49+AY50)*Inputs!$E$36/12</f>
        <v>-6178.87221188369</v>
      </c>
      <c r="AZ30" s="65" t="n">
        <f aca="false">-(AZ49+AZ50)*Inputs!$E$36/12</f>
        <v>-6171.25668150435</v>
      </c>
      <c r="BA30" s="65" t="n">
        <f aca="false">-(BA49+BA50)*Inputs!$E$36/12</f>
        <v>-6163.59990033546</v>
      </c>
      <c r="BB30" s="65" t="n">
        <f aca="false">-(BB49+BB50)*Inputs!$E$36/12</f>
        <v>-6155.90164493523</v>
      </c>
      <c r="BC30" s="65" t="n">
        <f aca="false">-(BC49+BC50)*Inputs!$E$36/12</f>
        <v>-6148.16169065159</v>
      </c>
      <c r="BD30" s="65" t="n">
        <f aca="false">-(BD49+BD50)*Inputs!$E$36/12</f>
        <v>-6140.37981161558</v>
      </c>
      <c r="BE30" s="65" t="n">
        <f aca="false">-(BE49+BE50)*Inputs!$E$36/12</f>
        <v>-6132.55578073479</v>
      </c>
      <c r="BF30" s="65" t="n">
        <f aca="false">-(BF49+BF50)*Inputs!$E$36/12</f>
        <v>-6124.68936968672</v>
      </c>
      <c r="BG30" s="65" t="n">
        <f aca="false">-(BG49+BG50)*Inputs!$E$36/12</f>
        <v>-6116.78034891215</v>
      </c>
      <c r="BH30" s="65" t="n">
        <f aca="false">-(BH49+BH50)*Inputs!$E$36/12</f>
        <v>-6108.82848760838</v>
      </c>
      <c r="BI30" s="65" t="n">
        <f aca="false">-(BI49+BI50)*Inputs!$E$36/12</f>
        <v>-6100.83355372255</v>
      </c>
      <c r="BJ30" s="65" t="n">
        <f aca="false">-(BJ49+BJ50)*Inputs!$E$36/12</f>
        <v>-6092.79531394484</v>
      </c>
    </row>
    <row r="31" customFormat="false" ht="15" hidden="false" customHeight="false" outlineLevel="0" collapsed="false">
      <c r="A31" s="108" t="s">
        <v>81</v>
      </c>
      <c r="C31" s="66" t="n">
        <f aca="false">C29+C30</f>
        <v>-795.097736625515</v>
      </c>
      <c r="D31" s="66" t="n">
        <f aca="false">D29+D30</f>
        <v>-790.121854193122</v>
      </c>
      <c r="E31" s="66" t="n">
        <f aca="false">E29+E30</f>
        <v>-785.114142949681</v>
      </c>
      <c r="F31" s="66" t="n">
        <f aca="false">F29+F30</f>
        <v>-780.07443048913</v>
      </c>
      <c r="G31" s="66" t="n">
        <f aca="false">G29+G30</f>
        <v>-775.002543471544</v>
      </c>
      <c r="H31" s="66" t="n">
        <f aca="false">H29+H30</f>
        <v>-769.898307618073</v>
      </c>
      <c r="I31" s="66" t="n">
        <f aca="false">I29+I30</f>
        <v>-764.761547705854</v>
      </c>
      <c r="J31" s="66" t="n">
        <f aca="false">J29+J30</f>
        <v>-759.592087562905</v>
      </c>
      <c r="K31" s="66" t="n">
        <f aca="false">K29+K30</f>
        <v>-754.389750062974</v>
      </c>
      <c r="L31" s="66" t="n">
        <f aca="false">L29+L30</f>
        <v>-749.154357120377</v>
      </c>
      <c r="M31" s="66" t="n">
        <f aca="false">M29+M30</f>
        <v>-743.8857296848</v>
      </c>
      <c r="N31" s="66" t="n">
        <f aca="false">N29+N30</f>
        <v>-738.583687736074</v>
      </c>
      <c r="O31" s="66" t="n">
        <f aca="false">O29+O30</f>
        <v>-419.925056451759</v>
      </c>
      <c r="P31" s="66" t="n">
        <f aca="false">P29+P30</f>
        <v>-414.582647683344</v>
      </c>
      <c r="Q31" s="66" t="n">
        <f aca="false">Q29+Q30</f>
        <v>-409.206278469456</v>
      </c>
      <c r="R31" s="66" t="n">
        <f aca="false">R29+R30</f>
        <v>-403.795764857683</v>
      </c>
      <c r="S31" s="66" t="n">
        <f aca="false">S29+S30</f>
        <v>-398.350921899203</v>
      </c>
      <c r="T31" s="66" t="n">
        <f aca="false">T29+T30</f>
        <v>-392.871563643385</v>
      </c>
      <c r="U31" s="66" t="n">
        <f aca="false">U29+U30</f>
        <v>-387.357503132375</v>
      </c>
      <c r="V31" s="66" t="n">
        <f aca="false">V29+V30</f>
        <v>-381.808552395621</v>
      </c>
      <c r="W31" s="66" t="n">
        <f aca="false">W29+W30</f>
        <v>-376.224522444397</v>
      </c>
      <c r="X31" s="66" t="n">
        <f aca="false">X29+X30</f>
        <v>-370.605223266295</v>
      </c>
      <c r="Y31" s="66" t="n">
        <f aca="false">Y29+Y30</f>
        <v>-364.950463819669</v>
      </c>
      <c r="Z31" s="66" t="n">
        <f aca="false">Z29+Z30</f>
        <v>-359.260052028061</v>
      </c>
      <c r="AA31" s="66" t="n">
        <f aca="false">AA29+AA30</f>
        <v>-30.8111111326316</v>
      </c>
      <c r="AB31" s="66" t="n">
        <f aca="false">AB29+AB30</f>
        <v>-25.076630612436</v>
      </c>
      <c r="AC31" s="66" t="n">
        <f aca="false">AC29+AC30</f>
        <v>-19.3059152528394</v>
      </c>
      <c r="AD31" s="66" t="n">
        <f aca="false">AD29+AD30</f>
        <v>-13.4987687817975</v>
      </c>
      <c r="AE31" s="66" t="n">
        <f aca="false">AE29+AE30</f>
        <v>-7.65499386412012</v>
      </c>
      <c r="AF31" s="66" t="n">
        <f aca="false">AF29+AF30</f>
        <v>-1.77439209572185</v>
      </c>
      <c r="AG31" s="66" t="n">
        <f aca="false">AG29+AG30</f>
        <v>4.14323600216994</v>
      </c>
      <c r="AH31" s="66" t="n">
        <f aca="false">AH29+AH30</f>
        <v>10.0980909888422</v>
      </c>
      <c r="AI31" s="66" t="n">
        <f aca="false">AI29+AI30</f>
        <v>16.0903745099413</v>
      </c>
      <c r="AJ31" s="66" t="n">
        <f aca="false">AJ29+AJ30</f>
        <v>22.1202893033624</v>
      </c>
      <c r="AK31" s="66" t="n">
        <f aca="false">AK29+AK30</f>
        <v>28.1880392051635</v>
      </c>
      <c r="AL31" s="66" t="n">
        <f aca="false">AL29+AL30</f>
        <v>34.2938291555147</v>
      </c>
      <c r="AM31" s="66" t="n">
        <f aca="false">AM29+AM30</f>
        <v>372.842229355915</v>
      </c>
      <c r="AN31" s="66" t="n">
        <f aca="false">AN29+AN30</f>
        <v>378.996067821496</v>
      </c>
      <c r="AO31" s="66" t="n">
        <f aca="false">AO29+AO30</f>
        <v>385.188567840782</v>
      </c>
      <c r="AP31" s="66" t="n">
        <f aca="false">AP29+AP30</f>
        <v>391.419938830517</v>
      </c>
      <c r="AQ31" s="66" t="n">
        <f aca="false">AQ29+AQ30</f>
        <v>397.690391341794</v>
      </c>
      <c r="AR31" s="66" t="n">
        <f aca="false">AR29+AR30</f>
        <v>404.000137066188</v>
      </c>
      <c r="AS31" s="66" t="n">
        <f aca="false">AS29+AS30</f>
        <v>410.349388841934</v>
      </c>
      <c r="AT31" s="66" t="n">
        <f aca="false">AT29+AT30</f>
        <v>416.738360660146</v>
      </c>
      <c r="AU31" s="66" t="n">
        <f aca="false">AU29+AU30</f>
        <v>423.167267671054</v>
      </c>
      <c r="AV31" s="66" t="n">
        <f aca="false">AV29+AV30</f>
        <v>429.636326190284</v>
      </c>
      <c r="AW31" s="66" t="n">
        <f aca="false">AW29+AW30</f>
        <v>436.145753705176</v>
      </c>
      <c r="AX31" s="66" t="n">
        <f aca="false">AX29+AX30</f>
        <v>442.695768881117</v>
      </c>
      <c r="AY31" s="66" t="n">
        <f aca="false">AY29+AY30</f>
        <v>791.663086643718</v>
      </c>
      <c r="AZ31" s="66" t="n">
        <f aca="false">AZ29+AZ30</f>
        <v>798.265427507883</v>
      </c>
      <c r="BA31" s="66" t="n">
        <f aca="false">BA29+BA30</f>
        <v>804.909019161602</v>
      </c>
      <c r="BB31" s="66" t="n">
        <f aca="false">BB29+BB30</f>
        <v>811.594085046652</v>
      </c>
      <c r="BC31" s="66" t="n">
        <f aca="false">BC29+BC30</f>
        <v>818.32084981512</v>
      </c>
      <c r="BD31" s="66" t="n">
        <f aca="false">BD29+BD30</f>
        <v>825.089539335959</v>
      </c>
      <c r="BE31" s="66" t="n">
        <f aca="false">BE29+BE30</f>
        <v>831.900380701574</v>
      </c>
      <c r="BF31" s="66" t="n">
        <f aca="false">BF29+BF30</f>
        <v>838.753602234462</v>
      </c>
      <c r="BG31" s="66" t="n">
        <f aca="false">BG29+BG30</f>
        <v>845.64943349386</v>
      </c>
      <c r="BH31" s="66" t="n">
        <f aca="false">BH29+BH30</f>
        <v>852.588105282454</v>
      </c>
      <c r="BI31" s="66" t="n">
        <f aca="false">BI29+BI30</f>
        <v>859.56984965311</v>
      </c>
      <c r="BJ31" s="66" t="n">
        <f aca="false">BJ29+BJ30</f>
        <v>866.594899915646</v>
      </c>
    </row>
    <row r="32" customFormat="false" ht="15" hidden="false" customHeight="false" outlineLevel="0" collapsed="false">
      <c r="A32" s="112" t="s">
        <v>422</v>
      </c>
      <c r="C32" s="65" t="n">
        <f aca="false">C31</f>
        <v>-795.097736625515</v>
      </c>
      <c r="D32" s="65" t="n">
        <f aca="false">C32+D31</f>
        <v>-1585.21959081864</v>
      </c>
      <c r="E32" s="65" t="n">
        <f aca="false">D32+E31</f>
        <v>-2370.33373376832</v>
      </c>
      <c r="F32" s="65" t="n">
        <f aca="false">E32+F31</f>
        <v>-3150.40816425745</v>
      </c>
      <c r="G32" s="65" t="n">
        <f aca="false">F32+G31</f>
        <v>-3925.41070772899</v>
      </c>
      <c r="H32" s="65" t="n">
        <f aca="false">G32+H31</f>
        <v>-4695.30901534706</v>
      </c>
      <c r="I32" s="65" t="n">
        <f aca="false">H32+I31</f>
        <v>-5460.07056305292</v>
      </c>
      <c r="J32" s="65" t="n">
        <f aca="false">I32+J31</f>
        <v>-6219.66265061582</v>
      </c>
      <c r="K32" s="65" t="n">
        <f aca="false">J32+K31</f>
        <v>-6974.0524006788</v>
      </c>
      <c r="L32" s="65" t="n">
        <f aca="false">K32+L31</f>
        <v>-7723.20675779918</v>
      </c>
      <c r="M32" s="65" t="n">
        <f aca="false">L32+M31</f>
        <v>-8467.09248748398</v>
      </c>
      <c r="N32" s="65" t="n">
        <f aca="false">M32+N31</f>
        <v>-9205.67617522005</v>
      </c>
      <c r="O32" s="65" t="n">
        <f aca="false">N32+O31</f>
        <v>-9625.60123167181</v>
      </c>
      <c r="P32" s="65" t="n">
        <f aca="false">O32+P31</f>
        <v>-10040.1838793552</v>
      </c>
      <c r="Q32" s="65" t="n">
        <f aca="false">P32+Q31</f>
        <v>-10449.3901578246</v>
      </c>
      <c r="R32" s="65" t="n">
        <f aca="false">Q32+R31</f>
        <v>-10853.1859226823</v>
      </c>
      <c r="S32" s="65" t="n">
        <f aca="false">R32+S31</f>
        <v>-11251.5368445815</v>
      </c>
      <c r="T32" s="65" t="n">
        <f aca="false">S32+T31</f>
        <v>-11644.4084082249</v>
      </c>
      <c r="U32" s="65" t="n">
        <f aca="false">T32+U31</f>
        <v>-12031.7659113573</v>
      </c>
      <c r="V32" s="65" t="n">
        <f aca="false">U32+V31</f>
        <v>-12413.5744637529</v>
      </c>
      <c r="W32" s="65" t="n">
        <f aca="false">V32+W31</f>
        <v>-12789.7989861973</v>
      </c>
      <c r="X32" s="65" t="n">
        <f aca="false">W32+X31</f>
        <v>-13160.4042094636</v>
      </c>
      <c r="Y32" s="65" t="n">
        <f aca="false">X32+Y31</f>
        <v>-13525.3546732832</v>
      </c>
      <c r="Z32" s="65" t="n">
        <f aca="false">Y32+Z31</f>
        <v>-13884.6147253113</v>
      </c>
      <c r="AA32" s="65" t="n">
        <f aca="false">Z32+AA31</f>
        <v>-13915.4258364439</v>
      </c>
      <c r="AB32" s="65" t="n">
        <f aca="false">AA32+AB31</f>
        <v>-13940.5024670564</v>
      </c>
      <c r="AC32" s="65" t="n">
        <f aca="false">AB32+AC31</f>
        <v>-13959.8083823092</v>
      </c>
      <c r="AD32" s="65" t="n">
        <f aca="false">AC32+AD31</f>
        <v>-13973.307151091</v>
      </c>
      <c r="AE32" s="65" t="n">
        <f aca="false">AD32+AE31</f>
        <v>-13980.9621449551</v>
      </c>
      <c r="AF32" s="65" t="n">
        <f aca="false">AE32+AF31</f>
        <v>-13982.7365370508</v>
      </c>
      <c r="AG32" s="65" t="n">
        <f aca="false">AF32+AG31</f>
        <v>-13978.5933010487</v>
      </c>
      <c r="AH32" s="65" t="n">
        <f aca="false">AG32+AH31</f>
        <v>-13968.4952100598</v>
      </c>
      <c r="AI32" s="65" t="n">
        <f aca="false">AH32+AI31</f>
        <v>-13952.4048355499</v>
      </c>
      <c r="AJ32" s="65" t="n">
        <f aca="false">AI32+AJ31</f>
        <v>-13930.2845462465</v>
      </c>
      <c r="AK32" s="65" t="n">
        <f aca="false">AJ32+AK31</f>
        <v>-13902.0965070414</v>
      </c>
      <c r="AL32" s="65" t="n">
        <f aca="false">AK32+AL31</f>
        <v>-13867.8026778858</v>
      </c>
      <c r="AM32" s="65" t="n">
        <f aca="false">AL32+AM31</f>
        <v>-13494.9604485299</v>
      </c>
      <c r="AN32" s="65" t="n">
        <f aca="false">AM32+AN31</f>
        <v>-13115.9643807084</v>
      </c>
      <c r="AO32" s="65" t="n">
        <f aca="false">AN32+AO31</f>
        <v>-12730.7758128677</v>
      </c>
      <c r="AP32" s="65" t="n">
        <f aca="false">AO32+AP31</f>
        <v>-12339.3558740371</v>
      </c>
      <c r="AQ32" s="65" t="n">
        <f aca="false">AP32+AQ31</f>
        <v>-11941.6654826953</v>
      </c>
      <c r="AR32" s="65" t="n">
        <f aca="false">AQ32+AR31</f>
        <v>-11537.6653456292</v>
      </c>
      <c r="AS32" s="65" t="n">
        <f aca="false">AR32+AS31</f>
        <v>-11127.3159567872</v>
      </c>
      <c r="AT32" s="65" t="n">
        <f aca="false">AS32+AT31</f>
        <v>-10710.5775961271</v>
      </c>
      <c r="AU32" s="65" t="n">
        <f aca="false">AT32+AU31</f>
        <v>-10287.410328456</v>
      </c>
      <c r="AV32" s="65" t="n">
        <f aca="false">AU32+AV31</f>
        <v>-9857.77400226574</v>
      </c>
      <c r="AW32" s="65" t="n">
        <f aca="false">AV32+AW31</f>
        <v>-9421.62824856056</v>
      </c>
      <c r="AX32" s="65" t="n">
        <f aca="false">AW32+AX31</f>
        <v>-8978.93247967945</v>
      </c>
      <c r="AY32" s="65" t="n">
        <f aca="false">AX32+AY31</f>
        <v>-8187.26939303573</v>
      </c>
      <c r="AZ32" s="65" t="n">
        <f aca="false">AY32+AZ31</f>
        <v>-7389.00396552785</v>
      </c>
      <c r="BA32" s="65" t="n">
        <f aca="false">AZ32+BA31</f>
        <v>-6584.09494636624</v>
      </c>
      <c r="BB32" s="65" t="n">
        <f aca="false">BA32+BB31</f>
        <v>-5772.50086131959</v>
      </c>
      <c r="BC32" s="65" t="n">
        <f aca="false">BB32+BC31</f>
        <v>-4954.18001150447</v>
      </c>
      <c r="BD32" s="65" t="n">
        <f aca="false">BC32+BD31</f>
        <v>-4129.09047216851</v>
      </c>
      <c r="BE32" s="65" t="n">
        <f aca="false">BD32+BE31</f>
        <v>-3297.19009146694</v>
      </c>
      <c r="BF32" s="65" t="n">
        <f aca="false">BE32+BF31</f>
        <v>-2458.43648923248</v>
      </c>
      <c r="BG32" s="65" t="n">
        <f aca="false">BF32+BG31</f>
        <v>-1612.78705573862</v>
      </c>
      <c r="BH32" s="65" t="n">
        <f aca="false">BG32+BH31</f>
        <v>-760.198950456162</v>
      </c>
      <c r="BI32" s="65" t="n">
        <f aca="false">BH32+BI31</f>
        <v>99.3708991969479</v>
      </c>
      <c r="BJ32" s="65" t="n">
        <f aca="false">BI32+BJ31</f>
        <v>965.965799112594</v>
      </c>
    </row>
    <row r="33" customFormat="false" ht="15" hidden="false" customHeight="false" outlineLevel="0" collapsed="false">
      <c r="A33" s="112" t="s">
        <v>423</v>
      </c>
      <c r="C33" s="65" t="n">
        <f aca="false">MAX(0,C32)</f>
        <v>0</v>
      </c>
      <c r="D33" s="65" t="n">
        <f aca="false">MAX(C33,D32)</f>
        <v>0</v>
      </c>
      <c r="E33" s="65" t="n">
        <f aca="false">MAX(D33,E32)</f>
        <v>0</v>
      </c>
      <c r="F33" s="65" t="n">
        <f aca="false">MAX(E33,F32)</f>
        <v>0</v>
      </c>
      <c r="G33" s="65" t="n">
        <f aca="false">MAX(F33,G32)</f>
        <v>0</v>
      </c>
      <c r="H33" s="65" t="n">
        <f aca="false">MAX(G33,H32)</f>
        <v>0</v>
      </c>
      <c r="I33" s="65" t="n">
        <f aca="false">MAX(H33,I32)</f>
        <v>0</v>
      </c>
      <c r="J33" s="65" t="n">
        <f aca="false">MAX(I33,J32)</f>
        <v>0</v>
      </c>
      <c r="K33" s="65" t="n">
        <f aca="false">MAX(J33,K32)</f>
        <v>0</v>
      </c>
      <c r="L33" s="65" t="n">
        <f aca="false">MAX(K33,L32)</f>
        <v>0</v>
      </c>
      <c r="M33" s="65" t="n">
        <f aca="false">MAX(L33,M32)</f>
        <v>0</v>
      </c>
      <c r="N33" s="65" t="n">
        <f aca="false">MAX(M33,N32)</f>
        <v>0</v>
      </c>
      <c r="O33" s="65" t="n">
        <f aca="false">MAX(N33,O32)</f>
        <v>0</v>
      </c>
      <c r="P33" s="65" t="n">
        <f aca="false">MAX(O33,P32)</f>
        <v>0</v>
      </c>
      <c r="Q33" s="65" t="n">
        <f aca="false">MAX(P33,Q32)</f>
        <v>0</v>
      </c>
      <c r="R33" s="65" t="n">
        <f aca="false">MAX(Q33,R32)</f>
        <v>0</v>
      </c>
      <c r="S33" s="65" t="n">
        <f aca="false">MAX(R33,S32)</f>
        <v>0</v>
      </c>
      <c r="T33" s="65" t="n">
        <f aca="false">MAX(S33,T32)</f>
        <v>0</v>
      </c>
      <c r="U33" s="65" t="n">
        <f aca="false">MAX(T33,U32)</f>
        <v>0</v>
      </c>
      <c r="V33" s="65" t="n">
        <f aca="false">MAX(U33,V32)</f>
        <v>0</v>
      </c>
      <c r="W33" s="65" t="n">
        <f aca="false">MAX(V33,W32)</f>
        <v>0</v>
      </c>
      <c r="X33" s="65" t="n">
        <f aca="false">MAX(W33,X32)</f>
        <v>0</v>
      </c>
      <c r="Y33" s="65" t="n">
        <f aca="false">MAX(X33,Y32)</f>
        <v>0</v>
      </c>
      <c r="Z33" s="65" t="n">
        <f aca="false">MAX(Y33,Z32)</f>
        <v>0</v>
      </c>
      <c r="AA33" s="65" t="n">
        <f aca="false">MAX(Z33,AA32)</f>
        <v>0</v>
      </c>
      <c r="AB33" s="65" t="n">
        <f aca="false">MAX(AA33,AB32)</f>
        <v>0</v>
      </c>
      <c r="AC33" s="65" t="n">
        <f aca="false">MAX(AB33,AC32)</f>
        <v>0</v>
      </c>
      <c r="AD33" s="65" t="n">
        <f aca="false">MAX(AC33,AD32)</f>
        <v>0</v>
      </c>
      <c r="AE33" s="65" t="n">
        <f aca="false">MAX(AD33,AE32)</f>
        <v>0</v>
      </c>
      <c r="AF33" s="65" t="n">
        <f aca="false">MAX(AE33,AF32)</f>
        <v>0</v>
      </c>
      <c r="AG33" s="65" t="n">
        <f aca="false">MAX(AF33,AG32)</f>
        <v>0</v>
      </c>
      <c r="AH33" s="65" t="n">
        <f aca="false">MAX(AG33,AH32)</f>
        <v>0</v>
      </c>
      <c r="AI33" s="65" t="n">
        <f aca="false">MAX(AH33,AI32)</f>
        <v>0</v>
      </c>
      <c r="AJ33" s="65" t="n">
        <f aca="false">MAX(AI33,AJ32)</f>
        <v>0</v>
      </c>
      <c r="AK33" s="65" t="n">
        <f aca="false">MAX(AJ33,AK32)</f>
        <v>0</v>
      </c>
      <c r="AL33" s="65" t="n">
        <f aca="false">MAX(AK33,AL32)</f>
        <v>0</v>
      </c>
      <c r="AM33" s="65" t="n">
        <f aca="false">MAX(AL33,AM32)</f>
        <v>0</v>
      </c>
      <c r="AN33" s="65" t="n">
        <f aca="false">MAX(AM33,AN32)</f>
        <v>0</v>
      </c>
      <c r="AO33" s="65" t="n">
        <f aca="false">MAX(AN33,AO32)</f>
        <v>0</v>
      </c>
      <c r="AP33" s="65" t="n">
        <f aca="false">MAX(AO33,AP32)</f>
        <v>0</v>
      </c>
      <c r="AQ33" s="65" t="n">
        <f aca="false">MAX(AP33,AQ32)</f>
        <v>0</v>
      </c>
      <c r="AR33" s="65" t="n">
        <f aca="false">MAX(AQ33,AR32)</f>
        <v>0</v>
      </c>
      <c r="AS33" s="65" t="n">
        <f aca="false">MAX(AR33,AS32)</f>
        <v>0</v>
      </c>
      <c r="AT33" s="65" t="n">
        <f aca="false">MAX(AS33,AT32)</f>
        <v>0</v>
      </c>
      <c r="AU33" s="65" t="n">
        <f aca="false">MAX(AT33,AU32)</f>
        <v>0</v>
      </c>
      <c r="AV33" s="65" t="n">
        <f aca="false">MAX(AU33,AV32)</f>
        <v>0</v>
      </c>
      <c r="AW33" s="65" t="n">
        <f aca="false">MAX(AV33,AW32)</f>
        <v>0</v>
      </c>
      <c r="AX33" s="65" t="n">
        <f aca="false">MAX(AW33,AX32)</f>
        <v>0</v>
      </c>
      <c r="AY33" s="65" t="n">
        <f aca="false">MAX(AX33,AY32)</f>
        <v>0</v>
      </c>
      <c r="AZ33" s="65" t="n">
        <f aca="false">MAX(AY33,AZ32)</f>
        <v>0</v>
      </c>
      <c r="BA33" s="65" t="n">
        <f aca="false">MAX(AZ33,BA32)</f>
        <v>0</v>
      </c>
      <c r="BB33" s="65" t="n">
        <f aca="false">MAX(BA33,BB32)</f>
        <v>0</v>
      </c>
      <c r="BC33" s="65" t="n">
        <f aca="false">MAX(BB33,BC32)</f>
        <v>0</v>
      </c>
      <c r="BD33" s="65" t="n">
        <f aca="false">MAX(BC33,BD32)</f>
        <v>0</v>
      </c>
      <c r="BE33" s="65" t="n">
        <f aca="false">MAX(BD33,BE32)</f>
        <v>0</v>
      </c>
      <c r="BF33" s="65" t="n">
        <f aca="false">MAX(BE33,BF32)</f>
        <v>0</v>
      </c>
      <c r="BG33" s="65" t="n">
        <f aca="false">MAX(BF33,BG32)</f>
        <v>0</v>
      </c>
      <c r="BH33" s="65" t="n">
        <f aca="false">MAX(BG33,BH32)</f>
        <v>0</v>
      </c>
      <c r="BI33" s="65" t="n">
        <f aca="false">MAX(BH33,BI32)</f>
        <v>99.3708991969479</v>
      </c>
      <c r="BJ33" s="65" t="n">
        <f aca="false">MAX(BI33,BJ32)</f>
        <v>965.965799112594</v>
      </c>
    </row>
    <row r="34" customFormat="false" ht="15" hidden="false" customHeight="false" outlineLevel="0" collapsed="false">
      <c r="A34" s="6" t="s">
        <v>82</v>
      </c>
      <c r="C34" s="65" t="n">
        <f aca="false">-C33*Inputs!$E$46</f>
        <v>-0</v>
      </c>
      <c r="D34" s="65" t="n">
        <f aca="false">-(D33-C33)*Inputs!$E$46</f>
        <v>-0</v>
      </c>
      <c r="E34" s="65" t="n">
        <f aca="false">-(E33-D33)*Inputs!$E$46</f>
        <v>-0</v>
      </c>
      <c r="F34" s="65" t="n">
        <f aca="false">-(F33-E33)*Inputs!$E$46</f>
        <v>-0</v>
      </c>
      <c r="G34" s="65" t="n">
        <f aca="false">-(G33-F33)*Inputs!$E$46</f>
        <v>-0</v>
      </c>
      <c r="H34" s="65" t="n">
        <f aca="false">-(H33-G33)*Inputs!$E$46</f>
        <v>-0</v>
      </c>
      <c r="I34" s="65" t="n">
        <f aca="false">-(I33-H33)*Inputs!$E$46</f>
        <v>-0</v>
      </c>
      <c r="J34" s="65" t="n">
        <f aca="false">-(J33-I33)*Inputs!$E$46</f>
        <v>-0</v>
      </c>
      <c r="K34" s="65" t="n">
        <f aca="false">-(K33-J33)*Inputs!$E$46</f>
        <v>-0</v>
      </c>
      <c r="L34" s="65" t="n">
        <f aca="false">-(L33-K33)*Inputs!$E$46</f>
        <v>-0</v>
      </c>
      <c r="M34" s="65" t="n">
        <f aca="false">-(M33-L33)*Inputs!$E$46</f>
        <v>-0</v>
      </c>
      <c r="N34" s="65" t="n">
        <f aca="false">-(N33-M33)*Inputs!$E$46</f>
        <v>-0</v>
      </c>
      <c r="O34" s="65" t="n">
        <f aca="false">-(O33-N33)*Inputs!$E$46</f>
        <v>-0</v>
      </c>
      <c r="P34" s="65" t="n">
        <f aca="false">-(P33-O33)*Inputs!$E$46</f>
        <v>-0</v>
      </c>
      <c r="Q34" s="65" t="n">
        <f aca="false">-(Q33-P33)*Inputs!$E$46</f>
        <v>-0</v>
      </c>
      <c r="R34" s="65" t="n">
        <f aca="false">-(R33-Q33)*Inputs!$E$46</f>
        <v>-0</v>
      </c>
      <c r="S34" s="65" t="n">
        <f aca="false">-(S33-R33)*Inputs!$E$46</f>
        <v>-0</v>
      </c>
      <c r="T34" s="65" t="n">
        <f aca="false">-(T33-S33)*Inputs!$E$46</f>
        <v>-0</v>
      </c>
      <c r="U34" s="65" t="n">
        <f aca="false">-(U33-T33)*Inputs!$E$46</f>
        <v>-0</v>
      </c>
      <c r="V34" s="65" t="n">
        <f aca="false">-(V33-U33)*Inputs!$E$46</f>
        <v>-0</v>
      </c>
      <c r="W34" s="65" t="n">
        <f aca="false">-(W33-V33)*Inputs!$E$46</f>
        <v>-0</v>
      </c>
      <c r="X34" s="65" t="n">
        <f aca="false">-(X33-W33)*Inputs!$E$46</f>
        <v>-0</v>
      </c>
      <c r="Y34" s="65" t="n">
        <f aca="false">-(Y33-X33)*Inputs!$E$46</f>
        <v>-0</v>
      </c>
      <c r="Z34" s="65" t="n">
        <f aca="false">-(Z33-Y33)*Inputs!$E$46</f>
        <v>-0</v>
      </c>
      <c r="AA34" s="65" t="n">
        <f aca="false">-(AA33-Z33)*Inputs!$E$46</f>
        <v>-0</v>
      </c>
      <c r="AB34" s="65" t="n">
        <f aca="false">-(AB33-AA33)*Inputs!$E$46</f>
        <v>-0</v>
      </c>
      <c r="AC34" s="65" t="n">
        <f aca="false">-(AC33-AB33)*Inputs!$E$46</f>
        <v>-0</v>
      </c>
      <c r="AD34" s="65" t="n">
        <f aca="false">-(AD33-AC33)*Inputs!$E$46</f>
        <v>-0</v>
      </c>
      <c r="AE34" s="65" t="n">
        <f aca="false">-(AE33-AD33)*Inputs!$E$46</f>
        <v>-0</v>
      </c>
      <c r="AF34" s="65" t="n">
        <f aca="false">-(AF33-AE33)*Inputs!$E$46</f>
        <v>-0</v>
      </c>
      <c r="AG34" s="65" t="n">
        <f aca="false">-(AG33-AF33)*Inputs!$E$46</f>
        <v>-0</v>
      </c>
      <c r="AH34" s="65" t="n">
        <f aca="false">-(AH33-AG33)*Inputs!$E$46</f>
        <v>-0</v>
      </c>
      <c r="AI34" s="65" t="n">
        <f aca="false">-(AI33-AH33)*Inputs!$E$46</f>
        <v>-0</v>
      </c>
      <c r="AJ34" s="65" t="n">
        <f aca="false">-(AJ33-AI33)*Inputs!$E$46</f>
        <v>-0</v>
      </c>
      <c r="AK34" s="65" t="n">
        <f aca="false">-(AK33-AJ33)*Inputs!$E$46</f>
        <v>-0</v>
      </c>
      <c r="AL34" s="65" t="n">
        <f aca="false">-(AL33-AK33)*Inputs!$E$46</f>
        <v>-0</v>
      </c>
      <c r="AM34" s="65" t="n">
        <f aca="false">-(AM33-AL33)*Inputs!$E$46</f>
        <v>-0</v>
      </c>
      <c r="AN34" s="65" t="n">
        <f aca="false">-(AN33-AM33)*Inputs!$E$46</f>
        <v>-0</v>
      </c>
      <c r="AO34" s="65" t="n">
        <f aca="false">-(AO33-AN33)*Inputs!$E$46</f>
        <v>-0</v>
      </c>
      <c r="AP34" s="65" t="n">
        <f aca="false">-(AP33-AO33)*Inputs!$E$46</f>
        <v>-0</v>
      </c>
      <c r="AQ34" s="65" t="n">
        <f aca="false">-(AQ33-AP33)*Inputs!$E$46</f>
        <v>-0</v>
      </c>
      <c r="AR34" s="65" t="n">
        <f aca="false">-(AR33-AQ33)*Inputs!$E$46</f>
        <v>-0</v>
      </c>
      <c r="AS34" s="65" t="n">
        <f aca="false">-(AS33-AR33)*Inputs!$E$46</f>
        <v>-0</v>
      </c>
      <c r="AT34" s="65" t="n">
        <f aca="false">-(AT33-AS33)*Inputs!$E$46</f>
        <v>-0</v>
      </c>
      <c r="AU34" s="65" t="n">
        <f aca="false">-(AU33-AT33)*Inputs!$E$46</f>
        <v>-0</v>
      </c>
      <c r="AV34" s="65" t="n">
        <f aca="false">-(AV33-AU33)*Inputs!$E$46</f>
        <v>-0</v>
      </c>
      <c r="AW34" s="65" t="n">
        <f aca="false">-(AW33-AV33)*Inputs!$E$46</f>
        <v>-0</v>
      </c>
      <c r="AX34" s="65" t="n">
        <f aca="false">-(AX33-AW33)*Inputs!$E$46</f>
        <v>-0</v>
      </c>
      <c r="AY34" s="65" t="n">
        <f aca="false">-(AY33-AX33)*Inputs!$E$46</f>
        <v>-0</v>
      </c>
      <c r="AZ34" s="65" t="n">
        <f aca="false">-(AZ33-AY33)*Inputs!$E$46</f>
        <v>-0</v>
      </c>
      <c r="BA34" s="65" t="n">
        <f aca="false">-(BA33-AZ33)*Inputs!$E$46</f>
        <v>-0</v>
      </c>
      <c r="BB34" s="65" t="n">
        <f aca="false">-(BB33-BA33)*Inputs!$E$46</f>
        <v>-0</v>
      </c>
      <c r="BC34" s="65" t="n">
        <f aca="false">-(BC33-BB33)*Inputs!$E$46</f>
        <v>-0</v>
      </c>
      <c r="BD34" s="65" t="n">
        <f aca="false">-(BD33-BC33)*Inputs!$E$46</f>
        <v>-0</v>
      </c>
      <c r="BE34" s="65" t="n">
        <f aca="false">-(BE33-BD33)*Inputs!$E$46</f>
        <v>-0</v>
      </c>
      <c r="BF34" s="65" t="n">
        <f aca="false">-(BF33-BE33)*Inputs!$E$46</f>
        <v>-0</v>
      </c>
      <c r="BG34" s="65" t="n">
        <f aca="false">-(BG33-BF33)*Inputs!$E$46</f>
        <v>-0</v>
      </c>
      <c r="BH34" s="65" t="n">
        <f aca="false">-(BH33-BG33)*Inputs!$E$46</f>
        <v>-0</v>
      </c>
      <c r="BI34" s="65" t="n">
        <f aca="false">-(BI33-BH33)*Inputs!$E$46</f>
        <v>-20.8678888313591</v>
      </c>
      <c r="BJ34" s="65" t="n">
        <f aca="false">-(BJ33-BI33)*Inputs!$E$46</f>
        <v>-181.984928982286</v>
      </c>
    </row>
    <row r="35" customFormat="false" ht="15" hidden="false" customHeight="false" outlineLevel="0" collapsed="false">
      <c r="A35" s="108" t="s">
        <v>51</v>
      </c>
      <c r="C35" s="66" t="n">
        <f aca="false">C31+C34</f>
        <v>-795.097736625515</v>
      </c>
      <c r="D35" s="66" t="n">
        <f aca="false">D31+D34</f>
        <v>-790.121854193122</v>
      </c>
      <c r="E35" s="66" t="n">
        <f aca="false">E31+E34</f>
        <v>-785.114142949681</v>
      </c>
      <c r="F35" s="66" t="n">
        <f aca="false">F31+F34</f>
        <v>-780.07443048913</v>
      </c>
      <c r="G35" s="66" t="n">
        <f aca="false">G31+G34</f>
        <v>-775.002543471544</v>
      </c>
      <c r="H35" s="66" t="n">
        <f aca="false">H31+H34</f>
        <v>-769.898307618073</v>
      </c>
      <c r="I35" s="66" t="n">
        <f aca="false">I31+I34</f>
        <v>-764.761547705854</v>
      </c>
      <c r="J35" s="66" t="n">
        <f aca="false">J31+J34</f>
        <v>-759.592087562905</v>
      </c>
      <c r="K35" s="66" t="n">
        <f aca="false">K31+K34</f>
        <v>-754.389750062974</v>
      </c>
      <c r="L35" s="66" t="n">
        <f aca="false">L31+L34</f>
        <v>-749.154357120377</v>
      </c>
      <c r="M35" s="66" t="n">
        <f aca="false">M31+M34</f>
        <v>-743.8857296848</v>
      </c>
      <c r="N35" s="66" t="n">
        <f aca="false">N31+N34</f>
        <v>-738.583687736074</v>
      </c>
      <c r="O35" s="66" t="n">
        <f aca="false">O31+O34</f>
        <v>-419.925056451759</v>
      </c>
      <c r="P35" s="66" t="n">
        <f aca="false">P31+P34</f>
        <v>-414.582647683344</v>
      </c>
      <c r="Q35" s="66" t="n">
        <f aca="false">Q31+Q34</f>
        <v>-409.206278469456</v>
      </c>
      <c r="R35" s="66" t="n">
        <f aca="false">R31+R34</f>
        <v>-403.795764857683</v>
      </c>
      <c r="S35" s="66" t="n">
        <f aca="false">S31+S34</f>
        <v>-398.350921899203</v>
      </c>
      <c r="T35" s="66" t="n">
        <f aca="false">T31+T34</f>
        <v>-392.871563643385</v>
      </c>
      <c r="U35" s="66" t="n">
        <f aca="false">U31+U34</f>
        <v>-387.357503132375</v>
      </c>
      <c r="V35" s="66" t="n">
        <f aca="false">V31+V34</f>
        <v>-381.808552395621</v>
      </c>
      <c r="W35" s="66" t="n">
        <f aca="false">W31+W34</f>
        <v>-376.224522444397</v>
      </c>
      <c r="X35" s="66" t="n">
        <f aca="false">X31+X34</f>
        <v>-370.605223266295</v>
      </c>
      <c r="Y35" s="66" t="n">
        <f aca="false">Y31+Y34</f>
        <v>-364.950463819669</v>
      </c>
      <c r="Z35" s="66" t="n">
        <f aca="false">Z31+Z34</f>
        <v>-359.260052028061</v>
      </c>
      <c r="AA35" s="66" t="n">
        <f aca="false">AA31+AA34</f>
        <v>-30.8111111326316</v>
      </c>
      <c r="AB35" s="66" t="n">
        <f aca="false">AB31+AB34</f>
        <v>-25.076630612436</v>
      </c>
      <c r="AC35" s="66" t="n">
        <f aca="false">AC31+AC34</f>
        <v>-19.3059152528394</v>
      </c>
      <c r="AD35" s="66" t="n">
        <f aca="false">AD31+AD34</f>
        <v>-13.4987687817975</v>
      </c>
      <c r="AE35" s="66" t="n">
        <f aca="false">AE31+AE34</f>
        <v>-7.65499386412012</v>
      </c>
      <c r="AF35" s="66" t="n">
        <f aca="false">AF31+AF34</f>
        <v>-1.77439209572185</v>
      </c>
      <c r="AG35" s="66" t="n">
        <f aca="false">AG31+AG34</f>
        <v>4.14323600216994</v>
      </c>
      <c r="AH35" s="66" t="n">
        <f aca="false">AH31+AH34</f>
        <v>10.0980909888422</v>
      </c>
      <c r="AI35" s="66" t="n">
        <f aca="false">AI31+AI34</f>
        <v>16.0903745099413</v>
      </c>
      <c r="AJ35" s="66" t="n">
        <f aca="false">AJ31+AJ34</f>
        <v>22.1202893033624</v>
      </c>
      <c r="AK35" s="66" t="n">
        <f aca="false">AK31+AK34</f>
        <v>28.1880392051635</v>
      </c>
      <c r="AL35" s="66" t="n">
        <f aca="false">AL31+AL34</f>
        <v>34.2938291555147</v>
      </c>
      <c r="AM35" s="66" t="n">
        <f aca="false">AM31+AM34</f>
        <v>372.842229355915</v>
      </c>
      <c r="AN35" s="66" t="n">
        <f aca="false">AN31+AN34</f>
        <v>378.996067821496</v>
      </c>
      <c r="AO35" s="66" t="n">
        <f aca="false">AO31+AO34</f>
        <v>385.188567840782</v>
      </c>
      <c r="AP35" s="66" t="n">
        <f aca="false">AP31+AP34</f>
        <v>391.419938830517</v>
      </c>
      <c r="AQ35" s="66" t="n">
        <f aca="false">AQ31+AQ34</f>
        <v>397.690391341794</v>
      </c>
      <c r="AR35" s="66" t="n">
        <f aca="false">AR31+AR34</f>
        <v>404.000137066188</v>
      </c>
      <c r="AS35" s="66" t="n">
        <f aca="false">AS31+AS34</f>
        <v>410.349388841934</v>
      </c>
      <c r="AT35" s="66" t="n">
        <f aca="false">AT31+AT34</f>
        <v>416.738360660146</v>
      </c>
      <c r="AU35" s="66" t="n">
        <f aca="false">AU31+AU34</f>
        <v>423.167267671054</v>
      </c>
      <c r="AV35" s="66" t="n">
        <f aca="false">AV31+AV34</f>
        <v>429.636326190284</v>
      </c>
      <c r="AW35" s="66" t="n">
        <f aca="false">AW31+AW34</f>
        <v>436.145753705176</v>
      </c>
      <c r="AX35" s="66" t="n">
        <f aca="false">AX31+AX34</f>
        <v>442.695768881117</v>
      </c>
      <c r="AY35" s="66" t="n">
        <f aca="false">AY31+AY34</f>
        <v>791.663086643718</v>
      </c>
      <c r="AZ35" s="66" t="n">
        <f aca="false">AZ31+AZ34</f>
        <v>798.265427507883</v>
      </c>
      <c r="BA35" s="66" t="n">
        <f aca="false">BA31+BA34</f>
        <v>804.909019161602</v>
      </c>
      <c r="BB35" s="66" t="n">
        <f aca="false">BB31+BB34</f>
        <v>811.594085046652</v>
      </c>
      <c r="BC35" s="66" t="n">
        <f aca="false">BC31+BC34</f>
        <v>818.32084981512</v>
      </c>
      <c r="BD35" s="66" t="n">
        <f aca="false">BD31+BD34</f>
        <v>825.089539335959</v>
      </c>
      <c r="BE35" s="66" t="n">
        <f aca="false">BE31+BE34</f>
        <v>831.900380701574</v>
      </c>
      <c r="BF35" s="66" t="n">
        <f aca="false">BF31+BF34</f>
        <v>838.753602234462</v>
      </c>
      <c r="BG35" s="66" t="n">
        <f aca="false">BG31+BG34</f>
        <v>845.64943349386</v>
      </c>
      <c r="BH35" s="66" t="n">
        <f aca="false">BH31+BH34</f>
        <v>852.588105282454</v>
      </c>
      <c r="BI35" s="66" t="n">
        <f aca="false">BI31+BI34</f>
        <v>838.70196082175</v>
      </c>
      <c r="BJ35" s="66" t="n">
        <f aca="false">BJ31+BJ34</f>
        <v>684.609970933361</v>
      </c>
    </row>
    <row r="37" customFormat="false" ht="15.75" hidden="false" customHeight="true" outlineLevel="0" collapsed="false">
      <c r="A37" s="7" t="s">
        <v>424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6" t="s">
        <v>425</v>
      </c>
      <c r="C38" s="65" t="n">
        <f aca="false">IF(C$4=1,Inputs!$E$7*(1+Inputs!$E$9),0)</f>
        <v>1905500</v>
      </c>
      <c r="D38" s="65" t="n">
        <f aca="false">IF(D$4=1,Inputs!$E$7*(1+Inputs!$E$9),0)</f>
        <v>0</v>
      </c>
      <c r="E38" s="65" t="n">
        <f aca="false">IF(E$4=1,Inputs!$E$7*(1+Inputs!$E$9),0)</f>
        <v>0</v>
      </c>
      <c r="F38" s="65" t="n">
        <f aca="false">IF(F$4=1,Inputs!$E$7*(1+Inputs!$E$9),0)</f>
        <v>0</v>
      </c>
      <c r="G38" s="65" t="n">
        <f aca="false">IF(G$4=1,Inputs!$E$7*(1+Inputs!$E$9),0)</f>
        <v>0</v>
      </c>
      <c r="H38" s="65" t="n">
        <f aca="false">IF(H$4=1,Inputs!$E$7*(1+Inputs!$E$9),0)</f>
        <v>0</v>
      </c>
      <c r="I38" s="65" t="n">
        <f aca="false">IF(I$4=1,Inputs!$E$7*(1+Inputs!$E$9),0)</f>
        <v>0</v>
      </c>
      <c r="J38" s="65" t="n">
        <f aca="false">IF(J$4=1,Inputs!$E$7*(1+Inputs!$E$9),0)</f>
        <v>0</v>
      </c>
      <c r="K38" s="65" t="n">
        <f aca="false">IF(K$4=1,Inputs!$E$7*(1+Inputs!$E$9),0)</f>
        <v>0</v>
      </c>
      <c r="L38" s="65" t="n">
        <f aca="false">IF(L$4=1,Inputs!$E$7*(1+Inputs!$E$9),0)</f>
        <v>0</v>
      </c>
      <c r="M38" s="65" t="n">
        <f aca="false">IF(M$4=1,Inputs!$E$7*(1+Inputs!$E$9),0)</f>
        <v>0</v>
      </c>
      <c r="N38" s="65" t="n">
        <f aca="false">IF(N$4=1,Inputs!$E$7*(1+Inputs!$E$9),0)</f>
        <v>0</v>
      </c>
      <c r="O38" s="65" t="n">
        <f aca="false">IF(O$4=1,Inputs!$E$7*(1+Inputs!$E$9),0)</f>
        <v>0</v>
      </c>
      <c r="P38" s="65" t="n">
        <f aca="false">IF(P$4=1,Inputs!$E$7*(1+Inputs!$E$9),0)</f>
        <v>0</v>
      </c>
      <c r="Q38" s="65" t="n">
        <f aca="false">IF(Q$4=1,Inputs!$E$7*(1+Inputs!$E$9),0)</f>
        <v>0</v>
      </c>
      <c r="R38" s="65" t="n">
        <f aca="false">IF(R$4=1,Inputs!$E$7*(1+Inputs!$E$9),0)</f>
        <v>0</v>
      </c>
      <c r="S38" s="65" t="n">
        <f aca="false">IF(S$4=1,Inputs!$E$7*(1+Inputs!$E$9),0)</f>
        <v>0</v>
      </c>
      <c r="T38" s="65" t="n">
        <f aca="false">IF(T$4=1,Inputs!$E$7*(1+Inputs!$E$9),0)</f>
        <v>0</v>
      </c>
      <c r="U38" s="65" t="n">
        <f aca="false">IF(U$4=1,Inputs!$E$7*(1+Inputs!$E$9),0)</f>
        <v>0</v>
      </c>
      <c r="V38" s="65" t="n">
        <f aca="false">IF(V$4=1,Inputs!$E$7*(1+Inputs!$E$9),0)</f>
        <v>0</v>
      </c>
      <c r="W38" s="65" t="n">
        <f aca="false">IF(W$4=1,Inputs!$E$7*(1+Inputs!$E$9),0)</f>
        <v>0</v>
      </c>
      <c r="X38" s="65" t="n">
        <f aca="false">IF(X$4=1,Inputs!$E$7*(1+Inputs!$E$9),0)</f>
        <v>0</v>
      </c>
      <c r="Y38" s="65" t="n">
        <f aca="false">IF(Y$4=1,Inputs!$E$7*(1+Inputs!$E$9),0)</f>
        <v>0</v>
      </c>
      <c r="Z38" s="65" t="n">
        <f aca="false">IF(Z$4=1,Inputs!$E$7*(1+Inputs!$E$9),0)</f>
        <v>0</v>
      </c>
      <c r="AA38" s="65" t="n">
        <f aca="false">IF(AA$4=1,Inputs!$E$7*(1+Inputs!$E$9),0)</f>
        <v>0</v>
      </c>
      <c r="AB38" s="65" t="n">
        <f aca="false">IF(AB$4=1,Inputs!$E$7*(1+Inputs!$E$9),0)</f>
        <v>0</v>
      </c>
      <c r="AC38" s="65" t="n">
        <f aca="false">IF(AC$4=1,Inputs!$E$7*(1+Inputs!$E$9),0)</f>
        <v>0</v>
      </c>
      <c r="AD38" s="65" t="n">
        <f aca="false">IF(AD$4=1,Inputs!$E$7*(1+Inputs!$E$9),0)</f>
        <v>0</v>
      </c>
      <c r="AE38" s="65" t="n">
        <f aca="false">IF(AE$4=1,Inputs!$E$7*(1+Inputs!$E$9),0)</f>
        <v>0</v>
      </c>
      <c r="AF38" s="65" t="n">
        <f aca="false">IF(AF$4=1,Inputs!$E$7*(1+Inputs!$E$9),0)</f>
        <v>0</v>
      </c>
      <c r="AG38" s="65" t="n">
        <f aca="false">IF(AG$4=1,Inputs!$E$7*(1+Inputs!$E$9),0)</f>
        <v>0</v>
      </c>
      <c r="AH38" s="65" t="n">
        <f aca="false">IF(AH$4=1,Inputs!$E$7*(1+Inputs!$E$9),0)</f>
        <v>0</v>
      </c>
      <c r="AI38" s="65" t="n">
        <f aca="false">IF(AI$4=1,Inputs!$E$7*(1+Inputs!$E$9),0)</f>
        <v>0</v>
      </c>
      <c r="AJ38" s="65" t="n">
        <f aca="false">IF(AJ$4=1,Inputs!$E$7*(1+Inputs!$E$9),0)</f>
        <v>0</v>
      </c>
      <c r="AK38" s="65" t="n">
        <f aca="false">IF(AK$4=1,Inputs!$E$7*(1+Inputs!$E$9),0)</f>
        <v>0</v>
      </c>
      <c r="AL38" s="65" t="n">
        <f aca="false">IF(AL$4=1,Inputs!$E$7*(1+Inputs!$E$9),0)</f>
        <v>0</v>
      </c>
      <c r="AM38" s="65" t="n">
        <f aca="false">IF(AM$4=1,Inputs!$E$7*(1+Inputs!$E$9),0)</f>
        <v>0</v>
      </c>
      <c r="AN38" s="65" t="n">
        <f aca="false">IF(AN$4=1,Inputs!$E$7*(1+Inputs!$E$9),0)</f>
        <v>0</v>
      </c>
      <c r="AO38" s="65" t="n">
        <f aca="false">IF(AO$4=1,Inputs!$E$7*(1+Inputs!$E$9),0)</f>
        <v>0</v>
      </c>
      <c r="AP38" s="65" t="n">
        <f aca="false">IF(AP$4=1,Inputs!$E$7*(1+Inputs!$E$9),0)</f>
        <v>0</v>
      </c>
      <c r="AQ38" s="65" t="n">
        <f aca="false">IF(AQ$4=1,Inputs!$E$7*(1+Inputs!$E$9),0)</f>
        <v>0</v>
      </c>
      <c r="AR38" s="65" t="n">
        <f aca="false">IF(AR$4=1,Inputs!$E$7*(1+Inputs!$E$9),0)</f>
        <v>0</v>
      </c>
      <c r="AS38" s="65" t="n">
        <f aca="false">IF(AS$4=1,Inputs!$E$7*(1+Inputs!$E$9),0)</f>
        <v>0</v>
      </c>
      <c r="AT38" s="65" t="n">
        <f aca="false">IF(AT$4=1,Inputs!$E$7*(1+Inputs!$E$9),0)</f>
        <v>0</v>
      </c>
      <c r="AU38" s="65" t="n">
        <f aca="false">IF(AU$4=1,Inputs!$E$7*(1+Inputs!$E$9),0)</f>
        <v>0</v>
      </c>
      <c r="AV38" s="65" t="n">
        <f aca="false">IF(AV$4=1,Inputs!$E$7*(1+Inputs!$E$9),0)</f>
        <v>0</v>
      </c>
      <c r="AW38" s="65" t="n">
        <f aca="false">IF(AW$4=1,Inputs!$E$7*(1+Inputs!$E$9),0)</f>
        <v>0</v>
      </c>
      <c r="AX38" s="65" t="n">
        <f aca="false">IF(AX$4=1,Inputs!$E$7*(1+Inputs!$E$9),0)</f>
        <v>0</v>
      </c>
      <c r="AY38" s="65" t="n">
        <f aca="false">IF(AY$4=1,Inputs!$E$7*(1+Inputs!$E$9),0)</f>
        <v>0</v>
      </c>
      <c r="AZ38" s="65" t="n">
        <f aca="false">IF(AZ$4=1,Inputs!$E$7*(1+Inputs!$E$9),0)</f>
        <v>0</v>
      </c>
      <c r="BA38" s="65" t="n">
        <f aca="false">IF(BA$4=1,Inputs!$E$7*(1+Inputs!$E$9),0)</f>
        <v>0</v>
      </c>
      <c r="BB38" s="65" t="n">
        <f aca="false">IF(BB$4=1,Inputs!$E$7*(1+Inputs!$E$9),0)</f>
        <v>0</v>
      </c>
      <c r="BC38" s="65" t="n">
        <f aca="false">IF(BC$4=1,Inputs!$E$7*(1+Inputs!$E$9),0)</f>
        <v>0</v>
      </c>
      <c r="BD38" s="65" t="n">
        <f aca="false">IF(BD$4=1,Inputs!$E$7*(1+Inputs!$E$9),0)</f>
        <v>0</v>
      </c>
      <c r="BE38" s="65" t="n">
        <f aca="false">IF(BE$4=1,Inputs!$E$7*(1+Inputs!$E$9),0)</f>
        <v>0</v>
      </c>
      <c r="BF38" s="65" t="n">
        <f aca="false">IF(BF$4=1,Inputs!$E$7*(1+Inputs!$E$9),0)</f>
        <v>0</v>
      </c>
      <c r="BG38" s="65" t="n">
        <f aca="false">IF(BG$4=1,Inputs!$E$7*(1+Inputs!$E$9),0)</f>
        <v>0</v>
      </c>
      <c r="BH38" s="65" t="n">
        <f aca="false">IF(BH$4=1,Inputs!$E$7*(1+Inputs!$E$9),0)</f>
        <v>0</v>
      </c>
      <c r="BI38" s="65" t="n">
        <f aca="false">IF(BI$4=1,Inputs!$E$7*(1+Inputs!$E$9),0)</f>
        <v>0</v>
      </c>
      <c r="BJ38" s="65" t="n">
        <f aca="false">IF(BJ$4=1,Inputs!$E$7*(1+Inputs!$E$9),0)</f>
        <v>0</v>
      </c>
    </row>
    <row r="39" customFormat="false" ht="15" hidden="false" customHeight="false" outlineLevel="0" collapsed="false">
      <c r="A39" s="6" t="s">
        <v>426</v>
      </c>
      <c r="C39" s="65" t="n">
        <f aca="false">IF(C$4=1,Inputs!$E$7*Inputs!$E$8,0)</f>
        <v>370000</v>
      </c>
      <c r="D39" s="65" t="n">
        <f aca="false">IF(D$4=1,Inputs!$E$7*Inputs!$E$8,0)</f>
        <v>0</v>
      </c>
      <c r="E39" s="65" t="n">
        <f aca="false">IF(E$4=1,Inputs!$E$7*Inputs!$E$8,0)</f>
        <v>0</v>
      </c>
      <c r="F39" s="65" t="n">
        <f aca="false">IF(F$4=1,Inputs!$E$7*Inputs!$E$8,0)</f>
        <v>0</v>
      </c>
      <c r="G39" s="65" t="n">
        <f aca="false">IF(G$4=1,Inputs!$E$7*Inputs!$E$8,0)</f>
        <v>0</v>
      </c>
      <c r="H39" s="65" t="n">
        <f aca="false">IF(H$4=1,Inputs!$E$7*Inputs!$E$8,0)</f>
        <v>0</v>
      </c>
      <c r="I39" s="65" t="n">
        <f aca="false">IF(I$4=1,Inputs!$E$7*Inputs!$E$8,0)</f>
        <v>0</v>
      </c>
      <c r="J39" s="65" t="n">
        <f aca="false">IF(J$4=1,Inputs!$E$7*Inputs!$E$8,0)</f>
        <v>0</v>
      </c>
      <c r="K39" s="65" t="n">
        <f aca="false">IF(K$4=1,Inputs!$E$7*Inputs!$E$8,0)</f>
        <v>0</v>
      </c>
      <c r="L39" s="65" t="n">
        <f aca="false">IF(L$4=1,Inputs!$E$7*Inputs!$E$8,0)</f>
        <v>0</v>
      </c>
      <c r="M39" s="65" t="n">
        <f aca="false">IF(M$4=1,Inputs!$E$7*Inputs!$E$8,0)</f>
        <v>0</v>
      </c>
      <c r="N39" s="65" t="n">
        <f aca="false">IF(N$4=1,Inputs!$E$7*Inputs!$E$8,0)</f>
        <v>0</v>
      </c>
      <c r="O39" s="65" t="n">
        <f aca="false">IF(O$4=1,Inputs!$E$7*Inputs!$E$8,0)</f>
        <v>0</v>
      </c>
      <c r="P39" s="65" t="n">
        <f aca="false">IF(P$4=1,Inputs!$E$7*Inputs!$E$8,0)</f>
        <v>0</v>
      </c>
      <c r="Q39" s="65" t="n">
        <f aca="false">IF(Q$4=1,Inputs!$E$7*Inputs!$E$8,0)</f>
        <v>0</v>
      </c>
      <c r="R39" s="65" t="n">
        <f aca="false">IF(R$4=1,Inputs!$E$7*Inputs!$E$8,0)</f>
        <v>0</v>
      </c>
      <c r="S39" s="65" t="n">
        <f aca="false">IF(S$4=1,Inputs!$E$7*Inputs!$E$8,0)</f>
        <v>0</v>
      </c>
      <c r="T39" s="65" t="n">
        <f aca="false">IF(T$4=1,Inputs!$E$7*Inputs!$E$8,0)</f>
        <v>0</v>
      </c>
      <c r="U39" s="65" t="n">
        <f aca="false">IF(U$4=1,Inputs!$E$7*Inputs!$E$8,0)</f>
        <v>0</v>
      </c>
      <c r="V39" s="65" t="n">
        <f aca="false">IF(V$4=1,Inputs!$E$7*Inputs!$E$8,0)</f>
        <v>0</v>
      </c>
      <c r="W39" s="65" t="n">
        <f aca="false">IF(W$4=1,Inputs!$E$7*Inputs!$E$8,0)</f>
        <v>0</v>
      </c>
      <c r="X39" s="65" t="n">
        <f aca="false">IF(X$4=1,Inputs!$E$7*Inputs!$E$8,0)</f>
        <v>0</v>
      </c>
      <c r="Y39" s="65" t="n">
        <f aca="false">IF(Y$4=1,Inputs!$E$7*Inputs!$E$8,0)</f>
        <v>0</v>
      </c>
      <c r="Z39" s="65" t="n">
        <f aca="false">IF(Z$4=1,Inputs!$E$7*Inputs!$E$8,0)</f>
        <v>0</v>
      </c>
      <c r="AA39" s="65" t="n">
        <f aca="false">IF(AA$4=1,Inputs!$E$7*Inputs!$E$8,0)</f>
        <v>0</v>
      </c>
      <c r="AB39" s="65" t="n">
        <f aca="false">IF(AB$4=1,Inputs!$E$7*Inputs!$E$8,0)</f>
        <v>0</v>
      </c>
      <c r="AC39" s="65" t="n">
        <f aca="false">IF(AC$4=1,Inputs!$E$7*Inputs!$E$8,0)</f>
        <v>0</v>
      </c>
      <c r="AD39" s="65" t="n">
        <f aca="false">IF(AD$4=1,Inputs!$E$7*Inputs!$E$8,0)</f>
        <v>0</v>
      </c>
      <c r="AE39" s="65" t="n">
        <f aca="false">IF(AE$4=1,Inputs!$E$7*Inputs!$E$8,0)</f>
        <v>0</v>
      </c>
      <c r="AF39" s="65" t="n">
        <f aca="false">IF(AF$4=1,Inputs!$E$7*Inputs!$E$8,0)</f>
        <v>0</v>
      </c>
      <c r="AG39" s="65" t="n">
        <f aca="false">IF(AG$4=1,Inputs!$E$7*Inputs!$E$8,0)</f>
        <v>0</v>
      </c>
      <c r="AH39" s="65" t="n">
        <f aca="false">IF(AH$4=1,Inputs!$E$7*Inputs!$E$8,0)</f>
        <v>0</v>
      </c>
      <c r="AI39" s="65" t="n">
        <f aca="false">IF(AI$4=1,Inputs!$E$7*Inputs!$E$8,0)</f>
        <v>0</v>
      </c>
      <c r="AJ39" s="65" t="n">
        <f aca="false">IF(AJ$4=1,Inputs!$E$7*Inputs!$E$8,0)</f>
        <v>0</v>
      </c>
      <c r="AK39" s="65" t="n">
        <f aca="false">IF(AK$4=1,Inputs!$E$7*Inputs!$E$8,0)</f>
        <v>0</v>
      </c>
      <c r="AL39" s="65" t="n">
        <f aca="false">IF(AL$4=1,Inputs!$E$7*Inputs!$E$8,0)</f>
        <v>0</v>
      </c>
      <c r="AM39" s="65" t="n">
        <f aca="false">IF(AM$4=1,Inputs!$E$7*Inputs!$E$8,0)</f>
        <v>0</v>
      </c>
      <c r="AN39" s="65" t="n">
        <f aca="false">IF(AN$4=1,Inputs!$E$7*Inputs!$E$8,0)</f>
        <v>0</v>
      </c>
      <c r="AO39" s="65" t="n">
        <f aca="false">IF(AO$4=1,Inputs!$E$7*Inputs!$E$8,0)</f>
        <v>0</v>
      </c>
      <c r="AP39" s="65" t="n">
        <f aca="false">IF(AP$4=1,Inputs!$E$7*Inputs!$E$8,0)</f>
        <v>0</v>
      </c>
      <c r="AQ39" s="65" t="n">
        <f aca="false">IF(AQ$4=1,Inputs!$E$7*Inputs!$E$8,0)</f>
        <v>0</v>
      </c>
      <c r="AR39" s="65" t="n">
        <f aca="false">IF(AR$4=1,Inputs!$E$7*Inputs!$E$8,0)</f>
        <v>0</v>
      </c>
      <c r="AS39" s="65" t="n">
        <f aca="false">IF(AS$4=1,Inputs!$E$7*Inputs!$E$8,0)</f>
        <v>0</v>
      </c>
      <c r="AT39" s="65" t="n">
        <f aca="false">IF(AT$4=1,Inputs!$E$7*Inputs!$E$8,0)</f>
        <v>0</v>
      </c>
      <c r="AU39" s="65" t="n">
        <f aca="false">IF(AU$4=1,Inputs!$E$7*Inputs!$E$8,0)</f>
        <v>0</v>
      </c>
      <c r="AV39" s="65" t="n">
        <f aca="false">IF(AV$4=1,Inputs!$E$7*Inputs!$E$8,0)</f>
        <v>0</v>
      </c>
      <c r="AW39" s="65" t="n">
        <f aca="false">IF(AW$4=1,Inputs!$E$7*Inputs!$E$8,0)</f>
        <v>0</v>
      </c>
      <c r="AX39" s="65" t="n">
        <f aca="false">IF(AX$4=1,Inputs!$E$7*Inputs!$E$8,0)</f>
        <v>0</v>
      </c>
      <c r="AY39" s="65" t="n">
        <f aca="false">IF(AY$4=1,Inputs!$E$7*Inputs!$E$8,0)</f>
        <v>0</v>
      </c>
      <c r="AZ39" s="65" t="n">
        <f aca="false">IF(AZ$4=1,Inputs!$E$7*Inputs!$E$8,0)</f>
        <v>0</v>
      </c>
      <c r="BA39" s="65" t="n">
        <f aca="false">IF(BA$4=1,Inputs!$E$7*Inputs!$E$8,0)</f>
        <v>0</v>
      </c>
      <c r="BB39" s="65" t="n">
        <f aca="false">IF(BB$4=1,Inputs!$E$7*Inputs!$E$8,0)</f>
        <v>0</v>
      </c>
      <c r="BC39" s="65" t="n">
        <f aca="false">IF(BC$4=1,Inputs!$E$7*Inputs!$E$8,0)</f>
        <v>0</v>
      </c>
      <c r="BD39" s="65" t="n">
        <f aca="false">IF(BD$4=1,Inputs!$E$7*Inputs!$E$8,0)</f>
        <v>0</v>
      </c>
      <c r="BE39" s="65" t="n">
        <f aca="false">IF(BE$4=1,Inputs!$E$7*Inputs!$E$8,0)</f>
        <v>0</v>
      </c>
      <c r="BF39" s="65" t="n">
        <f aca="false">IF(BF$4=1,Inputs!$E$7*Inputs!$E$8,0)</f>
        <v>0</v>
      </c>
      <c r="BG39" s="65" t="n">
        <f aca="false">IF(BG$4=1,Inputs!$E$7*Inputs!$E$8,0)</f>
        <v>0</v>
      </c>
      <c r="BH39" s="65" t="n">
        <f aca="false">IF(BH$4=1,Inputs!$E$7*Inputs!$E$8,0)</f>
        <v>0</v>
      </c>
      <c r="BI39" s="65" t="n">
        <f aca="false">IF(BI$4=1,Inputs!$E$7*Inputs!$E$8,0)</f>
        <v>0</v>
      </c>
      <c r="BJ39" s="65" t="n">
        <f aca="false">IF(BJ$4=1,Inputs!$E$7*Inputs!$E$8,0)</f>
        <v>0</v>
      </c>
    </row>
    <row r="40" customFormat="false" ht="15" hidden="false" customHeight="false" outlineLevel="0" collapsed="false">
      <c r="A40" s="6" t="s">
        <v>427</v>
      </c>
      <c r="C40" s="65" t="n">
        <f aca="false">Inputs!$E$10*Inputs!$E$26/12*(1+Inputs!$E$25)^(C$5-1)*1</f>
        <v>291.666666666667</v>
      </c>
      <c r="D40" s="65" t="n">
        <f aca="false">Inputs!$E$10*Inputs!$E$26/12*(1+Inputs!$E$25)^(D$5-1)*1</f>
        <v>291.666666666667</v>
      </c>
      <c r="E40" s="65" t="n">
        <f aca="false">Inputs!$E$10*Inputs!$E$26/12*(1+Inputs!$E$25)^(E$5-1)*1</f>
        <v>291.666666666667</v>
      </c>
      <c r="F40" s="65" t="n">
        <f aca="false">Inputs!$E$10*Inputs!$E$26/12*(1+Inputs!$E$25)^(F$5-1)*1</f>
        <v>291.666666666667</v>
      </c>
      <c r="G40" s="65" t="n">
        <f aca="false">Inputs!$E$10*Inputs!$E$26/12*(1+Inputs!$E$25)^(G$5-1)*1</f>
        <v>291.666666666667</v>
      </c>
      <c r="H40" s="65" t="n">
        <f aca="false">Inputs!$E$10*Inputs!$E$26/12*(1+Inputs!$E$25)^(H$5-1)*1</f>
        <v>291.666666666667</v>
      </c>
      <c r="I40" s="65" t="n">
        <f aca="false">Inputs!$E$10*Inputs!$E$26/12*(1+Inputs!$E$25)^(I$5-1)*1</f>
        <v>291.666666666667</v>
      </c>
      <c r="J40" s="65" t="n">
        <f aca="false">Inputs!$E$10*Inputs!$E$26/12*(1+Inputs!$E$25)^(J$5-1)*1</f>
        <v>291.666666666667</v>
      </c>
      <c r="K40" s="65" t="n">
        <f aca="false">Inputs!$E$10*Inputs!$E$26/12*(1+Inputs!$E$25)^(K$5-1)*1</f>
        <v>291.666666666667</v>
      </c>
      <c r="L40" s="65" t="n">
        <f aca="false">Inputs!$E$10*Inputs!$E$26/12*(1+Inputs!$E$25)^(L$5-1)*1</f>
        <v>291.666666666667</v>
      </c>
      <c r="M40" s="65" t="n">
        <f aca="false">Inputs!$E$10*Inputs!$E$26/12*(1+Inputs!$E$25)^(M$5-1)*1</f>
        <v>291.666666666667</v>
      </c>
      <c r="N40" s="65" t="n">
        <f aca="false">Inputs!$E$10*Inputs!$E$26/12*(1+Inputs!$E$25)^(N$5-1)*1</f>
        <v>291.666666666667</v>
      </c>
      <c r="O40" s="65" t="n">
        <f aca="false">Inputs!$E$10*Inputs!$E$26/12*(1+Inputs!$E$25)^(O$5-1)*1</f>
        <v>300.416666666667</v>
      </c>
      <c r="P40" s="65" t="n">
        <f aca="false">Inputs!$E$10*Inputs!$E$26/12*(1+Inputs!$E$25)^(P$5-1)*1</f>
        <v>300.416666666667</v>
      </c>
      <c r="Q40" s="65" t="n">
        <f aca="false">Inputs!$E$10*Inputs!$E$26/12*(1+Inputs!$E$25)^(Q$5-1)*1</f>
        <v>300.416666666667</v>
      </c>
      <c r="R40" s="65" t="n">
        <f aca="false">Inputs!$E$10*Inputs!$E$26/12*(1+Inputs!$E$25)^(R$5-1)*1</f>
        <v>300.416666666667</v>
      </c>
      <c r="S40" s="65" t="n">
        <f aca="false">Inputs!$E$10*Inputs!$E$26/12*(1+Inputs!$E$25)^(S$5-1)*1</f>
        <v>300.416666666667</v>
      </c>
      <c r="T40" s="65" t="n">
        <f aca="false">Inputs!$E$10*Inputs!$E$26/12*(1+Inputs!$E$25)^(T$5-1)*1</f>
        <v>300.416666666667</v>
      </c>
      <c r="U40" s="65" t="n">
        <f aca="false">Inputs!$E$10*Inputs!$E$26/12*(1+Inputs!$E$25)^(U$5-1)*1</f>
        <v>300.416666666667</v>
      </c>
      <c r="V40" s="65" t="n">
        <f aca="false">Inputs!$E$10*Inputs!$E$26/12*(1+Inputs!$E$25)^(V$5-1)*1</f>
        <v>300.416666666667</v>
      </c>
      <c r="W40" s="65" t="n">
        <f aca="false">Inputs!$E$10*Inputs!$E$26/12*(1+Inputs!$E$25)^(W$5-1)*1</f>
        <v>300.416666666667</v>
      </c>
      <c r="X40" s="65" t="n">
        <f aca="false">Inputs!$E$10*Inputs!$E$26/12*(1+Inputs!$E$25)^(X$5-1)*1</f>
        <v>300.416666666667</v>
      </c>
      <c r="Y40" s="65" t="n">
        <f aca="false">Inputs!$E$10*Inputs!$E$26/12*(1+Inputs!$E$25)^(Y$5-1)*1</f>
        <v>300.416666666667</v>
      </c>
      <c r="Z40" s="65" t="n">
        <f aca="false">Inputs!$E$10*Inputs!$E$26/12*(1+Inputs!$E$25)^(Z$5-1)*1</f>
        <v>300.416666666667</v>
      </c>
      <c r="AA40" s="65" t="n">
        <f aca="false">Inputs!$E$10*Inputs!$E$26/12*(1+Inputs!$E$25)^(AA$5-1)*1</f>
        <v>309.429166666667</v>
      </c>
      <c r="AB40" s="65" t="n">
        <f aca="false">Inputs!$E$10*Inputs!$E$26/12*(1+Inputs!$E$25)^(AB$5-1)*1</f>
        <v>309.429166666667</v>
      </c>
      <c r="AC40" s="65" t="n">
        <f aca="false">Inputs!$E$10*Inputs!$E$26/12*(1+Inputs!$E$25)^(AC$5-1)*1</f>
        <v>309.429166666667</v>
      </c>
      <c r="AD40" s="65" t="n">
        <f aca="false">Inputs!$E$10*Inputs!$E$26/12*(1+Inputs!$E$25)^(AD$5-1)*1</f>
        <v>309.429166666667</v>
      </c>
      <c r="AE40" s="65" t="n">
        <f aca="false">Inputs!$E$10*Inputs!$E$26/12*(1+Inputs!$E$25)^(AE$5-1)*1</f>
        <v>309.429166666667</v>
      </c>
      <c r="AF40" s="65" t="n">
        <f aca="false">Inputs!$E$10*Inputs!$E$26/12*(1+Inputs!$E$25)^(AF$5-1)*1</f>
        <v>309.429166666667</v>
      </c>
      <c r="AG40" s="65" t="n">
        <f aca="false">Inputs!$E$10*Inputs!$E$26/12*(1+Inputs!$E$25)^(AG$5-1)*1</f>
        <v>309.429166666667</v>
      </c>
      <c r="AH40" s="65" t="n">
        <f aca="false">Inputs!$E$10*Inputs!$E$26/12*(1+Inputs!$E$25)^(AH$5-1)*1</f>
        <v>309.429166666667</v>
      </c>
      <c r="AI40" s="65" t="n">
        <f aca="false">Inputs!$E$10*Inputs!$E$26/12*(1+Inputs!$E$25)^(AI$5-1)*1</f>
        <v>309.429166666667</v>
      </c>
      <c r="AJ40" s="65" t="n">
        <f aca="false">Inputs!$E$10*Inputs!$E$26/12*(1+Inputs!$E$25)^(AJ$5-1)*1</f>
        <v>309.429166666667</v>
      </c>
      <c r="AK40" s="65" t="n">
        <f aca="false">Inputs!$E$10*Inputs!$E$26/12*(1+Inputs!$E$25)^(AK$5-1)*1</f>
        <v>309.429166666667</v>
      </c>
      <c r="AL40" s="65" t="n">
        <f aca="false">Inputs!$E$10*Inputs!$E$26/12*(1+Inputs!$E$25)^(AL$5-1)*1</f>
        <v>309.429166666667</v>
      </c>
      <c r="AM40" s="65" t="n">
        <f aca="false">Inputs!$E$10*Inputs!$E$26/12*(1+Inputs!$E$25)^(AM$5-1)*1</f>
        <v>318.712041666667</v>
      </c>
      <c r="AN40" s="65" t="n">
        <f aca="false">Inputs!$E$10*Inputs!$E$26/12*(1+Inputs!$E$25)^(AN$5-1)*1</f>
        <v>318.712041666667</v>
      </c>
      <c r="AO40" s="65" t="n">
        <f aca="false">Inputs!$E$10*Inputs!$E$26/12*(1+Inputs!$E$25)^(AO$5-1)*1</f>
        <v>318.712041666667</v>
      </c>
      <c r="AP40" s="65" t="n">
        <f aca="false">Inputs!$E$10*Inputs!$E$26/12*(1+Inputs!$E$25)^(AP$5-1)*1</f>
        <v>318.712041666667</v>
      </c>
      <c r="AQ40" s="65" t="n">
        <f aca="false">Inputs!$E$10*Inputs!$E$26/12*(1+Inputs!$E$25)^(AQ$5-1)*1</f>
        <v>318.712041666667</v>
      </c>
      <c r="AR40" s="65" t="n">
        <f aca="false">Inputs!$E$10*Inputs!$E$26/12*(1+Inputs!$E$25)^(AR$5-1)*1</f>
        <v>318.712041666667</v>
      </c>
      <c r="AS40" s="65" t="n">
        <f aca="false">Inputs!$E$10*Inputs!$E$26/12*(1+Inputs!$E$25)^(AS$5-1)*1</f>
        <v>318.712041666667</v>
      </c>
      <c r="AT40" s="65" t="n">
        <f aca="false">Inputs!$E$10*Inputs!$E$26/12*(1+Inputs!$E$25)^(AT$5-1)*1</f>
        <v>318.712041666667</v>
      </c>
      <c r="AU40" s="65" t="n">
        <f aca="false">Inputs!$E$10*Inputs!$E$26/12*(1+Inputs!$E$25)^(AU$5-1)*1</f>
        <v>318.712041666667</v>
      </c>
      <c r="AV40" s="65" t="n">
        <f aca="false">Inputs!$E$10*Inputs!$E$26/12*(1+Inputs!$E$25)^(AV$5-1)*1</f>
        <v>318.712041666667</v>
      </c>
      <c r="AW40" s="65" t="n">
        <f aca="false">Inputs!$E$10*Inputs!$E$26/12*(1+Inputs!$E$25)^(AW$5-1)*1</f>
        <v>318.712041666667</v>
      </c>
      <c r="AX40" s="65" t="n">
        <f aca="false">Inputs!$E$10*Inputs!$E$26/12*(1+Inputs!$E$25)^(AX$5-1)*1</f>
        <v>318.712041666667</v>
      </c>
      <c r="AY40" s="65" t="n">
        <f aca="false">Inputs!$E$10*Inputs!$E$26/12*(1+Inputs!$E$25)^(AY$5-1)*1</f>
        <v>328.273402916667</v>
      </c>
      <c r="AZ40" s="65" t="n">
        <f aca="false">Inputs!$E$10*Inputs!$E$26/12*(1+Inputs!$E$25)^(AZ$5-1)*1</f>
        <v>328.273402916667</v>
      </c>
      <c r="BA40" s="65" t="n">
        <f aca="false">Inputs!$E$10*Inputs!$E$26/12*(1+Inputs!$E$25)^(BA$5-1)*1</f>
        <v>328.273402916667</v>
      </c>
      <c r="BB40" s="65" t="n">
        <f aca="false">Inputs!$E$10*Inputs!$E$26/12*(1+Inputs!$E$25)^(BB$5-1)*1</f>
        <v>328.273402916667</v>
      </c>
      <c r="BC40" s="65" t="n">
        <f aca="false">Inputs!$E$10*Inputs!$E$26/12*(1+Inputs!$E$25)^(BC$5-1)*1</f>
        <v>328.273402916667</v>
      </c>
      <c r="BD40" s="65" t="n">
        <f aca="false">Inputs!$E$10*Inputs!$E$26/12*(1+Inputs!$E$25)^(BD$5-1)*1</f>
        <v>328.273402916667</v>
      </c>
      <c r="BE40" s="65" t="n">
        <f aca="false">Inputs!$E$10*Inputs!$E$26/12*(1+Inputs!$E$25)^(BE$5-1)*1</f>
        <v>328.273402916667</v>
      </c>
      <c r="BF40" s="65" t="n">
        <f aca="false">Inputs!$E$10*Inputs!$E$26/12*(1+Inputs!$E$25)^(BF$5-1)*1</f>
        <v>328.273402916667</v>
      </c>
      <c r="BG40" s="65" t="n">
        <f aca="false">Inputs!$E$10*Inputs!$E$26/12*(1+Inputs!$E$25)^(BG$5-1)*1</f>
        <v>328.273402916667</v>
      </c>
      <c r="BH40" s="65" t="n">
        <f aca="false">Inputs!$E$10*Inputs!$E$26/12*(1+Inputs!$E$25)^(BH$5-1)*1</f>
        <v>328.273402916667</v>
      </c>
      <c r="BI40" s="65" t="n">
        <f aca="false">Inputs!$E$10*Inputs!$E$26/12*(1+Inputs!$E$25)^(BI$5-1)*1</f>
        <v>328.273402916667</v>
      </c>
      <c r="BJ40" s="65" t="n">
        <f aca="false">Inputs!$E$10*Inputs!$E$26/12*(1+Inputs!$E$25)^(BJ$5-1)*1</f>
        <v>328.273402916667</v>
      </c>
    </row>
    <row r="41" customFormat="false" ht="15" hidden="false" customHeight="false" outlineLevel="0" collapsed="false">
      <c r="A41" s="4" t="s">
        <v>84</v>
      </c>
      <c r="C41" s="71" t="n">
        <f aca="false">C38+C40</f>
        <v>1905791.66666667</v>
      </c>
      <c r="D41" s="71" t="n">
        <f aca="false">D38+D40</f>
        <v>291.666666666667</v>
      </c>
      <c r="E41" s="71" t="n">
        <f aca="false">E38+E40</f>
        <v>291.666666666667</v>
      </c>
      <c r="F41" s="71" t="n">
        <f aca="false">F38+F40</f>
        <v>291.666666666667</v>
      </c>
      <c r="G41" s="71" t="n">
        <f aca="false">G38+G40</f>
        <v>291.666666666667</v>
      </c>
      <c r="H41" s="71" t="n">
        <f aca="false">H38+H40</f>
        <v>291.666666666667</v>
      </c>
      <c r="I41" s="71" t="n">
        <f aca="false">I38+I40</f>
        <v>291.666666666667</v>
      </c>
      <c r="J41" s="71" t="n">
        <f aca="false">J38+J40</f>
        <v>291.666666666667</v>
      </c>
      <c r="K41" s="71" t="n">
        <f aca="false">K38+K40</f>
        <v>291.666666666667</v>
      </c>
      <c r="L41" s="71" t="n">
        <f aca="false">L38+L40</f>
        <v>291.666666666667</v>
      </c>
      <c r="M41" s="71" t="n">
        <f aca="false">M38+M40</f>
        <v>291.666666666667</v>
      </c>
      <c r="N41" s="71" t="n">
        <f aca="false">N38+N40</f>
        <v>291.666666666667</v>
      </c>
      <c r="O41" s="71" t="n">
        <f aca="false">O38+O40</f>
        <v>300.416666666667</v>
      </c>
      <c r="P41" s="71" t="n">
        <f aca="false">P38+P40</f>
        <v>300.416666666667</v>
      </c>
      <c r="Q41" s="71" t="n">
        <f aca="false">Q38+Q40</f>
        <v>300.416666666667</v>
      </c>
      <c r="R41" s="71" t="n">
        <f aca="false">R38+R40</f>
        <v>300.416666666667</v>
      </c>
      <c r="S41" s="71" t="n">
        <f aca="false">S38+S40</f>
        <v>300.416666666667</v>
      </c>
      <c r="T41" s="71" t="n">
        <f aca="false">T38+T40</f>
        <v>300.416666666667</v>
      </c>
      <c r="U41" s="71" t="n">
        <f aca="false">U38+U40</f>
        <v>300.416666666667</v>
      </c>
      <c r="V41" s="71" t="n">
        <f aca="false">V38+V40</f>
        <v>300.416666666667</v>
      </c>
      <c r="W41" s="71" t="n">
        <f aca="false">W38+W40</f>
        <v>300.416666666667</v>
      </c>
      <c r="X41" s="71" t="n">
        <f aca="false">X38+X40</f>
        <v>300.416666666667</v>
      </c>
      <c r="Y41" s="71" t="n">
        <f aca="false">Y38+Y40</f>
        <v>300.416666666667</v>
      </c>
      <c r="Z41" s="71" t="n">
        <f aca="false">Z38+Z40</f>
        <v>300.416666666667</v>
      </c>
      <c r="AA41" s="71" t="n">
        <f aca="false">AA38+AA40</f>
        <v>309.429166666667</v>
      </c>
      <c r="AB41" s="71" t="n">
        <f aca="false">AB38+AB40</f>
        <v>309.429166666667</v>
      </c>
      <c r="AC41" s="71" t="n">
        <f aca="false">AC38+AC40</f>
        <v>309.429166666667</v>
      </c>
      <c r="AD41" s="71" t="n">
        <f aca="false">AD38+AD40</f>
        <v>309.429166666667</v>
      </c>
      <c r="AE41" s="71" t="n">
        <f aca="false">AE38+AE40</f>
        <v>309.429166666667</v>
      </c>
      <c r="AF41" s="71" t="n">
        <f aca="false">AF38+AF40</f>
        <v>309.429166666667</v>
      </c>
      <c r="AG41" s="71" t="n">
        <f aca="false">AG38+AG40</f>
        <v>309.429166666667</v>
      </c>
      <c r="AH41" s="71" t="n">
        <f aca="false">AH38+AH40</f>
        <v>309.429166666667</v>
      </c>
      <c r="AI41" s="71" t="n">
        <f aca="false">AI38+AI40</f>
        <v>309.429166666667</v>
      </c>
      <c r="AJ41" s="71" t="n">
        <f aca="false">AJ38+AJ40</f>
        <v>309.429166666667</v>
      </c>
      <c r="AK41" s="71" t="n">
        <f aca="false">AK38+AK40</f>
        <v>309.429166666667</v>
      </c>
      <c r="AL41" s="71" t="n">
        <f aca="false">AL38+AL40</f>
        <v>309.429166666667</v>
      </c>
      <c r="AM41" s="71" t="n">
        <f aca="false">AM38+AM40</f>
        <v>318.712041666667</v>
      </c>
      <c r="AN41" s="71" t="n">
        <f aca="false">AN38+AN40</f>
        <v>318.712041666667</v>
      </c>
      <c r="AO41" s="71" t="n">
        <f aca="false">AO38+AO40</f>
        <v>318.712041666667</v>
      </c>
      <c r="AP41" s="71" t="n">
        <f aca="false">AP38+AP40</f>
        <v>318.712041666667</v>
      </c>
      <c r="AQ41" s="71" t="n">
        <f aca="false">AQ38+AQ40</f>
        <v>318.712041666667</v>
      </c>
      <c r="AR41" s="71" t="n">
        <f aca="false">AR38+AR40</f>
        <v>318.712041666667</v>
      </c>
      <c r="AS41" s="71" t="n">
        <f aca="false">AS38+AS40</f>
        <v>318.712041666667</v>
      </c>
      <c r="AT41" s="71" t="n">
        <f aca="false">AT38+AT40</f>
        <v>318.712041666667</v>
      </c>
      <c r="AU41" s="71" t="n">
        <f aca="false">AU38+AU40</f>
        <v>318.712041666667</v>
      </c>
      <c r="AV41" s="71" t="n">
        <f aca="false">AV38+AV40</f>
        <v>318.712041666667</v>
      </c>
      <c r="AW41" s="71" t="n">
        <f aca="false">AW38+AW40</f>
        <v>318.712041666667</v>
      </c>
      <c r="AX41" s="71" t="n">
        <f aca="false">AX38+AX40</f>
        <v>318.712041666667</v>
      </c>
      <c r="AY41" s="71" t="n">
        <f aca="false">AY38+AY40</f>
        <v>328.273402916667</v>
      </c>
      <c r="AZ41" s="71" t="n">
        <f aca="false">AZ38+AZ40</f>
        <v>328.273402916667</v>
      </c>
      <c r="BA41" s="71" t="n">
        <f aca="false">BA38+BA40</f>
        <v>328.273402916667</v>
      </c>
      <c r="BB41" s="71" t="n">
        <f aca="false">BB38+BB40</f>
        <v>328.273402916667</v>
      </c>
      <c r="BC41" s="71" t="n">
        <f aca="false">BC38+BC40</f>
        <v>328.273402916667</v>
      </c>
      <c r="BD41" s="71" t="n">
        <f aca="false">BD38+BD40</f>
        <v>328.273402916667</v>
      </c>
      <c r="BE41" s="71" t="n">
        <f aca="false">BE38+BE40</f>
        <v>328.273402916667</v>
      </c>
      <c r="BF41" s="71" t="n">
        <f aca="false">BF38+BF40</f>
        <v>328.273402916667</v>
      </c>
      <c r="BG41" s="71" t="n">
        <f aca="false">BG38+BG40</f>
        <v>328.273402916667</v>
      </c>
      <c r="BH41" s="71" t="n">
        <f aca="false">BH38+BH40</f>
        <v>328.273402916667</v>
      </c>
      <c r="BI41" s="71" t="n">
        <f aca="false">BI38+BI40</f>
        <v>328.273402916667</v>
      </c>
      <c r="BJ41" s="71" t="n">
        <f aca="false">BJ38+BJ40</f>
        <v>328.273402916667</v>
      </c>
    </row>
    <row r="42" customFormat="false" ht="15" hidden="false" customHeight="false" outlineLevel="0" collapsed="false">
      <c r="A42" s="6" t="s">
        <v>428</v>
      </c>
      <c r="C42" s="65" t="n">
        <f aca="false">C41</f>
        <v>1905791.66666667</v>
      </c>
      <c r="D42" s="65" t="n">
        <f aca="false">C42+D41</f>
        <v>1906083.33333333</v>
      </c>
      <c r="E42" s="65" t="n">
        <f aca="false">D42+E41</f>
        <v>1906375</v>
      </c>
      <c r="F42" s="65" t="n">
        <f aca="false">E42+F41</f>
        <v>1906666.66666667</v>
      </c>
      <c r="G42" s="65" t="n">
        <f aca="false">F42+G41</f>
        <v>1906958.33333333</v>
      </c>
      <c r="H42" s="65" t="n">
        <f aca="false">G42+H41</f>
        <v>1907250</v>
      </c>
      <c r="I42" s="65" t="n">
        <f aca="false">H42+I41</f>
        <v>1907541.66666667</v>
      </c>
      <c r="J42" s="65" t="n">
        <f aca="false">I42+J41</f>
        <v>1907833.33333333</v>
      </c>
      <c r="K42" s="65" t="n">
        <f aca="false">J42+K41</f>
        <v>1908125</v>
      </c>
      <c r="L42" s="65" t="n">
        <f aca="false">K42+L41</f>
        <v>1908416.66666667</v>
      </c>
      <c r="M42" s="65" t="n">
        <f aca="false">L42+M41</f>
        <v>1908708.33333333</v>
      </c>
      <c r="N42" s="65" t="n">
        <f aca="false">M42+N41</f>
        <v>1909000</v>
      </c>
      <c r="O42" s="65" t="n">
        <f aca="false">N42+O41</f>
        <v>1909300.41666667</v>
      </c>
      <c r="P42" s="65" t="n">
        <f aca="false">O42+P41</f>
        <v>1909600.83333333</v>
      </c>
      <c r="Q42" s="65" t="n">
        <f aca="false">P42+Q41</f>
        <v>1909901.25</v>
      </c>
      <c r="R42" s="65" t="n">
        <f aca="false">Q42+R41</f>
        <v>1910201.66666667</v>
      </c>
      <c r="S42" s="65" t="n">
        <f aca="false">R42+S41</f>
        <v>1910502.08333333</v>
      </c>
      <c r="T42" s="65" t="n">
        <f aca="false">S42+T41</f>
        <v>1910802.5</v>
      </c>
      <c r="U42" s="65" t="n">
        <f aca="false">T42+U41</f>
        <v>1911102.91666667</v>
      </c>
      <c r="V42" s="65" t="n">
        <f aca="false">U42+V41</f>
        <v>1911403.33333334</v>
      </c>
      <c r="W42" s="65" t="n">
        <f aca="false">V42+W41</f>
        <v>1911703.75</v>
      </c>
      <c r="X42" s="65" t="n">
        <f aca="false">W42+X41</f>
        <v>1912004.16666667</v>
      </c>
      <c r="Y42" s="65" t="n">
        <f aca="false">X42+Y41</f>
        <v>1912304.58333334</v>
      </c>
      <c r="Z42" s="65" t="n">
        <f aca="false">Y42+Z41</f>
        <v>1912605</v>
      </c>
      <c r="AA42" s="65" t="n">
        <f aca="false">Z42+AA41</f>
        <v>1912914.42916667</v>
      </c>
      <c r="AB42" s="65" t="n">
        <f aca="false">AA42+AB41</f>
        <v>1913223.85833334</v>
      </c>
      <c r="AC42" s="65" t="n">
        <f aca="false">AB42+AC41</f>
        <v>1913533.2875</v>
      </c>
      <c r="AD42" s="65" t="n">
        <f aca="false">AC42+AD41</f>
        <v>1913842.71666667</v>
      </c>
      <c r="AE42" s="65" t="n">
        <f aca="false">AD42+AE41</f>
        <v>1914152.14583334</v>
      </c>
      <c r="AF42" s="65" t="n">
        <f aca="false">AE42+AF41</f>
        <v>1914461.575</v>
      </c>
      <c r="AG42" s="65" t="n">
        <f aca="false">AF42+AG41</f>
        <v>1914771.00416667</v>
      </c>
      <c r="AH42" s="65" t="n">
        <f aca="false">AG42+AH41</f>
        <v>1915080.43333334</v>
      </c>
      <c r="AI42" s="65" t="n">
        <f aca="false">AH42+AI41</f>
        <v>1915389.8625</v>
      </c>
      <c r="AJ42" s="65" t="n">
        <f aca="false">AI42+AJ41</f>
        <v>1915699.29166667</v>
      </c>
      <c r="AK42" s="65" t="n">
        <f aca="false">AJ42+AK41</f>
        <v>1916008.72083334</v>
      </c>
      <c r="AL42" s="65" t="n">
        <f aca="false">AK42+AL41</f>
        <v>1916318.15</v>
      </c>
      <c r="AM42" s="65" t="n">
        <f aca="false">AL42+AM41</f>
        <v>1916636.86204167</v>
      </c>
      <c r="AN42" s="65" t="n">
        <f aca="false">AM42+AN41</f>
        <v>1916955.57408334</v>
      </c>
      <c r="AO42" s="65" t="n">
        <f aca="false">AN42+AO41</f>
        <v>1917274.286125</v>
      </c>
      <c r="AP42" s="65" t="n">
        <f aca="false">AO42+AP41</f>
        <v>1917592.99816667</v>
      </c>
      <c r="AQ42" s="65" t="n">
        <f aca="false">AP42+AQ41</f>
        <v>1917911.71020834</v>
      </c>
      <c r="AR42" s="65" t="n">
        <f aca="false">AQ42+AR41</f>
        <v>1918230.42225</v>
      </c>
      <c r="AS42" s="65" t="n">
        <f aca="false">AR42+AS41</f>
        <v>1918549.13429167</v>
      </c>
      <c r="AT42" s="65" t="n">
        <f aca="false">AS42+AT41</f>
        <v>1918867.84633334</v>
      </c>
      <c r="AU42" s="65" t="n">
        <f aca="false">AT42+AU41</f>
        <v>1919186.558375</v>
      </c>
      <c r="AV42" s="65" t="n">
        <f aca="false">AU42+AV41</f>
        <v>1919505.27041667</v>
      </c>
      <c r="AW42" s="65" t="n">
        <f aca="false">AV42+AW41</f>
        <v>1919823.98245834</v>
      </c>
      <c r="AX42" s="65" t="n">
        <f aca="false">AW42+AX41</f>
        <v>1920142.6945</v>
      </c>
      <c r="AY42" s="65" t="n">
        <f aca="false">AX42+AY41</f>
        <v>1920470.96790292</v>
      </c>
      <c r="AZ42" s="65" t="n">
        <f aca="false">AY42+AZ41</f>
        <v>1920799.24130584</v>
      </c>
      <c r="BA42" s="65" t="n">
        <f aca="false">AZ42+BA41</f>
        <v>1921127.51470875</v>
      </c>
      <c r="BB42" s="65" t="n">
        <f aca="false">BA42+BB41</f>
        <v>1921455.78811167</v>
      </c>
      <c r="BC42" s="65" t="n">
        <f aca="false">BB42+BC41</f>
        <v>1921784.06151459</v>
      </c>
      <c r="BD42" s="65" t="n">
        <f aca="false">BC42+BD41</f>
        <v>1922112.3349175</v>
      </c>
      <c r="BE42" s="65" t="n">
        <f aca="false">BD42+BE41</f>
        <v>1922440.60832042</v>
      </c>
      <c r="BF42" s="65" t="n">
        <f aca="false">BE42+BF41</f>
        <v>1922768.88172334</v>
      </c>
      <c r="BG42" s="65" t="n">
        <f aca="false">BF42+BG41</f>
        <v>1923097.15512625</v>
      </c>
      <c r="BH42" s="65" t="n">
        <f aca="false">BG42+BH41</f>
        <v>1923425.42852917</v>
      </c>
      <c r="BI42" s="65" t="n">
        <f aca="false">BH42+BI41</f>
        <v>1923753.70193209</v>
      </c>
      <c r="BJ42" s="65" t="n">
        <f aca="false">BI42+BJ41</f>
        <v>1924081.975335</v>
      </c>
    </row>
    <row r="43" customFormat="false" ht="15" hidden="false" customHeight="false" outlineLevel="0" collapsed="false">
      <c r="A43" s="6" t="s">
        <v>429</v>
      </c>
      <c r="C43" s="65" t="n">
        <f aca="false">C39</f>
        <v>370000</v>
      </c>
      <c r="D43" s="65" t="n">
        <f aca="false">C43+D39</f>
        <v>370000</v>
      </c>
      <c r="E43" s="65" t="n">
        <f aca="false">D43+E39</f>
        <v>370000</v>
      </c>
      <c r="F43" s="65" t="n">
        <f aca="false">E43+F39</f>
        <v>370000</v>
      </c>
      <c r="G43" s="65" t="n">
        <f aca="false">F43+G39</f>
        <v>370000</v>
      </c>
      <c r="H43" s="65" t="n">
        <f aca="false">G43+H39</f>
        <v>370000</v>
      </c>
      <c r="I43" s="65" t="n">
        <f aca="false">H43+I39</f>
        <v>370000</v>
      </c>
      <c r="J43" s="65" t="n">
        <f aca="false">I43+J39</f>
        <v>370000</v>
      </c>
      <c r="K43" s="65" t="n">
        <f aca="false">J43+K39</f>
        <v>370000</v>
      </c>
      <c r="L43" s="65" t="n">
        <f aca="false">K43+L39</f>
        <v>370000</v>
      </c>
      <c r="M43" s="65" t="n">
        <f aca="false">L43+M39</f>
        <v>370000</v>
      </c>
      <c r="N43" s="65" t="n">
        <f aca="false">M43+N39</f>
        <v>370000</v>
      </c>
      <c r="O43" s="65" t="n">
        <f aca="false">N43+O39</f>
        <v>370000</v>
      </c>
      <c r="P43" s="65" t="n">
        <f aca="false">O43+P39</f>
        <v>370000</v>
      </c>
      <c r="Q43" s="65" t="n">
        <f aca="false">P43+Q39</f>
        <v>370000</v>
      </c>
      <c r="R43" s="65" t="n">
        <f aca="false">Q43+R39</f>
        <v>370000</v>
      </c>
      <c r="S43" s="65" t="n">
        <f aca="false">R43+S39</f>
        <v>370000</v>
      </c>
      <c r="T43" s="65" t="n">
        <f aca="false">S43+T39</f>
        <v>370000</v>
      </c>
      <c r="U43" s="65" t="n">
        <f aca="false">T43+U39</f>
        <v>370000</v>
      </c>
      <c r="V43" s="65" t="n">
        <f aca="false">U43+V39</f>
        <v>370000</v>
      </c>
      <c r="W43" s="65" t="n">
        <f aca="false">V43+W39</f>
        <v>370000</v>
      </c>
      <c r="X43" s="65" t="n">
        <f aca="false">W43+X39</f>
        <v>370000</v>
      </c>
      <c r="Y43" s="65" t="n">
        <f aca="false">X43+Y39</f>
        <v>370000</v>
      </c>
      <c r="Z43" s="65" t="n">
        <f aca="false">Y43+Z39</f>
        <v>370000</v>
      </c>
      <c r="AA43" s="65" t="n">
        <f aca="false">Z43+AA39</f>
        <v>370000</v>
      </c>
      <c r="AB43" s="65" t="n">
        <f aca="false">AA43+AB39</f>
        <v>370000</v>
      </c>
      <c r="AC43" s="65" t="n">
        <f aca="false">AB43+AC39</f>
        <v>370000</v>
      </c>
      <c r="AD43" s="65" t="n">
        <f aca="false">AC43+AD39</f>
        <v>370000</v>
      </c>
      <c r="AE43" s="65" t="n">
        <f aca="false">AD43+AE39</f>
        <v>370000</v>
      </c>
      <c r="AF43" s="65" t="n">
        <f aca="false">AE43+AF39</f>
        <v>370000</v>
      </c>
      <c r="AG43" s="65" t="n">
        <f aca="false">AF43+AG39</f>
        <v>370000</v>
      </c>
      <c r="AH43" s="65" t="n">
        <f aca="false">AG43+AH39</f>
        <v>370000</v>
      </c>
      <c r="AI43" s="65" t="n">
        <f aca="false">AH43+AI39</f>
        <v>370000</v>
      </c>
      <c r="AJ43" s="65" t="n">
        <f aca="false">AI43+AJ39</f>
        <v>370000</v>
      </c>
      <c r="AK43" s="65" t="n">
        <f aca="false">AJ43+AK39</f>
        <v>370000</v>
      </c>
      <c r="AL43" s="65" t="n">
        <f aca="false">AK43+AL39</f>
        <v>370000</v>
      </c>
      <c r="AM43" s="65" t="n">
        <f aca="false">AL43+AM39</f>
        <v>370000</v>
      </c>
      <c r="AN43" s="65" t="n">
        <f aca="false">AM43+AN39</f>
        <v>370000</v>
      </c>
      <c r="AO43" s="65" t="n">
        <f aca="false">AN43+AO39</f>
        <v>370000</v>
      </c>
      <c r="AP43" s="65" t="n">
        <f aca="false">AO43+AP39</f>
        <v>370000</v>
      </c>
      <c r="AQ43" s="65" t="n">
        <f aca="false">AP43+AQ39</f>
        <v>370000</v>
      </c>
      <c r="AR43" s="65" t="n">
        <f aca="false">AQ43+AR39</f>
        <v>370000</v>
      </c>
      <c r="AS43" s="65" t="n">
        <f aca="false">AR43+AS39</f>
        <v>370000</v>
      </c>
      <c r="AT43" s="65" t="n">
        <f aca="false">AS43+AT39</f>
        <v>370000</v>
      </c>
      <c r="AU43" s="65" t="n">
        <f aca="false">AT43+AU39</f>
        <v>370000</v>
      </c>
      <c r="AV43" s="65" t="n">
        <f aca="false">AU43+AV39</f>
        <v>370000</v>
      </c>
      <c r="AW43" s="65" t="n">
        <f aca="false">AV43+AW39</f>
        <v>370000</v>
      </c>
      <c r="AX43" s="65" t="n">
        <f aca="false">AW43+AX39</f>
        <v>370000</v>
      </c>
      <c r="AY43" s="65" t="n">
        <f aca="false">AX43+AY39</f>
        <v>370000</v>
      </c>
      <c r="AZ43" s="65" t="n">
        <f aca="false">AY43+AZ39</f>
        <v>370000</v>
      </c>
      <c r="BA43" s="65" t="n">
        <f aca="false">AZ43+BA39</f>
        <v>370000</v>
      </c>
      <c r="BB43" s="65" t="n">
        <f aca="false">BA43+BB39</f>
        <v>370000</v>
      </c>
      <c r="BC43" s="65" t="n">
        <f aca="false">BB43+BC39</f>
        <v>370000</v>
      </c>
      <c r="BD43" s="65" t="n">
        <f aca="false">BC43+BD39</f>
        <v>370000</v>
      </c>
      <c r="BE43" s="65" t="n">
        <f aca="false">BD43+BE39</f>
        <v>370000</v>
      </c>
      <c r="BF43" s="65" t="n">
        <f aca="false">BE43+BF39</f>
        <v>370000</v>
      </c>
      <c r="BG43" s="65" t="n">
        <f aca="false">BF43+BG39</f>
        <v>370000</v>
      </c>
      <c r="BH43" s="65" t="n">
        <f aca="false">BG43+BH39</f>
        <v>370000</v>
      </c>
      <c r="BI43" s="65" t="n">
        <f aca="false">BH43+BI39</f>
        <v>370000</v>
      </c>
      <c r="BJ43" s="65" t="n">
        <f aca="false">BI43+BJ39</f>
        <v>370000</v>
      </c>
    </row>
    <row r="44" customFormat="false" ht="15" hidden="false" customHeight="false" outlineLevel="0" collapsed="false">
      <c r="A44" s="6" t="s">
        <v>78</v>
      </c>
      <c r="C44" s="65" t="n">
        <f aca="false">-MIN((C42-C43)/MAX(1,Inputs!$E$45*12),C41-C43)</f>
        <v>-4740.09773662552</v>
      </c>
      <c r="D44" s="65" t="n">
        <f aca="false">-MIN((D42-D43)/MAX(1,Inputs!$E$45*12),C46+D41-D43)</f>
        <v>-4740.99794238683</v>
      </c>
      <c r="E44" s="65" t="n">
        <f aca="false">-MIN((E42-E43)/MAX(1,Inputs!$E$45*12),D46+E41-E43)</f>
        <v>-4741.89814814815</v>
      </c>
      <c r="F44" s="65" t="n">
        <f aca="false">-MIN((F42-F43)/MAX(1,Inputs!$E$45*12),E46+F41-F43)</f>
        <v>-4742.79835390947</v>
      </c>
      <c r="G44" s="65" t="n">
        <f aca="false">-MIN((G42-G43)/MAX(1,Inputs!$E$45*12),F46+G41-G43)</f>
        <v>-4743.69855967078</v>
      </c>
      <c r="H44" s="65" t="n">
        <f aca="false">-MIN((H42-H43)/MAX(1,Inputs!$E$45*12),G46+H41-H43)</f>
        <v>-4744.5987654321</v>
      </c>
      <c r="I44" s="65" t="n">
        <f aca="false">-MIN((I42-I43)/MAX(1,Inputs!$E$45*12),H46+I41-I43)</f>
        <v>-4745.49897119342</v>
      </c>
      <c r="J44" s="65" t="n">
        <f aca="false">-MIN((J42-J43)/MAX(1,Inputs!$E$45*12),I46+J41-J43)</f>
        <v>-4746.39917695474</v>
      </c>
      <c r="K44" s="65" t="n">
        <f aca="false">-MIN((K42-K43)/MAX(1,Inputs!$E$45*12),J46+K41-K43)</f>
        <v>-4747.29938271605</v>
      </c>
      <c r="L44" s="65" t="n">
        <f aca="false">-MIN((L42-L43)/MAX(1,Inputs!$E$45*12),K46+L41-L43)</f>
        <v>-4748.19958847737</v>
      </c>
      <c r="M44" s="65" t="n">
        <f aca="false">-MIN((M42-M43)/MAX(1,Inputs!$E$45*12),L46+M41-M43)</f>
        <v>-4749.09979423869</v>
      </c>
      <c r="N44" s="65" t="n">
        <f aca="false">-MIN((N42-N43)/MAX(1,Inputs!$E$45*12),M46+N41-N43)</f>
        <v>-4750</v>
      </c>
      <c r="O44" s="65" t="n">
        <f aca="false">-MIN((O42-O43)/MAX(1,Inputs!$E$45*12),N46+O41-O43)</f>
        <v>-4750.92721193416</v>
      </c>
      <c r="P44" s="65" t="n">
        <f aca="false">-MIN((P42-P43)/MAX(1,Inputs!$E$45*12),O46+P41-P43)</f>
        <v>-4751.85442386832</v>
      </c>
      <c r="Q44" s="65" t="n">
        <f aca="false">-MIN((Q42-Q43)/MAX(1,Inputs!$E$45*12),P46+Q41-Q43)</f>
        <v>-4752.78163580247</v>
      </c>
      <c r="R44" s="65" t="n">
        <f aca="false">-MIN((R42-R43)/MAX(1,Inputs!$E$45*12),Q46+R41-R43)</f>
        <v>-4753.70884773663</v>
      </c>
      <c r="S44" s="65" t="n">
        <f aca="false">-MIN((S42-S43)/MAX(1,Inputs!$E$45*12),R46+S41-S43)</f>
        <v>-4754.63605967079</v>
      </c>
      <c r="T44" s="65" t="n">
        <f aca="false">-MIN((T42-T43)/MAX(1,Inputs!$E$45*12),S46+T41-T43)</f>
        <v>-4755.56327160494</v>
      </c>
      <c r="U44" s="65" t="n">
        <f aca="false">-MIN((U42-U43)/MAX(1,Inputs!$E$45*12),T46+U41-U43)</f>
        <v>-4756.4904835391</v>
      </c>
      <c r="V44" s="65" t="n">
        <f aca="false">-MIN((V42-V43)/MAX(1,Inputs!$E$45*12),U46+V41-V43)</f>
        <v>-4757.41769547326</v>
      </c>
      <c r="W44" s="65" t="n">
        <f aca="false">-MIN((W42-W43)/MAX(1,Inputs!$E$45*12),V46+W41-W43)</f>
        <v>-4758.34490740741</v>
      </c>
      <c r="X44" s="65" t="n">
        <f aca="false">-MIN((X42-X43)/MAX(1,Inputs!$E$45*12),W46+X41-X43)</f>
        <v>-4759.27211934157</v>
      </c>
      <c r="Y44" s="65" t="n">
        <f aca="false">-MIN((Y42-Y43)/MAX(1,Inputs!$E$45*12),X46+Y41-Y43)</f>
        <v>-4760.19933127573</v>
      </c>
      <c r="Z44" s="65" t="n">
        <f aca="false">-MIN((Z42-Z43)/MAX(1,Inputs!$E$45*12),Y46+Z41-Z43)</f>
        <v>-4761.12654320988</v>
      </c>
      <c r="AA44" s="65" t="n">
        <f aca="false">-MIN((AA42-AA43)/MAX(1,Inputs!$E$45*12),Z46+AA41-AA43)</f>
        <v>-4762.08157150206</v>
      </c>
      <c r="AB44" s="65" t="n">
        <f aca="false">-MIN((AB42-AB43)/MAX(1,Inputs!$E$45*12),AA46+AB41-AB43)</f>
        <v>-4763.03659979424</v>
      </c>
      <c r="AC44" s="65" t="n">
        <f aca="false">-MIN((AC42-AC43)/MAX(1,Inputs!$E$45*12),AB46+AC41-AC43)</f>
        <v>-4763.99162808643</v>
      </c>
      <c r="AD44" s="65" t="n">
        <f aca="false">-MIN((AD42-AD43)/MAX(1,Inputs!$E$45*12),AC46+AD41-AD43)</f>
        <v>-4764.94665637861</v>
      </c>
      <c r="AE44" s="65" t="n">
        <f aca="false">-MIN((AE42-AE43)/MAX(1,Inputs!$E$45*12),AD46+AE41-AE43)</f>
        <v>-4765.90168467079</v>
      </c>
      <c r="AF44" s="65" t="n">
        <f aca="false">-MIN((AF42-AF43)/MAX(1,Inputs!$E$45*12),AE46+AF41-AF43)</f>
        <v>-4766.85671296297</v>
      </c>
      <c r="AG44" s="65" t="n">
        <f aca="false">-MIN((AG42-AG43)/MAX(1,Inputs!$E$45*12),AF46+AG41-AG43)</f>
        <v>-4767.81174125515</v>
      </c>
      <c r="AH44" s="65" t="n">
        <f aca="false">-MIN((AH42-AH43)/MAX(1,Inputs!$E$45*12),AG46+AH41-AH43)</f>
        <v>-4768.76676954733</v>
      </c>
      <c r="AI44" s="65" t="n">
        <f aca="false">-MIN((AI42-AI43)/MAX(1,Inputs!$E$45*12),AH46+AI41-AI43)</f>
        <v>-4769.72179783951</v>
      </c>
      <c r="AJ44" s="65" t="n">
        <f aca="false">-MIN((AJ42-AJ43)/MAX(1,Inputs!$E$45*12),AI46+AJ41-AJ43)</f>
        <v>-4770.67682613169</v>
      </c>
      <c r="AK44" s="65" t="n">
        <f aca="false">-MIN((AK42-AK43)/MAX(1,Inputs!$E$45*12),AJ46+AK41-AK43)</f>
        <v>-4771.63185442388</v>
      </c>
      <c r="AL44" s="65" t="n">
        <f aca="false">-MIN((AL42-AL43)/MAX(1,Inputs!$E$45*12),AK46+AL41-AL43)</f>
        <v>-4772.58688271606</v>
      </c>
      <c r="AM44" s="65" t="n">
        <f aca="false">-MIN((AM42-AM43)/MAX(1,Inputs!$E$45*12),AL46+AM41-AM43)</f>
        <v>-4773.570561857</v>
      </c>
      <c r="AN44" s="65" t="n">
        <f aca="false">-MIN((AN42-AN43)/MAX(1,Inputs!$E$45*12),AM46+AN41-AN43)</f>
        <v>-4774.55424099795</v>
      </c>
      <c r="AO44" s="65" t="n">
        <f aca="false">-MIN((AO42-AO43)/MAX(1,Inputs!$E$45*12),AN46+AO41-AO43)</f>
        <v>-4775.5379201389</v>
      </c>
      <c r="AP44" s="65" t="n">
        <f aca="false">-MIN((AP42-AP43)/MAX(1,Inputs!$E$45*12),AO46+AP41-AP43)</f>
        <v>-4776.52159927984</v>
      </c>
      <c r="AQ44" s="65" t="n">
        <f aca="false">-MIN((AQ42-AQ43)/MAX(1,Inputs!$E$45*12),AP46+AQ41-AQ43)</f>
        <v>-4777.50527842079</v>
      </c>
      <c r="AR44" s="65" t="n">
        <f aca="false">-MIN((AR42-AR43)/MAX(1,Inputs!$E$45*12),AQ46+AR41-AR43)</f>
        <v>-4778.48895756174</v>
      </c>
      <c r="AS44" s="65" t="n">
        <f aca="false">-MIN((AS42-AS43)/MAX(1,Inputs!$E$45*12),AR46+AS41-AS43)</f>
        <v>-4779.47263670268</v>
      </c>
      <c r="AT44" s="65" t="n">
        <f aca="false">-MIN((AT42-AT43)/MAX(1,Inputs!$E$45*12),AS46+AT41-AT43)</f>
        <v>-4780.45631584363</v>
      </c>
      <c r="AU44" s="65" t="n">
        <f aca="false">-MIN((AU42-AU43)/MAX(1,Inputs!$E$45*12),AT46+AU41-AU43)</f>
        <v>-4781.43999498458</v>
      </c>
      <c r="AV44" s="65" t="n">
        <f aca="false">-MIN((AV42-AV43)/MAX(1,Inputs!$E$45*12),AU46+AV41-AV43)</f>
        <v>-4782.42367412552</v>
      </c>
      <c r="AW44" s="65" t="n">
        <f aca="false">-MIN((AW42-AW43)/MAX(1,Inputs!$E$45*12),AV46+AW41-AW43)</f>
        <v>-4783.40735326647</v>
      </c>
      <c r="AX44" s="65" t="n">
        <f aca="false">-MIN((AX42-AX43)/MAX(1,Inputs!$E$45*12),AW46+AX41-AX43)</f>
        <v>-4784.39103240742</v>
      </c>
      <c r="AY44" s="65" t="n">
        <f aca="false">-MIN((AY42-AY43)/MAX(1,Inputs!$E$45*12),AX46+AY41-AY43)</f>
        <v>-4785.40422192259</v>
      </c>
      <c r="AZ44" s="65" t="n">
        <f aca="false">-MIN((AZ42-AZ43)/MAX(1,Inputs!$E$45*12),AY46+AZ41-AZ43)</f>
        <v>-4786.41741143777</v>
      </c>
      <c r="BA44" s="65" t="n">
        <f aca="false">-MIN((BA42-BA43)/MAX(1,Inputs!$E$45*12),AZ46+BA41-BA43)</f>
        <v>-4787.43060095294</v>
      </c>
      <c r="BB44" s="65" t="n">
        <f aca="false">-MIN((BB42-BB43)/MAX(1,Inputs!$E$45*12),BA46+BB41-BB43)</f>
        <v>-4788.44379046812</v>
      </c>
      <c r="BC44" s="65" t="n">
        <f aca="false">-MIN((BC42-BC43)/MAX(1,Inputs!$E$45*12),BB46+BC41-BC43)</f>
        <v>-4789.45697998329</v>
      </c>
      <c r="BD44" s="65" t="n">
        <f aca="false">-MIN((BD42-BD43)/MAX(1,Inputs!$E$45*12),BC46+BD41-BD43)</f>
        <v>-4790.47016949847</v>
      </c>
      <c r="BE44" s="65" t="n">
        <f aca="false">-MIN((BE42-BE43)/MAX(1,Inputs!$E$45*12),BD46+BE41-BE43)</f>
        <v>-4791.48335901364</v>
      </c>
      <c r="BF44" s="65" t="n">
        <f aca="false">-MIN((BF42-BF43)/MAX(1,Inputs!$E$45*12),BE46+BF41-BF43)</f>
        <v>-4792.49654852882</v>
      </c>
      <c r="BG44" s="65" t="n">
        <f aca="false">-MIN((BG42-BG43)/MAX(1,Inputs!$E$45*12),BF46+BG41-BG43)</f>
        <v>-4793.50973804399</v>
      </c>
      <c r="BH44" s="65" t="n">
        <f aca="false">-MIN((BH42-BH43)/MAX(1,Inputs!$E$45*12),BG46+BH41-BH43)</f>
        <v>-4794.52292755917</v>
      </c>
      <c r="BI44" s="65" t="n">
        <f aca="false">-MIN((BI42-BI43)/MAX(1,Inputs!$E$45*12),BH46+BI41-BI43)</f>
        <v>-4795.53611707434</v>
      </c>
      <c r="BJ44" s="65" t="n">
        <f aca="false">-MIN((BJ42-BJ43)/MAX(1,Inputs!$E$45*12),BI46+BJ41-BJ43)</f>
        <v>-4796.54930658952</v>
      </c>
    </row>
    <row r="45" customFormat="false" ht="15" hidden="false" customHeight="false" outlineLevel="0" collapsed="false">
      <c r="A45" s="6" t="s">
        <v>430</v>
      </c>
      <c r="C45" s="65" t="n">
        <f aca="false">C44</f>
        <v>-4740.09773662552</v>
      </c>
      <c r="D45" s="65" t="n">
        <f aca="false">C45+D44</f>
        <v>-9481.09567901235</v>
      </c>
      <c r="E45" s="65" t="n">
        <f aca="false">D45+E44</f>
        <v>-14222.9938271605</v>
      </c>
      <c r="F45" s="65" t="n">
        <f aca="false">E45+F44</f>
        <v>-18965.79218107</v>
      </c>
      <c r="G45" s="65" t="n">
        <f aca="false">F45+G44</f>
        <v>-23709.4907407407</v>
      </c>
      <c r="H45" s="65" t="n">
        <f aca="false">G45+H44</f>
        <v>-28454.0895061728</v>
      </c>
      <c r="I45" s="65" t="n">
        <f aca="false">H45+I44</f>
        <v>-33199.5884773663</v>
      </c>
      <c r="J45" s="65" t="n">
        <f aca="false">I45+J44</f>
        <v>-37945.987654321</v>
      </c>
      <c r="K45" s="65" t="n">
        <f aca="false">J45+K44</f>
        <v>-42693.2870370371</v>
      </c>
      <c r="L45" s="65" t="n">
        <f aca="false">K45+L44</f>
        <v>-47441.4866255144</v>
      </c>
      <c r="M45" s="65" t="n">
        <f aca="false">L45+M44</f>
        <v>-52190.5864197531</v>
      </c>
      <c r="N45" s="65" t="n">
        <f aca="false">M45+N44</f>
        <v>-56940.5864197531</v>
      </c>
      <c r="O45" s="65" t="n">
        <f aca="false">N45+O44</f>
        <v>-61691.5136316873</v>
      </c>
      <c r="P45" s="65" t="n">
        <f aca="false">O45+P44</f>
        <v>-66443.3680555556</v>
      </c>
      <c r="Q45" s="65" t="n">
        <f aca="false">P45+Q44</f>
        <v>-71196.1496913581</v>
      </c>
      <c r="R45" s="65" t="n">
        <f aca="false">Q45+R44</f>
        <v>-75949.8585390947</v>
      </c>
      <c r="S45" s="65" t="n">
        <f aca="false">R45+S44</f>
        <v>-80704.4945987655</v>
      </c>
      <c r="T45" s="65" t="n">
        <f aca="false">S45+T44</f>
        <v>-85460.0578703704</v>
      </c>
      <c r="U45" s="65" t="n">
        <f aca="false">T45+U44</f>
        <v>-90216.5483539095</v>
      </c>
      <c r="V45" s="65" t="n">
        <f aca="false">U45+V44</f>
        <v>-94973.9660493828</v>
      </c>
      <c r="W45" s="65" t="n">
        <f aca="false">V45+W44</f>
        <v>-99732.3109567902</v>
      </c>
      <c r="X45" s="65" t="n">
        <f aca="false">W45+X44</f>
        <v>-104491.583076132</v>
      </c>
      <c r="Y45" s="65" t="n">
        <f aca="false">X45+Y44</f>
        <v>-109251.782407407</v>
      </c>
      <c r="Z45" s="65" t="n">
        <f aca="false">Y45+Z44</f>
        <v>-114012.908950617</v>
      </c>
      <c r="AA45" s="65" t="n">
        <f aca="false">Z45+AA44</f>
        <v>-118774.990522119</v>
      </c>
      <c r="AB45" s="65" t="n">
        <f aca="false">AA45+AB44</f>
        <v>-123538.027121914</v>
      </c>
      <c r="AC45" s="65" t="n">
        <f aca="false">AB45+AC44</f>
        <v>-128302.01875</v>
      </c>
      <c r="AD45" s="65" t="n">
        <f aca="false">AC45+AD44</f>
        <v>-133066.965406379</v>
      </c>
      <c r="AE45" s="65" t="n">
        <f aca="false">AD45+AE44</f>
        <v>-137832.86709105</v>
      </c>
      <c r="AF45" s="65" t="n">
        <f aca="false">AE45+AF44</f>
        <v>-142599.723804012</v>
      </c>
      <c r="AG45" s="65" t="n">
        <f aca="false">AF45+AG44</f>
        <v>-147367.535545268</v>
      </c>
      <c r="AH45" s="65" t="n">
        <f aca="false">AG45+AH44</f>
        <v>-152136.302314815</v>
      </c>
      <c r="AI45" s="65" t="n">
        <f aca="false">AH45+AI44</f>
        <v>-156906.024112654</v>
      </c>
      <c r="AJ45" s="65" t="n">
        <f aca="false">AI45+AJ44</f>
        <v>-161676.700938786</v>
      </c>
      <c r="AK45" s="65" t="n">
        <f aca="false">AJ45+AK44</f>
        <v>-166448.33279321</v>
      </c>
      <c r="AL45" s="65" t="n">
        <f aca="false">AK45+AL44</f>
        <v>-171220.919675926</v>
      </c>
      <c r="AM45" s="65" t="n">
        <f aca="false">AL45+AM44</f>
        <v>-175994.490237783</v>
      </c>
      <c r="AN45" s="65" t="n">
        <f aca="false">AM45+AN44</f>
        <v>-180769.044478781</v>
      </c>
      <c r="AO45" s="65" t="n">
        <f aca="false">AN45+AO44</f>
        <v>-185544.58239892</v>
      </c>
      <c r="AP45" s="65" t="n">
        <f aca="false">AO45+AP44</f>
        <v>-190321.1039982</v>
      </c>
      <c r="AQ45" s="65" t="n">
        <f aca="false">AP45+AQ44</f>
        <v>-195098.609276621</v>
      </c>
      <c r="AR45" s="65" t="n">
        <f aca="false">AQ45+AR44</f>
        <v>-199877.098234182</v>
      </c>
      <c r="AS45" s="65" t="n">
        <f aca="false">AR45+AS44</f>
        <v>-204656.570870885</v>
      </c>
      <c r="AT45" s="65" t="n">
        <f aca="false">AS45+AT44</f>
        <v>-209437.027186729</v>
      </c>
      <c r="AU45" s="65" t="n">
        <f aca="false">AT45+AU44</f>
        <v>-214218.467181713</v>
      </c>
      <c r="AV45" s="65" t="n">
        <f aca="false">AU45+AV44</f>
        <v>-219000.890855839</v>
      </c>
      <c r="AW45" s="65" t="n">
        <f aca="false">AV45+AW44</f>
        <v>-223784.298209105</v>
      </c>
      <c r="AX45" s="65" t="n">
        <f aca="false">AW45+AX44</f>
        <v>-228568.689241512</v>
      </c>
      <c r="AY45" s="65" t="n">
        <f aca="false">AX45+AY44</f>
        <v>-233354.093463435</v>
      </c>
      <c r="AZ45" s="65" t="n">
        <f aca="false">AY45+AZ44</f>
        <v>-238140.510874873</v>
      </c>
      <c r="BA45" s="65" t="n">
        <f aca="false">AZ45+BA44</f>
        <v>-242927.941475826</v>
      </c>
      <c r="BB45" s="65" t="n">
        <f aca="false">BA45+BB44</f>
        <v>-247716.385266294</v>
      </c>
      <c r="BC45" s="65" t="n">
        <f aca="false">BB45+BC44</f>
        <v>-252505.842246277</v>
      </c>
      <c r="BD45" s="65" t="n">
        <f aca="false">BC45+BD44</f>
        <v>-257296.312415776</v>
      </c>
      <c r="BE45" s="65" t="n">
        <f aca="false">BD45+BE44</f>
        <v>-262087.795774789</v>
      </c>
      <c r="BF45" s="65" t="n">
        <f aca="false">BE45+BF44</f>
        <v>-266880.292323318</v>
      </c>
      <c r="BG45" s="65" t="n">
        <f aca="false">BF45+BG44</f>
        <v>-271673.802061362</v>
      </c>
      <c r="BH45" s="65" t="n">
        <f aca="false">BG45+BH44</f>
        <v>-276468.324988921</v>
      </c>
      <c r="BI45" s="65" t="n">
        <f aca="false">BH45+BI44</f>
        <v>-281263.861105996</v>
      </c>
      <c r="BJ45" s="65" t="n">
        <f aca="false">BI45+BJ44</f>
        <v>-286060.410412585</v>
      </c>
    </row>
    <row r="46" customFormat="false" ht="15" hidden="false" customHeight="false" outlineLevel="0" collapsed="false">
      <c r="A46" s="4" t="s">
        <v>92</v>
      </c>
      <c r="C46" s="71" t="n">
        <f aca="false">C42+C45</f>
        <v>1901051.56893004</v>
      </c>
      <c r="D46" s="71" t="n">
        <f aca="false">D42+D45</f>
        <v>1896602.23765432</v>
      </c>
      <c r="E46" s="71" t="n">
        <f aca="false">E42+E45</f>
        <v>1892152.00617284</v>
      </c>
      <c r="F46" s="71" t="n">
        <f aca="false">F42+F45</f>
        <v>1887700.8744856</v>
      </c>
      <c r="G46" s="71" t="n">
        <f aca="false">G42+G45</f>
        <v>1883248.84259259</v>
      </c>
      <c r="H46" s="71" t="n">
        <f aca="false">H42+H45</f>
        <v>1878795.91049383</v>
      </c>
      <c r="I46" s="71" t="n">
        <f aca="false">I42+I45</f>
        <v>1874342.0781893</v>
      </c>
      <c r="J46" s="71" t="n">
        <f aca="false">J42+J45</f>
        <v>1869887.34567901</v>
      </c>
      <c r="K46" s="71" t="n">
        <f aca="false">K42+K45</f>
        <v>1865431.71296296</v>
      </c>
      <c r="L46" s="71" t="n">
        <f aca="false">L42+L45</f>
        <v>1860975.18004115</v>
      </c>
      <c r="M46" s="71" t="n">
        <f aca="false">M42+M45</f>
        <v>1856517.74691358</v>
      </c>
      <c r="N46" s="71" t="n">
        <f aca="false">N42+N45</f>
        <v>1852059.41358025</v>
      </c>
      <c r="O46" s="71" t="n">
        <f aca="false">O42+O45</f>
        <v>1847608.90303498</v>
      </c>
      <c r="P46" s="71" t="n">
        <f aca="false">P42+P45</f>
        <v>1843157.46527778</v>
      </c>
      <c r="Q46" s="71" t="n">
        <f aca="false">Q42+Q45</f>
        <v>1838705.10030864</v>
      </c>
      <c r="R46" s="71" t="n">
        <f aca="false">R42+R45</f>
        <v>1834251.80812757</v>
      </c>
      <c r="S46" s="71" t="n">
        <f aca="false">S42+S45</f>
        <v>1829797.58873457</v>
      </c>
      <c r="T46" s="71" t="n">
        <f aca="false">T42+T45</f>
        <v>1825342.44212963</v>
      </c>
      <c r="U46" s="71" t="n">
        <f aca="false">U42+U45</f>
        <v>1820886.36831276</v>
      </c>
      <c r="V46" s="71" t="n">
        <f aca="false">V42+V45</f>
        <v>1816429.36728395</v>
      </c>
      <c r="W46" s="71" t="n">
        <f aca="false">W42+W45</f>
        <v>1811971.43904321</v>
      </c>
      <c r="X46" s="71" t="n">
        <f aca="false">X42+X45</f>
        <v>1807512.58359054</v>
      </c>
      <c r="Y46" s="71" t="n">
        <f aca="false">Y42+Y45</f>
        <v>1803052.80092593</v>
      </c>
      <c r="Z46" s="71" t="n">
        <f aca="false">Z42+Z45</f>
        <v>1798592.09104938</v>
      </c>
      <c r="AA46" s="71" t="n">
        <f aca="false">AA42+AA45</f>
        <v>1794139.43864455</v>
      </c>
      <c r="AB46" s="71" t="n">
        <f aca="false">AB42+AB45</f>
        <v>1789685.83121142</v>
      </c>
      <c r="AC46" s="71" t="n">
        <f aca="false">AC42+AC45</f>
        <v>1785231.26875</v>
      </c>
      <c r="AD46" s="71" t="n">
        <f aca="false">AD42+AD45</f>
        <v>1780775.75126029</v>
      </c>
      <c r="AE46" s="71" t="n">
        <f aca="false">AE42+AE45</f>
        <v>1776319.27874229</v>
      </c>
      <c r="AF46" s="71" t="n">
        <f aca="false">AF42+AF45</f>
        <v>1771861.85119599</v>
      </c>
      <c r="AG46" s="71" t="n">
        <f aca="false">AG42+AG45</f>
        <v>1767403.4686214</v>
      </c>
      <c r="AH46" s="71" t="n">
        <f aca="false">AH42+AH45</f>
        <v>1762944.13101852</v>
      </c>
      <c r="AI46" s="71" t="n">
        <f aca="false">AI42+AI45</f>
        <v>1758483.83838735</v>
      </c>
      <c r="AJ46" s="71" t="n">
        <f aca="false">AJ42+AJ45</f>
        <v>1754022.59072788</v>
      </c>
      <c r="AK46" s="71" t="n">
        <f aca="false">AK42+AK45</f>
        <v>1749560.38804013</v>
      </c>
      <c r="AL46" s="71" t="n">
        <f aca="false">AL42+AL45</f>
        <v>1745097.23032408</v>
      </c>
      <c r="AM46" s="71" t="n">
        <f aca="false">AM42+AM45</f>
        <v>1740642.37180389</v>
      </c>
      <c r="AN46" s="71" t="n">
        <f aca="false">AN42+AN45</f>
        <v>1736186.52960455</v>
      </c>
      <c r="AO46" s="71" t="n">
        <f aca="false">AO42+AO45</f>
        <v>1731729.70372608</v>
      </c>
      <c r="AP46" s="71" t="n">
        <f aca="false">AP42+AP45</f>
        <v>1727271.89416847</v>
      </c>
      <c r="AQ46" s="71" t="n">
        <f aca="false">AQ42+AQ45</f>
        <v>1722813.10093172</v>
      </c>
      <c r="AR46" s="71" t="n">
        <f aca="false">AR42+AR45</f>
        <v>1718353.32401582</v>
      </c>
      <c r="AS46" s="71" t="n">
        <f aca="false">AS42+AS45</f>
        <v>1713892.56342078</v>
      </c>
      <c r="AT46" s="71" t="n">
        <f aca="false">AT42+AT45</f>
        <v>1709430.81914661</v>
      </c>
      <c r="AU46" s="71" t="n">
        <f aca="false">AU42+AU45</f>
        <v>1704968.09119329</v>
      </c>
      <c r="AV46" s="71" t="n">
        <f aca="false">AV42+AV45</f>
        <v>1700504.37956083</v>
      </c>
      <c r="AW46" s="71" t="n">
        <f aca="false">AW42+AW45</f>
        <v>1696039.68424923</v>
      </c>
      <c r="AX46" s="71" t="n">
        <f aca="false">AX42+AX45</f>
        <v>1691574.00525849</v>
      </c>
      <c r="AY46" s="71" t="n">
        <f aca="false">AY42+AY45</f>
        <v>1687116.87443948</v>
      </c>
      <c r="AZ46" s="71" t="n">
        <f aca="false">AZ42+AZ45</f>
        <v>1682658.73043096</v>
      </c>
      <c r="BA46" s="71" t="n">
        <f aca="false">BA42+BA45</f>
        <v>1678199.57323293</v>
      </c>
      <c r="BB46" s="71" t="n">
        <f aca="false">BB42+BB45</f>
        <v>1673739.40284538</v>
      </c>
      <c r="BC46" s="71" t="n">
        <f aca="false">BC42+BC45</f>
        <v>1669278.21926831</v>
      </c>
      <c r="BD46" s="71" t="n">
        <f aca="false">BD42+BD45</f>
        <v>1664816.02250173</v>
      </c>
      <c r="BE46" s="71" t="n">
        <f aca="false">BE42+BE45</f>
        <v>1660352.81254563</v>
      </c>
      <c r="BF46" s="71" t="n">
        <f aca="false">BF42+BF45</f>
        <v>1655888.58940002</v>
      </c>
      <c r="BG46" s="71" t="n">
        <f aca="false">BG42+BG45</f>
        <v>1651423.35306489</v>
      </c>
      <c r="BH46" s="71" t="n">
        <f aca="false">BH42+BH45</f>
        <v>1646957.10354025</v>
      </c>
      <c r="BI46" s="71" t="n">
        <f aca="false">BI42+BI45</f>
        <v>1642489.84082609</v>
      </c>
      <c r="BJ46" s="71" t="n">
        <f aca="false">BJ42+BJ45</f>
        <v>1638021.56492242</v>
      </c>
    </row>
    <row r="48" customFormat="false" ht="15.75" hidden="false" customHeight="true" outlineLevel="0" collapsed="false">
      <c r="A48" s="7" t="s">
        <v>431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432</v>
      </c>
      <c r="C49" s="65" t="n">
        <f aca="false">0</f>
        <v>0</v>
      </c>
      <c r="D49" s="65" t="n">
        <f aca="false">C54</f>
        <v>1198915.18371808</v>
      </c>
      <c r="E49" s="65" t="n">
        <f aca="false">D54</f>
        <v>1197824.49134798</v>
      </c>
      <c r="F49" s="65" t="n">
        <f aca="false">E54</f>
        <v>1196727.89106086</v>
      </c>
      <c r="G49" s="65" t="n">
        <f aca="false">F54</f>
        <v>1195625.35085553</v>
      </c>
      <c r="H49" s="65" t="n">
        <f aca="false">G54</f>
        <v>1194516.83855741</v>
      </c>
      <c r="I49" s="65" t="n">
        <f aca="false">H54</f>
        <v>1193402.32181768</v>
      </c>
      <c r="J49" s="65" t="n">
        <f aca="false">I54</f>
        <v>1192281.76811228</v>
      </c>
      <c r="K49" s="65" t="n">
        <f aca="false">J54</f>
        <v>1191155.14474097</v>
      </c>
      <c r="L49" s="65" t="n">
        <f aca="false">K54</f>
        <v>1190022.4188264</v>
      </c>
      <c r="M49" s="65" t="n">
        <f aca="false">L54</f>
        <v>1188883.55731313</v>
      </c>
      <c r="N49" s="65" t="n">
        <f aca="false">M54</f>
        <v>1187738.52696666</v>
      </c>
      <c r="O49" s="65" t="n">
        <f aca="false">N54</f>
        <v>1186587.29437248</v>
      </c>
      <c r="P49" s="65" t="n">
        <f aca="false">O54</f>
        <v>1185429.82593508</v>
      </c>
      <c r="Q49" s="65" t="n">
        <f aca="false">P54</f>
        <v>1184266.08787698</v>
      </c>
      <c r="R49" s="65" t="n">
        <f aca="false">Q54</f>
        <v>1183096.04623773</v>
      </c>
      <c r="S49" s="65" t="n">
        <f aca="false">R54</f>
        <v>1181919.66687294</v>
      </c>
      <c r="T49" s="65" t="n">
        <f aca="false">S54</f>
        <v>1180736.91545325</v>
      </c>
      <c r="U49" s="65" t="n">
        <f aca="false">T54</f>
        <v>1179547.75746337</v>
      </c>
      <c r="V49" s="65" t="n">
        <f aca="false">U54</f>
        <v>1178352.15820105</v>
      </c>
      <c r="W49" s="65" t="n">
        <f aca="false">V54</f>
        <v>1177150.08277606</v>
      </c>
      <c r="X49" s="65" t="n">
        <f aca="false">W54</f>
        <v>1175941.49610918</v>
      </c>
      <c r="Y49" s="65" t="n">
        <f aca="false">X54</f>
        <v>1174726.36293119</v>
      </c>
      <c r="Z49" s="65" t="n">
        <f aca="false">Y54</f>
        <v>1173504.64778182</v>
      </c>
      <c r="AA49" s="65" t="n">
        <f aca="false">Z54</f>
        <v>1172276.31500872</v>
      </c>
      <c r="AB49" s="65" t="n">
        <f aca="false">AA54</f>
        <v>1171041.32876644</v>
      </c>
      <c r="AC49" s="65" t="n">
        <f aca="false">AB54</f>
        <v>1169799.65301534</v>
      </c>
      <c r="AD49" s="65" t="n">
        <f aca="false">AC54</f>
        <v>1168551.25152059</v>
      </c>
      <c r="AE49" s="65" t="n">
        <f aca="false">AD54</f>
        <v>1167296.08785108</v>
      </c>
      <c r="AF49" s="65" t="n">
        <f aca="false">AE54</f>
        <v>1166034.12537835</v>
      </c>
      <c r="AG49" s="65" t="n">
        <f aca="false">AF54</f>
        <v>1164765.32727557</v>
      </c>
      <c r="AH49" s="65" t="n">
        <f aca="false">AG54</f>
        <v>1163489.6565164</v>
      </c>
      <c r="AI49" s="65" t="n">
        <f aca="false">AH54</f>
        <v>1162207.07587395</v>
      </c>
      <c r="AJ49" s="65" t="n">
        <f aca="false">AI54</f>
        <v>1160917.54791968</v>
      </c>
      <c r="AK49" s="65" t="n">
        <f aca="false">AJ54</f>
        <v>1159621.03502233</v>
      </c>
      <c r="AL49" s="65" t="n">
        <f aca="false">AK54</f>
        <v>1158317.49934679</v>
      </c>
      <c r="AM49" s="65" t="n">
        <f aca="false">AL54</f>
        <v>1157006.902853</v>
      </c>
      <c r="AN49" s="65" t="n">
        <f aca="false">AM54</f>
        <v>1155689.20729487</v>
      </c>
      <c r="AO49" s="65" t="n">
        <f aca="false">AN54</f>
        <v>1154364.37421914</v>
      </c>
      <c r="AP49" s="65" t="n">
        <f aca="false">AO54</f>
        <v>1153032.36496424</v>
      </c>
      <c r="AQ49" s="65" t="n">
        <f aca="false">AP54</f>
        <v>1151693.14065922</v>
      </c>
      <c r="AR49" s="65" t="n">
        <f aca="false">AQ54</f>
        <v>1150346.66222254</v>
      </c>
      <c r="AS49" s="65" t="n">
        <f aca="false">AR54</f>
        <v>1148992.89036099</v>
      </c>
      <c r="AT49" s="65" t="n">
        <f aca="false">AS54</f>
        <v>1147631.78556853</v>
      </c>
      <c r="AU49" s="65" t="n">
        <f aca="false">AT54</f>
        <v>1146263.30812511</v>
      </c>
      <c r="AV49" s="65" t="n">
        <f aca="false">AU54</f>
        <v>1144887.41809554</v>
      </c>
      <c r="AW49" s="65" t="n">
        <f aca="false">AV54</f>
        <v>1143504.07532831</v>
      </c>
      <c r="AX49" s="65" t="n">
        <f aca="false">AW54</f>
        <v>1142113.23945442</v>
      </c>
      <c r="AY49" s="65" t="n">
        <f aca="false">AX54</f>
        <v>1140714.86988622</v>
      </c>
      <c r="AZ49" s="65" t="n">
        <f aca="false">AY54</f>
        <v>1139308.92581619</v>
      </c>
      <c r="BA49" s="65" t="n">
        <f aca="false">AZ54</f>
        <v>1137895.36621578</v>
      </c>
      <c r="BB49" s="65" t="n">
        <f aca="false">BA54</f>
        <v>1136474.1498342</v>
      </c>
      <c r="BC49" s="65" t="n">
        <f aca="false">BB54</f>
        <v>1135045.23519722</v>
      </c>
      <c r="BD49" s="65" t="n">
        <f aca="false">BC54</f>
        <v>1133608.58060595</v>
      </c>
      <c r="BE49" s="65" t="n">
        <f aca="false">BD54</f>
        <v>1132164.14413565</v>
      </c>
      <c r="BF49" s="65" t="n">
        <f aca="false">BE54</f>
        <v>1130711.88363447</v>
      </c>
      <c r="BG49" s="65" t="n">
        <f aca="false">BF54</f>
        <v>1129251.75672224</v>
      </c>
      <c r="BH49" s="65" t="n">
        <f aca="false">BG54</f>
        <v>1127783.72078924</v>
      </c>
      <c r="BI49" s="65" t="n">
        <f aca="false">BH54</f>
        <v>1126307.73299493</v>
      </c>
      <c r="BJ49" s="65" t="n">
        <f aca="false">BI54</f>
        <v>1124823.75026674</v>
      </c>
    </row>
    <row r="50" customFormat="false" ht="15" hidden="false" customHeight="false" outlineLevel="0" collapsed="false">
      <c r="A50" s="6" t="s">
        <v>85</v>
      </c>
      <c r="C50" s="65" t="n">
        <f aca="false">IF(C$4=1,Inputs!$E$35,0)</f>
        <v>1200000</v>
      </c>
      <c r="D50" s="65" t="n">
        <f aca="false">IF(D$4=1,Inputs!$E$35,0)</f>
        <v>0</v>
      </c>
      <c r="E50" s="65" t="n">
        <f aca="false">IF(E$4=1,Inputs!$E$35,0)</f>
        <v>0</v>
      </c>
      <c r="F50" s="65" t="n">
        <f aca="false">IF(F$4=1,Inputs!$E$35,0)</f>
        <v>0</v>
      </c>
      <c r="G50" s="65" t="n">
        <f aca="false">IF(G$4=1,Inputs!$E$35,0)</f>
        <v>0</v>
      </c>
      <c r="H50" s="65" t="n">
        <f aca="false">IF(H$4=1,Inputs!$E$35,0)</f>
        <v>0</v>
      </c>
      <c r="I50" s="65" t="n">
        <f aca="false">IF(I$4=1,Inputs!$E$35,0)</f>
        <v>0</v>
      </c>
      <c r="J50" s="65" t="n">
        <f aca="false">IF(J$4=1,Inputs!$E$35,0)</f>
        <v>0</v>
      </c>
      <c r="K50" s="65" t="n">
        <f aca="false">IF(K$4=1,Inputs!$E$35,0)</f>
        <v>0</v>
      </c>
      <c r="L50" s="65" t="n">
        <f aca="false">IF(L$4=1,Inputs!$E$35,0)</f>
        <v>0</v>
      </c>
      <c r="M50" s="65" t="n">
        <f aca="false">IF(M$4=1,Inputs!$E$35,0)</f>
        <v>0</v>
      </c>
      <c r="N50" s="65" t="n">
        <f aca="false">IF(N$4=1,Inputs!$E$35,0)</f>
        <v>0</v>
      </c>
      <c r="O50" s="65" t="n">
        <f aca="false">IF(O$4=1,Inputs!$E$35,0)</f>
        <v>0</v>
      </c>
      <c r="P50" s="65" t="n">
        <f aca="false">IF(P$4=1,Inputs!$E$35,0)</f>
        <v>0</v>
      </c>
      <c r="Q50" s="65" t="n">
        <f aca="false">IF(Q$4=1,Inputs!$E$35,0)</f>
        <v>0</v>
      </c>
      <c r="R50" s="65" t="n">
        <f aca="false">IF(R$4=1,Inputs!$E$35,0)</f>
        <v>0</v>
      </c>
      <c r="S50" s="65" t="n">
        <f aca="false">IF(S$4=1,Inputs!$E$35,0)</f>
        <v>0</v>
      </c>
      <c r="T50" s="65" t="n">
        <f aca="false">IF(T$4=1,Inputs!$E$35,0)</f>
        <v>0</v>
      </c>
      <c r="U50" s="65" t="n">
        <f aca="false">IF(U$4=1,Inputs!$E$35,0)</f>
        <v>0</v>
      </c>
      <c r="V50" s="65" t="n">
        <f aca="false">IF(V$4=1,Inputs!$E$35,0)</f>
        <v>0</v>
      </c>
      <c r="W50" s="65" t="n">
        <f aca="false">IF(W$4=1,Inputs!$E$35,0)</f>
        <v>0</v>
      </c>
      <c r="X50" s="65" t="n">
        <f aca="false">IF(X$4=1,Inputs!$E$35,0)</f>
        <v>0</v>
      </c>
      <c r="Y50" s="65" t="n">
        <f aca="false">IF(Y$4=1,Inputs!$E$35,0)</f>
        <v>0</v>
      </c>
      <c r="Z50" s="65" t="n">
        <f aca="false">IF(Z$4=1,Inputs!$E$35,0)</f>
        <v>0</v>
      </c>
      <c r="AA50" s="65" t="n">
        <f aca="false">IF(AA$4=1,Inputs!$E$35,0)</f>
        <v>0</v>
      </c>
      <c r="AB50" s="65" t="n">
        <f aca="false">IF(AB$4=1,Inputs!$E$35,0)</f>
        <v>0</v>
      </c>
      <c r="AC50" s="65" t="n">
        <f aca="false">IF(AC$4=1,Inputs!$E$35,0)</f>
        <v>0</v>
      </c>
      <c r="AD50" s="65" t="n">
        <f aca="false">IF(AD$4=1,Inputs!$E$35,0)</f>
        <v>0</v>
      </c>
      <c r="AE50" s="65" t="n">
        <f aca="false">IF(AE$4=1,Inputs!$E$35,0)</f>
        <v>0</v>
      </c>
      <c r="AF50" s="65" t="n">
        <f aca="false">IF(AF$4=1,Inputs!$E$35,0)</f>
        <v>0</v>
      </c>
      <c r="AG50" s="65" t="n">
        <f aca="false">IF(AG$4=1,Inputs!$E$35,0)</f>
        <v>0</v>
      </c>
      <c r="AH50" s="65" t="n">
        <f aca="false">IF(AH$4=1,Inputs!$E$35,0)</f>
        <v>0</v>
      </c>
      <c r="AI50" s="65" t="n">
        <f aca="false">IF(AI$4=1,Inputs!$E$35,0)</f>
        <v>0</v>
      </c>
      <c r="AJ50" s="65" t="n">
        <f aca="false">IF(AJ$4=1,Inputs!$E$35,0)</f>
        <v>0</v>
      </c>
      <c r="AK50" s="65" t="n">
        <f aca="false">IF(AK$4=1,Inputs!$E$35,0)</f>
        <v>0</v>
      </c>
      <c r="AL50" s="65" t="n">
        <f aca="false">IF(AL$4=1,Inputs!$E$35,0)</f>
        <v>0</v>
      </c>
      <c r="AM50" s="65" t="n">
        <f aca="false">IF(AM$4=1,Inputs!$E$35,0)</f>
        <v>0</v>
      </c>
      <c r="AN50" s="65" t="n">
        <f aca="false">IF(AN$4=1,Inputs!$E$35,0)</f>
        <v>0</v>
      </c>
      <c r="AO50" s="65" t="n">
        <f aca="false">IF(AO$4=1,Inputs!$E$35,0)</f>
        <v>0</v>
      </c>
      <c r="AP50" s="65" t="n">
        <f aca="false">IF(AP$4=1,Inputs!$E$35,0)</f>
        <v>0</v>
      </c>
      <c r="AQ50" s="65" t="n">
        <f aca="false">IF(AQ$4=1,Inputs!$E$35,0)</f>
        <v>0</v>
      </c>
      <c r="AR50" s="65" t="n">
        <f aca="false">IF(AR$4=1,Inputs!$E$35,0)</f>
        <v>0</v>
      </c>
      <c r="AS50" s="65" t="n">
        <f aca="false">IF(AS$4=1,Inputs!$E$35,0)</f>
        <v>0</v>
      </c>
      <c r="AT50" s="65" t="n">
        <f aca="false">IF(AT$4=1,Inputs!$E$35,0)</f>
        <v>0</v>
      </c>
      <c r="AU50" s="65" t="n">
        <f aca="false">IF(AU$4=1,Inputs!$E$35,0)</f>
        <v>0</v>
      </c>
      <c r="AV50" s="65" t="n">
        <f aca="false">IF(AV$4=1,Inputs!$E$35,0)</f>
        <v>0</v>
      </c>
      <c r="AW50" s="65" t="n">
        <f aca="false">IF(AW$4=1,Inputs!$E$35,0)</f>
        <v>0</v>
      </c>
      <c r="AX50" s="65" t="n">
        <f aca="false">IF(AX$4=1,Inputs!$E$35,0)</f>
        <v>0</v>
      </c>
      <c r="AY50" s="65" t="n">
        <f aca="false">IF(AY$4=1,Inputs!$E$35,0)</f>
        <v>0</v>
      </c>
      <c r="AZ50" s="65" t="n">
        <f aca="false">IF(AZ$4=1,Inputs!$E$35,0)</f>
        <v>0</v>
      </c>
      <c r="BA50" s="65" t="n">
        <f aca="false">IF(BA$4=1,Inputs!$E$35,0)</f>
        <v>0</v>
      </c>
      <c r="BB50" s="65" t="n">
        <f aca="false">IF(BB$4=1,Inputs!$E$35,0)</f>
        <v>0</v>
      </c>
      <c r="BC50" s="65" t="n">
        <f aca="false">IF(BC$4=1,Inputs!$E$35,0)</f>
        <v>0</v>
      </c>
      <c r="BD50" s="65" t="n">
        <f aca="false">IF(BD$4=1,Inputs!$E$35,0)</f>
        <v>0</v>
      </c>
      <c r="BE50" s="65" t="n">
        <f aca="false">IF(BE$4=1,Inputs!$E$35,0)</f>
        <v>0</v>
      </c>
      <c r="BF50" s="65" t="n">
        <f aca="false">IF(BF$4=1,Inputs!$E$35,0)</f>
        <v>0</v>
      </c>
      <c r="BG50" s="65" t="n">
        <f aca="false">IF(BG$4=1,Inputs!$E$35,0)</f>
        <v>0</v>
      </c>
      <c r="BH50" s="65" t="n">
        <f aca="false">IF(BH$4=1,Inputs!$E$35,0)</f>
        <v>0</v>
      </c>
      <c r="BI50" s="65" t="n">
        <f aca="false">IF(BI$4=1,Inputs!$E$35,0)</f>
        <v>0</v>
      </c>
      <c r="BJ50" s="65" t="n">
        <f aca="false">IF(BJ$4=1,Inputs!$E$35,0)</f>
        <v>0</v>
      </c>
    </row>
    <row r="51" customFormat="false" ht="15" hidden="false" customHeight="false" outlineLevel="0" collapsed="false">
      <c r="A51" s="6" t="s">
        <v>433</v>
      </c>
      <c r="C51" s="65" t="n">
        <f aca="false">-PMT(Inputs!$E$36/12,MAX(1,Inputs!$E$37*12),Inputs!$E$35)</f>
        <v>7584.81628191557</v>
      </c>
      <c r="D51" s="65" t="n">
        <f aca="false">-PMT(Inputs!$E$36/12,MAX(1,Inputs!$E$37*12),Inputs!$E$35)</f>
        <v>7584.81628191557</v>
      </c>
      <c r="E51" s="65" t="n">
        <f aca="false">-PMT(Inputs!$E$36/12,MAX(1,Inputs!$E$37*12),Inputs!$E$35)</f>
        <v>7584.81628191557</v>
      </c>
      <c r="F51" s="65" t="n">
        <f aca="false">-PMT(Inputs!$E$36/12,MAX(1,Inputs!$E$37*12),Inputs!$E$35)</f>
        <v>7584.81628191557</v>
      </c>
      <c r="G51" s="65" t="n">
        <f aca="false">-PMT(Inputs!$E$36/12,MAX(1,Inputs!$E$37*12),Inputs!$E$35)</f>
        <v>7584.81628191557</v>
      </c>
      <c r="H51" s="65" t="n">
        <f aca="false">-PMT(Inputs!$E$36/12,MAX(1,Inputs!$E$37*12),Inputs!$E$35)</f>
        <v>7584.81628191557</v>
      </c>
      <c r="I51" s="65" t="n">
        <f aca="false">-PMT(Inputs!$E$36/12,MAX(1,Inputs!$E$37*12),Inputs!$E$35)</f>
        <v>7584.81628191557</v>
      </c>
      <c r="J51" s="65" t="n">
        <f aca="false">-PMT(Inputs!$E$36/12,MAX(1,Inputs!$E$37*12),Inputs!$E$35)</f>
        <v>7584.81628191557</v>
      </c>
      <c r="K51" s="65" t="n">
        <f aca="false">-PMT(Inputs!$E$36/12,MAX(1,Inputs!$E$37*12),Inputs!$E$35)</f>
        <v>7584.81628191557</v>
      </c>
      <c r="L51" s="65" t="n">
        <f aca="false">-PMT(Inputs!$E$36/12,MAX(1,Inputs!$E$37*12),Inputs!$E$35)</f>
        <v>7584.81628191557</v>
      </c>
      <c r="M51" s="65" t="n">
        <f aca="false">-PMT(Inputs!$E$36/12,MAX(1,Inputs!$E$37*12),Inputs!$E$35)</f>
        <v>7584.81628191557</v>
      </c>
      <c r="N51" s="65" t="n">
        <f aca="false">-PMT(Inputs!$E$36/12,MAX(1,Inputs!$E$37*12),Inputs!$E$35)</f>
        <v>7584.81628191557</v>
      </c>
      <c r="O51" s="65" t="n">
        <f aca="false">-PMT(Inputs!$E$36/12,MAX(1,Inputs!$E$37*12),Inputs!$E$35)</f>
        <v>7584.81628191557</v>
      </c>
      <c r="P51" s="65" t="n">
        <f aca="false">-PMT(Inputs!$E$36/12,MAX(1,Inputs!$E$37*12),Inputs!$E$35)</f>
        <v>7584.81628191557</v>
      </c>
      <c r="Q51" s="65" t="n">
        <f aca="false">-PMT(Inputs!$E$36/12,MAX(1,Inputs!$E$37*12),Inputs!$E$35)</f>
        <v>7584.81628191557</v>
      </c>
      <c r="R51" s="65" t="n">
        <f aca="false">-PMT(Inputs!$E$36/12,MAX(1,Inputs!$E$37*12),Inputs!$E$35)</f>
        <v>7584.81628191557</v>
      </c>
      <c r="S51" s="65" t="n">
        <f aca="false">-PMT(Inputs!$E$36/12,MAX(1,Inputs!$E$37*12),Inputs!$E$35)</f>
        <v>7584.81628191557</v>
      </c>
      <c r="T51" s="65" t="n">
        <f aca="false">-PMT(Inputs!$E$36/12,MAX(1,Inputs!$E$37*12),Inputs!$E$35)</f>
        <v>7584.81628191557</v>
      </c>
      <c r="U51" s="65" t="n">
        <f aca="false">-PMT(Inputs!$E$36/12,MAX(1,Inputs!$E$37*12),Inputs!$E$35)</f>
        <v>7584.81628191557</v>
      </c>
      <c r="V51" s="65" t="n">
        <f aca="false">-PMT(Inputs!$E$36/12,MAX(1,Inputs!$E$37*12),Inputs!$E$35)</f>
        <v>7584.81628191557</v>
      </c>
      <c r="W51" s="65" t="n">
        <f aca="false">-PMT(Inputs!$E$36/12,MAX(1,Inputs!$E$37*12),Inputs!$E$35)</f>
        <v>7584.81628191557</v>
      </c>
      <c r="X51" s="65" t="n">
        <f aca="false">-PMT(Inputs!$E$36/12,MAX(1,Inputs!$E$37*12),Inputs!$E$35)</f>
        <v>7584.81628191557</v>
      </c>
      <c r="Y51" s="65" t="n">
        <f aca="false">-PMT(Inputs!$E$36/12,MAX(1,Inputs!$E$37*12),Inputs!$E$35)</f>
        <v>7584.81628191557</v>
      </c>
      <c r="Z51" s="65" t="n">
        <f aca="false">-PMT(Inputs!$E$36/12,MAX(1,Inputs!$E$37*12),Inputs!$E$35)</f>
        <v>7584.81628191557</v>
      </c>
      <c r="AA51" s="65" t="n">
        <f aca="false">-PMT(Inputs!$E$36/12,MAX(1,Inputs!$E$37*12),Inputs!$E$35)</f>
        <v>7584.81628191557</v>
      </c>
      <c r="AB51" s="65" t="n">
        <f aca="false">-PMT(Inputs!$E$36/12,MAX(1,Inputs!$E$37*12),Inputs!$E$35)</f>
        <v>7584.81628191557</v>
      </c>
      <c r="AC51" s="65" t="n">
        <f aca="false">-PMT(Inputs!$E$36/12,MAX(1,Inputs!$E$37*12),Inputs!$E$35)</f>
        <v>7584.81628191557</v>
      </c>
      <c r="AD51" s="65" t="n">
        <f aca="false">-PMT(Inputs!$E$36/12,MAX(1,Inputs!$E$37*12),Inputs!$E$35)</f>
        <v>7584.81628191557</v>
      </c>
      <c r="AE51" s="65" t="n">
        <f aca="false">-PMT(Inputs!$E$36/12,MAX(1,Inputs!$E$37*12),Inputs!$E$35)</f>
        <v>7584.81628191557</v>
      </c>
      <c r="AF51" s="65" t="n">
        <f aca="false">-PMT(Inputs!$E$36/12,MAX(1,Inputs!$E$37*12),Inputs!$E$35)</f>
        <v>7584.81628191557</v>
      </c>
      <c r="AG51" s="65" t="n">
        <f aca="false">-PMT(Inputs!$E$36/12,MAX(1,Inputs!$E$37*12),Inputs!$E$35)</f>
        <v>7584.81628191557</v>
      </c>
      <c r="AH51" s="65" t="n">
        <f aca="false">-PMT(Inputs!$E$36/12,MAX(1,Inputs!$E$37*12),Inputs!$E$35)</f>
        <v>7584.81628191557</v>
      </c>
      <c r="AI51" s="65" t="n">
        <f aca="false">-PMT(Inputs!$E$36/12,MAX(1,Inputs!$E$37*12),Inputs!$E$35)</f>
        <v>7584.81628191557</v>
      </c>
      <c r="AJ51" s="65" t="n">
        <f aca="false">-PMT(Inputs!$E$36/12,MAX(1,Inputs!$E$37*12),Inputs!$E$35)</f>
        <v>7584.81628191557</v>
      </c>
      <c r="AK51" s="65" t="n">
        <f aca="false">-PMT(Inputs!$E$36/12,MAX(1,Inputs!$E$37*12),Inputs!$E$35)</f>
        <v>7584.81628191557</v>
      </c>
      <c r="AL51" s="65" t="n">
        <f aca="false">-PMT(Inputs!$E$36/12,MAX(1,Inputs!$E$37*12),Inputs!$E$35)</f>
        <v>7584.81628191557</v>
      </c>
      <c r="AM51" s="65" t="n">
        <f aca="false">-PMT(Inputs!$E$36/12,MAX(1,Inputs!$E$37*12),Inputs!$E$35)</f>
        <v>7584.81628191557</v>
      </c>
      <c r="AN51" s="65" t="n">
        <f aca="false">-PMT(Inputs!$E$36/12,MAX(1,Inputs!$E$37*12),Inputs!$E$35)</f>
        <v>7584.81628191557</v>
      </c>
      <c r="AO51" s="65" t="n">
        <f aca="false">-PMT(Inputs!$E$36/12,MAX(1,Inputs!$E$37*12),Inputs!$E$35)</f>
        <v>7584.81628191557</v>
      </c>
      <c r="AP51" s="65" t="n">
        <f aca="false">-PMT(Inputs!$E$36/12,MAX(1,Inputs!$E$37*12),Inputs!$E$35)</f>
        <v>7584.81628191557</v>
      </c>
      <c r="AQ51" s="65" t="n">
        <f aca="false">-PMT(Inputs!$E$36/12,MAX(1,Inputs!$E$37*12),Inputs!$E$35)</f>
        <v>7584.81628191557</v>
      </c>
      <c r="AR51" s="65" t="n">
        <f aca="false">-PMT(Inputs!$E$36/12,MAX(1,Inputs!$E$37*12),Inputs!$E$35)</f>
        <v>7584.81628191557</v>
      </c>
      <c r="AS51" s="65" t="n">
        <f aca="false">-PMT(Inputs!$E$36/12,MAX(1,Inputs!$E$37*12),Inputs!$E$35)</f>
        <v>7584.81628191557</v>
      </c>
      <c r="AT51" s="65" t="n">
        <f aca="false">-PMT(Inputs!$E$36/12,MAX(1,Inputs!$E$37*12),Inputs!$E$35)</f>
        <v>7584.81628191557</v>
      </c>
      <c r="AU51" s="65" t="n">
        <f aca="false">-PMT(Inputs!$E$36/12,MAX(1,Inputs!$E$37*12),Inputs!$E$35)</f>
        <v>7584.81628191557</v>
      </c>
      <c r="AV51" s="65" t="n">
        <f aca="false">-PMT(Inputs!$E$36/12,MAX(1,Inputs!$E$37*12),Inputs!$E$35)</f>
        <v>7584.81628191557</v>
      </c>
      <c r="AW51" s="65" t="n">
        <f aca="false">-PMT(Inputs!$E$36/12,MAX(1,Inputs!$E$37*12),Inputs!$E$35)</f>
        <v>7584.81628191557</v>
      </c>
      <c r="AX51" s="65" t="n">
        <f aca="false">-PMT(Inputs!$E$36/12,MAX(1,Inputs!$E$37*12),Inputs!$E$35)</f>
        <v>7584.81628191557</v>
      </c>
      <c r="AY51" s="65" t="n">
        <f aca="false">-PMT(Inputs!$E$36/12,MAX(1,Inputs!$E$37*12),Inputs!$E$35)</f>
        <v>7584.81628191557</v>
      </c>
      <c r="AZ51" s="65" t="n">
        <f aca="false">-PMT(Inputs!$E$36/12,MAX(1,Inputs!$E$37*12),Inputs!$E$35)</f>
        <v>7584.81628191557</v>
      </c>
      <c r="BA51" s="65" t="n">
        <f aca="false">-PMT(Inputs!$E$36/12,MAX(1,Inputs!$E$37*12),Inputs!$E$35)</f>
        <v>7584.81628191557</v>
      </c>
      <c r="BB51" s="65" t="n">
        <f aca="false">-PMT(Inputs!$E$36/12,MAX(1,Inputs!$E$37*12),Inputs!$E$35)</f>
        <v>7584.81628191557</v>
      </c>
      <c r="BC51" s="65" t="n">
        <f aca="false">-PMT(Inputs!$E$36/12,MAX(1,Inputs!$E$37*12),Inputs!$E$35)</f>
        <v>7584.81628191557</v>
      </c>
      <c r="BD51" s="65" t="n">
        <f aca="false">-PMT(Inputs!$E$36/12,MAX(1,Inputs!$E$37*12),Inputs!$E$35)</f>
        <v>7584.81628191557</v>
      </c>
      <c r="BE51" s="65" t="n">
        <f aca="false">-PMT(Inputs!$E$36/12,MAX(1,Inputs!$E$37*12),Inputs!$E$35)</f>
        <v>7584.81628191557</v>
      </c>
      <c r="BF51" s="65" t="n">
        <f aca="false">-PMT(Inputs!$E$36/12,MAX(1,Inputs!$E$37*12),Inputs!$E$35)</f>
        <v>7584.81628191557</v>
      </c>
      <c r="BG51" s="65" t="n">
        <f aca="false">-PMT(Inputs!$E$36/12,MAX(1,Inputs!$E$37*12),Inputs!$E$35)</f>
        <v>7584.81628191557</v>
      </c>
      <c r="BH51" s="65" t="n">
        <f aca="false">-PMT(Inputs!$E$36/12,MAX(1,Inputs!$E$37*12),Inputs!$E$35)</f>
        <v>7584.81628191557</v>
      </c>
      <c r="BI51" s="65" t="n">
        <f aca="false">-PMT(Inputs!$E$36/12,MAX(1,Inputs!$E$37*12),Inputs!$E$35)</f>
        <v>7584.81628191557</v>
      </c>
      <c r="BJ51" s="65" t="n">
        <f aca="false">-PMT(Inputs!$E$36/12,MAX(1,Inputs!$E$37*12),Inputs!$E$35)</f>
        <v>7584.81628191557</v>
      </c>
    </row>
    <row r="52" customFormat="false" ht="15" hidden="false" customHeight="false" outlineLevel="0" collapsed="false">
      <c r="A52" s="6" t="s">
        <v>434</v>
      </c>
      <c r="C52" s="65" t="n">
        <f aca="false">-MIN(C49+C50,C51+C30)</f>
        <v>-1084.81628191557</v>
      </c>
      <c r="D52" s="65" t="n">
        <f aca="false">-MIN(D49+D50,D51+D30)</f>
        <v>-1090.69237010927</v>
      </c>
      <c r="E52" s="65" t="n">
        <f aca="false">-MIN(E49+E50,E51+E30)</f>
        <v>-1096.60028711403</v>
      </c>
      <c r="F52" s="65" t="n">
        <f aca="false">-MIN(F49+F50,F51+F30)</f>
        <v>-1102.5402053359</v>
      </c>
      <c r="G52" s="65" t="n">
        <f aca="false">-MIN(G49+G50,G51+G30)</f>
        <v>-1108.5122981148</v>
      </c>
      <c r="H52" s="65" t="n">
        <f aca="false">-MIN(H49+H50,H51+H30)</f>
        <v>-1114.51673972959</v>
      </c>
      <c r="I52" s="65" t="n">
        <f aca="false">-MIN(I49+I50,I51+I30)</f>
        <v>-1120.55370540313</v>
      </c>
      <c r="J52" s="65" t="n">
        <f aca="false">-MIN(J49+J50,J51+J30)</f>
        <v>-1126.62337130739</v>
      </c>
      <c r="K52" s="65" t="n">
        <f aca="false">-MIN(K49+K50,K51+K30)</f>
        <v>-1132.72591456864</v>
      </c>
      <c r="L52" s="65" t="n">
        <f aca="false">-MIN(L49+L50,L51+L30)</f>
        <v>-1138.86151327256</v>
      </c>
      <c r="M52" s="65" t="n">
        <f aca="false">-MIN(M49+M50,M51+M30)</f>
        <v>-1145.03034646945</v>
      </c>
      <c r="N52" s="65" t="n">
        <f aca="false">-MIN(N49+N50,N51+N30)</f>
        <v>-1151.23259417949</v>
      </c>
      <c r="O52" s="65" t="n">
        <f aca="false">-MIN(O49+O50,O51+O30)</f>
        <v>-1157.46843739797</v>
      </c>
      <c r="P52" s="65" t="n">
        <f aca="false">-MIN(P49+P50,P51+P30)</f>
        <v>-1163.73805810054</v>
      </c>
      <c r="Q52" s="65" t="n">
        <f aca="false">-MIN(Q49+Q50,Q51+Q30)</f>
        <v>-1170.04163924858</v>
      </c>
      <c r="R52" s="65" t="n">
        <f aca="false">-MIN(R49+R50,R51+R30)</f>
        <v>-1176.37936479451</v>
      </c>
      <c r="S52" s="65" t="n">
        <f aca="false">-MIN(S49+S50,S51+S30)</f>
        <v>-1182.75141968715</v>
      </c>
      <c r="T52" s="65" t="n">
        <f aca="false">-MIN(T49+T50,T51+T30)</f>
        <v>-1189.15798987712</v>
      </c>
      <c r="U52" s="65" t="n">
        <f aca="false">-MIN(U49+U50,U51+U30)</f>
        <v>-1195.59926232229</v>
      </c>
      <c r="V52" s="65" t="n">
        <f aca="false">-MIN(V49+V50,V51+V30)</f>
        <v>-1202.0754249932</v>
      </c>
      <c r="W52" s="65" t="n">
        <f aca="false">-MIN(W49+W50,W51+W30)</f>
        <v>-1208.58666687858</v>
      </c>
      <c r="X52" s="65" t="n">
        <f aca="false">-MIN(X49+X50,X51+X30)</f>
        <v>-1215.13317799084</v>
      </c>
      <c r="Y52" s="65" t="n">
        <f aca="false">-MIN(Y49+Y50,Y51+Y30)</f>
        <v>-1221.71514937162</v>
      </c>
      <c r="Z52" s="65" t="n">
        <f aca="false">-MIN(Z49+Z50,Z51+Z30)</f>
        <v>-1228.33277309739</v>
      </c>
      <c r="AA52" s="65" t="n">
        <f aca="false">-MIN(AA49+AA50,AA51+AA30)</f>
        <v>-1234.986242285</v>
      </c>
      <c r="AB52" s="65" t="n">
        <f aca="false">-MIN(AB49+AB50,AB51+AB30)</f>
        <v>-1241.67575109737</v>
      </c>
      <c r="AC52" s="65" t="n">
        <f aca="false">-MIN(AC49+AC50,AC51+AC30)</f>
        <v>-1248.40149474915</v>
      </c>
      <c r="AD52" s="65" t="n">
        <f aca="false">-MIN(AD49+AD50,AD51+AD30)</f>
        <v>-1255.16366951237</v>
      </c>
      <c r="AE52" s="65" t="n">
        <f aca="false">-MIN(AE49+AE50,AE51+AE30)</f>
        <v>-1261.96247272223</v>
      </c>
      <c r="AF52" s="65" t="n">
        <f aca="false">-MIN(AF49+AF50,AF51+AF30)</f>
        <v>-1268.79810278281</v>
      </c>
      <c r="AG52" s="65" t="n">
        <f aca="false">-MIN(AG49+AG50,AG51+AG30)</f>
        <v>-1275.67075917288</v>
      </c>
      <c r="AH52" s="65" t="n">
        <f aca="false">-MIN(AH49+AH50,AH51+AH30)</f>
        <v>-1282.58064245174</v>
      </c>
      <c r="AI52" s="65" t="n">
        <f aca="false">-MIN(AI49+AI50,AI51+AI30)</f>
        <v>-1289.52795426502</v>
      </c>
      <c r="AJ52" s="65" t="n">
        <f aca="false">-MIN(AJ49+AJ50,AJ51+AJ30)</f>
        <v>-1296.51289735062</v>
      </c>
      <c r="AK52" s="65" t="n">
        <f aca="false">-MIN(AK49+AK50,AK51+AK30)</f>
        <v>-1303.5356755446</v>
      </c>
      <c r="AL52" s="65" t="n">
        <f aca="false">-MIN(AL49+AL50,AL51+AL30)</f>
        <v>-1310.59649378714</v>
      </c>
      <c r="AM52" s="65" t="n">
        <f aca="false">-MIN(AM49+AM50,AM51+AM30)</f>
        <v>-1317.69555812848</v>
      </c>
      <c r="AN52" s="65" t="n">
        <f aca="false">-MIN(AN49+AN50,AN51+AN30)</f>
        <v>-1324.83307573501</v>
      </c>
      <c r="AO52" s="65" t="n">
        <f aca="false">-MIN(AO49+AO50,AO51+AO30)</f>
        <v>-1332.00925489524</v>
      </c>
      <c r="AP52" s="65" t="n">
        <f aca="false">-MIN(AP49+AP50,AP51+AP30)</f>
        <v>-1339.22430502593</v>
      </c>
      <c r="AQ52" s="65" t="n">
        <f aca="false">-MIN(AQ49+AQ50,AQ51+AQ30)</f>
        <v>-1346.47843667815</v>
      </c>
      <c r="AR52" s="65" t="n">
        <f aca="false">-MIN(AR49+AR50,AR51+AR30)</f>
        <v>-1353.77186154349</v>
      </c>
      <c r="AS52" s="65" t="n">
        <f aca="false">-MIN(AS49+AS50,AS51+AS30)</f>
        <v>-1361.10479246018</v>
      </c>
      <c r="AT52" s="65" t="n">
        <f aca="false">-MIN(AT49+AT50,AT51+AT30)</f>
        <v>-1368.47744341934</v>
      </c>
      <c r="AU52" s="65" t="n">
        <f aca="false">-MIN(AU49+AU50,AU51+AU30)</f>
        <v>-1375.8900295712</v>
      </c>
      <c r="AV52" s="65" t="n">
        <f aca="false">-MIN(AV49+AV50,AV51+AV30)</f>
        <v>-1383.34276723137</v>
      </c>
      <c r="AW52" s="65" t="n">
        <f aca="false">-MIN(AW49+AW50,AW51+AW30)</f>
        <v>-1390.83587388721</v>
      </c>
      <c r="AX52" s="65" t="n">
        <f aca="false">-MIN(AX49+AX50,AX51+AX30)</f>
        <v>-1398.3695682041</v>
      </c>
      <c r="AY52" s="65" t="n">
        <f aca="false">-MIN(AY49+AY50,AY51+AY30)</f>
        <v>-1405.94407003187</v>
      </c>
      <c r="AZ52" s="65" t="n">
        <f aca="false">-MIN(AZ49+AZ50,AZ51+AZ30)</f>
        <v>-1413.55960041121</v>
      </c>
      <c r="BA52" s="65" t="n">
        <f aca="false">-MIN(BA49+BA50,BA51+BA30)</f>
        <v>-1421.21638158011</v>
      </c>
      <c r="BB52" s="65" t="n">
        <f aca="false">-MIN(BB49+BB50,BB51+BB30)</f>
        <v>-1428.91463698033</v>
      </c>
      <c r="BC52" s="65" t="n">
        <f aca="false">-MIN(BC49+BC50,BC51+BC30)</f>
        <v>-1436.65459126397</v>
      </c>
      <c r="BD52" s="65" t="n">
        <f aca="false">-MIN(BD49+BD50,BD51+BD30)</f>
        <v>-1444.43647029999</v>
      </c>
      <c r="BE52" s="65" t="n">
        <f aca="false">-MIN(BE49+BE50,BE51+BE30)</f>
        <v>-1452.26050118078</v>
      </c>
      <c r="BF52" s="65" t="n">
        <f aca="false">-MIN(BF49+BF50,BF51+BF30)</f>
        <v>-1460.12691222884</v>
      </c>
      <c r="BG52" s="65" t="n">
        <f aca="false">-MIN(BG49+BG50,BG51+BG30)</f>
        <v>-1468.03593300341</v>
      </c>
      <c r="BH52" s="65" t="n">
        <f aca="false">-MIN(BH49+BH50,BH51+BH30)</f>
        <v>-1475.98779430718</v>
      </c>
      <c r="BI52" s="65" t="n">
        <f aca="false">-MIN(BI49+BI50,BI51+BI30)</f>
        <v>-1483.98272819301</v>
      </c>
      <c r="BJ52" s="65" t="n">
        <f aca="false">-MIN(BJ49+BJ50,BJ51+BJ30)</f>
        <v>-1492.02096797073</v>
      </c>
    </row>
    <row r="53" customFormat="false" ht="15" hidden="false" customHeight="false" outlineLevel="0" collapsed="false">
      <c r="A53" s="6" t="s">
        <v>61</v>
      </c>
      <c r="C53" s="65" t="n">
        <f aca="false">C30+C52</f>
        <v>-7584.81628191557</v>
      </c>
      <c r="D53" s="65" t="n">
        <f aca="false">D30+D52</f>
        <v>-7584.81628191557</v>
      </c>
      <c r="E53" s="65" t="n">
        <f aca="false">E30+E52</f>
        <v>-7584.81628191557</v>
      </c>
      <c r="F53" s="65" t="n">
        <f aca="false">F30+F52</f>
        <v>-7584.81628191557</v>
      </c>
      <c r="G53" s="65" t="n">
        <f aca="false">G30+G52</f>
        <v>-7584.81628191557</v>
      </c>
      <c r="H53" s="65" t="n">
        <f aca="false">H30+H52</f>
        <v>-7584.81628191557</v>
      </c>
      <c r="I53" s="65" t="n">
        <f aca="false">I30+I52</f>
        <v>-7584.81628191557</v>
      </c>
      <c r="J53" s="65" t="n">
        <f aca="false">J30+J52</f>
        <v>-7584.81628191557</v>
      </c>
      <c r="K53" s="65" t="n">
        <f aca="false">K30+K52</f>
        <v>-7584.81628191557</v>
      </c>
      <c r="L53" s="65" t="n">
        <f aca="false">L30+L52</f>
        <v>-7584.81628191557</v>
      </c>
      <c r="M53" s="65" t="n">
        <f aca="false">M30+M52</f>
        <v>-7584.81628191557</v>
      </c>
      <c r="N53" s="65" t="n">
        <f aca="false">N30+N52</f>
        <v>-7584.81628191557</v>
      </c>
      <c r="O53" s="65" t="n">
        <f aca="false">O30+O52</f>
        <v>-7584.81628191557</v>
      </c>
      <c r="P53" s="65" t="n">
        <f aca="false">P30+P52</f>
        <v>-7584.81628191557</v>
      </c>
      <c r="Q53" s="65" t="n">
        <f aca="false">Q30+Q52</f>
        <v>-7584.81628191557</v>
      </c>
      <c r="R53" s="65" t="n">
        <f aca="false">R30+R52</f>
        <v>-7584.81628191557</v>
      </c>
      <c r="S53" s="65" t="n">
        <f aca="false">S30+S52</f>
        <v>-7584.81628191557</v>
      </c>
      <c r="T53" s="65" t="n">
        <f aca="false">T30+T52</f>
        <v>-7584.81628191557</v>
      </c>
      <c r="U53" s="65" t="n">
        <f aca="false">U30+U52</f>
        <v>-7584.81628191557</v>
      </c>
      <c r="V53" s="65" t="n">
        <f aca="false">V30+V52</f>
        <v>-7584.81628191557</v>
      </c>
      <c r="W53" s="65" t="n">
        <f aca="false">W30+W52</f>
        <v>-7584.81628191557</v>
      </c>
      <c r="X53" s="65" t="n">
        <f aca="false">X30+X52</f>
        <v>-7584.81628191557</v>
      </c>
      <c r="Y53" s="65" t="n">
        <f aca="false">Y30+Y52</f>
        <v>-7584.81628191557</v>
      </c>
      <c r="Z53" s="65" t="n">
        <f aca="false">Z30+Z52</f>
        <v>-7584.81628191557</v>
      </c>
      <c r="AA53" s="65" t="n">
        <f aca="false">AA30+AA52</f>
        <v>-7584.81628191557</v>
      </c>
      <c r="AB53" s="65" t="n">
        <f aca="false">AB30+AB52</f>
        <v>-7584.81628191557</v>
      </c>
      <c r="AC53" s="65" t="n">
        <f aca="false">AC30+AC52</f>
        <v>-7584.81628191557</v>
      </c>
      <c r="AD53" s="65" t="n">
        <f aca="false">AD30+AD52</f>
        <v>-7584.81628191557</v>
      </c>
      <c r="AE53" s="65" t="n">
        <f aca="false">AE30+AE52</f>
        <v>-7584.81628191557</v>
      </c>
      <c r="AF53" s="65" t="n">
        <f aca="false">AF30+AF52</f>
        <v>-7584.81628191557</v>
      </c>
      <c r="AG53" s="65" t="n">
        <f aca="false">AG30+AG52</f>
        <v>-7584.81628191557</v>
      </c>
      <c r="AH53" s="65" t="n">
        <f aca="false">AH30+AH52</f>
        <v>-7584.81628191557</v>
      </c>
      <c r="AI53" s="65" t="n">
        <f aca="false">AI30+AI52</f>
        <v>-7584.81628191557</v>
      </c>
      <c r="AJ53" s="65" t="n">
        <f aca="false">AJ30+AJ52</f>
        <v>-7584.81628191557</v>
      </c>
      <c r="AK53" s="65" t="n">
        <f aca="false">AK30+AK52</f>
        <v>-7584.81628191557</v>
      </c>
      <c r="AL53" s="65" t="n">
        <f aca="false">AL30+AL52</f>
        <v>-7584.81628191557</v>
      </c>
      <c r="AM53" s="65" t="n">
        <f aca="false">AM30+AM52</f>
        <v>-7584.81628191557</v>
      </c>
      <c r="AN53" s="65" t="n">
        <f aca="false">AN30+AN52</f>
        <v>-7584.81628191557</v>
      </c>
      <c r="AO53" s="65" t="n">
        <f aca="false">AO30+AO52</f>
        <v>-7584.81628191557</v>
      </c>
      <c r="AP53" s="65" t="n">
        <f aca="false">AP30+AP52</f>
        <v>-7584.81628191557</v>
      </c>
      <c r="AQ53" s="65" t="n">
        <f aca="false">AQ30+AQ52</f>
        <v>-7584.81628191557</v>
      </c>
      <c r="AR53" s="65" t="n">
        <f aca="false">AR30+AR52</f>
        <v>-7584.81628191557</v>
      </c>
      <c r="AS53" s="65" t="n">
        <f aca="false">AS30+AS52</f>
        <v>-7584.81628191557</v>
      </c>
      <c r="AT53" s="65" t="n">
        <f aca="false">AT30+AT52</f>
        <v>-7584.81628191557</v>
      </c>
      <c r="AU53" s="65" t="n">
        <f aca="false">AU30+AU52</f>
        <v>-7584.81628191557</v>
      </c>
      <c r="AV53" s="65" t="n">
        <f aca="false">AV30+AV52</f>
        <v>-7584.81628191557</v>
      </c>
      <c r="AW53" s="65" t="n">
        <f aca="false">AW30+AW52</f>
        <v>-7584.81628191557</v>
      </c>
      <c r="AX53" s="65" t="n">
        <f aca="false">AX30+AX52</f>
        <v>-7584.81628191557</v>
      </c>
      <c r="AY53" s="65" t="n">
        <f aca="false">AY30+AY52</f>
        <v>-7584.81628191557</v>
      </c>
      <c r="AZ53" s="65" t="n">
        <f aca="false">AZ30+AZ52</f>
        <v>-7584.81628191557</v>
      </c>
      <c r="BA53" s="65" t="n">
        <f aca="false">BA30+BA52</f>
        <v>-7584.81628191557</v>
      </c>
      <c r="BB53" s="65" t="n">
        <f aca="false">BB30+BB52</f>
        <v>-7584.81628191557</v>
      </c>
      <c r="BC53" s="65" t="n">
        <f aca="false">BC30+BC52</f>
        <v>-7584.81628191557</v>
      </c>
      <c r="BD53" s="65" t="n">
        <f aca="false">BD30+BD52</f>
        <v>-7584.81628191557</v>
      </c>
      <c r="BE53" s="65" t="n">
        <f aca="false">BE30+BE52</f>
        <v>-7584.81628191557</v>
      </c>
      <c r="BF53" s="65" t="n">
        <f aca="false">BF30+BF52</f>
        <v>-7584.81628191557</v>
      </c>
      <c r="BG53" s="65" t="n">
        <f aca="false">BG30+BG52</f>
        <v>-7584.81628191557</v>
      </c>
      <c r="BH53" s="65" t="n">
        <f aca="false">BH30+BH52</f>
        <v>-7584.81628191557</v>
      </c>
      <c r="BI53" s="65" t="n">
        <f aca="false">BI30+BI52</f>
        <v>-7584.81628191557</v>
      </c>
      <c r="BJ53" s="65" t="n">
        <f aca="false">BJ30+BJ52</f>
        <v>-7584.81628191557</v>
      </c>
    </row>
    <row r="54" customFormat="false" ht="15" hidden="false" customHeight="false" outlineLevel="0" collapsed="false">
      <c r="A54" s="4" t="s">
        <v>435</v>
      </c>
      <c r="C54" s="71" t="n">
        <f aca="false">C49+C50+C52</f>
        <v>1198915.18371808</v>
      </c>
      <c r="D54" s="71" t="n">
        <f aca="false">D49+D50+D52</f>
        <v>1197824.49134798</v>
      </c>
      <c r="E54" s="71" t="n">
        <f aca="false">E49+E50+E52</f>
        <v>1196727.89106086</v>
      </c>
      <c r="F54" s="71" t="n">
        <f aca="false">F49+F50+F52</f>
        <v>1195625.35085553</v>
      </c>
      <c r="G54" s="71" t="n">
        <f aca="false">G49+G50+G52</f>
        <v>1194516.83855741</v>
      </c>
      <c r="H54" s="71" t="n">
        <f aca="false">H49+H50+H52</f>
        <v>1193402.32181768</v>
      </c>
      <c r="I54" s="71" t="n">
        <f aca="false">I49+I50+I52</f>
        <v>1192281.76811228</v>
      </c>
      <c r="J54" s="71" t="n">
        <f aca="false">J49+J50+J52</f>
        <v>1191155.14474097</v>
      </c>
      <c r="K54" s="71" t="n">
        <f aca="false">K49+K50+K52</f>
        <v>1190022.4188264</v>
      </c>
      <c r="L54" s="71" t="n">
        <f aca="false">L49+L50+L52</f>
        <v>1188883.55731313</v>
      </c>
      <c r="M54" s="71" t="n">
        <f aca="false">M49+M50+M52</f>
        <v>1187738.52696666</v>
      </c>
      <c r="N54" s="71" t="n">
        <f aca="false">N49+N50+N52</f>
        <v>1186587.29437248</v>
      </c>
      <c r="O54" s="71" t="n">
        <f aca="false">O49+O50+O52</f>
        <v>1185429.82593508</v>
      </c>
      <c r="P54" s="71" t="n">
        <f aca="false">P49+P50+P52</f>
        <v>1184266.08787698</v>
      </c>
      <c r="Q54" s="71" t="n">
        <f aca="false">Q49+Q50+Q52</f>
        <v>1183096.04623773</v>
      </c>
      <c r="R54" s="71" t="n">
        <f aca="false">R49+R50+R52</f>
        <v>1181919.66687294</v>
      </c>
      <c r="S54" s="71" t="n">
        <f aca="false">S49+S50+S52</f>
        <v>1180736.91545325</v>
      </c>
      <c r="T54" s="71" t="n">
        <f aca="false">T49+T50+T52</f>
        <v>1179547.75746337</v>
      </c>
      <c r="U54" s="71" t="n">
        <f aca="false">U49+U50+U52</f>
        <v>1178352.15820105</v>
      </c>
      <c r="V54" s="71" t="n">
        <f aca="false">V49+V50+V52</f>
        <v>1177150.08277606</v>
      </c>
      <c r="W54" s="71" t="n">
        <f aca="false">W49+W50+W52</f>
        <v>1175941.49610918</v>
      </c>
      <c r="X54" s="71" t="n">
        <f aca="false">X49+X50+X52</f>
        <v>1174726.36293119</v>
      </c>
      <c r="Y54" s="71" t="n">
        <f aca="false">Y49+Y50+Y52</f>
        <v>1173504.64778182</v>
      </c>
      <c r="Z54" s="71" t="n">
        <f aca="false">Z49+Z50+Z52</f>
        <v>1172276.31500872</v>
      </c>
      <c r="AA54" s="71" t="n">
        <f aca="false">AA49+AA50+AA52</f>
        <v>1171041.32876644</v>
      </c>
      <c r="AB54" s="71" t="n">
        <f aca="false">AB49+AB50+AB52</f>
        <v>1169799.65301534</v>
      </c>
      <c r="AC54" s="71" t="n">
        <f aca="false">AC49+AC50+AC52</f>
        <v>1168551.25152059</v>
      </c>
      <c r="AD54" s="71" t="n">
        <f aca="false">AD49+AD50+AD52</f>
        <v>1167296.08785108</v>
      </c>
      <c r="AE54" s="71" t="n">
        <f aca="false">AE49+AE50+AE52</f>
        <v>1166034.12537835</v>
      </c>
      <c r="AF54" s="71" t="n">
        <f aca="false">AF49+AF50+AF52</f>
        <v>1164765.32727557</v>
      </c>
      <c r="AG54" s="71" t="n">
        <f aca="false">AG49+AG50+AG52</f>
        <v>1163489.6565164</v>
      </c>
      <c r="AH54" s="71" t="n">
        <f aca="false">AH49+AH50+AH52</f>
        <v>1162207.07587395</v>
      </c>
      <c r="AI54" s="71" t="n">
        <f aca="false">AI49+AI50+AI52</f>
        <v>1160917.54791968</v>
      </c>
      <c r="AJ54" s="71" t="n">
        <f aca="false">AJ49+AJ50+AJ52</f>
        <v>1159621.03502233</v>
      </c>
      <c r="AK54" s="71" t="n">
        <f aca="false">AK49+AK50+AK52</f>
        <v>1158317.49934679</v>
      </c>
      <c r="AL54" s="71" t="n">
        <f aca="false">AL49+AL50+AL52</f>
        <v>1157006.902853</v>
      </c>
      <c r="AM54" s="71" t="n">
        <f aca="false">AM49+AM50+AM52</f>
        <v>1155689.20729487</v>
      </c>
      <c r="AN54" s="71" t="n">
        <f aca="false">AN49+AN50+AN52</f>
        <v>1154364.37421914</v>
      </c>
      <c r="AO54" s="71" t="n">
        <f aca="false">AO49+AO50+AO52</f>
        <v>1153032.36496424</v>
      </c>
      <c r="AP54" s="71" t="n">
        <f aca="false">AP49+AP50+AP52</f>
        <v>1151693.14065922</v>
      </c>
      <c r="AQ54" s="71" t="n">
        <f aca="false">AQ49+AQ50+AQ52</f>
        <v>1150346.66222254</v>
      </c>
      <c r="AR54" s="71" t="n">
        <f aca="false">AR49+AR50+AR52</f>
        <v>1148992.89036099</v>
      </c>
      <c r="AS54" s="71" t="n">
        <f aca="false">AS49+AS50+AS52</f>
        <v>1147631.78556853</v>
      </c>
      <c r="AT54" s="71" t="n">
        <f aca="false">AT49+AT50+AT52</f>
        <v>1146263.30812511</v>
      </c>
      <c r="AU54" s="71" t="n">
        <f aca="false">AU49+AU50+AU52</f>
        <v>1144887.41809554</v>
      </c>
      <c r="AV54" s="71" t="n">
        <f aca="false">AV49+AV50+AV52</f>
        <v>1143504.07532831</v>
      </c>
      <c r="AW54" s="71" t="n">
        <f aca="false">AW49+AW50+AW52</f>
        <v>1142113.23945442</v>
      </c>
      <c r="AX54" s="71" t="n">
        <f aca="false">AX49+AX50+AX52</f>
        <v>1140714.86988622</v>
      </c>
      <c r="AY54" s="71" t="n">
        <f aca="false">AY49+AY50+AY52</f>
        <v>1139308.92581619</v>
      </c>
      <c r="AZ54" s="71" t="n">
        <f aca="false">AZ49+AZ50+AZ52</f>
        <v>1137895.36621578</v>
      </c>
      <c r="BA54" s="71" t="n">
        <f aca="false">BA49+BA50+BA52</f>
        <v>1136474.1498342</v>
      </c>
      <c r="BB54" s="71" t="n">
        <f aca="false">BB49+BB50+BB52</f>
        <v>1135045.23519722</v>
      </c>
      <c r="BC54" s="71" t="n">
        <f aca="false">BC49+BC50+BC52</f>
        <v>1133608.58060595</v>
      </c>
      <c r="BD54" s="71" t="n">
        <f aca="false">BD49+BD50+BD52</f>
        <v>1132164.14413565</v>
      </c>
      <c r="BE54" s="71" t="n">
        <f aca="false">BE49+BE50+BE52</f>
        <v>1130711.88363447</v>
      </c>
      <c r="BF54" s="71" t="n">
        <f aca="false">BF49+BF50+BF52</f>
        <v>1129251.75672224</v>
      </c>
      <c r="BG54" s="71" t="n">
        <f aca="false">BG49+BG50+BG52</f>
        <v>1127783.72078924</v>
      </c>
      <c r="BH54" s="71" t="n">
        <f aca="false">BH49+BH50+BH52</f>
        <v>1126307.73299493</v>
      </c>
      <c r="BI54" s="71" t="n">
        <f aca="false">BI49+BI50+BI52</f>
        <v>1124823.75026674</v>
      </c>
      <c r="BJ54" s="71" t="n">
        <f aca="false">BJ49+BJ50+BJ52</f>
        <v>1123331.72929877</v>
      </c>
    </row>
    <row r="56" customFormat="false" ht="15.75" hidden="false" customHeight="true" outlineLevel="0" collapsed="false">
      <c r="A56" s="7" t="s">
        <v>324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6" t="s">
        <v>90</v>
      </c>
      <c r="C57" s="65" t="n">
        <f aca="false">C12*Inputs!$E$40/30</f>
        <v>0</v>
      </c>
      <c r="D57" s="65" t="n">
        <f aca="false">D12*Inputs!$E$40/30</f>
        <v>0</v>
      </c>
      <c r="E57" s="65" t="n">
        <f aca="false">E12*Inputs!$E$40/30</f>
        <v>0</v>
      </c>
      <c r="F57" s="65" t="n">
        <f aca="false">F12*Inputs!$E$40/30</f>
        <v>0</v>
      </c>
      <c r="G57" s="65" t="n">
        <f aca="false">G12*Inputs!$E$40/30</f>
        <v>0</v>
      </c>
      <c r="H57" s="65" t="n">
        <f aca="false">H12*Inputs!$E$40/30</f>
        <v>0</v>
      </c>
      <c r="I57" s="65" t="n">
        <f aca="false">I12*Inputs!$E$40/30</f>
        <v>0</v>
      </c>
      <c r="J57" s="65" t="n">
        <f aca="false">J12*Inputs!$E$40/30</f>
        <v>0</v>
      </c>
      <c r="K57" s="65" t="n">
        <f aca="false">K12*Inputs!$E$40/30</f>
        <v>0</v>
      </c>
      <c r="L57" s="65" t="n">
        <f aca="false">L12*Inputs!$E$40/30</f>
        <v>0</v>
      </c>
      <c r="M57" s="65" t="n">
        <f aca="false">M12*Inputs!$E$40/30</f>
        <v>0</v>
      </c>
      <c r="N57" s="65" t="n">
        <f aca="false">N12*Inputs!$E$40/30</f>
        <v>0</v>
      </c>
      <c r="O57" s="65" t="n">
        <f aca="false">O12*Inputs!$E$40/30</f>
        <v>0</v>
      </c>
      <c r="P57" s="65" t="n">
        <f aca="false">P12*Inputs!$E$40/30</f>
        <v>0</v>
      </c>
      <c r="Q57" s="65" t="n">
        <f aca="false">Q12*Inputs!$E$40/30</f>
        <v>0</v>
      </c>
      <c r="R57" s="65" t="n">
        <f aca="false">R12*Inputs!$E$40/30</f>
        <v>0</v>
      </c>
      <c r="S57" s="65" t="n">
        <f aca="false">S12*Inputs!$E$40/30</f>
        <v>0</v>
      </c>
      <c r="T57" s="65" t="n">
        <f aca="false">T12*Inputs!$E$40/30</f>
        <v>0</v>
      </c>
      <c r="U57" s="65" t="n">
        <f aca="false">U12*Inputs!$E$40/30</f>
        <v>0</v>
      </c>
      <c r="V57" s="65" t="n">
        <f aca="false">V12*Inputs!$E$40/30</f>
        <v>0</v>
      </c>
      <c r="W57" s="65" t="n">
        <f aca="false">W12*Inputs!$E$40/30</f>
        <v>0</v>
      </c>
      <c r="X57" s="65" t="n">
        <f aca="false">X12*Inputs!$E$40/30</f>
        <v>0</v>
      </c>
      <c r="Y57" s="65" t="n">
        <f aca="false">Y12*Inputs!$E$40/30</f>
        <v>0</v>
      </c>
      <c r="Z57" s="65" t="n">
        <f aca="false">Z12*Inputs!$E$40/30</f>
        <v>0</v>
      </c>
      <c r="AA57" s="65" t="n">
        <f aca="false">AA12*Inputs!$E$40/30</f>
        <v>0</v>
      </c>
      <c r="AB57" s="65" t="n">
        <f aca="false">AB12*Inputs!$E$40/30</f>
        <v>0</v>
      </c>
      <c r="AC57" s="65" t="n">
        <f aca="false">AC12*Inputs!$E$40/30</f>
        <v>0</v>
      </c>
      <c r="AD57" s="65" t="n">
        <f aca="false">AD12*Inputs!$E$40/30</f>
        <v>0</v>
      </c>
      <c r="AE57" s="65" t="n">
        <f aca="false">AE12*Inputs!$E$40/30</f>
        <v>0</v>
      </c>
      <c r="AF57" s="65" t="n">
        <f aca="false">AF12*Inputs!$E$40/30</f>
        <v>0</v>
      </c>
      <c r="AG57" s="65" t="n">
        <f aca="false">AG12*Inputs!$E$40/30</f>
        <v>0</v>
      </c>
      <c r="AH57" s="65" t="n">
        <f aca="false">AH12*Inputs!$E$40/30</f>
        <v>0</v>
      </c>
      <c r="AI57" s="65" t="n">
        <f aca="false">AI12*Inputs!$E$40/30</f>
        <v>0</v>
      </c>
      <c r="AJ57" s="65" t="n">
        <f aca="false">AJ12*Inputs!$E$40/30</f>
        <v>0</v>
      </c>
      <c r="AK57" s="65" t="n">
        <f aca="false">AK12*Inputs!$E$40/30</f>
        <v>0</v>
      </c>
      <c r="AL57" s="65" t="n">
        <f aca="false">AL12*Inputs!$E$40/30</f>
        <v>0</v>
      </c>
      <c r="AM57" s="65" t="n">
        <f aca="false">AM12*Inputs!$E$40/30</f>
        <v>0</v>
      </c>
      <c r="AN57" s="65" t="n">
        <f aca="false">AN12*Inputs!$E$40/30</f>
        <v>0</v>
      </c>
      <c r="AO57" s="65" t="n">
        <f aca="false">AO12*Inputs!$E$40/30</f>
        <v>0</v>
      </c>
      <c r="AP57" s="65" t="n">
        <f aca="false">AP12*Inputs!$E$40/30</f>
        <v>0</v>
      </c>
      <c r="AQ57" s="65" t="n">
        <f aca="false">AQ12*Inputs!$E$40/30</f>
        <v>0</v>
      </c>
      <c r="AR57" s="65" t="n">
        <f aca="false">AR12*Inputs!$E$40/30</f>
        <v>0</v>
      </c>
      <c r="AS57" s="65" t="n">
        <f aca="false">AS12*Inputs!$E$40/30</f>
        <v>0</v>
      </c>
      <c r="AT57" s="65" t="n">
        <f aca="false">AT12*Inputs!$E$40/30</f>
        <v>0</v>
      </c>
      <c r="AU57" s="65" t="n">
        <f aca="false">AU12*Inputs!$E$40/30</f>
        <v>0</v>
      </c>
      <c r="AV57" s="65" t="n">
        <f aca="false">AV12*Inputs!$E$40/30</f>
        <v>0</v>
      </c>
      <c r="AW57" s="65" t="n">
        <f aca="false">AW12*Inputs!$E$40/30</f>
        <v>0</v>
      </c>
      <c r="AX57" s="65" t="n">
        <f aca="false">AX12*Inputs!$E$40/30</f>
        <v>0</v>
      </c>
      <c r="AY57" s="65" t="n">
        <f aca="false">AY12*Inputs!$E$40/30</f>
        <v>0</v>
      </c>
      <c r="AZ57" s="65" t="n">
        <f aca="false">AZ12*Inputs!$E$40/30</f>
        <v>0</v>
      </c>
      <c r="BA57" s="65" t="n">
        <f aca="false">BA12*Inputs!$E$40/30</f>
        <v>0</v>
      </c>
      <c r="BB57" s="65" t="n">
        <f aca="false">BB12*Inputs!$E$40/30</f>
        <v>0</v>
      </c>
      <c r="BC57" s="65" t="n">
        <f aca="false">BC12*Inputs!$E$40/30</f>
        <v>0</v>
      </c>
      <c r="BD57" s="65" t="n">
        <f aca="false">BD12*Inputs!$E$40/30</f>
        <v>0</v>
      </c>
      <c r="BE57" s="65" t="n">
        <f aca="false">BE12*Inputs!$E$40/30</f>
        <v>0</v>
      </c>
      <c r="BF57" s="65" t="n">
        <f aca="false">BF12*Inputs!$E$40/30</f>
        <v>0</v>
      </c>
      <c r="BG57" s="65" t="n">
        <f aca="false">BG12*Inputs!$E$40/30</f>
        <v>0</v>
      </c>
      <c r="BH57" s="65" t="n">
        <f aca="false">BH12*Inputs!$E$40/30</f>
        <v>0</v>
      </c>
      <c r="BI57" s="65" t="n">
        <f aca="false">BI12*Inputs!$E$40/30</f>
        <v>0</v>
      </c>
      <c r="BJ57" s="65" t="n">
        <f aca="false">BJ12*Inputs!$E$40/30</f>
        <v>0</v>
      </c>
    </row>
    <row r="58" customFormat="false" ht="15" hidden="false" customHeight="false" outlineLevel="0" collapsed="false">
      <c r="A58" s="6" t="s">
        <v>91</v>
      </c>
      <c r="C58" s="65" t="n">
        <f aca="false">-C17*Inputs!$E$41/30</f>
        <v>0</v>
      </c>
      <c r="D58" s="65" t="n">
        <f aca="false">-D17*Inputs!$E$41/30</f>
        <v>0</v>
      </c>
      <c r="E58" s="65" t="n">
        <f aca="false">-E17*Inputs!$E$41/30</f>
        <v>0</v>
      </c>
      <c r="F58" s="65" t="n">
        <f aca="false">-F17*Inputs!$E$41/30</f>
        <v>0</v>
      </c>
      <c r="G58" s="65" t="n">
        <f aca="false">-G17*Inputs!$E$41/30</f>
        <v>0</v>
      </c>
      <c r="H58" s="65" t="n">
        <f aca="false">-H17*Inputs!$E$41/30</f>
        <v>0</v>
      </c>
      <c r="I58" s="65" t="n">
        <f aca="false">-I17*Inputs!$E$41/30</f>
        <v>0</v>
      </c>
      <c r="J58" s="65" t="n">
        <f aca="false">-J17*Inputs!$E$41/30</f>
        <v>0</v>
      </c>
      <c r="K58" s="65" t="n">
        <f aca="false">-K17*Inputs!$E$41/30</f>
        <v>0</v>
      </c>
      <c r="L58" s="65" t="n">
        <f aca="false">-L17*Inputs!$E$41/30</f>
        <v>0</v>
      </c>
      <c r="M58" s="65" t="n">
        <f aca="false">-M17*Inputs!$E$41/30</f>
        <v>0</v>
      </c>
      <c r="N58" s="65" t="n">
        <f aca="false">-N17*Inputs!$E$41/30</f>
        <v>0</v>
      </c>
      <c r="O58" s="65" t="n">
        <f aca="false">-O17*Inputs!$E$41/30</f>
        <v>0</v>
      </c>
      <c r="P58" s="65" t="n">
        <f aca="false">-P17*Inputs!$E$41/30</f>
        <v>0</v>
      </c>
      <c r="Q58" s="65" t="n">
        <f aca="false">-Q17*Inputs!$E$41/30</f>
        <v>0</v>
      </c>
      <c r="R58" s="65" t="n">
        <f aca="false">-R17*Inputs!$E$41/30</f>
        <v>0</v>
      </c>
      <c r="S58" s="65" t="n">
        <f aca="false">-S17*Inputs!$E$41/30</f>
        <v>0</v>
      </c>
      <c r="T58" s="65" t="n">
        <f aca="false">-T17*Inputs!$E$41/30</f>
        <v>0</v>
      </c>
      <c r="U58" s="65" t="n">
        <f aca="false">-U17*Inputs!$E$41/30</f>
        <v>0</v>
      </c>
      <c r="V58" s="65" t="n">
        <f aca="false">-V17*Inputs!$E$41/30</f>
        <v>0</v>
      </c>
      <c r="W58" s="65" t="n">
        <f aca="false">-W17*Inputs!$E$41/30</f>
        <v>0</v>
      </c>
      <c r="X58" s="65" t="n">
        <f aca="false">-X17*Inputs!$E$41/30</f>
        <v>0</v>
      </c>
      <c r="Y58" s="65" t="n">
        <f aca="false">-Y17*Inputs!$E$41/30</f>
        <v>0</v>
      </c>
      <c r="Z58" s="65" t="n">
        <f aca="false">-Z17*Inputs!$E$41/30</f>
        <v>0</v>
      </c>
      <c r="AA58" s="65" t="n">
        <f aca="false">-AA17*Inputs!$E$41/30</f>
        <v>0</v>
      </c>
      <c r="AB58" s="65" t="n">
        <f aca="false">-AB17*Inputs!$E$41/30</f>
        <v>0</v>
      </c>
      <c r="AC58" s="65" t="n">
        <f aca="false">-AC17*Inputs!$E$41/30</f>
        <v>0</v>
      </c>
      <c r="AD58" s="65" t="n">
        <f aca="false">-AD17*Inputs!$E$41/30</f>
        <v>0</v>
      </c>
      <c r="AE58" s="65" t="n">
        <f aca="false">-AE17*Inputs!$E$41/30</f>
        <v>0</v>
      </c>
      <c r="AF58" s="65" t="n">
        <f aca="false">-AF17*Inputs!$E$41/30</f>
        <v>0</v>
      </c>
      <c r="AG58" s="65" t="n">
        <f aca="false">-AG17*Inputs!$E$41/30</f>
        <v>0</v>
      </c>
      <c r="AH58" s="65" t="n">
        <f aca="false">-AH17*Inputs!$E$41/30</f>
        <v>0</v>
      </c>
      <c r="AI58" s="65" t="n">
        <f aca="false">-AI17*Inputs!$E$41/30</f>
        <v>0</v>
      </c>
      <c r="AJ58" s="65" t="n">
        <f aca="false">-AJ17*Inputs!$E$41/30</f>
        <v>0</v>
      </c>
      <c r="AK58" s="65" t="n">
        <f aca="false">-AK17*Inputs!$E$41/30</f>
        <v>0</v>
      </c>
      <c r="AL58" s="65" t="n">
        <f aca="false">-AL17*Inputs!$E$41/30</f>
        <v>0</v>
      </c>
      <c r="AM58" s="65" t="n">
        <f aca="false">-AM17*Inputs!$E$41/30</f>
        <v>0</v>
      </c>
      <c r="AN58" s="65" t="n">
        <f aca="false">-AN17*Inputs!$E$41/30</f>
        <v>0</v>
      </c>
      <c r="AO58" s="65" t="n">
        <f aca="false">-AO17*Inputs!$E$41/30</f>
        <v>0</v>
      </c>
      <c r="AP58" s="65" t="n">
        <f aca="false">-AP17*Inputs!$E$41/30</f>
        <v>0</v>
      </c>
      <c r="AQ58" s="65" t="n">
        <f aca="false">-AQ17*Inputs!$E$41/30</f>
        <v>0</v>
      </c>
      <c r="AR58" s="65" t="n">
        <f aca="false">-AR17*Inputs!$E$41/30</f>
        <v>0</v>
      </c>
      <c r="AS58" s="65" t="n">
        <f aca="false">-AS17*Inputs!$E$41/30</f>
        <v>0</v>
      </c>
      <c r="AT58" s="65" t="n">
        <f aca="false">-AT17*Inputs!$E$41/30</f>
        <v>0</v>
      </c>
      <c r="AU58" s="65" t="n">
        <f aca="false">-AU17*Inputs!$E$41/30</f>
        <v>0</v>
      </c>
      <c r="AV58" s="65" t="n">
        <f aca="false">-AV17*Inputs!$E$41/30</f>
        <v>0</v>
      </c>
      <c r="AW58" s="65" t="n">
        <f aca="false">-AW17*Inputs!$E$41/30</f>
        <v>0</v>
      </c>
      <c r="AX58" s="65" t="n">
        <f aca="false">-AX17*Inputs!$E$41/30</f>
        <v>0</v>
      </c>
      <c r="AY58" s="65" t="n">
        <f aca="false">-AY17*Inputs!$E$41/30</f>
        <v>0</v>
      </c>
      <c r="AZ58" s="65" t="n">
        <f aca="false">-AZ17*Inputs!$E$41/30</f>
        <v>0</v>
      </c>
      <c r="BA58" s="65" t="n">
        <f aca="false">-BA17*Inputs!$E$41/30</f>
        <v>0</v>
      </c>
      <c r="BB58" s="65" t="n">
        <f aca="false">-BB17*Inputs!$E$41/30</f>
        <v>0</v>
      </c>
      <c r="BC58" s="65" t="n">
        <f aca="false">-BC17*Inputs!$E$41/30</f>
        <v>0</v>
      </c>
      <c r="BD58" s="65" t="n">
        <f aca="false">-BD17*Inputs!$E$41/30</f>
        <v>0</v>
      </c>
      <c r="BE58" s="65" t="n">
        <f aca="false">-BE17*Inputs!$E$41/30</f>
        <v>0</v>
      </c>
      <c r="BF58" s="65" t="n">
        <f aca="false">-BF17*Inputs!$E$41/30</f>
        <v>0</v>
      </c>
      <c r="BG58" s="65" t="n">
        <f aca="false">-BG17*Inputs!$E$41/30</f>
        <v>0</v>
      </c>
      <c r="BH58" s="65" t="n">
        <f aca="false">-BH17*Inputs!$E$41/30</f>
        <v>0</v>
      </c>
      <c r="BI58" s="65" t="n">
        <f aca="false">-BI17*Inputs!$E$41/30</f>
        <v>0</v>
      </c>
      <c r="BJ58" s="65" t="n">
        <f aca="false">-BJ17*Inputs!$E$41/30</f>
        <v>0</v>
      </c>
    </row>
    <row r="59" customFormat="false" ht="15" hidden="false" customHeight="false" outlineLevel="0" collapsed="false">
      <c r="A59" s="6" t="s">
        <v>94</v>
      </c>
      <c r="C59" s="65" t="n">
        <f aca="false">-C17*Inputs!$E$42/30</f>
        <v>934.5</v>
      </c>
      <c r="D59" s="65" t="n">
        <f aca="false">-D17*Inputs!$E$42/30</f>
        <v>934.5</v>
      </c>
      <c r="E59" s="65" t="n">
        <f aca="false">-E17*Inputs!$E$42/30</f>
        <v>934.5</v>
      </c>
      <c r="F59" s="65" t="n">
        <f aca="false">-F17*Inputs!$E$42/30</f>
        <v>934.5</v>
      </c>
      <c r="G59" s="65" t="n">
        <f aca="false">-G17*Inputs!$E$42/30</f>
        <v>934.5</v>
      </c>
      <c r="H59" s="65" t="n">
        <f aca="false">-H17*Inputs!$E$42/30</f>
        <v>934.5</v>
      </c>
      <c r="I59" s="65" t="n">
        <f aca="false">-I17*Inputs!$E$42/30</f>
        <v>934.5</v>
      </c>
      <c r="J59" s="65" t="n">
        <f aca="false">-J17*Inputs!$E$42/30</f>
        <v>934.5</v>
      </c>
      <c r="K59" s="65" t="n">
        <f aca="false">-K17*Inputs!$E$42/30</f>
        <v>934.5</v>
      </c>
      <c r="L59" s="65" t="n">
        <f aca="false">-L17*Inputs!$E$42/30</f>
        <v>934.5</v>
      </c>
      <c r="M59" s="65" t="n">
        <f aca="false">-M17*Inputs!$E$42/30</f>
        <v>934.5</v>
      </c>
      <c r="N59" s="65" t="n">
        <f aca="false">-N17*Inputs!$E$42/30</f>
        <v>934.5</v>
      </c>
      <c r="O59" s="65" t="n">
        <f aca="false">-O17*Inputs!$E$42/30</f>
        <v>962.535</v>
      </c>
      <c r="P59" s="65" t="n">
        <f aca="false">-P17*Inputs!$E$42/30</f>
        <v>962.535</v>
      </c>
      <c r="Q59" s="65" t="n">
        <f aca="false">-Q17*Inputs!$E$42/30</f>
        <v>962.535</v>
      </c>
      <c r="R59" s="65" t="n">
        <f aca="false">-R17*Inputs!$E$42/30</f>
        <v>962.535</v>
      </c>
      <c r="S59" s="65" t="n">
        <f aca="false">-S17*Inputs!$E$42/30</f>
        <v>962.535</v>
      </c>
      <c r="T59" s="65" t="n">
        <f aca="false">-T17*Inputs!$E$42/30</f>
        <v>962.535</v>
      </c>
      <c r="U59" s="65" t="n">
        <f aca="false">-U17*Inputs!$E$42/30</f>
        <v>962.535</v>
      </c>
      <c r="V59" s="65" t="n">
        <f aca="false">-V17*Inputs!$E$42/30</f>
        <v>962.535</v>
      </c>
      <c r="W59" s="65" t="n">
        <f aca="false">-W17*Inputs!$E$42/30</f>
        <v>962.535</v>
      </c>
      <c r="X59" s="65" t="n">
        <f aca="false">-X17*Inputs!$E$42/30</f>
        <v>962.535</v>
      </c>
      <c r="Y59" s="65" t="n">
        <f aca="false">-Y17*Inputs!$E$42/30</f>
        <v>962.535</v>
      </c>
      <c r="Z59" s="65" t="n">
        <f aca="false">-Z17*Inputs!$E$42/30</f>
        <v>962.535</v>
      </c>
      <c r="AA59" s="65" t="n">
        <f aca="false">-AA17*Inputs!$E$42/30</f>
        <v>991.41105</v>
      </c>
      <c r="AB59" s="65" t="n">
        <f aca="false">-AB17*Inputs!$E$42/30</f>
        <v>991.41105</v>
      </c>
      <c r="AC59" s="65" t="n">
        <f aca="false">-AC17*Inputs!$E$42/30</f>
        <v>991.41105</v>
      </c>
      <c r="AD59" s="65" t="n">
        <f aca="false">-AD17*Inputs!$E$42/30</f>
        <v>991.41105</v>
      </c>
      <c r="AE59" s="65" t="n">
        <f aca="false">-AE17*Inputs!$E$42/30</f>
        <v>991.41105</v>
      </c>
      <c r="AF59" s="65" t="n">
        <f aca="false">-AF17*Inputs!$E$42/30</f>
        <v>991.41105</v>
      </c>
      <c r="AG59" s="65" t="n">
        <f aca="false">-AG17*Inputs!$E$42/30</f>
        <v>991.41105</v>
      </c>
      <c r="AH59" s="65" t="n">
        <f aca="false">-AH17*Inputs!$E$42/30</f>
        <v>991.41105</v>
      </c>
      <c r="AI59" s="65" t="n">
        <f aca="false">-AI17*Inputs!$E$42/30</f>
        <v>991.41105</v>
      </c>
      <c r="AJ59" s="65" t="n">
        <f aca="false">-AJ17*Inputs!$E$42/30</f>
        <v>991.41105</v>
      </c>
      <c r="AK59" s="65" t="n">
        <f aca="false">-AK17*Inputs!$E$42/30</f>
        <v>991.41105</v>
      </c>
      <c r="AL59" s="65" t="n">
        <f aca="false">-AL17*Inputs!$E$42/30</f>
        <v>991.41105</v>
      </c>
      <c r="AM59" s="65" t="n">
        <f aca="false">-AM17*Inputs!$E$42/30</f>
        <v>1021.1533815</v>
      </c>
      <c r="AN59" s="65" t="n">
        <f aca="false">-AN17*Inputs!$E$42/30</f>
        <v>1021.1533815</v>
      </c>
      <c r="AO59" s="65" t="n">
        <f aca="false">-AO17*Inputs!$E$42/30</f>
        <v>1021.1533815</v>
      </c>
      <c r="AP59" s="65" t="n">
        <f aca="false">-AP17*Inputs!$E$42/30</f>
        <v>1021.1533815</v>
      </c>
      <c r="AQ59" s="65" t="n">
        <f aca="false">-AQ17*Inputs!$E$42/30</f>
        <v>1021.1533815</v>
      </c>
      <c r="AR59" s="65" t="n">
        <f aca="false">-AR17*Inputs!$E$42/30</f>
        <v>1021.1533815</v>
      </c>
      <c r="AS59" s="65" t="n">
        <f aca="false">-AS17*Inputs!$E$42/30</f>
        <v>1021.1533815</v>
      </c>
      <c r="AT59" s="65" t="n">
        <f aca="false">-AT17*Inputs!$E$42/30</f>
        <v>1021.1533815</v>
      </c>
      <c r="AU59" s="65" t="n">
        <f aca="false">-AU17*Inputs!$E$42/30</f>
        <v>1021.1533815</v>
      </c>
      <c r="AV59" s="65" t="n">
        <f aca="false">-AV17*Inputs!$E$42/30</f>
        <v>1021.1533815</v>
      </c>
      <c r="AW59" s="65" t="n">
        <f aca="false">-AW17*Inputs!$E$42/30</f>
        <v>1021.1533815</v>
      </c>
      <c r="AX59" s="65" t="n">
        <f aca="false">-AX17*Inputs!$E$42/30</f>
        <v>1021.1533815</v>
      </c>
      <c r="AY59" s="65" t="n">
        <f aca="false">-AY17*Inputs!$E$42/30</f>
        <v>1051.787982945</v>
      </c>
      <c r="AZ59" s="65" t="n">
        <f aca="false">-AZ17*Inputs!$E$42/30</f>
        <v>1051.787982945</v>
      </c>
      <c r="BA59" s="65" t="n">
        <f aca="false">-BA17*Inputs!$E$42/30</f>
        <v>1051.787982945</v>
      </c>
      <c r="BB59" s="65" t="n">
        <f aca="false">-BB17*Inputs!$E$42/30</f>
        <v>1051.787982945</v>
      </c>
      <c r="BC59" s="65" t="n">
        <f aca="false">-BC17*Inputs!$E$42/30</f>
        <v>1051.787982945</v>
      </c>
      <c r="BD59" s="65" t="n">
        <f aca="false">-BD17*Inputs!$E$42/30</f>
        <v>1051.787982945</v>
      </c>
      <c r="BE59" s="65" t="n">
        <f aca="false">-BE17*Inputs!$E$42/30</f>
        <v>1051.787982945</v>
      </c>
      <c r="BF59" s="65" t="n">
        <f aca="false">-BF17*Inputs!$E$42/30</f>
        <v>1051.787982945</v>
      </c>
      <c r="BG59" s="65" t="n">
        <f aca="false">-BG17*Inputs!$E$42/30</f>
        <v>1051.787982945</v>
      </c>
      <c r="BH59" s="65" t="n">
        <f aca="false">-BH17*Inputs!$E$42/30</f>
        <v>1051.787982945</v>
      </c>
      <c r="BI59" s="65" t="n">
        <f aca="false">-BI17*Inputs!$E$42/30</f>
        <v>1051.787982945</v>
      </c>
      <c r="BJ59" s="65" t="n">
        <f aca="false">-BJ17*Inputs!$E$42/30</f>
        <v>1051.787982945</v>
      </c>
    </row>
    <row r="60" customFormat="false" ht="15" hidden="false" customHeight="false" outlineLevel="0" collapsed="false">
      <c r="A60" s="6" t="s">
        <v>346</v>
      </c>
      <c r="C60" s="65" t="n">
        <f aca="false">-C57</f>
        <v>-0</v>
      </c>
      <c r="D60" s="65" t="n">
        <f aca="false">C57-D57</f>
        <v>0</v>
      </c>
      <c r="E60" s="65" t="n">
        <f aca="false">D57-E57</f>
        <v>0</v>
      </c>
      <c r="F60" s="65" t="n">
        <f aca="false">E57-F57</f>
        <v>0</v>
      </c>
      <c r="G60" s="65" t="n">
        <f aca="false">F57-G57</f>
        <v>0</v>
      </c>
      <c r="H60" s="65" t="n">
        <f aca="false">G57-H57</f>
        <v>0</v>
      </c>
      <c r="I60" s="65" t="n">
        <f aca="false">H57-I57</f>
        <v>0</v>
      </c>
      <c r="J60" s="65" t="n">
        <f aca="false">I57-J57</f>
        <v>0</v>
      </c>
      <c r="K60" s="65" t="n">
        <f aca="false">J57-K57</f>
        <v>0</v>
      </c>
      <c r="L60" s="65" t="n">
        <f aca="false">K57-L57</f>
        <v>0</v>
      </c>
      <c r="M60" s="65" t="n">
        <f aca="false">L57-M57</f>
        <v>0</v>
      </c>
      <c r="N60" s="65" t="n">
        <f aca="false">M57-N57</f>
        <v>0</v>
      </c>
      <c r="O60" s="65" t="n">
        <f aca="false">N57-O57</f>
        <v>0</v>
      </c>
      <c r="P60" s="65" t="n">
        <f aca="false">O57-P57</f>
        <v>0</v>
      </c>
      <c r="Q60" s="65" t="n">
        <f aca="false">P57-Q57</f>
        <v>0</v>
      </c>
      <c r="R60" s="65" t="n">
        <f aca="false">Q57-R57</f>
        <v>0</v>
      </c>
      <c r="S60" s="65" t="n">
        <f aca="false">R57-S57</f>
        <v>0</v>
      </c>
      <c r="T60" s="65" t="n">
        <f aca="false">S57-T57</f>
        <v>0</v>
      </c>
      <c r="U60" s="65" t="n">
        <f aca="false">T57-U57</f>
        <v>0</v>
      </c>
      <c r="V60" s="65" t="n">
        <f aca="false">U57-V57</f>
        <v>0</v>
      </c>
      <c r="W60" s="65" t="n">
        <f aca="false">V57-W57</f>
        <v>0</v>
      </c>
      <c r="X60" s="65" t="n">
        <f aca="false">W57-X57</f>
        <v>0</v>
      </c>
      <c r="Y60" s="65" t="n">
        <f aca="false">X57-Y57</f>
        <v>0</v>
      </c>
      <c r="Z60" s="65" t="n">
        <f aca="false">Y57-Z57</f>
        <v>0</v>
      </c>
      <c r="AA60" s="65" t="n">
        <f aca="false">Z57-AA57</f>
        <v>0</v>
      </c>
      <c r="AB60" s="65" t="n">
        <f aca="false">AA57-AB57</f>
        <v>0</v>
      </c>
      <c r="AC60" s="65" t="n">
        <f aca="false">AB57-AC57</f>
        <v>0</v>
      </c>
      <c r="AD60" s="65" t="n">
        <f aca="false">AC57-AD57</f>
        <v>0</v>
      </c>
      <c r="AE60" s="65" t="n">
        <f aca="false">AD57-AE57</f>
        <v>0</v>
      </c>
      <c r="AF60" s="65" t="n">
        <f aca="false">AE57-AF57</f>
        <v>0</v>
      </c>
      <c r="AG60" s="65" t="n">
        <f aca="false">AF57-AG57</f>
        <v>0</v>
      </c>
      <c r="AH60" s="65" t="n">
        <f aca="false">AG57-AH57</f>
        <v>0</v>
      </c>
      <c r="AI60" s="65" t="n">
        <f aca="false">AH57-AI57</f>
        <v>0</v>
      </c>
      <c r="AJ60" s="65" t="n">
        <f aca="false">AI57-AJ57</f>
        <v>0</v>
      </c>
      <c r="AK60" s="65" t="n">
        <f aca="false">AJ57-AK57</f>
        <v>0</v>
      </c>
      <c r="AL60" s="65" t="n">
        <f aca="false">AK57-AL57</f>
        <v>0</v>
      </c>
      <c r="AM60" s="65" t="n">
        <f aca="false">AL57-AM57</f>
        <v>0</v>
      </c>
      <c r="AN60" s="65" t="n">
        <f aca="false">AM57-AN57</f>
        <v>0</v>
      </c>
      <c r="AO60" s="65" t="n">
        <f aca="false">AN57-AO57</f>
        <v>0</v>
      </c>
      <c r="AP60" s="65" t="n">
        <f aca="false">AO57-AP57</f>
        <v>0</v>
      </c>
      <c r="AQ60" s="65" t="n">
        <f aca="false">AP57-AQ57</f>
        <v>0</v>
      </c>
      <c r="AR60" s="65" t="n">
        <f aca="false">AQ57-AR57</f>
        <v>0</v>
      </c>
      <c r="AS60" s="65" t="n">
        <f aca="false">AR57-AS57</f>
        <v>0</v>
      </c>
      <c r="AT60" s="65" t="n">
        <f aca="false">AS57-AT57</f>
        <v>0</v>
      </c>
      <c r="AU60" s="65" t="n">
        <f aca="false">AT57-AU57</f>
        <v>0</v>
      </c>
      <c r="AV60" s="65" t="n">
        <f aca="false">AU57-AV57</f>
        <v>0</v>
      </c>
      <c r="AW60" s="65" t="n">
        <f aca="false">AV57-AW57</f>
        <v>0</v>
      </c>
      <c r="AX60" s="65" t="n">
        <f aca="false">AW57-AX57</f>
        <v>0</v>
      </c>
      <c r="AY60" s="65" t="n">
        <f aca="false">AX57-AY57</f>
        <v>0</v>
      </c>
      <c r="AZ60" s="65" t="n">
        <f aca="false">AY57-AZ57</f>
        <v>0</v>
      </c>
      <c r="BA60" s="65" t="n">
        <f aca="false">AZ57-BA57</f>
        <v>0</v>
      </c>
      <c r="BB60" s="65" t="n">
        <f aca="false">BA57-BB57</f>
        <v>0</v>
      </c>
      <c r="BC60" s="65" t="n">
        <f aca="false">BB57-BC57</f>
        <v>0</v>
      </c>
      <c r="BD60" s="65" t="n">
        <f aca="false">BC57-BD57</f>
        <v>0</v>
      </c>
      <c r="BE60" s="65" t="n">
        <f aca="false">BD57-BE57</f>
        <v>0</v>
      </c>
      <c r="BF60" s="65" t="n">
        <f aca="false">BE57-BF57</f>
        <v>0</v>
      </c>
      <c r="BG60" s="65" t="n">
        <f aca="false">BF57-BG57</f>
        <v>0</v>
      </c>
      <c r="BH60" s="65" t="n">
        <f aca="false">BG57-BH57</f>
        <v>0</v>
      </c>
      <c r="BI60" s="65" t="n">
        <f aca="false">BH57-BI57</f>
        <v>0</v>
      </c>
      <c r="BJ60" s="65" t="n">
        <f aca="false">BI57-BJ57</f>
        <v>0</v>
      </c>
    </row>
    <row r="61" customFormat="false" ht="15" hidden="false" customHeight="false" outlineLevel="0" collapsed="false">
      <c r="A61" s="6" t="s">
        <v>347</v>
      </c>
      <c r="C61" s="65" t="n">
        <f aca="false">-C58</f>
        <v>-0</v>
      </c>
      <c r="D61" s="65" t="n">
        <f aca="false">C58-D58</f>
        <v>0</v>
      </c>
      <c r="E61" s="65" t="n">
        <f aca="false">D58-E58</f>
        <v>0</v>
      </c>
      <c r="F61" s="65" t="n">
        <f aca="false">E58-F58</f>
        <v>0</v>
      </c>
      <c r="G61" s="65" t="n">
        <f aca="false">F58-G58</f>
        <v>0</v>
      </c>
      <c r="H61" s="65" t="n">
        <f aca="false">G58-H58</f>
        <v>0</v>
      </c>
      <c r="I61" s="65" t="n">
        <f aca="false">H58-I58</f>
        <v>0</v>
      </c>
      <c r="J61" s="65" t="n">
        <f aca="false">I58-J58</f>
        <v>0</v>
      </c>
      <c r="K61" s="65" t="n">
        <f aca="false">J58-K58</f>
        <v>0</v>
      </c>
      <c r="L61" s="65" t="n">
        <f aca="false">K58-L58</f>
        <v>0</v>
      </c>
      <c r="M61" s="65" t="n">
        <f aca="false">L58-M58</f>
        <v>0</v>
      </c>
      <c r="N61" s="65" t="n">
        <f aca="false">M58-N58</f>
        <v>0</v>
      </c>
      <c r="O61" s="65" t="n">
        <f aca="false">N58-O58</f>
        <v>0</v>
      </c>
      <c r="P61" s="65" t="n">
        <f aca="false">O58-P58</f>
        <v>0</v>
      </c>
      <c r="Q61" s="65" t="n">
        <f aca="false">P58-Q58</f>
        <v>0</v>
      </c>
      <c r="R61" s="65" t="n">
        <f aca="false">Q58-R58</f>
        <v>0</v>
      </c>
      <c r="S61" s="65" t="n">
        <f aca="false">R58-S58</f>
        <v>0</v>
      </c>
      <c r="T61" s="65" t="n">
        <f aca="false">S58-T58</f>
        <v>0</v>
      </c>
      <c r="U61" s="65" t="n">
        <f aca="false">T58-U58</f>
        <v>0</v>
      </c>
      <c r="V61" s="65" t="n">
        <f aca="false">U58-V58</f>
        <v>0</v>
      </c>
      <c r="W61" s="65" t="n">
        <f aca="false">V58-W58</f>
        <v>0</v>
      </c>
      <c r="X61" s="65" t="n">
        <f aca="false">W58-X58</f>
        <v>0</v>
      </c>
      <c r="Y61" s="65" t="n">
        <f aca="false">X58-Y58</f>
        <v>0</v>
      </c>
      <c r="Z61" s="65" t="n">
        <f aca="false">Y58-Z58</f>
        <v>0</v>
      </c>
      <c r="AA61" s="65" t="n">
        <f aca="false">Z58-AA58</f>
        <v>0</v>
      </c>
      <c r="AB61" s="65" t="n">
        <f aca="false">AA58-AB58</f>
        <v>0</v>
      </c>
      <c r="AC61" s="65" t="n">
        <f aca="false">AB58-AC58</f>
        <v>0</v>
      </c>
      <c r="AD61" s="65" t="n">
        <f aca="false">AC58-AD58</f>
        <v>0</v>
      </c>
      <c r="AE61" s="65" t="n">
        <f aca="false">AD58-AE58</f>
        <v>0</v>
      </c>
      <c r="AF61" s="65" t="n">
        <f aca="false">AE58-AF58</f>
        <v>0</v>
      </c>
      <c r="AG61" s="65" t="n">
        <f aca="false">AF58-AG58</f>
        <v>0</v>
      </c>
      <c r="AH61" s="65" t="n">
        <f aca="false">AG58-AH58</f>
        <v>0</v>
      </c>
      <c r="AI61" s="65" t="n">
        <f aca="false">AH58-AI58</f>
        <v>0</v>
      </c>
      <c r="AJ61" s="65" t="n">
        <f aca="false">AI58-AJ58</f>
        <v>0</v>
      </c>
      <c r="AK61" s="65" t="n">
        <f aca="false">AJ58-AK58</f>
        <v>0</v>
      </c>
      <c r="AL61" s="65" t="n">
        <f aca="false">AK58-AL58</f>
        <v>0</v>
      </c>
      <c r="AM61" s="65" t="n">
        <f aca="false">AL58-AM58</f>
        <v>0</v>
      </c>
      <c r="AN61" s="65" t="n">
        <f aca="false">AM58-AN58</f>
        <v>0</v>
      </c>
      <c r="AO61" s="65" t="n">
        <f aca="false">AN58-AO58</f>
        <v>0</v>
      </c>
      <c r="AP61" s="65" t="n">
        <f aca="false">AO58-AP58</f>
        <v>0</v>
      </c>
      <c r="AQ61" s="65" t="n">
        <f aca="false">AP58-AQ58</f>
        <v>0</v>
      </c>
      <c r="AR61" s="65" t="n">
        <f aca="false">AQ58-AR58</f>
        <v>0</v>
      </c>
      <c r="AS61" s="65" t="n">
        <f aca="false">AR58-AS58</f>
        <v>0</v>
      </c>
      <c r="AT61" s="65" t="n">
        <f aca="false">AS58-AT58</f>
        <v>0</v>
      </c>
      <c r="AU61" s="65" t="n">
        <f aca="false">AT58-AU58</f>
        <v>0</v>
      </c>
      <c r="AV61" s="65" t="n">
        <f aca="false">AU58-AV58</f>
        <v>0</v>
      </c>
      <c r="AW61" s="65" t="n">
        <f aca="false">AV58-AW58</f>
        <v>0</v>
      </c>
      <c r="AX61" s="65" t="n">
        <f aca="false">AW58-AX58</f>
        <v>0</v>
      </c>
      <c r="AY61" s="65" t="n">
        <f aca="false">AX58-AY58</f>
        <v>0</v>
      </c>
      <c r="AZ61" s="65" t="n">
        <f aca="false">AY58-AZ58</f>
        <v>0</v>
      </c>
      <c r="BA61" s="65" t="n">
        <f aca="false">AZ58-BA58</f>
        <v>0</v>
      </c>
      <c r="BB61" s="65" t="n">
        <f aca="false">BA58-BB58</f>
        <v>0</v>
      </c>
      <c r="BC61" s="65" t="n">
        <f aca="false">BB58-BC58</f>
        <v>0</v>
      </c>
      <c r="BD61" s="65" t="n">
        <f aca="false">BC58-BD58</f>
        <v>0</v>
      </c>
      <c r="BE61" s="65" t="n">
        <f aca="false">BD58-BE58</f>
        <v>0</v>
      </c>
      <c r="BF61" s="65" t="n">
        <f aca="false">BE58-BF58</f>
        <v>0</v>
      </c>
      <c r="BG61" s="65" t="n">
        <f aca="false">BF58-BG58</f>
        <v>0</v>
      </c>
      <c r="BH61" s="65" t="n">
        <f aca="false">BG58-BH58</f>
        <v>0</v>
      </c>
      <c r="BI61" s="65" t="n">
        <f aca="false">BH58-BI58</f>
        <v>0</v>
      </c>
      <c r="BJ61" s="65" t="n">
        <f aca="false">BI58-BJ58</f>
        <v>0</v>
      </c>
    </row>
    <row r="62" customFormat="false" ht="15" hidden="false" customHeight="false" outlineLevel="0" collapsed="false">
      <c r="A62" s="6" t="s">
        <v>348</v>
      </c>
      <c r="C62" s="65" t="n">
        <f aca="false">C59</f>
        <v>934.5</v>
      </c>
      <c r="D62" s="65" t="n">
        <f aca="false">D59-C59</f>
        <v>0</v>
      </c>
      <c r="E62" s="65" t="n">
        <f aca="false">E59-D59</f>
        <v>0</v>
      </c>
      <c r="F62" s="65" t="n">
        <f aca="false">F59-E59</f>
        <v>0</v>
      </c>
      <c r="G62" s="65" t="n">
        <f aca="false">G59-F59</f>
        <v>0</v>
      </c>
      <c r="H62" s="65" t="n">
        <f aca="false">H59-G59</f>
        <v>0</v>
      </c>
      <c r="I62" s="65" t="n">
        <f aca="false">I59-H59</f>
        <v>0</v>
      </c>
      <c r="J62" s="65" t="n">
        <f aca="false">J59-I59</f>
        <v>0</v>
      </c>
      <c r="K62" s="65" t="n">
        <f aca="false">K59-J59</f>
        <v>0</v>
      </c>
      <c r="L62" s="65" t="n">
        <f aca="false">L59-K59</f>
        <v>0</v>
      </c>
      <c r="M62" s="65" t="n">
        <f aca="false">M59-L59</f>
        <v>0</v>
      </c>
      <c r="N62" s="65" t="n">
        <f aca="false">N59-M59</f>
        <v>0</v>
      </c>
      <c r="O62" s="65" t="n">
        <f aca="false">O59-N59</f>
        <v>28.035</v>
      </c>
      <c r="P62" s="65" t="n">
        <f aca="false">P59-O59</f>
        <v>0</v>
      </c>
      <c r="Q62" s="65" t="n">
        <f aca="false">Q59-P59</f>
        <v>0</v>
      </c>
      <c r="R62" s="65" t="n">
        <f aca="false">R59-Q59</f>
        <v>0</v>
      </c>
      <c r="S62" s="65" t="n">
        <f aca="false">S59-R59</f>
        <v>0</v>
      </c>
      <c r="T62" s="65" t="n">
        <f aca="false">T59-S59</f>
        <v>0</v>
      </c>
      <c r="U62" s="65" t="n">
        <f aca="false">U59-T59</f>
        <v>0</v>
      </c>
      <c r="V62" s="65" t="n">
        <f aca="false">V59-U59</f>
        <v>0</v>
      </c>
      <c r="W62" s="65" t="n">
        <f aca="false">W59-V59</f>
        <v>0</v>
      </c>
      <c r="X62" s="65" t="n">
        <f aca="false">X59-W59</f>
        <v>0</v>
      </c>
      <c r="Y62" s="65" t="n">
        <f aca="false">Y59-X59</f>
        <v>0</v>
      </c>
      <c r="Z62" s="65" t="n">
        <f aca="false">Z59-Y59</f>
        <v>0</v>
      </c>
      <c r="AA62" s="65" t="n">
        <f aca="false">AA59-Z59</f>
        <v>28.87605</v>
      </c>
      <c r="AB62" s="65" t="n">
        <f aca="false">AB59-AA59</f>
        <v>0</v>
      </c>
      <c r="AC62" s="65" t="n">
        <f aca="false">AC59-AB59</f>
        <v>0</v>
      </c>
      <c r="AD62" s="65" t="n">
        <f aca="false">AD59-AC59</f>
        <v>0</v>
      </c>
      <c r="AE62" s="65" t="n">
        <f aca="false">AE59-AD59</f>
        <v>0</v>
      </c>
      <c r="AF62" s="65" t="n">
        <f aca="false">AF59-AE59</f>
        <v>0</v>
      </c>
      <c r="AG62" s="65" t="n">
        <f aca="false">AG59-AF59</f>
        <v>0</v>
      </c>
      <c r="AH62" s="65" t="n">
        <f aca="false">AH59-AG59</f>
        <v>0</v>
      </c>
      <c r="AI62" s="65" t="n">
        <f aca="false">AI59-AH59</f>
        <v>0</v>
      </c>
      <c r="AJ62" s="65" t="n">
        <f aca="false">AJ59-AI59</f>
        <v>0</v>
      </c>
      <c r="AK62" s="65" t="n">
        <f aca="false">AK59-AJ59</f>
        <v>0</v>
      </c>
      <c r="AL62" s="65" t="n">
        <f aca="false">AL59-AK59</f>
        <v>0</v>
      </c>
      <c r="AM62" s="65" t="n">
        <f aca="false">AM59-AL59</f>
        <v>29.7423315000001</v>
      </c>
      <c r="AN62" s="65" t="n">
        <f aca="false">AN59-AM59</f>
        <v>0</v>
      </c>
      <c r="AO62" s="65" t="n">
        <f aca="false">AO59-AN59</f>
        <v>0</v>
      </c>
      <c r="AP62" s="65" t="n">
        <f aca="false">AP59-AO59</f>
        <v>0</v>
      </c>
      <c r="AQ62" s="65" t="n">
        <f aca="false">AQ59-AP59</f>
        <v>0</v>
      </c>
      <c r="AR62" s="65" t="n">
        <f aca="false">AR59-AQ59</f>
        <v>0</v>
      </c>
      <c r="AS62" s="65" t="n">
        <f aca="false">AS59-AR59</f>
        <v>0</v>
      </c>
      <c r="AT62" s="65" t="n">
        <f aca="false">AT59-AS59</f>
        <v>0</v>
      </c>
      <c r="AU62" s="65" t="n">
        <f aca="false">AU59-AT59</f>
        <v>0</v>
      </c>
      <c r="AV62" s="65" t="n">
        <f aca="false">AV59-AU59</f>
        <v>0</v>
      </c>
      <c r="AW62" s="65" t="n">
        <f aca="false">AW59-AV59</f>
        <v>0</v>
      </c>
      <c r="AX62" s="65" t="n">
        <f aca="false">AX59-AW59</f>
        <v>0</v>
      </c>
      <c r="AY62" s="65" t="n">
        <f aca="false">AY59-AX59</f>
        <v>30.6346014450003</v>
      </c>
      <c r="AZ62" s="65" t="n">
        <f aca="false">AZ59-AY59</f>
        <v>0</v>
      </c>
      <c r="BA62" s="65" t="n">
        <f aca="false">BA59-AZ59</f>
        <v>0</v>
      </c>
      <c r="BB62" s="65" t="n">
        <f aca="false">BB59-BA59</f>
        <v>0</v>
      </c>
      <c r="BC62" s="65" t="n">
        <f aca="false">BC59-BB59</f>
        <v>0</v>
      </c>
      <c r="BD62" s="65" t="n">
        <f aca="false">BD59-BC59</f>
        <v>0</v>
      </c>
      <c r="BE62" s="65" t="n">
        <f aca="false">BE59-BD59</f>
        <v>0</v>
      </c>
      <c r="BF62" s="65" t="n">
        <f aca="false">BF59-BE59</f>
        <v>0</v>
      </c>
      <c r="BG62" s="65" t="n">
        <f aca="false">BG59-BF59</f>
        <v>0</v>
      </c>
      <c r="BH62" s="65" t="n">
        <f aca="false">BH59-BG59</f>
        <v>0</v>
      </c>
      <c r="BI62" s="65" t="n">
        <f aca="false">BI59-BH59</f>
        <v>0</v>
      </c>
      <c r="BJ62" s="65" t="n">
        <f aca="false">BJ59-BI59</f>
        <v>0</v>
      </c>
    </row>
    <row r="64" customFormat="false" ht="15.75" hidden="false" customHeight="true" outlineLevel="0" collapsed="false">
      <c r="A64" s="7" t="s">
        <v>436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4" t="s">
        <v>53</v>
      </c>
      <c r="C65" s="71" t="n">
        <f aca="false">C35-C44+C60+C61+C62</f>
        <v>4879.5</v>
      </c>
      <c r="D65" s="71" t="n">
        <f aca="false">D35-D44+D60+D61+D62</f>
        <v>3950.87608819371</v>
      </c>
      <c r="E65" s="71" t="n">
        <f aca="false">E35-E44+E60+E61+E62</f>
        <v>3956.78400519847</v>
      </c>
      <c r="F65" s="71" t="n">
        <f aca="false">F35-F44+F60+F61+F62</f>
        <v>3962.72392342034</v>
      </c>
      <c r="G65" s="71" t="n">
        <f aca="false">G35-G44+G60+G61+G62</f>
        <v>3968.69601619924</v>
      </c>
      <c r="H65" s="71" t="n">
        <f aca="false">H35-H44+H60+H61+H62</f>
        <v>3974.70045781403</v>
      </c>
      <c r="I65" s="71" t="n">
        <f aca="false">I35-I44+I60+I61+I62</f>
        <v>3980.73742348756</v>
      </c>
      <c r="J65" s="71" t="n">
        <f aca="false">J35-J44+J60+J61+J62</f>
        <v>3986.80708939183</v>
      </c>
      <c r="K65" s="71" t="n">
        <f aca="false">K35-K44+K60+K61+K62</f>
        <v>3992.90963265308</v>
      </c>
      <c r="L65" s="71" t="n">
        <f aca="false">L35-L44+L60+L61+L62</f>
        <v>3999.04523135699</v>
      </c>
      <c r="M65" s="71" t="n">
        <f aca="false">M35-M44+M60+M61+M62</f>
        <v>4005.21406455389</v>
      </c>
      <c r="N65" s="71" t="n">
        <f aca="false">N35-N44+N60+N61+N62</f>
        <v>4011.41631226393</v>
      </c>
      <c r="O65" s="71" t="n">
        <f aca="false">O35-O44+O60+O61+O62</f>
        <v>4359.0371554824</v>
      </c>
      <c r="P65" s="71" t="n">
        <f aca="false">P35-P44+P60+P61+P62</f>
        <v>4337.27177618497</v>
      </c>
      <c r="Q65" s="71" t="n">
        <f aca="false">Q35-Q44+Q60+Q61+Q62</f>
        <v>4343.57535733302</v>
      </c>
      <c r="R65" s="71" t="n">
        <f aca="false">R35-R44+R60+R61+R62</f>
        <v>4349.91308287895</v>
      </c>
      <c r="S65" s="71" t="n">
        <f aca="false">S35-S44+S60+S61+S62</f>
        <v>4356.28513777158</v>
      </c>
      <c r="T65" s="71" t="n">
        <f aca="false">T35-T44+T60+T61+T62</f>
        <v>4362.69170796156</v>
      </c>
      <c r="U65" s="71" t="n">
        <f aca="false">U35-U44+U60+U61+U62</f>
        <v>4369.13298040672</v>
      </c>
      <c r="V65" s="71" t="n">
        <f aca="false">V35-V44+V60+V61+V62</f>
        <v>4375.60914307764</v>
      </c>
      <c r="W65" s="71" t="n">
        <f aca="false">W35-W44+W60+W61+W62</f>
        <v>4382.12038496302</v>
      </c>
      <c r="X65" s="71" t="n">
        <f aca="false">X35-X44+X60+X61+X62</f>
        <v>4388.66689607527</v>
      </c>
      <c r="Y65" s="71" t="n">
        <f aca="false">Y35-Y44+Y60+Y61+Y62</f>
        <v>4395.24886745606</v>
      </c>
      <c r="Z65" s="71" t="n">
        <f aca="false">Z35-Z44+Z60+Z61+Z62</f>
        <v>4401.86649118182</v>
      </c>
      <c r="AA65" s="71" t="n">
        <f aca="false">AA35-AA44+AA60+AA61+AA62</f>
        <v>4760.14651036943</v>
      </c>
      <c r="AB65" s="71" t="n">
        <f aca="false">AB35-AB44+AB60+AB61+AB62</f>
        <v>4737.95996918181</v>
      </c>
      <c r="AC65" s="71" t="n">
        <f aca="false">AC35-AC44+AC60+AC61+AC62</f>
        <v>4744.68571283359</v>
      </c>
      <c r="AD65" s="71" t="n">
        <f aca="false">AD35-AD44+AD60+AD61+AD62</f>
        <v>4751.44788759681</v>
      </c>
      <c r="AE65" s="71" t="n">
        <f aca="false">AE35-AE44+AE60+AE61+AE62</f>
        <v>4758.24669080667</v>
      </c>
      <c r="AF65" s="71" t="n">
        <f aca="false">AF35-AF44+AF60+AF61+AF62</f>
        <v>4765.08232086725</v>
      </c>
      <c r="AG65" s="71" t="n">
        <f aca="false">AG35-AG44+AG60+AG61+AG62</f>
        <v>4771.95497725732</v>
      </c>
      <c r="AH65" s="71" t="n">
        <f aca="false">AH35-AH44+AH60+AH61+AH62</f>
        <v>4778.86486053617</v>
      </c>
      <c r="AI65" s="71" t="n">
        <f aca="false">AI35-AI44+AI60+AI61+AI62</f>
        <v>4785.81217234945</v>
      </c>
      <c r="AJ65" s="71" t="n">
        <f aca="false">AJ35-AJ44+AJ60+AJ61+AJ62</f>
        <v>4792.79711543506</v>
      </c>
      <c r="AK65" s="71" t="n">
        <f aca="false">AK35-AK44+AK60+AK61+AK62</f>
        <v>4799.81989362904</v>
      </c>
      <c r="AL65" s="71" t="n">
        <f aca="false">AL35-AL44+AL60+AL61+AL62</f>
        <v>4806.88071187157</v>
      </c>
      <c r="AM65" s="71" t="n">
        <f aca="false">AM35-AM44+AM60+AM61+AM62</f>
        <v>5176.15512271292</v>
      </c>
      <c r="AN65" s="71" t="n">
        <f aca="false">AN35-AN44+AN60+AN61+AN62</f>
        <v>5153.55030881945</v>
      </c>
      <c r="AO65" s="71" t="n">
        <f aca="false">AO35-AO44+AO60+AO61+AO62</f>
        <v>5160.72648797968</v>
      </c>
      <c r="AP65" s="71" t="n">
        <f aca="false">AP35-AP44+AP60+AP61+AP62</f>
        <v>5167.94153811036</v>
      </c>
      <c r="AQ65" s="71" t="n">
        <f aca="false">AQ35-AQ44+AQ60+AQ61+AQ62</f>
        <v>5175.19566976258</v>
      </c>
      <c r="AR65" s="71" t="n">
        <f aca="false">AR35-AR44+AR60+AR61+AR62</f>
        <v>5182.48909462792</v>
      </c>
      <c r="AS65" s="71" t="n">
        <f aca="false">AS35-AS44+AS60+AS61+AS62</f>
        <v>5189.82202554462</v>
      </c>
      <c r="AT65" s="71" t="n">
        <f aca="false">AT35-AT44+AT60+AT61+AT62</f>
        <v>5197.19467650378</v>
      </c>
      <c r="AU65" s="71" t="n">
        <f aca="false">AU35-AU44+AU60+AU61+AU62</f>
        <v>5204.60726265563</v>
      </c>
      <c r="AV65" s="71" t="n">
        <f aca="false">AV35-AV44+AV60+AV61+AV62</f>
        <v>5212.06000031581</v>
      </c>
      <c r="AW65" s="71" t="n">
        <f aca="false">AW35-AW44+AW60+AW61+AW62</f>
        <v>5219.55310697165</v>
      </c>
      <c r="AX65" s="71" t="n">
        <f aca="false">AX35-AX44+AX60+AX61+AX62</f>
        <v>5227.08680128853</v>
      </c>
      <c r="AY65" s="71" t="n">
        <f aca="false">AY35-AY44+AY60+AY61+AY62</f>
        <v>5607.70191001131</v>
      </c>
      <c r="AZ65" s="71" t="n">
        <f aca="false">AZ35-AZ44+AZ60+AZ61+AZ62</f>
        <v>5584.68283894565</v>
      </c>
      <c r="BA65" s="71" t="n">
        <f aca="false">BA35-BA44+BA60+BA61+BA62</f>
        <v>5592.33962011454</v>
      </c>
      <c r="BB65" s="71" t="n">
        <f aca="false">BB35-BB44+BB60+BB61+BB62</f>
        <v>5600.03787551477</v>
      </c>
      <c r="BC65" s="71" t="n">
        <f aca="false">BC35-BC44+BC60+BC61+BC62</f>
        <v>5607.77782979841</v>
      </c>
      <c r="BD65" s="71" t="n">
        <f aca="false">BD35-BD44+BD60+BD61+BD62</f>
        <v>5615.55970883443</v>
      </c>
      <c r="BE65" s="71" t="n">
        <f aca="false">BE35-BE44+BE60+BE61+BE62</f>
        <v>5623.38373971522</v>
      </c>
      <c r="BF65" s="71" t="n">
        <f aca="false">BF35-BF44+BF60+BF61+BF62</f>
        <v>5631.25015076328</v>
      </c>
      <c r="BG65" s="71" t="n">
        <f aca="false">BG35-BG44+BG60+BG61+BG62</f>
        <v>5639.15917153785</v>
      </c>
      <c r="BH65" s="71" t="n">
        <f aca="false">BH35-BH44+BH60+BH61+BH62</f>
        <v>5647.11103284162</v>
      </c>
      <c r="BI65" s="71" t="n">
        <f aca="false">BI35-BI44+BI60+BI61+BI62</f>
        <v>5634.23807789609</v>
      </c>
      <c r="BJ65" s="71" t="n">
        <f aca="false">BJ35-BJ44+BJ60+BJ61+BJ62</f>
        <v>5481.15927752288</v>
      </c>
    </row>
    <row r="66" customFormat="false" ht="15" hidden="false" customHeight="false" outlineLevel="0" collapsed="false">
      <c r="A66" s="6" t="s">
        <v>437</v>
      </c>
      <c r="C66" s="65" t="n">
        <f aca="false">-C41</f>
        <v>-1905791.66666667</v>
      </c>
      <c r="D66" s="65" t="n">
        <f aca="false">-D41</f>
        <v>-291.666666666667</v>
      </c>
      <c r="E66" s="65" t="n">
        <f aca="false">-E41</f>
        <v>-291.666666666667</v>
      </c>
      <c r="F66" s="65" t="n">
        <f aca="false">-F41</f>
        <v>-291.666666666667</v>
      </c>
      <c r="G66" s="65" t="n">
        <f aca="false">-G41</f>
        <v>-291.666666666667</v>
      </c>
      <c r="H66" s="65" t="n">
        <f aca="false">-H41</f>
        <v>-291.666666666667</v>
      </c>
      <c r="I66" s="65" t="n">
        <f aca="false">-I41</f>
        <v>-291.666666666667</v>
      </c>
      <c r="J66" s="65" t="n">
        <f aca="false">-J41</f>
        <v>-291.666666666667</v>
      </c>
      <c r="K66" s="65" t="n">
        <f aca="false">-K41</f>
        <v>-291.666666666667</v>
      </c>
      <c r="L66" s="65" t="n">
        <f aca="false">-L41</f>
        <v>-291.666666666667</v>
      </c>
      <c r="M66" s="65" t="n">
        <f aca="false">-M41</f>
        <v>-291.666666666667</v>
      </c>
      <c r="N66" s="65" t="n">
        <f aca="false">-N41</f>
        <v>-291.666666666667</v>
      </c>
      <c r="O66" s="65" t="n">
        <f aca="false">-O41</f>
        <v>-300.416666666667</v>
      </c>
      <c r="P66" s="65" t="n">
        <f aca="false">-P41</f>
        <v>-300.416666666667</v>
      </c>
      <c r="Q66" s="65" t="n">
        <f aca="false">-Q41</f>
        <v>-300.416666666667</v>
      </c>
      <c r="R66" s="65" t="n">
        <f aca="false">-R41</f>
        <v>-300.416666666667</v>
      </c>
      <c r="S66" s="65" t="n">
        <f aca="false">-S41</f>
        <v>-300.416666666667</v>
      </c>
      <c r="T66" s="65" t="n">
        <f aca="false">-T41</f>
        <v>-300.416666666667</v>
      </c>
      <c r="U66" s="65" t="n">
        <f aca="false">-U41</f>
        <v>-300.416666666667</v>
      </c>
      <c r="V66" s="65" t="n">
        <f aca="false">-V41</f>
        <v>-300.416666666667</v>
      </c>
      <c r="W66" s="65" t="n">
        <f aca="false">-W41</f>
        <v>-300.416666666667</v>
      </c>
      <c r="X66" s="65" t="n">
        <f aca="false">-X41</f>
        <v>-300.416666666667</v>
      </c>
      <c r="Y66" s="65" t="n">
        <f aca="false">-Y41</f>
        <v>-300.416666666667</v>
      </c>
      <c r="Z66" s="65" t="n">
        <f aca="false">-Z41</f>
        <v>-300.416666666667</v>
      </c>
      <c r="AA66" s="65" t="n">
        <f aca="false">-AA41</f>
        <v>-309.429166666667</v>
      </c>
      <c r="AB66" s="65" t="n">
        <f aca="false">-AB41</f>
        <v>-309.429166666667</v>
      </c>
      <c r="AC66" s="65" t="n">
        <f aca="false">-AC41</f>
        <v>-309.429166666667</v>
      </c>
      <c r="AD66" s="65" t="n">
        <f aca="false">-AD41</f>
        <v>-309.429166666667</v>
      </c>
      <c r="AE66" s="65" t="n">
        <f aca="false">-AE41</f>
        <v>-309.429166666667</v>
      </c>
      <c r="AF66" s="65" t="n">
        <f aca="false">-AF41</f>
        <v>-309.429166666667</v>
      </c>
      <c r="AG66" s="65" t="n">
        <f aca="false">-AG41</f>
        <v>-309.429166666667</v>
      </c>
      <c r="AH66" s="65" t="n">
        <f aca="false">-AH41</f>
        <v>-309.429166666667</v>
      </c>
      <c r="AI66" s="65" t="n">
        <f aca="false">-AI41</f>
        <v>-309.429166666667</v>
      </c>
      <c r="AJ66" s="65" t="n">
        <f aca="false">-AJ41</f>
        <v>-309.429166666667</v>
      </c>
      <c r="AK66" s="65" t="n">
        <f aca="false">-AK41</f>
        <v>-309.429166666667</v>
      </c>
      <c r="AL66" s="65" t="n">
        <f aca="false">-AL41</f>
        <v>-309.429166666667</v>
      </c>
      <c r="AM66" s="65" t="n">
        <f aca="false">-AM41</f>
        <v>-318.712041666667</v>
      </c>
      <c r="AN66" s="65" t="n">
        <f aca="false">-AN41</f>
        <v>-318.712041666667</v>
      </c>
      <c r="AO66" s="65" t="n">
        <f aca="false">-AO41</f>
        <v>-318.712041666667</v>
      </c>
      <c r="AP66" s="65" t="n">
        <f aca="false">-AP41</f>
        <v>-318.712041666667</v>
      </c>
      <c r="AQ66" s="65" t="n">
        <f aca="false">-AQ41</f>
        <v>-318.712041666667</v>
      </c>
      <c r="AR66" s="65" t="n">
        <f aca="false">-AR41</f>
        <v>-318.712041666667</v>
      </c>
      <c r="AS66" s="65" t="n">
        <f aca="false">-AS41</f>
        <v>-318.712041666667</v>
      </c>
      <c r="AT66" s="65" t="n">
        <f aca="false">-AT41</f>
        <v>-318.712041666667</v>
      </c>
      <c r="AU66" s="65" t="n">
        <f aca="false">-AU41</f>
        <v>-318.712041666667</v>
      </c>
      <c r="AV66" s="65" t="n">
        <f aca="false">-AV41</f>
        <v>-318.712041666667</v>
      </c>
      <c r="AW66" s="65" t="n">
        <f aca="false">-AW41</f>
        <v>-318.712041666667</v>
      </c>
      <c r="AX66" s="65" t="n">
        <f aca="false">-AX41</f>
        <v>-318.712041666667</v>
      </c>
      <c r="AY66" s="65" t="n">
        <f aca="false">-AY41</f>
        <v>-328.273402916667</v>
      </c>
      <c r="AZ66" s="65" t="n">
        <f aca="false">-AZ41</f>
        <v>-328.273402916667</v>
      </c>
      <c r="BA66" s="65" t="n">
        <f aca="false">-BA41</f>
        <v>-328.273402916667</v>
      </c>
      <c r="BB66" s="65" t="n">
        <f aca="false">-BB41</f>
        <v>-328.273402916667</v>
      </c>
      <c r="BC66" s="65" t="n">
        <f aca="false">-BC41</f>
        <v>-328.273402916667</v>
      </c>
      <c r="BD66" s="65" t="n">
        <f aca="false">-BD41</f>
        <v>-328.273402916667</v>
      </c>
      <c r="BE66" s="65" t="n">
        <f aca="false">-BE41</f>
        <v>-328.273402916667</v>
      </c>
      <c r="BF66" s="65" t="n">
        <f aca="false">-BF41</f>
        <v>-328.273402916667</v>
      </c>
      <c r="BG66" s="65" t="n">
        <f aca="false">-BG41</f>
        <v>-328.273402916667</v>
      </c>
      <c r="BH66" s="65" t="n">
        <f aca="false">-BH41</f>
        <v>-328.273402916667</v>
      </c>
      <c r="BI66" s="65" t="n">
        <f aca="false">-BI41</f>
        <v>-328.273402916667</v>
      </c>
      <c r="BJ66" s="65" t="n">
        <f aca="false">-BJ41</f>
        <v>-328.273402916667</v>
      </c>
    </row>
    <row r="67" customFormat="false" ht="15" hidden="false" customHeight="false" outlineLevel="0" collapsed="false">
      <c r="A67" s="6" t="s">
        <v>64</v>
      </c>
      <c r="C67" s="65" t="n">
        <f aca="false">IF(C$4=1,Inputs!$E$34,0)</f>
        <v>760000</v>
      </c>
      <c r="D67" s="65" t="n">
        <f aca="false">IF(D$4=1,Inputs!$E$34,0)</f>
        <v>0</v>
      </c>
      <c r="E67" s="65" t="n">
        <f aca="false">IF(E$4=1,Inputs!$E$34,0)</f>
        <v>0</v>
      </c>
      <c r="F67" s="65" t="n">
        <f aca="false">IF(F$4=1,Inputs!$E$34,0)</f>
        <v>0</v>
      </c>
      <c r="G67" s="65" t="n">
        <f aca="false">IF(G$4=1,Inputs!$E$34,0)</f>
        <v>0</v>
      </c>
      <c r="H67" s="65" t="n">
        <f aca="false">IF(H$4=1,Inputs!$E$34,0)</f>
        <v>0</v>
      </c>
      <c r="I67" s="65" t="n">
        <f aca="false">IF(I$4=1,Inputs!$E$34,0)</f>
        <v>0</v>
      </c>
      <c r="J67" s="65" t="n">
        <f aca="false">IF(J$4=1,Inputs!$E$34,0)</f>
        <v>0</v>
      </c>
      <c r="K67" s="65" t="n">
        <f aca="false">IF(K$4=1,Inputs!$E$34,0)</f>
        <v>0</v>
      </c>
      <c r="L67" s="65" t="n">
        <f aca="false">IF(L$4=1,Inputs!$E$34,0)</f>
        <v>0</v>
      </c>
      <c r="M67" s="65" t="n">
        <f aca="false">IF(M$4=1,Inputs!$E$34,0)</f>
        <v>0</v>
      </c>
      <c r="N67" s="65" t="n">
        <f aca="false">IF(N$4=1,Inputs!$E$34,0)</f>
        <v>0</v>
      </c>
      <c r="O67" s="65" t="n">
        <f aca="false">IF(O$4=1,Inputs!$E$34,0)</f>
        <v>0</v>
      </c>
      <c r="P67" s="65" t="n">
        <f aca="false">IF(P$4=1,Inputs!$E$34,0)</f>
        <v>0</v>
      </c>
      <c r="Q67" s="65" t="n">
        <f aca="false">IF(Q$4=1,Inputs!$E$34,0)</f>
        <v>0</v>
      </c>
      <c r="R67" s="65" t="n">
        <f aca="false">IF(R$4=1,Inputs!$E$34,0)</f>
        <v>0</v>
      </c>
      <c r="S67" s="65" t="n">
        <f aca="false">IF(S$4=1,Inputs!$E$34,0)</f>
        <v>0</v>
      </c>
      <c r="T67" s="65" t="n">
        <f aca="false">IF(T$4=1,Inputs!$E$34,0)</f>
        <v>0</v>
      </c>
      <c r="U67" s="65" t="n">
        <f aca="false">IF(U$4=1,Inputs!$E$34,0)</f>
        <v>0</v>
      </c>
      <c r="V67" s="65" t="n">
        <f aca="false">IF(V$4=1,Inputs!$E$34,0)</f>
        <v>0</v>
      </c>
      <c r="W67" s="65" t="n">
        <f aca="false">IF(W$4=1,Inputs!$E$34,0)</f>
        <v>0</v>
      </c>
      <c r="X67" s="65" t="n">
        <f aca="false">IF(X$4=1,Inputs!$E$34,0)</f>
        <v>0</v>
      </c>
      <c r="Y67" s="65" t="n">
        <f aca="false">IF(Y$4=1,Inputs!$E$34,0)</f>
        <v>0</v>
      </c>
      <c r="Z67" s="65" t="n">
        <f aca="false">IF(Z$4=1,Inputs!$E$34,0)</f>
        <v>0</v>
      </c>
      <c r="AA67" s="65" t="n">
        <f aca="false">IF(AA$4=1,Inputs!$E$34,0)</f>
        <v>0</v>
      </c>
      <c r="AB67" s="65" t="n">
        <f aca="false">IF(AB$4=1,Inputs!$E$34,0)</f>
        <v>0</v>
      </c>
      <c r="AC67" s="65" t="n">
        <f aca="false">IF(AC$4=1,Inputs!$E$34,0)</f>
        <v>0</v>
      </c>
      <c r="AD67" s="65" t="n">
        <f aca="false">IF(AD$4=1,Inputs!$E$34,0)</f>
        <v>0</v>
      </c>
      <c r="AE67" s="65" t="n">
        <f aca="false">IF(AE$4=1,Inputs!$E$34,0)</f>
        <v>0</v>
      </c>
      <c r="AF67" s="65" t="n">
        <f aca="false">IF(AF$4=1,Inputs!$E$34,0)</f>
        <v>0</v>
      </c>
      <c r="AG67" s="65" t="n">
        <f aca="false">IF(AG$4=1,Inputs!$E$34,0)</f>
        <v>0</v>
      </c>
      <c r="AH67" s="65" t="n">
        <f aca="false">IF(AH$4=1,Inputs!$E$34,0)</f>
        <v>0</v>
      </c>
      <c r="AI67" s="65" t="n">
        <f aca="false">IF(AI$4=1,Inputs!$E$34,0)</f>
        <v>0</v>
      </c>
      <c r="AJ67" s="65" t="n">
        <f aca="false">IF(AJ$4=1,Inputs!$E$34,0)</f>
        <v>0</v>
      </c>
      <c r="AK67" s="65" t="n">
        <f aca="false">IF(AK$4=1,Inputs!$E$34,0)</f>
        <v>0</v>
      </c>
      <c r="AL67" s="65" t="n">
        <f aca="false">IF(AL$4=1,Inputs!$E$34,0)</f>
        <v>0</v>
      </c>
      <c r="AM67" s="65" t="n">
        <f aca="false">IF(AM$4=1,Inputs!$E$34,0)</f>
        <v>0</v>
      </c>
      <c r="AN67" s="65" t="n">
        <f aca="false">IF(AN$4=1,Inputs!$E$34,0)</f>
        <v>0</v>
      </c>
      <c r="AO67" s="65" t="n">
        <f aca="false">IF(AO$4=1,Inputs!$E$34,0)</f>
        <v>0</v>
      </c>
      <c r="AP67" s="65" t="n">
        <f aca="false">IF(AP$4=1,Inputs!$E$34,0)</f>
        <v>0</v>
      </c>
      <c r="AQ67" s="65" t="n">
        <f aca="false">IF(AQ$4=1,Inputs!$E$34,0)</f>
        <v>0</v>
      </c>
      <c r="AR67" s="65" t="n">
        <f aca="false">IF(AR$4=1,Inputs!$E$34,0)</f>
        <v>0</v>
      </c>
      <c r="AS67" s="65" t="n">
        <f aca="false">IF(AS$4=1,Inputs!$E$34,0)</f>
        <v>0</v>
      </c>
      <c r="AT67" s="65" t="n">
        <f aca="false">IF(AT$4=1,Inputs!$E$34,0)</f>
        <v>0</v>
      </c>
      <c r="AU67" s="65" t="n">
        <f aca="false">IF(AU$4=1,Inputs!$E$34,0)</f>
        <v>0</v>
      </c>
      <c r="AV67" s="65" t="n">
        <f aca="false">IF(AV$4=1,Inputs!$E$34,0)</f>
        <v>0</v>
      </c>
      <c r="AW67" s="65" t="n">
        <f aca="false">IF(AW$4=1,Inputs!$E$34,0)</f>
        <v>0</v>
      </c>
      <c r="AX67" s="65" t="n">
        <f aca="false">IF(AX$4=1,Inputs!$E$34,0)</f>
        <v>0</v>
      </c>
      <c r="AY67" s="65" t="n">
        <f aca="false">IF(AY$4=1,Inputs!$E$34,0)</f>
        <v>0</v>
      </c>
      <c r="AZ67" s="65" t="n">
        <f aca="false">IF(AZ$4=1,Inputs!$E$34,0)</f>
        <v>0</v>
      </c>
      <c r="BA67" s="65" t="n">
        <f aca="false">IF(BA$4=1,Inputs!$E$34,0)</f>
        <v>0</v>
      </c>
      <c r="BB67" s="65" t="n">
        <f aca="false">IF(BB$4=1,Inputs!$E$34,0)</f>
        <v>0</v>
      </c>
      <c r="BC67" s="65" t="n">
        <f aca="false">IF(BC$4=1,Inputs!$E$34,0)</f>
        <v>0</v>
      </c>
      <c r="BD67" s="65" t="n">
        <f aca="false">IF(BD$4=1,Inputs!$E$34,0)</f>
        <v>0</v>
      </c>
      <c r="BE67" s="65" t="n">
        <f aca="false">IF(BE$4=1,Inputs!$E$34,0)</f>
        <v>0</v>
      </c>
      <c r="BF67" s="65" t="n">
        <f aca="false">IF(BF$4=1,Inputs!$E$34,0)</f>
        <v>0</v>
      </c>
      <c r="BG67" s="65" t="n">
        <f aca="false">IF(BG$4=1,Inputs!$E$34,0)</f>
        <v>0</v>
      </c>
      <c r="BH67" s="65" t="n">
        <f aca="false">IF(BH$4=1,Inputs!$E$34,0)</f>
        <v>0</v>
      </c>
      <c r="BI67" s="65" t="n">
        <f aca="false">IF(BI$4=1,Inputs!$E$34,0)</f>
        <v>0</v>
      </c>
      <c r="BJ67" s="65" t="n">
        <f aca="false">IF(BJ$4=1,Inputs!$E$34,0)</f>
        <v>0</v>
      </c>
    </row>
    <row r="68" customFormat="false" ht="15" hidden="false" customHeight="false" outlineLevel="0" collapsed="false">
      <c r="A68" s="6" t="s">
        <v>55</v>
      </c>
      <c r="C68" s="65" t="n">
        <f aca="false">C67+C50+C52</f>
        <v>1958915.18371808</v>
      </c>
      <c r="D68" s="65" t="n">
        <f aca="false">D67+D50+D52</f>
        <v>-1090.69237010927</v>
      </c>
      <c r="E68" s="65" t="n">
        <f aca="false">E67+E50+E52</f>
        <v>-1096.60028711403</v>
      </c>
      <c r="F68" s="65" t="n">
        <f aca="false">F67+F50+F52</f>
        <v>-1102.5402053359</v>
      </c>
      <c r="G68" s="65" t="n">
        <f aca="false">G67+G50+G52</f>
        <v>-1108.5122981148</v>
      </c>
      <c r="H68" s="65" t="n">
        <f aca="false">H67+H50+H52</f>
        <v>-1114.51673972959</v>
      </c>
      <c r="I68" s="65" t="n">
        <f aca="false">I67+I50+I52</f>
        <v>-1120.55370540313</v>
      </c>
      <c r="J68" s="65" t="n">
        <f aca="false">J67+J50+J52</f>
        <v>-1126.62337130739</v>
      </c>
      <c r="K68" s="65" t="n">
        <f aca="false">K67+K50+K52</f>
        <v>-1132.72591456864</v>
      </c>
      <c r="L68" s="65" t="n">
        <f aca="false">L67+L50+L52</f>
        <v>-1138.86151327256</v>
      </c>
      <c r="M68" s="65" t="n">
        <f aca="false">M67+M50+M52</f>
        <v>-1145.03034646945</v>
      </c>
      <c r="N68" s="65" t="n">
        <f aca="false">N67+N50+N52</f>
        <v>-1151.23259417949</v>
      </c>
      <c r="O68" s="65" t="n">
        <f aca="false">O67+O50+O52</f>
        <v>-1157.46843739797</v>
      </c>
      <c r="P68" s="65" t="n">
        <f aca="false">P67+P50+P52</f>
        <v>-1163.73805810054</v>
      </c>
      <c r="Q68" s="65" t="n">
        <f aca="false">Q67+Q50+Q52</f>
        <v>-1170.04163924858</v>
      </c>
      <c r="R68" s="65" t="n">
        <f aca="false">R67+R50+R52</f>
        <v>-1176.37936479451</v>
      </c>
      <c r="S68" s="65" t="n">
        <f aca="false">S67+S50+S52</f>
        <v>-1182.75141968715</v>
      </c>
      <c r="T68" s="65" t="n">
        <f aca="false">T67+T50+T52</f>
        <v>-1189.15798987712</v>
      </c>
      <c r="U68" s="65" t="n">
        <f aca="false">U67+U50+U52</f>
        <v>-1195.59926232229</v>
      </c>
      <c r="V68" s="65" t="n">
        <f aca="false">V67+V50+V52</f>
        <v>-1202.0754249932</v>
      </c>
      <c r="W68" s="65" t="n">
        <f aca="false">W67+W50+W52</f>
        <v>-1208.58666687858</v>
      </c>
      <c r="X68" s="65" t="n">
        <f aca="false">X67+X50+X52</f>
        <v>-1215.13317799084</v>
      </c>
      <c r="Y68" s="65" t="n">
        <f aca="false">Y67+Y50+Y52</f>
        <v>-1221.71514937162</v>
      </c>
      <c r="Z68" s="65" t="n">
        <f aca="false">Z67+Z50+Z52</f>
        <v>-1228.33277309739</v>
      </c>
      <c r="AA68" s="65" t="n">
        <f aca="false">AA67+AA50+AA52</f>
        <v>-1234.986242285</v>
      </c>
      <c r="AB68" s="65" t="n">
        <f aca="false">AB67+AB50+AB52</f>
        <v>-1241.67575109737</v>
      </c>
      <c r="AC68" s="65" t="n">
        <f aca="false">AC67+AC50+AC52</f>
        <v>-1248.40149474915</v>
      </c>
      <c r="AD68" s="65" t="n">
        <f aca="false">AD67+AD50+AD52</f>
        <v>-1255.16366951237</v>
      </c>
      <c r="AE68" s="65" t="n">
        <f aca="false">AE67+AE50+AE52</f>
        <v>-1261.96247272223</v>
      </c>
      <c r="AF68" s="65" t="n">
        <f aca="false">AF67+AF50+AF52</f>
        <v>-1268.79810278281</v>
      </c>
      <c r="AG68" s="65" t="n">
        <f aca="false">AG67+AG50+AG52</f>
        <v>-1275.67075917288</v>
      </c>
      <c r="AH68" s="65" t="n">
        <f aca="false">AH67+AH50+AH52</f>
        <v>-1282.58064245174</v>
      </c>
      <c r="AI68" s="65" t="n">
        <f aca="false">AI67+AI50+AI52</f>
        <v>-1289.52795426502</v>
      </c>
      <c r="AJ68" s="65" t="n">
        <f aca="false">AJ67+AJ50+AJ52</f>
        <v>-1296.51289735062</v>
      </c>
      <c r="AK68" s="65" t="n">
        <f aca="false">AK67+AK50+AK52</f>
        <v>-1303.5356755446</v>
      </c>
      <c r="AL68" s="65" t="n">
        <f aca="false">AL67+AL50+AL52</f>
        <v>-1310.59649378714</v>
      </c>
      <c r="AM68" s="65" t="n">
        <f aca="false">AM67+AM50+AM52</f>
        <v>-1317.69555812848</v>
      </c>
      <c r="AN68" s="65" t="n">
        <f aca="false">AN67+AN50+AN52</f>
        <v>-1324.83307573501</v>
      </c>
      <c r="AO68" s="65" t="n">
        <f aca="false">AO67+AO50+AO52</f>
        <v>-1332.00925489524</v>
      </c>
      <c r="AP68" s="65" t="n">
        <f aca="false">AP67+AP50+AP52</f>
        <v>-1339.22430502593</v>
      </c>
      <c r="AQ68" s="65" t="n">
        <f aca="false">AQ67+AQ50+AQ52</f>
        <v>-1346.47843667815</v>
      </c>
      <c r="AR68" s="65" t="n">
        <f aca="false">AR67+AR50+AR52</f>
        <v>-1353.77186154349</v>
      </c>
      <c r="AS68" s="65" t="n">
        <f aca="false">AS67+AS50+AS52</f>
        <v>-1361.10479246018</v>
      </c>
      <c r="AT68" s="65" t="n">
        <f aca="false">AT67+AT50+AT52</f>
        <v>-1368.47744341934</v>
      </c>
      <c r="AU68" s="65" t="n">
        <f aca="false">AU67+AU50+AU52</f>
        <v>-1375.8900295712</v>
      </c>
      <c r="AV68" s="65" t="n">
        <f aca="false">AV67+AV50+AV52</f>
        <v>-1383.34276723137</v>
      </c>
      <c r="AW68" s="65" t="n">
        <f aca="false">AW67+AW50+AW52</f>
        <v>-1390.83587388721</v>
      </c>
      <c r="AX68" s="65" t="n">
        <f aca="false">AX67+AX50+AX52</f>
        <v>-1398.3695682041</v>
      </c>
      <c r="AY68" s="65" t="n">
        <f aca="false">AY67+AY50+AY52</f>
        <v>-1405.94407003187</v>
      </c>
      <c r="AZ68" s="65" t="n">
        <f aca="false">AZ67+AZ50+AZ52</f>
        <v>-1413.55960041121</v>
      </c>
      <c r="BA68" s="65" t="n">
        <f aca="false">BA67+BA50+BA52</f>
        <v>-1421.21638158011</v>
      </c>
      <c r="BB68" s="65" t="n">
        <f aca="false">BB67+BB50+BB52</f>
        <v>-1428.91463698033</v>
      </c>
      <c r="BC68" s="65" t="n">
        <f aca="false">BC67+BC50+BC52</f>
        <v>-1436.65459126397</v>
      </c>
      <c r="BD68" s="65" t="n">
        <f aca="false">BD67+BD50+BD52</f>
        <v>-1444.43647029999</v>
      </c>
      <c r="BE68" s="65" t="n">
        <f aca="false">BE67+BE50+BE52</f>
        <v>-1452.26050118078</v>
      </c>
      <c r="BF68" s="65" t="n">
        <f aca="false">BF67+BF50+BF52</f>
        <v>-1460.12691222884</v>
      </c>
      <c r="BG68" s="65" t="n">
        <f aca="false">BG67+BG50+BG52</f>
        <v>-1468.03593300341</v>
      </c>
      <c r="BH68" s="65" t="n">
        <f aca="false">BH67+BH50+BH52</f>
        <v>-1475.98779430718</v>
      </c>
      <c r="BI68" s="65" t="n">
        <f aca="false">BI67+BI50+BI52</f>
        <v>-1483.98272819301</v>
      </c>
      <c r="BJ68" s="65" t="n">
        <f aca="false">BJ67+BJ50+BJ52</f>
        <v>-1492.02096797073</v>
      </c>
    </row>
    <row r="69" customFormat="false" ht="15" hidden="false" customHeight="false" outlineLevel="0" collapsed="false">
      <c r="A69" s="108" t="s">
        <v>438</v>
      </c>
      <c r="C69" s="66" t="n">
        <f aca="false">C65+C66+C68</f>
        <v>58003.0170514176</v>
      </c>
      <c r="D69" s="66" t="n">
        <f aca="false">D65+D66+D68</f>
        <v>2568.51705141777</v>
      </c>
      <c r="E69" s="66" t="n">
        <f aca="false">E65+E66+E68</f>
        <v>2568.51705141777</v>
      </c>
      <c r="F69" s="66" t="n">
        <f aca="false">F65+F66+F68</f>
        <v>2568.51705141777</v>
      </c>
      <c r="G69" s="66" t="n">
        <f aca="false">G65+G66+G68</f>
        <v>2568.51705141777</v>
      </c>
      <c r="H69" s="66" t="n">
        <f aca="false">H65+H66+H68</f>
        <v>2568.51705141777</v>
      </c>
      <c r="I69" s="66" t="n">
        <f aca="false">I65+I66+I68</f>
        <v>2568.51705141777</v>
      </c>
      <c r="J69" s="66" t="n">
        <f aca="false">J65+J66+J68</f>
        <v>2568.51705141777</v>
      </c>
      <c r="K69" s="66" t="n">
        <f aca="false">K65+K66+K68</f>
        <v>2568.51705141777</v>
      </c>
      <c r="L69" s="66" t="n">
        <f aca="false">L65+L66+L68</f>
        <v>2568.51705141777</v>
      </c>
      <c r="M69" s="66" t="n">
        <f aca="false">M65+M66+M68</f>
        <v>2568.51705141777</v>
      </c>
      <c r="N69" s="66" t="n">
        <f aca="false">N65+N66+N68</f>
        <v>2568.51705141777</v>
      </c>
      <c r="O69" s="66" t="n">
        <f aca="false">O65+O66+O68</f>
        <v>2901.15205141777</v>
      </c>
      <c r="P69" s="66" t="n">
        <f aca="false">P65+P66+P68</f>
        <v>2873.11705141777</v>
      </c>
      <c r="Q69" s="66" t="n">
        <f aca="false">Q65+Q66+Q68</f>
        <v>2873.11705141777</v>
      </c>
      <c r="R69" s="66" t="n">
        <f aca="false">R65+R66+R68</f>
        <v>2873.11705141777</v>
      </c>
      <c r="S69" s="66" t="n">
        <f aca="false">S65+S66+S68</f>
        <v>2873.11705141777</v>
      </c>
      <c r="T69" s="66" t="n">
        <f aca="false">T65+T66+T68</f>
        <v>2873.11705141777</v>
      </c>
      <c r="U69" s="66" t="n">
        <f aca="false">U65+U66+U68</f>
        <v>2873.11705141777</v>
      </c>
      <c r="V69" s="66" t="n">
        <f aca="false">V65+V66+V68</f>
        <v>2873.11705141777</v>
      </c>
      <c r="W69" s="66" t="n">
        <f aca="false">W65+W66+W68</f>
        <v>2873.11705141777</v>
      </c>
      <c r="X69" s="66" t="n">
        <f aca="false">X65+X66+X68</f>
        <v>2873.11705141777</v>
      </c>
      <c r="Y69" s="66" t="n">
        <f aca="false">Y65+Y66+Y68</f>
        <v>2873.11705141777</v>
      </c>
      <c r="Z69" s="66" t="n">
        <f aca="false">Z65+Z66+Z68</f>
        <v>2873.11705141777</v>
      </c>
      <c r="AA69" s="66" t="n">
        <f aca="false">AA65+AA66+AA68</f>
        <v>3215.73110141777</v>
      </c>
      <c r="AB69" s="66" t="n">
        <f aca="false">AB65+AB66+AB68</f>
        <v>3186.85505141777</v>
      </c>
      <c r="AC69" s="66" t="n">
        <f aca="false">AC65+AC66+AC68</f>
        <v>3186.85505141777</v>
      </c>
      <c r="AD69" s="66" t="n">
        <f aca="false">AD65+AD66+AD68</f>
        <v>3186.85505141777</v>
      </c>
      <c r="AE69" s="66" t="n">
        <f aca="false">AE65+AE66+AE68</f>
        <v>3186.85505141777</v>
      </c>
      <c r="AF69" s="66" t="n">
        <f aca="false">AF65+AF66+AF68</f>
        <v>3186.85505141777</v>
      </c>
      <c r="AG69" s="66" t="n">
        <f aca="false">AG65+AG66+AG68</f>
        <v>3186.85505141777</v>
      </c>
      <c r="AH69" s="66" t="n">
        <f aca="false">AH65+AH66+AH68</f>
        <v>3186.85505141777</v>
      </c>
      <c r="AI69" s="66" t="n">
        <f aca="false">AI65+AI66+AI68</f>
        <v>3186.85505141777</v>
      </c>
      <c r="AJ69" s="66" t="n">
        <f aca="false">AJ65+AJ66+AJ68</f>
        <v>3186.85505141777</v>
      </c>
      <c r="AK69" s="66" t="n">
        <f aca="false">AK65+AK66+AK68</f>
        <v>3186.85505141777</v>
      </c>
      <c r="AL69" s="66" t="n">
        <f aca="false">AL65+AL66+AL68</f>
        <v>3186.85505141777</v>
      </c>
      <c r="AM69" s="66" t="n">
        <f aca="false">AM65+AM66+AM68</f>
        <v>3539.74752291777</v>
      </c>
      <c r="AN69" s="66" t="n">
        <f aca="false">AN65+AN66+AN68</f>
        <v>3510.00519141777</v>
      </c>
      <c r="AO69" s="66" t="n">
        <f aca="false">AO65+AO66+AO68</f>
        <v>3510.00519141777</v>
      </c>
      <c r="AP69" s="66" t="n">
        <f aca="false">AP65+AP66+AP68</f>
        <v>3510.00519141777</v>
      </c>
      <c r="AQ69" s="66" t="n">
        <f aca="false">AQ65+AQ66+AQ68</f>
        <v>3510.00519141777</v>
      </c>
      <c r="AR69" s="66" t="n">
        <f aca="false">AR65+AR66+AR68</f>
        <v>3510.00519141777</v>
      </c>
      <c r="AS69" s="66" t="n">
        <f aca="false">AS65+AS66+AS68</f>
        <v>3510.00519141777</v>
      </c>
      <c r="AT69" s="66" t="n">
        <f aca="false">AT65+AT66+AT68</f>
        <v>3510.00519141777</v>
      </c>
      <c r="AU69" s="66" t="n">
        <f aca="false">AU65+AU66+AU68</f>
        <v>3510.00519141777</v>
      </c>
      <c r="AV69" s="66" t="n">
        <f aca="false">AV65+AV66+AV68</f>
        <v>3510.00519141777</v>
      </c>
      <c r="AW69" s="66" t="n">
        <f aca="false">AW65+AW66+AW68</f>
        <v>3510.00519141777</v>
      </c>
      <c r="AX69" s="66" t="n">
        <f aca="false">AX65+AX66+AX68</f>
        <v>3510.00519141777</v>
      </c>
      <c r="AY69" s="66" t="n">
        <f aca="false">AY65+AY66+AY68</f>
        <v>3873.48443706277</v>
      </c>
      <c r="AZ69" s="66" t="n">
        <f aca="false">AZ65+AZ66+AZ68</f>
        <v>3842.84983561777</v>
      </c>
      <c r="BA69" s="66" t="n">
        <f aca="false">BA65+BA66+BA68</f>
        <v>3842.84983561777</v>
      </c>
      <c r="BB69" s="66" t="n">
        <f aca="false">BB65+BB66+BB68</f>
        <v>3842.84983561777</v>
      </c>
      <c r="BC69" s="66" t="n">
        <f aca="false">BC65+BC66+BC68</f>
        <v>3842.84983561777</v>
      </c>
      <c r="BD69" s="66" t="n">
        <f aca="false">BD65+BD66+BD68</f>
        <v>3842.84983561777</v>
      </c>
      <c r="BE69" s="66" t="n">
        <f aca="false">BE65+BE66+BE68</f>
        <v>3842.84983561777</v>
      </c>
      <c r="BF69" s="66" t="n">
        <f aca="false">BF65+BF66+BF68</f>
        <v>3842.84983561777</v>
      </c>
      <c r="BG69" s="66" t="n">
        <f aca="false">BG65+BG66+BG68</f>
        <v>3842.84983561777</v>
      </c>
      <c r="BH69" s="66" t="n">
        <f aca="false">BH65+BH66+BH68</f>
        <v>3842.84983561777</v>
      </c>
      <c r="BI69" s="66" t="n">
        <f aca="false">BI65+BI66+BI68</f>
        <v>3821.98194678641</v>
      </c>
      <c r="BJ69" s="66" t="n">
        <f aca="false">BJ65+BJ66+BJ68</f>
        <v>3660.86490663549</v>
      </c>
    </row>
    <row r="70" customFormat="false" ht="15" hidden="false" customHeight="false" outlineLevel="0" collapsed="false">
      <c r="A70" s="6" t="s">
        <v>349</v>
      </c>
      <c r="C70" s="65" t="n">
        <f aca="false">0</f>
        <v>0</v>
      </c>
      <c r="D70" s="65" t="n">
        <f aca="false">C71</f>
        <v>58003.0170514176</v>
      </c>
      <c r="E70" s="65" t="n">
        <f aca="false">D71</f>
        <v>60571.5341028354</v>
      </c>
      <c r="F70" s="65" t="n">
        <f aca="false">E71</f>
        <v>63140.0511542531</v>
      </c>
      <c r="G70" s="65" t="n">
        <f aca="false">F71</f>
        <v>65708.5682056709</v>
      </c>
      <c r="H70" s="65" t="n">
        <f aca="false">G71</f>
        <v>68277.0852570887</v>
      </c>
      <c r="I70" s="65" t="n">
        <f aca="false">H71</f>
        <v>70845.6023085065</v>
      </c>
      <c r="J70" s="65" t="n">
        <f aca="false">I71</f>
        <v>73414.1193599242</v>
      </c>
      <c r="K70" s="65" t="n">
        <f aca="false">J71</f>
        <v>75982.636411342</v>
      </c>
      <c r="L70" s="65" t="n">
        <f aca="false">K71</f>
        <v>78551.1534627598</v>
      </c>
      <c r="M70" s="65" t="n">
        <f aca="false">L71</f>
        <v>81119.6705141776</v>
      </c>
      <c r="N70" s="65" t="n">
        <f aca="false">M71</f>
        <v>83688.1875655953</v>
      </c>
      <c r="O70" s="65" t="n">
        <f aca="false">N71</f>
        <v>86256.7046170131</v>
      </c>
      <c r="P70" s="65" t="n">
        <f aca="false">O71</f>
        <v>89157.8566684309</v>
      </c>
      <c r="Q70" s="65" t="n">
        <f aca="false">P71</f>
        <v>92030.9737198486</v>
      </c>
      <c r="R70" s="65" t="n">
        <f aca="false">Q71</f>
        <v>94904.0907712664</v>
      </c>
      <c r="S70" s="65" t="n">
        <f aca="false">R71</f>
        <v>97777.2078226842</v>
      </c>
      <c r="T70" s="65" t="n">
        <f aca="false">S71</f>
        <v>100650.324874102</v>
      </c>
      <c r="U70" s="65" t="n">
        <f aca="false">T71</f>
        <v>103523.44192552</v>
      </c>
      <c r="V70" s="65" t="n">
        <f aca="false">U71</f>
        <v>106396.558976937</v>
      </c>
      <c r="W70" s="65" t="n">
        <f aca="false">V71</f>
        <v>109269.676028355</v>
      </c>
      <c r="X70" s="65" t="n">
        <f aca="false">W71</f>
        <v>112142.793079773</v>
      </c>
      <c r="Y70" s="65" t="n">
        <f aca="false">X71</f>
        <v>115015.910131191</v>
      </c>
      <c r="Z70" s="65" t="n">
        <f aca="false">Y71</f>
        <v>117889.027182609</v>
      </c>
      <c r="AA70" s="65" t="n">
        <f aca="false">Z71</f>
        <v>120762.144234026</v>
      </c>
      <c r="AB70" s="65" t="n">
        <f aca="false">AA71</f>
        <v>123977.875335444</v>
      </c>
      <c r="AC70" s="65" t="n">
        <f aca="false">AB71</f>
        <v>127164.730386862</v>
      </c>
      <c r="AD70" s="65" t="n">
        <f aca="false">AC71</f>
        <v>130351.58543828</v>
      </c>
      <c r="AE70" s="65" t="n">
        <f aca="false">AD71</f>
        <v>133538.440489697</v>
      </c>
      <c r="AF70" s="65" t="n">
        <f aca="false">AE71</f>
        <v>136725.295541115</v>
      </c>
      <c r="AG70" s="65" t="n">
        <f aca="false">AF71</f>
        <v>139912.150592533</v>
      </c>
      <c r="AH70" s="65" t="n">
        <f aca="false">AG71</f>
        <v>143099.005643951</v>
      </c>
      <c r="AI70" s="65" t="n">
        <f aca="false">AH71</f>
        <v>146285.860695368</v>
      </c>
      <c r="AJ70" s="65" t="n">
        <f aca="false">AI71</f>
        <v>149472.715746786</v>
      </c>
      <c r="AK70" s="65" t="n">
        <f aca="false">AJ71</f>
        <v>152659.570798204</v>
      </c>
      <c r="AL70" s="65" t="n">
        <f aca="false">AK71</f>
        <v>155846.425849622</v>
      </c>
      <c r="AM70" s="65" t="n">
        <f aca="false">AL71</f>
        <v>159033.28090104</v>
      </c>
      <c r="AN70" s="65" t="n">
        <f aca="false">AM71</f>
        <v>162573.028423957</v>
      </c>
      <c r="AO70" s="65" t="n">
        <f aca="false">AN71</f>
        <v>166083.033615375</v>
      </c>
      <c r="AP70" s="65" t="n">
        <f aca="false">AO71</f>
        <v>169593.038806793</v>
      </c>
      <c r="AQ70" s="65" t="n">
        <f aca="false">AP71</f>
        <v>173103.043998211</v>
      </c>
      <c r="AR70" s="65" t="n">
        <f aca="false">AQ71</f>
        <v>176613.049189628</v>
      </c>
      <c r="AS70" s="65" t="n">
        <f aca="false">AR71</f>
        <v>180123.054381046</v>
      </c>
      <c r="AT70" s="65" t="n">
        <f aca="false">AS71</f>
        <v>183633.059572464</v>
      </c>
      <c r="AU70" s="65" t="n">
        <f aca="false">AT71</f>
        <v>187143.064763882</v>
      </c>
      <c r="AV70" s="65" t="n">
        <f aca="false">AU71</f>
        <v>190653.069955299</v>
      </c>
      <c r="AW70" s="65" t="n">
        <f aca="false">AV71</f>
        <v>194163.075146717</v>
      </c>
      <c r="AX70" s="65" t="n">
        <f aca="false">AW71</f>
        <v>197673.080338135</v>
      </c>
      <c r="AY70" s="65" t="n">
        <f aca="false">AX71</f>
        <v>201183.085529553</v>
      </c>
      <c r="AZ70" s="65" t="n">
        <f aca="false">AY71</f>
        <v>205056.569966616</v>
      </c>
      <c r="BA70" s="65" t="n">
        <f aca="false">AZ71</f>
        <v>208899.419802233</v>
      </c>
      <c r="BB70" s="65" t="n">
        <f aca="false">BA71</f>
        <v>212742.269637851</v>
      </c>
      <c r="BC70" s="65" t="n">
        <f aca="false">BB71</f>
        <v>216585.119473469</v>
      </c>
      <c r="BD70" s="65" t="n">
        <f aca="false">BC71</f>
        <v>220427.969309087</v>
      </c>
      <c r="BE70" s="65" t="n">
        <f aca="false">BD71</f>
        <v>224270.819144704</v>
      </c>
      <c r="BF70" s="65" t="n">
        <f aca="false">BE71</f>
        <v>228113.668980322</v>
      </c>
      <c r="BG70" s="65" t="n">
        <f aca="false">BF71</f>
        <v>231956.51881594</v>
      </c>
      <c r="BH70" s="65" t="n">
        <f aca="false">BG71</f>
        <v>235799.368651558</v>
      </c>
      <c r="BI70" s="65" t="n">
        <f aca="false">BH71</f>
        <v>239642.218487175</v>
      </c>
      <c r="BJ70" s="65" t="n">
        <f aca="false">BI71</f>
        <v>243464.200433962</v>
      </c>
    </row>
    <row r="71" customFormat="false" ht="15" hidden="false" customHeight="false" outlineLevel="0" collapsed="false">
      <c r="A71" s="108" t="s">
        <v>87</v>
      </c>
      <c r="C71" s="66" t="n">
        <f aca="false">C70+C69</f>
        <v>58003.0170514176</v>
      </c>
      <c r="D71" s="66" t="n">
        <f aca="false">D70+D69</f>
        <v>60571.5341028354</v>
      </c>
      <c r="E71" s="66" t="n">
        <f aca="false">E70+E69</f>
        <v>63140.0511542531</v>
      </c>
      <c r="F71" s="66" t="n">
        <f aca="false">F70+F69</f>
        <v>65708.5682056709</v>
      </c>
      <c r="G71" s="66" t="n">
        <f aca="false">G70+G69</f>
        <v>68277.0852570887</v>
      </c>
      <c r="H71" s="66" t="n">
        <f aca="false">H70+H69</f>
        <v>70845.6023085065</v>
      </c>
      <c r="I71" s="66" t="n">
        <f aca="false">I70+I69</f>
        <v>73414.1193599242</v>
      </c>
      <c r="J71" s="66" t="n">
        <f aca="false">J70+J69</f>
        <v>75982.636411342</v>
      </c>
      <c r="K71" s="66" t="n">
        <f aca="false">K70+K69</f>
        <v>78551.1534627598</v>
      </c>
      <c r="L71" s="66" t="n">
        <f aca="false">L70+L69</f>
        <v>81119.6705141776</v>
      </c>
      <c r="M71" s="66" t="n">
        <f aca="false">M70+M69</f>
        <v>83688.1875655953</v>
      </c>
      <c r="N71" s="66" t="n">
        <f aca="false">N70+N69</f>
        <v>86256.7046170131</v>
      </c>
      <c r="O71" s="66" t="n">
        <f aca="false">O70+O69</f>
        <v>89157.8566684309</v>
      </c>
      <c r="P71" s="66" t="n">
        <f aca="false">P70+P69</f>
        <v>92030.9737198486</v>
      </c>
      <c r="Q71" s="66" t="n">
        <f aca="false">Q70+Q69</f>
        <v>94904.0907712664</v>
      </c>
      <c r="R71" s="66" t="n">
        <f aca="false">R70+R69</f>
        <v>97777.2078226842</v>
      </c>
      <c r="S71" s="66" t="n">
        <f aca="false">S70+S69</f>
        <v>100650.324874102</v>
      </c>
      <c r="T71" s="66" t="n">
        <f aca="false">T70+T69</f>
        <v>103523.44192552</v>
      </c>
      <c r="U71" s="66" t="n">
        <f aca="false">U70+U69</f>
        <v>106396.558976937</v>
      </c>
      <c r="V71" s="66" t="n">
        <f aca="false">V70+V69</f>
        <v>109269.676028355</v>
      </c>
      <c r="W71" s="66" t="n">
        <f aca="false">W70+W69</f>
        <v>112142.793079773</v>
      </c>
      <c r="X71" s="66" t="n">
        <f aca="false">X70+X69</f>
        <v>115015.910131191</v>
      </c>
      <c r="Y71" s="66" t="n">
        <f aca="false">Y70+Y69</f>
        <v>117889.027182609</v>
      </c>
      <c r="Z71" s="66" t="n">
        <f aca="false">Z70+Z69</f>
        <v>120762.144234026</v>
      </c>
      <c r="AA71" s="66" t="n">
        <f aca="false">AA70+AA69</f>
        <v>123977.875335444</v>
      </c>
      <c r="AB71" s="66" t="n">
        <f aca="false">AB70+AB69</f>
        <v>127164.730386862</v>
      </c>
      <c r="AC71" s="66" t="n">
        <f aca="false">AC70+AC69</f>
        <v>130351.58543828</v>
      </c>
      <c r="AD71" s="66" t="n">
        <f aca="false">AD70+AD69</f>
        <v>133538.440489697</v>
      </c>
      <c r="AE71" s="66" t="n">
        <f aca="false">AE70+AE69</f>
        <v>136725.295541115</v>
      </c>
      <c r="AF71" s="66" t="n">
        <f aca="false">AF70+AF69</f>
        <v>139912.150592533</v>
      </c>
      <c r="AG71" s="66" t="n">
        <f aca="false">AG70+AG69</f>
        <v>143099.005643951</v>
      </c>
      <c r="AH71" s="66" t="n">
        <f aca="false">AH70+AH69</f>
        <v>146285.860695368</v>
      </c>
      <c r="AI71" s="66" t="n">
        <f aca="false">AI70+AI69</f>
        <v>149472.715746786</v>
      </c>
      <c r="AJ71" s="66" t="n">
        <f aca="false">AJ70+AJ69</f>
        <v>152659.570798204</v>
      </c>
      <c r="AK71" s="66" t="n">
        <f aca="false">AK70+AK69</f>
        <v>155846.425849622</v>
      </c>
      <c r="AL71" s="66" t="n">
        <f aca="false">AL70+AL69</f>
        <v>159033.28090104</v>
      </c>
      <c r="AM71" s="66" t="n">
        <f aca="false">AM70+AM69</f>
        <v>162573.028423957</v>
      </c>
      <c r="AN71" s="66" t="n">
        <f aca="false">AN70+AN69</f>
        <v>166083.033615375</v>
      </c>
      <c r="AO71" s="66" t="n">
        <f aca="false">AO70+AO69</f>
        <v>169593.038806793</v>
      </c>
      <c r="AP71" s="66" t="n">
        <f aca="false">AP70+AP69</f>
        <v>173103.043998211</v>
      </c>
      <c r="AQ71" s="66" t="n">
        <f aca="false">AQ70+AQ69</f>
        <v>176613.049189628</v>
      </c>
      <c r="AR71" s="66" t="n">
        <f aca="false">AR70+AR69</f>
        <v>180123.054381046</v>
      </c>
      <c r="AS71" s="66" t="n">
        <f aca="false">AS70+AS69</f>
        <v>183633.059572464</v>
      </c>
      <c r="AT71" s="66" t="n">
        <f aca="false">AT70+AT69</f>
        <v>187143.064763882</v>
      </c>
      <c r="AU71" s="66" t="n">
        <f aca="false">AU70+AU69</f>
        <v>190653.069955299</v>
      </c>
      <c r="AV71" s="66" t="n">
        <f aca="false">AV70+AV69</f>
        <v>194163.075146717</v>
      </c>
      <c r="AW71" s="66" t="n">
        <f aca="false">AW70+AW69</f>
        <v>197673.080338135</v>
      </c>
      <c r="AX71" s="66" t="n">
        <f aca="false">AX70+AX69</f>
        <v>201183.085529553</v>
      </c>
      <c r="AY71" s="66" t="n">
        <f aca="false">AY70+AY69</f>
        <v>205056.569966616</v>
      </c>
      <c r="AZ71" s="66" t="n">
        <f aca="false">AZ70+AZ69</f>
        <v>208899.419802233</v>
      </c>
      <c r="BA71" s="66" t="n">
        <f aca="false">BA70+BA69</f>
        <v>212742.269637851</v>
      </c>
      <c r="BB71" s="66" t="n">
        <f aca="false">BB70+BB69</f>
        <v>216585.119473469</v>
      </c>
      <c r="BC71" s="66" t="n">
        <f aca="false">BC70+BC69</f>
        <v>220427.969309087</v>
      </c>
      <c r="BD71" s="66" t="n">
        <f aca="false">BD70+BD69</f>
        <v>224270.819144704</v>
      </c>
      <c r="BE71" s="66" t="n">
        <f aca="false">BE70+BE69</f>
        <v>228113.668980322</v>
      </c>
      <c r="BF71" s="66" t="n">
        <f aca="false">BF70+BF69</f>
        <v>231956.51881594</v>
      </c>
      <c r="BG71" s="66" t="n">
        <f aca="false">BG70+BG69</f>
        <v>235799.368651558</v>
      </c>
      <c r="BH71" s="66" t="n">
        <f aca="false">BH70+BH69</f>
        <v>239642.218487175</v>
      </c>
      <c r="BI71" s="66" t="n">
        <f aca="false">BI70+BI69</f>
        <v>243464.200433962</v>
      </c>
      <c r="BJ71" s="66" t="n">
        <f aca="false">BJ70+BJ69</f>
        <v>247125.065340597</v>
      </c>
    </row>
    <row r="72" customFormat="false" ht="15" hidden="false" customHeight="false" outlineLevel="0" collapsed="false">
      <c r="A72" s="112" t="s">
        <v>439</v>
      </c>
      <c r="C72" s="113" t="n">
        <f aca="false">IF(C26&gt;0,1,0)</f>
        <v>1</v>
      </c>
      <c r="D72" s="113" t="n">
        <f aca="false">IF(D26&gt;0,1,0)</f>
        <v>1</v>
      </c>
      <c r="E72" s="113" t="n">
        <f aca="false">IF(E26&gt;0,1,0)</f>
        <v>1</v>
      </c>
      <c r="F72" s="113" t="n">
        <f aca="false">IF(F26&gt;0,1,0)</f>
        <v>1</v>
      </c>
      <c r="G72" s="113" t="n">
        <f aca="false">IF(G26&gt;0,1,0)</f>
        <v>1</v>
      </c>
      <c r="H72" s="113" t="n">
        <f aca="false">IF(H26&gt;0,1,0)</f>
        <v>1</v>
      </c>
      <c r="I72" s="113" t="n">
        <f aca="false">IF(I26&gt;0,1,0)</f>
        <v>1</v>
      </c>
      <c r="J72" s="113" t="n">
        <f aca="false">IF(J26&gt;0,1,0)</f>
        <v>1</v>
      </c>
      <c r="K72" s="113" t="n">
        <f aca="false">IF(K26&gt;0,1,0)</f>
        <v>1</v>
      </c>
      <c r="L72" s="113" t="n">
        <f aca="false">IF(L26&gt;0,1,0)</f>
        <v>1</v>
      </c>
      <c r="M72" s="113" t="n">
        <f aca="false">IF(M26&gt;0,1,0)</f>
        <v>1</v>
      </c>
      <c r="N72" s="113" t="n">
        <f aca="false">IF(N26&gt;0,1,0)</f>
        <v>1</v>
      </c>
      <c r="O72" s="113" t="n">
        <f aca="false">IF(O26&gt;0,1,0)</f>
        <v>1</v>
      </c>
      <c r="P72" s="113" t="n">
        <f aca="false">IF(P26&gt;0,1,0)</f>
        <v>1</v>
      </c>
      <c r="Q72" s="113" t="n">
        <f aca="false">IF(Q26&gt;0,1,0)</f>
        <v>1</v>
      </c>
      <c r="R72" s="113" t="n">
        <f aca="false">IF(R26&gt;0,1,0)</f>
        <v>1</v>
      </c>
      <c r="S72" s="113" t="n">
        <f aca="false">IF(S26&gt;0,1,0)</f>
        <v>1</v>
      </c>
      <c r="T72" s="113" t="n">
        <f aca="false">IF(T26&gt;0,1,0)</f>
        <v>1</v>
      </c>
      <c r="U72" s="113" t="n">
        <f aca="false">IF(U26&gt;0,1,0)</f>
        <v>1</v>
      </c>
      <c r="V72" s="113" t="n">
        <f aca="false">IF(V26&gt;0,1,0)</f>
        <v>1</v>
      </c>
      <c r="W72" s="113" t="n">
        <f aca="false">IF(W26&gt;0,1,0)</f>
        <v>1</v>
      </c>
      <c r="X72" s="113" t="n">
        <f aca="false">IF(X26&gt;0,1,0)</f>
        <v>1</v>
      </c>
      <c r="Y72" s="113" t="n">
        <f aca="false">IF(Y26&gt;0,1,0)</f>
        <v>1</v>
      </c>
      <c r="Z72" s="113" t="n">
        <f aca="false">IF(Z26&gt;0,1,0)</f>
        <v>1</v>
      </c>
      <c r="AA72" s="113" t="n">
        <f aca="false">IF(AA26&gt;0,1,0)</f>
        <v>1</v>
      </c>
      <c r="AB72" s="113" t="n">
        <f aca="false">IF(AB26&gt;0,1,0)</f>
        <v>1</v>
      </c>
      <c r="AC72" s="113" t="n">
        <f aca="false">IF(AC26&gt;0,1,0)</f>
        <v>1</v>
      </c>
      <c r="AD72" s="113" t="n">
        <f aca="false">IF(AD26&gt;0,1,0)</f>
        <v>1</v>
      </c>
      <c r="AE72" s="113" t="n">
        <f aca="false">IF(AE26&gt;0,1,0)</f>
        <v>1</v>
      </c>
      <c r="AF72" s="113" t="n">
        <f aca="false">IF(AF26&gt;0,1,0)</f>
        <v>1</v>
      </c>
      <c r="AG72" s="113" t="n">
        <f aca="false">IF(AG26&gt;0,1,0)</f>
        <v>1</v>
      </c>
      <c r="AH72" s="113" t="n">
        <f aca="false">IF(AH26&gt;0,1,0)</f>
        <v>1</v>
      </c>
      <c r="AI72" s="113" t="n">
        <f aca="false">IF(AI26&gt;0,1,0)</f>
        <v>1</v>
      </c>
      <c r="AJ72" s="113" t="n">
        <f aca="false">IF(AJ26&gt;0,1,0)</f>
        <v>1</v>
      </c>
      <c r="AK72" s="113" t="n">
        <f aca="false">IF(AK26&gt;0,1,0)</f>
        <v>1</v>
      </c>
      <c r="AL72" s="113" t="n">
        <f aca="false">IF(AL26&gt;0,1,0)</f>
        <v>1</v>
      </c>
      <c r="AM72" s="113" t="n">
        <f aca="false">IF(AM26&gt;0,1,0)</f>
        <v>1</v>
      </c>
      <c r="AN72" s="113" t="n">
        <f aca="false">IF(AN26&gt;0,1,0)</f>
        <v>1</v>
      </c>
      <c r="AO72" s="113" t="n">
        <f aca="false">IF(AO26&gt;0,1,0)</f>
        <v>1</v>
      </c>
      <c r="AP72" s="113" t="n">
        <f aca="false">IF(AP26&gt;0,1,0)</f>
        <v>1</v>
      </c>
      <c r="AQ72" s="113" t="n">
        <f aca="false">IF(AQ26&gt;0,1,0)</f>
        <v>1</v>
      </c>
      <c r="AR72" s="113" t="n">
        <f aca="false">IF(AR26&gt;0,1,0)</f>
        <v>1</v>
      </c>
      <c r="AS72" s="113" t="n">
        <f aca="false">IF(AS26&gt;0,1,0)</f>
        <v>1</v>
      </c>
      <c r="AT72" s="113" t="n">
        <f aca="false">IF(AT26&gt;0,1,0)</f>
        <v>1</v>
      </c>
      <c r="AU72" s="113" t="n">
        <f aca="false">IF(AU26&gt;0,1,0)</f>
        <v>1</v>
      </c>
      <c r="AV72" s="113" t="n">
        <f aca="false">IF(AV26&gt;0,1,0)</f>
        <v>1</v>
      </c>
      <c r="AW72" s="113" t="n">
        <f aca="false">IF(AW26&gt;0,1,0)</f>
        <v>1</v>
      </c>
      <c r="AX72" s="113" t="n">
        <f aca="false">IF(AX26&gt;0,1,0)</f>
        <v>1</v>
      </c>
      <c r="AY72" s="113" t="n">
        <f aca="false">IF(AY26&gt;0,1,0)</f>
        <v>1</v>
      </c>
      <c r="AZ72" s="113" t="n">
        <f aca="false">IF(AZ26&gt;0,1,0)</f>
        <v>1</v>
      </c>
      <c r="BA72" s="113" t="n">
        <f aca="false">IF(BA26&gt;0,1,0)</f>
        <v>1</v>
      </c>
      <c r="BB72" s="113" t="n">
        <f aca="false">IF(BB26&gt;0,1,0)</f>
        <v>1</v>
      </c>
      <c r="BC72" s="113" t="n">
        <f aca="false">IF(BC26&gt;0,1,0)</f>
        <v>1</v>
      </c>
      <c r="BD72" s="113" t="n">
        <f aca="false">IF(BD26&gt;0,1,0)</f>
        <v>1</v>
      </c>
      <c r="BE72" s="113" t="n">
        <f aca="false">IF(BE26&gt;0,1,0)</f>
        <v>1</v>
      </c>
      <c r="BF72" s="113" t="n">
        <f aca="false">IF(BF26&gt;0,1,0)</f>
        <v>1</v>
      </c>
      <c r="BG72" s="113" t="n">
        <f aca="false">IF(BG26&gt;0,1,0)</f>
        <v>1</v>
      </c>
      <c r="BH72" s="113" t="n">
        <f aca="false">IF(BH26&gt;0,1,0)</f>
        <v>1</v>
      </c>
      <c r="BI72" s="113" t="n">
        <f aca="false">IF(BI26&gt;0,1,0)</f>
        <v>1</v>
      </c>
      <c r="BJ72" s="113" t="n">
        <f aca="false">IF(BJ26&gt;0,1,0)</f>
        <v>1</v>
      </c>
    </row>
    <row r="74" customFormat="false" ht="15.75" hidden="false" customHeight="true" outlineLevel="0" collapsed="false">
      <c r="A74" s="7" t="s">
        <v>440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112" t="s">
        <v>441</v>
      </c>
      <c r="C75" s="113" t="n">
        <f aca="false">IF(C35&gt;0,1,0)</f>
        <v>0</v>
      </c>
      <c r="D75" s="113" t="n">
        <f aca="false">IF(D35&gt;0,1,0)</f>
        <v>0</v>
      </c>
      <c r="E75" s="113" t="n">
        <f aca="false">IF(E35&gt;0,1,0)</f>
        <v>0</v>
      </c>
      <c r="F75" s="113" t="n">
        <f aca="false">IF(F35&gt;0,1,0)</f>
        <v>0</v>
      </c>
      <c r="G75" s="113" t="n">
        <f aca="false">IF(G35&gt;0,1,0)</f>
        <v>0</v>
      </c>
      <c r="H75" s="113" t="n">
        <f aca="false">IF(H35&gt;0,1,0)</f>
        <v>0</v>
      </c>
      <c r="I75" s="113" t="n">
        <f aca="false">IF(I35&gt;0,1,0)</f>
        <v>0</v>
      </c>
      <c r="J75" s="113" t="n">
        <f aca="false">IF(J35&gt;0,1,0)</f>
        <v>0</v>
      </c>
      <c r="K75" s="113" t="n">
        <f aca="false">IF(K35&gt;0,1,0)</f>
        <v>0</v>
      </c>
      <c r="L75" s="113" t="n">
        <f aca="false">IF(L35&gt;0,1,0)</f>
        <v>0</v>
      </c>
      <c r="M75" s="113" t="n">
        <f aca="false">IF(M35&gt;0,1,0)</f>
        <v>0</v>
      </c>
      <c r="N75" s="113" t="n">
        <f aca="false">IF(N35&gt;0,1,0)</f>
        <v>0</v>
      </c>
      <c r="O75" s="113" t="n">
        <f aca="false">IF(O35&gt;0,1,0)</f>
        <v>0</v>
      </c>
      <c r="P75" s="113" t="n">
        <f aca="false">IF(P35&gt;0,1,0)</f>
        <v>0</v>
      </c>
      <c r="Q75" s="113" t="n">
        <f aca="false">IF(Q35&gt;0,1,0)</f>
        <v>0</v>
      </c>
      <c r="R75" s="113" t="n">
        <f aca="false">IF(R35&gt;0,1,0)</f>
        <v>0</v>
      </c>
      <c r="S75" s="113" t="n">
        <f aca="false">IF(S35&gt;0,1,0)</f>
        <v>0</v>
      </c>
      <c r="T75" s="113" t="n">
        <f aca="false">IF(T35&gt;0,1,0)</f>
        <v>0</v>
      </c>
      <c r="U75" s="113" t="n">
        <f aca="false">IF(U35&gt;0,1,0)</f>
        <v>0</v>
      </c>
      <c r="V75" s="113" t="n">
        <f aca="false">IF(V35&gt;0,1,0)</f>
        <v>0</v>
      </c>
      <c r="W75" s="113" t="n">
        <f aca="false">IF(W35&gt;0,1,0)</f>
        <v>0</v>
      </c>
      <c r="X75" s="113" t="n">
        <f aca="false">IF(X35&gt;0,1,0)</f>
        <v>0</v>
      </c>
      <c r="Y75" s="113" t="n">
        <f aca="false">IF(Y35&gt;0,1,0)</f>
        <v>0</v>
      </c>
      <c r="Z75" s="113" t="n">
        <f aca="false">IF(Z35&gt;0,1,0)</f>
        <v>0</v>
      </c>
      <c r="AA75" s="113" t="n">
        <f aca="false">IF(AA35&gt;0,1,0)</f>
        <v>0</v>
      </c>
      <c r="AB75" s="113" t="n">
        <f aca="false">IF(AB35&gt;0,1,0)</f>
        <v>0</v>
      </c>
      <c r="AC75" s="113" t="n">
        <f aca="false">IF(AC35&gt;0,1,0)</f>
        <v>0</v>
      </c>
      <c r="AD75" s="113" t="n">
        <f aca="false">IF(AD35&gt;0,1,0)</f>
        <v>0</v>
      </c>
      <c r="AE75" s="113" t="n">
        <f aca="false">IF(AE35&gt;0,1,0)</f>
        <v>0</v>
      </c>
      <c r="AF75" s="113" t="n">
        <f aca="false">IF(AF35&gt;0,1,0)</f>
        <v>0</v>
      </c>
      <c r="AG75" s="113" t="n">
        <f aca="false">IF(AG35&gt;0,1,0)</f>
        <v>1</v>
      </c>
      <c r="AH75" s="113" t="n">
        <f aca="false">IF(AH35&gt;0,1,0)</f>
        <v>1</v>
      </c>
      <c r="AI75" s="113" t="n">
        <f aca="false">IF(AI35&gt;0,1,0)</f>
        <v>1</v>
      </c>
      <c r="AJ75" s="113" t="n">
        <f aca="false">IF(AJ35&gt;0,1,0)</f>
        <v>1</v>
      </c>
      <c r="AK75" s="113" t="n">
        <f aca="false">IF(AK35&gt;0,1,0)</f>
        <v>1</v>
      </c>
      <c r="AL75" s="113" t="n">
        <f aca="false">IF(AL35&gt;0,1,0)</f>
        <v>1</v>
      </c>
      <c r="AM75" s="113" t="n">
        <f aca="false">IF(AM35&gt;0,1,0)</f>
        <v>1</v>
      </c>
      <c r="AN75" s="113" t="n">
        <f aca="false">IF(AN35&gt;0,1,0)</f>
        <v>1</v>
      </c>
      <c r="AO75" s="113" t="n">
        <f aca="false">IF(AO35&gt;0,1,0)</f>
        <v>1</v>
      </c>
      <c r="AP75" s="113" t="n">
        <f aca="false">IF(AP35&gt;0,1,0)</f>
        <v>1</v>
      </c>
      <c r="AQ75" s="113" t="n">
        <f aca="false">IF(AQ35&gt;0,1,0)</f>
        <v>1</v>
      </c>
      <c r="AR75" s="113" t="n">
        <f aca="false">IF(AR35&gt;0,1,0)</f>
        <v>1</v>
      </c>
      <c r="AS75" s="113" t="n">
        <f aca="false">IF(AS35&gt;0,1,0)</f>
        <v>1</v>
      </c>
      <c r="AT75" s="113" t="n">
        <f aca="false">IF(AT35&gt;0,1,0)</f>
        <v>1</v>
      </c>
      <c r="AU75" s="113" t="n">
        <f aca="false">IF(AU35&gt;0,1,0)</f>
        <v>1</v>
      </c>
      <c r="AV75" s="113" t="n">
        <f aca="false">IF(AV35&gt;0,1,0)</f>
        <v>1</v>
      </c>
      <c r="AW75" s="113" t="n">
        <f aca="false">IF(AW35&gt;0,1,0)</f>
        <v>1</v>
      </c>
      <c r="AX75" s="113" t="n">
        <f aca="false">IF(AX35&gt;0,1,0)</f>
        <v>1</v>
      </c>
      <c r="AY75" s="113" t="n">
        <f aca="false">IF(AY35&gt;0,1,0)</f>
        <v>1</v>
      </c>
      <c r="AZ75" s="113" t="n">
        <f aca="false">IF(AZ35&gt;0,1,0)</f>
        <v>1</v>
      </c>
      <c r="BA75" s="113" t="n">
        <f aca="false">IF(BA35&gt;0,1,0)</f>
        <v>1</v>
      </c>
      <c r="BB75" s="113" t="n">
        <f aca="false">IF(BB35&gt;0,1,0)</f>
        <v>1</v>
      </c>
      <c r="BC75" s="113" t="n">
        <f aca="false">IF(BC35&gt;0,1,0)</f>
        <v>1</v>
      </c>
      <c r="BD75" s="113" t="n">
        <f aca="false">IF(BD35&gt;0,1,0)</f>
        <v>1</v>
      </c>
      <c r="BE75" s="113" t="n">
        <f aca="false">IF(BE35&gt;0,1,0)</f>
        <v>1</v>
      </c>
      <c r="BF75" s="113" t="n">
        <f aca="false">IF(BF35&gt;0,1,0)</f>
        <v>1</v>
      </c>
      <c r="BG75" s="113" t="n">
        <f aca="false">IF(BG35&gt;0,1,0)</f>
        <v>1</v>
      </c>
      <c r="BH75" s="113" t="n">
        <f aca="false">IF(BH35&gt;0,1,0)</f>
        <v>1</v>
      </c>
      <c r="BI75" s="113" t="n">
        <f aca="false">IF(BI35&gt;0,1,0)</f>
        <v>1</v>
      </c>
      <c r="BJ75" s="113" t="n">
        <f aca="false">IF(BJ35&gt;0,1,0)</f>
        <v>1</v>
      </c>
    </row>
    <row r="76" customFormat="false" ht="15" hidden="false" customHeight="false" outlineLevel="0" collapsed="false">
      <c r="A76" s="6" t="s">
        <v>442</v>
      </c>
      <c r="C76" s="65" t="n">
        <f aca="false">C65+C66</f>
        <v>-1900912.16666667</v>
      </c>
      <c r="D76" s="65" t="n">
        <f aca="false">D65+D66</f>
        <v>3659.20942152704</v>
      </c>
      <c r="E76" s="65" t="n">
        <f aca="false">E65+E66</f>
        <v>3665.1173385318</v>
      </c>
      <c r="F76" s="65" t="n">
        <f aca="false">F65+F66</f>
        <v>3671.05725675367</v>
      </c>
      <c r="G76" s="65" t="n">
        <f aca="false">G65+G66</f>
        <v>3677.02934953257</v>
      </c>
      <c r="H76" s="65" t="n">
        <f aca="false">H65+H66</f>
        <v>3683.03379114736</v>
      </c>
      <c r="I76" s="65" t="n">
        <f aca="false">I65+I66</f>
        <v>3689.0707568209</v>
      </c>
      <c r="J76" s="65" t="n">
        <f aca="false">J65+J66</f>
        <v>3695.14042272516</v>
      </c>
      <c r="K76" s="65" t="n">
        <f aca="false">K65+K66</f>
        <v>3701.24296598641</v>
      </c>
      <c r="L76" s="65" t="n">
        <f aca="false">L65+L66</f>
        <v>3707.37856469032</v>
      </c>
      <c r="M76" s="65" t="n">
        <f aca="false">M65+M66</f>
        <v>3713.54739788722</v>
      </c>
      <c r="N76" s="65" t="n">
        <f aca="false">N65+N66</f>
        <v>3719.74964559726</v>
      </c>
      <c r="O76" s="65" t="n">
        <f aca="false">O65+O66</f>
        <v>4058.62048881573</v>
      </c>
      <c r="P76" s="65" t="n">
        <f aca="false">P65+P66</f>
        <v>4036.85510951831</v>
      </c>
      <c r="Q76" s="65" t="n">
        <f aca="false">Q65+Q66</f>
        <v>4043.15869066635</v>
      </c>
      <c r="R76" s="65" t="n">
        <f aca="false">R65+R66</f>
        <v>4049.49641621228</v>
      </c>
      <c r="S76" s="65" t="n">
        <f aca="false">S65+S66</f>
        <v>4055.86847110492</v>
      </c>
      <c r="T76" s="65" t="n">
        <f aca="false">T65+T66</f>
        <v>4062.27504129489</v>
      </c>
      <c r="U76" s="65" t="n">
        <f aca="false">U65+U66</f>
        <v>4068.71631374006</v>
      </c>
      <c r="V76" s="65" t="n">
        <f aca="false">V65+V66</f>
        <v>4075.19247641097</v>
      </c>
      <c r="W76" s="65" t="n">
        <f aca="false">W65+W66</f>
        <v>4081.70371829635</v>
      </c>
      <c r="X76" s="65" t="n">
        <f aca="false">X65+X66</f>
        <v>4088.25022940861</v>
      </c>
      <c r="Y76" s="65" t="n">
        <f aca="false">Y65+Y66</f>
        <v>4094.83220078939</v>
      </c>
      <c r="Z76" s="65" t="n">
        <f aca="false">Z65+Z66</f>
        <v>4101.44982451515</v>
      </c>
      <c r="AA76" s="65" t="n">
        <f aca="false">AA65+AA66</f>
        <v>4450.71734370277</v>
      </c>
      <c r="AB76" s="65" t="n">
        <f aca="false">AB65+AB66</f>
        <v>4428.53080251514</v>
      </c>
      <c r="AC76" s="65" t="n">
        <f aca="false">AC65+AC66</f>
        <v>4435.25654616692</v>
      </c>
      <c r="AD76" s="65" t="n">
        <f aca="false">AD65+AD66</f>
        <v>4442.01872093014</v>
      </c>
      <c r="AE76" s="65" t="n">
        <f aca="false">AE65+AE66</f>
        <v>4448.81752414</v>
      </c>
      <c r="AF76" s="65" t="n">
        <f aca="false">AF65+AF66</f>
        <v>4455.65315420058</v>
      </c>
      <c r="AG76" s="65" t="n">
        <f aca="false">AG65+AG66</f>
        <v>4462.52581059065</v>
      </c>
      <c r="AH76" s="65" t="n">
        <f aca="false">AH65+AH66</f>
        <v>4469.43569386951</v>
      </c>
      <c r="AI76" s="65" t="n">
        <f aca="false">AI65+AI66</f>
        <v>4476.38300568279</v>
      </c>
      <c r="AJ76" s="65" t="n">
        <f aca="false">AJ65+AJ66</f>
        <v>4483.36794876839</v>
      </c>
      <c r="AK76" s="65" t="n">
        <f aca="false">AK65+AK66</f>
        <v>4490.39072696237</v>
      </c>
      <c r="AL76" s="65" t="n">
        <f aca="false">AL65+AL66</f>
        <v>4497.4515452049</v>
      </c>
      <c r="AM76" s="65" t="n">
        <f aca="false">AM65+AM66</f>
        <v>4857.44308104625</v>
      </c>
      <c r="AN76" s="65" t="n">
        <f aca="false">AN65+AN66</f>
        <v>4834.83826715278</v>
      </c>
      <c r="AO76" s="65" t="n">
        <f aca="false">AO65+AO66</f>
        <v>4842.01444631301</v>
      </c>
      <c r="AP76" s="65" t="n">
        <f aca="false">AP65+AP66</f>
        <v>4849.22949644369</v>
      </c>
      <c r="AQ76" s="65" t="n">
        <f aca="false">AQ65+AQ66</f>
        <v>4856.48362809592</v>
      </c>
      <c r="AR76" s="65" t="n">
        <f aca="false">AR65+AR66</f>
        <v>4863.77705296126</v>
      </c>
      <c r="AS76" s="65" t="n">
        <f aca="false">AS65+AS66</f>
        <v>4871.10998387795</v>
      </c>
      <c r="AT76" s="65" t="n">
        <f aca="false">AT65+AT66</f>
        <v>4878.48263483711</v>
      </c>
      <c r="AU76" s="65" t="n">
        <f aca="false">AU65+AU66</f>
        <v>4885.89522098896</v>
      </c>
      <c r="AV76" s="65" t="n">
        <f aca="false">AV65+AV66</f>
        <v>4893.34795864914</v>
      </c>
      <c r="AW76" s="65" t="n">
        <f aca="false">AW65+AW66</f>
        <v>4900.84106530498</v>
      </c>
      <c r="AX76" s="65" t="n">
        <f aca="false">AX65+AX66</f>
        <v>4908.37475962187</v>
      </c>
      <c r="AY76" s="65" t="n">
        <f aca="false">AY65+AY66</f>
        <v>5279.42850709464</v>
      </c>
      <c r="AZ76" s="65" t="n">
        <f aca="false">AZ65+AZ66</f>
        <v>5256.40943602898</v>
      </c>
      <c r="BA76" s="65" t="n">
        <f aca="false">BA65+BA66</f>
        <v>5264.06621719788</v>
      </c>
      <c r="BB76" s="65" t="n">
        <f aca="false">BB65+BB66</f>
        <v>5271.7644725981</v>
      </c>
      <c r="BC76" s="65" t="n">
        <f aca="false">BC65+BC66</f>
        <v>5279.50442688175</v>
      </c>
      <c r="BD76" s="65" t="n">
        <f aca="false">BD65+BD66</f>
        <v>5287.28630591776</v>
      </c>
      <c r="BE76" s="65" t="n">
        <f aca="false">BE65+BE66</f>
        <v>5295.11033679855</v>
      </c>
      <c r="BF76" s="65" t="n">
        <f aca="false">BF65+BF66</f>
        <v>5302.97674784661</v>
      </c>
      <c r="BG76" s="65" t="n">
        <f aca="false">BG65+BG66</f>
        <v>5310.88576862119</v>
      </c>
      <c r="BH76" s="65" t="n">
        <f aca="false">BH65+BH66</f>
        <v>5318.83762992496</v>
      </c>
      <c r="BI76" s="65" t="n">
        <f aca="false">BI65+BI66</f>
        <v>5305.96467497943</v>
      </c>
      <c r="BJ76" s="65" t="n">
        <f aca="false">BJ65+BJ66</f>
        <v>5152.88587460621</v>
      </c>
    </row>
    <row r="77" customFormat="false" ht="15" hidden="false" customHeight="false" outlineLevel="0" collapsed="false">
      <c r="A77" s="6" t="s">
        <v>443</v>
      </c>
      <c r="C77" s="65" t="n">
        <f aca="false">C76</f>
        <v>-1900912.16666667</v>
      </c>
      <c r="D77" s="65" t="n">
        <f aca="false">C77+D76</f>
        <v>-1897252.95724514</v>
      </c>
      <c r="E77" s="65" t="n">
        <f aca="false">D77+E76</f>
        <v>-1893587.83990661</v>
      </c>
      <c r="F77" s="65" t="n">
        <f aca="false">E77+F76</f>
        <v>-1889916.78264985</v>
      </c>
      <c r="G77" s="65" t="n">
        <f aca="false">F77+G76</f>
        <v>-1886239.75330032</v>
      </c>
      <c r="H77" s="65" t="n">
        <f aca="false">G77+H76</f>
        <v>-1882556.71950917</v>
      </c>
      <c r="I77" s="65" t="n">
        <f aca="false">H77+I76</f>
        <v>-1878867.64875235</v>
      </c>
      <c r="J77" s="65" t="n">
        <f aca="false">I77+J76</f>
        <v>-1875172.50832963</v>
      </c>
      <c r="K77" s="65" t="n">
        <f aca="false">J77+K76</f>
        <v>-1871471.26536364</v>
      </c>
      <c r="L77" s="65" t="n">
        <f aca="false">K77+L76</f>
        <v>-1867763.88679895</v>
      </c>
      <c r="M77" s="65" t="n">
        <f aca="false">L77+M76</f>
        <v>-1864050.33940106</v>
      </c>
      <c r="N77" s="65" t="n">
        <f aca="false">M77+N76</f>
        <v>-1860330.58975547</v>
      </c>
      <c r="O77" s="65" t="n">
        <f aca="false">N77+O76</f>
        <v>-1856271.96926665</v>
      </c>
      <c r="P77" s="65" t="n">
        <f aca="false">O77+P76</f>
        <v>-1852235.11415713</v>
      </c>
      <c r="Q77" s="65" t="n">
        <f aca="false">P77+Q76</f>
        <v>-1848191.95546647</v>
      </c>
      <c r="R77" s="65" t="n">
        <f aca="false">Q77+R76</f>
        <v>-1844142.45905025</v>
      </c>
      <c r="S77" s="65" t="n">
        <f aca="false">R77+S76</f>
        <v>-1840086.59057915</v>
      </c>
      <c r="T77" s="65" t="n">
        <f aca="false">S77+T76</f>
        <v>-1836024.31553785</v>
      </c>
      <c r="U77" s="65" t="n">
        <f aca="false">T77+U76</f>
        <v>-1831955.59922411</v>
      </c>
      <c r="V77" s="65" t="n">
        <f aca="false">U77+V76</f>
        <v>-1827880.4067477</v>
      </c>
      <c r="W77" s="65" t="n">
        <f aca="false">V77+W76</f>
        <v>-1823798.70302941</v>
      </c>
      <c r="X77" s="65" t="n">
        <f aca="false">W77+X76</f>
        <v>-1819710.4528</v>
      </c>
      <c r="Y77" s="65" t="n">
        <f aca="false">X77+Y76</f>
        <v>-1815615.62059921</v>
      </c>
      <c r="Z77" s="65" t="n">
        <f aca="false">Y77+Z76</f>
        <v>-1811514.17077469</v>
      </c>
      <c r="AA77" s="65" t="n">
        <f aca="false">Z77+AA76</f>
        <v>-1807063.45343099</v>
      </c>
      <c r="AB77" s="65" t="n">
        <f aca="false">AA77+AB76</f>
        <v>-1802634.92262848</v>
      </c>
      <c r="AC77" s="65" t="n">
        <f aca="false">AB77+AC76</f>
        <v>-1798199.66608231</v>
      </c>
      <c r="AD77" s="65" t="n">
        <f aca="false">AC77+AD76</f>
        <v>-1793757.64736138</v>
      </c>
      <c r="AE77" s="65" t="n">
        <f aca="false">AD77+AE76</f>
        <v>-1789308.82983724</v>
      </c>
      <c r="AF77" s="65" t="n">
        <f aca="false">AE77+AF76</f>
        <v>-1784853.17668304</v>
      </c>
      <c r="AG77" s="65" t="n">
        <f aca="false">AF77+AG76</f>
        <v>-1780390.65087245</v>
      </c>
      <c r="AH77" s="65" t="n">
        <f aca="false">AG77+AH76</f>
        <v>-1775921.21517858</v>
      </c>
      <c r="AI77" s="65" t="n">
        <f aca="false">AH77+AI76</f>
        <v>-1771444.8321729</v>
      </c>
      <c r="AJ77" s="65" t="n">
        <f aca="false">AI77+AJ76</f>
        <v>-1766961.46422413</v>
      </c>
      <c r="AK77" s="65" t="n">
        <f aca="false">AJ77+AK76</f>
        <v>-1762471.07349716</v>
      </c>
      <c r="AL77" s="65" t="n">
        <f aca="false">AK77+AL76</f>
        <v>-1757973.62195196</v>
      </c>
      <c r="AM77" s="65" t="n">
        <f aca="false">AL77+AM76</f>
        <v>-1753116.17887091</v>
      </c>
      <c r="AN77" s="65" t="n">
        <f aca="false">AM77+AN76</f>
        <v>-1748281.34060376</v>
      </c>
      <c r="AO77" s="65" t="n">
        <f aca="false">AN77+AO76</f>
        <v>-1743439.32615745</v>
      </c>
      <c r="AP77" s="65" t="n">
        <f aca="false">AO77+AP76</f>
        <v>-1738590.096661</v>
      </c>
      <c r="AQ77" s="65" t="n">
        <f aca="false">AP77+AQ76</f>
        <v>-1733733.61303291</v>
      </c>
      <c r="AR77" s="65" t="n">
        <f aca="false">AQ77+AR76</f>
        <v>-1728869.83597995</v>
      </c>
      <c r="AS77" s="65" t="n">
        <f aca="false">AR77+AS76</f>
        <v>-1723998.72599607</v>
      </c>
      <c r="AT77" s="65" t="n">
        <f aca="false">AS77+AT76</f>
        <v>-1719120.24336123</v>
      </c>
      <c r="AU77" s="65" t="n">
        <f aca="false">AT77+AU76</f>
        <v>-1714234.34814024</v>
      </c>
      <c r="AV77" s="65" t="n">
        <f aca="false">AU77+AV76</f>
        <v>-1709341.00018159</v>
      </c>
      <c r="AW77" s="65" t="n">
        <f aca="false">AV77+AW76</f>
        <v>-1704440.15911629</v>
      </c>
      <c r="AX77" s="65" t="n">
        <f aca="false">AW77+AX76</f>
        <v>-1699531.78435667</v>
      </c>
      <c r="AY77" s="65" t="n">
        <f aca="false">AX77+AY76</f>
        <v>-1694252.35584957</v>
      </c>
      <c r="AZ77" s="65" t="n">
        <f aca="false">AY77+AZ76</f>
        <v>-1688995.94641354</v>
      </c>
      <c r="BA77" s="65" t="n">
        <f aca="false">AZ77+BA76</f>
        <v>-1683731.88019635</v>
      </c>
      <c r="BB77" s="65" t="n">
        <f aca="false">BA77+BB76</f>
        <v>-1678460.11572375</v>
      </c>
      <c r="BC77" s="65" t="n">
        <f aca="false">BB77+BC76</f>
        <v>-1673180.61129687</v>
      </c>
      <c r="BD77" s="65" t="n">
        <f aca="false">BC77+BD76</f>
        <v>-1667893.32499095</v>
      </c>
      <c r="BE77" s="65" t="n">
        <f aca="false">BD77+BE76</f>
        <v>-1662598.21465415</v>
      </c>
      <c r="BF77" s="65" t="n">
        <f aca="false">BE77+BF76</f>
        <v>-1657295.2379063</v>
      </c>
      <c r="BG77" s="65" t="n">
        <f aca="false">BF77+BG76</f>
        <v>-1651984.35213768</v>
      </c>
      <c r="BH77" s="65" t="n">
        <f aca="false">BG77+BH76</f>
        <v>-1646665.51450776</v>
      </c>
      <c r="BI77" s="65" t="n">
        <f aca="false">BH77+BI76</f>
        <v>-1641359.54983278</v>
      </c>
      <c r="BJ77" s="65" t="n">
        <f aca="false">BI77+BJ76</f>
        <v>-1636206.66395817</v>
      </c>
    </row>
    <row r="78" customFormat="false" ht="15" hidden="false" customHeight="false" outlineLevel="0" collapsed="false">
      <c r="A78" s="112" t="s">
        <v>444</v>
      </c>
      <c r="C78" s="65" t="n">
        <f aca="false">C77</f>
        <v>-1900912.16666667</v>
      </c>
      <c r="D78" s="65" t="n">
        <f aca="false">MIN(C78,D77)</f>
        <v>-1900912.16666667</v>
      </c>
      <c r="E78" s="65" t="n">
        <f aca="false">MIN(D78,E77)</f>
        <v>-1900912.16666667</v>
      </c>
      <c r="F78" s="65" t="n">
        <f aca="false">MIN(E78,F77)</f>
        <v>-1900912.16666667</v>
      </c>
      <c r="G78" s="65" t="n">
        <f aca="false">MIN(F78,G77)</f>
        <v>-1900912.16666667</v>
      </c>
      <c r="H78" s="65" t="n">
        <f aca="false">MIN(G78,H77)</f>
        <v>-1900912.16666667</v>
      </c>
      <c r="I78" s="65" t="n">
        <f aca="false">MIN(H78,I77)</f>
        <v>-1900912.16666667</v>
      </c>
      <c r="J78" s="65" t="n">
        <f aca="false">MIN(I78,J77)</f>
        <v>-1900912.16666667</v>
      </c>
      <c r="K78" s="65" t="n">
        <f aca="false">MIN(J78,K77)</f>
        <v>-1900912.16666667</v>
      </c>
      <c r="L78" s="65" t="n">
        <f aca="false">MIN(K78,L77)</f>
        <v>-1900912.16666667</v>
      </c>
      <c r="M78" s="65" t="n">
        <f aca="false">MIN(L78,M77)</f>
        <v>-1900912.16666667</v>
      </c>
      <c r="N78" s="65" t="n">
        <f aca="false">MIN(M78,N77)</f>
        <v>-1900912.16666667</v>
      </c>
      <c r="O78" s="65" t="n">
        <f aca="false">MIN(N78,O77)</f>
        <v>-1900912.16666667</v>
      </c>
      <c r="P78" s="65" t="n">
        <f aca="false">MIN(O78,P77)</f>
        <v>-1900912.16666667</v>
      </c>
      <c r="Q78" s="65" t="n">
        <f aca="false">MIN(P78,Q77)</f>
        <v>-1900912.16666667</v>
      </c>
      <c r="R78" s="65" t="n">
        <f aca="false">MIN(Q78,R77)</f>
        <v>-1900912.16666667</v>
      </c>
      <c r="S78" s="65" t="n">
        <f aca="false">MIN(R78,S77)</f>
        <v>-1900912.16666667</v>
      </c>
      <c r="T78" s="65" t="n">
        <f aca="false">MIN(S78,T77)</f>
        <v>-1900912.16666667</v>
      </c>
      <c r="U78" s="65" t="n">
        <f aca="false">MIN(T78,U77)</f>
        <v>-1900912.16666667</v>
      </c>
      <c r="V78" s="65" t="n">
        <f aca="false">MIN(U78,V77)</f>
        <v>-1900912.16666667</v>
      </c>
      <c r="W78" s="65" t="n">
        <f aca="false">MIN(V78,W77)</f>
        <v>-1900912.16666667</v>
      </c>
      <c r="X78" s="65" t="n">
        <f aca="false">MIN(W78,X77)</f>
        <v>-1900912.16666667</v>
      </c>
      <c r="Y78" s="65" t="n">
        <f aca="false">MIN(X78,Y77)</f>
        <v>-1900912.16666667</v>
      </c>
      <c r="Z78" s="65" t="n">
        <f aca="false">MIN(Y78,Z77)</f>
        <v>-1900912.16666667</v>
      </c>
      <c r="AA78" s="65" t="n">
        <f aca="false">MIN(Z78,AA77)</f>
        <v>-1900912.16666667</v>
      </c>
      <c r="AB78" s="65" t="n">
        <f aca="false">MIN(AA78,AB77)</f>
        <v>-1900912.16666667</v>
      </c>
      <c r="AC78" s="65" t="n">
        <f aca="false">MIN(AB78,AC77)</f>
        <v>-1900912.16666667</v>
      </c>
      <c r="AD78" s="65" t="n">
        <f aca="false">MIN(AC78,AD77)</f>
        <v>-1900912.16666667</v>
      </c>
      <c r="AE78" s="65" t="n">
        <f aca="false">MIN(AD78,AE77)</f>
        <v>-1900912.16666667</v>
      </c>
      <c r="AF78" s="65" t="n">
        <f aca="false">MIN(AE78,AF77)</f>
        <v>-1900912.16666667</v>
      </c>
      <c r="AG78" s="65" t="n">
        <f aca="false">MIN(AF78,AG77)</f>
        <v>-1900912.16666667</v>
      </c>
      <c r="AH78" s="65" t="n">
        <f aca="false">MIN(AG78,AH77)</f>
        <v>-1900912.16666667</v>
      </c>
      <c r="AI78" s="65" t="n">
        <f aca="false">MIN(AH78,AI77)</f>
        <v>-1900912.16666667</v>
      </c>
      <c r="AJ78" s="65" t="n">
        <f aca="false">MIN(AI78,AJ77)</f>
        <v>-1900912.16666667</v>
      </c>
      <c r="AK78" s="65" t="n">
        <f aca="false">MIN(AJ78,AK77)</f>
        <v>-1900912.16666667</v>
      </c>
      <c r="AL78" s="65" t="n">
        <f aca="false">MIN(AK78,AL77)</f>
        <v>-1900912.16666667</v>
      </c>
      <c r="AM78" s="65" t="n">
        <f aca="false">MIN(AL78,AM77)</f>
        <v>-1900912.16666667</v>
      </c>
      <c r="AN78" s="65" t="n">
        <f aca="false">MIN(AM78,AN77)</f>
        <v>-1900912.16666667</v>
      </c>
      <c r="AO78" s="65" t="n">
        <f aca="false">MIN(AN78,AO77)</f>
        <v>-1900912.16666667</v>
      </c>
      <c r="AP78" s="65" t="n">
        <f aca="false">MIN(AO78,AP77)</f>
        <v>-1900912.16666667</v>
      </c>
      <c r="AQ78" s="65" t="n">
        <f aca="false">MIN(AP78,AQ77)</f>
        <v>-1900912.16666667</v>
      </c>
      <c r="AR78" s="65" t="n">
        <f aca="false">MIN(AQ78,AR77)</f>
        <v>-1900912.16666667</v>
      </c>
      <c r="AS78" s="65" t="n">
        <f aca="false">MIN(AR78,AS77)</f>
        <v>-1900912.16666667</v>
      </c>
      <c r="AT78" s="65" t="n">
        <f aca="false">MIN(AS78,AT77)</f>
        <v>-1900912.16666667</v>
      </c>
      <c r="AU78" s="65" t="n">
        <f aca="false">MIN(AT78,AU77)</f>
        <v>-1900912.16666667</v>
      </c>
      <c r="AV78" s="65" t="n">
        <f aca="false">MIN(AU78,AV77)</f>
        <v>-1900912.16666667</v>
      </c>
      <c r="AW78" s="65" t="n">
        <f aca="false">MIN(AV78,AW77)</f>
        <v>-1900912.16666667</v>
      </c>
      <c r="AX78" s="65" t="n">
        <f aca="false">MIN(AW78,AX77)</f>
        <v>-1900912.16666667</v>
      </c>
      <c r="AY78" s="65" t="n">
        <f aca="false">MIN(AX78,AY77)</f>
        <v>-1900912.16666667</v>
      </c>
      <c r="AZ78" s="65" t="n">
        <f aca="false">MIN(AY78,AZ77)</f>
        <v>-1900912.16666667</v>
      </c>
      <c r="BA78" s="65" t="n">
        <f aca="false">MIN(AZ78,BA77)</f>
        <v>-1900912.16666667</v>
      </c>
      <c r="BB78" s="65" t="n">
        <f aca="false">MIN(BA78,BB77)</f>
        <v>-1900912.16666667</v>
      </c>
      <c r="BC78" s="65" t="n">
        <f aca="false">MIN(BB78,BC77)</f>
        <v>-1900912.16666667</v>
      </c>
      <c r="BD78" s="65" t="n">
        <f aca="false">MIN(BC78,BD77)</f>
        <v>-1900912.16666667</v>
      </c>
      <c r="BE78" s="65" t="n">
        <f aca="false">MIN(BD78,BE77)</f>
        <v>-1900912.16666667</v>
      </c>
      <c r="BF78" s="65" t="n">
        <f aca="false">MIN(BE78,BF77)</f>
        <v>-1900912.16666667</v>
      </c>
      <c r="BG78" s="65" t="n">
        <f aca="false">MIN(BF78,BG77)</f>
        <v>-1900912.16666667</v>
      </c>
      <c r="BH78" s="65" t="n">
        <f aca="false">MIN(BG78,BH77)</f>
        <v>-1900912.16666667</v>
      </c>
      <c r="BI78" s="65" t="n">
        <f aca="false">MIN(BH78,BI77)</f>
        <v>-1900912.16666667</v>
      </c>
      <c r="BJ78" s="65" t="n">
        <f aca="false">MIN(BI78,BJ77)</f>
        <v>-1900912.16666667</v>
      </c>
    </row>
    <row r="79" customFormat="false" ht="15" hidden="false" customHeight="false" outlineLevel="0" collapsed="false">
      <c r="A79" s="112" t="s">
        <v>445</v>
      </c>
      <c r="C79" s="113" t="n">
        <f aca="false">IF(AND(C77&gt;=0,C78&lt;0),1,0)</f>
        <v>0</v>
      </c>
      <c r="D79" s="113" t="n">
        <f aca="false">IF(AND(D77&gt;=0,D78&lt;0),1,0)</f>
        <v>0</v>
      </c>
      <c r="E79" s="113" t="n">
        <f aca="false">IF(AND(E77&gt;=0,E78&lt;0),1,0)</f>
        <v>0</v>
      </c>
      <c r="F79" s="113" t="n">
        <f aca="false">IF(AND(F77&gt;=0,F78&lt;0),1,0)</f>
        <v>0</v>
      </c>
      <c r="G79" s="113" t="n">
        <f aca="false">IF(AND(G77&gt;=0,G78&lt;0),1,0)</f>
        <v>0</v>
      </c>
      <c r="H79" s="113" t="n">
        <f aca="false">IF(AND(H77&gt;=0,H78&lt;0),1,0)</f>
        <v>0</v>
      </c>
      <c r="I79" s="113" t="n">
        <f aca="false">IF(AND(I77&gt;=0,I78&lt;0),1,0)</f>
        <v>0</v>
      </c>
      <c r="J79" s="113" t="n">
        <f aca="false">IF(AND(J77&gt;=0,J78&lt;0),1,0)</f>
        <v>0</v>
      </c>
      <c r="K79" s="113" t="n">
        <f aca="false">IF(AND(K77&gt;=0,K78&lt;0),1,0)</f>
        <v>0</v>
      </c>
      <c r="L79" s="113" t="n">
        <f aca="false">IF(AND(L77&gt;=0,L78&lt;0),1,0)</f>
        <v>0</v>
      </c>
      <c r="M79" s="113" t="n">
        <f aca="false">IF(AND(M77&gt;=0,M78&lt;0),1,0)</f>
        <v>0</v>
      </c>
      <c r="N79" s="113" t="n">
        <f aca="false">IF(AND(N77&gt;=0,N78&lt;0),1,0)</f>
        <v>0</v>
      </c>
      <c r="O79" s="113" t="n">
        <f aca="false">IF(AND(O77&gt;=0,O78&lt;0),1,0)</f>
        <v>0</v>
      </c>
      <c r="P79" s="113" t="n">
        <f aca="false">IF(AND(P77&gt;=0,P78&lt;0),1,0)</f>
        <v>0</v>
      </c>
      <c r="Q79" s="113" t="n">
        <f aca="false">IF(AND(Q77&gt;=0,Q78&lt;0),1,0)</f>
        <v>0</v>
      </c>
      <c r="R79" s="113" t="n">
        <f aca="false">IF(AND(R77&gt;=0,R78&lt;0),1,0)</f>
        <v>0</v>
      </c>
      <c r="S79" s="113" t="n">
        <f aca="false">IF(AND(S77&gt;=0,S78&lt;0),1,0)</f>
        <v>0</v>
      </c>
      <c r="T79" s="113" t="n">
        <f aca="false">IF(AND(T77&gt;=0,T78&lt;0),1,0)</f>
        <v>0</v>
      </c>
      <c r="U79" s="113" t="n">
        <f aca="false">IF(AND(U77&gt;=0,U78&lt;0),1,0)</f>
        <v>0</v>
      </c>
      <c r="V79" s="113" t="n">
        <f aca="false">IF(AND(V77&gt;=0,V78&lt;0),1,0)</f>
        <v>0</v>
      </c>
      <c r="W79" s="113" t="n">
        <f aca="false">IF(AND(W77&gt;=0,W78&lt;0),1,0)</f>
        <v>0</v>
      </c>
      <c r="X79" s="113" t="n">
        <f aca="false">IF(AND(X77&gt;=0,X78&lt;0),1,0)</f>
        <v>0</v>
      </c>
      <c r="Y79" s="113" t="n">
        <f aca="false">IF(AND(Y77&gt;=0,Y78&lt;0),1,0)</f>
        <v>0</v>
      </c>
      <c r="Z79" s="113" t="n">
        <f aca="false">IF(AND(Z77&gt;=0,Z78&lt;0),1,0)</f>
        <v>0</v>
      </c>
      <c r="AA79" s="113" t="n">
        <f aca="false">IF(AND(AA77&gt;=0,AA78&lt;0),1,0)</f>
        <v>0</v>
      </c>
      <c r="AB79" s="113" t="n">
        <f aca="false">IF(AND(AB77&gt;=0,AB78&lt;0),1,0)</f>
        <v>0</v>
      </c>
      <c r="AC79" s="113" t="n">
        <f aca="false">IF(AND(AC77&gt;=0,AC78&lt;0),1,0)</f>
        <v>0</v>
      </c>
      <c r="AD79" s="113" t="n">
        <f aca="false">IF(AND(AD77&gt;=0,AD78&lt;0),1,0)</f>
        <v>0</v>
      </c>
      <c r="AE79" s="113" t="n">
        <f aca="false">IF(AND(AE77&gt;=0,AE78&lt;0),1,0)</f>
        <v>0</v>
      </c>
      <c r="AF79" s="113" t="n">
        <f aca="false">IF(AND(AF77&gt;=0,AF78&lt;0),1,0)</f>
        <v>0</v>
      </c>
      <c r="AG79" s="113" t="n">
        <f aca="false">IF(AND(AG77&gt;=0,AG78&lt;0),1,0)</f>
        <v>0</v>
      </c>
      <c r="AH79" s="113" t="n">
        <f aca="false">IF(AND(AH77&gt;=0,AH78&lt;0),1,0)</f>
        <v>0</v>
      </c>
      <c r="AI79" s="113" t="n">
        <f aca="false">IF(AND(AI77&gt;=0,AI78&lt;0),1,0)</f>
        <v>0</v>
      </c>
      <c r="AJ79" s="113" t="n">
        <f aca="false">IF(AND(AJ77&gt;=0,AJ78&lt;0),1,0)</f>
        <v>0</v>
      </c>
      <c r="AK79" s="113" t="n">
        <f aca="false">IF(AND(AK77&gt;=0,AK78&lt;0),1,0)</f>
        <v>0</v>
      </c>
      <c r="AL79" s="113" t="n">
        <f aca="false">IF(AND(AL77&gt;=0,AL78&lt;0),1,0)</f>
        <v>0</v>
      </c>
      <c r="AM79" s="113" t="n">
        <f aca="false">IF(AND(AM77&gt;=0,AM78&lt;0),1,0)</f>
        <v>0</v>
      </c>
      <c r="AN79" s="113" t="n">
        <f aca="false">IF(AND(AN77&gt;=0,AN78&lt;0),1,0)</f>
        <v>0</v>
      </c>
      <c r="AO79" s="113" t="n">
        <f aca="false">IF(AND(AO77&gt;=0,AO78&lt;0),1,0)</f>
        <v>0</v>
      </c>
      <c r="AP79" s="113" t="n">
        <f aca="false">IF(AND(AP77&gt;=0,AP78&lt;0),1,0)</f>
        <v>0</v>
      </c>
      <c r="AQ79" s="113" t="n">
        <f aca="false">IF(AND(AQ77&gt;=0,AQ78&lt;0),1,0)</f>
        <v>0</v>
      </c>
      <c r="AR79" s="113" t="n">
        <f aca="false">IF(AND(AR77&gt;=0,AR78&lt;0),1,0)</f>
        <v>0</v>
      </c>
      <c r="AS79" s="113" t="n">
        <f aca="false">IF(AND(AS77&gt;=0,AS78&lt;0),1,0)</f>
        <v>0</v>
      </c>
      <c r="AT79" s="113" t="n">
        <f aca="false">IF(AND(AT77&gt;=0,AT78&lt;0),1,0)</f>
        <v>0</v>
      </c>
      <c r="AU79" s="113" t="n">
        <f aca="false">IF(AND(AU77&gt;=0,AU78&lt;0),1,0)</f>
        <v>0</v>
      </c>
      <c r="AV79" s="113" t="n">
        <f aca="false">IF(AND(AV77&gt;=0,AV78&lt;0),1,0)</f>
        <v>0</v>
      </c>
      <c r="AW79" s="113" t="n">
        <f aca="false">IF(AND(AW77&gt;=0,AW78&lt;0),1,0)</f>
        <v>0</v>
      </c>
      <c r="AX79" s="113" t="n">
        <f aca="false">IF(AND(AX77&gt;=0,AX78&lt;0),1,0)</f>
        <v>0</v>
      </c>
      <c r="AY79" s="113" t="n">
        <f aca="false">IF(AND(AY77&gt;=0,AY78&lt;0),1,0)</f>
        <v>0</v>
      </c>
      <c r="AZ79" s="113" t="n">
        <f aca="false">IF(AND(AZ77&gt;=0,AZ78&lt;0),1,0)</f>
        <v>0</v>
      </c>
      <c r="BA79" s="113" t="n">
        <f aca="false">IF(AND(BA77&gt;=0,BA78&lt;0),1,0)</f>
        <v>0</v>
      </c>
      <c r="BB79" s="113" t="n">
        <f aca="false">IF(AND(BB77&gt;=0,BB78&lt;0),1,0)</f>
        <v>0</v>
      </c>
      <c r="BC79" s="113" t="n">
        <f aca="false">IF(AND(BC77&gt;=0,BC78&lt;0),1,0)</f>
        <v>0</v>
      </c>
      <c r="BD79" s="113" t="n">
        <f aca="false">IF(AND(BD77&gt;=0,BD78&lt;0),1,0)</f>
        <v>0</v>
      </c>
      <c r="BE79" s="113" t="n">
        <f aca="false">IF(AND(BE77&gt;=0,BE78&lt;0),1,0)</f>
        <v>0</v>
      </c>
      <c r="BF79" s="113" t="n">
        <f aca="false">IF(AND(BF77&gt;=0,BF78&lt;0),1,0)</f>
        <v>0</v>
      </c>
      <c r="BG79" s="113" t="n">
        <f aca="false">IF(AND(BG77&gt;=0,BG78&lt;0),1,0)</f>
        <v>0</v>
      </c>
      <c r="BH79" s="113" t="n">
        <f aca="false">IF(AND(BH77&gt;=0,BH78&lt;0),1,0)</f>
        <v>0</v>
      </c>
      <c r="BI79" s="113" t="n">
        <f aca="false">IF(AND(BI77&gt;=0,BI78&lt;0),1,0)</f>
        <v>0</v>
      </c>
      <c r="BJ79" s="113" t="n">
        <f aca="false">IF(AND(BJ77&gt;=0,BJ78&lt;0),1,0)</f>
        <v>0</v>
      </c>
    </row>
    <row r="80" customFormat="false" ht="15" hidden="false" customHeight="false" outlineLevel="0" collapsed="false">
      <c r="A80" s="6" t="s">
        <v>446</v>
      </c>
      <c r="C80" s="65" t="n">
        <f aca="false">C65-C30*(1-Inputs!$E$46)+C66</f>
        <v>-1895777.16666667</v>
      </c>
      <c r="D80" s="65" t="n">
        <f aca="false">D65-D30*(1-Inputs!$E$46)+D66</f>
        <v>8789.56731185401</v>
      </c>
      <c r="E80" s="65" t="n">
        <f aca="false">E65-E30*(1-Inputs!$E$46)+E66</f>
        <v>8790.80797442501</v>
      </c>
      <c r="F80" s="65" t="n">
        <f aca="false">F65-F30*(1-Inputs!$E$46)+F66</f>
        <v>8792.05535725161</v>
      </c>
      <c r="G80" s="65" t="n">
        <f aca="false">G65-G30*(1-Inputs!$E$46)+G66</f>
        <v>8793.30949673517</v>
      </c>
      <c r="H80" s="65" t="n">
        <f aca="false">H65-H30*(1-Inputs!$E$46)+H66</f>
        <v>8794.57042947428</v>
      </c>
      <c r="I80" s="65" t="n">
        <f aca="false">I65-I30*(1-Inputs!$E$46)+I66</f>
        <v>8795.83819226572</v>
      </c>
      <c r="J80" s="65" t="n">
        <f aca="false">J65-J30*(1-Inputs!$E$46)+J66</f>
        <v>8797.11282210562</v>
      </c>
      <c r="K80" s="65" t="n">
        <f aca="false">K65-K30*(1-Inputs!$E$46)+K66</f>
        <v>8798.39435619048</v>
      </c>
      <c r="L80" s="65" t="n">
        <f aca="false">L65-L30*(1-Inputs!$E$46)+L66</f>
        <v>8799.6828319183</v>
      </c>
      <c r="M80" s="65" t="n">
        <f aca="false">M65-M30*(1-Inputs!$E$46)+M66</f>
        <v>8800.97828688965</v>
      </c>
      <c r="N80" s="65" t="n">
        <f aca="false">N65-N30*(1-Inputs!$E$46)+N66</f>
        <v>8802.28075890876</v>
      </c>
      <c r="O80" s="65" t="n">
        <f aca="false">O65-O30*(1-Inputs!$E$46)+O66</f>
        <v>9136.22528598464</v>
      </c>
      <c r="P80" s="65" t="n">
        <f aca="false">P65-P30*(1-Inputs!$E$46)+P66</f>
        <v>9109.50690633218</v>
      </c>
      <c r="Q80" s="65" t="n">
        <f aca="false">Q65-Q30*(1-Inputs!$E$46)+Q66</f>
        <v>9110.83065837327</v>
      </c>
      <c r="R80" s="65" t="n">
        <f aca="false">R65-R30*(1-Inputs!$E$46)+R66</f>
        <v>9112.16158073791</v>
      </c>
      <c r="S80" s="65" t="n">
        <f aca="false">S65-S30*(1-Inputs!$E$46)+S66</f>
        <v>9113.49971226537</v>
      </c>
      <c r="T80" s="65" t="n">
        <f aca="false">T65-T30*(1-Inputs!$E$46)+T66</f>
        <v>9114.84509200526</v>
      </c>
      <c r="U80" s="65" t="n">
        <f aca="false">U65-U30*(1-Inputs!$E$46)+U66</f>
        <v>9116.19775921875</v>
      </c>
      <c r="V80" s="65" t="n">
        <f aca="false">V65-V30*(1-Inputs!$E$46)+V66</f>
        <v>9117.55775337964</v>
      </c>
      <c r="W80" s="65" t="n">
        <f aca="false">W65-W30*(1-Inputs!$E$46)+W66</f>
        <v>9118.92511417557</v>
      </c>
      <c r="X80" s="65" t="n">
        <f aca="false">X65-X30*(1-Inputs!$E$46)+X66</f>
        <v>9120.29988150914</v>
      </c>
      <c r="Y80" s="65" t="n">
        <f aca="false">Y65-Y30*(1-Inputs!$E$46)+Y66</f>
        <v>9121.68209549911</v>
      </c>
      <c r="Z80" s="65" t="n">
        <f aca="false">Z65-Z30*(1-Inputs!$E$46)+Z66</f>
        <v>9123.07179648152</v>
      </c>
      <c r="AA80" s="65" t="n">
        <f aca="false">AA65-AA30*(1-Inputs!$E$46)+AA66</f>
        <v>9467.08307501091</v>
      </c>
      <c r="AB80" s="65" t="n">
        <f aca="false">AB65-AB30*(1-Inputs!$E$46)+AB66</f>
        <v>9439.61182186151</v>
      </c>
      <c r="AC80" s="65" t="n">
        <f aca="false">AC65-AC30*(1-Inputs!$E$46)+AC66</f>
        <v>9441.02422802839</v>
      </c>
      <c r="AD80" s="65" t="n">
        <f aca="false">AD65-AD30*(1-Inputs!$E$46)+AD66</f>
        <v>9442.44428472867</v>
      </c>
      <c r="AE80" s="65" t="n">
        <f aca="false">AE65-AE30*(1-Inputs!$E$46)+AE66</f>
        <v>9443.87203340273</v>
      </c>
      <c r="AF80" s="65" t="n">
        <f aca="false">AF65-AF30*(1-Inputs!$E$46)+AF66</f>
        <v>9445.30751571545</v>
      </c>
      <c r="AG80" s="65" t="n">
        <f aca="false">AG65-AG30*(1-Inputs!$E$46)+AG66</f>
        <v>9446.75077355737</v>
      </c>
      <c r="AH80" s="65" t="n">
        <f aca="false">AH65-AH30*(1-Inputs!$E$46)+AH66</f>
        <v>9448.20184904593</v>
      </c>
      <c r="AI80" s="65" t="n">
        <f aca="false">AI65-AI30*(1-Inputs!$E$46)+AI66</f>
        <v>9449.66078452672</v>
      </c>
      <c r="AJ80" s="65" t="n">
        <f aca="false">AJ65-AJ30*(1-Inputs!$E$46)+AJ66</f>
        <v>9451.1276225747</v>
      </c>
      <c r="AK80" s="65" t="n">
        <f aca="false">AK65-AK30*(1-Inputs!$E$46)+AK66</f>
        <v>9452.60240599543</v>
      </c>
      <c r="AL80" s="65" t="n">
        <f aca="false">AL65-AL30*(1-Inputs!$E$46)+AL66</f>
        <v>9454.08517782636</v>
      </c>
      <c r="AM80" s="65" t="n">
        <f aca="false">AM65-AM30*(1-Inputs!$E$46)+AM66</f>
        <v>9808.46845283805</v>
      </c>
      <c r="AN80" s="65" t="n">
        <f aca="false">AN65-AN30*(1-Inputs!$E$46)+AN66</f>
        <v>9780.22500003542</v>
      </c>
      <c r="AO80" s="65" t="n">
        <f aca="false">AO65-AO30*(1-Inputs!$E$46)+AO66</f>
        <v>9781.73199765907</v>
      </c>
      <c r="AP80" s="65" t="n">
        <f aca="false">AP65-AP30*(1-Inputs!$E$46)+AP66</f>
        <v>9783.24715818651</v>
      </c>
      <c r="AQ80" s="65" t="n">
        <f aca="false">AQ65-AQ30*(1-Inputs!$E$46)+AQ66</f>
        <v>9784.77052583348</v>
      </c>
      <c r="AR80" s="65" t="n">
        <f aca="false">AR65-AR30*(1-Inputs!$E$46)+AR66</f>
        <v>9786.3021450552</v>
      </c>
      <c r="AS80" s="65" t="n">
        <f aca="false">AS65-AS30*(1-Inputs!$E$46)+AS66</f>
        <v>9787.8420605477</v>
      </c>
      <c r="AT80" s="65" t="n">
        <f aca="false">AT65-AT30*(1-Inputs!$E$46)+AT66</f>
        <v>9789.39031724913</v>
      </c>
      <c r="AU80" s="65" t="n">
        <f aca="false">AU65-AU30*(1-Inputs!$E$46)+AU66</f>
        <v>9790.94696034101</v>
      </c>
      <c r="AV80" s="65" t="n">
        <f aca="false">AV65-AV30*(1-Inputs!$E$46)+AV66</f>
        <v>9792.51203524965</v>
      </c>
      <c r="AW80" s="65" t="n">
        <f aca="false">AW65-AW30*(1-Inputs!$E$46)+AW66</f>
        <v>9794.08558764738</v>
      </c>
      <c r="AX80" s="65" t="n">
        <f aca="false">AX65-AX30*(1-Inputs!$E$46)+AX66</f>
        <v>9795.66766345393</v>
      </c>
      <c r="AY80" s="65" t="n">
        <f aca="false">AY65-AY30*(1-Inputs!$E$46)+AY66</f>
        <v>10160.7375544828</v>
      </c>
      <c r="AZ80" s="65" t="n">
        <f aca="false">AZ65-AZ30*(1-Inputs!$E$46)+AZ66</f>
        <v>10131.7022144174</v>
      </c>
      <c r="BA80" s="65" t="n">
        <f aca="false">BA65-BA30*(1-Inputs!$E$46)+BA66</f>
        <v>10133.3101384629</v>
      </c>
      <c r="BB80" s="65" t="n">
        <f aca="false">BB65-BB30*(1-Inputs!$E$46)+BB66</f>
        <v>10134.9267720969</v>
      </c>
      <c r="BC80" s="65" t="n">
        <f aca="false">BC65-BC30*(1-Inputs!$E$46)+BC66</f>
        <v>10136.5521624965</v>
      </c>
      <c r="BD80" s="65" t="n">
        <f aca="false">BD65-BD30*(1-Inputs!$E$46)+BD66</f>
        <v>10138.1863570941</v>
      </c>
      <c r="BE80" s="65" t="n">
        <f aca="false">BE65-BE30*(1-Inputs!$E$46)+BE66</f>
        <v>10139.829403579</v>
      </c>
      <c r="BF80" s="65" t="n">
        <f aca="false">BF65-BF30*(1-Inputs!$E$46)+BF66</f>
        <v>10141.4813498991</v>
      </c>
      <c r="BG80" s="65" t="n">
        <f aca="false">BG65-BG30*(1-Inputs!$E$46)+BG66</f>
        <v>10143.1422442618</v>
      </c>
      <c r="BH80" s="65" t="n">
        <f aca="false">BH65-BH30*(1-Inputs!$E$46)+BH66</f>
        <v>10144.8121351356</v>
      </c>
      <c r="BI80" s="65" t="n">
        <f aca="false">BI65-BI30*(1-Inputs!$E$46)+BI66</f>
        <v>10125.6231824202</v>
      </c>
      <c r="BJ80" s="65" t="n">
        <f aca="false">BJ65-BJ30*(1-Inputs!$E$46)+BJ66</f>
        <v>9966.19417262263</v>
      </c>
    </row>
    <row r="82" customFormat="false" ht="15.75" hidden="false" customHeight="true" outlineLevel="0" collapsed="false">
      <c r="A82" s="7" t="s">
        <v>447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97</v>
      </c>
      <c r="C83" s="65" t="n">
        <f aca="false">C67</f>
        <v>760000</v>
      </c>
      <c r="D83" s="65" t="n">
        <f aca="false">C83+D67</f>
        <v>760000</v>
      </c>
      <c r="E83" s="65" t="n">
        <f aca="false">D83+E67</f>
        <v>760000</v>
      </c>
      <c r="F83" s="65" t="n">
        <f aca="false">E83+F67</f>
        <v>760000</v>
      </c>
      <c r="G83" s="65" t="n">
        <f aca="false">F83+G67</f>
        <v>760000</v>
      </c>
      <c r="H83" s="65" t="n">
        <f aca="false">G83+H67</f>
        <v>760000</v>
      </c>
      <c r="I83" s="65" t="n">
        <f aca="false">H83+I67</f>
        <v>760000</v>
      </c>
      <c r="J83" s="65" t="n">
        <f aca="false">I83+J67</f>
        <v>760000</v>
      </c>
      <c r="K83" s="65" t="n">
        <f aca="false">J83+K67</f>
        <v>760000</v>
      </c>
      <c r="L83" s="65" t="n">
        <f aca="false">K83+L67</f>
        <v>760000</v>
      </c>
      <c r="M83" s="65" t="n">
        <f aca="false">L83+M67</f>
        <v>760000</v>
      </c>
      <c r="N83" s="65" t="n">
        <f aca="false">M83+N67</f>
        <v>760000</v>
      </c>
      <c r="O83" s="65" t="n">
        <f aca="false">N83+O67</f>
        <v>760000</v>
      </c>
      <c r="P83" s="65" t="n">
        <f aca="false">O83+P67</f>
        <v>760000</v>
      </c>
      <c r="Q83" s="65" t="n">
        <f aca="false">P83+Q67</f>
        <v>760000</v>
      </c>
      <c r="R83" s="65" t="n">
        <f aca="false">Q83+R67</f>
        <v>760000</v>
      </c>
      <c r="S83" s="65" t="n">
        <f aca="false">R83+S67</f>
        <v>760000</v>
      </c>
      <c r="T83" s="65" t="n">
        <f aca="false">S83+T67</f>
        <v>760000</v>
      </c>
      <c r="U83" s="65" t="n">
        <f aca="false">T83+U67</f>
        <v>760000</v>
      </c>
      <c r="V83" s="65" t="n">
        <f aca="false">U83+V67</f>
        <v>760000</v>
      </c>
      <c r="W83" s="65" t="n">
        <f aca="false">V83+W67</f>
        <v>760000</v>
      </c>
      <c r="X83" s="65" t="n">
        <f aca="false">W83+X67</f>
        <v>760000</v>
      </c>
      <c r="Y83" s="65" t="n">
        <f aca="false">X83+Y67</f>
        <v>760000</v>
      </c>
      <c r="Z83" s="65" t="n">
        <f aca="false">Y83+Z67</f>
        <v>760000</v>
      </c>
      <c r="AA83" s="65" t="n">
        <f aca="false">Z83+AA67</f>
        <v>760000</v>
      </c>
      <c r="AB83" s="65" t="n">
        <f aca="false">AA83+AB67</f>
        <v>760000</v>
      </c>
      <c r="AC83" s="65" t="n">
        <f aca="false">AB83+AC67</f>
        <v>760000</v>
      </c>
      <c r="AD83" s="65" t="n">
        <f aca="false">AC83+AD67</f>
        <v>760000</v>
      </c>
      <c r="AE83" s="65" t="n">
        <f aca="false">AD83+AE67</f>
        <v>760000</v>
      </c>
      <c r="AF83" s="65" t="n">
        <f aca="false">AE83+AF67</f>
        <v>760000</v>
      </c>
      <c r="AG83" s="65" t="n">
        <f aca="false">AF83+AG67</f>
        <v>760000</v>
      </c>
      <c r="AH83" s="65" t="n">
        <f aca="false">AG83+AH67</f>
        <v>760000</v>
      </c>
      <c r="AI83" s="65" t="n">
        <f aca="false">AH83+AI67</f>
        <v>760000</v>
      </c>
      <c r="AJ83" s="65" t="n">
        <f aca="false">AI83+AJ67</f>
        <v>760000</v>
      </c>
      <c r="AK83" s="65" t="n">
        <f aca="false">AJ83+AK67</f>
        <v>760000</v>
      </c>
      <c r="AL83" s="65" t="n">
        <f aca="false">AK83+AL67</f>
        <v>760000</v>
      </c>
      <c r="AM83" s="65" t="n">
        <f aca="false">AL83+AM67</f>
        <v>760000</v>
      </c>
      <c r="AN83" s="65" t="n">
        <f aca="false">AM83+AN67</f>
        <v>760000</v>
      </c>
      <c r="AO83" s="65" t="n">
        <f aca="false">AN83+AO67</f>
        <v>760000</v>
      </c>
      <c r="AP83" s="65" t="n">
        <f aca="false">AO83+AP67</f>
        <v>760000</v>
      </c>
      <c r="AQ83" s="65" t="n">
        <f aca="false">AP83+AQ67</f>
        <v>760000</v>
      </c>
      <c r="AR83" s="65" t="n">
        <f aca="false">AQ83+AR67</f>
        <v>760000</v>
      </c>
      <c r="AS83" s="65" t="n">
        <f aca="false">AR83+AS67</f>
        <v>760000</v>
      </c>
      <c r="AT83" s="65" t="n">
        <f aca="false">AS83+AT67</f>
        <v>760000</v>
      </c>
      <c r="AU83" s="65" t="n">
        <f aca="false">AT83+AU67</f>
        <v>760000</v>
      </c>
      <c r="AV83" s="65" t="n">
        <f aca="false">AU83+AV67</f>
        <v>760000</v>
      </c>
      <c r="AW83" s="65" t="n">
        <f aca="false">AV83+AW67</f>
        <v>760000</v>
      </c>
      <c r="AX83" s="65" t="n">
        <f aca="false">AW83+AX67</f>
        <v>760000</v>
      </c>
      <c r="AY83" s="65" t="n">
        <f aca="false">AX83+AY67</f>
        <v>760000</v>
      </c>
      <c r="AZ83" s="65" t="n">
        <f aca="false">AY83+AZ67</f>
        <v>760000</v>
      </c>
      <c r="BA83" s="65" t="n">
        <f aca="false">AZ83+BA67</f>
        <v>760000</v>
      </c>
      <c r="BB83" s="65" t="n">
        <f aca="false">BA83+BB67</f>
        <v>760000</v>
      </c>
      <c r="BC83" s="65" t="n">
        <f aca="false">BB83+BC67</f>
        <v>760000</v>
      </c>
      <c r="BD83" s="65" t="n">
        <f aca="false">BC83+BD67</f>
        <v>760000</v>
      </c>
      <c r="BE83" s="65" t="n">
        <f aca="false">BD83+BE67</f>
        <v>760000</v>
      </c>
      <c r="BF83" s="65" t="n">
        <f aca="false">BE83+BF67</f>
        <v>760000</v>
      </c>
      <c r="BG83" s="65" t="n">
        <f aca="false">BF83+BG67</f>
        <v>760000</v>
      </c>
      <c r="BH83" s="65" t="n">
        <f aca="false">BG83+BH67</f>
        <v>760000</v>
      </c>
      <c r="BI83" s="65" t="n">
        <f aca="false">BH83+BI67</f>
        <v>760000</v>
      </c>
      <c r="BJ83" s="65" t="n">
        <f aca="false">BI83+BJ67</f>
        <v>760000</v>
      </c>
    </row>
    <row r="84" customFormat="false" ht="15" hidden="false" customHeight="false" outlineLevel="0" collapsed="false">
      <c r="A84" s="6" t="s">
        <v>98</v>
      </c>
      <c r="C84" s="65" t="n">
        <f aca="false">C35</f>
        <v>-795.097736625515</v>
      </c>
      <c r="D84" s="65" t="n">
        <f aca="false">C84+D35</f>
        <v>-1585.21959081864</v>
      </c>
      <c r="E84" s="65" t="n">
        <f aca="false">D84+E35</f>
        <v>-2370.33373376832</v>
      </c>
      <c r="F84" s="65" t="n">
        <f aca="false">E84+F35</f>
        <v>-3150.40816425745</v>
      </c>
      <c r="G84" s="65" t="n">
        <f aca="false">F84+G35</f>
        <v>-3925.41070772899</v>
      </c>
      <c r="H84" s="65" t="n">
        <f aca="false">G84+H35</f>
        <v>-4695.30901534706</v>
      </c>
      <c r="I84" s="65" t="n">
        <f aca="false">H84+I35</f>
        <v>-5460.07056305292</v>
      </c>
      <c r="J84" s="65" t="n">
        <f aca="false">I84+J35</f>
        <v>-6219.66265061582</v>
      </c>
      <c r="K84" s="65" t="n">
        <f aca="false">J84+K35</f>
        <v>-6974.0524006788</v>
      </c>
      <c r="L84" s="65" t="n">
        <f aca="false">K84+L35</f>
        <v>-7723.20675779918</v>
      </c>
      <c r="M84" s="65" t="n">
        <f aca="false">L84+M35</f>
        <v>-8467.09248748398</v>
      </c>
      <c r="N84" s="65" t="n">
        <f aca="false">M84+N35</f>
        <v>-9205.67617522005</v>
      </c>
      <c r="O84" s="65" t="n">
        <f aca="false">N84+O35</f>
        <v>-9625.60123167181</v>
      </c>
      <c r="P84" s="65" t="n">
        <f aca="false">O84+P35</f>
        <v>-10040.1838793552</v>
      </c>
      <c r="Q84" s="65" t="n">
        <f aca="false">P84+Q35</f>
        <v>-10449.3901578246</v>
      </c>
      <c r="R84" s="65" t="n">
        <f aca="false">Q84+R35</f>
        <v>-10853.1859226823</v>
      </c>
      <c r="S84" s="65" t="n">
        <f aca="false">R84+S35</f>
        <v>-11251.5368445815</v>
      </c>
      <c r="T84" s="65" t="n">
        <f aca="false">S84+T35</f>
        <v>-11644.4084082249</v>
      </c>
      <c r="U84" s="65" t="n">
        <f aca="false">T84+U35</f>
        <v>-12031.7659113573</v>
      </c>
      <c r="V84" s="65" t="n">
        <f aca="false">U84+V35</f>
        <v>-12413.5744637529</v>
      </c>
      <c r="W84" s="65" t="n">
        <f aca="false">V84+W35</f>
        <v>-12789.7989861973</v>
      </c>
      <c r="X84" s="65" t="n">
        <f aca="false">W84+X35</f>
        <v>-13160.4042094636</v>
      </c>
      <c r="Y84" s="65" t="n">
        <f aca="false">X84+Y35</f>
        <v>-13525.3546732832</v>
      </c>
      <c r="Z84" s="65" t="n">
        <f aca="false">Y84+Z35</f>
        <v>-13884.6147253113</v>
      </c>
      <c r="AA84" s="65" t="n">
        <f aca="false">Z84+AA35</f>
        <v>-13915.4258364439</v>
      </c>
      <c r="AB84" s="65" t="n">
        <f aca="false">AA84+AB35</f>
        <v>-13940.5024670564</v>
      </c>
      <c r="AC84" s="65" t="n">
        <f aca="false">AB84+AC35</f>
        <v>-13959.8083823092</v>
      </c>
      <c r="AD84" s="65" t="n">
        <f aca="false">AC84+AD35</f>
        <v>-13973.307151091</v>
      </c>
      <c r="AE84" s="65" t="n">
        <f aca="false">AD84+AE35</f>
        <v>-13980.9621449551</v>
      </c>
      <c r="AF84" s="65" t="n">
        <f aca="false">AE84+AF35</f>
        <v>-13982.7365370508</v>
      </c>
      <c r="AG84" s="65" t="n">
        <f aca="false">AF84+AG35</f>
        <v>-13978.5933010487</v>
      </c>
      <c r="AH84" s="65" t="n">
        <f aca="false">AG84+AH35</f>
        <v>-13968.4952100598</v>
      </c>
      <c r="AI84" s="65" t="n">
        <f aca="false">AH84+AI35</f>
        <v>-13952.4048355499</v>
      </c>
      <c r="AJ84" s="65" t="n">
        <f aca="false">AI84+AJ35</f>
        <v>-13930.2845462465</v>
      </c>
      <c r="AK84" s="65" t="n">
        <f aca="false">AJ84+AK35</f>
        <v>-13902.0965070414</v>
      </c>
      <c r="AL84" s="65" t="n">
        <f aca="false">AK84+AL35</f>
        <v>-13867.8026778858</v>
      </c>
      <c r="AM84" s="65" t="n">
        <f aca="false">AL84+AM35</f>
        <v>-13494.9604485299</v>
      </c>
      <c r="AN84" s="65" t="n">
        <f aca="false">AM84+AN35</f>
        <v>-13115.9643807084</v>
      </c>
      <c r="AO84" s="65" t="n">
        <f aca="false">AN84+AO35</f>
        <v>-12730.7758128677</v>
      </c>
      <c r="AP84" s="65" t="n">
        <f aca="false">AO84+AP35</f>
        <v>-12339.3558740371</v>
      </c>
      <c r="AQ84" s="65" t="n">
        <f aca="false">AP84+AQ35</f>
        <v>-11941.6654826953</v>
      </c>
      <c r="AR84" s="65" t="n">
        <f aca="false">AQ84+AR35</f>
        <v>-11537.6653456292</v>
      </c>
      <c r="AS84" s="65" t="n">
        <f aca="false">AR84+AS35</f>
        <v>-11127.3159567872</v>
      </c>
      <c r="AT84" s="65" t="n">
        <f aca="false">AS84+AT35</f>
        <v>-10710.5775961271</v>
      </c>
      <c r="AU84" s="65" t="n">
        <f aca="false">AT84+AU35</f>
        <v>-10287.410328456</v>
      </c>
      <c r="AV84" s="65" t="n">
        <f aca="false">AU84+AV35</f>
        <v>-9857.77400226574</v>
      </c>
      <c r="AW84" s="65" t="n">
        <f aca="false">AV84+AW35</f>
        <v>-9421.62824856056</v>
      </c>
      <c r="AX84" s="65" t="n">
        <f aca="false">AW84+AX35</f>
        <v>-8978.93247967945</v>
      </c>
      <c r="AY84" s="65" t="n">
        <f aca="false">AX84+AY35</f>
        <v>-8187.26939303573</v>
      </c>
      <c r="AZ84" s="65" t="n">
        <f aca="false">AY84+AZ35</f>
        <v>-7389.00396552785</v>
      </c>
      <c r="BA84" s="65" t="n">
        <f aca="false">AZ84+BA35</f>
        <v>-6584.09494636624</v>
      </c>
      <c r="BB84" s="65" t="n">
        <f aca="false">BA84+BB35</f>
        <v>-5772.50086131959</v>
      </c>
      <c r="BC84" s="65" t="n">
        <f aca="false">BB84+BC35</f>
        <v>-4954.18001150447</v>
      </c>
      <c r="BD84" s="65" t="n">
        <f aca="false">BC84+BD35</f>
        <v>-4129.09047216851</v>
      </c>
      <c r="BE84" s="65" t="n">
        <f aca="false">BD84+BE35</f>
        <v>-3297.19009146694</v>
      </c>
      <c r="BF84" s="65" t="n">
        <f aca="false">BE84+BF35</f>
        <v>-2458.43648923248</v>
      </c>
      <c r="BG84" s="65" t="n">
        <f aca="false">BF84+BG35</f>
        <v>-1612.78705573862</v>
      </c>
      <c r="BH84" s="65" t="n">
        <f aca="false">BG84+BH35</f>
        <v>-760.198950456162</v>
      </c>
      <c r="BI84" s="65" t="n">
        <f aca="false">BH84+BI35</f>
        <v>78.5030103655888</v>
      </c>
      <c r="BJ84" s="65" t="n">
        <f aca="false">BI84+BJ35</f>
        <v>763.112981298949</v>
      </c>
    </row>
    <row r="85" customFormat="false" ht="15" hidden="false" customHeight="false" outlineLevel="0" collapsed="false">
      <c r="A85" s="4" t="s">
        <v>93</v>
      </c>
      <c r="C85" s="71" t="n">
        <f aca="false">C71+C57+C58+C46</f>
        <v>1959054.58598146</v>
      </c>
      <c r="D85" s="71" t="n">
        <f aca="false">D71+D57+D58+D46</f>
        <v>1957173.77175716</v>
      </c>
      <c r="E85" s="71" t="n">
        <f aca="false">E71+E57+E58+E46</f>
        <v>1955292.05732709</v>
      </c>
      <c r="F85" s="71" t="n">
        <f aca="false">F71+F57+F58+F46</f>
        <v>1953409.44269127</v>
      </c>
      <c r="G85" s="71" t="n">
        <f aca="false">G71+G57+G58+G46</f>
        <v>1951525.92784968</v>
      </c>
      <c r="H85" s="71" t="n">
        <f aca="false">H71+H57+H58+H46</f>
        <v>1949641.51280233</v>
      </c>
      <c r="I85" s="71" t="n">
        <f aca="false">I71+I57+I58+I46</f>
        <v>1947756.19754923</v>
      </c>
      <c r="J85" s="71" t="n">
        <f aca="false">J71+J57+J58+J46</f>
        <v>1945869.98209036</v>
      </c>
      <c r="K85" s="71" t="n">
        <f aca="false">K71+K57+K58+K46</f>
        <v>1943982.86642572</v>
      </c>
      <c r="L85" s="71" t="n">
        <f aca="false">L71+L57+L58+L46</f>
        <v>1942094.85055533</v>
      </c>
      <c r="M85" s="71" t="n">
        <f aca="false">M71+M57+M58+M46</f>
        <v>1940205.93447918</v>
      </c>
      <c r="N85" s="71" t="n">
        <f aca="false">N71+N57+N58+N46</f>
        <v>1938316.11819726</v>
      </c>
      <c r="O85" s="71" t="n">
        <f aca="false">O71+O57+O58+O46</f>
        <v>1936766.75970341</v>
      </c>
      <c r="P85" s="71" t="n">
        <f aca="false">P71+P57+P58+P46</f>
        <v>1935188.43899763</v>
      </c>
      <c r="Q85" s="71" t="n">
        <f aca="false">Q71+Q57+Q58+Q46</f>
        <v>1933609.19107991</v>
      </c>
      <c r="R85" s="71" t="n">
        <f aca="false">R71+R57+R58+R46</f>
        <v>1932029.01595026</v>
      </c>
      <c r="S85" s="71" t="n">
        <f aca="false">S71+S57+S58+S46</f>
        <v>1930447.91360867</v>
      </c>
      <c r="T85" s="71" t="n">
        <f aca="false">T71+T57+T58+T46</f>
        <v>1928865.88405515</v>
      </c>
      <c r="U85" s="71" t="n">
        <f aca="false">U71+U57+U58+U46</f>
        <v>1927282.9272897</v>
      </c>
      <c r="V85" s="71" t="n">
        <f aca="false">V71+V57+V58+V46</f>
        <v>1925699.04331231</v>
      </c>
      <c r="W85" s="71" t="n">
        <f aca="false">W71+W57+W58+W46</f>
        <v>1924114.23212298</v>
      </c>
      <c r="X85" s="71" t="n">
        <f aca="false">X71+X57+X58+X46</f>
        <v>1922528.49372173</v>
      </c>
      <c r="Y85" s="71" t="n">
        <f aca="false">Y71+Y57+Y58+Y46</f>
        <v>1920941.82810854</v>
      </c>
      <c r="Z85" s="71" t="n">
        <f aca="false">Z71+Z57+Z58+Z46</f>
        <v>1919354.23528341</v>
      </c>
      <c r="AA85" s="71" t="n">
        <f aca="false">AA71+AA57+AA58+AA46</f>
        <v>1918117.31397999</v>
      </c>
      <c r="AB85" s="71" t="n">
        <f aca="false">AB71+AB57+AB58+AB46</f>
        <v>1916850.56159828</v>
      </c>
      <c r="AC85" s="71" t="n">
        <f aca="false">AC71+AC57+AC58+AC46</f>
        <v>1915582.85418828</v>
      </c>
      <c r="AD85" s="71" t="n">
        <f aca="false">AD71+AD57+AD58+AD46</f>
        <v>1914314.19174999</v>
      </c>
      <c r="AE85" s="71" t="n">
        <f aca="false">AE71+AE57+AE58+AE46</f>
        <v>1913044.5742834</v>
      </c>
      <c r="AF85" s="71" t="n">
        <f aca="false">AF71+AF57+AF58+AF46</f>
        <v>1911774.00178852</v>
      </c>
      <c r="AG85" s="71" t="n">
        <f aca="false">AG71+AG57+AG58+AG46</f>
        <v>1910502.47426535</v>
      </c>
      <c r="AH85" s="71" t="n">
        <f aca="false">AH71+AH57+AH58+AH46</f>
        <v>1909229.99171389</v>
      </c>
      <c r="AI85" s="71" t="n">
        <f aca="false">AI71+AI57+AI58+AI46</f>
        <v>1907956.55413413</v>
      </c>
      <c r="AJ85" s="71" t="n">
        <f aca="false">AJ71+AJ57+AJ58+AJ46</f>
        <v>1906682.16152609</v>
      </c>
      <c r="AK85" s="71" t="n">
        <f aca="false">AK71+AK57+AK58+AK46</f>
        <v>1905406.81388975</v>
      </c>
      <c r="AL85" s="71" t="n">
        <f aca="false">AL71+AL57+AL58+AL46</f>
        <v>1904130.51122512</v>
      </c>
      <c r="AM85" s="71" t="n">
        <f aca="false">AM71+AM57+AM58+AM46</f>
        <v>1903215.40022784</v>
      </c>
      <c r="AN85" s="71" t="n">
        <f aca="false">AN71+AN57+AN58+AN46</f>
        <v>1902269.56321993</v>
      </c>
      <c r="AO85" s="71" t="n">
        <f aca="false">AO71+AO57+AO58+AO46</f>
        <v>1901322.74253288</v>
      </c>
      <c r="AP85" s="71" t="n">
        <f aca="false">AP71+AP57+AP58+AP46</f>
        <v>1900374.93816668</v>
      </c>
      <c r="AQ85" s="71" t="n">
        <f aca="false">AQ71+AQ57+AQ58+AQ46</f>
        <v>1899426.15012134</v>
      </c>
      <c r="AR85" s="71" t="n">
        <f aca="false">AR71+AR57+AR58+AR46</f>
        <v>1898476.37839687</v>
      </c>
      <c r="AS85" s="71" t="n">
        <f aca="false">AS71+AS57+AS58+AS46</f>
        <v>1897525.62299325</v>
      </c>
      <c r="AT85" s="71" t="n">
        <f aca="false">AT71+AT57+AT58+AT46</f>
        <v>1896573.88391049</v>
      </c>
      <c r="AU85" s="71" t="n">
        <f aca="false">AU71+AU57+AU58+AU46</f>
        <v>1895621.16114859</v>
      </c>
      <c r="AV85" s="71" t="n">
        <f aca="false">AV71+AV57+AV58+AV46</f>
        <v>1894667.45470755</v>
      </c>
      <c r="AW85" s="71" t="n">
        <f aca="false">AW71+AW57+AW58+AW46</f>
        <v>1893712.76458737</v>
      </c>
      <c r="AX85" s="71" t="n">
        <f aca="false">AX71+AX57+AX58+AX46</f>
        <v>1892757.09078804</v>
      </c>
      <c r="AY85" s="71" t="n">
        <f aca="false">AY71+AY57+AY58+AY46</f>
        <v>1892173.4444061</v>
      </c>
      <c r="AZ85" s="71" t="n">
        <f aca="false">AZ71+AZ57+AZ58+AZ46</f>
        <v>1891558.1502332</v>
      </c>
      <c r="BA85" s="71" t="n">
        <f aca="false">BA71+BA57+BA58+BA46</f>
        <v>1890941.84287078</v>
      </c>
      <c r="BB85" s="71" t="n">
        <f aca="false">BB71+BB57+BB58+BB46</f>
        <v>1890324.52231885</v>
      </c>
      <c r="BC85" s="71" t="n">
        <f aca="false">BC71+BC57+BC58+BC46</f>
        <v>1889706.1885774</v>
      </c>
      <c r="BD85" s="71" t="n">
        <f aca="false">BD71+BD57+BD58+BD46</f>
        <v>1889086.84164643</v>
      </c>
      <c r="BE85" s="71" t="n">
        <f aca="false">BE71+BE57+BE58+BE46</f>
        <v>1888466.48152595</v>
      </c>
      <c r="BF85" s="71" t="n">
        <f aca="false">BF71+BF57+BF58+BF46</f>
        <v>1887845.10821596</v>
      </c>
      <c r="BG85" s="71" t="n">
        <f aca="false">BG71+BG57+BG58+BG46</f>
        <v>1887222.72171645</v>
      </c>
      <c r="BH85" s="71" t="n">
        <f aca="false">BH71+BH57+BH58+BH46</f>
        <v>1886599.32202742</v>
      </c>
      <c r="BI85" s="71" t="n">
        <f aca="false">BI71+BI57+BI58+BI46</f>
        <v>1885954.04126005</v>
      </c>
      <c r="BJ85" s="71" t="n">
        <f aca="false">BJ71+BJ57+BJ58+BJ46</f>
        <v>1885146.63026302</v>
      </c>
    </row>
    <row r="86" customFormat="false" ht="15" hidden="false" customHeight="false" outlineLevel="0" collapsed="false">
      <c r="A86" s="6" t="s">
        <v>96</v>
      </c>
      <c r="C86" s="65" t="n">
        <f aca="false">C59+C54</f>
        <v>1199849.68371808</v>
      </c>
      <c r="D86" s="65" t="n">
        <f aca="false">D59+D54</f>
        <v>1198758.99134798</v>
      </c>
      <c r="E86" s="65" t="n">
        <f aca="false">E59+E54</f>
        <v>1197662.39106086</v>
      </c>
      <c r="F86" s="65" t="n">
        <f aca="false">F59+F54</f>
        <v>1196559.85085553</v>
      </c>
      <c r="G86" s="65" t="n">
        <f aca="false">G59+G54</f>
        <v>1195451.33855741</v>
      </c>
      <c r="H86" s="65" t="n">
        <f aca="false">H59+H54</f>
        <v>1194336.82181768</v>
      </c>
      <c r="I86" s="65" t="n">
        <f aca="false">I59+I54</f>
        <v>1193216.26811228</v>
      </c>
      <c r="J86" s="65" t="n">
        <f aca="false">J59+J54</f>
        <v>1192089.64474097</v>
      </c>
      <c r="K86" s="65" t="n">
        <f aca="false">K59+K54</f>
        <v>1190956.9188264</v>
      </c>
      <c r="L86" s="65" t="n">
        <f aca="false">L59+L54</f>
        <v>1189818.05731313</v>
      </c>
      <c r="M86" s="65" t="n">
        <f aca="false">M59+M54</f>
        <v>1188673.02696666</v>
      </c>
      <c r="N86" s="65" t="n">
        <f aca="false">N59+N54</f>
        <v>1187521.79437248</v>
      </c>
      <c r="O86" s="65" t="n">
        <f aca="false">O59+O54</f>
        <v>1186392.36093508</v>
      </c>
      <c r="P86" s="65" t="n">
        <f aca="false">P59+P54</f>
        <v>1185228.62287698</v>
      </c>
      <c r="Q86" s="65" t="n">
        <f aca="false">Q59+Q54</f>
        <v>1184058.58123773</v>
      </c>
      <c r="R86" s="65" t="n">
        <f aca="false">R59+R54</f>
        <v>1182882.20187294</v>
      </c>
      <c r="S86" s="65" t="n">
        <f aca="false">S59+S54</f>
        <v>1181699.45045325</v>
      </c>
      <c r="T86" s="65" t="n">
        <f aca="false">T59+T54</f>
        <v>1180510.29246337</v>
      </c>
      <c r="U86" s="65" t="n">
        <f aca="false">U59+U54</f>
        <v>1179314.69320105</v>
      </c>
      <c r="V86" s="65" t="n">
        <f aca="false">V59+V54</f>
        <v>1178112.61777606</v>
      </c>
      <c r="W86" s="65" t="n">
        <f aca="false">W59+W54</f>
        <v>1176904.03110918</v>
      </c>
      <c r="X86" s="65" t="n">
        <f aca="false">X59+X54</f>
        <v>1175688.89793119</v>
      </c>
      <c r="Y86" s="65" t="n">
        <f aca="false">Y59+Y54</f>
        <v>1174467.18278182</v>
      </c>
      <c r="Z86" s="65" t="n">
        <f aca="false">Z59+Z54</f>
        <v>1173238.85000872</v>
      </c>
      <c r="AA86" s="65" t="n">
        <f aca="false">AA59+AA54</f>
        <v>1172032.73981644</v>
      </c>
      <c r="AB86" s="65" t="n">
        <f aca="false">AB59+AB54</f>
        <v>1170791.06406534</v>
      </c>
      <c r="AC86" s="65" t="n">
        <f aca="false">AC59+AC54</f>
        <v>1169542.66257059</v>
      </c>
      <c r="AD86" s="65" t="n">
        <f aca="false">AD59+AD54</f>
        <v>1168287.49890108</v>
      </c>
      <c r="AE86" s="65" t="n">
        <f aca="false">AE59+AE54</f>
        <v>1167025.53642835</v>
      </c>
      <c r="AF86" s="65" t="n">
        <f aca="false">AF59+AF54</f>
        <v>1165756.73832557</v>
      </c>
      <c r="AG86" s="65" t="n">
        <f aca="false">AG59+AG54</f>
        <v>1164481.0675664</v>
      </c>
      <c r="AH86" s="65" t="n">
        <f aca="false">AH59+AH54</f>
        <v>1163198.48692395</v>
      </c>
      <c r="AI86" s="65" t="n">
        <f aca="false">AI59+AI54</f>
        <v>1161908.95896968</v>
      </c>
      <c r="AJ86" s="65" t="n">
        <f aca="false">AJ59+AJ54</f>
        <v>1160612.44607233</v>
      </c>
      <c r="AK86" s="65" t="n">
        <f aca="false">AK59+AK54</f>
        <v>1159308.91039679</v>
      </c>
      <c r="AL86" s="65" t="n">
        <f aca="false">AL59+AL54</f>
        <v>1157998.313903</v>
      </c>
      <c r="AM86" s="65" t="n">
        <f aca="false">AM59+AM54</f>
        <v>1156710.36067637</v>
      </c>
      <c r="AN86" s="65" t="n">
        <f aca="false">AN59+AN54</f>
        <v>1155385.52760064</v>
      </c>
      <c r="AO86" s="65" t="n">
        <f aca="false">AO59+AO54</f>
        <v>1154053.51834574</v>
      </c>
      <c r="AP86" s="65" t="n">
        <f aca="false">AP59+AP54</f>
        <v>1152714.29404072</v>
      </c>
      <c r="AQ86" s="65" t="n">
        <f aca="false">AQ59+AQ54</f>
        <v>1151367.81560404</v>
      </c>
      <c r="AR86" s="65" t="n">
        <f aca="false">AR59+AR54</f>
        <v>1150014.04374249</v>
      </c>
      <c r="AS86" s="65" t="n">
        <f aca="false">AS59+AS54</f>
        <v>1148652.93895003</v>
      </c>
      <c r="AT86" s="65" t="n">
        <f aca="false">AT59+AT54</f>
        <v>1147284.46150661</v>
      </c>
      <c r="AU86" s="65" t="n">
        <f aca="false">AU59+AU54</f>
        <v>1145908.57147704</v>
      </c>
      <c r="AV86" s="65" t="n">
        <f aca="false">AV59+AV54</f>
        <v>1144525.22870981</v>
      </c>
      <c r="AW86" s="65" t="n">
        <f aca="false">AW59+AW54</f>
        <v>1143134.39283592</v>
      </c>
      <c r="AX86" s="65" t="n">
        <f aca="false">AX59+AX54</f>
        <v>1141736.02326772</v>
      </c>
      <c r="AY86" s="65" t="n">
        <f aca="false">AY59+AY54</f>
        <v>1140360.71379913</v>
      </c>
      <c r="AZ86" s="65" t="n">
        <f aca="false">AZ59+AZ54</f>
        <v>1138947.15419872</v>
      </c>
      <c r="BA86" s="65" t="n">
        <f aca="false">BA59+BA54</f>
        <v>1137525.93781714</v>
      </c>
      <c r="BB86" s="65" t="n">
        <f aca="false">BB59+BB54</f>
        <v>1136097.02318016</v>
      </c>
      <c r="BC86" s="65" t="n">
        <f aca="false">BC59+BC54</f>
        <v>1134660.3685889</v>
      </c>
      <c r="BD86" s="65" t="n">
        <f aca="false">BD59+BD54</f>
        <v>1133215.9321186</v>
      </c>
      <c r="BE86" s="65" t="n">
        <f aca="false">BE59+BE54</f>
        <v>1131763.67161742</v>
      </c>
      <c r="BF86" s="65" t="n">
        <f aca="false">BF59+BF54</f>
        <v>1130303.54470519</v>
      </c>
      <c r="BG86" s="65" t="n">
        <f aca="false">BG59+BG54</f>
        <v>1128835.50877218</v>
      </c>
      <c r="BH86" s="65" t="n">
        <f aca="false">BH59+BH54</f>
        <v>1127359.52097788</v>
      </c>
      <c r="BI86" s="65" t="n">
        <f aca="false">BI59+BI54</f>
        <v>1125875.53824968</v>
      </c>
      <c r="BJ86" s="65" t="n">
        <f aca="false">BJ59+BJ54</f>
        <v>1124383.51728171</v>
      </c>
    </row>
    <row r="87" customFormat="false" ht="15" hidden="false" customHeight="false" outlineLevel="0" collapsed="false">
      <c r="A87" s="6" t="s">
        <v>99</v>
      </c>
      <c r="C87" s="65" t="n">
        <f aca="false">C83+C84</f>
        <v>759204.902263375</v>
      </c>
      <c r="D87" s="65" t="n">
        <f aca="false">D83+D84</f>
        <v>758414.780409181</v>
      </c>
      <c r="E87" s="65" t="n">
        <f aca="false">E83+E84</f>
        <v>757629.666266232</v>
      </c>
      <c r="F87" s="65" t="n">
        <f aca="false">F83+F84</f>
        <v>756849.591835743</v>
      </c>
      <c r="G87" s="65" t="n">
        <f aca="false">G83+G84</f>
        <v>756074.589292271</v>
      </c>
      <c r="H87" s="65" t="n">
        <f aca="false">H83+H84</f>
        <v>755304.690984653</v>
      </c>
      <c r="I87" s="65" t="n">
        <f aca="false">I83+I84</f>
        <v>754539.929436947</v>
      </c>
      <c r="J87" s="65" t="n">
        <f aca="false">J83+J84</f>
        <v>753780.337349384</v>
      </c>
      <c r="K87" s="65" t="n">
        <f aca="false">K83+K84</f>
        <v>753025.947599321</v>
      </c>
      <c r="L87" s="65" t="n">
        <f aca="false">L83+L84</f>
        <v>752276.793242201</v>
      </c>
      <c r="M87" s="65" t="n">
        <f aca="false">M83+M84</f>
        <v>751532.907512516</v>
      </c>
      <c r="N87" s="65" t="n">
        <f aca="false">N83+N84</f>
        <v>750794.32382478</v>
      </c>
      <c r="O87" s="65" t="n">
        <f aca="false">O83+O84</f>
        <v>750374.398768328</v>
      </c>
      <c r="P87" s="65" t="n">
        <f aca="false">P83+P84</f>
        <v>749959.816120645</v>
      </c>
      <c r="Q87" s="65" t="n">
        <f aca="false">Q83+Q84</f>
        <v>749550.609842175</v>
      </c>
      <c r="R87" s="65" t="n">
        <f aca="false">R83+R84</f>
        <v>749146.814077318</v>
      </c>
      <c r="S87" s="65" t="n">
        <f aca="false">S83+S84</f>
        <v>748748.463155419</v>
      </c>
      <c r="T87" s="65" t="n">
        <f aca="false">T83+T84</f>
        <v>748355.591591775</v>
      </c>
      <c r="U87" s="65" t="n">
        <f aca="false">U83+U84</f>
        <v>747968.234088643</v>
      </c>
      <c r="V87" s="65" t="n">
        <f aca="false">V83+V84</f>
        <v>747586.425536247</v>
      </c>
      <c r="W87" s="65" t="n">
        <f aca="false">W83+W84</f>
        <v>747210.201013803</v>
      </c>
      <c r="X87" s="65" t="n">
        <f aca="false">X83+X84</f>
        <v>746839.595790536</v>
      </c>
      <c r="Y87" s="65" t="n">
        <f aca="false">Y83+Y84</f>
        <v>746474.645326717</v>
      </c>
      <c r="Z87" s="65" t="n">
        <f aca="false">Z83+Z84</f>
        <v>746115.385274689</v>
      </c>
      <c r="AA87" s="65" t="n">
        <f aca="false">AA83+AA84</f>
        <v>746084.574163556</v>
      </c>
      <c r="AB87" s="65" t="n">
        <f aca="false">AB83+AB84</f>
        <v>746059.497532944</v>
      </c>
      <c r="AC87" s="65" t="n">
        <f aca="false">AC83+AC84</f>
        <v>746040.191617691</v>
      </c>
      <c r="AD87" s="65" t="n">
        <f aca="false">AD83+AD84</f>
        <v>746026.692848909</v>
      </c>
      <c r="AE87" s="65" t="n">
        <f aca="false">AE83+AE84</f>
        <v>746019.037855045</v>
      </c>
      <c r="AF87" s="65" t="n">
        <f aca="false">AF83+AF84</f>
        <v>746017.263462949</v>
      </c>
      <c r="AG87" s="65" t="n">
        <f aca="false">AG83+AG84</f>
        <v>746021.406698951</v>
      </c>
      <c r="AH87" s="65" t="n">
        <f aca="false">AH83+AH84</f>
        <v>746031.50478994</v>
      </c>
      <c r="AI87" s="65" t="n">
        <f aca="false">AI83+AI84</f>
        <v>746047.59516445</v>
      </c>
      <c r="AJ87" s="65" t="n">
        <f aca="false">AJ83+AJ84</f>
        <v>746069.715453754</v>
      </c>
      <c r="AK87" s="65" t="n">
        <f aca="false">AK83+AK84</f>
        <v>746097.903492959</v>
      </c>
      <c r="AL87" s="65" t="n">
        <f aca="false">AL83+AL84</f>
        <v>746132.197322114</v>
      </c>
      <c r="AM87" s="65" t="n">
        <f aca="false">AM83+AM84</f>
        <v>746505.03955147</v>
      </c>
      <c r="AN87" s="65" t="n">
        <f aca="false">AN83+AN84</f>
        <v>746884.035619292</v>
      </c>
      <c r="AO87" s="65" t="n">
        <f aca="false">AO83+AO84</f>
        <v>747269.224187132</v>
      </c>
      <c r="AP87" s="65" t="n">
        <f aca="false">AP83+AP84</f>
        <v>747660.644125963</v>
      </c>
      <c r="AQ87" s="65" t="n">
        <f aca="false">AQ83+AQ84</f>
        <v>748058.334517305</v>
      </c>
      <c r="AR87" s="65" t="n">
        <f aca="false">AR83+AR84</f>
        <v>748462.334654371</v>
      </c>
      <c r="AS87" s="65" t="n">
        <f aca="false">AS83+AS84</f>
        <v>748872.684043213</v>
      </c>
      <c r="AT87" s="65" t="n">
        <f aca="false">AT83+AT84</f>
        <v>749289.422403873</v>
      </c>
      <c r="AU87" s="65" t="n">
        <f aca="false">AU83+AU84</f>
        <v>749712.589671544</v>
      </c>
      <c r="AV87" s="65" t="n">
        <f aca="false">AV83+AV84</f>
        <v>750142.225997734</v>
      </c>
      <c r="AW87" s="65" t="n">
        <f aca="false">AW83+AW84</f>
        <v>750578.371751439</v>
      </c>
      <c r="AX87" s="65" t="n">
        <f aca="false">AX83+AX84</f>
        <v>751021.067520321</v>
      </c>
      <c r="AY87" s="65" t="n">
        <f aca="false">AY83+AY84</f>
        <v>751812.730606964</v>
      </c>
      <c r="AZ87" s="65" t="n">
        <f aca="false">AZ83+AZ84</f>
        <v>752610.996034472</v>
      </c>
      <c r="BA87" s="65" t="n">
        <f aca="false">BA83+BA84</f>
        <v>753415.905053634</v>
      </c>
      <c r="BB87" s="65" t="n">
        <f aca="false">BB83+BB84</f>
        <v>754227.49913868</v>
      </c>
      <c r="BC87" s="65" t="n">
        <f aca="false">BC83+BC84</f>
        <v>755045.819988496</v>
      </c>
      <c r="BD87" s="65" t="n">
        <f aca="false">BD83+BD84</f>
        <v>755870.909527832</v>
      </c>
      <c r="BE87" s="65" t="n">
        <f aca="false">BE83+BE84</f>
        <v>756702.809908533</v>
      </c>
      <c r="BF87" s="65" t="n">
        <f aca="false">BF83+BF84</f>
        <v>757541.563510768</v>
      </c>
      <c r="BG87" s="65" t="n">
        <f aca="false">BG83+BG84</f>
        <v>758387.212944261</v>
      </c>
      <c r="BH87" s="65" t="n">
        <f aca="false">BH83+BH84</f>
        <v>759239.801049544</v>
      </c>
      <c r="BI87" s="65" t="n">
        <f aca="false">BI83+BI84</f>
        <v>760078.503010366</v>
      </c>
      <c r="BJ87" s="65" t="n">
        <f aca="false">BJ83+BJ84</f>
        <v>760763.112981299</v>
      </c>
    </row>
    <row r="88" customFormat="false" ht="15" hidden="false" customHeight="false" outlineLevel="0" collapsed="false">
      <c r="A88" s="4" t="s">
        <v>100</v>
      </c>
      <c r="C88" s="71" t="n">
        <f aca="false">C86+C87</f>
        <v>1959054.58598146</v>
      </c>
      <c r="D88" s="71" t="n">
        <f aca="false">D86+D87</f>
        <v>1957173.77175716</v>
      </c>
      <c r="E88" s="71" t="n">
        <f aca="false">E86+E87</f>
        <v>1955292.05732709</v>
      </c>
      <c r="F88" s="71" t="n">
        <f aca="false">F86+F87</f>
        <v>1953409.44269127</v>
      </c>
      <c r="G88" s="71" t="n">
        <f aca="false">G86+G87</f>
        <v>1951525.92784968</v>
      </c>
      <c r="H88" s="71" t="n">
        <f aca="false">H86+H87</f>
        <v>1949641.51280233</v>
      </c>
      <c r="I88" s="71" t="n">
        <f aca="false">I86+I87</f>
        <v>1947756.19754922</v>
      </c>
      <c r="J88" s="71" t="n">
        <f aca="false">J86+J87</f>
        <v>1945869.98209035</v>
      </c>
      <c r="K88" s="71" t="n">
        <f aca="false">K86+K87</f>
        <v>1943982.86642572</v>
      </c>
      <c r="L88" s="71" t="n">
        <f aca="false">L86+L87</f>
        <v>1942094.85055533</v>
      </c>
      <c r="M88" s="71" t="n">
        <f aca="false">M86+M87</f>
        <v>1940205.93447918</v>
      </c>
      <c r="N88" s="71" t="n">
        <f aca="false">N86+N87</f>
        <v>1938316.11819726</v>
      </c>
      <c r="O88" s="71" t="n">
        <f aca="false">O86+O87</f>
        <v>1936766.75970341</v>
      </c>
      <c r="P88" s="71" t="n">
        <f aca="false">P86+P87</f>
        <v>1935188.43899763</v>
      </c>
      <c r="Q88" s="71" t="n">
        <f aca="false">Q86+Q87</f>
        <v>1933609.19107991</v>
      </c>
      <c r="R88" s="71" t="n">
        <f aca="false">R86+R87</f>
        <v>1932029.01595026</v>
      </c>
      <c r="S88" s="71" t="n">
        <f aca="false">S86+S87</f>
        <v>1930447.91360867</v>
      </c>
      <c r="T88" s="71" t="n">
        <f aca="false">T86+T87</f>
        <v>1928865.88405515</v>
      </c>
      <c r="U88" s="71" t="n">
        <f aca="false">U86+U87</f>
        <v>1927282.92728969</v>
      </c>
      <c r="V88" s="71" t="n">
        <f aca="false">V86+V87</f>
        <v>1925699.04331231</v>
      </c>
      <c r="W88" s="71" t="n">
        <f aca="false">W86+W87</f>
        <v>1924114.23212298</v>
      </c>
      <c r="X88" s="71" t="n">
        <f aca="false">X86+X87</f>
        <v>1922528.49372173</v>
      </c>
      <c r="Y88" s="71" t="n">
        <f aca="false">Y86+Y87</f>
        <v>1920941.82810853</v>
      </c>
      <c r="Z88" s="71" t="n">
        <f aca="false">Z86+Z87</f>
        <v>1919354.23528341</v>
      </c>
      <c r="AA88" s="71" t="n">
        <f aca="false">AA86+AA87</f>
        <v>1918117.31397999</v>
      </c>
      <c r="AB88" s="71" t="n">
        <f aca="false">AB86+AB87</f>
        <v>1916850.56159828</v>
      </c>
      <c r="AC88" s="71" t="n">
        <f aca="false">AC86+AC87</f>
        <v>1915582.85418828</v>
      </c>
      <c r="AD88" s="71" t="n">
        <f aca="false">AD86+AD87</f>
        <v>1914314.19174999</v>
      </c>
      <c r="AE88" s="71" t="n">
        <f aca="false">AE86+AE87</f>
        <v>1913044.5742834</v>
      </c>
      <c r="AF88" s="71" t="n">
        <f aca="false">AF86+AF87</f>
        <v>1911774.00178852</v>
      </c>
      <c r="AG88" s="71" t="n">
        <f aca="false">AG86+AG87</f>
        <v>1910502.47426535</v>
      </c>
      <c r="AH88" s="71" t="n">
        <f aca="false">AH86+AH87</f>
        <v>1909229.99171389</v>
      </c>
      <c r="AI88" s="71" t="n">
        <f aca="false">AI86+AI87</f>
        <v>1907956.55413413</v>
      </c>
      <c r="AJ88" s="71" t="n">
        <f aca="false">AJ86+AJ87</f>
        <v>1906682.16152608</v>
      </c>
      <c r="AK88" s="71" t="n">
        <f aca="false">AK86+AK87</f>
        <v>1905406.81388975</v>
      </c>
      <c r="AL88" s="71" t="n">
        <f aca="false">AL86+AL87</f>
        <v>1904130.51122511</v>
      </c>
      <c r="AM88" s="71" t="n">
        <f aca="false">AM86+AM87</f>
        <v>1903215.40022784</v>
      </c>
      <c r="AN88" s="71" t="n">
        <f aca="false">AN86+AN87</f>
        <v>1902269.56321993</v>
      </c>
      <c r="AO88" s="71" t="n">
        <f aca="false">AO86+AO87</f>
        <v>1901322.74253287</v>
      </c>
      <c r="AP88" s="71" t="n">
        <f aca="false">AP86+AP87</f>
        <v>1900374.93816668</v>
      </c>
      <c r="AQ88" s="71" t="n">
        <f aca="false">AQ86+AQ87</f>
        <v>1899426.15012134</v>
      </c>
      <c r="AR88" s="71" t="n">
        <f aca="false">AR86+AR87</f>
        <v>1898476.37839686</v>
      </c>
      <c r="AS88" s="71" t="n">
        <f aca="false">AS86+AS87</f>
        <v>1897525.62299325</v>
      </c>
      <c r="AT88" s="71" t="n">
        <f aca="false">AT86+AT87</f>
        <v>1896573.88391049</v>
      </c>
      <c r="AU88" s="71" t="n">
        <f aca="false">AU86+AU87</f>
        <v>1895621.16114859</v>
      </c>
      <c r="AV88" s="71" t="n">
        <f aca="false">AV86+AV87</f>
        <v>1894667.45470755</v>
      </c>
      <c r="AW88" s="71" t="n">
        <f aca="false">AW86+AW87</f>
        <v>1893712.76458736</v>
      </c>
      <c r="AX88" s="71" t="n">
        <f aca="false">AX86+AX87</f>
        <v>1892757.09078804</v>
      </c>
      <c r="AY88" s="71" t="n">
        <f aca="false">AY86+AY87</f>
        <v>1892173.4444061</v>
      </c>
      <c r="AZ88" s="71" t="n">
        <f aca="false">AZ86+AZ87</f>
        <v>1891558.15023319</v>
      </c>
      <c r="BA88" s="71" t="n">
        <f aca="false">BA86+BA87</f>
        <v>1890941.84287078</v>
      </c>
      <c r="BB88" s="71" t="n">
        <f aca="false">BB86+BB87</f>
        <v>1890324.52231884</v>
      </c>
      <c r="BC88" s="71" t="n">
        <f aca="false">BC86+BC87</f>
        <v>1889706.18857739</v>
      </c>
      <c r="BD88" s="71" t="n">
        <f aca="false">BD86+BD87</f>
        <v>1889086.84164643</v>
      </c>
      <c r="BE88" s="71" t="n">
        <f aca="false">BE86+BE87</f>
        <v>1888466.48152595</v>
      </c>
      <c r="BF88" s="71" t="n">
        <f aca="false">BF86+BF87</f>
        <v>1887845.10821596</v>
      </c>
      <c r="BG88" s="71" t="n">
        <f aca="false">BG86+BG87</f>
        <v>1887222.72171645</v>
      </c>
      <c r="BH88" s="71" t="n">
        <f aca="false">BH86+BH87</f>
        <v>1886599.32202742</v>
      </c>
      <c r="BI88" s="71" t="n">
        <f aca="false">BI86+BI87</f>
        <v>1885954.04126005</v>
      </c>
      <c r="BJ88" s="71" t="n">
        <f aca="false">BJ86+BJ87</f>
        <v>1885146.63026301</v>
      </c>
    </row>
    <row r="89" customFormat="false" ht="15" hidden="false" customHeight="false" outlineLevel="0" collapsed="false">
      <c r="A89" s="6" t="s">
        <v>448</v>
      </c>
      <c r="C89" s="65" t="n">
        <f aca="false">C85-C88</f>
        <v>0</v>
      </c>
      <c r="D89" s="65" t="n">
        <f aca="false">D85-D88</f>
        <v>0</v>
      </c>
      <c r="E89" s="65" t="n">
        <f aca="false">E85-E88</f>
        <v>0</v>
      </c>
      <c r="F89" s="65" t="n">
        <f aca="false">F85-F88</f>
        <v>0</v>
      </c>
      <c r="G89" s="65" t="n">
        <f aca="false">G85-G88</f>
        <v>0</v>
      </c>
      <c r="H89" s="65" t="n">
        <f aca="false">H85-H88</f>
        <v>0</v>
      </c>
      <c r="I89" s="65" t="n">
        <f aca="false">I85-I88</f>
        <v>0</v>
      </c>
      <c r="J89" s="65" t="n">
        <f aca="false">J85-J88</f>
        <v>0</v>
      </c>
      <c r="K89" s="65" t="n">
        <f aca="false">K85-K88</f>
        <v>0</v>
      </c>
      <c r="L89" s="65" t="n">
        <f aca="false">L85-L88</f>
        <v>0</v>
      </c>
      <c r="M89" s="65" t="n">
        <f aca="false">M85-M88</f>
        <v>0</v>
      </c>
      <c r="N89" s="65" t="n">
        <f aca="false">N85-N88</f>
        <v>0</v>
      </c>
      <c r="O89" s="65" t="n">
        <f aca="false">O85-O88</f>
        <v>0</v>
      </c>
      <c r="P89" s="65" t="n">
        <f aca="false">P85-P88</f>
        <v>0</v>
      </c>
      <c r="Q89" s="65" t="n">
        <f aca="false">Q85-Q88</f>
        <v>0</v>
      </c>
      <c r="R89" s="65" t="n">
        <f aca="false">R85-R88</f>
        <v>0</v>
      </c>
      <c r="S89" s="65" t="n">
        <f aca="false">S85-S88</f>
        <v>0</v>
      </c>
      <c r="T89" s="65" t="n">
        <f aca="false">T85-T88</f>
        <v>0</v>
      </c>
      <c r="U89" s="65" t="n">
        <f aca="false">U85-U88</f>
        <v>0</v>
      </c>
      <c r="V89" s="65" t="n">
        <f aca="false">V85-V88</f>
        <v>0</v>
      </c>
      <c r="W89" s="65" t="n">
        <f aca="false">W85-W88</f>
        <v>0</v>
      </c>
      <c r="X89" s="65" t="n">
        <f aca="false">X85-X88</f>
        <v>0</v>
      </c>
      <c r="Y89" s="65" t="n">
        <f aca="false">Y85-Y88</f>
        <v>0</v>
      </c>
      <c r="Z89" s="65" t="n">
        <f aca="false">Z85-Z88</f>
        <v>0</v>
      </c>
      <c r="AA89" s="65" t="n">
        <f aca="false">AA85-AA88</f>
        <v>0</v>
      </c>
      <c r="AB89" s="65" t="n">
        <f aca="false">AB85-AB88</f>
        <v>0</v>
      </c>
      <c r="AC89" s="65" t="n">
        <f aca="false">AC85-AC88</f>
        <v>0</v>
      </c>
      <c r="AD89" s="65" t="n">
        <f aca="false">AD85-AD88</f>
        <v>0</v>
      </c>
      <c r="AE89" s="65" t="n">
        <f aca="false">AE85-AE88</f>
        <v>0</v>
      </c>
      <c r="AF89" s="65" t="n">
        <f aca="false">AF85-AF88</f>
        <v>0</v>
      </c>
      <c r="AG89" s="65" t="n">
        <f aca="false">AG85-AG88</f>
        <v>0</v>
      </c>
      <c r="AH89" s="65" t="n">
        <f aca="false">AH85-AH88</f>
        <v>0</v>
      </c>
      <c r="AI89" s="65" t="n">
        <f aca="false">AI85-AI88</f>
        <v>0</v>
      </c>
      <c r="AJ89" s="65" t="n">
        <f aca="false">AJ85-AJ88</f>
        <v>0</v>
      </c>
      <c r="AK89" s="65" t="n">
        <f aca="false">AK85-AK88</f>
        <v>0</v>
      </c>
      <c r="AL89" s="65" t="n">
        <f aca="false">AL85-AL88</f>
        <v>0</v>
      </c>
      <c r="AM89" s="65" t="n">
        <f aca="false">AM85-AM88</f>
        <v>0</v>
      </c>
      <c r="AN89" s="65" t="n">
        <f aca="false">AN85-AN88</f>
        <v>0</v>
      </c>
      <c r="AO89" s="65" t="n">
        <f aca="false">AO85-AO88</f>
        <v>0</v>
      </c>
      <c r="AP89" s="65" t="n">
        <f aca="false">AP85-AP88</f>
        <v>0</v>
      </c>
      <c r="AQ89" s="65" t="n">
        <f aca="false">AQ85-AQ88</f>
        <v>0</v>
      </c>
      <c r="AR89" s="65" t="n">
        <f aca="false">AR85-AR88</f>
        <v>0</v>
      </c>
      <c r="AS89" s="65" t="n">
        <f aca="false">AS85-AS88</f>
        <v>0</v>
      </c>
      <c r="AT89" s="65" t="n">
        <f aca="false">AT85-AT88</f>
        <v>0</v>
      </c>
      <c r="AU89" s="65" t="n">
        <f aca="false">AU85-AU88</f>
        <v>0</v>
      </c>
      <c r="AV89" s="65" t="n">
        <f aca="false">AV85-AV88</f>
        <v>0</v>
      </c>
      <c r="AW89" s="65" t="n">
        <f aca="false">AW85-AW88</f>
        <v>0</v>
      </c>
      <c r="AX89" s="65" t="n">
        <f aca="false">AX85-AX88</f>
        <v>0</v>
      </c>
      <c r="AY89" s="65" t="n">
        <f aca="false">AY85-AY88</f>
        <v>0</v>
      </c>
      <c r="AZ89" s="65" t="n">
        <f aca="false">AZ85-AZ88</f>
        <v>0</v>
      </c>
      <c r="BA89" s="65" t="n">
        <f aca="false">BA85-BA88</f>
        <v>0</v>
      </c>
      <c r="BB89" s="65" t="n">
        <f aca="false">BB85-BB88</f>
        <v>0</v>
      </c>
      <c r="BC89" s="65" t="n">
        <f aca="false">BC85-BC88</f>
        <v>0</v>
      </c>
      <c r="BD89" s="65" t="n">
        <f aca="false">BD85-BD88</f>
        <v>0</v>
      </c>
      <c r="BE89" s="65" t="n">
        <f aca="false">BE85-BE88</f>
        <v>0</v>
      </c>
      <c r="BF89" s="65" t="n">
        <f aca="false">BF85-BF88</f>
        <v>0</v>
      </c>
      <c r="BG89" s="65" t="n">
        <f aca="false">BG85-BG88</f>
        <v>0</v>
      </c>
      <c r="BH89" s="65" t="n">
        <f aca="false">BH85-BH88</f>
        <v>0</v>
      </c>
      <c r="BI89" s="65" t="n">
        <f aca="false">BI85-BI88</f>
        <v>0</v>
      </c>
      <c r="BJ89" s="65" t="n">
        <f aca="false">BJ85-BJ88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352</v>
      </c>
    </row>
    <row r="3" customFormat="false" ht="15" hidden="false" customHeight="false" outlineLevel="0" collapsed="false">
      <c r="A3" s="33" t="s">
        <v>353</v>
      </c>
      <c r="C3" s="50" t="s">
        <v>354</v>
      </c>
      <c r="D3" s="50" t="s">
        <v>355</v>
      </c>
      <c r="E3" s="50" t="s">
        <v>356</v>
      </c>
      <c r="F3" s="50" t="s">
        <v>357</v>
      </c>
      <c r="G3" s="50" t="s">
        <v>358</v>
      </c>
      <c r="H3" s="50" t="s">
        <v>359</v>
      </c>
      <c r="I3" s="50" t="s">
        <v>360</v>
      </c>
      <c r="J3" s="50" t="s">
        <v>361</v>
      </c>
      <c r="K3" s="50" t="s">
        <v>362</v>
      </c>
      <c r="L3" s="50" t="s">
        <v>363</v>
      </c>
      <c r="M3" s="50" t="s">
        <v>364</v>
      </c>
      <c r="N3" s="50" t="s">
        <v>365</v>
      </c>
      <c r="O3" s="50" t="s">
        <v>366</v>
      </c>
      <c r="P3" s="50" t="s">
        <v>367</v>
      </c>
      <c r="Q3" s="50" t="s">
        <v>368</v>
      </c>
      <c r="R3" s="50" t="s">
        <v>369</v>
      </c>
      <c r="S3" s="50" t="s">
        <v>370</v>
      </c>
      <c r="T3" s="50" t="s">
        <v>371</v>
      </c>
      <c r="U3" s="50" t="s">
        <v>372</v>
      </c>
      <c r="V3" s="50" t="s">
        <v>373</v>
      </c>
      <c r="W3" s="50" t="s">
        <v>374</v>
      </c>
      <c r="X3" s="50" t="s">
        <v>375</v>
      </c>
      <c r="Y3" s="50" t="s">
        <v>376</v>
      </c>
      <c r="Z3" s="50" t="s">
        <v>377</v>
      </c>
      <c r="AA3" s="50" t="s">
        <v>378</v>
      </c>
      <c r="AB3" s="50" t="s">
        <v>379</v>
      </c>
      <c r="AC3" s="50" t="s">
        <v>380</v>
      </c>
      <c r="AD3" s="50" t="s">
        <v>381</v>
      </c>
      <c r="AE3" s="50" t="s">
        <v>382</v>
      </c>
      <c r="AF3" s="50" t="s">
        <v>383</v>
      </c>
      <c r="AG3" s="50" t="s">
        <v>384</v>
      </c>
      <c r="AH3" s="50" t="s">
        <v>385</v>
      </c>
      <c r="AI3" s="50" t="s">
        <v>386</v>
      </c>
      <c r="AJ3" s="50" t="s">
        <v>387</v>
      </c>
      <c r="AK3" s="50" t="s">
        <v>388</v>
      </c>
      <c r="AL3" s="50" t="s">
        <v>389</v>
      </c>
      <c r="AM3" s="50" t="s">
        <v>390</v>
      </c>
      <c r="AN3" s="50" t="s">
        <v>391</v>
      </c>
      <c r="AO3" s="50" t="s">
        <v>392</v>
      </c>
      <c r="AP3" s="50" t="s">
        <v>393</v>
      </c>
      <c r="AQ3" s="50" t="s">
        <v>394</v>
      </c>
      <c r="AR3" s="50" t="s">
        <v>395</v>
      </c>
      <c r="AS3" s="50" t="s">
        <v>396</v>
      </c>
      <c r="AT3" s="50" t="s">
        <v>397</v>
      </c>
      <c r="AU3" s="50" t="s">
        <v>398</v>
      </c>
      <c r="AV3" s="50" t="s">
        <v>399</v>
      </c>
      <c r="AW3" s="50" t="s">
        <v>400</v>
      </c>
      <c r="AX3" s="50" t="s">
        <v>401</v>
      </c>
      <c r="AY3" s="50" t="s">
        <v>402</v>
      </c>
      <c r="AZ3" s="50" t="s">
        <v>403</v>
      </c>
      <c r="BA3" s="50" t="s">
        <v>404</v>
      </c>
      <c r="BB3" s="50" t="s">
        <v>405</v>
      </c>
      <c r="BC3" s="50" t="s">
        <v>406</v>
      </c>
      <c r="BD3" s="50" t="s">
        <v>407</v>
      </c>
      <c r="BE3" s="50" t="s">
        <v>408</v>
      </c>
      <c r="BF3" s="50" t="s">
        <v>409</v>
      </c>
      <c r="BG3" s="50" t="s">
        <v>410</v>
      </c>
      <c r="BH3" s="50" t="s">
        <v>411</v>
      </c>
      <c r="BI3" s="50" t="s">
        <v>412</v>
      </c>
      <c r="BJ3" s="50" t="s">
        <v>413</v>
      </c>
    </row>
    <row r="4" customFormat="false" ht="15" hidden="false" customHeight="false" outlineLevel="0" collapsed="false">
      <c r="A4" s="70" t="s">
        <v>414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  <c r="AM4" s="70" t="n">
        <v>37</v>
      </c>
      <c r="AN4" s="70" t="n">
        <v>38</v>
      </c>
      <c r="AO4" s="70" t="n">
        <v>39</v>
      </c>
      <c r="AP4" s="70" t="n">
        <v>40</v>
      </c>
      <c r="AQ4" s="70" t="n">
        <v>41</v>
      </c>
      <c r="AR4" s="70" t="n">
        <v>42</v>
      </c>
      <c r="AS4" s="70" t="n">
        <v>43</v>
      </c>
      <c r="AT4" s="70" t="n">
        <v>44</v>
      </c>
      <c r="AU4" s="70" t="n">
        <v>45</v>
      </c>
      <c r="AV4" s="70" t="n">
        <v>46</v>
      </c>
      <c r="AW4" s="70" t="n">
        <v>47</v>
      </c>
      <c r="AX4" s="70" t="n">
        <v>48</v>
      </c>
      <c r="AY4" s="70" t="n">
        <v>49</v>
      </c>
      <c r="AZ4" s="70" t="n">
        <v>50</v>
      </c>
      <c r="BA4" s="70" t="n">
        <v>51</v>
      </c>
      <c r="BB4" s="70" t="n">
        <v>52</v>
      </c>
      <c r="BC4" s="70" t="n">
        <v>53</v>
      </c>
      <c r="BD4" s="70" t="n">
        <v>54</v>
      </c>
      <c r="BE4" s="70" t="n">
        <v>55</v>
      </c>
      <c r="BF4" s="70" t="n">
        <v>56</v>
      </c>
      <c r="BG4" s="70" t="n">
        <v>57</v>
      </c>
      <c r="BH4" s="70" t="n">
        <v>58</v>
      </c>
      <c r="BI4" s="70" t="n">
        <v>59</v>
      </c>
      <c r="BJ4" s="70" t="n">
        <v>60</v>
      </c>
    </row>
    <row r="5" customFormat="false" ht="15" hidden="false" customHeight="false" outlineLevel="0" collapsed="false">
      <c r="A5" s="70" t="s">
        <v>155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  <c r="AM5" s="70" t="n">
        <f aca="false">ROUNDUP(AM4*1/12,0)</f>
        <v>4</v>
      </c>
      <c r="AN5" s="70" t="n">
        <f aca="false">ROUNDUP(AN4*1/12,0)</f>
        <v>4</v>
      </c>
      <c r="AO5" s="70" t="n">
        <f aca="false">ROUNDUP(AO4*1/12,0)</f>
        <v>4</v>
      </c>
      <c r="AP5" s="70" t="n">
        <f aca="false">ROUNDUP(AP4*1/12,0)</f>
        <v>4</v>
      </c>
      <c r="AQ5" s="70" t="n">
        <f aca="false">ROUNDUP(AQ4*1/12,0)</f>
        <v>4</v>
      </c>
      <c r="AR5" s="70" t="n">
        <f aca="false">ROUNDUP(AR4*1/12,0)</f>
        <v>4</v>
      </c>
      <c r="AS5" s="70" t="n">
        <f aca="false">ROUNDUP(AS4*1/12,0)</f>
        <v>4</v>
      </c>
      <c r="AT5" s="70" t="n">
        <f aca="false">ROUNDUP(AT4*1/12,0)</f>
        <v>4</v>
      </c>
      <c r="AU5" s="70" t="n">
        <f aca="false">ROUNDUP(AU4*1/12,0)</f>
        <v>4</v>
      </c>
      <c r="AV5" s="70" t="n">
        <f aca="false">ROUNDUP(AV4*1/12,0)</f>
        <v>4</v>
      </c>
      <c r="AW5" s="70" t="n">
        <f aca="false">ROUNDUP(AW4*1/12,0)</f>
        <v>4</v>
      </c>
      <c r="AX5" s="70" t="n">
        <f aca="false">ROUNDUP(AX4*1/12,0)</f>
        <v>4</v>
      </c>
      <c r="AY5" s="70" t="n">
        <f aca="false">ROUNDUP(AY4*1/12,0)</f>
        <v>5</v>
      </c>
      <c r="AZ5" s="70" t="n">
        <f aca="false">ROUNDUP(AZ4*1/12,0)</f>
        <v>5</v>
      </c>
      <c r="BA5" s="70" t="n">
        <f aca="false">ROUNDUP(BA4*1/12,0)</f>
        <v>5</v>
      </c>
      <c r="BB5" s="70" t="n">
        <f aca="false">ROUNDUP(BB4*1/12,0)</f>
        <v>5</v>
      </c>
      <c r="BC5" s="70" t="n">
        <f aca="false">ROUNDUP(BC4*1/12,0)</f>
        <v>5</v>
      </c>
      <c r="BD5" s="70" t="n">
        <f aca="false">ROUNDUP(BD4*1/12,0)</f>
        <v>5</v>
      </c>
      <c r="BE5" s="70" t="n">
        <f aca="false">ROUNDUP(BE4*1/12,0)</f>
        <v>5</v>
      </c>
      <c r="BF5" s="70" t="n">
        <f aca="false">ROUNDUP(BF4*1/12,0)</f>
        <v>5</v>
      </c>
      <c r="BG5" s="70" t="n">
        <f aca="false">ROUNDUP(BG4*1/12,0)</f>
        <v>5</v>
      </c>
      <c r="BH5" s="70" t="n">
        <f aca="false">ROUNDUP(BH4*1/12,0)</f>
        <v>5</v>
      </c>
      <c r="BI5" s="70" t="n">
        <f aca="false">ROUNDUP(BI4*1/12,0)</f>
        <v>5</v>
      </c>
      <c r="BJ5" s="70" t="n">
        <f aca="false">ROUNDUP(BJ4*1/12,0)</f>
        <v>5</v>
      </c>
    </row>
    <row r="6" customFormat="false" ht="15" hidden="false" customHeight="false" outlineLevel="0" collapsed="false">
      <c r="A6" s="108" t="s">
        <v>450</v>
      </c>
      <c r="C6" s="114" t="n">
        <f aca="false">0</f>
        <v>0</v>
      </c>
      <c r="D6" s="114" t="n">
        <f aca="false">0</f>
        <v>0</v>
      </c>
      <c r="E6" s="114" t="n">
        <f aca="false">0</f>
        <v>0</v>
      </c>
      <c r="F6" s="114" t="n">
        <f aca="false">0</f>
        <v>0</v>
      </c>
      <c r="G6" s="114" t="n">
        <f aca="false">0</f>
        <v>0</v>
      </c>
      <c r="H6" s="114" t="n">
        <f aca="false">0</f>
        <v>0</v>
      </c>
      <c r="I6" s="114" t="n">
        <f aca="false">0</f>
        <v>0</v>
      </c>
      <c r="J6" s="114" t="n">
        <f aca="false">0</f>
        <v>0</v>
      </c>
      <c r="K6" s="114" t="n">
        <f aca="false">0</f>
        <v>0</v>
      </c>
      <c r="L6" s="114" t="n">
        <f aca="false">0</f>
        <v>0</v>
      </c>
      <c r="M6" s="114" t="n">
        <f aca="false">0</f>
        <v>0</v>
      </c>
      <c r="N6" s="114" t="n">
        <f aca="false">0</f>
        <v>0</v>
      </c>
      <c r="O6" s="114" t="n">
        <f aca="false">0</f>
        <v>0</v>
      </c>
      <c r="P6" s="114" t="n">
        <f aca="false">0</f>
        <v>0</v>
      </c>
      <c r="Q6" s="114" t="n">
        <f aca="false">0</f>
        <v>0</v>
      </c>
      <c r="R6" s="114" t="n">
        <f aca="false">0</f>
        <v>0</v>
      </c>
      <c r="S6" s="114" t="n">
        <f aca="false">0</f>
        <v>0</v>
      </c>
      <c r="T6" s="114" t="n">
        <f aca="false">0</f>
        <v>0</v>
      </c>
      <c r="U6" s="114" t="n">
        <f aca="false">0</f>
        <v>0</v>
      </c>
      <c r="V6" s="114" t="n">
        <f aca="false">0</f>
        <v>0</v>
      </c>
      <c r="W6" s="114" t="n">
        <f aca="false">0</f>
        <v>0</v>
      </c>
      <c r="X6" s="114" t="n">
        <f aca="false">0</f>
        <v>0</v>
      </c>
      <c r="Y6" s="114" t="n">
        <f aca="false">0</f>
        <v>0</v>
      </c>
      <c r="Z6" s="114" t="n">
        <f aca="false">0</f>
        <v>0</v>
      </c>
      <c r="AA6" s="114" t="n">
        <f aca="false">0</f>
        <v>0</v>
      </c>
      <c r="AB6" s="114" t="n">
        <f aca="false">0</f>
        <v>0</v>
      </c>
      <c r="AC6" s="114" t="n">
        <f aca="false">0</f>
        <v>0</v>
      </c>
      <c r="AD6" s="114" t="n">
        <f aca="false">0</f>
        <v>0</v>
      </c>
      <c r="AE6" s="114" t="n">
        <f aca="false">0</f>
        <v>0</v>
      </c>
      <c r="AF6" s="114" t="n">
        <f aca="false">0</f>
        <v>0</v>
      </c>
      <c r="AG6" s="114" t="n">
        <f aca="false">0</f>
        <v>0</v>
      </c>
      <c r="AH6" s="114" t="n">
        <f aca="false">0</f>
        <v>0</v>
      </c>
      <c r="AI6" s="114" t="n">
        <f aca="false">0</f>
        <v>0</v>
      </c>
      <c r="AJ6" s="114" t="n">
        <f aca="false">0</f>
        <v>0</v>
      </c>
      <c r="AK6" s="114" t="n">
        <f aca="false">0</f>
        <v>0</v>
      </c>
      <c r="AL6" s="114" t="n">
        <f aca="false">0</f>
        <v>0</v>
      </c>
      <c r="AM6" s="114" t="n">
        <f aca="false">0</f>
        <v>0</v>
      </c>
      <c r="AN6" s="114" t="n">
        <f aca="false">0</f>
        <v>0</v>
      </c>
      <c r="AO6" s="114" t="n">
        <f aca="false">0</f>
        <v>0</v>
      </c>
      <c r="AP6" s="114" t="n">
        <f aca="false">0</f>
        <v>0</v>
      </c>
      <c r="AQ6" s="114" t="n">
        <f aca="false">0</f>
        <v>0</v>
      </c>
      <c r="AR6" s="114" t="n">
        <f aca="false">0</f>
        <v>0</v>
      </c>
      <c r="AS6" s="114" t="n">
        <f aca="false">0</f>
        <v>0</v>
      </c>
      <c r="AT6" s="114" t="n">
        <f aca="false">0</f>
        <v>0</v>
      </c>
      <c r="AU6" s="114" t="n">
        <f aca="false">0</f>
        <v>0</v>
      </c>
      <c r="AV6" s="114" t="n">
        <f aca="false">0</f>
        <v>0</v>
      </c>
      <c r="AW6" s="114" t="n">
        <f aca="false">0</f>
        <v>0</v>
      </c>
      <c r="AX6" s="114" t="n">
        <f aca="false">0</f>
        <v>0</v>
      </c>
      <c r="AY6" s="114" t="n">
        <f aca="false">0</f>
        <v>0</v>
      </c>
      <c r="AZ6" s="114" t="n">
        <f aca="false">0</f>
        <v>0</v>
      </c>
      <c r="BA6" s="114" t="n">
        <f aca="false">0</f>
        <v>0</v>
      </c>
      <c r="BB6" s="114" t="n">
        <f aca="false">0</f>
        <v>0</v>
      </c>
      <c r="BC6" s="114" t="n">
        <f aca="false">0</f>
        <v>0</v>
      </c>
      <c r="BD6" s="114" t="n">
        <f aca="false">0</f>
        <v>0</v>
      </c>
      <c r="BE6" s="114" t="n">
        <f aca="false">0</f>
        <v>0</v>
      </c>
      <c r="BF6" s="114" t="n">
        <f aca="false">0</f>
        <v>0</v>
      </c>
      <c r="BG6" s="114" t="n">
        <f aca="false">0</f>
        <v>0</v>
      </c>
      <c r="BH6" s="114" t="n">
        <f aca="false">0</f>
        <v>0</v>
      </c>
      <c r="BI6" s="114" t="n">
        <f aca="false">0</f>
        <v>0</v>
      </c>
      <c r="BJ6" s="114" t="n">
        <f aca="false">0</f>
        <v>0</v>
      </c>
    </row>
    <row r="7" customFormat="false" ht="15" hidden="false" customHeight="false" outlineLevel="0" collapsed="false">
      <c r="A7" s="108" t="s">
        <v>451</v>
      </c>
      <c r="C7" s="66" t="n">
        <f aca="false">0</f>
        <v>0</v>
      </c>
      <c r="D7" s="66" t="n">
        <f aca="false">0</f>
        <v>0</v>
      </c>
      <c r="E7" s="66" t="n">
        <f aca="false">0</f>
        <v>0</v>
      </c>
      <c r="F7" s="66" t="n">
        <f aca="false">0</f>
        <v>0</v>
      </c>
      <c r="G7" s="66" t="n">
        <f aca="false">0</f>
        <v>0</v>
      </c>
      <c r="H7" s="66" t="n">
        <f aca="false">0</f>
        <v>0</v>
      </c>
      <c r="I7" s="66" t="n">
        <f aca="false">0</f>
        <v>0</v>
      </c>
      <c r="J7" s="66" t="n">
        <f aca="false">0</f>
        <v>0</v>
      </c>
      <c r="K7" s="66" t="n">
        <f aca="false">0</f>
        <v>0</v>
      </c>
      <c r="L7" s="66" t="n">
        <f aca="false">0</f>
        <v>0</v>
      </c>
      <c r="M7" s="66" t="n">
        <f aca="false">0</f>
        <v>0</v>
      </c>
      <c r="N7" s="66" t="n">
        <f aca="false">0</f>
        <v>0</v>
      </c>
      <c r="O7" s="66" t="n">
        <f aca="false">0</f>
        <v>0</v>
      </c>
      <c r="P7" s="66" t="n">
        <f aca="false">0</f>
        <v>0</v>
      </c>
      <c r="Q7" s="66" t="n">
        <f aca="false">0</f>
        <v>0</v>
      </c>
      <c r="R7" s="66" t="n">
        <f aca="false">0</f>
        <v>0</v>
      </c>
      <c r="S7" s="66" t="n">
        <f aca="false">0</f>
        <v>0</v>
      </c>
      <c r="T7" s="66" t="n">
        <f aca="false">0</f>
        <v>0</v>
      </c>
      <c r="U7" s="66" t="n">
        <f aca="false">0</f>
        <v>0</v>
      </c>
      <c r="V7" s="66" t="n">
        <f aca="false">0</f>
        <v>0</v>
      </c>
      <c r="W7" s="66" t="n">
        <f aca="false">0</f>
        <v>0</v>
      </c>
      <c r="X7" s="66" t="n">
        <f aca="false">0</f>
        <v>0</v>
      </c>
      <c r="Y7" s="66" t="n">
        <f aca="false">0</f>
        <v>0</v>
      </c>
      <c r="Z7" s="66" t="n">
        <f aca="false">0</f>
        <v>0</v>
      </c>
      <c r="AA7" s="66" t="n">
        <f aca="false">0</f>
        <v>0</v>
      </c>
      <c r="AB7" s="66" t="n">
        <f aca="false">0</f>
        <v>0</v>
      </c>
      <c r="AC7" s="66" t="n">
        <f aca="false">0</f>
        <v>0</v>
      </c>
      <c r="AD7" s="66" t="n">
        <f aca="false">0</f>
        <v>0</v>
      </c>
      <c r="AE7" s="66" t="n">
        <f aca="false">0</f>
        <v>0</v>
      </c>
      <c r="AF7" s="66" t="n">
        <f aca="false">0</f>
        <v>0</v>
      </c>
      <c r="AG7" s="66" t="n">
        <f aca="false">0</f>
        <v>0</v>
      </c>
      <c r="AH7" s="66" t="n">
        <f aca="false">0</f>
        <v>0</v>
      </c>
      <c r="AI7" s="66" t="n">
        <f aca="false">0</f>
        <v>0</v>
      </c>
      <c r="AJ7" s="66" t="n">
        <f aca="false">0</f>
        <v>0</v>
      </c>
      <c r="AK7" s="66" t="n">
        <f aca="false">0</f>
        <v>0</v>
      </c>
      <c r="AL7" s="66" t="n">
        <f aca="false">0</f>
        <v>0</v>
      </c>
      <c r="AM7" s="66" t="n">
        <f aca="false">0</f>
        <v>0</v>
      </c>
      <c r="AN7" s="66" t="n">
        <f aca="false">0</f>
        <v>0</v>
      </c>
      <c r="AO7" s="66" t="n">
        <f aca="false">0</f>
        <v>0</v>
      </c>
      <c r="AP7" s="66" t="n">
        <f aca="false">0</f>
        <v>0</v>
      </c>
      <c r="AQ7" s="66" t="n">
        <f aca="false">0</f>
        <v>0</v>
      </c>
      <c r="AR7" s="66" t="n">
        <f aca="false">0</f>
        <v>0</v>
      </c>
      <c r="AS7" s="66" t="n">
        <f aca="false">0</f>
        <v>0</v>
      </c>
      <c r="AT7" s="66" t="n">
        <f aca="false">0</f>
        <v>0</v>
      </c>
      <c r="AU7" s="66" t="n">
        <f aca="false">0</f>
        <v>0</v>
      </c>
      <c r="AV7" s="66" t="n">
        <f aca="false">0</f>
        <v>0</v>
      </c>
      <c r="AW7" s="66" t="n">
        <f aca="false">0</f>
        <v>0</v>
      </c>
      <c r="AX7" s="66" t="n">
        <f aca="false">0</f>
        <v>0</v>
      </c>
      <c r="AY7" s="66" t="n">
        <f aca="false">0</f>
        <v>0</v>
      </c>
      <c r="AZ7" s="66" t="n">
        <f aca="false">0</f>
        <v>0</v>
      </c>
      <c r="BA7" s="66" t="n">
        <f aca="false">0</f>
        <v>0</v>
      </c>
      <c r="BB7" s="66" t="n">
        <f aca="false">0</f>
        <v>0</v>
      </c>
      <c r="BC7" s="66" t="n">
        <f aca="false">0</f>
        <v>0</v>
      </c>
      <c r="BD7" s="66" t="n">
        <f aca="false">0</f>
        <v>0</v>
      </c>
      <c r="BE7" s="66" t="n">
        <f aca="false">0</f>
        <v>0</v>
      </c>
      <c r="BF7" s="66" t="n">
        <f aca="false">0</f>
        <v>0</v>
      </c>
      <c r="BG7" s="66" t="n">
        <f aca="false">0</f>
        <v>0</v>
      </c>
      <c r="BH7" s="66" t="n">
        <f aca="false">0</f>
        <v>0</v>
      </c>
      <c r="BI7" s="66" t="n">
        <f aca="false">0</f>
        <v>0</v>
      </c>
      <c r="BJ7" s="66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27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453</v>
      </c>
    </row>
    <row r="4" customFormat="false" ht="15.75" hidden="false" customHeight="true" outlineLevel="0" collapsed="false">
      <c r="A4" s="7" t="s">
        <v>454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353</v>
      </c>
      <c r="C5" s="50" t="s">
        <v>354</v>
      </c>
      <c r="D5" s="50" t="s">
        <v>355</v>
      </c>
      <c r="E5" s="50" t="s">
        <v>356</v>
      </c>
      <c r="F5" s="50" t="s">
        <v>357</v>
      </c>
      <c r="G5" s="50" t="s">
        <v>358</v>
      </c>
      <c r="H5" s="50" t="s">
        <v>359</v>
      </c>
      <c r="I5" s="50" t="s">
        <v>360</v>
      </c>
      <c r="J5" s="50" t="s">
        <v>361</v>
      </c>
      <c r="K5" s="50" t="s">
        <v>362</v>
      </c>
      <c r="L5" s="50" t="s">
        <v>363</v>
      </c>
      <c r="M5" s="50" t="s">
        <v>364</v>
      </c>
      <c r="N5" s="50" t="s">
        <v>365</v>
      </c>
      <c r="O5" s="50" t="s">
        <v>366</v>
      </c>
      <c r="P5" s="50" t="s">
        <v>367</v>
      </c>
      <c r="Q5" s="50" t="s">
        <v>368</v>
      </c>
      <c r="R5" s="50" t="s">
        <v>369</v>
      </c>
      <c r="S5" s="50" t="s">
        <v>370</v>
      </c>
      <c r="T5" s="50" t="s">
        <v>371</v>
      </c>
      <c r="U5" s="50" t="s">
        <v>372</v>
      </c>
      <c r="V5" s="50" t="s">
        <v>373</v>
      </c>
      <c r="W5" s="50" t="s">
        <v>374</v>
      </c>
      <c r="X5" s="50" t="s">
        <v>375</v>
      </c>
      <c r="Y5" s="50" t="s">
        <v>376</v>
      </c>
      <c r="Z5" s="50" t="s">
        <v>377</v>
      </c>
      <c r="AA5" s="50" t="s">
        <v>378</v>
      </c>
      <c r="AB5" s="50" t="s">
        <v>379</v>
      </c>
      <c r="AC5" s="50" t="s">
        <v>380</v>
      </c>
      <c r="AD5" s="50" t="s">
        <v>381</v>
      </c>
      <c r="AE5" s="50" t="s">
        <v>382</v>
      </c>
      <c r="AF5" s="50" t="s">
        <v>383</v>
      </c>
      <c r="AG5" s="50" t="s">
        <v>384</v>
      </c>
      <c r="AH5" s="50" t="s">
        <v>385</v>
      </c>
      <c r="AI5" s="50" t="s">
        <v>386</v>
      </c>
      <c r="AJ5" s="50" t="s">
        <v>387</v>
      </c>
      <c r="AK5" s="50" t="s">
        <v>388</v>
      </c>
      <c r="AL5" s="50" t="s">
        <v>389</v>
      </c>
      <c r="AM5" s="50" t="s">
        <v>390</v>
      </c>
      <c r="AN5" s="50" t="s">
        <v>391</v>
      </c>
      <c r="AO5" s="50" t="s">
        <v>392</v>
      </c>
      <c r="AP5" s="50" t="s">
        <v>393</v>
      </c>
      <c r="AQ5" s="50" t="s">
        <v>394</v>
      </c>
      <c r="AR5" s="50" t="s">
        <v>395</v>
      </c>
      <c r="AS5" s="50" t="s">
        <v>396</v>
      </c>
      <c r="AT5" s="50" t="s">
        <v>397</v>
      </c>
      <c r="AU5" s="50" t="s">
        <v>398</v>
      </c>
      <c r="AV5" s="50" t="s">
        <v>399</v>
      </c>
      <c r="AW5" s="50" t="s">
        <v>400</v>
      </c>
      <c r="AX5" s="50" t="s">
        <v>401</v>
      </c>
      <c r="AY5" s="50" t="s">
        <v>402</v>
      </c>
      <c r="AZ5" s="50" t="s">
        <v>403</v>
      </c>
      <c r="BA5" s="50" t="s">
        <v>404</v>
      </c>
      <c r="BB5" s="50" t="s">
        <v>405</v>
      </c>
      <c r="BC5" s="50" t="s">
        <v>406</v>
      </c>
      <c r="BD5" s="50" t="s">
        <v>407</v>
      </c>
      <c r="BE5" s="50" t="s">
        <v>408</v>
      </c>
      <c r="BF5" s="50" t="s">
        <v>409</v>
      </c>
      <c r="BG5" s="50" t="s">
        <v>410</v>
      </c>
      <c r="BH5" s="50" t="s">
        <v>411</v>
      </c>
      <c r="BI5" s="50" t="s">
        <v>412</v>
      </c>
      <c r="BJ5" s="50" t="s">
        <v>413</v>
      </c>
    </row>
    <row r="6" customFormat="false" ht="15" hidden="false" customHeight="false" outlineLevel="0" collapsed="false">
      <c r="A6" s="70" t="s">
        <v>414</v>
      </c>
      <c r="C6" s="70" t="n">
        <v>1</v>
      </c>
      <c r="D6" s="70" t="n">
        <v>2</v>
      </c>
      <c r="E6" s="70" t="n">
        <v>3</v>
      </c>
      <c r="F6" s="70" t="n">
        <v>4</v>
      </c>
      <c r="G6" s="70" t="n">
        <v>5</v>
      </c>
      <c r="H6" s="70" t="n">
        <v>6</v>
      </c>
      <c r="I6" s="70" t="n">
        <v>7</v>
      </c>
      <c r="J6" s="70" t="n">
        <v>8</v>
      </c>
      <c r="K6" s="70" t="n">
        <v>9</v>
      </c>
      <c r="L6" s="70" t="n">
        <v>10</v>
      </c>
      <c r="M6" s="70" t="n">
        <v>11</v>
      </c>
      <c r="N6" s="70" t="n">
        <v>12</v>
      </c>
      <c r="O6" s="70" t="n">
        <v>13</v>
      </c>
      <c r="P6" s="70" t="n">
        <v>14</v>
      </c>
      <c r="Q6" s="70" t="n">
        <v>15</v>
      </c>
      <c r="R6" s="70" t="n">
        <v>16</v>
      </c>
      <c r="S6" s="70" t="n">
        <v>17</v>
      </c>
      <c r="T6" s="70" t="n">
        <v>18</v>
      </c>
      <c r="U6" s="70" t="n">
        <v>19</v>
      </c>
      <c r="V6" s="70" t="n">
        <v>20</v>
      </c>
      <c r="W6" s="70" t="n">
        <v>21</v>
      </c>
      <c r="X6" s="70" t="n">
        <v>22</v>
      </c>
      <c r="Y6" s="70" t="n">
        <v>23</v>
      </c>
      <c r="Z6" s="70" t="n">
        <v>24</v>
      </c>
      <c r="AA6" s="70" t="n">
        <v>25</v>
      </c>
      <c r="AB6" s="70" t="n">
        <v>26</v>
      </c>
      <c r="AC6" s="70" t="n">
        <v>27</v>
      </c>
      <c r="AD6" s="70" t="n">
        <v>28</v>
      </c>
      <c r="AE6" s="70" t="n">
        <v>29</v>
      </c>
      <c r="AF6" s="70" t="n">
        <v>30</v>
      </c>
      <c r="AG6" s="70" t="n">
        <v>31</v>
      </c>
      <c r="AH6" s="70" t="n">
        <v>32</v>
      </c>
      <c r="AI6" s="70" t="n">
        <v>33</v>
      </c>
      <c r="AJ6" s="70" t="n">
        <v>34</v>
      </c>
      <c r="AK6" s="70" t="n">
        <v>35</v>
      </c>
      <c r="AL6" s="70" t="n">
        <v>36</v>
      </c>
      <c r="AM6" s="70" t="n">
        <v>37</v>
      </c>
      <c r="AN6" s="70" t="n">
        <v>38</v>
      </c>
      <c r="AO6" s="70" t="n">
        <v>39</v>
      </c>
      <c r="AP6" s="70" t="n">
        <v>40</v>
      </c>
      <c r="AQ6" s="70" t="n">
        <v>41</v>
      </c>
      <c r="AR6" s="70" t="n">
        <v>42</v>
      </c>
      <c r="AS6" s="70" t="n">
        <v>43</v>
      </c>
      <c r="AT6" s="70" t="n">
        <v>44</v>
      </c>
      <c r="AU6" s="70" t="n">
        <v>45</v>
      </c>
      <c r="AV6" s="70" t="n">
        <v>46</v>
      </c>
      <c r="AW6" s="70" t="n">
        <v>47</v>
      </c>
      <c r="AX6" s="70" t="n">
        <v>48</v>
      </c>
      <c r="AY6" s="70" t="n">
        <v>49</v>
      </c>
      <c r="AZ6" s="70" t="n">
        <v>50</v>
      </c>
      <c r="BA6" s="70" t="n">
        <v>51</v>
      </c>
      <c r="BB6" s="70" t="n">
        <v>52</v>
      </c>
      <c r="BC6" s="70" t="n">
        <v>53</v>
      </c>
      <c r="BD6" s="70" t="n">
        <v>54</v>
      </c>
      <c r="BE6" s="70" t="n">
        <v>55</v>
      </c>
      <c r="BF6" s="70" t="n">
        <v>56</v>
      </c>
      <c r="BG6" s="70" t="n">
        <v>57</v>
      </c>
      <c r="BH6" s="70" t="n">
        <v>58</v>
      </c>
      <c r="BI6" s="70" t="n">
        <v>59</v>
      </c>
      <c r="BJ6" s="70" t="n">
        <v>60</v>
      </c>
    </row>
    <row r="7" customFormat="false" ht="15" hidden="false" customHeight="false" outlineLevel="0" collapsed="false">
      <c r="A7" s="70" t="s">
        <v>155</v>
      </c>
      <c r="C7" s="70" t="n">
        <f aca="false">ROUNDUP(C6*1/12,0)</f>
        <v>1</v>
      </c>
      <c r="D7" s="70" t="n">
        <f aca="false">ROUNDUP(D6*1/12,0)</f>
        <v>1</v>
      </c>
      <c r="E7" s="70" t="n">
        <f aca="false">ROUNDUP(E6*1/12,0)</f>
        <v>1</v>
      </c>
      <c r="F7" s="70" t="n">
        <f aca="false">ROUNDUP(F6*1/12,0)</f>
        <v>1</v>
      </c>
      <c r="G7" s="70" t="n">
        <f aca="false">ROUNDUP(G6*1/12,0)</f>
        <v>1</v>
      </c>
      <c r="H7" s="70" t="n">
        <f aca="false">ROUNDUP(H6*1/12,0)</f>
        <v>1</v>
      </c>
      <c r="I7" s="70" t="n">
        <f aca="false">ROUNDUP(I6*1/12,0)</f>
        <v>1</v>
      </c>
      <c r="J7" s="70" t="n">
        <f aca="false">ROUNDUP(J6*1/12,0)</f>
        <v>1</v>
      </c>
      <c r="K7" s="70" t="n">
        <f aca="false">ROUNDUP(K6*1/12,0)</f>
        <v>1</v>
      </c>
      <c r="L7" s="70" t="n">
        <f aca="false">ROUNDUP(L6*1/12,0)</f>
        <v>1</v>
      </c>
      <c r="M7" s="70" t="n">
        <f aca="false">ROUNDUP(M6*1/12,0)</f>
        <v>1</v>
      </c>
      <c r="N7" s="70" t="n">
        <f aca="false">ROUNDUP(N6*1/12,0)</f>
        <v>1</v>
      </c>
      <c r="O7" s="70" t="n">
        <f aca="false">ROUNDUP(O6*1/12,0)</f>
        <v>2</v>
      </c>
      <c r="P7" s="70" t="n">
        <f aca="false">ROUNDUP(P6*1/12,0)</f>
        <v>2</v>
      </c>
      <c r="Q7" s="70" t="n">
        <f aca="false">ROUNDUP(Q6*1/12,0)</f>
        <v>2</v>
      </c>
      <c r="R7" s="70" t="n">
        <f aca="false">ROUNDUP(R6*1/12,0)</f>
        <v>2</v>
      </c>
      <c r="S7" s="70" t="n">
        <f aca="false">ROUNDUP(S6*1/12,0)</f>
        <v>2</v>
      </c>
      <c r="T7" s="70" t="n">
        <f aca="false">ROUNDUP(T6*1/12,0)</f>
        <v>2</v>
      </c>
      <c r="U7" s="70" t="n">
        <f aca="false">ROUNDUP(U6*1/12,0)</f>
        <v>2</v>
      </c>
      <c r="V7" s="70" t="n">
        <f aca="false">ROUNDUP(V6*1/12,0)</f>
        <v>2</v>
      </c>
      <c r="W7" s="70" t="n">
        <f aca="false">ROUNDUP(W6*1/12,0)</f>
        <v>2</v>
      </c>
      <c r="X7" s="70" t="n">
        <f aca="false">ROUNDUP(X6*1/12,0)</f>
        <v>2</v>
      </c>
      <c r="Y7" s="70" t="n">
        <f aca="false">ROUNDUP(Y6*1/12,0)</f>
        <v>2</v>
      </c>
      <c r="Z7" s="70" t="n">
        <f aca="false">ROUNDUP(Z6*1/12,0)</f>
        <v>2</v>
      </c>
      <c r="AA7" s="70" t="n">
        <f aca="false">ROUNDUP(AA6*1/12,0)</f>
        <v>3</v>
      </c>
      <c r="AB7" s="70" t="n">
        <f aca="false">ROUNDUP(AB6*1/12,0)</f>
        <v>3</v>
      </c>
      <c r="AC7" s="70" t="n">
        <f aca="false">ROUNDUP(AC6*1/12,0)</f>
        <v>3</v>
      </c>
      <c r="AD7" s="70" t="n">
        <f aca="false">ROUNDUP(AD6*1/12,0)</f>
        <v>3</v>
      </c>
      <c r="AE7" s="70" t="n">
        <f aca="false">ROUNDUP(AE6*1/12,0)</f>
        <v>3</v>
      </c>
      <c r="AF7" s="70" t="n">
        <f aca="false">ROUNDUP(AF6*1/12,0)</f>
        <v>3</v>
      </c>
      <c r="AG7" s="70" t="n">
        <f aca="false">ROUNDUP(AG6*1/12,0)</f>
        <v>3</v>
      </c>
      <c r="AH7" s="70" t="n">
        <f aca="false">ROUNDUP(AH6*1/12,0)</f>
        <v>3</v>
      </c>
      <c r="AI7" s="70" t="n">
        <f aca="false">ROUNDUP(AI6*1/12,0)</f>
        <v>3</v>
      </c>
      <c r="AJ7" s="70" t="n">
        <f aca="false">ROUNDUP(AJ6*1/12,0)</f>
        <v>3</v>
      </c>
      <c r="AK7" s="70" t="n">
        <f aca="false">ROUNDUP(AK6*1/12,0)</f>
        <v>3</v>
      </c>
      <c r="AL7" s="70" t="n">
        <f aca="false">ROUNDUP(AL6*1/12,0)</f>
        <v>3</v>
      </c>
      <c r="AM7" s="70" t="n">
        <f aca="false">ROUNDUP(AM6*1/12,0)</f>
        <v>4</v>
      </c>
      <c r="AN7" s="70" t="n">
        <f aca="false">ROUNDUP(AN6*1/12,0)</f>
        <v>4</v>
      </c>
      <c r="AO7" s="70" t="n">
        <f aca="false">ROUNDUP(AO6*1/12,0)</f>
        <v>4</v>
      </c>
      <c r="AP7" s="70" t="n">
        <f aca="false">ROUNDUP(AP6*1/12,0)</f>
        <v>4</v>
      </c>
      <c r="AQ7" s="70" t="n">
        <f aca="false">ROUNDUP(AQ6*1/12,0)</f>
        <v>4</v>
      </c>
      <c r="AR7" s="70" t="n">
        <f aca="false">ROUNDUP(AR6*1/12,0)</f>
        <v>4</v>
      </c>
      <c r="AS7" s="70" t="n">
        <f aca="false">ROUNDUP(AS6*1/12,0)</f>
        <v>4</v>
      </c>
      <c r="AT7" s="70" t="n">
        <f aca="false">ROUNDUP(AT6*1/12,0)</f>
        <v>4</v>
      </c>
      <c r="AU7" s="70" t="n">
        <f aca="false">ROUNDUP(AU6*1/12,0)</f>
        <v>4</v>
      </c>
      <c r="AV7" s="70" t="n">
        <f aca="false">ROUNDUP(AV6*1/12,0)</f>
        <v>4</v>
      </c>
      <c r="AW7" s="70" t="n">
        <f aca="false">ROUNDUP(AW6*1/12,0)</f>
        <v>4</v>
      </c>
      <c r="AX7" s="70" t="n">
        <f aca="false">ROUNDUP(AX6*1/12,0)</f>
        <v>4</v>
      </c>
      <c r="AY7" s="70" t="n">
        <f aca="false">ROUNDUP(AY6*1/12,0)</f>
        <v>5</v>
      </c>
      <c r="AZ7" s="70" t="n">
        <f aca="false">ROUNDUP(AZ6*1/12,0)</f>
        <v>5</v>
      </c>
      <c r="BA7" s="70" t="n">
        <f aca="false">ROUNDUP(BA6*1/12,0)</f>
        <v>5</v>
      </c>
      <c r="BB7" s="70" t="n">
        <f aca="false">ROUNDUP(BB6*1/12,0)</f>
        <v>5</v>
      </c>
      <c r="BC7" s="70" t="n">
        <f aca="false">ROUNDUP(BC6*1/12,0)</f>
        <v>5</v>
      </c>
      <c r="BD7" s="70" t="n">
        <f aca="false">ROUNDUP(BD6*1/12,0)</f>
        <v>5</v>
      </c>
      <c r="BE7" s="70" t="n">
        <f aca="false">ROUNDUP(BE6*1/12,0)</f>
        <v>5</v>
      </c>
      <c r="BF7" s="70" t="n">
        <f aca="false">ROUNDUP(BF6*1/12,0)</f>
        <v>5</v>
      </c>
      <c r="BG7" s="70" t="n">
        <f aca="false">ROUNDUP(BG6*1/12,0)</f>
        <v>5</v>
      </c>
      <c r="BH7" s="70" t="n">
        <f aca="false">ROUNDUP(BH6*1/12,0)</f>
        <v>5</v>
      </c>
      <c r="BI7" s="70" t="n">
        <f aca="false">ROUNDUP(BI6*1/12,0)</f>
        <v>5</v>
      </c>
      <c r="BJ7" s="70" t="n">
        <f aca="false">ROUNDUP(BJ6*1/12,0)</f>
        <v>5</v>
      </c>
    </row>
    <row r="9" customFormat="false" ht="15.75" hidden="false" customHeight="true" outlineLevel="0" collapsed="false">
      <c r="A9" s="7" t="s">
        <v>299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415</v>
      </c>
      <c r="C10" s="111" t="n">
        <f aca="false">Inputs!$B$13*(1+Inputs!$B$14)^(C$7-1)</f>
        <v>1600</v>
      </c>
      <c r="D10" s="111" t="n">
        <f aca="false">Inputs!$B$13*(1+Inputs!$B$14)^(D$7-1)</f>
        <v>1600</v>
      </c>
      <c r="E10" s="111" t="n">
        <f aca="false">Inputs!$B$13*(1+Inputs!$B$14)^(E$7-1)</f>
        <v>1600</v>
      </c>
      <c r="F10" s="111" t="n">
        <f aca="false">Inputs!$B$13*(1+Inputs!$B$14)^(F$7-1)</f>
        <v>1600</v>
      </c>
      <c r="G10" s="111" t="n">
        <f aca="false">Inputs!$B$13*(1+Inputs!$B$14)^(G$7-1)</f>
        <v>1600</v>
      </c>
      <c r="H10" s="111" t="n">
        <f aca="false">Inputs!$B$13*(1+Inputs!$B$14)^(H$7-1)</f>
        <v>1600</v>
      </c>
      <c r="I10" s="111" t="n">
        <f aca="false">Inputs!$B$13*(1+Inputs!$B$14)^(I$7-1)</f>
        <v>1600</v>
      </c>
      <c r="J10" s="111" t="n">
        <f aca="false">Inputs!$B$13*(1+Inputs!$B$14)^(J$7-1)</f>
        <v>1600</v>
      </c>
      <c r="K10" s="111" t="n">
        <f aca="false">Inputs!$B$13*(1+Inputs!$B$14)^(K$7-1)</f>
        <v>1600</v>
      </c>
      <c r="L10" s="111" t="n">
        <f aca="false">Inputs!$B$13*(1+Inputs!$B$14)^(L$7-1)</f>
        <v>1600</v>
      </c>
      <c r="M10" s="111" t="n">
        <f aca="false">Inputs!$B$13*(1+Inputs!$B$14)^(M$7-1)</f>
        <v>1600</v>
      </c>
      <c r="N10" s="111" t="n">
        <f aca="false">Inputs!$B$13*(1+Inputs!$B$14)^(N$7-1)</f>
        <v>1600</v>
      </c>
      <c r="O10" s="111" t="n">
        <f aca="false">Inputs!$B$13*(1+Inputs!$B$14)^(O$7-1)</f>
        <v>1632</v>
      </c>
      <c r="P10" s="111" t="n">
        <f aca="false">Inputs!$B$13*(1+Inputs!$B$14)^(P$7-1)</f>
        <v>1632</v>
      </c>
      <c r="Q10" s="111" t="n">
        <f aca="false">Inputs!$B$13*(1+Inputs!$B$14)^(Q$7-1)</f>
        <v>1632</v>
      </c>
      <c r="R10" s="111" t="n">
        <f aca="false">Inputs!$B$13*(1+Inputs!$B$14)^(R$7-1)</f>
        <v>1632</v>
      </c>
      <c r="S10" s="111" t="n">
        <f aca="false">Inputs!$B$13*(1+Inputs!$B$14)^(S$7-1)</f>
        <v>1632</v>
      </c>
      <c r="T10" s="111" t="n">
        <f aca="false">Inputs!$B$13*(1+Inputs!$B$14)^(T$7-1)</f>
        <v>1632</v>
      </c>
      <c r="U10" s="111" t="n">
        <f aca="false">Inputs!$B$13*(1+Inputs!$B$14)^(U$7-1)</f>
        <v>1632</v>
      </c>
      <c r="V10" s="111" t="n">
        <f aca="false">Inputs!$B$13*(1+Inputs!$B$14)^(V$7-1)</f>
        <v>1632</v>
      </c>
      <c r="W10" s="111" t="n">
        <f aca="false">Inputs!$B$13*(1+Inputs!$B$14)^(W$7-1)</f>
        <v>1632</v>
      </c>
      <c r="X10" s="111" t="n">
        <f aca="false">Inputs!$B$13*(1+Inputs!$B$14)^(X$7-1)</f>
        <v>1632</v>
      </c>
      <c r="Y10" s="111" t="n">
        <f aca="false">Inputs!$B$13*(1+Inputs!$B$14)^(Y$7-1)</f>
        <v>1632</v>
      </c>
      <c r="Z10" s="111" t="n">
        <f aca="false">Inputs!$B$13*(1+Inputs!$B$14)^(Z$7-1)</f>
        <v>1632</v>
      </c>
      <c r="AA10" s="111" t="n">
        <f aca="false">Inputs!$B$13*(1+Inputs!$B$14)^(AA$7-1)</f>
        <v>1664.64</v>
      </c>
      <c r="AB10" s="111" t="n">
        <f aca="false">Inputs!$B$13*(1+Inputs!$B$14)^(AB$7-1)</f>
        <v>1664.64</v>
      </c>
      <c r="AC10" s="111" t="n">
        <f aca="false">Inputs!$B$13*(1+Inputs!$B$14)^(AC$7-1)</f>
        <v>1664.64</v>
      </c>
      <c r="AD10" s="111" t="n">
        <f aca="false">Inputs!$B$13*(1+Inputs!$B$14)^(AD$7-1)</f>
        <v>1664.64</v>
      </c>
      <c r="AE10" s="111" t="n">
        <f aca="false">Inputs!$B$13*(1+Inputs!$B$14)^(AE$7-1)</f>
        <v>1664.64</v>
      </c>
      <c r="AF10" s="111" t="n">
        <f aca="false">Inputs!$B$13*(1+Inputs!$B$14)^(AF$7-1)</f>
        <v>1664.64</v>
      </c>
      <c r="AG10" s="111" t="n">
        <f aca="false">Inputs!$B$13*(1+Inputs!$B$14)^(AG$7-1)</f>
        <v>1664.64</v>
      </c>
      <c r="AH10" s="111" t="n">
        <f aca="false">Inputs!$B$13*(1+Inputs!$B$14)^(AH$7-1)</f>
        <v>1664.64</v>
      </c>
      <c r="AI10" s="111" t="n">
        <f aca="false">Inputs!$B$13*(1+Inputs!$B$14)^(AI$7-1)</f>
        <v>1664.64</v>
      </c>
      <c r="AJ10" s="111" t="n">
        <f aca="false">Inputs!$B$13*(1+Inputs!$B$14)^(AJ$7-1)</f>
        <v>1664.64</v>
      </c>
      <c r="AK10" s="111" t="n">
        <f aca="false">Inputs!$B$13*(1+Inputs!$B$14)^(AK$7-1)</f>
        <v>1664.64</v>
      </c>
      <c r="AL10" s="111" t="n">
        <f aca="false">Inputs!$B$13*(1+Inputs!$B$14)^(AL$7-1)</f>
        <v>1664.64</v>
      </c>
      <c r="AM10" s="111" t="n">
        <f aca="false">Inputs!$B$13*(1+Inputs!$B$14)^(AM$7-1)</f>
        <v>1697.9328</v>
      </c>
      <c r="AN10" s="111" t="n">
        <f aca="false">Inputs!$B$13*(1+Inputs!$B$14)^(AN$7-1)</f>
        <v>1697.9328</v>
      </c>
      <c r="AO10" s="111" t="n">
        <f aca="false">Inputs!$B$13*(1+Inputs!$B$14)^(AO$7-1)</f>
        <v>1697.9328</v>
      </c>
      <c r="AP10" s="111" t="n">
        <f aca="false">Inputs!$B$13*(1+Inputs!$B$14)^(AP$7-1)</f>
        <v>1697.9328</v>
      </c>
      <c r="AQ10" s="111" t="n">
        <f aca="false">Inputs!$B$13*(1+Inputs!$B$14)^(AQ$7-1)</f>
        <v>1697.9328</v>
      </c>
      <c r="AR10" s="111" t="n">
        <f aca="false">Inputs!$B$13*(1+Inputs!$B$14)^(AR$7-1)</f>
        <v>1697.9328</v>
      </c>
      <c r="AS10" s="111" t="n">
        <f aca="false">Inputs!$B$13*(1+Inputs!$B$14)^(AS$7-1)</f>
        <v>1697.9328</v>
      </c>
      <c r="AT10" s="111" t="n">
        <f aca="false">Inputs!$B$13*(1+Inputs!$B$14)^(AT$7-1)</f>
        <v>1697.9328</v>
      </c>
      <c r="AU10" s="111" t="n">
        <f aca="false">Inputs!$B$13*(1+Inputs!$B$14)^(AU$7-1)</f>
        <v>1697.9328</v>
      </c>
      <c r="AV10" s="111" t="n">
        <f aca="false">Inputs!$B$13*(1+Inputs!$B$14)^(AV$7-1)</f>
        <v>1697.9328</v>
      </c>
      <c r="AW10" s="111" t="n">
        <f aca="false">Inputs!$B$13*(1+Inputs!$B$14)^(AW$7-1)</f>
        <v>1697.9328</v>
      </c>
      <c r="AX10" s="111" t="n">
        <f aca="false">Inputs!$B$13*(1+Inputs!$B$14)^(AX$7-1)</f>
        <v>1697.9328</v>
      </c>
      <c r="AY10" s="111" t="n">
        <f aca="false">Inputs!$B$13*(1+Inputs!$B$14)^(AY$7-1)</f>
        <v>1731.891456</v>
      </c>
      <c r="AZ10" s="111" t="n">
        <f aca="false">Inputs!$B$13*(1+Inputs!$B$14)^(AZ$7-1)</f>
        <v>1731.891456</v>
      </c>
      <c r="BA10" s="111" t="n">
        <f aca="false">Inputs!$B$13*(1+Inputs!$B$14)^(BA$7-1)</f>
        <v>1731.891456</v>
      </c>
      <c r="BB10" s="111" t="n">
        <f aca="false">Inputs!$B$13*(1+Inputs!$B$14)^(BB$7-1)</f>
        <v>1731.891456</v>
      </c>
      <c r="BC10" s="111" t="n">
        <f aca="false">Inputs!$B$13*(1+Inputs!$B$14)^(BC$7-1)</f>
        <v>1731.891456</v>
      </c>
      <c r="BD10" s="111" t="n">
        <f aca="false">Inputs!$B$13*(1+Inputs!$B$14)^(BD$7-1)</f>
        <v>1731.891456</v>
      </c>
      <c r="BE10" s="111" t="n">
        <f aca="false">Inputs!$B$13*(1+Inputs!$B$14)^(BE$7-1)</f>
        <v>1731.891456</v>
      </c>
      <c r="BF10" s="111" t="n">
        <f aca="false">Inputs!$B$13*(1+Inputs!$B$14)^(BF$7-1)</f>
        <v>1731.891456</v>
      </c>
      <c r="BG10" s="111" t="n">
        <f aca="false">Inputs!$B$13*(1+Inputs!$B$14)^(BG$7-1)</f>
        <v>1731.891456</v>
      </c>
      <c r="BH10" s="111" t="n">
        <f aca="false">Inputs!$B$13*(1+Inputs!$B$14)^(BH$7-1)</f>
        <v>1731.891456</v>
      </c>
      <c r="BI10" s="111" t="n">
        <f aca="false">Inputs!$B$13*(1+Inputs!$B$14)^(BI$7-1)</f>
        <v>1731.891456</v>
      </c>
      <c r="BJ10" s="111" t="n">
        <f aca="false">Inputs!$B$13*(1+Inputs!$B$14)^(BJ$7-1)</f>
        <v>1731.891456</v>
      </c>
    </row>
    <row r="11" customFormat="false" ht="15" hidden="false" customHeight="false" outlineLevel="0" collapsed="false">
      <c r="A11" s="6" t="s">
        <v>416</v>
      </c>
      <c r="C11" s="65" t="n">
        <f aca="false">Inputs!$B$10*C10*1</f>
        <v>16000</v>
      </c>
      <c r="D11" s="65" t="n">
        <f aca="false">Inputs!$B$10*D10*1</f>
        <v>16000</v>
      </c>
      <c r="E11" s="65" t="n">
        <f aca="false">Inputs!$B$10*E10*1</f>
        <v>16000</v>
      </c>
      <c r="F11" s="65" t="n">
        <f aca="false">Inputs!$B$10*F10*1</f>
        <v>16000</v>
      </c>
      <c r="G11" s="65" t="n">
        <f aca="false">Inputs!$B$10*G10*1</f>
        <v>16000</v>
      </c>
      <c r="H11" s="65" t="n">
        <f aca="false">Inputs!$B$10*H10*1</f>
        <v>16000</v>
      </c>
      <c r="I11" s="65" t="n">
        <f aca="false">Inputs!$B$10*I10*1</f>
        <v>16000</v>
      </c>
      <c r="J11" s="65" t="n">
        <f aca="false">Inputs!$B$10*J10*1</f>
        <v>16000</v>
      </c>
      <c r="K11" s="65" t="n">
        <f aca="false">Inputs!$B$10*K10*1</f>
        <v>16000</v>
      </c>
      <c r="L11" s="65" t="n">
        <f aca="false">Inputs!$B$10*L10*1</f>
        <v>16000</v>
      </c>
      <c r="M11" s="65" t="n">
        <f aca="false">Inputs!$B$10*M10*1</f>
        <v>16000</v>
      </c>
      <c r="N11" s="65" t="n">
        <f aca="false">Inputs!$B$10*N10*1</f>
        <v>16000</v>
      </c>
      <c r="O11" s="65" t="n">
        <f aca="false">Inputs!$B$10*O10*1</f>
        <v>16320</v>
      </c>
      <c r="P11" s="65" t="n">
        <f aca="false">Inputs!$B$10*P10*1</f>
        <v>16320</v>
      </c>
      <c r="Q11" s="65" t="n">
        <f aca="false">Inputs!$B$10*Q10*1</f>
        <v>16320</v>
      </c>
      <c r="R11" s="65" t="n">
        <f aca="false">Inputs!$B$10*R10*1</f>
        <v>16320</v>
      </c>
      <c r="S11" s="65" t="n">
        <f aca="false">Inputs!$B$10*S10*1</f>
        <v>16320</v>
      </c>
      <c r="T11" s="65" t="n">
        <f aca="false">Inputs!$B$10*T10*1</f>
        <v>16320</v>
      </c>
      <c r="U11" s="65" t="n">
        <f aca="false">Inputs!$B$10*U10*1</f>
        <v>16320</v>
      </c>
      <c r="V11" s="65" t="n">
        <f aca="false">Inputs!$B$10*V10*1</f>
        <v>16320</v>
      </c>
      <c r="W11" s="65" t="n">
        <f aca="false">Inputs!$B$10*W10*1</f>
        <v>16320</v>
      </c>
      <c r="X11" s="65" t="n">
        <f aca="false">Inputs!$B$10*X10*1</f>
        <v>16320</v>
      </c>
      <c r="Y11" s="65" t="n">
        <f aca="false">Inputs!$B$10*Y10*1</f>
        <v>16320</v>
      </c>
      <c r="Z11" s="65" t="n">
        <f aca="false">Inputs!$B$10*Z10*1</f>
        <v>16320</v>
      </c>
      <c r="AA11" s="65" t="n">
        <f aca="false">Inputs!$B$10*AA10*1</f>
        <v>16646.4</v>
      </c>
      <c r="AB11" s="65" t="n">
        <f aca="false">Inputs!$B$10*AB10*1</f>
        <v>16646.4</v>
      </c>
      <c r="AC11" s="65" t="n">
        <f aca="false">Inputs!$B$10*AC10*1</f>
        <v>16646.4</v>
      </c>
      <c r="AD11" s="65" t="n">
        <f aca="false">Inputs!$B$10*AD10*1</f>
        <v>16646.4</v>
      </c>
      <c r="AE11" s="65" t="n">
        <f aca="false">Inputs!$B$10*AE10*1</f>
        <v>16646.4</v>
      </c>
      <c r="AF11" s="65" t="n">
        <f aca="false">Inputs!$B$10*AF10*1</f>
        <v>16646.4</v>
      </c>
      <c r="AG11" s="65" t="n">
        <f aca="false">Inputs!$B$10*AG10*1</f>
        <v>16646.4</v>
      </c>
      <c r="AH11" s="65" t="n">
        <f aca="false">Inputs!$B$10*AH10*1</f>
        <v>16646.4</v>
      </c>
      <c r="AI11" s="65" t="n">
        <f aca="false">Inputs!$B$10*AI10*1</f>
        <v>16646.4</v>
      </c>
      <c r="AJ11" s="65" t="n">
        <f aca="false">Inputs!$B$10*AJ10*1</f>
        <v>16646.4</v>
      </c>
      <c r="AK11" s="65" t="n">
        <f aca="false">Inputs!$B$10*AK10*1</f>
        <v>16646.4</v>
      </c>
      <c r="AL11" s="65" t="n">
        <f aca="false">Inputs!$B$10*AL10*1</f>
        <v>16646.4</v>
      </c>
      <c r="AM11" s="65" t="n">
        <f aca="false">Inputs!$B$10*AM10*1</f>
        <v>16979.328</v>
      </c>
      <c r="AN11" s="65" t="n">
        <f aca="false">Inputs!$B$10*AN10*1</f>
        <v>16979.328</v>
      </c>
      <c r="AO11" s="65" t="n">
        <f aca="false">Inputs!$B$10*AO10*1</f>
        <v>16979.328</v>
      </c>
      <c r="AP11" s="65" t="n">
        <f aca="false">Inputs!$B$10*AP10*1</f>
        <v>16979.328</v>
      </c>
      <c r="AQ11" s="65" t="n">
        <f aca="false">Inputs!$B$10*AQ10*1</f>
        <v>16979.328</v>
      </c>
      <c r="AR11" s="65" t="n">
        <f aca="false">Inputs!$B$10*AR10*1</f>
        <v>16979.328</v>
      </c>
      <c r="AS11" s="65" t="n">
        <f aca="false">Inputs!$B$10*AS10*1</f>
        <v>16979.328</v>
      </c>
      <c r="AT11" s="65" t="n">
        <f aca="false">Inputs!$B$10*AT10*1</f>
        <v>16979.328</v>
      </c>
      <c r="AU11" s="65" t="n">
        <f aca="false">Inputs!$B$10*AU10*1</f>
        <v>16979.328</v>
      </c>
      <c r="AV11" s="65" t="n">
        <f aca="false">Inputs!$B$10*AV10*1</f>
        <v>16979.328</v>
      </c>
      <c r="AW11" s="65" t="n">
        <f aca="false">Inputs!$B$10*AW10*1</f>
        <v>16979.328</v>
      </c>
      <c r="AX11" s="65" t="n">
        <f aca="false">Inputs!$B$10*AX10*1</f>
        <v>16979.328</v>
      </c>
      <c r="AY11" s="65" t="n">
        <f aca="false">Inputs!$B$10*AY10*1</f>
        <v>17318.91456</v>
      </c>
      <c r="AZ11" s="65" t="n">
        <f aca="false">Inputs!$B$10*AZ10*1</f>
        <v>17318.91456</v>
      </c>
      <c r="BA11" s="65" t="n">
        <f aca="false">Inputs!$B$10*BA10*1</f>
        <v>17318.91456</v>
      </c>
      <c r="BB11" s="65" t="n">
        <f aca="false">Inputs!$B$10*BB10*1</f>
        <v>17318.91456</v>
      </c>
      <c r="BC11" s="65" t="n">
        <f aca="false">Inputs!$B$10*BC10*1</f>
        <v>17318.91456</v>
      </c>
      <c r="BD11" s="65" t="n">
        <f aca="false">Inputs!$B$10*BD10*1</f>
        <v>17318.91456</v>
      </c>
      <c r="BE11" s="65" t="n">
        <f aca="false">Inputs!$B$10*BE10*1</f>
        <v>17318.91456</v>
      </c>
      <c r="BF11" s="65" t="n">
        <f aca="false">Inputs!$B$10*BF10*1</f>
        <v>17318.91456</v>
      </c>
      <c r="BG11" s="65" t="n">
        <f aca="false">Inputs!$B$10*BG10*1</f>
        <v>17318.91456</v>
      </c>
      <c r="BH11" s="65" t="n">
        <f aca="false">Inputs!$B$10*BH10*1</f>
        <v>17318.91456</v>
      </c>
      <c r="BI11" s="65" t="n">
        <f aca="false">Inputs!$B$10*BI10*1</f>
        <v>17318.91456</v>
      </c>
      <c r="BJ11" s="65" t="n">
        <f aca="false">Inputs!$B$10*BJ10*1</f>
        <v>17318.91456</v>
      </c>
    </row>
    <row r="12" customFormat="false" ht="15" hidden="false" customHeight="false" outlineLevel="0" collapsed="false">
      <c r="A12" s="6" t="s">
        <v>235</v>
      </c>
      <c r="C12" s="65" t="n">
        <f aca="false">-C11*Inputs!$B$15</f>
        <v>-1280</v>
      </c>
      <c r="D12" s="65" t="n">
        <f aca="false">-D11*Inputs!$B$15</f>
        <v>-1280</v>
      </c>
      <c r="E12" s="65" t="n">
        <f aca="false">-E11*Inputs!$B$15</f>
        <v>-1280</v>
      </c>
      <c r="F12" s="65" t="n">
        <f aca="false">-F11*Inputs!$B$15</f>
        <v>-1280</v>
      </c>
      <c r="G12" s="65" t="n">
        <f aca="false">-G11*Inputs!$B$15</f>
        <v>-1280</v>
      </c>
      <c r="H12" s="65" t="n">
        <f aca="false">-H11*Inputs!$B$15</f>
        <v>-1280</v>
      </c>
      <c r="I12" s="65" t="n">
        <f aca="false">-I11*Inputs!$B$15</f>
        <v>-1280</v>
      </c>
      <c r="J12" s="65" t="n">
        <f aca="false">-J11*Inputs!$B$15</f>
        <v>-1280</v>
      </c>
      <c r="K12" s="65" t="n">
        <f aca="false">-K11*Inputs!$B$15</f>
        <v>-1280</v>
      </c>
      <c r="L12" s="65" t="n">
        <f aca="false">-L11*Inputs!$B$15</f>
        <v>-1280</v>
      </c>
      <c r="M12" s="65" t="n">
        <f aca="false">-M11*Inputs!$B$15</f>
        <v>-1280</v>
      </c>
      <c r="N12" s="65" t="n">
        <f aca="false">-N11*Inputs!$B$15</f>
        <v>-1280</v>
      </c>
      <c r="O12" s="65" t="n">
        <f aca="false">-O11*Inputs!$B$15</f>
        <v>-1305.6</v>
      </c>
      <c r="P12" s="65" t="n">
        <f aca="false">-P11*Inputs!$B$15</f>
        <v>-1305.6</v>
      </c>
      <c r="Q12" s="65" t="n">
        <f aca="false">-Q11*Inputs!$B$15</f>
        <v>-1305.6</v>
      </c>
      <c r="R12" s="65" t="n">
        <f aca="false">-R11*Inputs!$B$15</f>
        <v>-1305.6</v>
      </c>
      <c r="S12" s="65" t="n">
        <f aca="false">-S11*Inputs!$B$15</f>
        <v>-1305.6</v>
      </c>
      <c r="T12" s="65" t="n">
        <f aca="false">-T11*Inputs!$B$15</f>
        <v>-1305.6</v>
      </c>
      <c r="U12" s="65" t="n">
        <f aca="false">-U11*Inputs!$B$15</f>
        <v>-1305.6</v>
      </c>
      <c r="V12" s="65" t="n">
        <f aca="false">-V11*Inputs!$B$15</f>
        <v>-1305.6</v>
      </c>
      <c r="W12" s="65" t="n">
        <f aca="false">-W11*Inputs!$B$15</f>
        <v>-1305.6</v>
      </c>
      <c r="X12" s="65" t="n">
        <f aca="false">-X11*Inputs!$B$15</f>
        <v>-1305.6</v>
      </c>
      <c r="Y12" s="65" t="n">
        <f aca="false">-Y11*Inputs!$B$15</f>
        <v>-1305.6</v>
      </c>
      <c r="Z12" s="65" t="n">
        <f aca="false">-Z11*Inputs!$B$15</f>
        <v>-1305.6</v>
      </c>
      <c r="AA12" s="65" t="n">
        <f aca="false">-AA11*Inputs!$B$15</f>
        <v>-1331.712</v>
      </c>
      <c r="AB12" s="65" t="n">
        <f aca="false">-AB11*Inputs!$B$15</f>
        <v>-1331.712</v>
      </c>
      <c r="AC12" s="65" t="n">
        <f aca="false">-AC11*Inputs!$B$15</f>
        <v>-1331.712</v>
      </c>
      <c r="AD12" s="65" t="n">
        <f aca="false">-AD11*Inputs!$B$15</f>
        <v>-1331.712</v>
      </c>
      <c r="AE12" s="65" t="n">
        <f aca="false">-AE11*Inputs!$B$15</f>
        <v>-1331.712</v>
      </c>
      <c r="AF12" s="65" t="n">
        <f aca="false">-AF11*Inputs!$B$15</f>
        <v>-1331.712</v>
      </c>
      <c r="AG12" s="65" t="n">
        <f aca="false">-AG11*Inputs!$B$15</f>
        <v>-1331.712</v>
      </c>
      <c r="AH12" s="65" t="n">
        <f aca="false">-AH11*Inputs!$B$15</f>
        <v>-1331.712</v>
      </c>
      <c r="AI12" s="65" t="n">
        <f aca="false">-AI11*Inputs!$B$15</f>
        <v>-1331.712</v>
      </c>
      <c r="AJ12" s="65" t="n">
        <f aca="false">-AJ11*Inputs!$B$15</f>
        <v>-1331.712</v>
      </c>
      <c r="AK12" s="65" t="n">
        <f aca="false">-AK11*Inputs!$B$15</f>
        <v>-1331.712</v>
      </c>
      <c r="AL12" s="65" t="n">
        <f aca="false">-AL11*Inputs!$B$15</f>
        <v>-1331.712</v>
      </c>
      <c r="AM12" s="65" t="n">
        <f aca="false">-AM11*Inputs!$B$15</f>
        <v>-1358.34624</v>
      </c>
      <c r="AN12" s="65" t="n">
        <f aca="false">-AN11*Inputs!$B$15</f>
        <v>-1358.34624</v>
      </c>
      <c r="AO12" s="65" t="n">
        <f aca="false">-AO11*Inputs!$B$15</f>
        <v>-1358.34624</v>
      </c>
      <c r="AP12" s="65" t="n">
        <f aca="false">-AP11*Inputs!$B$15</f>
        <v>-1358.34624</v>
      </c>
      <c r="AQ12" s="65" t="n">
        <f aca="false">-AQ11*Inputs!$B$15</f>
        <v>-1358.34624</v>
      </c>
      <c r="AR12" s="65" t="n">
        <f aca="false">-AR11*Inputs!$B$15</f>
        <v>-1358.34624</v>
      </c>
      <c r="AS12" s="65" t="n">
        <f aca="false">-AS11*Inputs!$B$15</f>
        <v>-1358.34624</v>
      </c>
      <c r="AT12" s="65" t="n">
        <f aca="false">-AT11*Inputs!$B$15</f>
        <v>-1358.34624</v>
      </c>
      <c r="AU12" s="65" t="n">
        <f aca="false">-AU11*Inputs!$B$15</f>
        <v>-1358.34624</v>
      </c>
      <c r="AV12" s="65" t="n">
        <f aca="false">-AV11*Inputs!$B$15</f>
        <v>-1358.34624</v>
      </c>
      <c r="AW12" s="65" t="n">
        <f aca="false">-AW11*Inputs!$B$15</f>
        <v>-1358.34624</v>
      </c>
      <c r="AX12" s="65" t="n">
        <f aca="false">-AX11*Inputs!$B$15</f>
        <v>-1358.34624</v>
      </c>
      <c r="AY12" s="65" t="n">
        <f aca="false">-AY11*Inputs!$B$15</f>
        <v>-1385.5131648</v>
      </c>
      <c r="AZ12" s="65" t="n">
        <f aca="false">-AZ11*Inputs!$B$15</f>
        <v>-1385.5131648</v>
      </c>
      <c r="BA12" s="65" t="n">
        <f aca="false">-BA11*Inputs!$B$15</f>
        <v>-1385.5131648</v>
      </c>
      <c r="BB12" s="65" t="n">
        <f aca="false">-BB11*Inputs!$B$15</f>
        <v>-1385.5131648</v>
      </c>
      <c r="BC12" s="65" t="n">
        <f aca="false">-BC11*Inputs!$B$15</f>
        <v>-1385.5131648</v>
      </c>
      <c r="BD12" s="65" t="n">
        <f aca="false">-BD11*Inputs!$B$15</f>
        <v>-1385.5131648</v>
      </c>
      <c r="BE12" s="65" t="n">
        <f aca="false">-BE11*Inputs!$B$15</f>
        <v>-1385.5131648</v>
      </c>
      <c r="BF12" s="65" t="n">
        <f aca="false">-BF11*Inputs!$B$15</f>
        <v>-1385.5131648</v>
      </c>
      <c r="BG12" s="65" t="n">
        <f aca="false">-BG11*Inputs!$B$15</f>
        <v>-1385.5131648</v>
      </c>
      <c r="BH12" s="65" t="n">
        <f aca="false">-BH11*Inputs!$B$15</f>
        <v>-1385.5131648</v>
      </c>
      <c r="BI12" s="65" t="n">
        <f aca="false">-BI11*Inputs!$B$15</f>
        <v>-1385.5131648</v>
      </c>
      <c r="BJ12" s="65" t="n">
        <f aca="false">-BJ11*Inputs!$B$15</f>
        <v>-1385.5131648</v>
      </c>
    </row>
    <row r="13" customFormat="false" ht="15" hidden="false" customHeight="false" outlineLevel="0" collapsed="false">
      <c r="A13" s="6" t="s">
        <v>417</v>
      </c>
      <c r="C13" s="65" t="n">
        <f aca="false">Inputs!$B$10*Inputs!$B$16*(1+Inputs!$B$14)^(C$7-1)*(1-Inputs!$B$15)*1</f>
        <v>184</v>
      </c>
      <c r="D13" s="65" t="n">
        <f aca="false">Inputs!$B$10*Inputs!$B$16*(1+Inputs!$B$14)^(D$7-1)*(1-Inputs!$B$15)*1</f>
        <v>184</v>
      </c>
      <c r="E13" s="65" t="n">
        <f aca="false">Inputs!$B$10*Inputs!$B$16*(1+Inputs!$B$14)^(E$7-1)*(1-Inputs!$B$15)*1</f>
        <v>184</v>
      </c>
      <c r="F13" s="65" t="n">
        <f aca="false">Inputs!$B$10*Inputs!$B$16*(1+Inputs!$B$14)^(F$7-1)*(1-Inputs!$B$15)*1</f>
        <v>184</v>
      </c>
      <c r="G13" s="65" t="n">
        <f aca="false">Inputs!$B$10*Inputs!$B$16*(1+Inputs!$B$14)^(G$7-1)*(1-Inputs!$B$15)*1</f>
        <v>184</v>
      </c>
      <c r="H13" s="65" t="n">
        <f aca="false">Inputs!$B$10*Inputs!$B$16*(1+Inputs!$B$14)^(H$7-1)*(1-Inputs!$B$15)*1</f>
        <v>184</v>
      </c>
      <c r="I13" s="65" t="n">
        <f aca="false">Inputs!$B$10*Inputs!$B$16*(1+Inputs!$B$14)^(I$7-1)*(1-Inputs!$B$15)*1</f>
        <v>184</v>
      </c>
      <c r="J13" s="65" t="n">
        <f aca="false">Inputs!$B$10*Inputs!$B$16*(1+Inputs!$B$14)^(J$7-1)*(1-Inputs!$B$15)*1</f>
        <v>184</v>
      </c>
      <c r="K13" s="65" t="n">
        <f aca="false">Inputs!$B$10*Inputs!$B$16*(1+Inputs!$B$14)^(K$7-1)*(1-Inputs!$B$15)*1</f>
        <v>184</v>
      </c>
      <c r="L13" s="65" t="n">
        <f aca="false">Inputs!$B$10*Inputs!$B$16*(1+Inputs!$B$14)^(L$7-1)*(1-Inputs!$B$15)*1</f>
        <v>184</v>
      </c>
      <c r="M13" s="65" t="n">
        <f aca="false">Inputs!$B$10*Inputs!$B$16*(1+Inputs!$B$14)^(M$7-1)*(1-Inputs!$B$15)*1</f>
        <v>184</v>
      </c>
      <c r="N13" s="65" t="n">
        <f aca="false">Inputs!$B$10*Inputs!$B$16*(1+Inputs!$B$14)^(N$7-1)*(1-Inputs!$B$15)*1</f>
        <v>184</v>
      </c>
      <c r="O13" s="65" t="n">
        <f aca="false">Inputs!$B$10*Inputs!$B$16*(1+Inputs!$B$14)^(O$7-1)*(1-Inputs!$B$15)*1</f>
        <v>187.68</v>
      </c>
      <c r="P13" s="65" t="n">
        <f aca="false">Inputs!$B$10*Inputs!$B$16*(1+Inputs!$B$14)^(P$7-1)*(1-Inputs!$B$15)*1</f>
        <v>187.68</v>
      </c>
      <c r="Q13" s="65" t="n">
        <f aca="false">Inputs!$B$10*Inputs!$B$16*(1+Inputs!$B$14)^(Q$7-1)*(1-Inputs!$B$15)*1</f>
        <v>187.68</v>
      </c>
      <c r="R13" s="65" t="n">
        <f aca="false">Inputs!$B$10*Inputs!$B$16*(1+Inputs!$B$14)^(R$7-1)*(1-Inputs!$B$15)*1</f>
        <v>187.68</v>
      </c>
      <c r="S13" s="65" t="n">
        <f aca="false">Inputs!$B$10*Inputs!$B$16*(1+Inputs!$B$14)^(S$7-1)*(1-Inputs!$B$15)*1</f>
        <v>187.68</v>
      </c>
      <c r="T13" s="65" t="n">
        <f aca="false">Inputs!$B$10*Inputs!$B$16*(1+Inputs!$B$14)^(T$7-1)*(1-Inputs!$B$15)*1</f>
        <v>187.68</v>
      </c>
      <c r="U13" s="65" t="n">
        <f aca="false">Inputs!$B$10*Inputs!$B$16*(1+Inputs!$B$14)^(U$7-1)*(1-Inputs!$B$15)*1</f>
        <v>187.68</v>
      </c>
      <c r="V13" s="65" t="n">
        <f aca="false">Inputs!$B$10*Inputs!$B$16*(1+Inputs!$B$14)^(V$7-1)*(1-Inputs!$B$15)*1</f>
        <v>187.68</v>
      </c>
      <c r="W13" s="65" t="n">
        <f aca="false">Inputs!$B$10*Inputs!$B$16*(1+Inputs!$B$14)^(W$7-1)*(1-Inputs!$B$15)*1</f>
        <v>187.68</v>
      </c>
      <c r="X13" s="65" t="n">
        <f aca="false">Inputs!$B$10*Inputs!$B$16*(1+Inputs!$B$14)^(X$7-1)*(1-Inputs!$B$15)*1</f>
        <v>187.68</v>
      </c>
      <c r="Y13" s="65" t="n">
        <f aca="false">Inputs!$B$10*Inputs!$B$16*(1+Inputs!$B$14)^(Y$7-1)*(1-Inputs!$B$15)*1</f>
        <v>187.68</v>
      </c>
      <c r="Z13" s="65" t="n">
        <f aca="false">Inputs!$B$10*Inputs!$B$16*(1+Inputs!$B$14)^(Z$7-1)*(1-Inputs!$B$15)*1</f>
        <v>187.68</v>
      </c>
      <c r="AA13" s="65" t="n">
        <f aca="false">Inputs!$B$10*Inputs!$B$16*(1+Inputs!$B$14)^(AA$7-1)*(1-Inputs!$B$15)*1</f>
        <v>191.4336</v>
      </c>
      <c r="AB13" s="65" t="n">
        <f aca="false">Inputs!$B$10*Inputs!$B$16*(1+Inputs!$B$14)^(AB$7-1)*(1-Inputs!$B$15)*1</f>
        <v>191.4336</v>
      </c>
      <c r="AC13" s="65" t="n">
        <f aca="false">Inputs!$B$10*Inputs!$B$16*(1+Inputs!$B$14)^(AC$7-1)*(1-Inputs!$B$15)*1</f>
        <v>191.4336</v>
      </c>
      <c r="AD13" s="65" t="n">
        <f aca="false">Inputs!$B$10*Inputs!$B$16*(1+Inputs!$B$14)^(AD$7-1)*(1-Inputs!$B$15)*1</f>
        <v>191.4336</v>
      </c>
      <c r="AE13" s="65" t="n">
        <f aca="false">Inputs!$B$10*Inputs!$B$16*(1+Inputs!$B$14)^(AE$7-1)*(1-Inputs!$B$15)*1</f>
        <v>191.4336</v>
      </c>
      <c r="AF13" s="65" t="n">
        <f aca="false">Inputs!$B$10*Inputs!$B$16*(1+Inputs!$B$14)^(AF$7-1)*(1-Inputs!$B$15)*1</f>
        <v>191.4336</v>
      </c>
      <c r="AG13" s="65" t="n">
        <f aca="false">Inputs!$B$10*Inputs!$B$16*(1+Inputs!$B$14)^(AG$7-1)*(1-Inputs!$B$15)*1</f>
        <v>191.4336</v>
      </c>
      <c r="AH13" s="65" t="n">
        <f aca="false">Inputs!$B$10*Inputs!$B$16*(1+Inputs!$B$14)^(AH$7-1)*(1-Inputs!$B$15)*1</f>
        <v>191.4336</v>
      </c>
      <c r="AI13" s="65" t="n">
        <f aca="false">Inputs!$B$10*Inputs!$B$16*(1+Inputs!$B$14)^(AI$7-1)*(1-Inputs!$B$15)*1</f>
        <v>191.4336</v>
      </c>
      <c r="AJ13" s="65" t="n">
        <f aca="false">Inputs!$B$10*Inputs!$B$16*(1+Inputs!$B$14)^(AJ$7-1)*(1-Inputs!$B$15)*1</f>
        <v>191.4336</v>
      </c>
      <c r="AK13" s="65" t="n">
        <f aca="false">Inputs!$B$10*Inputs!$B$16*(1+Inputs!$B$14)^(AK$7-1)*(1-Inputs!$B$15)*1</f>
        <v>191.4336</v>
      </c>
      <c r="AL13" s="65" t="n">
        <f aca="false">Inputs!$B$10*Inputs!$B$16*(1+Inputs!$B$14)^(AL$7-1)*(1-Inputs!$B$15)*1</f>
        <v>191.4336</v>
      </c>
      <c r="AM13" s="65" t="n">
        <f aca="false">Inputs!$B$10*Inputs!$B$16*(1+Inputs!$B$14)^(AM$7-1)*(1-Inputs!$B$15)*1</f>
        <v>195.262272</v>
      </c>
      <c r="AN13" s="65" t="n">
        <f aca="false">Inputs!$B$10*Inputs!$B$16*(1+Inputs!$B$14)^(AN$7-1)*(1-Inputs!$B$15)*1</f>
        <v>195.262272</v>
      </c>
      <c r="AO13" s="65" t="n">
        <f aca="false">Inputs!$B$10*Inputs!$B$16*(1+Inputs!$B$14)^(AO$7-1)*(1-Inputs!$B$15)*1</f>
        <v>195.262272</v>
      </c>
      <c r="AP13" s="65" t="n">
        <f aca="false">Inputs!$B$10*Inputs!$B$16*(1+Inputs!$B$14)^(AP$7-1)*(1-Inputs!$B$15)*1</f>
        <v>195.262272</v>
      </c>
      <c r="AQ13" s="65" t="n">
        <f aca="false">Inputs!$B$10*Inputs!$B$16*(1+Inputs!$B$14)^(AQ$7-1)*(1-Inputs!$B$15)*1</f>
        <v>195.262272</v>
      </c>
      <c r="AR13" s="65" t="n">
        <f aca="false">Inputs!$B$10*Inputs!$B$16*(1+Inputs!$B$14)^(AR$7-1)*(1-Inputs!$B$15)*1</f>
        <v>195.262272</v>
      </c>
      <c r="AS13" s="65" t="n">
        <f aca="false">Inputs!$B$10*Inputs!$B$16*(1+Inputs!$B$14)^(AS$7-1)*(1-Inputs!$B$15)*1</f>
        <v>195.262272</v>
      </c>
      <c r="AT13" s="65" t="n">
        <f aca="false">Inputs!$B$10*Inputs!$B$16*(1+Inputs!$B$14)^(AT$7-1)*(1-Inputs!$B$15)*1</f>
        <v>195.262272</v>
      </c>
      <c r="AU13" s="65" t="n">
        <f aca="false">Inputs!$B$10*Inputs!$B$16*(1+Inputs!$B$14)^(AU$7-1)*(1-Inputs!$B$15)*1</f>
        <v>195.262272</v>
      </c>
      <c r="AV13" s="65" t="n">
        <f aca="false">Inputs!$B$10*Inputs!$B$16*(1+Inputs!$B$14)^(AV$7-1)*(1-Inputs!$B$15)*1</f>
        <v>195.262272</v>
      </c>
      <c r="AW13" s="65" t="n">
        <f aca="false">Inputs!$B$10*Inputs!$B$16*(1+Inputs!$B$14)^(AW$7-1)*(1-Inputs!$B$15)*1</f>
        <v>195.262272</v>
      </c>
      <c r="AX13" s="65" t="n">
        <f aca="false">Inputs!$B$10*Inputs!$B$16*(1+Inputs!$B$14)^(AX$7-1)*(1-Inputs!$B$15)*1</f>
        <v>195.262272</v>
      </c>
      <c r="AY13" s="65" t="n">
        <f aca="false">Inputs!$B$10*Inputs!$B$16*(1+Inputs!$B$14)^(AY$7-1)*(1-Inputs!$B$15)*1</f>
        <v>199.16751744</v>
      </c>
      <c r="AZ13" s="65" t="n">
        <f aca="false">Inputs!$B$10*Inputs!$B$16*(1+Inputs!$B$14)^(AZ$7-1)*(1-Inputs!$B$15)*1</f>
        <v>199.16751744</v>
      </c>
      <c r="BA13" s="65" t="n">
        <f aca="false">Inputs!$B$10*Inputs!$B$16*(1+Inputs!$B$14)^(BA$7-1)*(1-Inputs!$B$15)*1</f>
        <v>199.16751744</v>
      </c>
      <c r="BB13" s="65" t="n">
        <f aca="false">Inputs!$B$10*Inputs!$B$16*(1+Inputs!$B$14)^(BB$7-1)*(1-Inputs!$B$15)*1</f>
        <v>199.16751744</v>
      </c>
      <c r="BC13" s="65" t="n">
        <f aca="false">Inputs!$B$10*Inputs!$B$16*(1+Inputs!$B$14)^(BC$7-1)*(1-Inputs!$B$15)*1</f>
        <v>199.16751744</v>
      </c>
      <c r="BD13" s="65" t="n">
        <f aca="false">Inputs!$B$10*Inputs!$B$16*(1+Inputs!$B$14)^(BD$7-1)*(1-Inputs!$B$15)*1</f>
        <v>199.16751744</v>
      </c>
      <c r="BE13" s="65" t="n">
        <f aca="false">Inputs!$B$10*Inputs!$B$16*(1+Inputs!$B$14)^(BE$7-1)*(1-Inputs!$B$15)*1</f>
        <v>199.16751744</v>
      </c>
      <c r="BF13" s="65" t="n">
        <f aca="false">Inputs!$B$10*Inputs!$B$16*(1+Inputs!$B$14)^(BF$7-1)*(1-Inputs!$B$15)*1</f>
        <v>199.16751744</v>
      </c>
      <c r="BG13" s="65" t="n">
        <f aca="false">Inputs!$B$10*Inputs!$B$16*(1+Inputs!$B$14)^(BG$7-1)*(1-Inputs!$B$15)*1</f>
        <v>199.16751744</v>
      </c>
      <c r="BH13" s="65" t="n">
        <f aca="false">Inputs!$B$10*Inputs!$B$16*(1+Inputs!$B$14)^(BH$7-1)*(1-Inputs!$B$15)*1</f>
        <v>199.16751744</v>
      </c>
      <c r="BI13" s="65" t="n">
        <f aca="false">Inputs!$B$10*Inputs!$B$16*(1+Inputs!$B$14)^(BI$7-1)*(1-Inputs!$B$15)*1</f>
        <v>199.16751744</v>
      </c>
      <c r="BJ13" s="65" t="n">
        <f aca="false">Inputs!$B$10*Inputs!$B$16*(1+Inputs!$B$14)^(BJ$7-1)*(1-Inputs!$B$15)*1</f>
        <v>199.16751744</v>
      </c>
    </row>
    <row r="14" customFormat="false" ht="15" hidden="false" customHeight="false" outlineLevel="0" collapsed="false">
      <c r="A14" s="108" t="s">
        <v>237</v>
      </c>
      <c r="C14" s="66" t="n">
        <f aca="false">C11+C12+C13</f>
        <v>14904</v>
      </c>
      <c r="D14" s="66" t="n">
        <f aca="false">D11+D12+D13</f>
        <v>14904</v>
      </c>
      <c r="E14" s="66" t="n">
        <f aca="false">E11+E12+E13</f>
        <v>14904</v>
      </c>
      <c r="F14" s="66" t="n">
        <f aca="false">F11+F12+F13</f>
        <v>14904</v>
      </c>
      <c r="G14" s="66" t="n">
        <f aca="false">G11+G12+G13</f>
        <v>14904</v>
      </c>
      <c r="H14" s="66" t="n">
        <f aca="false">H11+H12+H13</f>
        <v>14904</v>
      </c>
      <c r="I14" s="66" t="n">
        <f aca="false">I11+I12+I13</f>
        <v>14904</v>
      </c>
      <c r="J14" s="66" t="n">
        <f aca="false">J11+J12+J13</f>
        <v>14904</v>
      </c>
      <c r="K14" s="66" t="n">
        <f aca="false">K11+K12+K13</f>
        <v>14904</v>
      </c>
      <c r="L14" s="66" t="n">
        <f aca="false">L11+L12+L13</f>
        <v>14904</v>
      </c>
      <c r="M14" s="66" t="n">
        <f aca="false">M11+M12+M13</f>
        <v>14904</v>
      </c>
      <c r="N14" s="66" t="n">
        <f aca="false">N11+N12+N13</f>
        <v>14904</v>
      </c>
      <c r="O14" s="66" t="n">
        <f aca="false">O11+O12+O13</f>
        <v>15202.08</v>
      </c>
      <c r="P14" s="66" t="n">
        <f aca="false">P11+P12+P13</f>
        <v>15202.08</v>
      </c>
      <c r="Q14" s="66" t="n">
        <f aca="false">Q11+Q12+Q13</f>
        <v>15202.08</v>
      </c>
      <c r="R14" s="66" t="n">
        <f aca="false">R11+R12+R13</f>
        <v>15202.08</v>
      </c>
      <c r="S14" s="66" t="n">
        <f aca="false">S11+S12+S13</f>
        <v>15202.08</v>
      </c>
      <c r="T14" s="66" t="n">
        <f aca="false">T11+T12+T13</f>
        <v>15202.08</v>
      </c>
      <c r="U14" s="66" t="n">
        <f aca="false">U11+U12+U13</f>
        <v>15202.08</v>
      </c>
      <c r="V14" s="66" t="n">
        <f aca="false">V11+V12+V13</f>
        <v>15202.08</v>
      </c>
      <c r="W14" s="66" t="n">
        <f aca="false">W11+W12+W13</f>
        <v>15202.08</v>
      </c>
      <c r="X14" s="66" t="n">
        <f aca="false">X11+X12+X13</f>
        <v>15202.08</v>
      </c>
      <c r="Y14" s="66" t="n">
        <f aca="false">Y11+Y12+Y13</f>
        <v>15202.08</v>
      </c>
      <c r="Z14" s="66" t="n">
        <f aca="false">Z11+Z12+Z13</f>
        <v>15202.08</v>
      </c>
      <c r="AA14" s="66" t="n">
        <f aca="false">AA11+AA12+AA13</f>
        <v>15506.1216</v>
      </c>
      <c r="AB14" s="66" t="n">
        <f aca="false">AB11+AB12+AB13</f>
        <v>15506.1216</v>
      </c>
      <c r="AC14" s="66" t="n">
        <f aca="false">AC11+AC12+AC13</f>
        <v>15506.1216</v>
      </c>
      <c r="AD14" s="66" t="n">
        <f aca="false">AD11+AD12+AD13</f>
        <v>15506.1216</v>
      </c>
      <c r="AE14" s="66" t="n">
        <f aca="false">AE11+AE12+AE13</f>
        <v>15506.1216</v>
      </c>
      <c r="AF14" s="66" t="n">
        <f aca="false">AF11+AF12+AF13</f>
        <v>15506.1216</v>
      </c>
      <c r="AG14" s="66" t="n">
        <f aca="false">AG11+AG12+AG13</f>
        <v>15506.1216</v>
      </c>
      <c r="AH14" s="66" t="n">
        <f aca="false">AH11+AH12+AH13</f>
        <v>15506.1216</v>
      </c>
      <c r="AI14" s="66" t="n">
        <f aca="false">AI11+AI12+AI13</f>
        <v>15506.1216</v>
      </c>
      <c r="AJ14" s="66" t="n">
        <f aca="false">AJ11+AJ12+AJ13</f>
        <v>15506.1216</v>
      </c>
      <c r="AK14" s="66" t="n">
        <f aca="false">AK11+AK12+AK13</f>
        <v>15506.1216</v>
      </c>
      <c r="AL14" s="66" t="n">
        <f aca="false">AL11+AL12+AL13</f>
        <v>15506.1216</v>
      </c>
      <c r="AM14" s="66" t="n">
        <f aca="false">AM11+AM12+AM13</f>
        <v>15816.244032</v>
      </c>
      <c r="AN14" s="66" t="n">
        <f aca="false">AN11+AN12+AN13</f>
        <v>15816.244032</v>
      </c>
      <c r="AO14" s="66" t="n">
        <f aca="false">AO11+AO12+AO13</f>
        <v>15816.244032</v>
      </c>
      <c r="AP14" s="66" t="n">
        <f aca="false">AP11+AP12+AP13</f>
        <v>15816.244032</v>
      </c>
      <c r="AQ14" s="66" t="n">
        <f aca="false">AQ11+AQ12+AQ13</f>
        <v>15816.244032</v>
      </c>
      <c r="AR14" s="66" t="n">
        <f aca="false">AR11+AR12+AR13</f>
        <v>15816.244032</v>
      </c>
      <c r="AS14" s="66" t="n">
        <f aca="false">AS11+AS12+AS13</f>
        <v>15816.244032</v>
      </c>
      <c r="AT14" s="66" t="n">
        <f aca="false">AT11+AT12+AT13</f>
        <v>15816.244032</v>
      </c>
      <c r="AU14" s="66" t="n">
        <f aca="false">AU11+AU12+AU13</f>
        <v>15816.244032</v>
      </c>
      <c r="AV14" s="66" t="n">
        <f aca="false">AV11+AV12+AV13</f>
        <v>15816.244032</v>
      </c>
      <c r="AW14" s="66" t="n">
        <f aca="false">AW11+AW12+AW13</f>
        <v>15816.244032</v>
      </c>
      <c r="AX14" s="66" t="n">
        <f aca="false">AX11+AX12+AX13</f>
        <v>15816.244032</v>
      </c>
      <c r="AY14" s="66" t="n">
        <f aca="false">AY11+AY12+AY13</f>
        <v>16132.56891264</v>
      </c>
      <c r="AZ14" s="66" t="n">
        <f aca="false">AZ11+AZ12+AZ13</f>
        <v>16132.56891264</v>
      </c>
      <c r="BA14" s="66" t="n">
        <f aca="false">BA11+BA12+BA13</f>
        <v>16132.56891264</v>
      </c>
      <c r="BB14" s="66" t="n">
        <f aca="false">BB11+BB12+BB13</f>
        <v>16132.56891264</v>
      </c>
      <c r="BC14" s="66" t="n">
        <f aca="false">BC11+BC12+BC13</f>
        <v>16132.56891264</v>
      </c>
      <c r="BD14" s="66" t="n">
        <f aca="false">BD11+BD12+BD13</f>
        <v>16132.56891264</v>
      </c>
      <c r="BE14" s="66" t="n">
        <f aca="false">BE11+BE12+BE13</f>
        <v>16132.56891264</v>
      </c>
      <c r="BF14" s="66" t="n">
        <f aca="false">BF11+BF12+BF13</f>
        <v>16132.56891264</v>
      </c>
      <c r="BG14" s="66" t="n">
        <f aca="false">BG11+BG12+BG13</f>
        <v>16132.56891264</v>
      </c>
      <c r="BH14" s="66" t="n">
        <f aca="false">BH11+BH12+BH13</f>
        <v>16132.56891264</v>
      </c>
      <c r="BI14" s="66" t="n">
        <f aca="false">BI11+BI12+BI13</f>
        <v>16132.56891264</v>
      </c>
      <c r="BJ14" s="66" t="n">
        <f aca="false">BJ11+BJ12+BJ13</f>
        <v>16132.56891264</v>
      </c>
    </row>
    <row r="16" customFormat="false" ht="15.75" hidden="false" customHeight="true" outlineLevel="0" collapsed="false">
      <c r="A16" s="7" t="s">
        <v>76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418</v>
      </c>
      <c r="C17" s="65" t="n">
        <f aca="false">-(C11+C12)*Inputs!$B$19</f>
        <v>-1030.4</v>
      </c>
      <c r="D17" s="65" t="n">
        <f aca="false">-(D11+D12)*Inputs!$B$19</f>
        <v>-1030.4</v>
      </c>
      <c r="E17" s="65" t="n">
        <f aca="false">-(E11+E12)*Inputs!$B$19</f>
        <v>-1030.4</v>
      </c>
      <c r="F17" s="65" t="n">
        <f aca="false">-(F11+F12)*Inputs!$B$19</f>
        <v>-1030.4</v>
      </c>
      <c r="G17" s="65" t="n">
        <f aca="false">-(G11+G12)*Inputs!$B$19</f>
        <v>-1030.4</v>
      </c>
      <c r="H17" s="65" t="n">
        <f aca="false">-(H11+H12)*Inputs!$B$19</f>
        <v>-1030.4</v>
      </c>
      <c r="I17" s="65" t="n">
        <f aca="false">-(I11+I12)*Inputs!$B$19</f>
        <v>-1030.4</v>
      </c>
      <c r="J17" s="65" t="n">
        <f aca="false">-(J11+J12)*Inputs!$B$19</f>
        <v>-1030.4</v>
      </c>
      <c r="K17" s="65" t="n">
        <f aca="false">-(K11+K12)*Inputs!$B$19</f>
        <v>-1030.4</v>
      </c>
      <c r="L17" s="65" t="n">
        <f aca="false">-(L11+L12)*Inputs!$B$19</f>
        <v>-1030.4</v>
      </c>
      <c r="M17" s="65" t="n">
        <f aca="false">-(M11+M12)*Inputs!$B$19</f>
        <v>-1030.4</v>
      </c>
      <c r="N17" s="65" t="n">
        <f aca="false">-(N11+N12)*Inputs!$B$19</f>
        <v>-1030.4</v>
      </c>
      <c r="O17" s="65" t="n">
        <f aca="false">-(O11+O12)*Inputs!$B$19</f>
        <v>-1051.008</v>
      </c>
      <c r="P17" s="65" t="n">
        <f aca="false">-(P11+P12)*Inputs!$B$19</f>
        <v>-1051.008</v>
      </c>
      <c r="Q17" s="65" t="n">
        <f aca="false">-(Q11+Q12)*Inputs!$B$19</f>
        <v>-1051.008</v>
      </c>
      <c r="R17" s="65" t="n">
        <f aca="false">-(R11+R12)*Inputs!$B$19</f>
        <v>-1051.008</v>
      </c>
      <c r="S17" s="65" t="n">
        <f aca="false">-(S11+S12)*Inputs!$B$19</f>
        <v>-1051.008</v>
      </c>
      <c r="T17" s="65" t="n">
        <f aca="false">-(T11+T12)*Inputs!$B$19</f>
        <v>-1051.008</v>
      </c>
      <c r="U17" s="65" t="n">
        <f aca="false">-(U11+U12)*Inputs!$B$19</f>
        <v>-1051.008</v>
      </c>
      <c r="V17" s="65" t="n">
        <f aca="false">-(V11+V12)*Inputs!$B$19</f>
        <v>-1051.008</v>
      </c>
      <c r="W17" s="65" t="n">
        <f aca="false">-(W11+W12)*Inputs!$B$19</f>
        <v>-1051.008</v>
      </c>
      <c r="X17" s="65" t="n">
        <f aca="false">-(X11+X12)*Inputs!$B$19</f>
        <v>-1051.008</v>
      </c>
      <c r="Y17" s="65" t="n">
        <f aca="false">-(Y11+Y12)*Inputs!$B$19</f>
        <v>-1051.008</v>
      </c>
      <c r="Z17" s="65" t="n">
        <f aca="false">-(Z11+Z12)*Inputs!$B$19</f>
        <v>-1051.008</v>
      </c>
      <c r="AA17" s="65" t="n">
        <f aca="false">-(AA11+AA12)*Inputs!$B$19</f>
        <v>-1072.02816</v>
      </c>
      <c r="AB17" s="65" t="n">
        <f aca="false">-(AB11+AB12)*Inputs!$B$19</f>
        <v>-1072.02816</v>
      </c>
      <c r="AC17" s="65" t="n">
        <f aca="false">-(AC11+AC12)*Inputs!$B$19</f>
        <v>-1072.02816</v>
      </c>
      <c r="AD17" s="65" t="n">
        <f aca="false">-(AD11+AD12)*Inputs!$B$19</f>
        <v>-1072.02816</v>
      </c>
      <c r="AE17" s="65" t="n">
        <f aca="false">-(AE11+AE12)*Inputs!$B$19</f>
        <v>-1072.02816</v>
      </c>
      <c r="AF17" s="65" t="n">
        <f aca="false">-(AF11+AF12)*Inputs!$B$19</f>
        <v>-1072.02816</v>
      </c>
      <c r="AG17" s="65" t="n">
        <f aca="false">-(AG11+AG12)*Inputs!$B$19</f>
        <v>-1072.02816</v>
      </c>
      <c r="AH17" s="65" t="n">
        <f aca="false">-(AH11+AH12)*Inputs!$B$19</f>
        <v>-1072.02816</v>
      </c>
      <c r="AI17" s="65" t="n">
        <f aca="false">-(AI11+AI12)*Inputs!$B$19</f>
        <v>-1072.02816</v>
      </c>
      <c r="AJ17" s="65" t="n">
        <f aca="false">-(AJ11+AJ12)*Inputs!$B$19</f>
        <v>-1072.02816</v>
      </c>
      <c r="AK17" s="65" t="n">
        <f aca="false">-(AK11+AK12)*Inputs!$B$19</f>
        <v>-1072.02816</v>
      </c>
      <c r="AL17" s="65" t="n">
        <f aca="false">-(AL11+AL12)*Inputs!$B$19</f>
        <v>-1072.02816</v>
      </c>
      <c r="AM17" s="65" t="n">
        <f aca="false">-(AM11+AM12)*Inputs!$B$19</f>
        <v>-1093.4687232</v>
      </c>
      <c r="AN17" s="65" t="n">
        <f aca="false">-(AN11+AN12)*Inputs!$B$19</f>
        <v>-1093.4687232</v>
      </c>
      <c r="AO17" s="65" t="n">
        <f aca="false">-(AO11+AO12)*Inputs!$B$19</f>
        <v>-1093.4687232</v>
      </c>
      <c r="AP17" s="65" t="n">
        <f aca="false">-(AP11+AP12)*Inputs!$B$19</f>
        <v>-1093.4687232</v>
      </c>
      <c r="AQ17" s="65" t="n">
        <f aca="false">-(AQ11+AQ12)*Inputs!$B$19</f>
        <v>-1093.4687232</v>
      </c>
      <c r="AR17" s="65" t="n">
        <f aca="false">-(AR11+AR12)*Inputs!$B$19</f>
        <v>-1093.4687232</v>
      </c>
      <c r="AS17" s="65" t="n">
        <f aca="false">-(AS11+AS12)*Inputs!$B$19</f>
        <v>-1093.4687232</v>
      </c>
      <c r="AT17" s="65" t="n">
        <f aca="false">-(AT11+AT12)*Inputs!$B$19</f>
        <v>-1093.4687232</v>
      </c>
      <c r="AU17" s="65" t="n">
        <f aca="false">-(AU11+AU12)*Inputs!$B$19</f>
        <v>-1093.4687232</v>
      </c>
      <c r="AV17" s="65" t="n">
        <f aca="false">-(AV11+AV12)*Inputs!$B$19</f>
        <v>-1093.4687232</v>
      </c>
      <c r="AW17" s="65" t="n">
        <f aca="false">-(AW11+AW12)*Inputs!$B$19</f>
        <v>-1093.4687232</v>
      </c>
      <c r="AX17" s="65" t="n">
        <f aca="false">-(AX11+AX12)*Inputs!$B$19</f>
        <v>-1093.4687232</v>
      </c>
      <c r="AY17" s="65" t="n">
        <f aca="false">-(AY11+AY12)*Inputs!$B$19</f>
        <v>-1115.338097664</v>
      </c>
      <c r="AZ17" s="65" t="n">
        <f aca="false">-(AZ11+AZ12)*Inputs!$B$19</f>
        <v>-1115.338097664</v>
      </c>
      <c r="BA17" s="65" t="n">
        <f aca="false">-(BA11+BA12)*Inputs!$B$19</f>
        <v>-1115.338097664</v>
      </c>
      <c r="BB17" s="65" t="n">
        <f aca="false">-(BB11+BB12)*Inputs!$B$19</f>
        <v>-1115.338097664</v>
      </c>
      <c r="BC17" s="65" t="n">
        <f aca="false">-(BC11+BC12)*Inputs!$B$19</f>
        <v>-1115.338097664</v>
      </c>
      <c r="BD17" s="65" t="n">
        <f aca="false">-(BD11+BD12)*Inputs!$B$19</f>
        <v>-1115.338097664</v>
      </c>
      <c r="BE17" s="65" t="n">
        <f aca="false">-(BE11+BE12)*Inputs!$B$19</f>
        <v>-1115.338097664</v>
      </c>
      <c r="BF17" s="65" t="n">
        <f aca="false">-(BF11+BF12)*Inputs!$B$19</f>
        <v>-1115.338097664</v>
      </c>
      <c r="BG17" s="65" t="n">
        <f aca="false">-(BG11+BG12)*Inputs!$B$19</f>
        <v>-1115.338097664</v>
      </c>
      <c r="BH17" s="65" t="n">
        <f aca="false">-(BH11+BH12)*Inputs!$B$19</f>
        <v>-1115.338097664</v>
      </c>
      <c r="BI17" s="65" t="n">
        <f aca="false">-(BI11+BI12)*Inputs!$B$19</f>
        <v>-1115.338097664</v>
      </c>
      <c r="BJ17" s="65" t="n">
        <f aca="false">-(BJ11+BJ12)*Inputs!$B$19</f>
        <v>-1115.338097664</v>
      </c>
    </row>
    <row r="18" customFormat="false" ht="15" hidden="false" customHeight="false" outlineLevel="0" collapsed="false">
      <c r="A18" s="6" t="s">
        <v>419</v>
      </c>
      <c r="C18" s="65" t="n">
        <f aca="false">-Inputs!$B$20*(1+Inputs!$B$25)^(C$7-1)*1</f>
        <v>-900</v>
      </c>
      <c r="D18" s="65" t="n">
        <f aca="false">-Inputs!$B$20*(1+Inputs!$B$25)^(D$7-1)*1</f>
        <v>-900</v>
      </c>
      <c r="E18" s="65" t="n">
        <f aca="false">-Inputs!$B$20*(1+Inputs!$B$25)^(E$7-1)*1</f>
        <v>-900</v>
      </c>
      <c r="F18" s="65" t="n">
        <f aca="false">-Inputs!$B$20*(1+Inputs!$B$25)^(F$7-1)*1</f>
        <v>-900</v>
      </c>
      <c r="G18" s="65" t="n">
        <f aca="false">-Inputs!$B$20*(1+Inputs!$B$25)^(G$7-1)*1</f>
        <v>-900</v>
      </c>
      <c r="H18" s="65" t="n">
        <f aca="false">-Inputs!$B$20*(1+Inputs!$B$25)^(H$7-1)*1</f>
        <v>-900</v>
      </c>
      <c r="I18" s="65" t="n">
        <f aca="false">-Inputs!$B$20*(1+Inputs!$B$25)^(I$7-1)*1</f>
        <v>-900</v>
      </c>
      <c r="J18" s="65" t="n">
        <f aca="false">-Inputs!$B$20*(1+Inputs!$B$25)^(J$7-1)*1</f>
        <v>-900</v>
      </c>
      <c r="K18" s="65" t="n">
        <f aca="false">-Inputs!$B$20*(1+Inputs!$B$25)^(K$7-1)*1</f>
        <v>-900</v>
      </c>
      <c r="L18" s="65" t="n">
        <f aca="false">-Inputs!$B$20*(1+Inputs!$B$25)^(L$7-1)*1</f>
        <v>-900</v>
      </c>
      <c r="M18" s="65" t="n">
        <f aca="false">-Inputs!$B$20*(1+Inputs!$B$25)^(M$7-1)*1</f>
        <v>-900</v>
      </c>
      <c r="N18" s="65" t="n">
        <f aca="false">-Inputs!$B$20*(1+Inputs!$B$25)^(N$7-1)*1</f>
        <v>-900</v>
      </c>
      <c r="O18" s="65" t="n">
        <f aca="false">-Inputs!$B$20*(1+Inputs!$B$25)^(O$7-1)*1</f>
        <v>-936</v>
      </c>
      <c r="P18" s="65" t="n">
        <f aca="false">-Inputs!$B$20*(1+Inputs!$B$25)^(P$7-1)*1</f>
        <v>-936</v>
      </c>
      <c r="Q18" s="65" t="n">
        <f aca="false">-Inputs!$B$20*(1+Inputs!$B$25)^(Q$7-1)*1</f>
        <v>-936</v>
      </c>
      <c r="R18" s="65" t="n">
        <f aca="false">-Inputs!$B$20*(1+Inputs!$B$25)^(R$7-1)*1</f>
        <v>-936</v>
      </c>
      <c r="S18" s="65" t="n">
        <f aca="false">-Inputs!$B$20*(1+Inputs!$B$25)^(S$7-1)*1</f>
        <v>-936</v>
      </c>
      <c r="T18" s="65" t="n">
        <f aca="false">-Inputs!$B$20*(1+Inputs!$B$25)^(T$7-1)*1</f>
        <v>-936</v>
      </c>
      <c r="U18" s="65" t="n">
        <f aca="false">-Inputs!$B$20*(1+Inputs!$B$25)^(U$7-1)*1</f>
        <v>-936</v>
      </c>
      <c r="V18" s="65" t="n">
        <f aca="false">-Inputs!$B$20*(1+Inputs!$B$25)^(V$7-1)*1</f>
        <v>-936</v>
      </c>
      <c r="W18" s="65" t="n">
        <f aca="false">-Inputs!$B$20*(1+Inputs!$B$25)^(W$7-1)*1</f>
        <v>-936</v>
      </c>
      <c r="X18" s="65" t="n">
        <f aca="false">-Inputs!$B$20*(1+Inputs!$B$25)^(X$7-1)*1</f>
        <v>-936</v>
      </c>
      <c r="Y18" s="65" t="n">
        <f aca="false">-Inputs!$B$20*(1+Inputs!$B$25)^(Y$7-1)*1</f>
        <v>-936</v>
      </c>
      <c r="Z18" s="65" t="n">
        <f aca="false">-Inputs!$B$20*(1+Inputs!$B$25)^(Z$7-1)*1</f>
        <v>-936</v>
      </c>
      <c r="AA18" s="65" t="n">
        <f aca="false">-Inputs!$B$20*(1+Inputs!$B$25)^(AA$7-1)*1</f>
        <v>-973.44</v>
      </c>
      <c r="AB18" s="65" t="n">
        <f aca="false">-Inputs!$B$20*(1+Inputs!$B$25)^(AB$7-1)*1</f>
        <v>-973.44</v>
      </c>
      <c r="AC18" s="65" t="n">
        <f aca="false">-Inputs!$B$20*(1+Inputs!$B$25)^(AC$7-1)*1</f>
        <v>-973.44</v>
      </c>
      <c r="AD18" s="65" t="n">
        <f aca="false">-Inputs!$B$20*(1+Inputs!$B$25)^(AD$7-1)*1</f>
        <v>-973.44</v>
      </c>
      <c r="AE18" s="65" t="n">
        <f aca="false">-Inputs!$B$20*(1+Inputs!$B$25)^(AE$7-1)*1</f>
        <v>-973.44</v>
      </c>
      <c r="AF18" s="65" t="n">
        <f aca="false">-Inputs!$B$20*(1+Inputs!$B$25)^(AF$7-1)*1</f>
        <v>-973.44</v>
      </c>
      <c r="AG18" s="65" t="n">
        <f aca="false">-Inputs!$B$20*(1+Inputs!$B$25)^(AG$7-1)*1</f>
        <v>-973.44</v>
      </c>
      <c r="AH18" s="65" t="n">
        <f aca="false">-Inputs!$B$20*(1+Inputs!$B$25)^(AH$7-1)*1</f>
        <v>-973.44</v>
      </c>
      <c r="AI18" s="65" t="n">
        <f aca="false">-Inputs!$B$20*(1+Inputs!$B$25)^(AI$7-1)*1</f>
        <v>-973.44</v>
      </c>
      <c r="AJ18" s="65" t="n">
        <f aca="false">-Inputs!$B$20*(1+Inputs!$B$25)^(AJ$7-1)*1</f>
        <v>-973.44</v>
      </c>
      <c r="AK18" s="65" t="n">
        <f aca="false">-Inputs!$B$20*(1+Inputs!$B$25)^(AK$7-1)*1</f>
        <v>-973.44</v>
      </c>
      <c r="AL18" s="65" t="n">
        <f aca="false">-Inputs!$B$20*(1+Inputs!$B$25)^(AL$7-1)*1</f>
        <v>-973.44</v>
      </c>
      <c r="AM18" s="65" t="n">
        <f aca="false">-Inputs!$B$20*(1+Inputs!$B$25)^(AM$7-1)*1</f>
        <v>-1012.3776</v>
      </c>
      <c r="AN18" s="65" t="n">
        <f aca="false">-Inputs!$B$20*(1+Inputs!$B$25)^(AN$7-1)*1</f>
        <v>-1012.3776</v>
      </c>
      <c r="AO18" s="65" t="n">
        <f aca="false">-Inputs!$B$20*(1+Inputs!$B$25)^(AO$7-1)*1</f>
        <v>-1012.3776</v>
      </c>
      <c r="AP18" s="65" t="n">
        <f aca="false">-Inputs!$B$20*(1+Inputs!$B$25)^(AP$7-1)*1</f>
        <v>-1012.3776</v>
      </c>
      <c r="AQ18" s="65" t="n">
        <f aca="false">-Inputs!$B$20*(1+Inputs!$B$25)^(AQ$7-1)*1</f>
        <v>-1012.3776</v>
      </c>
      <c r="AR18" s="65" t="n">
        <f aca="false">-Inputs!$B$20*(1+Inputs!$B$25)^(AR$7-1)*1</f>
        <v>-1012.3776</v>
      </c>
      <c r="AS18" s="65" t="n">
        <f aca="false">-Inputs!$B$20*(1+Inputs!$B$25)^(AS$7-1)*1</f>
        <v>-1012.3776</v>
      </c>
      <c r="AT18" s="65" t="n">
        <f aca="false">-Inputs!$B$20*(1+Inputs!$B$25)^(AT$7-1)*1</f>
        <v>-1012.3776</v>
      </c>
      <c r="AU18" s="65" t="n">
        <f aca="false">-Inputs!$B$20*(1+Inputs!$B$25)^(AU$7-1)*1</f>
        <v>-1012.3776</v>
      </c>
      <c r="AV18" s="65" t="n">
        <f aca="false">-Inputs!$B$20*(1+Inputs!$B$25)^(AV$7-1)*1</f>
        <v>-1012.3776</v>
      </c>
      <c r="AW18" s="65" t="n">
        <f aca="false">-Inputs!$B$20*(1+Inputs!$B$25)^(AW$7-1)*1</f>
        <v>-1012.3776</v>
      </c>
      <c r="AX18" s="65" t="n">
        <f aca="false">-Inputs!$B$20*(1+Inputs!$B$25)^(AX$7-1)*1</f>
        <v>-1012.3776</v>
      </c>
      <c r="AY18" s="65" t="n">
        <f aca="false">-Inputs!$B$20*(1+Inputs!$B$25)^(AY$7-1)*1</f>
        <v>-1052.872704</v>
      </c>
      <c r="AZ18" s="65" t="n">
        <f aca="false">-Inputs!$B$20*(1+Inputs!$B$25)^(AZ$7-1)*1</f>
        <v>-1052.872704</v>
      </c>
      <c r="BA18" s="65" t="n">
        <f aca="false">-Inputs!$B$20*(1+Inputs!$B$25)^(BA$7-1)*1</f>
        <v>-1052.872704</v>
      </c>
      <c r="BB18" s="65" t="n">
        <f aca="false">-Inputs!$B$20*(1+Inputs!$B$25)^(BB$7-1)*1</f>
        <v>-1052.872704</v>
      </c>
      <c r="BC18" s="65" t="n">
        <f aca="false">-Inputs!$B$20*(1+Inputs!$B$25)^(BC$7-1)*1</f>
        <v>-1052.872704</v>
      </c>
      <c r="BD18" s="65" t="n">
        <f aca="false">-Inputs!$B$20*(1+Inputs!$B$25)^(BD$7-1)*1</f>
        <v>-1052.872704</v>
      </c>
      <c r="BE18" s="65" t="n">
        <f aca="false">-Inputs!$B$20*(1+Inputs!$B$25)^(BE$7-1)*1</f>
        <v>-1052.872704</v>
      </c>
      <c r="BF18" s="65" t="n">
        <f aca="false">-Inputs!$B$20*(1+Inputs!$B$25)^(BF$7-1)*1</f>
        <v>-1052.872704</v>
      </c>
      <c r="BG18" s="65" t="n">
        <f aca="false">-Inputs!$B$20*(1+Inputs!$B$25)^(BG$7-1)*1</f>
        <v>-1052.872704</v>
      </c>
      <c r="BH18" s="65" t="n">
        <f aca="false">-Inputs!$B$20*(1+Inputs!$B$25)^(BH$7-1)*1</f>
        <v>-1052.872704</v>
      </c>
      <c r="BI18" s="65" t="n">
        <f aca="false">-Inputs!$B$20*(1+Inputs!$B$25)^(BI$7-1)*1</f>
        <v>-1052.872704</v>
      </c>
      <c r="BJ18" s="65" t="n">
        <f aca="false">-Inputs!$B$20*(1+Inputs!$B$25)^(BJ$7-1)*1</f>
        <v>-1052.872704</v>
      </c>
    </row>
    <row r="19" customFormat="false" ht="15" hidden="false" customHeight="false" outlineLevel="0" collapsed="false">
      <c r="A19" s="4" t="s">
        <v>76</v>
      </c>
      <c r="C19" s="71" t="n">
        <f aca="false">C17+C18</f>
        <v>-1930.4</v>
      </c>
      <c r="D19" s="71" t="n">
        <f aca="false">D17+D18</f>
        <v>-1930.4</v>
      </c>
      <c r="E19" s="71" t="n">
        <f aca="false">E17+E18</f>
        <v>-1930.4</v>
      </c>
      <c r="F19" s="71" t="n">
        <f aca="false">F17+F18</f>
        <v>-1930.4</v>
      </c>
      <c r="G19" s="71" t="n">
        <f aca="false">G17+G18</f>
        <v>-1930.4</v>
      </c>
      <c r="H19" s="71" t="n">
        <f aca="false">H17+H18</f>
        <v>-1930.4</v>
      </c>
      <c r="I19" s="71" t="n">
        <f aca="false">I17+I18</f>
        <v>-1930.4</v>
      </c>
      <c r="J19" s="71" t="n">
        <f aca="false">J17+J18</f>
        <v>-1930.4</v>
      </c>
      <c r="K19" s="71" t="n">
        <f aca="false">K17+K18</f>
        <v>-1930.4</v>
      </c>
      <c r="L19" s="71" t="n">
        <f aca="false">L17+L18</f>
        <v>-1930.4</v>
      </c>
      <c r="M19" s="71" t="n">
        <f aca="false">M17+M18</f>
        <v>-1930.4</v>
      </c>
      <c r="N19" s="71" t="n">
        <f aca="false">N17+N18</f>
        <v>-1930.4</v>
      </c>
      <c r="O19" s="71" t="n">
        <f aca="false">O17+O18</f>
        <v>-1987.008</v>
      </c>
      <c r="P19" s="71" t="n">
        <f aca="false">P17+P18</f>
        <v>-1987.008</v>
      </c>
      <c r="Q19" s="71" t="n">
        <f aca="false">Q17+Q18</f>
        <v>-1987.008</v>
      </c>
      <c r="R19" s="71" t="n">
        <f aca="false">R17+R18</f>
        <v>-1987.008</v>
      </c>
      <c r="S19" s="71" t="n">
        <f aca="false">S17+S18</f>
        <v>-1987.008</v>
      </c>
      <c r="T19" s="71" t="n">
        <f aca="false">T17+T18</f>
        <v>-1987.008</v>
      </c>
      <c r="U19" s="71" t="n">
        <f aca="false">U17+U18</f>
        <v>-1987.008</v>
      </c>
      <c r="V19" s="71" t="n">
        <f aca="false">V17+V18</f>
        <v>-1987.008</v>
      </c>
      <c r="W19" s="71" t="n">
        <f aca="false">W17+W18</f>
        <v>-1987.008</v>
      </c>
      <c r="X19" s="71" t="n">
        <f aca="false">X17+X18</f>
        <v>-1987.008</v>
      </c>
      <c r="Y19" s="71" t="n">
        <f aca="false">Y17+Y18</f>
        <v>-1987.008</v>
      </c>
      <c r="Z19" s="71" t="n">
        <f aca="false">Z17+Z18</f>
        <v>-1987.008</v>
      </c>
      <c r="AA19" s="71" t="n">
        <f aca="false">AA17+AA18</f>
        <v>-2045.46816</v>
      </c>
      <c r="AB19" s="71" t="n">
        <f aca="false">AB17+AB18</f>
        <v>-2045.46816</v>
      </c>
      <c r="AC19" s="71" t="n">
        <f aca="false">AC17+AC18</f>
        <v>-2045.46816</v>
      </c>
      <c r="AD19" s="71" t="n">
        <f aca="false">AD17+AD18</f>
        <v>-2045.46816</v>
      </c>
      <c r="AE19" s="71" t="n">
        <f aca="false">AE17+AE18</f>
        <v>-2045.46816</v>
      </c>
      <c r="AF19" s="71" t="n">
        <f aca="false">AF17+AF18</f>
        <v>-2045.46816</v>
      </c>
      <c r="AG19" s="71" t="n">
        <f aca="false">AG17+AG18</f>
        <v>-2045.46816</v>
      </c>
      <c r="AH19" s="71" t="n">
        <f aca="false">AH17+AH18</f>
        <v>-2045.46816</v>
      </c>
      <c r="AI19" s="71" t="n">
        <f aca="false">AI17+AI18</f>
        <v>-2045.46816</v>
      </c>
      <c r="AJ19" s="71" t="n">
        <f aca="false">AJ17+AJ18</f>
        <v>-2045.46816</v>
      </c>
      <c r="AK19" s="71" t="n">
        <f aca="false">AK17+AK18</f>
        <v>-2045.46816</v>
      </c>
      <c r="AL19" s="71" t="n">
        <f aca="false">AL17+AL18</f>
        <v>-2045.46816</v>
      </c>
      <c r="AM19" s="71" t="n">
        <f aca="false">AM17+AM18</f>
        <v>-2105.8463232</v>
      </c>
      <c r="AN19" s="71" t="n">
        <f aca="false">AN17+AN18</f>
        <v>-2105.8463232</v>
      </c>
      <c r="AO19" s="71" t="n">
        <f aca="false">AO17+AO18</f>
        <v>-2105.8463232</v>
      </c>
      <c r="AP19" s="71" t="n">
        <f aca="false">AP17+AP18</f>
        <v>-2105.8463232</v>
      </c>
      <c r="AQ19" s="71" t="n">
        <f aca="false">AQ17+AQ18</f>
        <v>-2105.8463232</v>
      </c>
      <c r="AR19" s="71" t="n">
        <f aca="false">AR17+AR18</f>
        <v>-2105.8463232</v>
      </c>
      <c r="AS19" s="71" t="n">
        <f aca="false">AS17+AS18</f>
        <v>-2105.8463232</v>
      </c>
      <c r="AT19" s="71" t="n">
        <f aca="false">AT17+AT18</f>
        <v>-2105.8463232</v>
      </c>
      <c r="AU19" s="71" t="n">
        <f aca="false">AU17+AU18</f>
        <v>-2105.8463232</v>
      </c>
      <c r="AV19" s="71" t="n">
        <f aca="false">AV17+AV18</f>
        <v>-2105.8463232</v>
      </c>
      <c r="AW19" s="71" t="n">
        <f aca="false">AW17+AW18</f>
        <v>-2105.8463232</v>
      </c>
      <c r="AX19" s="71" t="n">
        <f aca="false">AX17+AX18</f>
        <v>-2105.8463232</v>
      </c>
      <c r="AY19" s="71" t="n">
        <f aca="false">AY17+AY18</f>
        <v>-2168.210801664</v>
      </c>
      <c r="AZ19" s="71" t="n">
        <f aca="false">AZ17+AZ18</f>
        <v>-2168.210801664</v>
      </c>
      <c r="BA19" s="71" t="n">
        <f aca="false">BA17+BA18</f>
        <v>-2168.210801664</v>
      </c>
      <c r="BB19" s="71" t="n">
        <f aca="false">BB17+BB18</f>
        <v>-2168.210801664</v>
      </c>
      <c r="BC19" s="71" t="n">
        <f aca="false">BC17+BC18</f>
        <v>-2168.210801664</v>
      </c>
      <c r="BD19" s="71" t="n">
        <f aca="false">BD17+BD18</f>
        <v>-2168.210801664</v>
      </c>
      <c r="BE19" s="71" t="n">
        <f aca="false">BE17+BE18</f>
        <v>-2168.210801664</v>
      </c>
      <c r="BF19" s="71" t="n">
        <f aca="false">BF17+BF18</f>
        <v>-2168.210801664</v>
      </c>
      <c r="BG19" s="71" t="n">
        <f aca="false">BG17+BG18</f>
        <v>-2168.210801664</v>
      </c>
      <c r="BH19" s="71" t="n">
        <f aca="false">BH17+BH18</f>
        <v>-2168.210801664</v>
      </c>
      <c r="BI19" s="71" t="n">
        <f aca="false">BI17+BI18</f>
        <v>-2168.210801664</v>
      </c>
      <c r="BJ19" s="71" t="n">
        <f aca="false">BJ17+BJ18</f>
        <v>-2168.210801664</v>
      </c>
    </row>
    <row r="20" customFormat="false" ht="15" hidden="false" customHeight="false" outlineLevel="0" collapsed="false">
      <c r="A20" s="108" t="s">
        <v>46</v>
      </c>
      <c r="C20" s="66" t="n">
        <f aca="false">C14+C19</f>
        <v>12973.6</v>
      </c>
      <c r="D20" s="66" t="n">
        <f aca="false">D14+D19</f>
        <v>12973.6</v>
      </c>
      <c r="E20" s="66" t="n">
        <f aca="false">E14+E19</f>
        <v>12973.6</v>
      </c>
      <c r="F20" s="66" t="n">
        <f aca="false">F14+F19</f>
        <v>12973.6</v>
      </c>
      <c r="G20" s="66" t="n">
        <f aca="false">G14+G19</f>
        <v>12973.6</v>
      </c>
      <c r="H20" s="66" t="n">
        <f aca="false">H14+H19</f>
        <v>12973.6</v>
      </c>
      <c r="I20" s="66" t="n">
        <f aca="false">I14+I19</f>
        <v>12973.6</v>
      </c>
      <c r="J20" s="66" t="n">
        <f aca="false">J14+J19</f>
        <v>12973.6</v>
      </c>
      <c r="K20" s="66" t="n">
        <f aca="false">K14+K19</f>
        <v>12973.6</v>
      </c>
      <c r="L20" s="66" t="n">
        <f aca="false">L14+L19</f>
        <v>12973.6</v>
      </c>
      <c r="M20" s="66" t="n">
        <f aca="false">M14+M19</f>
        <v>12973.6</v>
      </c>
      <c r="N20" s="66" t="n">
        <f aca="false">N14+N19</f>
        <v>12973.6</v>
      </c>
      <c r="O20" s="66" t="n">
        <f aca="false">O14+O19</f>
        <v>13215.072</v>
      </c>
      <c r="P20" s="66" t="n">
        <f aca="false">P14+P19</f>
        <v>13215.072</v>
      </c>
      <c r="Q20" s="66" t="n">
        <f aca="false">Q14+Q19</f>
        <v>13215.072</v>
      </c>
      <c r="R20" s="66" t="n">
        <f aca="false">R14+R19</f>
        <v>13215.072</v>
      </c>
      <c r="S20" s="66" t="n">
        <f aca="false">S14+S19</f>
        <v>13215.072</v>
      </c>
      <c r="T20" s="66" t="n">
        <f aca="false">T14+T19</f>
        <v>13215.072</v>
      </c>
      <c r="U20" s="66" t="n">
        <f aca="false">U14+U19</f>
        <v>13215.072</v>
      </c>
      <c r="V20" s="66" t="n">
        <f aca="false">V14+V19</f>
        <v>13215.072</v>
      </c>
      <c r="W20" s="66" t="n">
        <f aca="false">W14+W19</f>
        <v>13215.072</v>
      </c>
      <c r="X20" s="66" t="n">
        <f aca="false">X14+X19</f>
        <v>13215.072</v>
      </c>
      <c r="Y20" s="66" t="n">
        <f aca="false">Y14+Y19</f>
        <v>13215.072</v>
      </c>
      <c r="Z20" s="66" t="n">
        <f aca="false">Z14+Z19</f>
        <v>13215.072</v>
      </c>
      <c r="AA20" s="66" t="n">
        <f aca="false">AA14+AA19</f>
        <v>13460.65344</v>
      </c>
      <c r="AB20" s="66" t="n">
        <f aca="false">AB14+AB19</f>
        <v>13460.65344</v>
      </c>
      <c r="AC20" s="66" t="n">
        <f aca="false">AC14+AC19</f>
        <v>13460.65344</v>
      </c>
      <c r="AD20" s="66" t="n">
        <f aca="false">AD14+AD19</f>
        <v>13460.65344</v>
      </c>
      <c r="AE20" s="66" t="n">
        <f aca="false">AE14+AE19</f>
        <v>13460.65344</v>
      </c>
      <c r="AF20" s="66" t="n">
        <f aca="false">AF14+AF19</f>
        <v>13460.65344</v>
      </c>
      <c r="AG20" s="66" t="n">
        <f aca="false">AG14+AG19</f>
        <v>13460.65344</v>
      </c>
      <c r="AH20" s="66" t="n">
        <f aca="false">AH14+AH19</f>
        <v>13460.65344</v>
      </c>
      <c r="AI20" s="66" t="n">
        <f aca="false">AI14+AI19</f>
        <v>13460.65344</v>
      </c>
      <c r="AJ20" s="66" t="n">
        <f aca="false">AJ14+AJ19</f>
        <v>13460.65344</v>
      </c>
      <c r="AK20" s="66" t="n">
        <f aca="false">AK14+AK19</f>
        <v>13460.65344</v>
      </c>
      <c r="AL20" s="66" t="n">
        <f aca="false">AL14+AL19</f>
        <v>13460.65344</v>
      </c>
      <c r="AM20" s="66" t="n">
        <f aca="false">AM14+AM19</f>
        <v>13710.3977088</v>
      </c>
      <c r="AN20" s="66" t="n">
        <f aca="false">AN14+AN19</f>
        <v>13710.3977088</v>
      </c>
      <c r="AO20" s="66" t="n">
        <f aca="false">AO14+AO19</f>
        <v>13710.3977088</v>
      </c>
      <c r="AP20" s="66" t="n">
        <f aca="false">AP14+AP19</f>
        <v>13710.3977088</v>
      </c>
      <c r="AQ20" s="66" t="n">
        <f aca="false">AQ14+AQ19</f>
        <v>13710.3977088</v>
      </c>
      <c r="AR20" s="66" t="n">
        <f aca="false">AR14+AR19</f>
        <v>13710.3977088</v>
      </c>
      <c r="AS20" s="66" t="n">
        <f aca="false">AS14+AS19</f>
        <v>13710.3977088</v>
      </c>
      <c r="AT20" s="66" t="n">
        <f aca="false">AT14+AT19</f>
        <v>13710.3977088</v>
      </c>
      <c r="AU20" s="66" t="n">
        <f aca="false">AU14+AU19</f>
        <v>13710.3977088</v>
      </c>
      <c r="AV20" s="66" t="n">
        <f aca="false">AV14+AV19</f>
        <v>13710.3977088</v>
      </c>
      <c r="AW20" s="66" t="n">
        <f aca="false">AW14+AW19</f>
        <v>13710.3977088</v>
      </c>
      <c r="AX20" s="66" t="n">
        <f aca="false">AX14+AX19</f>
        <v>13710.3977088</v>
      </c>
      <c r="AY20" s="66" t="n">
        <f aca="false">AY14+AY19</f>
        <v>13964.358110976</v>
      </c>
      <c r="AZ20" s="66" t="n">
        <f aca="false">AZ14+AZ19</f>
        <v>13964.358110976</v>
      </c>
      <c r="BA20" s="66" t="n">
        <f aca="false">BA14+BA19</f>
        <v>13964.358110976</v>
      </c>
      <c r="BB20" s="66" t="n">
        <f aca="false">BB14+BB19</f>
        <v>13964.358110976</v>
      </c>
      <c r="BC20" s="66" t="n">
        <f aca="false">BC14+BC19</f>
        <v>13964.358110976</v>
      </c>
      <c r="BD20" s="66" t="n">
        <f aca="false">BD14+BD19</f>
        <v>13964.358110976</v>
      </c>
      <c r="BE20" s="66" t="n">
        <f aca="false">BE14+BE19</f>
        <v>13964.358110976</v>
      </c>
      <c r="BF20" s="66" t="n">
        <f aca="false">BF14+BF19</f>
        <v>13964.358110976</v>
      </c>
      <c r="BG20" s="66" t="n">
        <f aca="false">BG14+BG19</f>
        <v>13964.358110976</v>
      </c>
      <c r="BH20" s="66" t="n">
        <f aca="false">BH14+BH19</f>
        <v>13964.358110976</v>
      </c>
      <c r="BI20" s="66" t="n">
        <f aca="false">BI14+BI19</f>
        <v>13964.358110976</v>
      </c>
      <c r="BJ20" s="66" t="n">
        <f aca="false">BJ14+BJ19</f>
        <v>13964.358110976</v>
      </c>
    </row>
    <row r="22" customFormat="false" ht="15.75" hidden="false" customHeight="true" outlineLevel="0" collapsed="false">
      <c r="A22" s="7" t="s">
        <v>48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341</v>
      </c>
      <c r="C23" s="65" t="n">
        <f aca="false">-Inputs!$B$7*Inputs!$B$21/12*(1+Inputs!$B$25)^(C$7-1)*1</f>
        <v>-1695.83333333333</v>
      </c>
      <c r="D23" s="65" t="n">
        <f aca="false">-Inputs!$B$7*Inputs!$B$21/12*(1+Inputs!$B$25)^(D$7-1)*1</f>
        <v>-1695.83333333333</v>
      </c>
      <c r="E23" s="65" t="n">
        <f aca="false">-Inputs!$B$7*Inputs!$B$21/12*(1+Inputs!$B$25)^(E$7-1)*1</f>
        <v>-1695.83333333333</v>
      </c>
      <c r="F23" s="65" t="n">
        <f aca="false">-Inputs!$B$7*Inputs!$B$21/12*(1+Inputs!$B$25)^(F$7-1)*1</f>
        <v>-1695.83333333333</v>
      </c>
      <c r="G23" s="65" t="n">
        <f aca="false">-Inputs!$B$7*Inputs!$B$21/12*(1+Inputs!$B$25)^(G$7-1)*1</f>
        <v>-1695.83333333333</v>
      </c>
      <c r="H23" s="65" t="n">
        <f aca="false">-Inputs!$B$7*Inputs!$B$21/12*(1+Inputs!$B$25)^(H$7-1)*1</f>
        <v>-1695.83333333333</v>
      </c>
      <c r="I23" s="65" t="n">
        <f aca="false">-Inputs!$B$7*Inputs!$B$21/12*(1+Inputs!$B$25)^(I$7-1)*1</f>
        <v>-1695.83333333333</v>
      </c>
      <c r="J23" s="65" t="n">
        <f aca="false">-Inputs!$B$7*Inputs!$B$21/12*(1+Inputs!$B$25)^(J$7-1)*1</f>
        <v>-1695.83333333333</v>
      </c>
      <c r="K23" s="65" t="n">
        <f aca="false">-Inputs!$B$7*Inputs!$B$21/12*(1+Inputs!$B$25)^(K$7-1)*1</f>
        <v>-1695.83333333333</v>
      </c>
      <c r="L23" s="65" t="n">
        <f aca="false">-Inputs!$B$7*Inputs!$B$21/12*(1+Inputs!$B$25)^(L$7-1)*1</f>
        <v>-1695.83333333333</v>
      </c>
      <c r="M23" s="65" t="n">
        <f aca="false">-Inputs!$B$7*Inputs!$B$21/12*(1+Inputs!$B$25)^(M$7-1)*1</f>
        <v>-1695.83333333333</v>
      </c>
      <c r="N23" s="65" t="n">
        <f aca="false">-Inputs!$B$7*Inputs!$B$21/12*(1+Inputs!$B$25)^(N$7-1)*1</f>
        <v>-1695.83333333333</v>
      </c>
      <c r="O23" s="65" t="n">
        <f aca="false">-Inputs!$B$7*Inputs!$B$21/12*(1+Inputs!$B$25)^(O$7-1)*1</f>
        <v>-1763.66666666667</v>
      </c>
      <c r="P23" s="65" t="n">
        <f aca="false">-Inputs!$B$7*Inputs!$B$21/12*(1+Inputs!$B$25)^(P$7-1)*1</f>
        <v>-1763.66666666667</v>
      </c>
      <c r="Q23" s="65" t="n">
        <f aca="false">-Inputs!$B$7*Inputs!$B$21/12*(1+Inputs!$B$25)^(Q$7-1)*1</f>
        <v>-1763.66666666667</v>
      </c>
      <c r="R23" s="65" t="n">
        <f aca="false">-Inputs!$B$7*Inputs!$B$21/12*(1+Inputs!$B$25)^(R$7-1)*1</f>
        <v>-1763.66666666667</v>
      </c>
      <c r="S23" s="65" t="n">
        <f aca="false">-Inputs!$B$7*Inputs!$B$21/12*(1+Inputs!$B$25)^(S$7-1)*1</f>
        <v>-1763.66666666667</v>
      </c>
      <c r="T23" s="65" t="n">
        <f aca="false">-Inputs!$B$7*Inputs!$B$21/12*(1+Inputs!$B$25)^(T$7-1)*1</f>
        <v>-1763.66666666667</v>
      </c>
      <c r="U23" s="65" t="n">
        <f aca="false">-Inputs!$B$7*Inputs!$B$21/12*(1+Inputs!$B$25)^(U$7-1)*1</f>
        <v>-1763.66666666667</v>
      </c>
      <c r="V23" s="65" t="n">
        <f aca="false">-Inputs!$B$7*Inputs!$B$21/12*(1+Inputs!$B$25)^(V$7-1)*1</f>
        <v>-1763.66666666667</v>
      </c>
      <c r="W23" s="65" t="n">
        <f aca="false">-Inputs!$B$7*Inputs!$B$21/12*(1+Inputs!$B$25)^(W$7-1)*1</f>
        <v>-1763.66666666667</v>
      </c>
      <c r="X23" s="65" t="n">
        <f aca="false">-Inputs!$B$7*Inputs!$B$21/12*(1+Inputs!$B$25)^(X$7-1)*1</f>
        <v>-1763.66666666667</v>
      </c>
      <c r="Y23" s="65" t="n">
        <f aca="false">-Inputs!$B$7*Inputs!$B$21/12*(1+Inputs!$B$25)^(Y$7-1)*1</f>
        <v>-1763.66666666667</v>
      </c>
      <c r="Z23" s="65" t="n">
        <f aca="false">-Inputs!$B$7*Inputs!$B$21/12*(1+Inputs!$B$25)^(Z$7-1)*1</f>
        <v>-1763.66666666667</v>
      </c>
      <c r="AA23" s="65" t="n">
        <f aca="false">-Inputs!$B$7*Inputs!$B$21/12*(1+Inputs!$B$25)^(AA$7-1)*1</f>
        <v>-1834.21333333333</v>
      </c>
      <c r="AB23" s="65" t="n">
        <f aca="false">-Inputs!$B$7*Inputs!$B$21/12*(1+Inputs!$B$25)^(AB$7-1)*1</f>
        <v>-1834.21333333333</v>
      </c>
      <c r="AC23" s="65" t="n">
        <f aca="false">-Inputs!$B$7*Inputs!$B$21/12*(1+Inputs!$B$25)^(AC$7-1)*1</f>
        <v>-1834.21333333333</v>
      </c>
      <c r="AD23" s="65" t="n">
        <f aca="false">-Inputs!$B$7*Inputs!$B$21/12*(1+Inputs!$B$25)^(AD$7-1)*1</f>
        <v>-1834.21333333333</v>
      </c>
      <c r="AE23" s="65" t="n">
        <f aca="false">-Inputs!$B$7*Inputs!$B$21/12*(1+Inputs!$B$25)^(AE$7-1)*1</f>
        <v>-1834.21333333333</v>
      </c>
      <c r="AF23" s="65" t="n">
        <f aca="false">-Inputs!$B$7*Inputs!$B$21/12*(1+Inputs!$B$25)^(AF$7-1)*1</f>
        <v>-1834.21333333333</v>
      </c>
      <c r="AG23" s="65" t="n">
        <f aca="false">-Inputs!$B$7*Inputs!$B$21/12*(1+Inputs!$B$25)^(AG$7-1)*1</f>
        <v>-1834.21333333333</v>
      </c>
      <c r="AH23" s="65" t="n">
        <f aca="false">-Inputs!$B$7*Inputs!$B$21/12*(1+Inputs!$B$25)^(AH$7-1)*1</f>
        <v>-1834.21333333333</v>
      </c>
      <c r="AI23" s="65" t="n">
        <f aca="false">-Inputs!$B$7*Inputs!$B$21/12*(1+Inputs!$B$25)^(AI$7-1)*1</f>
        <v>-1834.21333333333</v>
      </c>
      <c r="AJ23" s="65" t="n">
        <f aca="false">-Inputs!$B$7*Inputs!$B$21/12*(1+Inputs!$B$25)^(AJ$7-1)*1</f>
        <v>-1834.21333333333</v>
      </c>
      <c r="AK23" s="65" t="n">
        <f aca="false">-Inputs!$B$7*Inputs!$B$21/12*(1+Inputs!$B$25)^(AK$7-1)*1</f>
        <v>-1834.21333333333</v>
      </c>
      <c r="AL23" s="65" t="n">
        <f aca="false">-Inputs!$B$7*Inputs!$B$21/12*(1+Inputs!$B$25)^(AL$7-1)*1</f>
        <v>-1834.21333333333</v>
      </c>
      <c r="AM23" s="65" t="n">
        <f aca="false">-Inputs!$B$7*Inputs!$B$21/12*(1+Inputs!$B$25)^(AM$7-1)*1</f>
        <v>-1907.58186666667</v>
      </c>
      <c r="AN23" s="65" t="n">
        <f aca="false">-Inputs!$B$7*Inputs!$B$21/12*(1+Inputs!$B$25)^(AN$7-1)*1</f>
        <v>-1907.58186666667</v>
      </c>
      <c r="AO23" s="65" t="n">
        <f aca="false">-Inputs!$B$7*Inputs!$B$21/12*(1+Inputs!$B$25)^(AO$7-1)*1</f>
        <v>-1907.58186666667</v>
      </c>
      <c r="AP23" s="65" t="n">
        <f aca="false">-Inputs!$B$7*Inputs!$B$21/12*(1+Inputs!$B$25)^(AP$7-1)*1</f>
        <v>-1907.58186666667</v>
      </c>
      <c r="AQ23" s="65" t="n">
        <f aca="false">-Inputs!$B$7*Inputs!$B$21/12*(1+Inputs!$B$25)^(AQ$7-1)*1</f>
        <v>-1907.58186666667</v>
      </c>
      <c r="AR23" s="65" t="n">
        <f aca="false">-Inputs!$B$7*Inputs!$B$21/12*(1+Inputs!$B$25)^(AR$7-1)*1</f>
        <v>-1907.58186666667</v>
      </c>
      <c r="AS23" s="65" t="n">
        <f aca="false">-Inputs!$B$7*Inputs!$B$21/12*(1+Inputs!$B$25)^(AS$7-1)*1</f>
        <v>-1907.58186666667</v>
      </c>
      <c r="AT23" s="65" t="n">
        <f aca="false">-Inputs!$B$7*Inputs!$B$21/12*(1+Inputs!$B$25)^(AT$7-1)*1</f>
        <v>-1907.58186666667</v>
      </c>
      <c r="AU23" s="65" t="n">
        <f aca="false">-Inputs!$B$7*Inputs!$B$21/12*(1+Inputs!$B$25)^(AU$7-1)*1</f>
        <v>-1907.58186666667</v>
      </c>
      <c r="AV23" s="65" t="n">
        <f aca="false">-Inputs!$B$7*Inputs!$B$21/12*(1+Inputs!$B$25)^(AV$7-1)*1</f>
        <v>-1907.58186666667</v>
      </c>
      <c r="AW23" s="65" t="n">
        <f aca="false">-Inputs!$B$7*Inputs!$B$21/12*(1+Inputs!$B$25)^(AW$7-1)*1</f>
        <v>-1907.58186666667</v>
      </c>
      <c r="AX23" s="65" t="n">
        <f aca="false">-Inputs!$B$7*Inputs!$B$21/12*(1+Inputs!$B$25)^(AX$7-1)*1</f>
        <v>-1907.58186666667</v>
      </c>
      <c r="AY23" s="65" t="n">
        <f aca="false">-Inputs!$B$7*Inputs!$B$21/12*(1+Inputs!$B$25)^(AY$7-1)*1</f>
        <v>-1983.88514133333</v>
      </c>
      <c r="AZ23" s="65" t="n">
        <f aca="false">-Inputs!$B$7*Inputs!$B$21/12*(1+Inputs!$B$25)^(AZ$7-1)*1</f>
        <v>-1983.88514133333</v>
      </c>
      <c r="BA23" s="65" t="n">
        <f aca="false">-Inputs!$B$7*Inputs!$B$21/12*(1+Inputs!$B$25)^(BA$7-1)*1</f>
        <v>-1983.88514133333</v>
      </c>
      <c r="BB23" s="65" t="n">
        <f aca="false">-Inputs!$B$7*Inputs!$B$21/12*(1+Inputs!$B$25)^(BB$7-1)*1</f>
        <v>-1983.88514133333</v>
      </c>
      <c r="BC23" s="65" t="n">
        <f aca="false">-Inputs!$B$7*Inputs!$B$21/12*(1+Inputs!$B$25)^(BC$7-1)*1</f>
        <v>-1983.88514133333</v>
      </c>
      <c r="BD23" s="65" t="n">
        <f aca="false">-Inputs!$B$7*Inputs!$B$21/12*(1+Inputs!$B$25)^(BD$7-1)*1</f>
        <v>-1983.88514133333</v>
      </c>
      <c r="BE23" s="65" t="n">
        <f aca="false">-Inputs!$B$7*Inputs!$B$21/12*(1+Inputs!$B$25)^(BE$7-1)*1</f>
        <v>-1983.88514133333</v>
      </c>
      <c r="BF23" s="65" t="n">
        <f aca="false">-Inputs!$B$7*Inputs!$B$21/12*(1+Inputs!$B$25)^(BF$7-1)*1</f>
        <v>-1983.88514133333</v>
      </c>
      <c r="BG23" s="65" t="n">
        <f aca="false">-Inputs!$B$7*Inputs!$B$21/12*(1+Inputs!$B$25)^(BG$7-1)*1</f>
        <v>-1983.88514133333</v>
      </c>
      <c r="BH23" s="65" t="n">
        <f aca="false">-Inputs!$B$7*Inputs!$B$21/12*(1+Inputs!$B$25)^(BH$7-1)*1</f>
        <v>-1983.88514133333</v>
      </c>
      <c r="BI23" s="65" t="n">
        <f aca="false">-Inputs!$B$7*Inputs!$B$21/12*(1+Inputs!$B$25)^(BI$7-1)*1</f>
        <v>-1983.88514133333</v>
      </c>
      <c r="BJ23" s="65" t="n">
        <f aca="false">-Inputs!$B$7*Inputs!$B$21/12*(1+Inputs!$B$25)^(BJ$7-1)*1</f>
        <v>-1983.88514133333</v>
      </c>
    </row>
    <row r="24" customFormat="false" ht="15" hidden="false" customHeight="false" outlineLevel="0" collapsed="false">
      <c r="A24" s="6" t="s">
        <v>342</v>
      </c>
      <c r="C24" s="65" t="n">
        <f aca="false">-Inputs!$B$10*Inputs!$B$22/12*(1+Inputs!$B$25)^(C$7-1)*1</f>
        <v>-666.666666666667</v>
      </c>
      <c r="D24" s="65" t="n">
        <f aca="false">-Inputs!$B$10*Inputs!$B$22/12*(1+Inputs!$B$25)^(D$7-1)*1</f>
        <v>-666.666666666667</v>
      </c>
      <c r="E24" s="65" t="n">
        <f aca="false">-Inputs!$B$10*Inputs!$B$22/12*(1+Inputs!$B$25)^(E$7-1)*1</f>
        <v>-666.666666666667</v>
      </c>
      <c r="F24" s="65" t="n">
        <f aca="false">-Inputs!$B$10*Inputs!$B$22/12*(1+Inputs!$B$25)^(F$7-1)*1</f>
        <v>-666.666666666667</v>
      </c>
      <c r="G24" s="65" t="n">
        <f aca="false">-Inputs!$B$10*Inputs!$B$22/12*(1+Inputs!$B$25)^(G$7-1)*1</f>
        <v>-666.666666666667</v>
      </c>
      <c r="H24" s="65" t="n">
        <f aca="false">-Inputs!$B$10*Inputs!$B$22/12*(1+Inputs!$B$25)^(H$7-1)*1</f>
        <v>-666.666666666667</v>
      </c>
      <c r="I24" s="65" t="n">
        <f aca="false">-Inputs!$B$10*Inputs!$B$22/12*(1+Inputs!$B$25)^(I$7-1)*1</f>
        <v>-666.666666666667</v>
      </c>
      <c r="J24" s="65" t="n">
        <f aca="false">-Inputs!$B$10*Inputs!$B$22/12*(1+Inputs!$B$25)^(J$7-1)*1</f>
        <v>-666.666666666667</v>
      </c>
      <c r="K24" s="65" t="n">
        <f aca="false">-Inputs!$B$10*Inputs!$B$22/12*(1+Inputs!$B$25)^(K$7-1)*1</f>
        <v>-666.666666666667</v>
      </c>
      <c r="L24" s="65" t="n">
        <f aca="false">-Inputs!$B$10*Inputs!$B$22/12*(1+Inputs!$B$25)^(L$7-1)*1</f>
        <v>-666.666666666667</v>
      </c>
      <c r="M24" s="65" t="n">
        <f aca="false">-Inputs!$B$10*Inputs!$B$22/12*(1+Inputs!$B$25)^(M$7-1)*1</f>
        <v>-666.666666666667</v>
      </c>
      <c r="N24" s="65" t="n">
        <f aca="false">-Inputs!$B$10*Inputs!$B$22/12*(1+Inputs!$B$25)^(N$7-1)*1</f>
        <v>-666.666666666667</v>
      </c>
      <c r="O24" s="65" t="n">
        <f aca="false">-Inputs!$B$10*Inputs!$B$22/12*(1+Inputs!$B$25)^(O$7-1)*1</f>
        <v>-693.333333333333</v>
      </c>
      <c r="P24" s="65" t="n">
        <f aca="false">-Inputs!$B$10*Inputs!$B$22/12*(1+Inputs!$B$25)^(P$7-1)*1</f>
        <v>-693.333333333333</v>
      </c>
      <c r="Q24" s="65" t="n">
        <f aca="false">-Inputs!$B$10*Inputs!$B$22/12*(1+Inputs!$B$25)^(Q$7-1)*1</f>
        <v>-693.333333333333</v>
      </c>
      <c r="R24" s="65" t="n">
        <f aca="false">-Inputs!$B$10*Inputs!$B$22/12*(1+Inputs!$B$25)^(R$7-1)*1</f>
        <v>-693.333333333333</v>
      </c>
      <c r="S24" s="65" t="n">
        <f aca="false">-Inputs!$B$10*Inputs!$B$22/12*(1+Inputs!$B$25)^(S$7-1)*1</f>
        <v>-693.333333333333</v>
      </c>
      <c r="T24" s="65" t="n">
        <f aca="false">-Inputs!$B$10*Inputs!$B$22/12*(1+Inputs!$B$25)^(T$7-1)*1</f>
        <v>-693.333333333333</v>
      </c>
      <c r="U24" s="65" t="n">
        <f aca="false">-Inputs!$B$10*Inputs!$B$22/12*(1+Inputs!$B$25)^(U$7-1)*1</f>
        <v>-693.333333333333</v>
      </c>
      <c r="V24" s="65" t="n">
        <f aca="false">-Inputs!$B$10*Inputs!$B$22/12*(1+Inputs!$B$25)^(V$7-1)*1</f>
        <v>-693.333333333333</v>
      </c>
      <c r="W24" s="65" t="n">
        <f aca="false">-Inputs!$B$10*Inputs!$B$22/12*(1+Inputs!$B$25)^(W$7-1)*1</f>
        <v>-693.333333333333</v>
      </c>
      <c r="X24" s="65" t="n">
        <f aca="false">-Inputs!$B$10*Inputs!$B$22/12*(1+Inputs!$B$25)^(X$7-1)*1</f>
        <v>-693.333333333333</v>
      </c>
      <c r="Y24" s="65" t="n">
        <f aca="false">-Inputs!$B$10*Inputs!$B$22/12*(1+Inputs!$B$25)^(Y$7-1)*1</f>
        <v>-693.333333333333</v>
      </c>
      <c r="Z24" s="65" t="n">
        <f aca="false">-Inputs!$B$10*Inputs!$B$22/12*(1+Inputs!$B$25)^(Z$7-1)*1</f>
        <v>-693.333333333333</v>
      </c>
      <c r="AA24" s="65" t="n">
        <f aca="false">-Inputs!$B$10*Inputs!$B$22/12*(1+Inputs!$B$25)^(AA$7-1)*1</f>
        <v>-721.066666666667</v>
      </c>
      <c r="AB24" s="65" t="n">
        <f aca="false">-Inputs!$B$10*Inputs!$B$22/12*(1+Inputs!$B$25)^(AB$7-1)*1</f>
        <v>-721.066666666667</v>
      </c>
      <c r="AC24" s="65" t="n">
        <f aca="false">-Inputs!$B$10*Inputs!$B$22/12*(1+Inputs!$B$25)^(AC$7-1)*1</f>
        <v>-721.066666666667</v>
      </c>
      <c r="AD24" s="65" t="n">
        <f aca="false">-Inputs!$B$10*Inputs!$B$22/12*(1+Inputs!$B$25)^(AD$7-1)*1</f>
        <v>-721.066666666667</v>
      </c>
      <c r="AE24" s="65" t="n">
        <f aca="false">-Inputs!$B$10*Inputs!$B$22/12*(1+Inputs!$B$25)^(AE$7-1)*1</f>
        <v>-721.066666666667</v>
      </c>
      <c r="AF24" s="65" t="n">
        <f aca="false">-Inputs!$B$10*Inputs!$B$22/12*(1+Inputs!$B$25)^(AF$7-1)*1</f>
        <v>-721.066666666667</v>
      </c>
      <c r="AG24" s="65" t="n">
        <f aca="false">-Inputs!$B$10*Inputs!$B$22/12*(1+Inputs!$B$25)^(AG$7-1)*1</f>
        <v>-721.066666666667</v>
      </c>
      <c r="AH24" s="65" t="n">
        <f aca="false">-Inputs!$B$10*Inputs!$B$22/12*(1+Inputs!$B$25)^(AH$7-1)*1</f>
        <v>-721.066666666667</v>
      </c>
      <c r="AI24" s="65" t="n">
        <f aca="false">-Inputs!$B$10*Inputs!$B$22/12*(1+Inputs!$B$25)^(AI$7-1)*1</f>
        <v>-721.066666666667</v>
      </c>
      <c r="AJ24" s="65" t="n">
        <f aca="false">-Inputs!$B$10*Inputs!$B$22/12*(1+Inputs!$B$25)^(AJ$7-1)*1</f>
        <v>-721.066666666667</v>
      </c>
      <c r="AK24" s="65" t="n">
        <f aca="false">-Inputs!$B$10*Inputs!$B$22/12*(1+Inputs!$B$25)^(AK$7-1)*1</f>
        <v>-721.066666666667</v>
      </c>
      <c r="AL24" s="65" t="n">
        <f aca="false">-Inputs!$B$10*Inputs!$B$22/12*(1+Inputs!$B$25)^(AL$7-1)*1</f>
        <v>-721.066666666667</v>
      </c>
      <c r="AM24" s="65" t="n">
        <f aca="false">-Inputs!$B$10*Inputs!$B$22/12*(1+Inputs!$B$25)^(AM$7-1)*1</f>
        <v>-749.909333333333</v>
      </c>
      <c r="AN24" s="65" t="n">
        <f aca="false">-Inputs!$B$10*Inputs!$B$22/12*(1+Inputs!$B$25)^(AN$7-1)*1</f>
        <v>-749.909333333333</v>
      </c>
      <c r="AO24" s="65" t="n">
        <f aca="false">-Inputs!$B$10*Inputs!$B$22/12*(1+Inputs!$B$25)^(AO$7-1)*1</f>
        <v>-749.909333333333</v>
      </c>
      <c r="AP24" s="65" t="n">
        <f aca="false">-Inputs!$B$10*Inputs!$B$22/12*(1+Inputs!$B$25)^(AP$7-1)*1</f>
        <v>-749.909333333333</v>
      </c>
      <c r="AQ24" s="65" t="n">
        <f aca="false">-Inputs!$B$10*Inputs!$B$22/12*(1+Inputs!$B$25)^(AQ$7-1)*1</f>
        <v>-749.909333333333</v>
      </c>
      <c r="AR24" s="65" t="n">
        <f aca="false">-Inputs!$B$10*Inputs!$B$22/12*(1+Inputs!$B$25)^(AR$7-1)*1</f>
        <v>-749.909333333333</v>
      </c>
      <c r="AS24" s="65" t="n">
        <f aca="false">-Inputs!$B$10*Inputs!$B$22/12*(1+Inputs!$B$25)^(AS$7-1)*1</f>
        <v>-749.909333333333</v>
      </c>
      <c r="AT24" s="65" t="n">
        <f aca="false">-Inputs!$B$10*Inputs!$B$22/12*(1+Inputs!$B$25)^(AT$7-1)*1</f>
        <v>-749.909333333333</v>
      </c>
      <c r="AU24" s="65" t="n">
        <f aca="false">-Inputs!$B$10*Inputs!$B$22/12*(1+Inputs!$B$25)^(AU$7-1)*1</f>
        <v>-749.909333333333</v>
      </c>
      <c r="AV24" s="65" t="n">
        <f aca="false">-Inputs!$B$10*Inputs!$B$22/12*(1+Inputs!$B$25)^(AV$7-1)*1</f>
        <v>-749.909333333333</v>
      </c>
      <c r="AW24" s="65" t="n">
        <f aca="false">-Inputs!$B$10*Inputs!$B$22/12*(1+Inputs!$B$25)^(AW$7-1)*1</f>
        <v>-749.909333333333</v>
      </c>
      <c r="AX24" s="65" t="n">
        <f aca="false">-Inputs!$B$10*Inputs!$B$22/12*(1+Inputs!$B$25)^(AX$7-1)*1</f>
        <v>-749.909333333333</v>
      </c>
      <c r="AY24" s="65" t="n">
        <f aca="false">-Inputs!$B$10*Inputs!$B$22/12*(1+Inputs!$B$25)^(AY$7-1)*1</f>
        <v>-779.905706666667</v>
      </c>
      <c r="AZ24" s="65" t="n">
        <f aca="false">-Inputs!$B$10*Inputs!$B$22/12*(1+Inputs!$B$25)^(AZ$7-1)*1</f>
        <v>-779.905706666667</v>
      </c>
      <c r="BA24" s="65" t="n">
        <f aca="false">-Inputs!$B$10*Inputs!$B$22/12*(1+Inputs!$B$25)^(BA$7-1)*1</f>
        <v>-779.905706666667</v>
      </c>
      <c r="BB24" s="65" t="n">
        <f aca="false">-Inputs!$B$10*Inputs!$B$22/12*(1+Inputs!$B$25)^(BB$7-1)*1</f>
        <v>-779.905706666667</v>
      </c>
      <c r="BC24" s="65" t="n">
        <f aca="false">-Inputs!$B$10*Inputs!$B$22/12*(1+Inputs!$B$25)^(BC$7-1)*1</f>
        <v>-779.905706666667</v>
      </c>
      <c r="BD24" s="65" t="n">
        <f aca="false">-Inputs!$B$10*Inputs!$B$22/12*(1+Inputs!$B$25)^(BD$7-1)*1</f>
        <v>-779.905706666667</v>
      </c>
      <c r="BE24" s="65" t="n">
        <f aca="false">-Inputs!$B$10*Inputs!$B$22/12*(1+Inputs!$B$25)^(BE$7-1)*1</f>
        <v>-779.905706666667</v>
      </c>
      <c r="BF24" s="65" t="n">
        <f aca="false">-Inputs!$B$10*Inputs!$B$22/12*(1+Inputs!$B$25)^(BF$7-1)*1</f>
        <v>-779.905706666667</v>
      </c>
      <c r="BG24" s="65" t="n">
        <f aca="false">-Inputs!$B$10*Inputs!$B$22/12*(1+Inputs!$B$25)^(BG$7-1)*1</f>
        <v>-779.905706666667</v>
      </c>
      <c r="BH24" s="65" t="n">
        <f aca="false">-Inputs!$B$10*Inputs!$B$22/12*(1+Inputs!$B$25)^(BH$7-1)*1</f>
        <v>-779.905706666667</v>
      </c>
      <c r="BI24" s="65" t="n">
        <f aca="false">-Inputs!$B$10*Inputs!$B$22/12*(1+Inputs!$B$25)^(BI$7-1)*1</f>
        <v>-779.905706666667</v>
      </c>
      <c r="BJ24" s="65" t="n">
        <f aca="false">-Inputs!$B$10*Inputs!$B$22/12*(1+Inputs!$B$25)^(BJ$7-1)*1</f>
        <v>-779.905706666667</v>
      </c>
    </row>
    <row r="25" customFormat="false" ht="15" hidden="false" customHeight="false" outlineLevel="0" collapsed="false">
      <c r="A25" s="6" t="s">
        <v>343</v>
      </c>
      <c r="C25" s="65" t="n">
        <f aca="false">-C14*Inputs!$B$23</f>
        <v>-1192.32</v>
      </c>
      <c r="D25" s="65" t="n">
        <f aca="false">-D14*Inputs!$B$23</f>
        <v>-1192.32</v>
      </c>
      <c r="E25" s="65" t="n">
        <f aca="false">-E14*Inputs!$B$23</f>
        <v>-1192.32</v>
      </c>
      <c r="F25" s="65" t="n">
        <f aca="false">-F14*Inputs!$B$23</f>
        <v>-1192.32</v>
      </c>
      <c r="G25" s="65" t="n">
        <f aca="false">-G14*Inputs!$B$23</f>
        <v>-1192.32</v>
      </c>
      <c r="H25" s="65" t="n">
        <f aca="false">-H14*Inputs!$B$23</f>
        <v>-1192.32</v>
      </c>
      <c r="I25" s="65" t="n">
        <f aca="false">-I14*Inputs!$B$23</f>
        <v>-1192.32</v>
      </c>
      <c r="J25" s="65" t="n">
        <f aca="false">-J14*Inputs!$B$23</f>
        <v>-1192.32</v>
      </c>
      <c r="K25" s="65" t="n">
        <f aca="false">-K14*Inputs!$B$23</f>
        <v>-1192.32</v>
      </c>
      <c r="L25" s="65" t="n">
        <f aca="false">-L14*Inputs!$B$23</f>
        <v>-1192.32</v>
      </c>
      <c r="M25" s="65" t="n">
        <f aca="false">-M14*Inputs!$B$23</f>
        <v>-1192.32</v>
      </c>
      <c r="N25" s="65" t="n">
        <f aca="false">-N14*Inputs!$B$23</f>
        <v>-1192.32</v>
      </c>
      <c r="O25" s="65" t="n">
        <f aca="false">-O14*Inputs!$B$23</f>
        <v>-1216.1664</v>
      </c>
      <c r="P25" s="65" t="n">
        <f aca="false">-P14*Inputs!$B$23</f>
        <v>-1216.1664</v>
      </c>
      <c r="Q25" s="65" t="n">
        <f aca="false">-Q14*Inputs!$B$23</f>
        <v>-1216.1664</v>
      </c>
      <c r="R25" s="65" t="n">
        <f aca="false">-R14*Inputs!$B$23</f>
        <v>-1216.1664</v>
      </c>
      <c r="S25" s="65" t="n">
        <f aca="false">-S14*Inputs!$B$23</f>
        <v>-1216.1664</v>
      </c>
      <c r="T25" s="65" t="n">
        <f aca="false">-T14*Inputs!$B$23</f>
        <v>-1216.1664</v>
      </c>
      <c r="U25" s="65" t="n">
        <f aca="false">-U14*Inputs!$B$23</f>
        <v>-1216.1664</v>
      </c>
      <c r="V25" s="65" t="n">
        <f aca="false">-V14*Inputs!$B$23</f>
        <v>-1216.1664</v>
      </c>
      <c r="W25" s="65" t="n">
        <f aca="false">-W14*Inputs!$B$23</f>
        <v>-1216.1664</v>
      </c>
      <c r="X25" s="65" t="n">
        <f aca="false">-X14*Inputs!$B$23</f>
        <v>-1216.1664</v>
      </c>
      <c r="Y25" s="65" t="n">
        <f aca="false">-Y14*Inputs!$B$23</f>
        <v>-1216.1664</v>
      </c>
      <c r="Z25" s="65" t="n">
        <f aca="false">-Z14*Inputs!$B$23</f>
        <v>-1216.1664</v>
      </c>
      <c r="AA25" s="65" t="n">
        <f aca="false">-AA14*Inputs!$B$23</f>
        <v>-1240.489728</v>
      </c>
      <c r="AB25" s="65" t="n">
        <f aca="false">-AB14*Inputs!$B$23</f>
        <v>-1240.489728</v>
      </c>
      <c r="AC25" s="65" t="n">
        <f aca="false">-AC14*Inputs!$B$23</f>
        <v>-1240.489728</v>
      </c>
      <c r="AD25" s="65" t="n">
        <f aca="false">-AD14*Inputs!$B$23</f>
        <v>-1240.489728</v>
      </c>
      <c r="AE25" s="65" t="n">
        <f aca="false">-AE14*Inputs!$B$23</f>
        <v>-1240.489728</v>
      </c>
      <c r="AF25" s="65" t="n">
        <f aca="false">-AF14*Inputs!$B$23</f>
        <v>-1240.489728</v>
      </c>
      <c r="AG25" s="65" t="n">
        <f aca="false">-AG14*Inputs!$B$23</f>
        <v>-1240.489728</v>
      </c>
      <c r="AH25" s="65" t="n">
        <f aca="false">-AH14*Inputs!$B$23</f>
        <v>-1240.489728</v>
      </c>
      <c r="AI25" s="65" t="n">
        <f aca="false">-AI14*Inputs!$B$23</f>
        <v>-1240.489728</v>
      </c>
      <c r="AJ25" s="65" t="n">
        <f aca="false">-AJ14*Inputs!$B$23</f>
        <v>-1240.489728</v>
      </c>
      <c r="AK25" s="65" t="n">
        <f aca="false">-AK14*Inputs!$B$23</f>
        <v>-1240.489728</v>
      </c>
      <c r="AL25" s="65" t="n">
        <f aca="false">-AL14*Inputs!$B$23</f>
        <v>-1240.489728</v>
      </c>
      <c r="AM25" s="65" t="n">
        <f aca="false">-AM14*Inputs!$B$23</f>
        <v>-1265.29952256</v>
      </c>
      <c r="AN25" s="65" t="n">
        <f aca="false">-AN14*Inputs!$B$23</f>
        <v>-1265.29952256</v>
      </c>
      <c r="AO25" s="65" t="n">
        <f aca="false">-AO14*Inputs!$B$23</f>
        <v>-1265.29952256</v>
      </c>
      <c r="AP25" s="65" t="n">
        <f aca="false">-AP14*Inputs!$B$23</f>
        <v>-1265.29952256</v>
      </c>
      <c r="AQ25" s="65" t="n">
        <f aca="false">-AQ14*Inputs!$B$23</f>
        <v>-1265.29952256</v>
      </c>
      <c r="AR25" s="65" t="n">
        <f aca="false">-AR14*Inputs!$B$23</f>
        <v>-1265.29952256</v>
      </c>
      <c r="AS25" s="65" t="n">
        <f aca="false">-AS14*Inputs!$B$23</f>
        <v>-1265.29952256</v>
      </c>
      <c r="AT25" s="65" t="n">
        <f aca="false">-AT14*Inputs!$B$23</f>
        <v>-1265.29952256</v>
      </c>
      <c r="AU25" s="65" t="n">
        <f aca="false">-AU14*Inputs!$B$23</f>
        <v>-1265.29952256</v>
      </c>
      <c r="AV25" s="65" t="n">
        <f aca="false">-AV14*Inputs!$B$23</f>
        <v>-1265.29952256</v>
      </c>
      <c r="AW25" s="65" t="n">
        <f aca="false">-AW14*Inputs!$B$23</f>
        <v>-1265.29952256</v>
      </c>
      <c r="AX25" s="65" t="n">
        <f aca="false">-AX14*Inputs!$B$23</f>
        <v>-1265.29952256</v>
      </c>
      <c r="AY25" s="65" t="n">
        <f aca="false">-AY14*Inputs!$B$23</f>
        <v>-1290.6055130112</v>
      </c>
      <c r="AZ25" s="65" t="n">
        <f aca="false">-AZ14*Inputs!$B$23</f>
        <v>-1290.6055130112</v>
      </c>
      <c r="BA25" s="65" t="n">
        <f aca="false">-BA14*Inputs!$B$23</f>
        <v>-1290.6055130112</v>
      </c>
      <c r="BB25" s="65" t="n">
        <f aca="false">-BB14*Inputs!$B$23</f>
        <v>-1290.6055130112</v>
      </c>
      <c r="BC25" s="65" t="n">
        <f aca="false">-BC14*Inputs!$B$23</f>
        <v>-1290.6055130112</v>
      </c>
      <c r="BD25" s="65" t="n">
        <f aca="false">-BD14*Inputs!$B$23</f>
        <v>-1290.6055130112</v>
      </c>
      <c r="BE25" s="65" t="n">
        <f aca="false">-BE14*Inputs!$B$23</f>
        <v>-1290.6055130112</v>
      </c>
      <c r="BF25" s="65" t="n">
        <f aca="false">-BF14*Inputs!$B$23</f>
        <v>-1290.6055130112</v>
      </c>
      <c r="BG25" s="65" t="n">
        <f aca="false">-BG14*Inputs!$B$23</f>
        <v>-1290.6055130112</v>
      </c>
      <c r="BH25" s="65" t="n">
        <f aca="false">-BH14*Inputs!$B$23</f>
        <v>-1290.6055130112</v>
      </c>
      <c r="BI25" s="65" t="n">
        <f aca="false">-BI14*Inputs!$B$23</f>
        <v>-1290.6055130112</v>
      </c>
      <c r="BJ25" s="65" t="n">
        <f aca="false">-BJ14*Inputs!$B$23</f>
        <v>-1290.6055130112</v>
      </c>
    </row>
    <row r="26" customFormat="false" ht="15" hidden="false" customHeight="false" outlineLevel="0" collapsed="false">
      <c r="A26" s="6" t="s">
        <v>344</v>
      </c>
      <c r="C26" s="65" t="n">
        <f aca="false">-Inputs!$B$24*(1+Inputs!$B$25)^(C$7-1)*1</f>
        <v>-400</v>
      </c>
      <c r="D26" s="65" t="n">
        <f aca="false">-Inputs!$B$24*(1+Inputs!$B$25)^(D$7-1)*1</f>
        <v>-400</v>
      </c>
      <c r="E26" s="65" t="n">
        <f aca="false">-Inputs!$B$24*(1+Inputs!$B$25)^(E$7-1)*1</f>
        <v>-400</v>
      </c>
      <c r="F26" s="65" t="n">
        <f aca="false">-Inputs!$B$24*(1+Inputs!$B$25)^(F$7-1)*1</f>
        <v>-400</v>
      </c>
      <c r="G26" s="65" t="n">
        <f aca="false">-Inputs!$B$24*(1+Inputs!$B$25)^(G$7-1)*1</f>
        <v>-400</v>
      </c>
      <c r="H26" s="65" t="n">
        <f aca="false">-Inputs!$B$24*(1+Inputs!$B$25)^(H$7-1)*1</f>
        <v>-400</v>
      </c>
      <c r="I26" s="65" t="n">
        <f aca="false">-Inputs!$B$24*(1+Inputs!$B$25)^(I$7-1)*1</f>
        <v>-400</v>
      </c>
      <c r="J26" s="65" t="n">
        <f aca="false">-Inputs!$B$24*(1+Inputs!$B$25)^(J$7-1)*1</f>
        <v>-400</v>
      </c>
      <c r="K26" s="65" t="n">
        <f aca="false">-Inputs!$B$24*(1+Inputs!$B$25)^(K$7-1)*1</f>
        <v>-400</v>
      </c>
      <c r="L26" s="65" t="n">
        <f aca="false">-Inputs!$B$24*(1+Inputs!$B$25)^(L$7-1)*1</f>
        <v>-400</v>
      </c>
      <c r="M26" s="65" t="n">
        <f aca="false">-Inputs!$B$24*(1+Inputs!$B$25)^(M$7-1)*1</f>
        <v>-400</v>
      </c>
      <c r="N26" s="65" t="n">
        <f aca="false">-Inputs!$B$24*(1+Inputs!$B$25)^(N$7-1)*1</f>
        <v>-400</v>
      </c>
      <c r="O26" s="65" t="n">
        <f aca="false">-Inputs!$B$24*(1+Inputs!$B$25)^(O$7-1)*1</f>
        <v>-416</v>
      </c>
      <c r="P26" s="65" t="n">
        <f aca="false">-Inputs!$B$24*(1+Inputs!$B$25)^(P$7-1)*1</f>
        <v>-416</v>
      </c>
      <c r="Q26" s="65" t="n">
        <f aca="false">-Inputs!$B$24*(1+Inputs!$B$25)^(Q$7-1)*1</f>
        <v>-416</v>
      </c>
      <c r="R26" s="65" t="n">
        <f aca="false">-Inputs!$B$24*(1+Inputs!$B$25)^(R$7-1)*1</f>
        <v>-416</v>
      </c>
      <c r="S26" s="65" t="n">
        <f aca="false">-Inputs!$B$24*(1+Inputs!$B$25)^(S$7-1)*1</f>
        <v>-416</v>
      </c>
      <c r="T26" s="65" t="n">
        <f aca="false">-Inputs!$B$24*(1+Inputs!$B$25)^(T$7-1)*1</f>
        <v>-416</v>
      </c>
      <c r="U26" s="65" t="n">
        <f aca="false">-Inputs!$B$24*(1+Inputs!$B$25)^(U$7-1)*1</f>
        <v>-416</v>
      </c>
      <c r="V26" s="65" t="n">
        <f aca="false">-Inputs!$B$24*(1+Inputs!$B$25)^(V$7-1)*1</f>
        <v>-416</v>
      </c>
      <c r="W26" s="65" t="n">
        <f aca="false">-Inputs!$B$24*(1+Inputs!$B$25)^(W$7-1)*1</f>
        <v>-416</v>
      </c>
      <c r="X26" s="65" t="n">
        <f aca="false">-Inputs!$B$24*(1+Inputs!$B$25)^(X$7-1)*1</f>
        <v>-416</v>
      </c>
      <c r="Y26" s="65" t="n">
        <f aca="false">-Inputs!$B$24*(1+Inputs!$B$25)^(Y$7-1)*1</f>
        <v>-416</v>
      </c>
      <c r="Z26" s="65" t="n">
        <f aca="false">-Inputs!$B$24*(1+Inputs!$B$25)^(Z$7-1)*1</f>
        <v>-416</v>
      </c>
      <c r="AA26" s="65" t="n">
        <f aca="false">-Inputs!$B$24*(1+Inputs!$B$25)^(AA$7-1)*1</f>
        <v>-432.64</v>
      </c>
      <c r="AB26" s="65" t="n">
        <f aca="false">-Inputs!$B$24*(1+Inputs!$B$25)^(AB$7-1)*1</f>
        <v>-432.64</v>
      </c>
      <c r="AC26" s="65" t="n">
        <f aca="false">-Inputs!$B$24*(1+Inputs!$B$25)^(AC$7-1)*1</f>
        <v>-432.64</v>
      </c>
      <c r="AD26" s="65" t="n">
        <f aca="false">-Inputs!$B$24*(1+Inputs!$B$25)^(AD$7-1)*1</f>
        <v>-432.64</v>
      </c>
      <c r="AE26" s="65" t="n">
        <f aca="false">-Inputs!$B$24*(1+Inputs!$B$25)^(AE$7-1)*1</f>
        <v>-432.64</v>
      </c>
      <c r="AF26" s="65" t="n">
        <f aca="false">-Inputs!$B$24*(1+Inputs!$B$25)^(AF$7-1)*1</f>
        <v>-432.64</v>
      </c>
      <c r="AG26" s="65" t="n">
        <f aca="false">-Inputs!$B$24*(1+Inputs!$B$25)^(AG$7-1)*1</f>
        <v>-432.64</v>
      </c>
      <c r="AH26" s="65" t="n">
        <f aca="false">-Inputs!$B$24*(1+Inputs!$B$25)^(AH$7-1)*1</f>
        <v>-432.64</v>
      </c>
      <c r="AI26" s="65" t="n">
        <f aca="false">-Inputs!$B$24*(1+Inputs!$B$25)^(AI$7-1)*1</f>
        <v>-432.64</v>
      </c>
      <c r="AJ26" s="65" t="n">
        <f aca="false">-Inputs!$B$24*(1+Inputs!$B$25)^(AJ$7-1)*1</f>
        <v>-432.64</v>
      </c>
      <c r="AK26" s="65" t="n">
        <f aca="false">-Inputs!$B$24*(1+Inputs!$B$25)^(AK$7-1)*1</f>
        <v>-432.64</v>
      </c>
      <c r="AL26" s="65" t="n">
        <f aca="false">-Inputs!$B$24*(1+Inputs!$B$25)^(AL$7-1)*1</f>
        <v>-432.64</v>
      </c>
      <c r="AM26" s="65" t="n">
        <f aca="false">-Inputs!$B$24*(1+Inputs!$B$25)^(AM$7-1)*1</f>
        <v>-449.9456</v>
      </c>
      <c r="AN26" s="65" t="n">
        <f aca="false">-Inputs!$B$24*(1+Inputs!$B$25)^(AN$7-1)*1</f>
        <v>-449.9456</v>
      </c>
      <c r="AO26" s="65" t="n">
        <f aca="false">-Inputs!$B$24*(1+Inputs!$B$25)^(AO$7-1)*1</f>
        <v>-449.9456</v>
      </c>
      <c r="AP26" s="65" t="n">
        <f aca="false">-Inputs!$B$24*(1+Inputs!$B$25)^(AP$7-1)*1</f>
        <v>-449.9456</v>
      </c>
      <c r="AQ26" s="65" t="n">
        <f aca="false">-Inputs!$B$24*(1+Inputs!$B$25)^(AQ$7-1)*1</f>
        <v>-449.9456</v>
      </c>
      <c r="AR26" s="65" t="n">
        <f aca="false">-Inputs!$B$24*(1+Inputs!$B$25)^(AR$7-1)*1</f>
        <v>-449.9456</v>
      </c>
      <c r="AS26" s="65" t="n">
        <f aca="false">-Inputs!$B$24*(1+Inputs!$B$25)^(AS$7-1)*1</f>
        <v>-449.9456</v>
      </c>
      <c r="AT26" s="65" t="n">
        <f aca="false">-Inputs!$B$24*(1+Inputs!$B$25)^(AT$7-1)*1</f>
        <v>-449.9456</v>
      </c>
      <c r="AU26" s="65" t="n">
        <f aca="false">-Inputs!$B$24*(1+Inputs!$B$25)^(AU$7-1)*1</f>
        <v>-449.9456</v>
      </c>
      <c r="AV26" s="65" t="n">
        <f aca="false">-Inputs!$B$24*(1+Inputs!$B$25)^(AV$7-1)*1</f>
        <v>-449.9456</v>
      </c>
      <c r="AW26" s="65" t="n">
        <f aca="false">-Inputs!$B$24*(1+Inputs!$B$25)^(AW$7-1)*1</f>
        <v>-449.9456</v>
      </c>
      <c r="AX26" s="65" t="n">
        <f aca="false">-Inputs!$B$24*(1+Inputs!$B$25)^(AX$7-1)*1</f>
        <v>-449.9456</v>
      </c>
      <c r="AY26" s="65" t="n">
        <f aca="false">-Inputs!$B$24*(1+Inputs!$B$25)^(AY$7-1)*1</f>
        <v>-467.943424</v>
      </c>
      <c r="AZ26" s="65" t="n">
        <f aca="false">-Inputs!$B$24*(1+Inputs!$B$25)^(AZ$7-1)*1</f>
        <v>-467.943424</v>
      </c>
      <c r="BA26" s="65" t="n">
        <f aca="false">-Inputs!$B$24*(1+Inputs!$B$25)^(BA$7-1)*1</f>
        <v>-467.943424</v>
      </c>
      <c r="BB26" s="65" t="n">
        <f aca="false">-Inputs!$B$24*(1+Inputs!$B$25)^(BB$7-1)*1</f>
        <v>-467.943424</v>
      </c>
      <c r="BC26" s="65" t="n">
        <f aca="false">-Inputs!$B$24*(1+Inputs!$B$25)^(BC$7-1)*1</f>
        <v>-467.943424</v>
      </c>
      <c r="BD26" s="65" t="n">
        <f aca="false">-Inputs!$B$24*(1+Inputs!$B$25)^(BD$7-1)*1</f>
        <v>-467.943424</v>
      </c>
      <c r="BE26" s="65" t="n">
        <f aca="false">-Inputs!$B$24*(1+Inputs!$B$25)^(BE$7-1)*1</f>
        <v>-467.943424</v>
      </c>
      <c r="BF26" s="65" t="n">
        <f aca="false">-Inputs!$B$24*(1+Inputs!$B$25)^(BF$7-1)*1</f>
        <v>-467.943424</v>
      </c>
      <c r="BG26" s="65" t="n">
        <f aca="false">-Inputs!$B$24*(1+Inputs!$B$25)^(BG$7-1)*1</f>
        <v>-467.943424</v>
      </c>
      <c r="BH26" s="65" t="n">
        <f aca="false">-Inputs!$B$24*(1+Inputs!$B$25)^(BH$7-1)*1</f>
        <v>-467.943424</v>
      </c>
      <c r="BI26" s="65" t="n">
        <f aca="false">-Inputs!$B$24*(1+Inputs!$B$25)^(BI$7-1)*1</f>
        <v>-467.943424</v>
      </c>
      <c r="BJ26" s="65" t="n">
        <f aca="false">-Inputs!$B$24*(1+Inputs!$B$25)^(BJ$7-1)*1</f>
        <v>-467.943424</v>
      </c>
    </row>
    <row r="27" customFormat="false" ht="15" hidden="false" customHeight="false" outlineLevel="0" collapsed="false">
      <c r="A27" s="108" t="s">
        <v>77</v>
      </c>
      <c r="C27" s="66" t="n">
        <f aca="false">C23+C24+C25+C26</f>
        <v>-3954.82</v>
      </c>
      <c r="D27" s="66" t="n">
        <f aca="false">D23+D24+D25+D26</f>
        <v>-3954.82</v>
      </c>
      <c r="E27" s="66" t="n">
        <f aca="false">E23+E24+E25+E26</f>
        <v>-3954.82</v>
      </c>
      <c r="F27" s="66" t="n">
        <f aca="false">F23+F24+F25+F26</f>
        <v>-3954.82</v>
      </c>
      <c r="G27" s="66" t="n">
        <f aca="false">G23+G24+G25+G26</f>
        <v>-3954.82</v>
      </c>
      <c r="H27" s="66" t="n">
        <f aca="false">H23+H24+H25+H26</f>
        <v>-3954.82</v>
      </c>
      <c r="I27" s="66" t="n">
        <f aca="false">I23+I24+I25+I26</f>
        <v>-3954.82</v>
      </c>
      <c r="J27" s="66" t="n">
        <f aca="false">J23+J24+J25+J26</f>
        <v>-3954.82</v>
      </c>
      <c r="K27" s="66" t="n">
        <f aca="false">K23+K24+K25+K26</f>
        <v>-3954.82</v>
      </c>
      <c r="L27" s="66" t="n">
        <f aca="false">L23+L24+L25+L26</f>
        <v>-3954.82</v>
      </c>
      <c r="M27" s="66" t="n">
        <f aca="false">M23+M24+M25+M26</f>
        <v>-3954.82</v>
      </c>
      <c r="N27" s="66" t="n">
        <f aca="false">N23+N24+N25+N26</f>
        <v>-3954.82</v>
      </c>
      <c r="O27" s="66" t="n">
        <f aca="false">O23+O24+O25+O26</f>
        <v>-4089.1664</v>
      </c>
      <c r="P27" s="66" t="n">
        <f aca="false">P23+P24+P25+P26</f>
        <v>-4089.1664</v>
      </c>
      <c r="Q27" s="66" t="n">
        <f aca="false">Q23+Q24+Q25+Q26</f>
        <v>-4089.1664</v>
      </c>
      <c r="R27" s="66" t="n">
        <f aca="false">R23+R24+R25+R26</f>
        <v>-4089.1664</v>
      </c>
      <c r="S27" s="66" t="n">
        <f aca="false">S23+S24+S25+S26</f>
        <v>-4089.1664</v>
      </c>
      <c r="T27" s="66" t="n">
        <f aca="false">T23+T24+T25+T26</f>
        <v>-4089.1664</v>
      </c>
      <c r="U27" s="66" t="n">
        <f aca="false">U23+U24+U25+U26</f>
        <v>-4089.1664</v>
      </c>
      <c r="V27" s="66" t="n">
        <f aca="false">V23+V24+V25+V26</f>
        <v>-4089.1664</v>
      </c>
      <c r="W27" s="66" t="n">
        <f aca="false">W23+W24+W25+W26</f>
        <v>-4089.1664</v>
      </c>
      <c r="X27" s="66" t="n">
        <f aca="false">X23+X24+X25+X26</f>
        <v>-4089.1664</v>
      </c>
      <c r="Y27" s="66" t="n">
        <f aca="false">Y23+Y24+Y25+Y26</f>
        <v>-4089.1664</v>
      </c>
      <c r="Z27" s="66" t="n">
        <f aca="false">Z23+Z24+Z25+Z26</f>
        <v>-4089.1664</v>
      </c>
      <c r="AA27" s="66" t="n">
        <f aca="false">AA23+AA24+AA25+AA26</f>
        <v>-4228.409728</v>
      </c>
      <c r="AB27" s="66" t="n">
        <f aca="false">AB23+AB24+AB25+AB26</f>
        <v>-4228.409728</v>
      </c>
      <c r="AC27" s="66" t="n">
        <f aca="false">AC23+AC24+AC25+AC26</f>
        <v>-4228.409728</v>
      </c>
      <c r="AD27" s="66" t="n">
        <f aca="false">AD23+AD24+AD25+AD26</f>
        <v>-4228.409728</v>
      </c>
      <c r="AE27" s="66" t="n">
        <f aca="false">AE23+AE24+AE25+AE26</f>
        <v>-4228.409728</v>
      </c>
      <c r="AF27" s="66" t="n">
        <f aca="false">AF23+AF24+AF25+AF26</f>
        <v>-4228.409728</v>
      </c>
      <c r="AG27" s="66" t="n">
        <f aca="false">AG23+AG24+AG25+AG26</f>
        <v>-4228.409728</v>
      </c>
      <c r="AH27" s="66" t="n">
        <f aca="false">AH23+AH24+AH25+AH26</f>
        <v>-4228.409728</v>
      </c>
      <c r="AI27" s="66" t="n">
        <f aca="false">AI23+AI24+AI25+AI26</f>
        <v>-4228.409728</v>
      </c>
      <c r="AJ27" s="66" t="n">
        <f aca="false">AJ23+AJ24+AJ25+AJ26</f>
        <v>-4228.409728</v>
      </c>
      <c r="AK27" s="66" t="n">
        <f aca="false">AK23+AK24+AK25+AK26</f>
        <v>-4228.409728</v>
      </c>
      <c r="AL27" s="66" t="n">
        <f aca="false">AL23+AL24+AL25+AL26</f>
        <v>-4228.409728</v>
      </c>
      <c r="AM27" s="66" t="n">
        <f aca="false">AM23+AM24+AM25+AM26</f>
        <v>-4372.73632256</v>
      </c>
      <c r="AN27" s="66" t="n">
        <f aca="false">AN23+AN24+AN25+AN26</f>
        <v>-4372.73632256</v>
      </c>
      <c r="AO27" s="66" t="n">
        <f aca="false">AO23+AO24+AO25+AO26</f>
        <v>-4372.73632256</v>
      </c>
      <c r="AP27" s="66" t="n">
        <f aca="false">AP23+AP24+AP25+AP26</f>
        <v>-4372.73632256</v>
      </c>
      <c r="AQ27" s="66" t="n">
        <f aca="false">AQ23+AQ24+AQ25+AQ26</f>
        <v>-4372.73632256</v>
      </c>
      <c r="AR27" s="66" t="n">
        <f aca="false">AR23+AR24+AR25+AR26</f>
        <v>-4372.73632256</v>
      </c>
      <c r="AS27" s="66" t="n">
        <f aca="false">AS23+AS24+AS25+AS26</f>
        <v>-4372.73632256</v>
      </c>
      <c r="AT27" s="66" t="n">
        <f aca="false">AT23+AT24+AT25+AT26</f>
        <v>-4372.73632256</v>
      </c>
      <c r="AU27" s="66" t="n">
        <f aca="false">AU23+AU24+AU25+AU26</f>
        <v>-4372.73632256</v>
      </c>
      <c r="AV27" s="66" t="n">
        <f aca="false">AV23+AV24+AV25+AV26</f>
        <v>-4372.73632256</v>
      </c>
      <c r="AW27" s="66" t="n">
        <f aca="false">AW23+AW24+AW25+AW26</f>
        <v>-4372.73632256</v>
      </c>
      <c r="AX27" s="66" t="n">
        <f aca="false">AX23+AX24+AX25+AX26</f>
        <v>-4372.73632256</v>
      </c>
      <c r="AY27" s="66" t="n">
        <f aca="false">AY23+AY24+AY25+AY26</f>
        <v>-4522.3397850112</v>
      </c>
      <c r="AZ27" s="66" t="n">
        <f aca="false">AZ23+AZ24+AZ25+AZ26</f>
        <v>-4522.3397850112</v>
      </c>
      <c r="BA27" s="66" t="n">
        <f aca="false">BA23+BA24+BA25+BA26</f>
        <v>-4522.3397850112</v>
      </c>
      <c r="BB27" s="66" t="n">
        <f aca="false">BB23+BB24+BB25+BB26</f>
        <v>-4522.3397850112</v>
      </c>
      <c r="BC27" s="66" t="n">
        <f aca="false">BC23+BC24+BC25+BC26</f>
        <v>-4522.3397850112</v>
      </c>
      <c r="BD27" s="66" t="n">
        <f aca="false">BD23+BD24+BD25+BD26</f>
        <v>-4522.3397850112</v>
      </c>
      <c r="BE27" s="66" t="n">
        <f aca="false">BE23+BE24+BE25+BE26</f>
        <v>-4522.3397850112</v>
      </c>
      <c r="BF27" s="66" t="n">
        <f aca="false">BF23+BF24+BF25+BF26</f>
        <v>-4522.3397850112</v>
      </c>
      <c r="BG27" s="66" t="n">
        <f aca="false">BG23+BG24+BG25+BG26</f>
        <v>-4522.3397850112</v>
      </c>
      <c r="BH27" s="66" t="n">
        <f aca="false">BH23+BH24+BH25+BH26</f>
        <v>-4522.3397850112</v>
      </c>
      <c r="BI27" s="66" t="n">
        <f aca="false">BI23+BI24+BI25+BI26</f>
        <v>-4522.3397850112</v>
      </c>
      <c r="BJ27" s="66" t="n">
        <f aca="false">BJ23+BJ24+BJ25+BJ26</f>
        <v>-4522.3397850112</v>
      </c>
    </row>
    <row r="28" customFormat="false" ht="15" hidden="false" customHeight="false" outlineLevel="0" collapsed="false">
      <c r="A28" s="108" t="s">
        <v>49</v>
      </c>
      <c r="C28" s="66" t="n">
        <f aca="false">C20+C27</f>
        <v>9018.78</v>
      </c>
      <c r="D28" s="66" t="n">
        <f aca="false">D20+D27</f>
        <v>9018.78</v>
      </c>
      <c r="E28" s="66" t="n">
        <f aca="false">E20+E27</f>
        <v>9018.78</v>
      </c>
      <c r="F28" s="66" t="n">
        <f aca="false">F20+F27</f>
        <v>9018.78</v>
      </c>
      <c r="G28" s="66" t="n">
        <f aca="false">G20+G27</f>
        <v>9018.78</v>
      </c>
      <c r="H28" s="66" t="n">
        <f aca="false">H20+H27</f>
        <v>9018.78</v>
      </c>
      <c r="I28" s="66" t="n">
        <f aca="false">I20+I27</f>
        <v>9018.78</v>
      </c>
      <c r="J28" s="66" t="n">
        <f aca="false">J20+J27</f>
        <v>9018.78</v>
      </c>
      <c r="K28" s="66" t="n">
        <f aca="false">K20+K27</f>
        <v>9018.78</v>
      </c>
      <c r="L28" s="66" t="n">
        <f aca="false">L20+L27</f>
        <v>9018.78</v>
      </c>
      <c r="M28" s="66" t="n">
        <f aca="false">M20+M27</f>
        <v>9018.78</v>
      </c>
      <c r="N28" s="66" t="n">
        <f aca="false">N20+N27</f>
        <v>9018.78</v>
      </c>
      <c r="O28" s="66" t="n">
        <f aca="false">O20+O27</f>
        <v>9125.9056</v>
      </c>
      <c r="P28" s="66" t="n">
        <f aca="false">P20+P27</f>
        <v>9125.9056</v>
      </c>
      <c r="Q28" s="66" t="n">
        <f aca="false">Q20+Q27</f>
        <v>9125.9056</v>
      </c>
      <c r="R28" s="66" t="n">
        <f aca="false">R20+R27</f>
        <v>9125.9056</v>
      </c>
      <c r="S28" s="66" t="n">
        <f aca="false">S20+S27</f>
        <v>9125.9056</v>
      </c>
      <c r="T28" s="66" t="n">
        <f aca="false">T20+T27</f>
        <v>9125.9056</v>
      </c>
      <c r="U28" s="66" t="n">
        <f aca="false">U20+U27</f>
        <v>9125.9056</v>
      </c>
      <c r="V28" s="66" t="n">
        <f aca="false">V20+V27</f>
        <v>9125.9056</v>
      </c>
      <c r="W28" s="66" t="n">
        <f aca="false">W20+W27</f>
        <v>9125.9056</v>
      </c>
      <c r="X28" s="66" t="n">
        <f aca="false">X20+X27</f>
        <v>9125.9056</v>
      </c>
      <c r="Y28" s="66" t="n">
        <f aca="false">Y20+Y27</f>
        <v>9125.9056</v>
      </c>
      <c r="Z28" s="66" t="n">
        <f aca="false">Z20+Z27</f>
        <v>9125.9056</v>
      </c>
      <c r="AA28" s="66" t="n">
        <f aca="false">AA20+AA27</f>
        <v>9232.243712</v>
      </c>
      <c r="AB28" s="66" t="n">
        <f aca="false">AB20+AB27</f>
        <v>9232.243712</v>
      </c>
      <c r="AC28" s="66" t="n">
        <f aca="false">AC20+AC27</f>
        <v>9232.243712</v>
      </c>
      <c r="AD28" s="66" t="n">
        <f aca="false">AD20+AD27</f>
        <v>9232.243712</v>
      </c>
      <c r="AE28" s="66" t="n">
        <f aca="false">AE20+AE27</f>
        <v>9232.243712</v>
      </c>
      <c r="AF28" s="66" t="n">
        <f aca="false">AF20+AF27</f>
        <v>9232.243712</v>
      </c>
      <c r="AG28" s="66" t="n">
        <f aca="false">AG20+AG27</f>
        <v>9232.243712</v>
      </c>
      <c r="AH28" s="66" t="n">
        <f aca="false">AH20+AH27</f>
        <v>9232.243712</v>
      </c>
      <c r="AI28" s="66" t="n">
        <f aca="false">AI20+AI27</f>
        <v>9232.243712</v>
      </c>
      <c r="AJ28" s="66" t="n">
        <f aca="false">AJ20+AJ27</f>
        <v>9232.243712</v>
      </c>
      <c r="AK28" s="66" t="n">
        <f aca="false">AK20+AK27</f>
        <v>9232.243712</v>
      </c>
      <c r="AL28" s="66" t="n">
        <f aca="false">AL20+AL27</f>
        <v>9232.243712</v>
      </c>
      <c r="AM28" s="66" t="n">
        <f aca="false">AM20+AM27</f>
        <v>9337.66138624</v>
      </c>
      <c r="AN28" s="66" t="n">
        <f aca="false">AN20+AN27</f>
        <v>9337.66138624</v>
      </c>
      <c r="AO28" s="66" t="n">
        <f aca="false">AO20+AO27</f>
        <v>9337.66138624</v>
      </c>
      <c r="AP28" s="66" t="n">
        <f aca="false">AP20+AP27</f>
        <v>9337.66138624</v>
      </c>
      <c r="AQ28" s="66" t="n">
        <f aca="false">AQ20+AQ27</f>
        <v>9337.66138624</v>
      </c>
      <c r="AR28" s="66" t="n">
        <f aca="false">AR20+AR27</f>
        <v>9337.66138624</v>
      </c>
      <c r="AS28" s="66" t="n">
        <f aca="false">AS20+AS27</f>
        <v>9337.66138624</v>
      </c>
      <c r="AT28" s="66" t="n">
        <f aca="false">AT20+AT27</f>
        <v>9337.66138624</v>
      </c>
      <c r="AU28" s="66" t="n">
        <f aca="false">AU20+AU27</f>
        <v>9337.66138624</v>
      </c>
      <c r="AV28" s="66" t="n">
        <f aca="false">AV20+AV27</f>
        <v>9337.66138624</v>
      </c>
      <c r="AW28" s="66" t="n">
        <f aca="false">AW20+AW27</f>
        <v>9337.66138624</v>
      </c>
      <c r="AX28" s="66" t="n">
        <f aca="false">AX20+AX27</f>
        <v>9337.66138624</v>
      </c>
      <c r="AY28" s="66" t="n">
        <f aca="false">AY20+AY27</f>
        <v>9442.0183259648</v>
      </c>
      <c r="AZ28" s="66" t="n">
        <f aca="false">AZ20+AZ27</f>
        <v>9442.0183259648</v>
      </c>
      <c r="BA28" s="66" t="n">
        <f aca="false">BA20+BA27</f>
        <v>9442.0183259648</v>
      </c>
      <c r="BB28" s="66" t="n">
        <f aca="false">BB20+BB27</f>
        <v>9442.0183259648</v>
      </c>
      <c r="BC28" s="66" t="n">
        <f aca="false">BC20+BC27</f>
        <v>9442.0183259648</v>
      </c>
      <c r="BD28" s="66" t="n">
        <f aca="false">BD20+BD27</f>
        <v>9442.0183259648</v>
      </c>
      <c r="BE28" s="66" t="n">
        <f aca="false">BE20+BE27</f>
        <v>9442.0183259648</v>
      </c>
      <c r="BF28" s="66" t="n">
        <f aca="false">BF20+BF27</f>
        <v>9442.0183259648</v>
      </c>
      <c r="BG28" s="66" t="n">
        <f aca="false">BG20+BG27</f>
        <v>9442.0183259648</v>
      </c>
      <c r="BH28" s="66" t="n">
        <f aca="false">BH20+BH27</f>
        <v>9442.0183259648</v>
      </c>
      <c r="BI28" s="66" t="n">
        <f aca="false">BI20+BI27</f>
        <v>9442.0183259648</v>
      </c>
      <c r="BJ28" s="66" t="n">
        <f aca="false">BJ20+BJ27</f>
        <v>9442.0183259648</v>
      </c>
    </row>
    <row r="30" customFormat="false" ht="15.75" hidden="false" customHeight="true" outlineLevel="0" collapsed="false">
      <c r="A30" s="7" t="s">
        <v>420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customFormat="false" ht="15" hidden="false" customHeight="false" outlineLevel="0" collapsed="false">
      <c r="A31" s="4" t="s">
        <v>79</v>
      </c>
      <c r="C31" s="71" t="n">
        <f aca="false">C28+C46</f>
        <v>4278.68226337449</v>
      </c>
      <c r="D31" s="71" t="n">
        <f aca="false">D28+D46</f>
        <v>4277.78205761317</v>
      </c>
      <c r="E31" s="71" t="n">
        <f aca="false">E28+E46</f>
        <v>4276.88185185185</v>
      </c>
      <c r="F31" s="71" t="n">
        <f aca="false">F28+F46</f>
        <v>4275.98164609054</v>
      </c>
      <c r="G31" s="71" t="n">
        <f aca="false">G28+G46</f>
        <v>4275.08144032922</v>
      </c>
      <c r="H31" s="71" t="n">
        <f aca="false">H28+H46</f>
        <v>4274.1812345679</v>
      </c>
      <c r="I31" s="71" t="n">
        <f aca="false">I28+I46</f>
        <v>4273.28102880658</v>
      </c>
      <c r="J31" s="71" t="n">
        <f aca="false">J28+J46</f>
        <v>4272.38082304527</v>
      </c>
      <c r="K31" s="71" t="n">
        <f aca="false">K28+K46</f>
        <v>4271.48061728395</v>
      </c>
      <c r="L31" s="71" t="n">
        <f aca="false">L28+L46</f>
        <v>4270.58041152263</v>
      </c>
      <c r="M31" s="71" t="n">
        <f aca="false">M28+M46</f>
        <v>4269.68020576132</v>
      </c>
      <c r="N31" s="71" t="n">
        <f aca="false">N28+N46</f>
        <v>4268.78</v>
      </c>
      <c r="O31" s="71" t="n">
        <f aca="false">O28+O46</f>
        <v>4374.96938600823</v>
      </c>
      <c r="P31" s="71" t="n">
        <f aca="false">P28+P46</f>
        <v>4374.03317201646</v>
      </c>
      <c r="Q31" s="71" t="n">
        <f aca="false">Q28+Q46</f>
        <v>4373.09695802469</v>
      </c>
      <c r="R31" s="71" t="n">
        <f aca="false">R28+R46</f>
        <v>4372.16074403292</v>
      </c>
      <c r="S31" s="71" t="n">
        <f aca="false">S28+S46</f>
        <v>4371.22453004115</v>
      </c>
      <c r="T31" s="71" t="n">
        <f aca="false">T28+T46</f>
        <v>4370.28831604938</v>
      </c>
      <c r="U31" s="71" t="n">
        <f aca="false">U28+U46</f>
        <v>4369.35210205761</v>
      </c>
      <c r="V31" s="71" t="n">
        <f aca="false">V28+V46</f>
        <v>4368.41588806584</v>
      </c>
      <c r="W31" s="71" t="n">
        <f aca="false">W28+W46</f>
        <v>4367.47967407407</v>
      </c>
      <c r="X31" s="71" t="n">
        <f aca="false">X28+X46</f>
        <v>4366.5434600823</v>
      </c>
      <c r="Y31" s="71" t="n">
        <f aca="false">Y28+Y46</f>
        <v>4365.60724609054</v>
      </c>
      <c r="Z31" s="71" t="n">
        <f aca="false">Z28+Z46</f>
        <v>4364.67103209877</v>
      </c>
      <c r="AA31" s="71" t="n">
        <f aca="false">AA28+AA46</f>
        <v>4470.03548154732</v>
      </c>
      <c r="AB31" s="71" t="n">
        <f aca="false">AB28+AB46</f>
        <v>4469.06181899588</v>
      </c>
      <c r="AC31" s="71" t="n">
        <f aca="false">AC28+AC46</f>
        <v>4468.08815644444</v>
      </c>
      <c r="AD31" s="71" t="n">
        <f aca="false">AD28+AD46</f>
        <v>4467.114493893</v>
      </c>
      <c r="AE31" s="71" t="n">
        <f aca="false">AE28+AE46</f>
        <v>4466.14083134156</v>
      </c>
      <c r="AF31" s="71" t="n">
        <f aca="false">AF28+AF46</f>
        <v>4465.16716879012</v>
      </c>
      <c r="AG31" s="71" t="n">
        <f aca="false">AG28+AG46</f>
        <v>4464.19350623868</v>
      </c>
      <c r="AH31" s="71" t="n">
        <f aca="false">AH28+AH46</f>
        <v>4463.21984368724</v>
      </c>
      <c r="AI31" s="71" t="n">
        <f aca="false">AI28+AI46</f>
        <v>4462.2461811358</v>
      </c>
      <c r="AJ31" s="71" t="n">
        <f aca="false">AJ28+AJ46</f>
        <v>4461.27251858436</v>
      </c>
      <c r="AK31" s="71" t="n">
        <f aca="false">AK28+AK46</f>
        <v>4460.29885603292</v>
      </c>
      <c r="AL31" s="71" t="n">
        <f aca="false">AL28+AL46</f>
        <v>4459.32519348148</v>
      </c>
      <c r="AM31" s="71" t="n">
        <f aca="false">AM28+AM46</f>
        <v>4563.73025866799</v>
      </c>
      <c r="AN31" s="71" t="n">
        <f aca="false">AN28+AN46</f>
        <v>4562.71764961449</v>
      </c>
      <c r="AO31" s="71" t="n">
        <f aca="false">AO28+AO46</f>
        <v>4561.70504056099</v>
      </c>
      <c r="AP31" s="71" t="n">
        <f aca="false">AP28+AP46</f>
        <v>4560.69243150749</v>
      </c>
      <c r="AQ31" s="71" t="n">
        <f aca="false">AQ28+AQ46</f>
        <v>4559.67982245399</v>
      </c>
      <c r="AR31" s="71" t="n">
        <f aca="false">AR28+AR46</f>
        <v>4558.6672134005</v>
      </c>
      <c r="AS31" s="71" t="n">
        <f aca="false">AS28+AS46</f>
        <v>4557.654604347</v>
      </c>
      <c r="AT31" s="71" t="n">
        <f aca="false">AT28+AT46</f>
        <v>4556.6419952935</v>
      </c>
      <c r="AU31" s="71" t="n">
        <f aca="false">AU28+AU46</f>
        <v>4555.62938624</v>
      </c>
      <c r="AV31" s="71" t="n">
        <f aca="false">AV28+AV46</f>
        <v>4554.61677718651</v>
      </c>
      <c r="AW31" s="71" t="n">
        <f aca="false">AW28+AW46</f>
        <v>4553.60416813301</v>
      </c>
      <c r="AX31" s="71" t="n">
        <f aca="false">AX28+AX46</f>
        <v>4552.59155907951</v>
      </c>
      <c r="AY31" s="71" t="n">
        <f aca="false">AY28+AY46</f>
        <v>4655.89538538867</v>
      </c>
      <c r="AZ31" s="71" t="n">
        <f aca="false">AZ28+AZ46</f>
        <v>4654.84227197303</v>
      </c>
      <c r="BA31" s="71" t="n">
        <f aca="false">BA28+BA46</f>
        <v>4653.7891585574</v>
      </c>
      <c r="BB31" s="71" t="n">
        <f aca="false">BB28+BB46</f>
        <v>4652.73604514176</v>
      </c>
      <c r="BC31" s="71" t="n">
        <f aca="false">BC28+BC46</f>
        <v>4651.68293172612</v>
      </c>
      <c r="BD31" s="71" t="n">
        <f aca="false">BD28+BD46</f>
        <v>4650.62981831049</v>
      </c>
      <c r="BE31" s="71" t="n">
        <f aca="false">BE28+BE46</f>
        <v>4649.57670489485</v>
      </c>
      <c r="BF31" s="71" t="n">
        <f aca="false">BF28+BF46</f>
        <v>4648.52359147921</v>
      </c>
      <c r="BG31" s="71" t="n">
        <f aca="false">BG28+BG46</f>
        <v>4647.47047806357</v>
      </c>
      <c r="BH31" s="71" t="n">
        <f aca="false">BH28+BH46</f>
        <v>4646.41736464794</v>
      </c>
      <c r="BI31" s="71" t="n">
        <f aca="false">BI28+BI46</f>
        <v>4645.3642512323</v>
      </c>
      <c r="BJ31" s="71" t="n">
        <f aca="false">BJ28+BJ46</f>
        <v>4644.31113781666</v>
      </c>
    </row>
    <row r="32" customFormat="false" ht="15" hidden="false" customHeight="false" outlineLevel="0" collapsed="false">
      <c r="A32" s="6" t="s">
        <v>421</v>
      </c>
      <c r="C32" s="65" t="n">
        <f aca="false">-(C51+C52)*Inputs!$B$36/12</f>
        <v>-6500</v>
      </c>
      <c r="D32" s="65" t="n">
        <f aca="false">-(D51+D52)*Inputs!$B$36/12</f>
        <v>-6494.12391180629</v>
      </c>
      <c r="E32" s="65" t="n">
        <f aca="false">-(E51+E52)*Inputs!$B$36/12</f>
        <v>-6488.21599480153</v>
      </c>
      <c r="F32" s="65" t="n">
        <f aca="false">-(F51+F52)*Inputs!$B$36/12</f>
        <v>-6482.27607657966</v>
      </c>
      <c r="G32" s="65" t="n">
        <f aca="false">-(G51+G52)*Inputs!$B$36/12</f>
        <v>-6476.30398380076</v>
      </c>
      <c r="H32" s="65" t="n">
        <f aca="false">-(H51+H52)*Inputs!$B$36/12</f>
        <v>-6470.29954218597</v>
      </c>
      <c r="I32" s="65" t="n">
        <f aca="false">-(I51+I52)*Inputs!$B$36/12</f>
        <v>-6464.26257651244</v>
      </c>
      <c r="J32" s="65" t="n">
        <f aca="false">-(J51+J52)*Inputs!$B$36/12</f>
        <v>-6458.19291060817</v>
      </c>
      <c r="K32" s="65" t="n">
        <f aca="false">-(K51+K52)*Inputs!$B$36/12</f>
        <v>-6452.09036734692</v>
      </c>
      <c r="L32" s="65" t="n">
        <f aca="false">-(L51+L52)*Inputs!$B$36/12</f>
        <v>-6445.95476864301</v>
      </c>
      <c r="M32" s="65" t="n">
        <f aca="false">-(M51+M52)*Inputs!$B$36/12</f>
        <v>-6439.78593544611</v>
      </c>
      <c r="N32" s="65" t="n">
        <f aca="false">-(N51+N52)*Inputs!$B$36/12</f>
        <v>-6433.58368773607</v>
      </c>
      <c r="O32" s="65" t="n">
        <f aca="false">-(O51+O52)*Inputs!$B$36/12</f>
        <v>-6427.3478445176</v>
      </c>
      <c r="P32" s="65" t="n">
        <f aca="false">-(P51+P52)*Inputs!$B$36/12</f>
        <v>-6421.07822381503</v>
      </c>
      <c r="Q32" s="65" t="n">
        <f aca="false">-(Q51+Q52)*Inputs!$B$36/12</f>
        <v>-6414.77464266698</v>
      </c>
      <c r="R32" s="65" t="n">
        <f aca="false">-(R51+R52)*Inputs!$B$36/12</f>
        <v>-6408.43691712105</v>
      </c>
      <c r="S32" s="65" t="n">
        <f aca="false">-(S51+S52)*Inputs!$B$36/12</f>
        <v>-6402.06486222842</v>
      </c>
      <c r="T32" s="65" t="n">
        <f aca="false">-(T51+T52)*Inputs!$B$36/12</f>
        <v>-6395.65829203844</v>
      </c>
      <c r="U32" s="65" t="n">
        <f aca="false">-(U51+U52)*Inputs!$B$36/12</f>
        <v>-6389.21701959328</v>
      </c>
      <c r="V32" s="65" t="n">
        <f aca="false">-(V51+V52)*Inputs!$B$36/12</f>
        <v>-6382.74085692237</v>
      </c>
      <c r="W32" s="65" t="n">
        <f aca="false">-(W51+W52)*Inputs!$B$36/12</f>
        <v>-6376.22961503699</v>
      </c>
      <c r="X32" s="65" t="n">
        <f aca="false">-(X51+X52)*Inputs!$B$36/12</f>
        <v>-6369.68310392473</v>
      </c>
      <c r="Y32" s="65" t="n">
        <f aca="false">-(Y51+Y52)*Inputs!$B$36/12</f>
        <v>-6363.10113254394</v>
      </c>
      <c r="Z32" s="65" t="n">
        <f aca="false">-(Z51+Z52)*Inputs!$B$36/12</f>
        <v>-6356.48350881818</v>
      </c>
      <c r="AA32" s="65" t="n">
        <f aca="false">-(AA51+AA52)*Inputs!$B$36/12</f>
        <v>-6349.83003963057</v>
      </c>
      <c r="AB32" s="65" t="n">
        <f aca="false">-(AB51+AB52)*Inputs!$B$36/12</f>
        <v>-6343.14053081819</v>
      </c>
      <c r="AC32" s="65" t="n">
        <f aca="false">-(AC51+AC52)*Inputs!$B$36/12</f>
        <v>-6336.41478716641</v>
      </c>
      <c r="AD32" s="65" t="n">
        <f aca="false">-(AD51+AD52)*Inputs!$B$36/12</f>
        <v>-6329.65261240319</v>
      </c>
      <c r="AE32" s="65" t="n">
        <f aca="false">-(AE51+AE52)*Inputs!$B$36/12</f>
        <v>-6322.85380919333</v>
      </c>
      <c r="AF32" s="65" t="n">
        <f aca="false">-(AF51+AF52)*Inputs!$B$36/12</f>
        <v>-6316.01817913275</v>
      </c>
      <c r="AG32" s="65" t="n">
        <f aca="false">-(AG51+AG52)*Inputs!$B$36/12</f>
        <v>-6309.14552274268</v>
      </c>
      <c r="AH32" s="65" t="n">
        <f aca="false">-(AH51+AH52)*Inputs!$B$36/12</f>
        <v>-6302.23563946383</v>
      </c>
      <c r="AI32" s="65" t="n">
        <f aca="false">-(AI51+AI52)*Inputs!$B$36/12</f>
        <v>-6295.28832765055</v>
      </c>
      <c r="AJ32" s="65" t="n">
        <f aca="false">-(AJ51+AJ52)*Inputs!$B$36/12</f>
        <v>-6288.30338456494</v>
      </c>
      <c r="AK32" s="65" t="n">
        <f aca="false">-(AK51+AK52)*Inputs!$B$36/12</f>
        <v>-6281.28060637096</v>
      </c>
      <c r="AL32" s="65" t="n">
        <f aca="false">-(AL51+AL52)*Inputs!$B$36/12</f>
        <v>-6274.21978812843</v>
      </c>
      <c r="AM32" s="65" t="n">
        <f aca="false">-(AM51+AM52)*Inputs!$B$36/12</f>
        <v>-6267.12072378708</v>
      </c>
      <c r="AN32" s="65" t="n">
        <f aca="false">-(AN51+AN52)*Inputs!$B$36/12</f>
        <v>-6259.98320618055</v>
      </c>
      <c r="AO32" s="65" t="n">
        <f aca="false">-(AO51+AO52)*Inputs!$B$36/12</f>
        <v>-6252.80702702032</v>
      </c>
      <c r="AP32" s="65" t="n">
        <f aca="false">-(AP51+AP52)*Inputs!$B$36/12</f>
        <v>-6245.59197688964</v>
      </c>
      <c r="AQ32" s="65" t="n">
        <f aca="false">-(AQ51+AQ52)*Inputs!$B$36/12</f>
        <v>-6238.33784523742</v>
      </c>
      <c r="AR32" s="65" t="n">
        <f aca="false">-(AR51+AR52)*Inputs!$B$36/12</f>
        <v>-6231.04442037208</v>
      </c>
      <c r="AS32" s="65" t="n">
        <f aca="false">-(AS51+AS52)*Inputs!$B$36/12</f>
        <v>-6223.71148945538</v>
      </c>
      <c r="AT32" s="65" t="n">
        <f aca="false">-(AT51+AT52)*Inputs!$B$36/12</f>
        <v>-6216.33883849622</v>
      </c>
      <c r="AU32" s="65" t="n">
        <f aca="false">-(AU51+AU52)*Inputs!$B$36/12</f>
        <v>-6208.92625234437</v>
      </c>
      <c r="AV32" s="65" t="n">
        <f aca="false">-(AV51+AV52)*Inputs!$B$36/12</f>
        <v>-6201.47351468419</v>
      </c>
      <c r="AW32" s="65" t="n">
        <f aca="false">-(AW51+AW52)*Inputs!$B$36/12</f>
        <v>-6193.98040802835</v>
      </c>
      <c r="AX32" s="65" t="n">
        <f aca="false">-(AX51+AX52)*Inputs!$B$36/12</f>
        <v>-6186.44671371147</v>
      </c>
      <c r="AY32" s="65" t="n">
        <f aca="false">-(AY51+AY52)*Inputs!$B$36/12</f>
        <v>-6178.87221188369</v>
      </c>
      <c r="AZ32" s="65" t="n">
        <f aca="false">-(AZ51+AZ52)*Inputs!$B$36/12</f>
        <v>-6171.25668150435</v>
      </c>
      <c r="BA32" s="65" t="n">
        <f aca="false">-(BA51+BA52)*Inputs!$B$36/12</f>
        <v>-6163.59990033546</v>
      </c>
      <c r="BB32" s="65" t="n">
        <f aca="false">-(BB51+BB52)*Inputs!$B$36/12</f>
        <v>-6155.90164493523</v>
      </c>
      <c r="BC32" s="65" t="n">
        <f aca="false">-(BC51+BC52)*Inputs!$B$36/12</f>
        <v>-6148.16169065159</v>
      </c>
      <c r="BD32" s="65" t="n">
        <f aca="false">-(BD51+BD52)*Inputs!$B$36/12</f>
        <v>-6140.37981161558</v>
      </c>
      <c r="BE32" s="65" t="n">
        <f aca="false">-(BE51+BE52)*Inputs!$B$36/12</f>
        <v>-6132.55578073479</v>
      </c>
      <c r="BF32" s="65" t="n">
        <f aca="false">-(BF51+BF52)*Inputs!$B$36/12</f>
        <v>-6124.68936968672</v>
      </c>
      <c r="BG32" s="65" t="n">
        <f aca="false">-(BG51+BG52)*Inputs!$B$36/12</f>
        <v>-6116.78034891215</v>
      </c>
      <c r="BH32" s="65" t="n">
        <f aca="false">-(BH51+BH52)*Inputs!$B$36/12</f>
        <v>-6108.82848760838</v>
      </c>
      <c r="BI32" s="65" t="n">
        <f aca="false">-(BI51+BI52)*Inputs!$B$36/12</f>
        <v>-6100.83355372255</v>
      </c>
      <c r="BJ32" s="65" t="n">
        <f aca="false">-(BJ51+BJ52)*Inputs!$B$36/12</f>
        <v>-6092.79531394484</v>
      </c>
    </row>
    <row r="33" customFormat="false" ht="15" hidden="false" customHeight="false" outlineLevel="0" collapsed="false">
      <c r="A33" s="108" t="s">
        <v>81</v>
      </c>
      <c r="C33" s="66" t="n">
        <f aca="false">C31+C32</f>
        <v>-2221.31773662551</v>
      </c>
      <c r="D33" s="66" t="n">
        <f aca="false">D31+D32</f>
        <v>-2216.34185419312</v>
      </c>
      <c r="E33" s="66" t="n">
        <f aca="false">E31+E32</f>
        <v>-2211.33414294968</v>
      </c>
      <c r="F33" s="66" t="n">
        <f aca="false">F31+F32</f>
        <v>-2206.29443048913</v>
      </c>
      <c r="G33" s="66" t="n">
        <f aca="false">G31+G32</f>
        <v>-2201.22254347154</v>
      </c>
      <c r="H33" s="66" t="n">
        <f aca="false">H31+H32</f>
        <v>-2196.11830761807</v>
      </c>
      <c r="I33" s="66" t="n">
        <f aca="false">I31+I32</f>
        <v>-2190.98154770585</v>
      </c>
      <c r="J33" s="66" t="n">
        <f aca="false">J31+J32</f>
        <v>-2185.8120875629</v>
      </c>
      <c r="K33" s="66" t="n">
        <f aca="false">K31+K32</f>
        <v>-2180.60975006297</v>
      </c>
      <c r="L33" s="66" t="n">
        <f aca="false">L31+L32</f>
        <v>-2175.37435712038</v>
      </c>
      <c r="M33" s="66" t="n">
        <f aca="false">M31+M32</f>
        <v>-2170.1057296848</v>
      </c>
      <c r="N33" s="66" t="n">
        <f aca="false">N31+N32</f>
        <v>-2164.80368773607</v>
      </c>
      <c r="O33" s="66" t="n">
        <f aca="false">O31+O32</f>
        <v>-2052.37845850937</v>
      </c>
      <c r="P33" s="66" t="n">
        <f aca="false">P31+P32</f>
        <v>-2047.04505179857</v>
      </c>
      <c r="Q33" s="66" t="n">
        <f aca="false">Q31+Q32</f>
        <v>-2041.67768464229</v>
      </c>
      <c r="R33" s="66" t="n">
        <f aca="false">R31+R32</f>
        <v>-2036.27617308813</v>
      </c>
      <c r="S33" s="66" t="n">
        <f aca="false">S31+S32</f>
        <v>-2030.84033218727</v>
      </c>
      <c r="T33" s="66" t="n">
        <f aca="false">T31+T32</f>
        <v>-2025.36997598906</v>
      </c>
      <c r="U33" s="66" t="n">
        <f aca="false">U31+U32</f>
        <v>-2019.86491753567</v>
      </c>
      <c r="V33" s="66" t="n">
        <f aca="false">V31+V32</f>
        <v>-2014.32496885652</v>
      </c>
      <c r="W33" s="66" t="n">
        <f aca="false">W31+W32</f>
        <v>-2008.74994096291</v>
      </c>
      <c r="X33" s="66" t="n">
        <f aca="false">X31+X32</f>
        <v>-2003.13964384242</v>
      </c>
      <c r="Y33" s="66" t="n">
        <f aca="false">Y31+Y32</f>
        <v>-1997.49388645341</v>
      </c>
      <c r="Z33" s="66" t="n">
        <f aca="false">Z31+Z32</f>
        <v>-1991.81247671941</v>
      </c>
      <c r="AA33" s="66" t="n">
        <f aca="false">AA31+AA32</f>
        <v>-1879.79455808325</v>
      </c>
      <c r="AB33" s="66" t="n">
        <f aca="false">AB31+AB32</f>
        <v>-1874.07871182231</v>
      </c>
      <c r="AC33" s="66" t="n">
        <f aca="false">AC31+AC32</f>
        <v>-1868.32663072197</v>
      </c>
      <c r="AD33" s="66" t="n">
        <f aca="false">AD31+AD32</f>
        <v>-1862.53811851019</v>
      </c>
      <c r="AE33" s="66" t="n">
        <f aca="false">AE31+AE32</f>
        <v>-1856.71297785177</v>
      </c>
      <c r="AF33" s="66" t="n">
        <f aca="false">AF31+AF32</f>
        <v>-1850.85101034263</v>
      </c>
      <c r="AG33" s="66" t="n">
        <f aca="false">AG31+AG32</f>
        <v>-1844.952016504</v>
      </c>
      <c r="AH33" s="66" t="n">
        <f aca="false">AH31+AH32</f>
        <v>-1839.01579577658</v>
      </c>
      <c r="AI33" s="66" t="n">
        <f aca="false">AI31+AI32</f>
        <v>-1833.04214651474</v>
      </c>
      <c r="AJ33" s="66" t="n">
        <f aca="false">AJ31+AJ32</f>
        <v>-1827.03086598058</v>
      </c>
      <c r="AK33" s="66" t="n">
        <f aca="false">AK31+AK32</f>
        <v>-1820.98175033804</v>
      </c>
      <c r="AL33" s="66" t="n">
        <f aca="false">AL31+AL32</f>
        <v>-1814.89459464695</v>
      </c>
      <c r="AM33" s="66" t="n">
        <f aca="false">AM31+AM32</f>
        <v>-1703.3904651191</v>
      </c>
      <c r="AN33" s="66" t="n">
        <f aca="false">AN31+AN32</f>
        <v>-1697.26555656607</v>
      </c>
      <c r="AO33" s="66" t="n">
        <f aca="false">AO31+AO32</f>
        <v>-1691.10198645933</v>
      </c>
      <c r="AP33" s="66" t="n">
        <f aca="false">AP31+AP32</f>
        <v>-1684.89954538215</v>
      </c>
      <c r="AQ33" s="66" t="n">
        <f aca="false">AQ31+AQ32</f>
        <v>-1678.65802278342</v>
      </c>
      <c r="AR33" s="66" t="n">
        <f aca="false">AR31+AR32</f>
        <v>-1672.37720697158</v>
      </c>
      <c r="AS33" s="66" t="n">
        <f aca="false">AS31+AS32</f>
        <v>-1666.05688510838</v>
      </c>
      <c r="AT33" s="66" t="n">
        <f aca="false">AT31+AT32</f>
        <v>-1659.69684320272</v>
      </c>
      <c r="AU33" s="66" t="n">
        <f aca="false">AU31+AU32</f>
        <v>-1653.29686610437</v>
      </c>
      <c r="AV33" s="66" t="n">
        <f aca="false">AV31+AV32</f>
        <v>-1646.85673749769</v>
      </c>
      <c r="AW33" s="66" t="n">
        <f aca="false">AW31+AW32</f>
        <v>-1640.37623989535</v>
      </c>
      <c r="AX33" s="66" t="n">
        <f aca="false">AX31+AX32</f>
        <v>-1633.85515463196</v>
      </c>
      <c r="AY33" s="66" t="n">
        <f aca="false">AY31+AY32</f>
        <v>-1522.97682649502</v>
      </c>
      <c r="AZ33" s="66" t="n">
        <f aca="false">AZ31+AZ32</f>
        <v>-1516.41440953132</v>
      </c>
      <c r="BA33" s="66" t="n">
        <f aca="false">BA31+BA32</f>
        <v>-1509.81074177806</v>
      </c>
      <c r="BB33" s="66" t="n">
        <f aca="false">BB31+BB32</f>
        <v>-1503.16559979347</v>
      </c>
      <c r="BC33" s="66" t="n">
        <f aca="false">BC31+BC32</f>
        <v>-1496.47875892547</v>
      </c>
      <c r="BD33" s="66" t="n">
        <f aca="false">BD31+BD32</f>
        <v>-1489.74999330509</v>
      </c>
      <c r="BE33" s="66" t="n">
        <f aca="false">BE31+BE32</f>
        <v>-1482.97907583994</v>
      </c>
      <c r="BF33" s="66" t="n">
        <f aca="false">BF31+BF32</f>
        <v>-1476.16577820751</v>
      </c>
      <c r="BG33" s="66" t="n">
        <f aca="false">BG31+BG32</f>
        <v>-1469.30987084858</v>
      </c>
      <c r="BH33" s="66" t="n">
        <f aca="false">BH31+BH32</f>
        <v>-1462.41112296045</v>
      </c>
      <c r="BI33" s="66" t="n">
        <f aca="false">BI31+BI32</f>
        <v>-1455.46930249025</v>
      </c>
      <c r="BJ33" s="66" t="n">
        <f aca="false">BJ31+BJ32</f>
        <v>-1448.48417612818</v>
      </c>
    </row>
    <row r="34" customFormat="false" ht="15" hidden="false" customHeight="false" outlineLevel="0" collapsed="false">
      <c r="A34" s="112" t="s">
        <v>422</v>
      </c>
      <c r="C34" s="65" t="n">
        <f aca="false">C33</f>
        <v>-2221.31773662551</v>
      </c>
      <c r="D34" s="65" t="n">
        <f aca="false">C34+D33</f>
        <v>-4437.65959081864</v>
      </c>
      <c r="E34" s="65" t="n">
        <f aca="false">D34+E33</f>
        <v>-6648.99373376832</v>
      </c>
      <c r="F34" s="65" t="n">
        <f aca="false">E34+F33</f>
        <v>-8855.28816425745</v>
      </c>
      <c r="G34" s="65" t="n">
        <f aca="false">F34+G33</f>
        <v>-11056.510707729</v>
      </c>
      <c r="H34" s="65" t="n">
        <f aca="false">G34+H33</f>
        <v>-13252.6290153471</v>
      </c>
      <c r="I34" s="65" t="n">
        <f aca="false">H34+I33</f>
        <v>-15443.6105630529</v>
      </c>
      <c r="J34" s="65" t="n">
        <f aca="false">I34+J33</f>
        <v>-17629.4226506158</v>
      </c>
      <c r="K34" s="65" t="n">
        <f aca="false">J34+K33</f>
        <v>-19810.0324006788</v>
      </c>
      <c r="L34" s="65" t="n">
        <f aca="false">K34+L33</f>
        <v>-21985.4067577992</v>
      </c>
      <c r="M34" s="65" t="n">
        <f aca="false">L34+M33</f>
        <v>-24155.512487484</v>
      </c>
      <c r="N34" s="65" t="n">
        <f aca="false">M34+N33</f>
        <v>-26320.31617522</v>
      </c>
      <c r="O34" s="65" t="n">
        <f aca="false">N34+O33</f>
        <v>-28372.6946337294</v>
      </c>
      <c r="P34" s="65" t="n">
        <f aca="false">O34+P33</f>
        <v>-30419.739685528</v>
      </c>
      <c r="Q34" s="65" t="n">
        <f aca="false">P34+Q33</f>
        <v>-32461.4173701703</v>
      </c>
      <c r="R34" s="65" t="n">
        <f aca="false">Q34+R33</f>
        <v>-34497.6935432584</v>
      </c>
      <c r="S34" s="65" t="n">
        <f aca="false">R34+S33</f>
        <v>-36528.5338754457</v>
      </c>
      <c r="T34" s="65" t="n">
        <f aca="false">S34+T33</f>
        <v>-38553.9038514347</v>
      </c>
      <c r="U34" s="65" t="n">
        <f aca="false">T34+U33</f>
        <v>-40573.7687689704</v>
      </c>
      <c r="V34" s="65" t="n">
        <f aca="false">U34+V33</f>
        <v>-42588.0937378269</v>
      </c>
      <c r="W34" s="65" t="n">
        <f aca="false">V34+W33</f>
        <v>-44596.8436787898</v>
      </c>
      <c r="X34" s="65" t="n">
        <f aca="false">W34+X33</f>
        <v>-46599.9833226322</v>
      </c>
      <c r="Y34" s="65" t="n">
        <f aca="false">X34+Y33</f>
        <v>-48597.4772090857</v>
      </c>
      <c r="Z34" s="65" t="n">
        <f aca="false">Y34+Z33</f>
        <v>-50589.2896858051</v>
      </c>
      <c r="AA34" s="65" t="n">
        <f aca="false">Z34+AA33</f>
        <v>-52469.0842438883</v>
      </c>
      <c r="AB34" s="65" t="n">
        <f aca="false">AA34+AB33</f>
        <v>-54343.1629557106</v>
      </c>
      <c r="AC34" s="65" t="n">
        <f aca="false">AB34+AC33</f>
        <v>-56211.4895864326</v>
      </c>
      <c r="AD34" s="65" t="n">
        <f aca="false">AC34+AD33</f>
        <v>-58074.0277049428</v>
      </c>
      <c r="AE34" s="65" t="n">
        <f aca="false">AD34+AE33</f>
        <v>-59930.7406827946</v>
      </c>
      <c r="AF34" s="65" t="n">
        <f aca="false">AE34+AF33</f>
        <v>-61781.5916931372</v>
      </c>
      <c r="AG34" s="65" t="n">
        <f aca="false">AF34+AG33</f>
        <v>-63626.5437096412</v>
      </c>
      <c r="AH34" s="65" t="n">
        <f aca="false">AG34+AH33</f>
        <v>-65465.5595054178</v>
      </c>
      <c r="AI34" s="65" t="n">
        <f aca="false">AH34+AI33</f>
        <v>-67298.6016519325</v>
      </c>
      <c r="AJ34" s="65" t="n">
        <f aca="false">AI34+AJ33</f>
        <v>-69125.6325179131</v>
      </c>
      <c r="AK34" s="65" t="n">
        <f aca="false">AJ34+AK33</f>
        <v>-70946.6142682511</v>
      </c>
      <c r="AL34" s="65" t="n">
        <f aca="false">AK34+AL33</f>
        <v>-72761.5088628981</v>
      </c>
      <c r="AM34" s="65" t="n">
        <f aca="false">AL34+AM33</f>
        <v>-74464.8993280172</v>
      </c>
      <c r="AN34" s="65" t="n">
        <f aca="false">AM34+AN33</f>
        <v>-76162.1648845832</v>
      </c>
      <c r="AO34" s="65" t="n">
        <f aca="false">AN34+AO33</f>
        <v>-77853.2668710426</v>
      </c>
      <c r="AP34" s="65" t="n">
        <f aca="false">AO34+AP33</f>
        <v>-79538.1664164247</v>
      </c>
      <c r="AQ34" s="65" t="n">
        <f aca="false">AP34+AQ33</f>
        <v>-81216.8244392081</v>
      </c>
      <c r="AR34" s="65" t="n">
        <f aca="false">AQ34+AR33</f>
        <v>-82889.2016461797</v>
      </c>
      <c r="AS34" s="65" t="n">
        <f aca="false">AR34+AS33</f>
        <v>-84555.2585312881</v>
      </c>
      <c r="AT34" s="65" t="n">
        <f aca="false">AS34+AT33</f>
        <v>-86214.9553744908</v>
      </c>
      <c r="AU34" s="65" t="n">
        <f aca="false">AT34+AU33</f>
        <v>-87868.2522405952</v>
      </c>
      <c r="AV34" s="65" t="n">
        <f aca="false">AU34+AV33</f>
        <v>-89515.1089780929</v>
      </c>
      <c r="AW34" s="65" t="n">
        <f aca="false">AV34+AW33</f>
        <v>-91155.4852179882</v>
      </c>
      <c r="AX34" s="65" t="n">
        <f aca="false">AW34+AX33</f>
        <v>-92789.3403726202</v>
      </c>
      <c r="AY34" s="65" t="n">
        <f aca="false">AX34+AY33</f>
        <v>-94312.3171991152</v>
      </c>
      <c r="AZ34" s="65" t="n">
        <f aca="false">AY34+AZ33</f>
        <v>-95828.7316086465</v>
      </c>
      <c r="BA34" s="65" t="n">
        <f aca="false">AZ34+BA33</f>
        <v>-97338.5423504246</v>
      </c>
      <c r="BB34" s="65" t="n">
        <f aca="false">BA34+BB33</f>
        <v>-98841.707950218</v>
      </c>
      <c r="BC34" s="65" t="n">
        <f aca="false">BB34+BC33</f>
        <v>-100338.186709144</v>
      </c>
      <c r="BD34" s="65" t="n">
        <f aca="false">BC34+BD33</f>
        <v>-101827.936702449</v>
      </c>
      <c r="BE34" s="65" t="n">
        <f aca="false">BD34+BE33</f>
        <v>-103310.915778289</v>
      </c>
      <c r="BF34" s="65" t="n">
        <f aca="false">BE34+BF33</f>
        <v>-104787.081556496</v>
      </c>
      <c r="BG34" s="65" t="n">
        <f aca="false">BF34+BG33</f>
        <v>-106256.391427345</v>
      </c>
      <c r="BH34" s="65" t="n">
        <f aca="false">BG34+BH33</f>
        <v>-107718.802550305</v>
      </c>
      <c r="BI34" s="65" t="n">
        <f aca="false">BH34+BI33</f>
        <v>-109174.271852795</v>
      </c>
      <c r="BJ34" s="65" t="n">
        <f aca="false">BI34+BJ33</f>
        <v>-110622.756028924</v>
      </c>
    </row>
    <row r="35" customFormat="false" ht="15" hidden="false" customHeight="false" outlineLevel="0" collapsed="false">
      <c r="A35" s="112" t="s">
        <v>423</v>
      </c>
      <c r="C35" s="65" t="n">
        <f aca="false">MAX(0,C34)</f>
        <v>0</v>
      </c>
      <c r="D35" s="65" t="n">
        <f aca="false">MAX(C35,D34)</f>
        <v>0</v>
      </c>
      <c r="E35" s="65" t="n">
        <f aca="false">MAX(D35,E34)</f>
        <v>0</v>
      </c>
      <c r="F35" s="65" t="n">
        <f aca="false">MAX(E35,F34)</f>
        <v>0</v>
      </c>
      <c r="G35" s="65" t="n">
        <f aca="false">MAX(F35,G34)</f>
        <v>0</v>
      </c>
      <c r="H35" s="65" t="n">
        <f aca="false">MAX(G35,H34)</f>
        <v>0</v>
      </c>
      <c r="I35" s="65" t="n">
        <f aca="false">MAX(H35,I34)</f>
        <v>0</v>
      </c>
      <c r="J35" s="65" t="n">
        <f aca="false">MAX(I35,J34)</f>
        <v>0</v>
      </c>
      <c r="K35" s="65" t="n">
        <f aca="false">MAX(J35,K34)</f>
        <v>0</v>
      </c>
      <c r="L35" s="65" t="n">
        <f aca="false">MAX(K35,L34)</f>
        <v>0</v>
      </c>
      <c r="M35" s="65" t="n">
        <f aca="false">MAX(L35,M34)</f>
        <v>0</v>
      </c>
      <c r="N35" s="65" t="n">
        <f aca="false">MAX(M35,N34)</f>
        <v>0</v>
      </c>
      <c r="O35" s="65" t="n">
        <f aca="false">MAX(N35,O34)</f>
        <v>0</v>
      </c>
      <c r="P35" s="65" t="n">
        <f aca="false">MAX(O35,P34)</f>
        <v>0</v>
      </c>
      <c r="Q35" s="65" t="n">
        <f aca="false">MAX(P35,Q34)</f>
        <v>0</v>
      </c>
      <c r="R35" s="65" t="n">
        <f aca="false">MAX(Q35,R34)</f>
        <v>0</v>
      </c>
      <c r="S35" s="65" t="n">
        <f aca="false">MAX(R35,S34)</f>
        <v>0</v>
      </c>
      <c r="T35" s="65" t="n">
        <f aca="false">MAX(S35,T34)</f>
        <v>0</v>
      </c>
      <c r="U35" s="65" t="n">
        <f aca="false">MAX(T35,U34)</f>
        <v>0</v>
      </c>
      <c r="V35" s="65" t="n">
        <f aca="false">MAX(U35,V34)</f>
        <v>0</v>
      </c>
      <c r="W35" s="65" t="n">
        <f aca="false">MAX(V35,W34)</f>
        <v>0</v>
      </c>
      <c r="X35" s="65" t="n">
        <f aca="false">MAX(W35,X34)</f>
        <v>0</v>
      </c>
      <c r="Y35" s="65" t="n">
        <f aca="false">MAX(X35,Y34)</f>
        <v>0</v>
      </c>
      <c r="Z35" s="65" t="n">
        <f aca="false">MAX(Y35,Z34)</f>
        <v>0</v>
      </c>
      <c r="AA35" s="65" t="n">
        <f aca="false">MAX(Z35,AA34)</f>
        <v>0</v>
      </c>
      <c r="AB35" s="65" t="n">
        <f aca="false">MAX(AA35,AB34)</f>
        <v>0</v>
      </c>
      <c r="AC35" s="65" t="n">
        <f aca="false">MAX(AB35,AC34)</f>
        <v>0</v>
      </c>
      <c r="AD35" s="65" t="n">
        <f aca="false">MAX(AC35,AD34)</f>
        <v>0</v>
      </c>
      <c r="AE35" s="65" t="n">
        <f aca="false">MAX(AD35,AE34)</f>
        <v>0</v>
      </c>
      <c r="AF35" s="65" t="n">
        <f aca="false">MAX(AE35,AF34)</f>
        <v>0</v>
      </c>
      <c r="AG35" s="65" t="n">
        <f aca="false">MAX(AF35,AG34)</f>
        <v>0</v>
      </c>
      <c r="AH35" s="65" t="n">
        <f aca="false">MAX(AG35,AH34)</f>
        <v>0</v>
      </c>
      <c r="AI35" s="65" t="n">
        <f aca="false">MAX(AH35,AI34)</f>
        <v>0</v>
      </c>
      <c r="AJ35" s="65" t="n">
        <f aca="false">MAX(AI35,AJ34)</f>
        <v>0</v>
      </c>
      <c r="AK35" s="65" t="n">
        <f aca="false">MAX(AJ35,AK34)</f>
        <v>0</v>
      </c>
      <c r="AL35" s="65" t="n">
        <f aca="false">MAX(AK35,AL34)</f>
        <v>0</v>
      </c>
      <c r="AM35" s="65" t="n">
        <f aca="false">MAX(AL35,AM34)</f>
        <v>0</v>
      </c>
      <c r="AN35" s="65" t="n">
        <f aca="false">MAX(AM35,AN34)</f>
        <v>0</v>
      </c>
      <c r="AO35" s="65" t="n">
        <f aca="false">MAX(AN35,AO34)</f>
        <v>0</v>
      </c>
      <c r="AP35" s="65" t="n">
        <f aca="false">MAX(AO35,AP34)</f>
        <v>0</v>
      </c>
      <c r="AQ35" s="65" t="n">
        <f aca="false">MAX(AP35,AQ34)</f>
        <v>0</v>
      </c>
      <c r="AR35" s="65" t="n">
        <f aca="false">MAX(AQ35,AR34)</f>
        <v>0</v>
      </c>
      <c r="AS35" s="65" t="n">
        <f aca="false">MAX(AR35,AS34)</f>
        <v>0</v>
      </c>
      <c r="AT35" s="65" t="n">
        <f aca="false">MAX(AS35,AT34)</f>
        <v>0</v>
      </c>
      <c r="AU35" s="65" t="n">
        <f aca="false">MAX(AT35,AU34)</f>
        <v>0</v>
      </c>
      <c r="AV35" s="65" t="n">
        <f aca="false">MAX(AU35,AV34)</f>
        <v>0</v>
      </c>
      <c r="AW35" s="65" t="n">
        <f aca="false">MAX(AV35,AW34)</f>
        <v>0</v>
      </c>
      <c r="AX35" s="65" t="n">
        <f aca="false">MAX(AW35,AX34)</f>
        <v>0</v>
      </c>
      <c r="AY35" s="65" t="n">
        <f aca="false">MAX(AX35,AY34)</f>
        <v>0</v>
      </c>
      <c r="AZ35" s="65" t="n">
        <f aca="false">MAX(AY35,AZ34)</f>
        <v>0</v>
      </c>
      <c r="BA35" s="65" t="n">
        <f aca="false">MAX(AZ35,BA34)</f>
        <v>0</v>
      </c>
      <c r="BB35" s="65" t="n">
        <f aca="false">MAX(BA35,BB34)</f>
        <v>0</v>
      </c>
      <c r="BC35" s="65" t="n">
        <f aca="false">MAX(BB35,BC34)</f>
        <v>0</v>
      </c>
      <c r="BD35" s="65" t="n">
        <f aca="false">MAX(BC35,BD34)</f>
        <v>0</v>
      </c>
      <c r="BE35" s="65" t="n">
        <f aca="false">MAX(BD35,BE34)</f>
        <v>0</v>
      </c>
      <c r="BF35" s="65" t="n">
        <f aca="false">MAX(BE35,BF34)</f>
        <v>0</v>
      </c>
      <c r="BG35" s="65" t="n">
        <f aca="false">MAX(BF35,BG34)</f>
        <v>0</v>
      </c>
      <c r="BH35" s="65" t="n">
        <f aca="false">MAX(BG35,BH34)</f>
        <v>0</v>
      </c>
      <c r="BI35" s="65" t="n">
        <f aca="false">MAX(BH35,BI34)</f>
        <v>0</v>
      </c>
      <c r="BJ35" s="65" t="n">
        <f aca="false">MAX(BI35,BJ34)</f>
        <v>0</v>
      </c>
    </row>
    <row r="36" customFormat="false" ht="15" hidden="false" customHeight="false" outlineLevel="0" collapsed="false">
      <c r="A36" s="6" t="s">
        <v>82</v>
      </c>
      <c r="C36" s="65" t="n">
        <f aca="false">-C35*Inputs!$B$46</f>
        <v>-0</v>
      </c>
      <c r="D36" s="65" t="n">
        <f aca="false">-(D35-C35)*Inputs!$B$46</f>
        <v>-0</v>
      </c>
      <c r="E36" s="65" t="n">
        <f aca="false">-(E35-D35)*Inputs!$B$46</f>
        <v>-0</v>
      </c>
      <c r="F36" s="65" t="n">
        <f aca="false">-(F35-E35)*Inputs!$B$46</f>
        <v>-0</v>
      </c>
      <c r="G36" s="65" t="n">
        <f aca="false">-(G35-F35)*Inputs!$B$46</f>
        <v>-0</v>
      </c>
      <c r="H36" s="65" t="n">
        <f aca="false">-(H35-G35)*Inputs!$B$46</f>
        <v>-0</v>
      </c>
      <c r="I36" s="65" t="n">
        <f aca="false">-(I35-H35)*Inputs!$B$46</f>
        <v>-0</v>
      </c>
      <c r="J36" s="65" t="n">
        <f aca="false">-(J35-I35)*Inputs!$B$46</f>
        <v>-0</v>
      </c>
      <c r="K36" s="65" t="n">
        <f aca="false">-(K35-J35)*Inputs!$B$46</f>
        <v>-0</v>
      </c>
      <c r="L36" s="65" t="n">
        <f aca="false">-(L35-K35)*Inputs!$B$46</f>
        <v>-0</v>
      </c>
      <c r="M36" s="65" t="n">
        <f aca="false">-(M35-L35)*Inputs!$B$46</f>
        <v>-0</v>
      </c>
      <c r="N36" s="65" t="n">
        <f aca="false">-(N35-M35)*Inputs!$B$46</f>
        <v>-0</v>
      </c>
      <c r="O36" s="65" t="n">
        <f aca="false">-(O35-N35)*Inputs!$B$46</f>
        <v>-0</v>
      </c>
      <c r="P36" s="65" t="n">
        <f aca="false">-(P35-O35)*Inputs!$B$46</f>
        <v>-0</v>
      </c>
      <c r="Q36" s="65" t="n">
        <f aca="false">-(Q35-P35)*Inputs!$B$46</f>
        <v>-0</v>
      </c>
      <c r="R36" s="65" t="n">
        <f aca="false">-(R35-Q35)*Inputs!$B$46</f>
        <v>-0</v>
      </c>
      <c r="S36" s="65" t="n">
        <f aca="false">-(S35-R35)*Inputs!$B$46</f>
        <v>-0</v>
      </c>
      <c r="T36" s="65" t="n">
        <f aca="false">-(T35-S35)*Inputs!$B$46</f>
        <v>-0</v>
      </c>
      <c r="U36" s="65" t="n">
        <f aca="false">-(U35-T35)*Inputs!$B$46</f>
        <v>-0</v>
      </c>
      <c r="V36" s="65" t="n">
        <f aca="false">-(V35-U35)*Inputs!$B$46</f>
        <v>-0</v>
      </c>
      <c r="W36" s="65" t="n">
        <f aca="false">-(W35-V35)*Inputs!$B$46</f>
        <v>-0</v>
      </c>
      <c r="X36" s="65" t="n">
        <f aca="false">-(X35-W35)*Inputs!$B$46</f>
        <v>-0</v>
      </c>
      <c r="Y36" s="65" t="n">
        <f aca="false">-(Y35-X35)*Inputs!$B$46</f>
        <v>-0</v>
      </c>
      <c r="Z36" s="65" t="n">
        <f aca="false">-(Z35-Y35)*Inputs!$B$46</f>
        <v>-0</v>
      </c>
      <c r="AA36" s="65" t="n">
        <f aca="false">-(AA35-Z35)*Inputs!$B$46</f>
        <v>-0</v>
      </c>
      <c r="AB36" s="65" t="n">
        <f aca="false">-(AB35-AA35)*Inputs!$B$46</f>
        <v>-0</v>
      </c>
      <c r="AC36" s="65" t="n">
        <f aca="false">-(AC35-AB35)*Inputs!$B$46</f>
        <v>-0</v>
      </c>
      <c r="AD36" s="65" t="n">
        <f aca="false">-(AD35-AC35)*Inputs!$B$46</f>
        <v>-0</v>
      </c>
      <c r="AE36" s="65" t="n">
        <f aca="false">-(AE35-AD35)*Inputs!$B$46</f>
        <v>-0</v>
      </c>
      <c r="AF36" s="65" t="n">
        <f aca="false">-(AF35-AE35)*Inputs!$B$46</f>
        <v>-0</v>
      </c>
      <c r="AG36" s="65" t="n">
        <f aca="false">-(AG35-AF35)*Inputs!$B$46</f>
        <v>-0</v>
      </c>
      <c r="AH36" s="65" t="n">
        <f aca="false">-(AH35-AG35)*Inputs!$B$46</f>
        <v>-0</v>
      </c>
      <c r="AI36" s="65" t="n">
        <f aca="false">-(AI35-AH35)*Inputs!$B$46</f>
        <v>-0</v>
      </c>
      <c r="AJ36" s="65" t="n">
        <f aca="false">-(AJ35-AI35)*Inputs!$B$46</f>
        <v>-0</v>
      </c>
      <c r="AK36" s="65" t="n">
        <f aca="false">-(AK35-AJ35)*Inputs!$B$46</f>
        <v>-0</v>
      </c>
      <c r="AL36" s="65" t="n">
        <f aca="false">-(AL35-AK35)*Inputs!$B$46</f>
        <v>-0</v>
      </c>
      <c r="AM36" s="65" t="n">
        <f aca="false">-(AM35-AL35)*Inputs!$B$46</f>
        <v>-0</v>
      </c>
      <c r="AN36" s="65" t="n">
        <f aca="false">-(AN35-AM35)*Inputs!$B$46</f>
        <v>-0</v>
      </c>
      <c r="AO36" s="65" t="n">
        <f aca="false">-(AO35-AN35)*Inputs!$B$46</f>
        <v>-0</v>
      </c>
      <c r="AP36" s="65" t="n">
        <f aca="false">-(AP35-AO35)*Inputs!$B$46</f>
        <v>-0</v>
      </c>
      <c r="AQ36" s="65" t="n">
        <f aca="false">-(AQ35-AP35)*Inputs!$B$46</f>
        <v>-0</v>
      </c>
      <c r="AR36" s="65" t="n">
        <f aca="false">-(AR35-AQ35)*Inputs!$B$46</f>
        <v>-0</v>
      </c>
      <c r="AS36" s="65" t="n">
        <f aca="false">-(AS35-AR35)*Inputs!$B$46</f>
        <v>-0</v>
      </c>
      <c r="AT36" s="65" t="n">
        <f aca="false">-(AT35-AS35)*Inputs!$B$46</f>
        <v>-0</v>
      </c>
      <c r="AU36" s="65" t="n">
        <f aca="false">-(AU35-AT35)*Inputs!$B$46</f>
        <v>-0</v>
      </c>
      <c r="AV36" s="65" t="n">
        <f aca="false">-(AV35-AU35)*Inputs!$B$46</f>
        <v>-0</v>
      </c>
      <c r="AW36" s="65" t="n">
        <f aca="false">-(AW35-AV35)*Inputs!$B$46</f>
        <v>-0</v>
      </c>
      <c r="AX36" s="65" t="n">
        <f aca="false">-(AX35-AW35)*Inputs!$B$46</f>
        <v>-0</v>
      </c>
      <c r="AY36" s="65" t="n">
        <f aca="false">-(AY35-AX35)*Inputs!$B$46</f>
        <v>-0</v>
      </c>
      <c r="AZ36" s="65" t="n">
        <f aca="false">-(AZ35-AY35)*Inputs!$B$46</f>
        <v>-0</v>
      </c>
      <c r="BA36" s="65" t="n">
        <f aca="false">-(BA35-AZ35)*Inputs!$B$46</f>
        <v>-0</v>
      </c>
      <c r="BB36" s="65" t="n">
        <f aca="false">-(BB35-BA35)*Inputs!$B$46</f>
        <v>-0</v>
      </c>
      <c r="BC36" s="65" t="n">
        <f aca="false">-(BC35-BB35)*Inputs!$B$46</f>
        <v>-0</v>
      </c>
      <c r="BD36" s="65" t="n">
        <f aca="false">-(BD35-BC35)*Inputs!$B$46</f>
        <v>-0</v>
      </c>
      <c r="BE36" s="65" t="n">
        <f aca="false">-(BE35-BD35)*Inputs!$B$46</f>
        <v>-0</v>
      </c>
      <c r="BF36" s="65" t="n">
        <f aca="false">-(BF35-BE35)*Inputs!$B$46</f>
        <v>-0</v>
      </c>
      <c r="BG36" s="65" t="n">
        <f aca="false">-(BG35-BF35)*Inputs!$B$46</f>
        <v>-0</v>
      </c>
      <c r="BH36" s="65" t="n">
        <f aca="false">-(BH35-BG35)*Inputs!$B$46</f>
        <v>-0</v>
      </c>
      <c r="BI36" s="65" t="n">
        <f aca="false">-(BI35-BH35)*Inputs!$B$46</f>
        <v>-0</v>
      </c>
      <c r="BJ36" s="65" t="n">
        <f aca="false">-(BJ35-BI35)*Inputs!$B$46</f>
        <v>-0</v>
      </c>
    </row>
    <row r="37" customFormat="false" ht="15" hidden="false" customHeight="false" outlineLevel="0" collapsed="false">
      <c r="A37" s="108" t="s">
        <v>51</v>
      </c>
      <c r="C37" s="66" t="n">
        <f aca="false">C33+C36</f>
        <v>-2221.31773662551</v>
      </c>
      <c r="D37" s="66" t="n">
        <f aca="false">D33+D36</f>
        <v>-2216.34185419312</v>
      </c>
      <c r="E37" s="66" t="n">
        <f aca="false">E33+E36</f>
        <v>-2211.33414294968</v>
      </c>
      <c r="F37" s="66" t="n">
        <f aca="false">F33+F36</f>
        <v>-2206.29443048913</v>
      </c>
      <c r="G37" s="66" t="n">
        <f aca="false">G33+G36</f>
        <v>-2201.22254347154</v>
      </c>
      <c r="H37" s="66" t="n">
        <f aca="false">H33+H36</f>
        <v>-2196.11830761807</v>
      </c>
      <c r="I37" s="66" t="n">
        <f aca="false">I33+I36</f>
        <v>-2190.98154770585</v>
      </c>
      <c r="J37" s="66" t="n">
        <f aca="false">J33+J36</f>
        <v>-2185.8120875629</v>
      </c>
      <c r="K37" s="66" t="n">
        <f aca="false">K33+K36</f>
        <v>-2180.60975006297</v>
      </c>
      <c r="L37" s="66" t="n">
        <f aca="false">L33+L36</f>
        <v>-2175.37435712038</v>
      </c>
      <c r="M37" s="66" t="n">
        <f aca="false">M33+M36</f>
        <v>-2170.1057296848</v>
      </c>
      <c r="N37" s="66" t="n">
        <f aca="false">N33+N36</f>
        <v>-2164.80368773607</v>
      </c>
      <c r="O37" s="66" t="n">
        <f aca="false">O33+O36</f>
        <v>-2052.37845850937</v>
      </c>
      <c r="P37" s="66" t="n">
        <f aca="false">P33+P36</f>
        <v>-2047.04505179857</v>
      </c>
      <c r="Q37" s="66" t="n">
        <f aca="false">Q33+Q36</f>
        <v>-2041.67768464229</v>
      </c>
      <c r="R37" s="66" t="n">
        <f aca="false">R33+R36</f>
        <v>-2036.27617308813</v>
      </c>
      <c r="S37" s="66" t="n">
        <f aca="false">S33+S36</f>
        <v>-2030.84033218727</v>
      </c>
      <c r="T37" s="66" t="n">
        <f aca="false">T33+T36</f>
        <v>-2025.36997598906</v>
      </c>
      <c r="U37" s="66" t="n">
        <f aca="false">U33+U36</f>
        <v>-2019.86491753567</v>
      </c>
      <c r="V37" s="66" t="n">
        <f aca="false">V33+V36</f>
        <v>-2014.32496885652</v>
      </c>
      <c r="W37" s="66" t="n">
        <f aca="false">W33+W36</f>
        <v>-2008.74994096291</v>
      </c>
      <c r="X37" s="66" t="n">
        <f aca="false">X33+X36</f>
        <v>-2003.13964384242</v>
      </c>
      <c r="Y37" s="66" t="n">
        <f aca="false">Y33+Y36</f>
        <v>-1997.49388645341</v>
      </c>
      <c r="Z37" s="66" t="n">
        <f aca="false">Z33+Z36</f>
        <v>-1991.81247671941</v>
      </c>
      <c r="AA37" s="66" t="n">
        <f aca="false">AA33+AA36</f>
        <v>-1879.79455808325</v>
      </c>
      <c r="AB37" s="66" t="n">
        <f aca="false">AB33+AB36</f>
        <v>-1874.07871182231</v>
      </c>
      <c r="AC37" s="66" t="n">
        <f aca="false">AC33+AC36</f>
        <v>-1868.32663072197</v>
      </c>
      <c r="AD37" s="66" t="n">
        <f aca="false">AD33+AD36</f>
        <v>-1862.53811851019</v>
      </c>
      <c r="AE37" s="66" t="n">
        <f aca="false">AE33+AE36</f>
        <v>-1856.71297785177</v>
      </c>
      <c r="AF37" s="66" t="n">
        <f aca="false">AF33+AF36</f>
        <v>-1850.85101034263</v>
      </c>
      <c r="AG37" s="66" t="n">
        <f aca="false">AG33+AG36</f>
        <v>-1844.952016504</v>
      </c>
      <c r="AH37" s="66" t="n">
        <f aca="false">AH33+AH36</f>
        <v>-1839.01579577658</v>
      </c>
      <c r="AI37" s="66" t="n">
        <f aca="false">AI33+AI36</f>
        <v>-1833.04214651474</v>
      </c>
      <c r="AJ37" s="66" t="n">
        <f aca="false">AJ33+AJ36</f>
        <v>-1827.03086598058</v>
      </c>
      <c r="AK37" s="66" t="n">
        <f aca="false">AK33+AK36</f>
        <v>-1820.98175033804</v>
      </c>
      <c r="AL37" s="66" t="n">
        <f aca="false">AL33+AL36</f>
        <v>-1814.89459464695</v>
      </c>
      <c r="AM37" s="66" t="n">
        <f aca="false">AM33+AM36</f>
        <v>-1703.3904651191</v>
      </c>
      <c r="AN37" s="66" t="n">
        <f aca="false">AN33+AN36</f>
        <v>-1697.26555656607</v>
      </c>
      <c r="AO37" s="66" t="n">
        <f aca="false">AO33+AO36</f>
        <v>-1691.10198645933</v>
      </c>
      <c r="AP37" s="66" t="n">
        <f aca="false">AP33+AP36</f>
        <v>-1684.89954538215</v>
      </c>
      <c r="AQ37" s="66" t="n">
        <f aca="false">AQ33+AQ36</f>
        <v>-1678.65802278342</v>
      </c>
      <c r="AR37" s="66" t="n">
        <f aca="false">AR33+AR36</f>
        <v>-1672.37720697158</v>
      </c>
      <c r="AS37" s="66" t="n">
        <f aca="false">AS33+AS36</f>
        <v>-1666.05688510838</v>
      </c>
      <c r="AT37" s="66" t="n">
        <f aca="false">AT33+AT36</f>
        <v>-1659.69684320272</v>
      </c>
      <c r="AU37" s="66" t="n">
        <f aca="false">AU33+AU36</f>
        <v>-1653.29686610437</v>
      </c>
      <c r="AV37" s="66" t="n">
        <f aca="false">AV33+AV36</f>
        <v>-1646.85673749769</v>
      </c>
      <c r="AW37" s="66" t="n">
        <f aca="false">AW33+AW36</f>
        <v>-1640.37623989535</v>
      </c>
      <c r="AX37" s="66" t="n">
        <f aca="false">AX33+AX36</f>
        <v>-1633.85515463196</v>
      </c>
      <c r="AY37" s="66" t="n">
        <f aca="false">AY33+AY36</f>
        <v>-1522.97682649502</v>
      </c>
      <c r="AZ37" s="66" t="n">
        <f aca="false">AZ33+AZ36</f>
        <v>-1516.41440953132</v>
      </c>
      <c r="BA37" s="66" t="n">
        <f aca="false">BA33+BA36</f>
        <v>-1509.81074177806</v>
      </c>
      <c r="BB37" s="66" t="n">
        <f aca="false">BB33+BB36</f>
        <v>-1503.16559979347</v>
      </c>
      <c r="BC37" s="66" t="n">
        <f aca="false">BC33+BC36</f>
        <v>-1496.47875892547</v>
      </c>
      <c r="BD37" s="66" t="n">
        <f aca="false">BD33+BD36</f>
        <v>-1489.74999330509</v>
      </c>
      <c r="BE37" s="66" t="n">
        <f aca="false">BE33+BE36</f>
        <v>-1482.97907583994</v>
      </c>
      <c r="BF37" s="66" t="n">
        <f aca="false">BF33+BF36</f>
        <v>-1476.16577820751</v>
      </c>
      <c r="BG37" s="66" t="n">
        <f aca="false">BG33+BG36</f>
        <v>-1469.30987084858</v>
      </c>
      <c r="BH37" s="66" t="n">
        <f aca="false">BH33+BH36</f>
        <v>-1462.41112296045</v>
      </c>
      <c r="BI37" s="66" t="n">
        <f aca="false">BI33+BI36</f>
        <v>-1455.46930249025</v>
      </c>
      <c r="BJ37" s="66" t="n">
        <f aca="false">BJ33+BJ36</f>
        <v>-1448.48417612818</v>
      </c>
    </row>
    <row r="39" customFormat="false" ht="15.75" hidden="false" customHeight="true" outlineLevel="0" collapsed="false">
      <c r="A39" s="7" t="s">
        <v>424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6" t="s">
        <v>425</v>
      </c>
      <c r="C40" s="65" t="n">
        <f aca="false">IF(C$6=1,Inputs!$B$7*(1+Inputs!$B$9),0)</f>
        <v>1905500</v>
      </c>
      <c r="D40" s="65" t="n">
        <f aca="false">IF(D$6=1,Inputs!$B$7*(1+Inputs!$B$9),0)</f>
        <v>0</v>
      </c>
      <c r="E40" s="65" t="n">
        <f aca="false">IF(E$6=1,Inputs!$B$7*(1+Inputs!$B$9),0)</f>
        <v>0</v>
      </c>
      <c r="F40" s="65" t="n">
        <f aca="false">IF(F$6=1,Inputs!$B$7*(1+Inputs!$B$9),0)</f>
        <v>0</v>
      </c>
      <c r="G40" s="65" t="n">
        <f aca="false">IF(G$6=1,Inputs!$B$7*(1+Inputs!$B$9),0)</f>
        <v>0</v>
      </c>
      <c r="H40" s="65" t="n">
        <f aca="false">IF(H$6=1,Inputs!$B$7*(1+Inputs!$B$9),0)</f>
        <v>0</v>
      </c>
      <c r="I40" s="65" t="n">
        <f aca="false">IF(I$6=1,Inputs!$B$7*(1+Inputs!$B$9),0)</f>
        <v>0</v>
      </c>
      <c r="J40" s="65" t="n">
        <f aca="false">IF(J$6=1,Inputs!$B$7*(1+Inputs!$B$9),0)</f>
        <v>0</v>
      </c>
      <c r="K40" s="65" t="n">
        <f aca="false">IF(K$6=1,Inputs!$B$7*(1+Inputs!$B$9),0)</f>
        <v>0</v>
      </c>
      <c r="L40" s="65" t="n">
        <f aca="false">IF(L$6=1,Inputs!$B$7*(1+Inputs!$B$9),0)</f>
        <v>0</v>
      </c>
      <c r="M40" s="65" t="n">
        <f aca="false">IF(M$6=1,Inputs!$B$7*(1+Inputs!$B$9),0)</f>
        <v>0</v>
      </c>
      <c r="N40" s="65" t="n">
        <f aca="false">IF(N$6=1,Inputs!$B$7*(1+Inputs!$B$9),0)</f>
        <v>0</v>
      </c>
      <c r="O40" s="65" t="n">
        <f aca="false">IF(O$6=1,Inputs!$B$7*(1+Inputs!$B$9),0)</f>
        <v>0</v>
      </c>
      <c r="P40" s="65" t="n">
        <f aca="false">IF(P$6=1,Inputs!$B$7*(1+Inputs!$B$9),0)</f>
        <v>0</v>
      </c>
      <c r="Q40" s="65" t="n">
        <f aca="false">IF(Q$6=1,Inputs!$B$7*(1+Inputs!$B$9),0)</f>
        <v>0</v>
      </c>
      <c r="R40" s="65" t="n">
        <f aca="false">IF(R$6=1,Inputs!$B$7*(1+Inputs!$B$9),0)</f>
        <v>0</v>
      </c>
      <c r="S40" s="65" t="n">
        <f aca="false">IF(S$6=1,Inputs!$B$7*(1+Inputs!$B$9),0)</f>
        <v>0</v>
      </c>
      <c r="T40" s="65" t="n">
        <f aca="false">IF(T$6=1,Inputs!$B$7*(1+Inputs!$B$9),0)</f>
        <v>0</v>
      </c>
      <c r="U40" s="65" t="n">
        <f aca="false">IF(U$6=1,Inputs!$B$7*(1+Inputs!$B$9),0)</f>
        <v>0</v>
      </c>
      <c r="V40" s="65" t="n">
        <f aca="false">IF(V$6=1,Inputs!$B$7*(1+Inputs!$B$9),0)</f>
        <v>0</v>
      </c>
      <c r="W40" s="65" t="n">
        <f aca="false">IF(W$6=1,Inputs!$B$7*(1+Inputs!$B$9),0)</f>
        <v>0</v>
      </c>
      <c r="X40" s="65" t="n">
        <f aca="false">IF(X$6=1,Inputs!$B$7*(1+Inputs!$B$9),0)</f>
        <v>0</v>
      </c>
      <c r="Y40" s="65" t="n">
        <f aca="false">IF(Y$6=1,Inputs!$B$7*(1+Inputs!$B$9),0)</f>
        <v>0</v>
      </c>
      <c r="Z40" s="65" t="n">
        <f aca="false">IF(Z$6=1,Inputs!$B$7*(1+Inputs!$B$9),0)</f>
        <v>0</v>
      </c>
      <c r="AA40" s="65" t="n">
        <f aca="false">IF(AA$6=1,Inputs!$B$7*(1+Inputs!$B$9),0)</f>
        <v>0</v>
      </c>
      <c r="AB40" s="65" t="n">
        <f aca="false">IF(AB$6=1,Inputs!$B$7*(1+Inputs!$B$9),0)</f>
        <v>0</v>
      </c>
      <c r="AC40" s="65" t="n">
        <f aca="false">IF(AC$6=1,Inputs!$B$7*(1+Inputs!$B$9),0)</f>
        <v>0</v>
      </c>
      <c r="AD40" s="65" t="n">
        <f aca="false">IF(AD$6=1,Inputs!$B$7*(1+Inputs!$B$9),0)</f>
        <v>0</v>
      </c>
      <c r="AE40" s="65" t="n">
        <f aca="false">IF(AE$6=1,Inputs!$B$7*(1+Inputs!$B$9),0)</f>
        <v>0</v>
      </c>
      <c r="AF40" s="65" t="n">
        <f aca="false">IF(AF$6=1,Inputs!$B$7*(1+Inputs!$B$9),0)</f>
        <v>0</v>
      </c>
      <c r="AG40" s="65" t="n">
        <f aca="false">IF(AG$6=1,Inputs!$B$7*(1+Inputs!$B$9),0)</f>
        <v>0</v>
      </c>
      <c r="AH40" s="65" t="n">
        <f aca="false">IF(AH$6=1,Inputs!$B$7*(1+Inputs!$B$9),0)</f>
        <v>0</v>
      </c>
      <c r="AI40" s="65" t="n">
        <f aca="false">IF(AI$6=1,Inputs!$B$7*(1+Inputs!$B$9),0)</f>
        <v>0</v>
      </c>
      <c r="AJ40" s="65" t="n">
        <f aca="false">IF(AJ$6=1,Inputs!$B$7*(1+Inputs!$B$9),0)</f>
        <v>0</v>
      </c>
      <c r="AK40" s="65" t="n">
        <f aca="false">IF(AK$6=1,Inputs!$B$7*(1+Inputs!$B$9),0)</f>
        <v>0</v>
      </c>
      <c r="AL40" s="65" t="n">
        <f aca="false">IF(AL$6=1,Inputs!$B$7*(1+Inputs!$B$9),0)</f>
        <v>0</v>
      </c>
      <c r="AM40" s="65" t="n">
        <f aca="false">IF(AM$6=1,Inputs!$B$7*(1+Inputs!$B$9),0)</f>
        <v>0</v>
      </c>
      <c r="AN40" s="65" t="n">
        <f aca="false">IF(AN$6=1,Inputs!$B$7*(1+Inputs!$B$9),0)</f>
        <v>0</v>
      </c>
      <c r="AO40" s="65" t="n">
        <f aca="false">IF(AO$6=1,Inputs!$B$7*(1+Inputs!$B$9),0)</f>
        <v>0</v>
      </c>
      <c r="AP40" s="65" t="n">
        <f aca="false">IF(AP$6=1,Inputs!$B$7*(1+Inputs!$B$9),0)</f>
        <v>0</v>
      </c>
      <c r="AQ40" s="65" t="n">
        <f aca="false">IF(AQ$6=1,Inputs!$B$7*(1+Inputs!$B$9),0)</f>
        <v>0</v>
      </c>
      <c r="AR40" s="65" t="n">
        <f aca="false">IF(AR$6=1,Inputs!$B$7*(1+Inputs!$B$9),0)</f>
        <v>0</v>
      </c>
      <c r="AS40" s="65" t="n">
        <f aca="false">IF(AS$6=1,Inputs!$B$7*(1+Inputs!$B$9),0)</f>
        <v>0</v>
      </c>
      <c r="AT40" s="65" t="n">
        <f aca="false">IF(AT$6=1,Inputs!$B$7*(1+Inputs!$B$9),0)</f>
        <v>0</v>
      </c>
      <c r="AU40" s="65" t="n">
        <f aca="false">IF(AU$6=1,Inputs!$B$7*(1+Inputs!$B$9),0)</f>
        <v>0</v>
      </c>
      <c r="AV40" s="65" t="n">
        <f aca="false">IF(AV$6=1,Inputs!$B$7*(1+Inputs!$B$9),0)</f>
        <v>0</v>
      </c>
      <c r="AW40" s="65" t="n">
        <f aca="false">IF(AW$6=1,Inputs!$B$7*(1+Inputs!$B$9),0)</f>
        <v>0</v>
      </c>
      <c r="AX40" s="65" t="n">
        <f aca="false">IF(AX$6=1,Inputs!$B$7*(1+Inputs!$B$9),0)</f>
        <v>0</v>
      </c>
      <c r="AY40" s="65" t="n">
        <f aca="false">IF(AY$6=1,Inputs!$B$7*(1+Inputs!$B$9),0)</f>
        <v>0</v>
      </c>
      <c r="AZ40" s="65" t="n">
        <f aca="false">IF(AZ$6=1,Inputs!$B$7*(1+Inputs!$B$9),0)</f>
        <v>0</v>
      </c>
      <c r="BA40" s="65" t="n">
        <f aca="false">IF(BA$6=1,Inputs!$B$7*(1+Inputs!$B$9),0)</f>
        <v>0</v>
      </c>
      <c r="BB40" s="65" t="n">
        <f aca="false">IF(BB$6=1,Inputs!$B$7*(1+Inputs!$B$9),0)</f>
        <v>0</v>
      </c>
      <c r="BC40" s="65" t="n">
        <f aca="false">IF(BC$6=1,Inputs!$B$7*(1+Inputs!$B$9),0)</f>
        <v>0</v>
      </c>
      <c r="BD40" s="65" t="n">
        <f aca="false">IF(BD$6=1,Inputs!$B$7*(1+Inputs!$B$9),0)</f>
        <v>0</v>
      </c>
      <c r="BE40" s="65" t="n">
        <f aca="false">IF(BE$6=1,Inputs!$B$7*(1+Inputs!$B$9),0)</f>
        <v>0</v>
      </c>
      <c r="BF40" s="65" t="n">
        <f aca="false">IF(BF$6=1,Inputs!$B$7*(1+Inputs!$B$9),0)</f>
        <v>0</v>
      </c>
      <c r="BG40" s="65" t="n">
        <f aca="false">IF(BG$6=1,Inputs!$B$7*(1+Inputs!$B$9),0)</f>
        <v>0</v>
      </c>
      <c r="BH40" s="65" t="n">
        <f aca="false">IF(BH$6=1,Inputs!$B$7*(1+Inputs!$B$9),0)</f>
        <v>0</v>
      </c>
      <c r="BI40" s="65" t="n">
        <f aca="false">IF(BI$6=1,Inputs!$B$7*(1+Inputs!$B$9),0)</f>
        <v>0</v>
      </c>
      <c r="BJ40" s="65" t="n">
        <f aca="false">IF(BJ$6=1,Inputs!$B$7*(1+Inputs!$B$9),0)</f>
        <v>0</v>
      </c>
    </row>
    <row r="41" customFormat="false" ht="15" hidden="false" customHeight="false" outlineLevel="0" collapsed="false">
      <c r="A41" s="6" t="s">
        <v>426</v>
      </c>
      <c r="C41" s="65" t="n">
        <f aca="false">IF(C$6=1,Inputs!$B$7*Inputs!$B$8,0)</f>
        <v>370000</v>
      </c>
      <c r="D41" s="65" t="n">
        <f aca="false">IF(D$6=1,Inputs!$B$7*Inputs!$B$8,0)</f>
        <v>0</v>
      </c>
      <c r="E41" s="65" t="n">
        <f aca="false">IF(E$6=1,Inputs!$B$7*Inputs!$B$8,0)</f>
        <v>0</v>
      </c>
      <c r="F41" s="65" t="n">
        <f aca="false">IF(F$6=1,Inputs!$B$7*Inputs!$B$8,0)</f>
        <v>0</v>
      </c>
      <c r="G41" s="65" t="n">
        <f aca="false">IF(G$6=1,Inputs!$B$7*Inputs!$B$8,0)</f>
        <v>0</v>
      </c>
      <c r="H41" s="65" t="n">
        <f aca="false">IF(H$6=1,Inputs!$B$7*Inputs!$B$8,0)</f>
        <v>0</v>
      </c>
      <c r="I41" s="65" t="n">
        <f aca="false">IF(I$6=1,Inputs!$B$7*Inputs!$B$8,0)</f>
        <v>0</v>
      </c>
      <c r="J41" s="65" t="n">
        <f aca="false">IF(J$6=1,Inputs!$B$7*Inputs!$B$8,0)</f>
        <v>0</v>
      </c>
      <c r="K41" s="65" t="n">
        <f aca="false">IF(K$6=1,Inputs!$B$7*Inputs!$B$8,0)</f>
        <v>0</v>
      </c>
      <c r="L41" s="65" t="n">
        <f aca="false">IF(L$6=1,Inputs!$B$7*Inputs!$B$8,0)</f>
        <v>0</v>
      </c>
      <c r="M41" s="65" t="n">
        <f aca="false">IF(M$6=1,Inputs!$B$7*Inputs!$B$8,0)</f>
        <v>0</v>
      </c>
      <c r="N41" s="65" t="n">
        <f aca="false">IF(N$6=1,Inputs!$B$7*Inputs!$B$8,0)</f>
        <v>0</v>
      </c>
      <c r="O41" s="65" t="n">
        <f aca="false">IF(O$6=1,Inputs!$B$7*Inputs!$B$8,0)</f>
        <v>0</v>
      </c>
      <c r="P41" s="65" t="n">
        <f aca="false">IF(P$6=1,Inputs!$B$7*Inputs!$B$8,0)</f>
        <v>0</v>
      </c>
      <c r="Q41" s="65" t="n">
        <f aca="false">IF(Q$6=1,Inputs!$B$7*Inputs!$B$8,0)</f>
        <v>0</v>
      </c>
      <c r="R41" s="65" t="n">
        <f aca="false">IF(R$6=1,Inputs!$B$7*Inputs!$B$8,0)</f>
        <v>0</v>
      </c>
      <c r="S41" s="65" t="n">
        <f aca="false">IF(S$6=1,Inputs!$B$7*Inputs!$B$8,0)</f>
        <v>0</v>
      </c>
      <c r="T41" s="65" t="n">
        <f aca="false">IF(T$6=1,Inputs!$B$7*Inputs!$B$8,0)</f>
        <v>0</v>
      </c>
      <c r="U41" s="65" t="n">
        <f aca="false">IF(U$6=1,Inputs!$B$7*Inputs!$B$8,0)</f>
        <v>0</v>
      </c>
      <c r="V41" s="65" t="n">
        <f aca="false">IF(V$6=1,Inputs!$B$7*Inputs!$B$8,0)</f>
        <v>0</v>
      </c>
      <c r="W41" s="65" t="n">
        <f aca="false">IF(W$6=1,Inputs!$B$7*Inputs!$B$8,0)</f>
        <v>0</v>
      </c>
      <c r="X41" s="65" t="n">
        <f aca="false">IF(X$6=1,Inputs!$B$7*Inputs!$B$8,0)</f>
        <v>0</v>
      </c>
      <c r="Y41" s="65" t="n">
        <f aca="false">IF(Y$6=1,Inputs!$B$7*Inputs!$B$8,0)</f>
        <v>0</v>
      </c>
      <c r="Z41" s="65" t="n">
        <f aca="false">IF(Z$6=1,Inputs!$B$7*Inputs!$B$8,0)</f>
        <v>0</v>
      </c>
      <c r="AA41" s="65" t="n">
        <f aca="false">IF(AA$6=1,Inputs!$B$7*Inputs!$B$8,0)</f>
        <v>0</v>
      </c>
      <c r="AB41" s="65" t="n">
        <f aca="false">IF(AB$6=1,Inputs!$B$7*Inputs!$B$8,0)</f>
        <v>0</v>
      </c>
      <c r="AC41" s="65" t="n">
        <f aca="false">IF(AC$6=1,Inputs!$B$7*Inputs!$B$8,0)</f>
        <v>0</v>
      </c>
      <c r="AD41" s="65" t="n">
        <f aca="false">IF(AD$6=1,Inputs!$B$7*Inputs!$B$8,0)</f>
        <v>0</v>
      </c>
      <c r="AE41" s="65" t="n">
        <f aca="false">IF(AE$6=1,Inputs!$B$7*Inputs!$B$8,0)</f>
        <v>0</v>
      </c>
      <c r="AF41" s="65" t="n">
        <f aca="false">IF(AF$6=1,Inputs!$B$7*Inputs!$B$8,0)</f>
        <v>0</v>
      </c>
      <c r="AG41" s="65" t="n">
        <f aca="false">IF(AG$6=1,Inputs!$B$7*Inputs!$B$8,0)</f>
        <v>0</v>
      </c>
      <c r="AH41" s="65" t="n">
        <f aca="false">IF(AH$6=1,Inputs!$B$7*Inputs!$B$8,0)</f>
        <v>0</v>
      </c>
      <c r="AI41" s="65" t="n">
        <f aca="false">IF(AI$6=1,Inputs!$B$7*Inputs!$B$8,0)</f>
        <v>0</v>
      </c>
      <c r="AJ41" s="65" t="n">
        <f aca="false">IF(AJ$6=1,Inputs!$B$7*Inputs!$B$8,0)</f>
        <v>0</v>
      </c>
      <c r="AK41" s="65" t="n">
        <f aca="false">IF(AK$6=1,Inputs!$B$7*Inputs!$B$8,0)</f>
        <v>0</v>
      </c>
      <c r="AL41" s="65" t="n">
        <f aca="false">IF(AL$6=1,Inputs!$B$7*Inputs!$B$8,0)</f>
        <v>0</v>
      </c>
      <c r="AM41" s="65" t="n">
        <f aca="false">IF(AM$6=1,Inputs!$B$7*Inputs!$B$8,0)</f>
        <v>0</v>
      </c>
      <c r="AN41" s="65" t="n">
        <f aca="false">IF(AN$6=1,Inputs!$B$7*Inputs!$B$8,0)</f>
        <v>0</v>
      </c>
      <c r="AO41" s="65" t="n">
        <f aca="false">IF(AO$6=1,Inputs!$B$7*Inputs!$B$8,0)</f>
        <v>0</v>
      </c>
      <c r="AP41" s="65" t="n">
        <f aca="false">IF(AP$6=1,Inputs!$B$7*Inputs!$B$8,0)</f>
        <v>0</v>
      </c>
      <c r="AQ41" s="65" t="n">
        <f aca="false">IF(AQ$6=1,Inputs!$B$7*Inputs!$B$8,0)</f>
        <v>0</v>
      </c>
      <c r="AR41" s="65" t="n">
        <f aca="false">IF(AR$6=1,Inputs!$B$7*Inputs!$B$8,0)</f>
        <v>0</v>
      </c>
      <c r="AS41" s="65" t="n">
        <f aca="false">IF(AS$6=1,Inputs!$B$7*Inputs!$B$8,0)</f>
        <v>0</v>
      </c>
      <c r="AT41" s="65" t="n">
        <f aca="false">IF(AT$6=1,Inputs!$B$7*Inputs!$B$8,0)</f>
        <v>0</v>
      </c>
      <c r="AU41" s="65" t="n">
        <f aca="false">IF(AU$6=1,Inputs!$B$7*Inputs!$B$8,0)</f>
        <v>0</v>
      </c>
      <c r="AV41" s="65" t="n">
        <f aca="false">IF(AV$6=1,Inputs!$B$7*Inputs!$B$8,0)</f>
        <v>0</v>
      </c>
      <c r="AW41" s="65" t="n">
        <f aca="false">IF(AW$6=1,Inputs!$B$7*Inputs!$B$8,0)</f>
        <v>0</v>
      </c>
      <c r="AX41" s="65" t="n">
        <f aca="false">IF(AX$6=1,Inputs!$B$7*Inputs!$B$8,0)</f>
        <v>0</v>
      </c>
      <c r="AY41" s="65" t="n">
        <f aca="false">IF(AY$6=1,Inputs!$B$7*Inputs!$B$8,0)</f>
        <v>0</v>
      </c>
      <c r="AZ41" s="65" t="n">
        <f aca="false">IF(AZ$6=1,Inputs!$B$7*Inputs!$B$8,0)</f>
        <v>0</v>
      </c>
      <c r="BA41" s="65" t="n">
        <f aca="false">IF(BA$6=1,Inputs!$B$7*Inputs!$B$8,0)</f>
        <v>0</v>
      </c>
      <c r="BB41" s="65" t="n">
        <f aca="false">IF(BB$6=1,Inputs!$B$7*Inputs!$B$8,0)</f>
        <v>0</v>
      </c>
      <c r="BC41" s="65" t="n">
        <f aca="false">IF(BC$6=1,Inputs!$B$7*Inputs!$B$8,0)</f>
        <v>0</v>
      </c>
      <c r="BD41" s="65" t="n">
        <f aca="false">IF(BD$6=1,Inputs!$B$7*Inputs!$B$8,0)</f>
        <v>0</v>
      </c>
      <c r="BE41" s="65" t="n">
        <f aca="false">IF(BE$6=1,Inputs!$B$7*Inputs!$B$8,0)</f>
        <v>0</v>
      </c>
      <c r="BF41" s="65" t="n">
        <f aca="false">IF(BF$6=1,Inputs!$B$7*Inputs!$B$8,0)</f>
        <v>0</v>
      </c>
      <c r="BG41" s="65" t="n">
        <f aca="false">IF(BG$6=1,Inputs!$B$7*Inputs!$B$8,0)</f>
        <v>0</v>
      </c>
      <c r="BH41" s="65" t="n">
        <f aca="false">IF(BH$6=1,Inputs!$B$7*Inputs!$B$8,0)</f>
        <v>0</v>
      </c>
      <c r="BI41" s="65" t="n">
        <f aca="false">IF(BI$6=1,Inputs!$B$7*Inputs!$B$8,0)</f>
        <v>0</v>
      </c>
      <c r="BJ41" s="65" t="n">
        <f aca="false">IF(BJ$6=1,Inputs!$B$7*Inputs!$B$8,0)</f>
        <v>0</v>
      </c>
    </row>
    <row r="42" customFormat="false" ht="15" hidden="false" customHeight="false" outlineLevel="0" collapsed="false">
      <c r="A42" s="6" t="s">
        <v>427</v>
      </c>
      <c r="C42" s="65" t="n">
        <f aca="false">Inputs!$B$10*Inputs!$B$26/12*(1+Inputs!$B$25)^(C$7-1)*1</f>
        <v>291.666666666667</v>
      </c>
      <c r="D42" s="65" t="n">
        <f aca="false">Inputs!$B$10*Inputs!$B$26/12*(1+Inputs!$B$25)^(D$7-1)*1</f>
        <v>291.666666666667</v>
      </c>
      <c r="E42" s="65" t="n">
        <f aca="false">Inputs!$B$10*Inputs!$B$26/12*(1+Inputs!$B$25)^(E$7-1)*1</f>
        <v>291.666666666667</v>
      </c>
      <c r="F42" s="65" t="n">
        <f aca="false">Inputs!$B$10*Inputs!$B$26/12*(1+Inputs!$B$25)^(F$7-1)*1</f>
        <v>291.666666666667</v>
      </c>
      <c r="G42" s="65" t="n">
        <f aca="false">Inputs!$B$10*Inputs!$B$26/12*(1+Inputs!$B$25)^(G$7-1)*1</f>
        <v>291.666666666667</v>
      </c>
      <c r="H42" s="65" t="n">
        <f aca="false">Inputs!$B$10*Inputs!$B$26/12*(1+Inputs!$B$25)^(H$7-1)*1</f>
        <v>291.666666666667</v>
      </c>
      <c r="I42" s="65" t="n">
        <f aca="false">Inputs!$B$10*Inputs!$B$26/12*(1+Inputs!$B$25)^(I$7-1)*1</f>
        <v>291.666666666667</v>
      </c>
      <c r="J42" s="65" t="n">
        <f aca="false">Inputs!$B$10*Inputs!$B$26/12*(1+Inputs!$B$25)^(J$7-1)*1</f>
        <v>291.666666666667</v>
      </c>
      <c r="K42" s="65" t="n">
        <f aca="false">Inputs!$B$10*Inputs!$B$26/12*(1+Inputs!$B$25)^(K$7-1)*1</f>
        <v>291.666666666667</v>
      </c>
      <c r="L42" s="65" t="n">
        <f aca="false">Inputs!$B$10*Inputs!$B$26/12*(1+Inputs!$B$25)^(L$7-1)*1</f>
        <v>291.666666666667</v>
      </c>
      <c r="M42" s="65" t="n">
        <f aca="false">Inputs!$B$10*Inputs!$B$26/12*(1+Inputs!$B$25)^(M$7-1)*1</f>
        <v>291.666666666667</v>
      </c>
      <c r="N42" s="65" t="n">
        <f aca="false">Inputs!$B$10*Inputs!$B$26/12*(1+Inputs!$B$25)^(N$7-1)*1</f>
        <v>291.666666666667</v>
      </c>
      <c r="O42" s="65" t="n">
        <f aca="false">Inputs!$B$10*Inputs!$B$26/12*(1+Inputs!$B$25)^(O$7-1)*1</f>
        <v>303.333333333333</v>
      </c>
      <c r="P42" s="65" t="n">
        <f aca="false">Inputs!$B$10*Inputs!$B$26/12*(1+Inputs!$B$25)^(P$7-1)*1</f>
        <v>303.333333333333</v>
      </c>
      <c r="Q42" s="65" t="n">
        <f aca="false">Inputs!$B$10*Inputs!$B$26/12*(1+Inputs!$B$25)^(Q$7-1)*1</f>
        <v>303.333333333333</v>
      </c>
      <c r="R42" s="65" t="n">
        <f aca="false">Inputs!$B$10*Inputs!$B$26/12*(1+Inputs!$B$25)^(R$7-1)*1</f>
        <v>303.333333333333</v>
      </c>
      <c r="S42" s="65" t="n">
        <f aca="false">Inputs!$B$10*Inputs!$B$26/12*(1+Inputs!$B$25)^(S$7-1)*1</f>
        <v>303.333333333333</v>
      </c>
      <c r="T42" s="65" t="n">
        <f aca="false">Inputs!$B$10*Inputs!$B$26/12*(1+Inputs!$B$25)^(T$7-1)*1</f>
        <v>303.333333333333</v>
      </c>
      <c r="U42" s="65" t="n">
        <f aca="false">Inputs!$B$10*Inputs!$B$26/12*(1+Inputs!$B$25)^(U$7-1)*1</f>
        <v>303.333333333333</v>
      </c>
      <c r="V42" s="65" t="n">
        <f aca="false">Inputs!$B$10*Inputs!$B$26/12*(1+Inputs!$B$25)^(V$7-1)*1</f>
        <v>303.333333333333</v>
      </c>
      <c r="W42" s="65" t="n">
        <f aca="false">Inputs!$B$10*Inputs!$B$26/12*(1+Inputs!$B$25)^(W$7-1)*1</f>
        <v>303.333333333333</v>
      </c>
      <c r="X42" s="65" t="n">
        <f aca="false">Inputs!$B$10*Inputs!$B$26/12*(1+Inputs!$B$25)^(X$7-1)*1</f>
        <v>303.333333333333</v>
      </c>
      <c r="Y42" s="65" t="n">
        <f aca="false">Inputs!$B$10*Inputs!$B$26/12*(1+Inputs!$B$25)^(Y$7-1)*1</f>
        <v>303.333333333333</v>
      </c>
      <c r="Z42" s="65" t="n">
        <f aca="false">Inputs!$B$10*Inputs!$B$26/12*(1+Inputs!$B$25)^(Z$7-1)*1</f>
        <v>303.333333333333</v>
      </c>
      <c r="AA42" s="65" t="n">
        <f aca="false">Inputs!$B$10*Inputs!$B$26/12*(1+Inputs!$B$25)^(AA$7-1)*1</f>
        <v>315.466666666667</v>
      </c>
      <c r="AB42" s="65" t="n">
        <f aca="false">Inputs!$B$10*Inputs!$B$26/12*(1+Inputs!$B$25)^(AB$7-1)*1</f>
        <v>315.466666666667</v>
      </c>
      <c r="AC42" s="65" t="n">
        <f aca="false">Inputs!$B$10*Inputs!$B$26/12*(1+Inputs!$B$25)^(AC$7-1)*1</f>
        <v>315.466666666667</v>
      </c>
      <c r="AD42" s="65" t="n">
        <f aca="false">Inputs!$B$10*Inputs!$B$26/12*(1+Inputs!$B$25)^(AD$7-1)*1</f>
        <v>315.466666666667</v>
      </c>
      <c r="AE42" s="65" t="n">
        <f aca="false">Inputs!$B$10*Inputs!$B$26/12*(1+Inputs!$B$25)^(AE$7-1)*1</f>
        <v>315.466666666667</v>
      </c>
      <c r="AF42" s="65" t="n">
        <f aca="false">Inputs!$B$10*Inputs!$B$26/12*(1+Inputs!$B$25)^(AF$7-1)*1</f>
        <v>315.466666666667</v>
      </c>
      <c r="AG42" s="65" t="n">
        <f aca="false">Inputs!$B$10*Inputs!$B$26/12*(1+Inputs!$B$25)^(AG$7-1)*1</f>
        <v>315.466666666667</v>
      </c>
      <c r="AH42" s="65" t="n">
        <f aca="false">Inputs!$B$10*Inputs!$B$26/12*(1+Inputs!$B$25)^(AH$7-1)*1</f>
        <v>315.466666666667</v>
      </c>
      <c r="AI42" s="65" t="n">
        <f aca="false">Inputs!$B$10*Inputs!$B$26/12*(1+Inputs!$B$25)^(AI$7-1)*1</f>
        <v>315.466666666667</v>
      </c>
      <c r="AJ42" s="65" t="n">
        <f aca="false">Inputs!$B$10*Inputs!$B$26/12*(1+Inputs!$B$25)^(AJ$7-1)*1</f>
        <v>315.466666666667</v>
      </c>
      <c r="AK42" s="65" t="n">
        <f aca="false">Inputs!$B$10*Inputs!$B$26/12*(1+Inputs!$B$25)^(AK$7-1)*1</f>
        <v>315.466666666667</v>
      </c>
      <c r="AL42" s="65" t="n">
        <f aca="false">Inputs!$B$10*Inputs!$B$26/12*(1+Inputs!$B$25)^(AL$7-1)*1</f>
        <v>315.466666666667</v>
      </c>
      <c r="AM42" s="65" t="n">
        <f aca="false">Inputs!$B$10*Inputs!$B$26/12*(1+Inputs!$B$25)^(AM$7-1)*1</f>
        <v>328.085333333333</v>
      </c>
      <c r="AN42" s="65" t="n">
        <f aca="false">Inputs!$B$10*Inputs!$B$26/12*(1+Inputs!$B$25)^(AN$7-1)*1</f>
        <v>328.085333333333</v>
      </c>
      <c r="AO42" s="65" t="n">
        <f aca="false">Inputs!$B$10*Inputs!$B$26/12*(1+Inputs!$B$25)^(AO$7-1)*1</f>
        <v>328.085333333333</v>
      </c>
      <c r="AP42" s="65" t="n">
        <f aca="false">Inputs!$B$10*Inputs!$B$26/12*(1+Inputs!$B$25)^(AP$7-1)*1</f>
        <v>328.085333333333</v>
      </c>
      <c r="AQ42" s="65" t="n">
        <f aca="false">Inputs!$B$10*Inputs!$B$26/12*(1+Inputs!$B$25)^(AQ$7-1)*1</f>
        <v>328.085333333333</v>
      </c>
      <c r="AR42" s="65" t="n">
        <f aca="false">Inputs!$B$10*Inputs!$B$26/12*(1+Inputs!$B$25)^(AR$7-1)*1</f>
        <v>328.085333333333</v>
      </c>
      <c r="AS42" s="65" t="n">
        <f aca="false">Inputs!$B$10*Inputs!$B$26/12*(1+Inputs!$B$25)^(AS$7-1)*1</f>
        <v>328.085333333333</v>
      </c>
      <c r="AT42" s="65" t="n">
        <f aca="false">Inputs!$B$10*Inputs!$B$26/12*(1+Inputs!$B$25)^(AT$7-1)*1</f>
        <v>328.085333333333</v>
      </c>
      <c r="AU42" s="65" t="n">
        <f aca="false">Inputs!$B$10*Inputs!$B$26/12*(1+Inputs!$B$25)^(AU$7-1)*1</f>
        <v>328.085333333333</v>
      </c>
      <c r="AV42" s="65" t="n">
        <f aca="false">Inputs!$B$10*Inputs!$B$26/12*(1+Inputs!$B$25)^(AV$7-1)*1</f>
        <v>328.085333333333</v>
      </c>
      <c r="AW42" s="65" t="n">
        <f aca="false">Inputs!$B$10*Inputs!$B$26/12*(1+Inputs!$B$25)^(AW$7-1)*1</f>
        <v>328.085333333333</v>
      </c>
      <c r="AX42" s="65" t="n">
        <f aca="false">Inputs!$B$10*Inputs!$B$26/12*(1+Inputs!$B$25)^(AX$7-1)*1</f>
        <v>328.085333333333</v>
      </c>
      <c r="AY42" s="65" t="n">
        <f aca="false">Inputs!$B$10*Inputs!$B$26/12*(1+Inputs!$B$25)^(AY$7-1)*1</f>
        <v>341.208746666667</v>
      </c>
      <c r="AZ42" s="65" t="n">
        <f aca="false">Inputs!$B$10*Inputs!$B$26/12*(1+Inputs!$B$25)^(AZ$7-1)*1</f>
        <v>341.208746666667</v>
      </c>
      <c r="BA42" s="65" t="n">
        <f aca="false">Inputs!$B$10*Inputs!$B$26/12*(1+Inputs!$B$25)^(BA$7-1)*1</f>
        <v>341.208746666667</v>
      </c>
      <c r="BB42" s="65" t="n">
        <f aca="false">Inputs!$B$10*Inputs!$B$26/12*(1+Inputs!$B$25)^(BB$7-1)*1</f>
        <v>341.208746666667</v>
      </c>
      <c r="BC42" s="65" t="n">
        <f aca="false">Inputs!$B$10*Inputs!$B$26/12*(1+Inputs!$B$25)^(BC$7-1)*1</f>
        <v>341.208746666667</v>
      </c>
      <c r="BD42" s="65" t="n">
        <f aca="false">Inputs!$B$10*Inputs!$B$26/12*(1+Inputs!$B$25)^(BD$7-1)*1</f>
        <v>341.208746666667</v>
      </c>
      <c r="BE42" s="65" t="n">
        <f aca="false">Inputs!$B$10*Inputs!$B$26/12*(1+Inputs!$B$25)^(BE$7-1)*1</f>
        <v>341.208746666667</v>
      </c>
      <c r="BF42" s="65" t="n">
        <f aca="false">Inputs!$B$10*Inputs!$B$26/12*(1+Inputs!$B$25)^(BF$7-1)*1</f>
        <v>341.208746666667</v>
      </c>
      <c r="BG42" s="65" t="n">
        <f aca="false">Inputs!$B$10*Inputs!$B$26/12*(1+Inputs!$B$25)^(BG$7-1)*1</f>
        <v>341.208746666667</v>
      </c>
      <c r="BH42" s="65" t="n">
        <f aca="false">Inputs!$B$10*Inputs!$B$26/12*(1+Inputs!$B$25)^(BH$7-1)*1</f>
        <v>341.208746666667</v>
      </c>
      <c r="BI42" s="65" t="n">
        <f aca="false">Inputs!$B$10*Inputs!$B$26/12*(1+Inputs!$B$25)^(BI$7-1)*1</f>
        <v>341.208746666667</v>
      </c>
      <c r="BJ42" s="65" t="n">
        <f aca="false">Inputs!$B$10*Inputs!$B$26/12*(1+Inputs!$B$25)^(BJ$7-1)*1</f>
        <v>341.208746666667</v>
      </c>
    </row>
    <row r="43" customFormat="false" ht="15" hidden="false" customHeight="false" outlineLevel="0" collapsed="false">
      <c r="A43" s="4" t="s">
        <v>84</v>
      </c>
      <c r="C43" s="71" t="n">
        <f aca="false">C40+C42</f>
        <v>1905791.66666667</v>
      </c>
      <c r="D43" s="71" t="n">
        <f aca="false">D40+D42</f>
        <v>291.666666666667</v>
      </c>
      <c r="E43" s="71" t="n">
        <f aca="false">E40+E42</f>
        <v>291.666666666667</v>
      </c>
      <c r="F43" s="71" t="n">
        <f aca="false">F40+F42</f>
        <v>291.666666666667</v>
      </c>
      <c r="G43" s="71" t="n">
        <f aca="false">G40+G42</f>
        <v>291.666666666667</v>
      </c>
      <c r="H43" s="71" t="n">
        <f aca="false">H40+H42</f>
        <v>291.666666666667</v>
      </c>
      <c r="I43" s="71" t="n">
        <f aca="false">I40+I42</f>
        <v>291.666666666667</v>
      </c>
      <c r="J43" s="71" t="n">
        <f aca="false">J40+J42</f>
        <v>291.666666666667</v>
      </c>
      <c r="K43" s="71" t="n">
        <f aca="false">K40+K42</f>
        <v>291.666666666667</v>
      </c>
      <c r="L43" s="71" t="n">
        <f aca="false">L40+L42</f>
        <v>291.666666666667</v>
      </c>
      <c r="M43" s="71" t="n">
        <f aca="false">M40+M42</f>
        <v>291.666666666667</v>
      </c>
      <c r="N43" s="71" t="n">
        <f aca="false">N40+N42</f>
        <v>291.666666666667</v>
      </c>
      <c r="O43" s="71" t="n">
        <f aca="false">O40+O42</f>
        <v>303.333333333333</v>
      </c>
      <c r="P43" s="71" t="n">
        <f aca="false">P40+P42</f>
        <v>303.333333333333</v>
      </c>
      <c r="Q43" s="71" t="n">
        <f aca="false">Q40+Q42</f>
        <v>303.333333333333</v>
      </c>
      <c r="R43" s="71" t="n">
        <f aca="false">R40+R42</f>
        <v>303.333333333333</v>
      </c>
      <c r="S43" s="71" t="n">
        <f aca="false">S40+S42</f>
        <v>303.333333333333</v>
      </c>
      <c r="T43" s="71" t="n">
        <f aca="false">T40+T42</f>
        <v>303.333333333333</v>
      </c>
      <c r="U43" s="71" t="n">
        <f aca="false">U40+U42</f>
        <v>303.333333333333</v>
      </c>
      <c r="V43" s="71" t="n">
        <f aca="false">V40+V42</f>
        <v>303.333333333333</v>
      </c>
      <c r="W43" s="71" t="n">
        <f aca="false">W40+W42</f>
        <v>303.333333333333</v>
      </c>
      <c r="X43" s="71" t="n">
        <f aca="false">X40+X42</f>
        <v>303.333333333333</v>
      </c>
      <c r="Y43" s="71" t="n">
        <f aca="false">Y40+Y42</f>
        <v>303.333333333333</v>
      </c>
      <c r="Z43" s="71" t="n">
        <f aca="false">Z40+Z42</f>
        <v>303.333333333333</v>
      </c>
      <c r="AA43" s="71" t="n">
        <f aca="false">AA40+AA42</f>
        <v>315.466666666667</v>
      </c>
      <c r="AB43" s="71" t="n">
        <f aca="false">AB40+AB42</f>
        <v>315.466666666667</v>
      </c>
      <c r="AC43" s="71" t="n">
        <f aca="false">AC40+AC42</f>
        <v>315.466666666667</v>
      </c>
      <c r="AD43" s="71" t="n">
        <f aca="false">AD40+AD42</f>
        <v>315.466666666667</v>
      </c>
      <c r="AE43" s="71" t="n">
        <f aca="false">AE40+AE42</f>
        <v>315.466666666667</v>
      </c>
      <c r="AF43" s="71" t="n">
        <f aca="false">AF40+AF42</f>
        <v>315.466666666667</v>
      </c>
      <c r="AG43" s="71" t="n">
        <f aca="false">AG40+AG42</f>
        <v>315.466666666667</v>
      </c>
      <c r="AH43" s="71" t="n">
        <f aca="false">AH40+AH42</f>
        <v>315.466666666667</v>
      </c>
      <c r="AI43" s="71" t="n">
        <f aca="false">AI40+AI42</f>
        <v>315.466666666667</v>
      </c>
      <c r="AJ43" s="71" t="n">
        <f aca="false">AJ40+AJ42</f>
        <v>315.466666666667</v>
      </c>
      <c r="AK43" s="71" t="n">
        <f aca="false">AK40+AK42</f>
        <v>315.466666666667</v>
      </c>
      <c r="AL43" s="71" t="n">
        <f aca="false">AL40+AL42</f>
        <v>315.466666666667</v>
      </c>
      <c r="AM43" s="71" t="n">
        <f aca="false">AM40+AM42</f>
        <v>328.085333333333</v>
      </c>
      <c r="AN43" s="71" t="n">
        <f aca="false">AN40+AN42</f>
        <v>328.085333333333</v>
      </c>
      <c r="AO43" s="71" t="n">
        <f aca="false">AO40+AO42</f>
        <v>328.085333333333</v>
      </c>
      <c r="AP43" s="71" t="n">
        <f aca="false">AP40+AP42</f>
        <v>328.085333333333</v>
      </c>
      <c r="AQ43" s="71" t="n">
        <f aca="false">AQ40+AQ42</f>
        <v>328.085333333333</v>
      </c>
      <c r="AR43" s="71" t="n">
        <f aca="false">AR40+AR42</f>
        <v>328.085333333333</v>
      </c>
      <c r="AS43" s="71" t="n">
        <f aca="false">AS40+AS42</f>
        <v>328.085333333333</v>
      </c>
      <c r="AT43" s="71" t="n">
        <f aca="false">AT40+AT42</f>
        <v>328.085333333333</v>
      </c>
      <c r="AU43" s="71" t="n">
        <f aca="false">AU40+AU42</f>
        <v>328.085333333333</v>
      </c>
      <c r="AV43" s="71" t="n">
        <f aca="false">AV40+AV42</f>
        <v>328.085333333333</v>
      </c>
      <c r="AW43" s="71" t="n">
        <f aca="false">AW40+AW42</f>
        <v>328.085333333333</v>
      </c>
      <c r="AX43" s="71" t="n">
        <f aca="false">AX40+AX42</f>
        <v>328.085333333333</v>
      </c>
      <c r="AY43" s="71" t="n">
        <f aca="false">AY40+AY42</f>
        <v>341.208746666667</v>
      </c>
      <c r="AZ43" s="71" t="n">
        <f aca="false">AZ40+AZ42</f>
        <v>341.208746666667</v>
      </c>
      <c r="BA43" s="71" t="n">
        <f aca="false">BA40+BA42</f>
        <v>341.208746666667</v>
      </c>
      <c r="BB43" s="71" t="n">
        <f aca="false">BB40+BB42</f>
        <v>341.208746666667</v>
      </c>
      <c r="BC43" s="71" t="n">
        <f aca="false">BC40+BC42</f>
        <v>341.208746666667</v>
      </c>
      <c r="BD43" s="71" t="n">
        <f aca="false">BD40+BD42</f>
        <v>341.208746666667</v>
      </c>
      <c r="BE43" s="71" t="n">
        <f aca="false">BE40+BE42</f>
        <v>341.208746666667</v>
      </c>
      <c r="BF43" s="71" t="n">
        <f aca="false">BF40+BF42</f>
        <v>341.208746666667</v>
      </c>
      <c r="BG43" s="71" t="n">
        <f aca="false">BG40+BG42</f>
        <v>341.208746666667</v>
      </c>
      <c r="BH43" s="71" t="n">
        <f aca="false">BH40+BH42</f>
        <v>341.208746666667</v>
      </c>
      <c r="BI43" s="71" t="n">
        <f aca="false">BI40+BI42</f>
        <v>341.208746666667</v>
      </c>
      <c r="BJ43" s="71" t="n">
        <f aca="false">BJ40+BJ42</f>
        <v>341.208746666667</v>
      </c>
    </row>
    <row r="44" customFormat="false" ht="15" hidden="false" customHeight="false" outlineLevel="0" collapsed="false">
      <c r="A44" s="6" t="s">
        <v>428</v>
      </c>
      <c r="C44" s="65" t="n">
        <f aca="false">C43</f>
        <v>1905791.66666667</v>
      </c>
      <c r="D44" s="65" t="n">
        <f aca="false">C44+D43</f>
        <v>1906083.33333333</v>
      </c>
      <c r="E44" s="65" t="n">
        <f aca="false">D44+E43</f>
        <v>1906375</v>
      </c>
      <c r="F44" s="65" t="n">
        <f aca="false">E44+F43</f>
        <v>1906666.66666667</v>
      </c>
      <c r="G44" s="65" t="n">
        <f aca="false">F44+G43</f>
        <v>1906958.33333333</v>
      </c>
      <c r="H44" s="65" t="n">
        <f aca="false">G44+H43</f>
        <v>1907250</v>
      </c>
      <c r="I44" s="65" t="n">
        <f aca="false">H44+I43</f>
        <v>1907541.66666667</v>
      </c>
      <c r="J44" s="65" t="n">
        <f aca="false">I44+J43</f>
        <v>1907833.33333333</v>
      </c>
      <c r="K44" s="65" t="n">
        <f aca="false">J44+K43</f>
        <v>1908125</v>
      </c>
      <c r="L44" s="65" t="n">
        <f aca="false">K44+L43</f>
        <v>1908416.66666667</v>
      </c>
      <c r="M44" s="65" t="n">
        <f aca="false">L44+M43</f>
        <v>1908708.33333333</v>
      </c>
      <c r="N44" s="65" t="n">
        <f aca="false">M44+N43</f>
        <v>1909000</v>
      </c>
      <c r="O44" s="65" t="n">
        <f aca="false">N44+O43</f>
        <v>1909303.33333333</v>
      </c>
      <c r="P44" s="65" t="n">
        <f aca="false">O44+P43</f>
        <v>1909606.66666667</v>
      </c>
      <c r="Q44" s="65" t="n">
        <f aca="false">P44+Q43</f>
        <v>1909910</v>
      </c>
      <c r="R44" s="65" t="n">
        <f aca="false">Q44+R43</f>
        <v>1910213.33333333</v>
      </c>
      <c r="S44" s="65" t="n">
        <f aca="false">R44+S43</f>
        <v>1910516.66666667</v>
      </c>
      <c r="T44" s="65" t="n">
        <f aca="false">S44+T43</f>
        <v>1910820</v>
      </c>
      <c r="U44" s="65" t="n">
        <f aca="false">T44+U43</f>
        <v>1911123.33333333</v>
      </c>
      <c r="V44" s="65" t="n">
        <f aca="false">U44+V43</f>
        <v>1911426.66666667</v>
      </c>
      <c r="W44" s="65" t="n">
        <f aca="false">V44+W43</f>
        <v>1911730</v>
      </c>
      <c r="X44" s="65" t="n">
        <f aca="false">W44+X43</f>
        <v>1912033.33333333</v>
      </c>
      <c r="Y44" s="65" t="n">
        <f aca="false">X44+Y43</f>
        <v>1912336.66666667</v>
      </c>
      <c r="Z44" s="65" t="n">
        <f aca="false">Y44+Z43</f>
        <v>1912640</v>
      </c>
      <c r="AA44" s="65" t="n">
        <f aca="false">Z44+AA43</f>
        <v>1912955.46666667</v>
      </c>
      <c r="AB44" s="65" t="n">
        <f aca="false">AA44+AB43</f>
        <v>1913270.93333333</v>
      </c>
      <c r="AC44" s="65" t="n">
        <f aca="false">AB44+AC43</f>
        <v>1913586.4</v>
      </c>
      <c r="AD44" s="65" t="n">
        <f aca="false">AC44+AD43</f>
        <v>1913901.86666667</v>
      </c>
      <c r="AE44" s="65" t="n">
        <f aca="false">AD44+AE43</f>
        <v>1914217.33333333</v>
      </c>
      <c r="AF44" s="65" t="n">
        <f aca="false">AE44+AF43</f>
        <v>1914532.8</v>
      </c>
      <c r="AG44" s="65" t="n">
        <f aca="false">AF44+AG43</f>
        <v>1914848.26666667</v>
      </c>
      <c r="AH44" s="65" t="n">
        <f aca="false">AG44+AH43</f>
        <v>1915163.73333333</v>
      </c>
      <c r="AI44" s="65" t="n">
        <f aca="false">AH44+AI43</f>
        <v>1915479.2</v>
      </c>
      <c r="AJ44" s="65" t="n">
        <f aca="false">AI44+AJ43</f>
        <v>1915794.66666667</v>
      </c>
      <c r="AK44" s="65" t="n">
        <f aca="false">AJ44+AK43</f>
        <v>1916110.13333333</v>
      </c>
      <c r="AL44" s="65" t="n">
        <f aca="false">AK44+AL43</f>
        <v>1916425.6</v>
      </c>
      <c r="AM44" s="65" t="n">
        <f aca="false">AL44+AM43</f>
        <v>1916753.68533333</v>
      </c>
      <c r="AN44" s="65" t="n">
        <f aca="false">AM44+AN43</f>
        <v>1917081.77066667</v>
      </c>
      <c r="AO44" s="65" t="n">
        <f aca="false">AN44+AO43</f>
        <v>1917409.856</v>
      </c>
      <c r="AP44" s="65" t="n">
        <f aca="false">AO44+AP43</f>
        <v>1917737.94133333</v>
      </c>
      <c r="AQ44" s="65" t="n">
        <f aca="false">AP44+AQ43</f>
        <v>1918066.02666667</v>
      </c>
      <c r="AR44" s="65" t="n">
        <f aca="false">AQ44+AR43</f>
        <v>1918394.112</v>
      </c>
      <c r="AS44" s="65" t="n">
        <f aca="false">AR44+AS43</f>
        <v>1918722.19733333</v>
      </c>
      <c r="AT44" s="65" t="n">
        <f aca="false">AS44+AT43</f>
        <v>1919050.28266667</v>
      </c>
      <c r="AU44" s="65" t="n">
        <f aca="false">AT44+AU43</f>
        <v>1919378.368</v>
      </c>
      <c r="AV44" s="65" t="n">
        <f aca="false">AU44+AV43</f>
        <v>1919706.45333333</v>
      </c>
      <c r="AW44" s="65" t="n">
        <f aca="false">AV44+AW43</f>
        <v>1920034.53866667</v>
      </c>
      <c r="AX44" s="65" t="n">
        <f aca="false">AW44+AX43</f>
        <v>1920362.624</v>
      </c>
      <c r="AY44" s="65" t="n">
        <f aca="false">AX44+AY43</f>
        <v>1920703.83274667</v>
      </c>
      <c r="AZ44" s="65" t="n">
        <f aca="false">AY44+AZ43</f>
        <v>1921045.04149333</v>
      </c>
      <c r="BA44" s="65" t="n">
        <f aca="false">AZ44+BA43</f>
        <v>1921386.25024</v>
      </c>
      <c r="BB44" s="65" t="n">
        <f aca="false">BA44+BB43</f>
        <v>1921727.45898667</v>
      </c>
      <c r="BC44" s="65" t="n">
        <f aca="false">BB44+BC43</f>
        <v>1922068.66773333</v>
      </c>
      <c r="BD44" s="65" t="n">
        <f aca="false">BC44+BD43</f>
        <v>1922409.87648</v>
      </c>
      <c r="BE44" s="65" t="n">
        <f aca="false">BD44+BE43</f>
        <v>1922751.08522666</v>
      </c>
      <c r="BF44" s="65" t="n">
        <f aca="false">BE44+BF43</f>
        <v>1923092.29397333</v>
      </c>
      <c r="BG44" s="65" t="n">
        <f aca="false">BF44+BG43</f>
        <v>1923433.50272</v>
      </c>
      <c r="BH44" s="65" t="n">
        <f aca="false">BG44+BH43</f>
        <v>1923774.71146666</v>
      </c>
      <c r="BI44" s="65" t="n">
        <f aca="false">BH44+BI43</f>
        <v>1924115.92021333</v>
      </c>
      <c r="BJ44" s="65" t="n">
        <f aca="false">BI44+BJ43</f>
        <v>1924457.12896</v>
      </c>
    </row>
    <row r="45" customFormat="false" ht="15" hidden="false" customHeight="false" outlineLevel="0" collapsed="false">
      <c r="A45" s="6" t="s">
        <v>429</v>
      </c>
      <c r="C45" s="65" t="n">
        <f aca="false">C41</f>
        <v>370000</v>
      </c>
      <c r="D45" s="65" t="n">
        <f aca="false">C45+D41</f>
        <v>370000</v>
      </c>
      <c r="E45" s="65" t="n">
        <f aca="false">D45+E41</f>
        <v>370000</v>
      </c>
      <c r="F45" s="65" t="n">
        <f aca="false">E45+F41</f>
        <v>370000</v>
      </c>
      <c r="G45" s="65" t="n">
        <f aca="false">F45+G41</f>
        <v>370000</v>
      </c>
      <c r="H45" s="65" t="n">
        <f aca="false">G45+H41</f>
        <v>370000</v>
      </c>
      <c r="I45" s="65" t="n">
        <f aca="false">H45+I41</f>
        <v>370000</v>
      </c>
      <c r="J45" s="65" t="n">
        <f aca="false">I45+J41</f>
        <v>370000</v>
      </c>
      <c r="K45" s="65" t="n">
        <f aca="false">J45+K41</f>
        <v>370000</v>
      </c>
      <c r="L45" s="65" t="n">
        <f aca="false">K45+L41</f>
        <v>370000</v>
      </c>
      <c r="M45" s="65" t="n">
        <f aca="false">L45+M41</f>
        <v>370000</v>
      </c>
      <c r="N45" s="65" t="n">
        <f aca="false">M45+N41</f>
        <v>370000</v>
      </c>
      <c r="O45" s="65" t="n">
        <f aca="false">N45+O41</f>
        <v>370000</v>
      </c>
      <c r="P45" s="65" t="n">
        <f aca="false">O45+P41</f>
        <v>370000</v>
      </c>
      <c r="Q45" s="65" t="n">
        <f aca="false">P45+Q41</f>
        <v>370000</v>
      </c>
      <c r="R45" s="65" t="n">
        <f aca="false">Q45+R41</f>
        <v>370000</v>
      </c>
      <c r="S45" s="65" t="n">
        <f aca="false">R45+S41</f>
        <v>370000</v>
      </c>
      <c r="T45" s="65" t="n">
        <f aca="false">S45+T41</f>
        <v>370000</v>
      </c>
      <c r="U45" s="65" t="n">
        <f aca="false">T45+U41</f>
        <v>370000</v>
      </c>
      <c r="V45" s="65" t="n">
        <f aca="false">U45+V41</f>
        <v>370000</v>
      </c>
      <c r="W45" s="65" t="n">
        <f aca="false">V45+W41</f>
        <v>370000</v>
      </c>
      <c r="X45" s="65" t="n">
        <f aca="false">W45+X41</f>
        <v>370000</v>
      </c>
      <c r="Y45" s="65" t="n">
        <f aca="false">X45+Y41</f>
        <v>370000</v>
      </c>
      <c r="Z45" s="65" t="n">
        <f aca="false">Y45+Z41</f>
        <v>370000</v>
      </c>
      <c r="AA45" s="65" t="n">
        <f aca="false">Z45+AA41</f>
        <v>370000</v>
      </c>
      <c r="AB45" s="65" t="n">
        <f aca="false">AA45+AB41</f>
        <v>370000</v>
      </c>
      <c r="AC45" s="65" t="n">
        <f aca="false">AB45+AC41</f>
        <v>370000</v>
      </c>
      <c r="AD45" s="65" t="n">
        <f aca="false">AC45+AD41</f>
        <v>370000</v>
      </c>
      <c r="AE45" s="65" t="n">
        <f aca="false">AD45+AE41</f>
        <v>370000</v>
      </c>
      <c r="AF45" s="65" t="n">
        <f aca="false">AE45+AF41</f>
        <v>370000</v>
      </c>
      <c r="AG45" s="65" t="n">
        <f aca="false">AF45+AG41</f>
        <v>370000</v>
      </c>
      <c r="AH45" s="65" t="n">
        <f aca="false">AG45+AH41</f>
        <v>370000</v>
      </c>
      <c r="AI45" s="65" t="n">
        <f aca="false">AH45+AI41</f>
        <v>370000</v>
      </c>
      <c r="AJ45" s="65" t="n">
        <f aca="false">AI45+AJ41</f>
        <v>370000</v>
      </c>
      <c r="AK45" s="65" t="n">
        <f aca="false">AJ45+AK41</f>
        <v>370000</v>
      </c>
      <c r="AL45" s="65" t="n">
        <f aca="false">AK45+AL41</f>
        <v>370000</v>
      </c>
      <c r="AM45" s="65" t="n">
        <f aca="false">AL45+AM41</f>
        <v>370000</v>
      </c>
      <c r="AN45" s="65" t="n">
        <f aca="false">AM45+AN41</f>
        <v>370000</v>
      </c>
      <c r="AO45" s="65" t="n">
        <f aca="false">AN45+AO41</f>
        <v>370000</v>
      </c>
      <c r="AP45" s="65" t="n">
        <f aca="false">AO45+AP41</f>
        <v>370000</v>
      </c>
      <c r="AQ45" s="65" t="n">
        <f aca="false">AP45+AQ41</f>
        <v>370000</v>
      </c>
      <c r="AR45" s="65" t="n">
        <f aca="false">AQ45+AR41</f>
        <v>370000</v>
      </c>
      <c r="AS45" s="65" t="n">
        <f aca="false">AR45+AS41</f>
        <v>370000</v>
      </c>
      <c r="AT45" s="65" t="n">
        <f aca="false">AS45+AT41</f>
        <v>370000</v>
      </c>
      <c r="AU45" s="65" t="n">
        <f aca="false">AT45+AU41</f>
        <v>370000</v>
      </c>
      <c r="AV45" s="65" t="n">
        <f aca="false">AU45+AV41</f>
        <v>370000</v>
      </c>
      <c r="AW45" s="65" t="n">
        <f aca="false">AV45+AW41</f>
        <v>370000</v>
      </c>
      <c r="AX45" s="65" t="n">
        <f aca="false">AW45+AX41</f>
        <v>370000</v>
      </c>
      <c r="AY45" s="65" t="n">
        <f aca="false">AX45+AY41</f>
        <v>370000</v>
      </c>
      <c r="AZ45" s="65" t="n">
        <f aca="false">AY45+AZ41</f>
        <v>370000</v>
      </c>
      <c r="BA45" s="65" t="n">
        <f aca="false">AZ45+BA41</f>
        <v>370000</v>
      </c>
      <c r="BB45" s="65" t="n">
        <f aca="false">BA45+BB41</f>
        <v>370000</v>
      </c>
      <c r="BC45" s="65" t="n">
        <f aca="false">BB45+BC41</f>
        <v>370000</v>
      </c>
      <c r="BD45" s="65" t="n">
        <f aca="false">BC45+BD41</f>
        <v>370000</v>
      </c>
      <c r="BE45" s="65" t="n">
        <f aca="false">BD45+BE41</f>
        <v>370000</v>
      </c>
      <c r="BF45" s="65" t="n">
        <f aca="false">BE45+BF41</f>
        <v>370000</v>
      </c>
      <c r="BG45" s="65" t="n">
        <f aca="false">BF45+BG41</f>
        <v>370000</v>
      </c>
      <c r="BH45" s="65" t="n">
        <f aca="false">BG45+BH41</f>
        <v>370000</v>
      </c>
      <c r="BI45" s="65" t="n">
        <f aca="false">BH45+BI41</f>
        <v>370000</v>
      </c>
      <c r="BJ45" s="65" t="n">
        <f aca="false">BI45+BJ41</f>
        <v>370000</v>
      </c>
    </row>
    <row r="46" customFormat="false" ht="15" hidden="false" customHeight="false" outlineLevel="0" collapsed="false">
      <c r="A46" s="6" t="s">
        <v>78</v>
      </c>
      <c r="C46" s="65" t="n">
        <f aca="false">-MIN((C44-C45)/MAX(1,Inputs!$B$45*12),C43-C45)</f>
        <v>-4740.09773662552</v>
      </c>
      <c r="D46" s="65" t="n">
        <f aca="false">-MIN((D44-D45)/MAX(1,Inputs!$B$45*12),C48+D43-D45)</f>
        <v>-4740.99794238683</v>
      </c>
      <c r="E46" s="65" t="n">
        <f aca="false">-MIN((E44-E45)/MAX(1,Inputs!$B$45*12),D48+E43-E45)</f>
        <v>-4741.89814814815</v>
      </c>
      <c r="F46" s="65" t="n">
        <f aca="false">-MIN((F44-F45)/MAX(1,Inputs!$B$45*12),E48+F43-F45)</f>
        <v>-4742.79835390947</v>
      </c>
      <c r="G46" s="65" t="n">
        <f aca="false">-MIN((G44-G45)/MAX(1,Inputs!$B$45*12),F48+G43-G45)</f>
        <v>-4743.69855967078</v>
      </c>
      <c r="H46" s="65" t="n">
        <f aca="false">-MIN((H44-H45)/MAX(1,Inputs!$B$45*12),G48+H43-H45)</f>
        <v>-4744.5987654321</v>
      </c>
      <c r="I46" s="65" t="n">
        <f aca="false">-MIN((I44-I45)/MAX(1,Inputs!$B$45*12),H48+I43-I45)</f>
        <v>-4745.49897119342</v>
      </c>
      <c r="J46" s="65" t="n">
        <f aca="false">-MIN((J44-J45)/MAX(1,Inputs!$B$45*12),I48+J43-J45)</f>
        <v>-4746.39917695474</v>
      </c>
      <c r="K46" s="65" t="n">
        <f aca="false">-MIN((K44-K45)/MAX(1,Inputs!$B$45*12),J48+K43-K45)</f>
        <v>-4747.29938271605</v>
      </c>
      <c r="L46" s="65" t="n">
        <f aca="false">-MIN((L44-L45)/MAX(1,Inputs!$B$45*12),K48+L43-L45)</f>
        <v>-4748.19958847737</v>
      </c>
      <c r="M46" s="65" t="n">
        <f aca="false">-MIN((M44-M45)/MAX(1,Inputs!$B$45*12),L48+M43-M45)</f>
        <v>-4749.09979423869</v>
      </c>
      <c r="N46" s="65" t="n">
        <f aca="false">-MIN((N44-N45)/MAX(1,Inputs!$B$45*12),M48+N43-N45)</f>
        <v>-4750</v>
      </c>
      <c r="O46" s="65" t="n">
        <f aca="false">-MIN((O44-O45)/MAX(1,Inputs!$B$45*12),N48+O43-O45)</f>
        <v>-4750.93621399177</v>
      </c>
      <c r="P46" s="65" t="n">
        <f aca="false">-MIN((P44-P45)/MAX(1,Inputs!$B$45*12),O48+P43-P45)</f>
        <v>-4751.87242798354</v>
      </c>
      <c r="Q46" s="65" t="n">
        <f aca="false">-MIN((Q44-Q45)/MAX(1,Inputs!$B$45*12),P48+Q43-Q45)</f>
        <v>-4752.80864197531</v>
      </c>
      <c r="R46" s="65" t="n">
        <f aca="false">-MIN((R44-R45)/MAX(1,Inputs!$B$45*12),Q48+R43-R45)</f>
        <v>-4753.74485596708</v>
      </c>
      <c r="S46" s="65" t="n">
        <f aca="false">-MIN((S44-S45)/MAX(1,Inputs!$B$45*12),R48+S43-S45)</f>
        <v>-4754.68106995885</v>
      </c>
      <c r="T46" s="65" t="n">
        <f aca="false">-MIN((T44-T45)/MAX(1,Inputs!$B$45*12),S48+T43-T45)</f>
        <v>-4755.61728395062</v>
      </c>
      <c r="U46" s="65" t="n">
        <f aca="false">-MIN((U44-U45)/MAX(1,Inputs!$B$45*12),T48+U43-U45)</f>
        <v>-4756.55349794239</v>
      </c>
      <c r="V46" s="65" t="n">
        <f aca="false">-MIN((V44-V45)/MAX(1,Inputs!$B$45*12),U48+V43-V45)</f>
        <v>-4757.48971193416</v>
      </c>
      <c r="W46" s="65" t="n">
        <f aca="false">-MIN((W44-W45)/MAX(1,Inputs!$B$45*12),V48+W43-W45)</f>
        <v>-4758.42592592593</v>
      </c>
      <c r="X46" s="65" t="n">
        <f aca="false">-MIN((X44-X45)/MAX(1,Inputs!$B$45*12),W48+X43-X45)</f>
        <v>-4759.3621399177</v>
      </c>
      <c r="Y46" s="65" t="n">
        <f aca="false">-MIN((Y44-Y45)/MAX(1,Inputs!$B$45*12),X48+Y43-Y45)</f>
        <v>-4760.29835390947</v>
      </c>
      <c r="Z46" s="65" t="n">
        <f aca="false">-MIN((Z44-Z45)/MAX(1,Inputs!$B$45*12),Y48+Z43-Z45)</f>
        <v>-4761.23456790123</v>
      </c>
      <c r="AA46" s="65" t="n">
        <f aca="false">-MIN((AA44-AA45)/MAX(1,Inputs!$B$45*12),Z48+AA43-AA45)</f>
        <v>-4762.20823045268</v>
      </c>
      <c r="AB46" s="65" t="n">
        <f aca="false">-MIN((AB44-AB45)/MAX(1,Inputs!$B$45*12),AA48+AB43-AB45)</f>
        <v>-4763.18189300411</v>
      </c>
      <c r="AC46" s="65" t="n">
        <f aca="false">-MIN((AC44-AC45)/MAX(1,Inputs!$B$45*12),AB48+AC43-AC45)</f>
        <v>-4764.15555555555</v>
      </c>
      <c r="AD46" s="65" t="n">
        <f aca="false">-MIN((AD44-AD45)/MAX(1,Inputs!$B$45*12),AC48+AD43-AD45)</f>
        <v>-4765.129218107</v>
      </c>
      <c r="AE46" s="65" t="n">
        <f aca="false">-MIN((AE44-AE45)/MAX(1,Inputs!$B$45*12),AD48+AE43-AE45)</f>
        <v>-4766.10288065843</v>
      </c>
      <c r="AF46" s="65" t="n">
        <f aca="false">-MIN((AF44-AF45)/MAX(1,Inputs!$B$45*12),AE48+AF43-AF45)</f>
        <v>-4767.07654320987</v>
      </c>
      <c r="AG46" s="65" t="n">
        <f aca="false">-MIN((AG44-AG45)/MAX(1,Inputs!$B$45*12),AF48+AG43-AG45)</f>
        <v>-4768.05020576132</v>
      </c>
      <c r="AH46" s="65" t="n">
        <f aca="false">-MIN((AH44-AH45)/MAX(1,Inputs!$B$45*12),AG48+AH43-AH45)</f>
        <v>-4769.02386831275</v>
      </c>
      <c r="AI46" s="65" t="n">
        <f aca="false">-MIN((AI44-AI45)/MAX(1,Inputs!$B$45*12),AH48+AI43-AI45)</f>
        <v>-4769.99753086419</v>
      </c>
      <c r="AJ46" s="65" t="n">
        <f aca="false">-MIN((AJ44-AJ45)/MAX(1,Inputs!$B$45*12),AI48+AJ43-AJ45)</f>
        <v>-4770.97119341564</v>
      </c>
      <c r="AK46" s="65" t="n">
        <f aca="false">-MIN((AK44-AK45)/MAX(1,Inputs!$B$45*12),AJ48+AK43-AK45)</f>
        <v>-4771.94485596708</v>
      </c>
      <c r="AL46" s="65" t="n">
        <f aca="false">-MIN((AL44-AL45)/MAX(1,Inputs!$B$45*12),AK48+AL43-AL45)</f>
        <v>-4772.91851851851</v>
      </c>
      <c r="AM46" s="65" t="n">
        <f aca="false">-MIN((AM44-AM45)/MAX(1,Inputs!$B$45*12),AL48+AM43-AM45)</f>
        <v>-4773.93112757201</v>
      </c>
      <c r="AN46" s="65" t="n">
        <f aca="false">-MIN((AN44-AN45)/MAX(1,Inputs!$B$45*12),AM48+AN43-AN45)</f>
        <v>-4774.94373662551</v>
      </c>
      <c r="AO46" s="65" t="n">
        <f aca="false">-MIN((AO44-AO45)/MAX(1,Inputs!$B$45*12),AN48+AO43-AO45)</f>
        <v>-4775.95634567901</v>
      </c>
      <c r="AP46" s="65" t="n">
        <f aca="false">-MIN((AP44-AP45)/MAX(1,Inputs!$B$45*12),AO48+AP43-AP45)</f>
        <v>-4776.96895473251</v>
      </c>
      <c r="AQ46" s="65" t="n">
        <f aca="false">-MIN((AQ44-AQ45)/MAX(1,Inputs!$B$45*12),AP48+AQ43-AQ45)</f>
        <v>-4777.98156378601</v>
      </c>
      <c r="AR46" s="65" t="n">
        <f aca="false">-MIN((AR44-AR45)/MAX(1,Inputs!$B$45*12),AQ48+AR43-AR45)</f>
        <v>-4778.9941728395</v>
      </c>
      <c r="AS46" s="65" t="n">
        <f aca="false">-MIN((AS44-AS45)/MAX(1,Inputs!$B$45*12),AR48+AS43-AS45)</f>
        <v>-4780.006781893</v>
      </c>
      <c r="AT46" s="65" t="n">
        <f aca="false">-MIN((AT44-AT45)/MAX(1,Inputs!$B$45*12),AS48+AT43-AT45)</f>
        <v>-4781.0193909465</v>
      </c>
      <c r="AU46" s="65" t="n">
        <f aca="false">-MIN((AU44-AU45)/MAX(1,Inputs!$B$45*12),AT48+AU43-AU45)</f>
        <v>-4782.032</v>
      </c>
      <c r="AV46" s="65" t="n">
        <f aca="false">-MIN((AV44-AV45)/MAX(1,Inputs!$B$45*12),AU48+AV43-AV45)</f>
        <v>-4783.04460905349</v>
      </c>
      <c r="AW46" s="65" t="n">
        <f aca="false">-MIN((AW44-AW45)/MAX(1,Inputs!$B$45*12),AV48+AW43-AW45)</f>
        <v>-4784.05721810699</v>
      </c>
      <c r="AX46" s="65" t="n">
        <f aca="false">-MIN((AX44-AX45)/MAX(1,Inputs!$B$45*12),AW48+AX43-AX45)</f>
        <v>-4785.06982716049</v>
      </c>
      <c r="AY46" s="65" t="n">
        <f aca="false">-MIN((AY44-AY45)/MAX(1,Inputs!$B$45*12),AX48+AY43-AY45)</f>
        <v>-4786.12294057613</v>
      </c>
      <c r="AZ46" s="65" t="n">
        <f aca="false">-MIN((AZ44-AZ45)/MAX(1,Inputs!$B$45*12),AY48+AZ43-AZ45)</f>
        <v>-4787.17605399177</v>
      </c>
      <c r="BA46" s="65" t="n">
        <f aca="false">-MIN((BA44-BA45)/MAX(1,Inputs!$B$45*12),AZ48+BA43-BA45)</f>
        <v>-4788.2291674074</v>
      </c>
      <c r="BB46" s="65" t="n">
        <f aca="false">-MIN((BB44-BB45)/MAX(1,Inputs!$B$45*12),BA48+BB43-BB45)</f>
        <v>-4789.28228082304</v>
      </c>
      <c r="BC46" s="65" t="n">
        <f aca="false">-MIN((BC44-BC45)/MAX(1,Inputs!$B$45*12),BB48+BC43-BC45)</f>
        <v>-4790.33539423868</v>
      </c>
      <c r="BD46" s="65" t="n">
        <f aca="false">-MIN((BD44-BD45)/MAX(1,Inputs!$B$45*12),BC48+BD43-BD45)</f>
        <v>-4791.38850765432</v>
      </c>
      <c r="BE46" s="65" t="n">
        <f aca="false">-MIN((BE44-BE45)/MAX(1,Inputs!$B$45*12),BD48+BE43-BE45)</f>
        <v>-4792.44162106995</v>
      </c>
      <c r="BF46" s="65" t="n">
        <f aca="false">-MIN((BF44-BF45)/MAX(1,Inputs!$B$45*12),BE48+BF43-BF45)</f>
        <v>-4793.49473448559</v>
      </c>
      <c r="BG46" s="65" t="n">
        <f aca="false">-MIN((BG44-BG45)/MAX(1,Inputs!$B$45*12),BF48+BG43-BG45)</f>
        <v>-4794.54784790123</v>
      </c>
      <c r="BH46" s="65" t="n">
        <f aca="false">-MIN((BH44-BH45)/MAX(1,Inputs!$B$45*12),BG48+BH43-BH45)</f>
        <v>-4795.60096131687</v>
      </c>
      <c r="BI46" s="65" t="n">
        <f aca="false">-MIN((BI44-BI45)/MAX(1,Inputs!$B$45*12),BH48+BI43-BI45)</f>
        <v>-4796.6540747325</v>
      </c>
      <c r="BJ46" s="65" t="n">
        <f aca="false">-MIN((BJ44-BJ45)/MAX(1,Inputs!$B$45*12),BI48+BJ43-BJ45)</f>
        <v>-4797.70718814814</v>
      </c>
    </row>
    <row r="47" customFormat="false" ht="15" hidden="false" customHeight="false" outlineLevel="0" collapsed="false">
      <c r="A47" s="6" t="s">
        <v>430</v>
      </c>
      <c r="C47" s="65" t="n">
        <f aca="false">C46</f>
        <v>-4740.09773662552</v>
      </c>
      <c r="D47" s="65" t="n">
        <f aca="false">C47+D46</f>
        <v>-9481.09567901235</v>
      </c>
      <c r="E47" s="65" t="n">
        <f aca="false">D47+E46</f>
        <v>-14222.9938271605</v>
      </c>
      <c r="F47" s="65" t="n">
        <f aca="false">E47+F46</f>
        <v>-18965.79218107</v>
      </c>
      <c r="G47" s="65" t="n">
        <f aca="false">F47+G46</f>
        <v>-23709.4907407407</v>
      </c>
      <c r="H47" s="65" t="n">
        <f aca="false">G47+H46</f>
        <v>-28454.0895061728</v>
      </c>
      <c r="I47" s="65" t="n">
        <f aca="false">H47+I46</f>
        <v>-33199.5884773663</v>
      </c>
      <c r="J47" s="65" t="n">
        <f aca="false">I47+J46</f>
        <v>-37945.987654321</v>
      </c>
      <c r="K47" s="65" t="n">
        <f aca="false">J47+K46</f>
        <v>-42693.2870370371</v>
      </c>
      <c r="L47" s="65" t="n">
        <f aca="false">K47+L46</f>
        <v>-47441.4866255144</v>
      </c>
      <c r="M47" s="65" t="n">
        <f aca="false">L47+M46</f>
        <v>-52190.5864197531</v>
      </c>
      <c r="N47" s="65" t="n">
        <f aca="false">M47+N46</f>
        <v>-56940.5864197531</v>
      </c>
      <c r="O47" s="65" t="n">
        <f aca="false">N47+O46</f>
        <v>-61691.5226337449</v>
      </c>
      <c r="P47" s="65" t="n">
        <f aca="false">O47+P46</f>
        <v>-66443.3950617284</v>
      </c>
      <c r="Q47" s="65" t="n">
        <f aca="false">P47+Q46</f>
        <v>-71196.2037037037</v>
      </c>
      <c r="R47" s="65" t="n">
        <f aca="false">Q47+R46</f>
        <v>-75949.9485596708</v>
      </c>
      <c r="S47" s="65" t="n">
        <f aca="false">R47+S46</f>
        <v>-80704.6296296297</v>
      </c>
      <c r="T47" s="65" t="n">
        <f aca="false">S47+T46</f>
        <v>-85460.2469135803</v>
      </c>
      <c r="U47" s="65" t="n">
        <f aca="false">T47+U46</f>
        <v>-90216.8004115227</v>
      </c>
      <c r="V47" s="65" t="n">
        <f aca="false">U47+V46</f>
        <v>-94974.2901234568</v>
      </c>
      <c r="W47" s="65" t="n">
        <f aca="false">V47+W46</f>
        <v>-99732.7160493827</v>
      </c>
      <c r="X47" s="65" t="n">
        <f aca="false">W47+X46</f>
        <v>-104492.0781893</v>
      </c>
      <c r="Y47" s="65" t="n">
        <f aca="false">X47+Y46</f>
        <v>-109252.37654321</v>
      </c>
      <c r="Z47" s="65" t="n">
        <f aca="false">Y47+Z46</f>
        <v>-114013.611111111</v>
      </c>
      <c r="AA47" s="65" t="n">
        <f aca="false">Z47+AA46</f>
        <v>-118775.819341564</v>
      </c>
      <c r="AB47" s="65" t="n">
        <f aca="false">AA47+AB46</f>
        <v>-123539.001234568</v>
      </c>
      <c r="AC47" s="65" t="n">
        <f aca="false">AB47+AC46</f>
        <v>-128303.156790123</v>
      </c>
      <c r="AD47" s="65" t="n">
        <f aca="false">AC47+AD46</f>
        <v>-133068.28600823</v>
      </c>
      <c r="AE47" s="65" t="n">
        <f aca="false">AD47+AE46</f>
        <v>-137834.388888889</v>
      </c>
      <c r="AF47" s="65" t="n">
        <f aca="false">AE47+AF46</f>
        <v>-142601.465432099</v>
      </c>
      <c r="AG47" s="65" t="n">
        <f aca="false">AF47+AG46</f>
        <v>-147369.51563786</v>
      </c>
      <c r="AH47" s="65" t="n">
        <f aca="false">AG47+AH46</f>
        <v>-152138.539506173</v>
      </c>
      <c r="AI47" s="65" t="n">
        <f aca="false">AH47+AI46</f>
        <v>-156908.537037037</v>
      </c>
      <c r="AJ47" s="65" t="n">
        <f aca="false">AI47+AJ46</f>
        <v>-161679.508230453</v>
      </c>
      <c r="AK47" s="65" t="n">
        <f aca="false">AJ47+AK46</f>
        <v>-166451.45308642</v>
      </c>
      <c r="AL47" s="65" t="n">
        <f aca="false">AK47+AL46</f>
        <v>-171224.371604938</v>
      </c>
      <c r="AM47" s="65" t="n">
        <f aca="false">AL47+AM46</f>
        <v>-175998.30273251</v>
      </c>
      <c r="AN47" s="65" t="n">
        <f aca="false">AM47+AN46</f>
        <v>-180773.246469136</v>
      </c>
      <c r="AO47" s="65" t="n">
        <f aca="false">AN47+AO46</f>
        <v>-185549.202814815</v>
      </c>
      <c r="AP47" s="65" t="n">
        <f aca="false">AO47+AP46</f>
        <v>-190326.171769547</v>
      </c>
      <c r="AQ47" s="65" t="n">
        <f aca="false">AP47+AQ46</f>
        <v>-195104.153333333</v>
      </c>
      <c r="AR47" s="65" t="n">
        <f aca="false">AQ47+AR46</f>
        <v>-199883.147506173</v>
      </c>
      <c r="AS47" s="65" t="n">
        <f aca="false">AR47+AS46</f>
        <v>-204663.154288066</v>
      </c>
      <c r="AT47" s="65" t="n">
        <f aca="false">AS47+AT46</f>
        <v>-209444.173679012</v>
      </c>
      <c r="AU47" s="65" t="n">
        <f aca="false">AT47+AU46</f>
        <v>-214226.205679012</v>
      </c>
      <c r="AV47" s="65" t="n">
        <f aca="false">AU47+AV46</f>
        <v>-219009.250288066</v>
      </c>
      <c r="AW47" s="65" t="n">
        <f aca="false">AV47+AW46</f>
        <v>-223793.307506173</v>
      </c>
      <c r="AX47" s="65" t="n">
        <f aca="false">AW47+AX46</f>
        <v>-228578.377333333</v>
      </c>
      <c r="AY47" s="65" t="n">
        <f aca="false">AX47+AY46</f>
        <v>-233364.500273909</v>
      </c>
      <c r="AZ47" s="65" t="n">
        <f aca="false">AY47+AZ46</f>
        <v>-238151.676327901</v>
      </c>
      <c r="BA47" s="65" t="n">
        <f aca="false">AZ47+BA46</f>
        <v>-242939.905495309</v>
      </c>
      <c r="BB47" s="65" t="n">
        <f aca="false">BA47+BB46</f>
        <v>-247729.187776132</v>
      </c>
      <c r="BC47" s="65" t="n">
        <f aca="false">BB47+BC46</f>
        <v>-252519.52317037</v>
      </c>
      <c r="BD47" s="65" t="n">
        <f aca="false">BC47+BD46</f>
        <v>-257310.911678025</v>
      </c>
      <c r="BE47" s="65" t="n">
        <f aca="false">BD47+BE46</f>
        <v>-262103.353299095</v>
      </c>
      <c r="BF47" s="65" t="n">
        <f aca="false">BE47+BF46</f>
        <v>-266896.84803358</v>
      </c>
      <c r="BG47" s="65" t="n">
        <f aca="false">BF47+BG46</f>
        <v>-271691.395881481</v>
      </c>
      <c r="BH47" s="65" t="n">
        <f aca="false">BG47+BH46</f>
        <v>-276486.996842798</v>
      </c>
      <c r="BI47" s="65" t="n">
        <f aca="false">BH47+BI46</f>
        <v>-281283.650917531</v>
      </c>
      <c r="BJ47" s="65" t="n">
        <f aca="false">BI47+BJ46</f>
        <v>-286081.358105679</v>
      </c>
    </row>
    <row r="48" customFormat="false" ht="15" hidden="false" customHeight="false" outlineLevel="0" collapsed="false">
      <c r="A48" s="4" t="s">
        <v>92</v>
      </c>
      <c r="C48" s="71" t="n">
        <f aca="false">C44+C47</f>
        <v>1901051.56893004</v>
      </c>
      <c r="D48" s="71" t="n">
        <f aca="false">D44+D47</f>
        <v>1896602.23765432</v>
      </c>
      <c r="E48" s="71" t="n">
        <f aca="false">E44+E47</f>
        <v>1892152.00617284</v>
      </c>
      <c r="F48" s="71" t="n">
        <f aca="false">F44+F47</f>
        <v>1887700.8744856</v>
      </c>
      <c r="G48" s="71" t="n">
        <f aca="false">G44+G47</f>
        <v>1883248.84259259</v>
      </c>
      <c r="H48" s="71" t="n">
        <f aca="false">H44+H47</f>
        <v>1878795.91049383</v>
      </c>
      <c r="I48" s="71" t="n">
        <f aca="false">I44+I47</f>
        <v>1874342.0781893</v>
      </c>
      <c r="J48" s="71" t="n">
        <f aca="false">J44+J47</f>
        <v>1869887.34567901</v>
      </c>
      <c r="K48" s="71" t="n">
        <f aca="false">K44+K47</f>
        <v>1865431.71296296</v>
      </c>
      <c r="L48" s="71" t="n">
        <f aca="false">L44+L47</f>
        <v>1860975.18004115</v>
      </c>
      <c r="M48" s="71" t="n">
        <f aca="false">M44+M47</f>
        <v>1856517.74691358</v>
      </c>
      <c r="N48" s="71" t="n">
        <f aca="false">N44+N47</f>
        <v>1852059.41358025</v>
      </c>
      <c r="O48" s="71" t="n">
        <f aca="false">O44+O47</f>
        <v>1847611.81069959</v>
      </c>
      <c r="P48" s="71" t="n">
        <f aca="false">P44+P47</f>
        <v>1843163.27160494</v>
      </c>
      <c r="Q48" s="71" t="n">
        <f aca="false">Q44+Q47</f>
        <v>1838713.7962963</v>
      </c>
      <c r="R48" s="71" t="n">
        <f aca="false">R44+R47</f>
        <v>1834263.38477366</v>
      </c>
      <c r="S48" s="71" t="n">
        <f aca="false">S44+S47</f>
        <v>1829812.03703704</v>
      </c>
      <c r="T48" s="71" t="n">
        <f aca="false">T44+T47</f>
        <v>1825359.75308642</v>
      </c>
      <c r="U48" s="71" t="n">
        <f aca="false">U44+U47</f>
        <v>1820906.53292181</v>
      </c>
      <c r="V48" s="71" t="n">
        <f aca="false">V44+V47</f>
        <v>1816452.37654321</v>
      </c>
      <c r="W48" s="71" t="n">
        <f aca="false">W44+W47</f>
        <v>1811997.28395062</v>
      </c>
      <c r="X48" s="71" t="n">
        <f aca="false">X44+X47</f>
        <v>1807541.25514403</v>
      </c>
      <c r="Y48" s="71" t="n">
        <f aca="false">Y44+Y47</f>
        <v>1803084.29012346</v>
      </c>
      <c r="Z48" s="71" t="n">
        <f aca="false">Z44+Z47</f>
        <v>1798626.38888889</v>
      </c>
      <c r="AA48" s="71" t="n">
        <f aca="false">AA44+AA47</f>
        <v>1794179.6473251</v>
      </c>
      <c r="AB48" s="71" t="n">
        <f aca="false">AB44+AB47</f>
        <v>1789731.93209877</v>
      </c>
      <c r="AC48" s="71" t="n">
        <f aca="false">AC44+AC47</f>
        <v>1785283.24320988</v>
      </c>
      <c r="AD48" s="71" t="n">
        <f aca="false">AD44+AD47</f>
        <v>1780833.58065844</v>
      </c>
      <c r="AE48" s="71" t="n">
        <f aca="false">AE44+AE47</f>
        <v>1776382.94444444</v>
      </c>
      <c r="AF48" s="71" t="n">
        <f aca="false">AF44+AF47</f>
        <v>1771931.3345679</v>
      </c>
      <c r="AG48" s="71" t="n">
        <f aca="false">AG44+AG47</f>
        <v>1767478.75102881</v>
      </c>
      <c r="AH48" s="71" t="n">
        <f aca="false">AH44+AH47</f>
        <v>1763025.19382716</v>
      </c>
      <c r="AI48" s="71" t="n">
        <f aca="false">AI44+AI47</f>
        <v>1758570.66296296</v>
      </c>
      <c r="AJ48" s="71" t="n">
        <f aca="false">AJ44+AJ47</f>
        <v>1754115.15843621</v>
      </c>
      <c r="AK48" s="71" t="n">
        <f aca="false">AK44+AK47</f>
        <v>1749658.68024691</v>
      </c>
      <c r="AL48" s="71" t="n">
        <f aca="false">AL44+AL47</f>
        <v>1745201.22839506</v>
      </c>
      <c r="AM48" s="71" t="n">
        <f aca="false">AM44+AM47</f>
        <v>1740755.38260082</v>
      </c>
      <c r="AN48" s="71" t="n">
        <f aca="false">AN44+AN47</f>
        <v>1736308.52419753</v>
      </c>
      <c r="AO48" s="71" t="n">
        <f aca="false">AO44+AO47</f>
        <v>1731860.65318518</v>
      </c>
      <c r="AP48" s="71" t="n">
        <f aca="false">AP44+AP47</f>
        <v>1727411.76956378</v>
      </c>
      <c r="AQ48" s="71" t="n">
        <f aca="false">AQ44+AQ47</f>
        <v>1722961.87333333</v>
      </c>
      <c r="AR48" s="71" t="n">
        <f aca="false">AR44+AR47</f>
        <v>1718510.96449383</v>
      </c>
      <c r="AS48" s="71" t="n">
        <f aca="false">AS44+AS47</f>
        <v>1714059.04304527</v>
      </c>
      <c r="AT48" s="71" t="n">
        <f aca="false">AT44+AT47</f>
        <v>1709606.10898765</v>
      </c>
      <c r="AU48" s="71" t="n">
        <f aca="false">AU44+AU47</f>
        <v>1705152.16232099</v>
      </c>
      <c r="AV48" s="71" t="n">
        <f aca="false">AV44+AV47</f>
        <v>1700697.20304527</v>
      </c>
      <c r="AW48" s="71" t="n">
        <f aca="false">AW44+AW47</f>
        <v>1696241.23116049</v>
      </c>
      <c r="AX48" s="71" t="n">
        <f aca="false">AX44+AX47</f>
        <v>1691784.24666667</v>
      </c>
      <c r="AY48" s="71" t="n">
        <f aca="false">AY44+AY47</f>
        <v>1687339.33247276</v>
      </c>
      <c r="AZ48" s="71" t="n">
        <f aca="false">AZ44+AZ47</f>
        <v>1682893.36516543</v>
      </c>
      <c r="BA48" s="71" t="n">
        <f aca="false">BA44+BA47</f>
        <v>1678446.34474469</v>
      </c>
      <c r="BB48" s="71" t="n">
        <f aca="false">BB44+BB47</f>
        <v>1673998.27121053</v>
      </c>
      <c r="BC48" s="71" t="n">
        <f aca="false">BC44+BC47</f>
        <v>1669549.14456296</v>
      </c>
      <c r="BD48" s="71" t="n">
        <f aca="false">BD44+BD47</f>
        <v>1665098.96480197</v>
      </c>
      <c r="BE48" s="71" t="n">
        <f aca="false">BE44+BE47</f>
        <v>1660647.73192757</v>
      </c>
      <c r="BF48" s="71" t="n">
        <f aca="false">BF44+BF47</f>
        <v>1656195.44593975</v>
      </c>
      <c r="BG48" s="71" t="n">
        <f aca="false">BG44+BG47</f>
        <v>1651742.10683852</v>
      </c>
      <c r="BH48" s="71" t="n">
        <f aca="false">BH44+BH47</f>
        <v>1647287.71462387</v>
      </c>
      <c r="BI48" s="71" t="n">
        <f aca="false">BI44+BI47</f>
        <v>1642832.2692958</v>
      </c>
      <c r="BJ48" s="71" t="n">
        <f aca="false">BJ44+BJ47</f>
        <v>1638375.77085432</v>
      </c>
    </row>
    <row r="50" customFormat="false" ht="15.75" hidden="false" customHeight="true" outlineLevel="0" collapsed="false">
      <c r="A50" s="7" t="s">
        <v>431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6" t="s">
        <v>432</v>
      </c>
      <c r="C51" s="65" t="n">
        <f aca="false">0</f>
        <v>0</v>
      </c>
      <c r="D51" s="65" t="n">
        <f aca="false">C56</f>
        <v>1198915.18371808</v>
      </c>
      <c r="E51" s="65" t="n">
        <f aca="false">D56</f>
        <v>1197824.49134798</v>
      </c>
      <c r="F51" s="65" t="n">
        <f aca="false">E56</f>
        <v>1196727.89106086</v>
      </c>
      <c r="G51" s="65" t="n">
        <f aca="false">F56</f>
        <v>1195625.35085553</v>
      </c>
      <c r="H51" s="65" t="n">
        <f aca="false">G56</f>
        <v>1194516.83855741</v>
      </c>
      <c r="I51" s="65" t="n">
        <f aca="false">H56</f>
        <v>1193402.32181768</v>
      </c>
      <c r="J51" s="65" t="n">
        <f aca="false">I56</f>
        <v>1192281.76811228</v>
      </c>
      <c r="K51" s="65" t="n">
        <f aca="false">J56</f>
        <v>1191155.14474097</v>
      </c>
      <c r="L51" s="65" t="n">
        <f aca="false">K56</f>
        <v>1190022.4188264</v>
      </c>
      <c r="M51" s="65" t="n">
        <f aca="false">L56</f>
        <v>1188883.55731313</v>
      </c>
      <c r="N51" s="65" t="n">
        <f aca="false">M56</f>
        <v>1187738.52696666</v>
      </c>
      <c r="O51" s="65" t="n">
        <f aca="false">N56</f>
        <v>1186587.29437248</v>
      </c>
      <c r="P51" s="65" t="n">
        <f aca="false">O56</f>
        <v>1185429.82593508</v>
      </c>
      <c r="Q51" s="65" t="n">
        <f aca="false">P56</f>
        <v>1184266.08787698</v>
      </c>
      <c r="R51" s="65" t="n">
        <f aca="false">Q56</f>
        <v>1183096.04623773</v>
      </c>
      <c r="S51" s="65" t="n">
        <f aca="false">R56</f>
        <v>1181919.66687294</v>
      </c>
      <c r="T51" s="65" t="n">
        <f aca="false">S56</f>
        <v>1180736.91545325</v>
      </c>
      <c r="U51" s="65" t="n">
        <f aca="false">T56</f>
        <v>1179547.75746337</v>
      </c>
      <c r="V51" s="65" t="n">
        <f aca="false">U56</f>
        <v>1178352.15820105</v>
      </c>
      <c r="W51" s="65" t="n">
        <f aca="false">V56</f>
        <v>1177150.08277606</v>
      </c>
      <c r="X51" s="65" t="n">
        <f aca="false">W56</f>
        <v>1175941.49610918</v>
      </c>
      <c r="Y51" s="65" t="n">
        <f aca="false">X56</f>
        <v>1174726.36293119</v>
      </c>
      <c r="Z51" s="65" t="n">
        <f aca="false">Y56</f>
        <v>1173504.64778182</v>
      </c>
      <c r="AA51" s="65" t="n">
        <f aca="false">Z56</f>
        <v>1172276.31500872</v>
      </c>
      <c r="AB51" s="65" t="n">
        <f aca="false">AA56</f>
        <v>1171041.32876644</v>
      </c>
      <c r="AC51" s="65" t="n">
        <f aca="false">AB56</f>
        <v>1169799.65301534</v>
      </c>
      <c r="AD51" s="65" t="n">
        <f aca="false">AC56</f>
        <v>1168551.25152059</v>
      </c>
      <c r="AE51" s="65" t="n">
        <f aca="false">AD56</f>
        <v>1167296.08785108</v>
      </c>
      <c r="AF51" s="65" t="n">
        <f aca="false">AE56</f>
        <v>1166034.12537835</v>
      </c>
      <c r="AG51" s="65" t="n">
        <f aca="false">AF56</f>
        <v>1164765.32727557</v>
      </c>
      <c r="AH51" s="65" t="n">
        <f aca="false">AG56</f>
        <v>1163489.6565164</v>
      </c>
      <c r="AI51" s="65" t="n">
        <f aca="false">AH56</f>
        <v>1162207.07587395</v>
      </c>
      <c r="AJ51" s="65" t="n">
        <f aca="false">AI56</f>
        <v>1160917.54791968</v>
      </c>
      <c r="AK51" s="65" t="n">
        <f aca="false">AJ56</f>
        <v>1159621.03502233</v>
      </c>
      <c r="AL51" s="65" t="n">
        <f aca="false">AK56</f>
        <v>1158317.49934679</v>
      </c>
      <c r="AM51" s="65" t="n">
        <f aca="false">AL56</f>
        <v>1157006.902853</v>
      </c>
      <c r="AN51" s="65" t="n">
        <f aca="false">AM56</f>
        <v>1155689.20729487</v>
      </c>
      <c r="AO51" s="65" t="n">
        <f aca="false">AN56</f>
        <v>1154364.37421914</v>
      </c>
      <c r="AP51" s="65" t="n">
        <f aca="false">AO56</f>
        <v>1153032.36496424</v>
      </c>
      <c r="AQ51" s="65" t="n">
        <f aca="false">AP56</f>
        <v>1151693.14065922</v>
      </c>
      <c r="AR51" s="65" t="n">
        <f aca="false">AQ56</f>
        <v>1150346.66222254</v>
      </c>
      <c r="AS51" s="65" t="n">
        <f aca="false">AR56</f>
        <v>1148992.89036099</v>
      </c>
      <c r="AT51" s="65" t="n">
        <f aca="false">AS56</f>
        <v>1147631.78556853</v>
      </c>
      <c r="AU51" s="65" t="n">
        <f aca="false">AT56</f>
        <v>1146263.30812511</v>
      </c>
      <c r="AV51" s="65" t="n">
        <f aca="false">AU56</f>
        <v>1144887.41809554</v>
      </c>
      <c r="AW51" s="65" t="n">
        <f aca="false">AV56</f>
        <v>1143504.07532831</v>
      </c>
      <c r="AX51" s="65" t="n">
        <f aca="false">AW56</f>
        <v>1142113.23945442</v>
      </c>
      <c r="AY51" s="65" t="n">
        <f aca="false">AX56</f>
        <v>1140714.86988622</v>
      </c>
      <c r="AZ51" s="65" t="n">
        <f aca="false">AY56</f>
        <v>1139308.92581619</v>
      </c>
      <c r="BA51" s="65" t="n">
        <f aca="false">AZ56</f>
        <v>1137895.36621578</v>
      </c>
      <c r="BB51" s="65" t="n">
        <f aca="false">BA56</f>
        <v>1136474.1498342</v>
      </c>
      <c r="BC51" s="65" t="n">
        <f aca="false">BB56</f>
        <v>1135045.23519722</v>
      </c>
      <c r="BD51" s="65" t="n">
        <f aca="false">BC56</f>
        <v>1133608.58060595</v>
      </c>
      <c r="BE51" s="65" t="n">
        <f aca="false">BD56</f>
        <v>1132164.14413565</v>
      </c>
      <c r="BF51" s="65" t="n">
        <f aca="false">BE56</f>
        <v>1130711.88363447</v>
      </c>
      <c r="BG51" s="65" t="n">
        <f aca="false">BF56</f>
        <v>1129251.75672224</v>
      </c>
      <c r="BH51" s="65" t="n">
        <f aca="false">BG56</f>
        <v>1127783.72078924</v>
      </c>
      <c r="BI51" s="65" t="n">
        <f aca="false">BH56</f>
        <v>1126307.73299493</v>
      </c>
      <c r="BJ51" s="65" t="n">
        <f aca="false">BI56</f>
        <v>1124823.75026674</v>
      </c>
    </row>
    <row r="52" customFormat="false" ht="15" hidden="false" customHeight="false" outlineLevel="0" collapsed="false">
      <c r="A52" s="6" t="s">
        <v>85</v>
      </c>
      <c r="C52" s="65" t="n">
        <f aca="false">IF(C$6=1,Inputs!$B$35,0)</f>
        <v>1200000</v>
      </c>
      <c r="D52" s="65" t="n">
        <f aca="false">IF(D$6=1,Inputs!$B$35,0)</f>
        <v>0</v>
      </c>
      <c r="E52" s="65" t="n">
        <f aca="false">IF(E$6=1,Inputs!$B$35,0)</f>
        <v>0</v>
      </c>
      <c r="F52" s="65" t="n">
        <f aca="false">IF(F$6=1,Inputs!$B$35,0)</f>
        <v>0</v>
      </c>
      <c r="G52" s="65" t="n">
        <f aca="false">IF(G$6=1,Inputs!$B$35,0)</f>
        <v>0</v>
      </c>
      <c r="H52" s="65" t="n">
        <f aca="false">IF(H$6=1,Inputs!$B$35,0)</f>
        <v>0</v>
      </c>
      <c r="I52" s="65" t="n">
        <f aca="false">IF(I$6=1,Inputs!$B$35,0)</f>
        <v>0</v>
      </c>
      <c r="J52" s="65" t="n">
        <f aca="false">IF(J$6=1,Inputs!$B$35,0)</f>
        <v>0</v>
      </c>
      <c r="K52" s="65" t="n">
        <f aca="false">IF(K$6=1,Inputs!$B$35,0)</f>
        <v>0</v>
      </c>
      <c r="L52" s="65" t="n">
        <f aca="false">IF(L$6=1,Inputs!$B$35,0)</f>
        <v>0</v>
      </c>
      <c r="M52" s="65" t="n">
        <f aca="false">IF(M$6=1,Inputs!$B$35,0)</f>
        <v>0</v>
      </c>
      <c r="N52" s="65" t="n">
        <f aca="false">IF(N$6=1,Inputs!$B$35,0)</f>
        <v>0</v>
      </c>
      <c r="O52" s="65" t="n">
        <f aca="false">IF(O$6=1,Inputs!$B$35,0)</f>
        <v>0</v>
      </c>
      <c r="P52" s="65" t="n">
        <f aca="false">IF(P$6=1,Inputs!$B$35,0)</f>
        <v>0</v>
      </c>
      <c r="Q52" s="65" t="n">
        <f aca="false">IF(Q$6=1,Inputs!$B$35,0)</f>
        <v>0</v>
      </c>
      <c r="R52" s="65" t="n">
        <f aca="false">IF(R$6=1,Inputs!$B$35,0)</f>
        <v>0</v>
      </c>
      <c r="S52" s="65" t="n">
        <f aca="false">IF(S$6=1,Inputs!$B$35,0)</f>
        <v>0</v>
      </c>
      <c r="T52" s="65" t="n">
        <f aca="false">IF(T$6=1,Inputs!$B$35,0)</f>
        <v>0</v>
      </c>
      <c r="U52" s="65" t="n">
        <f aca="false">IF(U$6=1,Inputs!$B$35,0)</f>
        <v>0</v>
      </c>
      <c r="V52" s="65" t="n">
        <f aca="false">IF(V$6=1,Inputs!$B$35,0)</f>
        <v>0</v>
      </c>
      <c r="W52" s="65" t="n">
        <f aca="false">IF(W$6=1,Inputs!$B$35,0)</f>
        <v>0</v>
      </c>
      <c r="X52" s="65" t="n">
        <f aca="false">IF(X$6=1,Inputs!$B$35,0)</f>
        <v>0</v>
      </c>
      <c r="Y52" s="65" t="n">
        <f aca="false">IF(Y$6=1,Inputs!$B$35,0)</f>
        <v>0</v>
      </c>
      <c r="Z52" s="65" t="n">
        <f aca="false">IF(Z$6=1,Inputs!$B$35,0)</f>
        <v>0</v>
      </c>
      <c r="AA52" s="65" t="n">
        <f aca="false">IF(AA$6=1,Inputs!$B$35,0)</f>
        <v>0</v>
      </c>
      <c r="AB52" s="65" t="n">
        <f aca="false">IF(AB$6=1,Inputs!$B$35,0)</f>
        <v>0</v>
      </c>
      <c r="AC52" s="65" t="n">
        <f aca="false">IF(AC$6=1,Inputs!$B$35,0)</f>
        <v>0</v>
      </c>
      <c r="AD52" s="65" t="n">
        <f aca="false">IF(AD$6=1,Inputs!$B$35,0)</f>
        <v>0</v>
      </c>
      <c r="AE52" s="65" t="n">
        <f aca="false">IF(AE$6=1,Inputs!$B$35,0)</f>
        <v>0</v>
      </c>
      <c r="AF52" s="65" t="n">
        <f aca="false">IF(AF$6=1,Inputs!$B$35,0)</f>
        <v>0</v>
      </c>
      <c r="AG52" s="65" t="n">
        <f aca="false">IF(AG$6=1,Inputs!$B$35,0)</f>
        <v>0</v>
      </c>
      <c r="AH52" s="65" t="n">
        <f aca="false">IF(AH$6=1,Inputs!$B$35,0)</f>
        <v>0</v>
      </c>
      <c r="AI52" s="65" t="n">
        <f aca="false">IF(AI$6=1,Inputs!$B$35,0)</f>
        <v>0</v>
      </c>
      <c r="AJ52" s="65" t="n">
        <f aca="false">IF(AJ$6=1,Inputs!$B$35,0)</f>
        <v>0</v>
      </c>
      <c r="AK52" s="65" t="n">
        <f aca="false">IF(AK$6=1,Inputs!$B$35,0)</f>
        <v>0</v>
      </c>
      <c r="AL52" s="65" t="n">
        <f aca="false">IF(AL$6=1,Inputs!$B$35,0)</f>
        <v>0</v>
      </c>
      <c r="AM52" s="65" t="n">
        <f aca="false">IF(AM$6=1,Inputs!$B$35,0)</f>
        <v>0</v>
      </c>
      <c r="AN52" s="65" t="n">
        <f aca="false">IF(AN$6=1,Inputs!$B$35,0)</f>
        <v>0</v>
      </c>
      <c r="AO52" s="65" t="n">
        <f aca="false">IF(AO$6=1,Inputs!$B$35,0)</f>
        <v>0</v>
      </c>
      <c r="AP52" s="65" t="n">
        <f aca="false">IF(AP$6=1,Inputs!$B$35,0)</f>
        <v>0</v>
      </c>
      <c r="AQ52" s="65" t="n">
        <f aca="false">IF(AQ$6=1,Inputs!$B$35,0)</f>
        <v>0</v>
      </c>
      <c r="AR52" s="65" t="n">
        <f aca="false">IF(AR$6=1,Inputs!$B$35,0)</f>
        <v>0</v>
      </c>
      <c r="AS52" s="65" t="n">
        <f aca="false">IF(AS$6=1,Inputs!$B$35,0)</f>
        <v>0</v>
      </c>
      <c r="AT52" s="65" t="n">
        <f aca="false">IF(AT$6=1,Inputs!$B$35,0)</f>
        <v>0</v>
      </c>
      <c r="AU52" s="65" t="n">
        <f aca="false">IF(AU$6=1,Inputs!$B$35,0)</f>
        <v>0</v>
      </c>
      <c r="AV52" s="65" t="n">
        <f aca="false">IF(AV$6=1,Inputs!$B$35,0)</f>
        <v>0</v>
      </c>
      <c r="AW52" s="65" t="n">
        <f aca="false">IF(AW$6=1,Inputs!$B$35,0)</f>
        <v>0</v>
      </c>
      <c r="AX52" s="65" t="n">
        <f aca="false">IF(AX$6=1,Inputs!$B$35,0)</f>
        <v>0</v>
      </c>
      <c r="AY52" s="65" t="n">
        <f aca="false">IF(AY$6=1,Inputs!$B$35,0)</f>
        <v>0</v>
      </c>
      <c r="AZ52" s="65" t="n">
        <f aca="false">IF(AZ$6=1,Inputs!$B$35,0)</f>
        <v>0</v>
      </c>
      <c r="BA52" s="65" t="n">
        <f aca="false">IF(BA$6=1,Inputs!$B$35,0)</f>
        <v>0</v>
      </c>
      <c r="BB52" s="65" t="n">
        <f aca="false">IF(BB$6=1,Inputs!$B$35,0)</f>
        <v>0</v>
      </c>
      <c r="BC52" s="65" t="n">
        <f aca="false">IF(BC$6=1,Inputs!$B$35,0)</f>
        <v>0</v>
      </c>
      <c r="BD52" s="65" t="n">
        <f aca="false">IF(BD$6=1,Inputs!$B$35,0)</f>
        <v>0</v>
      </c>
      <c r="BE52" s="65" t="n">
        <f aca="false">IF(BE$6=1,Inputs!$B$35,0)</f>
        <v>0</v>
      </c>
      <c r="BF52" s="65" t="n">
        <f aca="false">IF(BF$6=1,Inputs!$B$35,0)</f>
        <v>0</v>
      </c>
      <c r="BG52" s="65" t="n">
        <f aca="false">IF(BG$6=1,Inputs!$B$35,0)</f>
        <v>0</v>
      </c>
      <c r="BH52" s="65" t="n">
        <f aca="false">IF(BH$6=1,Inputs!$B$35,0)</f>
        <v>0</v>
      </c>
      <c r="BI52" s="65" t="n">
        <f aca="false">IF(BI$6=1,Inputs!$B$35,0)</f>
        <v>0</v>
      </c>
      <c r="BJ52" s="65" t="n">
        <f aca="false">IF(BJ$6=1,Inputs!$B$35,0)</f>
        <v>0</v>
      </c>
    </row>
    <row r="53" customFormat="false" ht="15" hidden="false" customHeight="false" outlineLevel="0" collapsed="false">
      <c r="A53" s="6" t="s">
        <v>433</v>
      </c>
      <c r="C53" s="65" t="n">
        <f aca="false">-PMT(Inputs!$B$36/12,MAX(1,Inputs!$B$37*12),Inputs!$B$35)</f>
        <v>7584.81628191557</v>
      </c>
      <c r="D53" s="65" t="n">
        <f aca="false">-PMT(Inputs!$B$36/12,MAX(1,Inputs!$B$37*12),Inputs!$B$35)</f>
        <v>7584.81628191557</v>
      </c>
      <c r="E53" s="65" t="n">
        <f aca="false">-PMT(Inputs!$B$36/12,MAX(1,Inputs!$B$37*12),Inputs!$B$35)</f>
        <v>7584.81628191557</v>
      </c>
      <c r="F53" s="65" t="n">
        <f aca="false">-PMT(Inputs!$B$36/12,MAX(1,Inputs!$B$37*12),Inputs!$B$35)</f>
        <v>7584.81628191557</v>
      </c>
      <c r="G53" s="65" t="n">
        <f aca="false">-PMT(Inputs!$B$36/12,MAX(1,Inputs!$B$37*12),Inputs!$B$35)</f>
        <v>7584.81628191557</v>
      </c>
      <c r="H53" s="65" t="n">
        <f aca="false">-PMT(Inputs!$B$36/12,MAX(1,Inputs!$B$37*12),Inputs!$B$35)</f>
        <v>7584.81628191557</v>
      </c>
      <c r="I53" s="65" t="n">
        <f aca="false">-PMT(Inputs!$B$36/12,MAX(1,Inputs!$B$37*12),Inputs!$B$35)</f>
        <v>7584.81628191557</v>
      </c>
      <c r="J53" s="65" t="n">
        <f aca="false">-PMT(Inputs!$B$36/12,MAX(1,Inputs!$B$37*12),Inputs!$B$35)</f>
        <v>7584.81628191557</v>
      </c>
      <c r="K53" s="65" t="n">
        <f aca="false">-PMT(Inputs!$B$36/12,MAX(1,Inputs!$B$37*12),Inputs!$B$35)</f>
        <v>7584.81628191557</v>
      </c>
      <c r="L53" s="65" t="n">
        <f aca="false">-PMT(Inputs!$B$36/12,MAX(1,Inputs!$B$37*12),Inputs!$B$35)</f>
        <v>7584.81628191557</v>
      </c>
      <c r="M53" s="65" t="n">
        <f aca="false">-PMT(Inputs!$B$36/12,MAX(1,Inputs!$B$37*12),Inputs!$B$35)</f>
        <v>7584.81628191557</v>
      </c>
      <c r="N53" s="65" t="n">
        <f aca="false">-PMT(Inputs!$B$36/12,MAX(1,Inputs!$B$37*12),Inputs!$B$35)</f>
        <v>7584.81628191557</v>
      </c>
      <c r="O53" s="65" t="n">
        <f aca="false">-PMT(Inputs!$B$36/12,MAX(1,Inputs!$B$37*12),Inputs!$B$35)</f>
        <v>7584.81628191557</v>
      </c>
      <c r="P53" s="65" t="n">
        <f aca="false">-PMT(Inputs!$B$36/12,MAX(1,Inputs!$B$37*12),Inputs!$B$35)</f>
        <v>7584.81628191557</v>
      </c>
      <c r="Q53" s="65" t="n">
        <f aca="false">-PMT(Inputs!$B$36/12,MAX(1,Inputs!$B$37*12),Inputs!$B$35)</f>
        <v>7584.81628191557</v>
      </c>
      <c r="R53" s="65" t="n">
        <f aca="false">-PMT(Inputs!$B$36/12,MAX(1,Inputs!$B$37*12),Inputs!$B$35)</f>
        <v>7584.81628191557</v>
      </c>
      <c r="S53" s="65" t="n">
        <f aca="false">-PMT(Inputs!$B$36/12,MAX(1,Inputs!$B$37*12),Inputs!$B$35)</f>
        <v>7584.81628191557</v>
      </c>
      <c r="T53" s="65" t="n">
        <f aca="false">-PMT(Inputs!$B$36/12,MAX(1,Inputs!$B$37*12),Inputs!$B$35)</f>
        <v>7584.81628191557</v>
      </c>
      <c r="U53" s="65" t="n">
        <f aca="false">-PMT(Inputs!$B$36/12,MAX(1,Inputs!$B$37*12),Inputs!$B$35)</f>
        <v>7584.81628191557</v>
      </c>
      <c r="V53" s="65" t="n">
        <f aca="false">-PMT(Inputs!$B$36/12,MAX(1,Inputs!$B$37*12),Inputs!$B$35)</f>
        <v>7584.81628191557</v>
      </c>
      <c r="W53" s="65" t="n">
        <f aca="false">-PMT(Inputs!$B$36/12,MAX(1,Inputs!$B$37*12),Inputs!$B$35)</f>
        <v>7584.81628191557</v>
      </c>
      <c r="X53" s="65" t="n">
        <f aca="false">-PMT(Inputs!$B$36/12,MAX(1,Inputs!$B$37*12),Inputs!$B$35)</f>
        <v>7584.81628191557</v>
      </c>
      <c r="Y53" s="65" t="n">
        <f aca="false">-PMT(Inputs!$B$36/12,MAX(1,Inputs!$B$37*12),Inputs!$B$35)</f>
        <v>7584.81628191557</v>
      </c>
      <c r="Z53" s="65" t="n">
        <f aca="false">-PMT(Inputs!$B$36/12,MAX(1,Inputs!$B$37*12),Inputs!$B$35)</f>
        <v>7584.81628191557</v>
      </c>
      <c r="AA53" s="65" t="n">
        <f aca="false">-PMT(Inputs!$B$36/12,MAX(1,Inputs!$B$37*12),Inputs!$B$35)</f>
        <v>7584.81628191557</v>
      </c>
      <c r="AB53" s="65" t="n">
        <f aca="false">-PMT(Inputs!$B$36/12,MAX(1,Inputs!$B$37*12),Inputs!$B$35)</f>
        <v>7584.81628191557</v>
      </c>
      <c r="AC53" s="65" t="n">
        <f aca="false">-PMT(Inputs!$B$36/12,MAX(1,Inputs!$B$37*12),Inputs!$B$35)</f>
        <v>7584.81628191557</v>
      </c>
      <c r="AD53" s="65" t="n">
        <f aca="false">-PMT(Inputs!$B$36/12,MAX(1,Inputs!$B$37*12),Inputs!$B$35)</f>
        <v>7584.81628191557</v>
      </c>
      <c r="AE53" s="65" t="n">
        <f aca="false">-PMT(Inputs!$B$36/12,MAX(1,Inputs!$B$37*12),Inputs!$B$35)</f>
        <v>7584.81628191557</v>
      </c>
      <c r="AF53" s="65" t="n">
        <f aca="false">-PMT(Inputs!$B$36/12,MAX(1,Inputs!$B$37*12),Inputs!$B$35)</f>
        <v>7584.81628191557</v>
      </c>
      <c r="AG53" s="65" t="n">
        <f aca="false">-PMT(Inputs!$B$36/12,MAX(1,Inputs!$B$37*12),Inputs!$B$35)</f>
        <v>7584.81628191557</v>
      </c>
      <c r="AH53" s="65" t="n">
        <f aca="false">-PMT(Inputs!$B$36/12,MAX(1,Inputs!$B$37*12),Inputs!$B$35)</f>
        <v>7584.81628191557</v>
      </c>
      <c r="AI53" s="65" t="n">
        <f aca="false">-PMT(Inputs!$B$36/12,MAX(1,Inputs!$B$37*12),Inputs!$B$35)</f>
        <v>7584.81628191557</v>
      </c>
      <c r="AJ53" s="65" t="n">
        <f aca="false">-PMT(Inputs!$B$36/12,MAX(1,Inputs!$B$37*12),Inputs!$B$35)</f>
        <v>7584.81628191557</v>
      </c>
      <c r="AK53" s="65" t="n">
        <f aca="false">-PMT(Inputs!$B$36/12,MAX(1,Inputs!$B$37*12),Inputs!$B$35)</f>
        <v>7584.81628191557</v>
      </c>
      <c r="AL53" s="65" t="n">
        <f aca="false">-PMT(Inputs!$B$36/12,MAX(1,Inputs!$B$37*12),Inputs!$B$35)</f>
        <v>7584.81628191557</v>
      </c>
      <c r="AM53" s="65" t="n">
        <f aca="false">-PMT(Inputs!$B$36/12,MAX(1,Inputs!$B$37*12),Inputs!$B$35)</f>
        <v>7584.81628191557</v>
      </c>
      <c r="AN53" s="65" t="n">
        <f aca="false">-PMT(Inputs!$B$36/12,MAX(1,Inputs!$B$37*12),Inputs!$B$35)</f>
        <v>7584.81628191557</v>
      </c>
      <c r="AO53" s="65" t="n">
        <f aca="false">-PMT(Inputs!$B$36/12,MAX(1,Inputs!$B$37*12),Inputs!$B$35)</f>
        <v>7584.81628191557</v>
      </c>
      <c r="AP53" s="65" t="n">
        <f aca="false">-PMT(Inputs!$B$36/12,MAX(1,Inputs!$B$37*12),Inputs!$B$35)</f>
        <v>7584.81628191557</v>
      </c>
      <c r="AQ53" s="65" t="n">
        <f aca="false">-PMT(Inputs!$B$36/12,MAX(1,Inputs!$B$37*12),Inputs!$B$35)</f>
        <v>7584.81628191557</v>
      </c>
      <c r="AR53" s="65" t="n">
        <f aca="false">-PMT(Inputs!$B$36/12,MAX(1,Inputs!$B$37*12),Inputs!$B$35)</f>
        <v>7584.81628191557</v>
      </c>
      <c r="AS53" s="65" t="n">
        <f aca="false">-PMT(Inputs!$B$36/12,MAX(1,Inputs!$B$37*12),Inputs!$B$35)</f>
        <v>7584.81628191557</v>
      </c>
      <c r="AT53" s="65" t="n">
        <f aca="false">-PMT(Inputs!$B$36/12,MAX(1,Inputs!$B$37*12),Inputs!$B$35)</f>
        <v>7584.81628191557</v>
      </c>
      <c r="AU53" s="65" t="n">
        <f aca="false">-PMT(Inputs!$B$36/12,MAX(1,Inputs!$B$37*12),Inputs!$B$35)</f>
        <v>7584.81628191557</v>
      </c>
      <c r="AV53" s="65" t="n">
        <f aca="false">-PMT(Inputs!$B$36/12,MAX(1,Inputs!$B$37*12),Inputs!$B$35)</f>
        <v>7584.81628191557</v>
      </c>
      <c r="AW53" s="65" t="n">
        <f aca="false">-PMT(Inputs!$B$36/12,MAX(1,Inputs!$B$37*12),Inputs!$B$35)</f>
        <v>7584.81628191557</v>
      </c>
      <c r="AX53" s="65" t="n">
        <f aca="false">-PMT(Inputs!$B$36/12,MAX(1,Inputs!$B$37*12),Inputs!$B$35)</f>
        <v>7584.81628191557</v>
      </c>
      <c r="AY53" s="65" t="n">
        <f aca="false">-PMT(Inputs!$B$36/12,MAX(1,Inputs!$B$37*12),Inputs!$B$35)</f>
        <v>7584.81628191557</v>
      </c>
      <c r="AZ53" s="65" t="n">
        <f aca="false">-PMT(Inputs!$B$36/12,MAX(1,Inputs!$B$37*12),Inputs!$B$35)</f>
        <v>7584.81628191557</v>
      </c>
      <c r="BA53" s="65" t="n">
        <f aca="false">-PMT(Inputs!$B$36/12,MAX(1,Inputs!$B$37*12),Inputs!$B$35)</f>
        <v>7584.81628191557</v>
      </c>
      <c r="BB53" s="65" t="n">
        <f aca="false">-PMT(Inputs!$B$36/12,MAX(1,Inputs!$B$37*12),Inputs!$B$35)</f>
        <v>7584.81628191557</v>
      </c>
      <c r="BC53" s="65" t="n">
        <f aca="false">-PMT(Inputs!$B$36/12,MAX(1,Inputs!$B$37*12),Inputs!$B$35)</f>
        <v>7584.81628191557</v>
      </c>
      <c r="BD53" s="65" t="n">
        <f aca="false">-PMT(Inputs!$B$36/12,MAX(1,Inputs!$B$37*12),Inputs!$B$35)</f>
        <v>7584.81628191557</v>
      </c>
      <c r="BE53" s="65" t="n">
        <f aca="false">-PMT(Inputs!$B$36/12,MAX(1,Inputs!$B$37*12),Inputs!$B$35)</f>
        <v>7584.81628191557</v>
      </c>
      <c r="BF53" s="65" t="n">
        <f aca="false">-PMT(Inputs!$B$36/12,MAX(1,Inputs!$B$37*12),Inputs!$B$35)</f>
        <v>7584.81628191557</v>
      </c>
      <c r="BG53" s="65" t="n">
        <f aca="false">-PMT(Inputs!$B$36/12,MAX(1,Inputs!$B$37*12),Inputs!$B$35)</f>
        <v>7584.81628191557</v>
      </c>
      <c r="BH53" s="65" t="n">
        <f aca="false">-PMT(Inputs!$B$36/12,MAX(1,Inputs!$B$37*12),Inputs!$B$35)</f>
        <v>7584.81628191557</v>
      </c>
      <c r="BI53" s="65" t="n">
        <f aca="false">-PMT(Inputs!$B$36/12,MAX(1,Inputs!$B$37*12),Inputs!$B$35)</f>
        <v>7584.81628191557</v>
      </c>
      <c r="BJ53" s="65" t="n">
        <f aca="false">-PMT(Inputs!$B$36/12,MAX(1,Inputs!$B$37*12),Inputs!$B$35)</f>
        <v>7584.81628191557</v>
      </c>
    </row>
    <row r="54" customFormat="false" ht="15" hidden="false" customHeight="false" outlineLevel="0" collapsed="false">
      <c r="A54" s="6" t="s">
        <v>434</v>
      </c>
      <c r="C54" s="65" t="n">
        <f aca="false">-MIN(C51+C52,C53+C32)</f>
        <v>-1084.81628191557</v>
      </c>
      <c r="D54" s="65" t="n">
        <f aca="false">-MIN(D51+D52,D53+D32)</f>
        <v>-1090.69237010927</v>
      </c>
      <c r="E54" s="65" t="n">
        <f aca="false">-MIN(E51+E52,E53+E32)</f>
        <v>-1096.60028711403</v>
      </c>
      <c r="F54" s="65" t="n">
        <f aca="false">-MIN(F51+F52,F53+F32)</f>
        <v>-1102.5402053359</v>
      </c>
      <c r="G54" s="65" t="n">
        <f aca="false">-MIN(G51+G52,G53+G32)</f>
        <v>-1108.5122981148</v>
      </c>
      <c r="H54" s="65" t="n">
        <f aca="false">-MIN(H51+H52,H53+H32)</f>
        <v>-1114.51673972959</v>
      </c>
      <c r="I54" s="65" t="n">
        <f aca="false">-MIN(I51+I52,I53+I32)</f>
        <v>-1120.55370540313</v>
      </c>
      <c r="J54" s="65" t="n">
        <f aca="false">-MIN(J51+J52,J53+J32)</f>
        <v>-1126.62337130739</v>
      </c>
      <c r="K54" s="65" t="n">
        <f aca="false">-MIN(K51+K52,K53+K32)</f>
        <v>-1132.72591456864</v>
      </c>
      <c r="L54" s="65" t="n">
        <f aca="false">-MIN(L51+L52,L53+L32)</f>
        <v>-1138.86151327256</v>
      </c>
      <c r="M54" s="65" t="n">
        <f aca="false">-MIN(M51+M52,M53+M32)</f>
        <v>-1145.03034646945</v>
      </c>
      <c r="N54" s="65" t="n">
        <f aca="false">-MIN(N51+N52,N53+N32)</f>
        <v>-1151.23259417949</v>
      </c>
      <c r="O54" s="65" t="n">
        <f aca="false">-MIN(O51+O52,O53+O32)</f>
        <v>-1157.46843739797</v>
      </c>
      <c r="P54" s="65" t="n">
        <f aca="false">-MIN(P51+P52,P53+P32)</f>
        <v>-1163.73805810054</v>
      </c>
      <c r="Q54" s="65" t="n">
        <f aca="false">-MIN(Q51+Q52,Q53+Q32)</f>
        <v>-1170.04163924858</v>
      </c>
      <c r="R54" s="65" t="n">
        <f aca="false">-MIN(R51+R52,R53+R32)</f>
        <v>-1176.37936479451</v>
      </c>
      <c r="S54" s="65" t="n">
        <f aca="false">-MIN(S51+S52,S53+S32)</f>
        <v>-1182.75141968715</v>
      </c>
      <c r="T54" s="65" t="n">
        <f aca="false">-MIN(T51+T52,T53+T32)</f>
        <v>-1189.15798987712</v>
      </c>
      <c r="U54" s="65" t="n">
        <f aca="false">-MIN(U51+U52,U53+U32)</f>
        <v>-1195.59926232229</v>
      </c>
      <c r="V54" s="65" t="n">
        <f aca="false">-MIN(V51+V52,V53+V32)</f>
        <v>-1202.0754249932</v>
      </c>
      <c r="W54" s="65" t="n">
        <f aca="false">-MIN(W51+W52,W53+W32)</f>
        <v>-1208.58666687858</v>
      </c>
      <c r="X54" s="65" t="n">
        <f aca="false">-MIN(X51+X52,X53+X32)</f>
        <v>-1215.13317799084</v>
      </c>
      <c r="Y54" s="65" t="n">
        <f aca="false">-MIN(Y51+Y52,Y53+Y32)</f>
        <v>-1221.71514937162</v>
      </c>
      <c r="Z54" s="65" t="n">
        <f aca="false">-MIN(Z51+Z52,Z53+Z32)</f>
        <v>-1228.33277309739</v>
      </c>
      <c r="AA54" s="65" t="n">
        <f aca="false">-MIN(AA51+AA52,AA53+AA32)</f>
        <v>-1234.986242285</v>
      </c>
      <c r="AB54" s="65" t="n">
        <f aca="false">-MIN(AB51+AB52,AB53+AB32)</f>
        <v>-1241.67575109737</v>
      </c>
      <c r="AC54" s="65" t="n">
        <f aca="false">-MIN(AC51+AC52,AC53+AC32)</f>
        <v>-1248.40149474915</v>
      </c>
      <c r="AD54" s="65" t="n">
        <f aca="false">-MIN(AD51+AD52,AD53+AD32)</f>
        <v>-1255.16366951237</v>
      </c>
      <c r="AE54" s="65" t="n">
        <f aca="false">-MIN(AE51+AE52,AE53+AE32)</f>
        <v>-1261.96247272223</v>
      </c>
      <c r="AF54" s="65" t="n">
        <f aca="false">-MIN(AF51+AF52,AF53+AF32)</f>
        <v>-1268.79810278281</v>
      </c>
      <c r="AG54" s="65" t="n">
        <f aca="false">-MIN(AG51+AG52,AG53+AG32)</f>
        <v>-1275.67075917288</v>
      </c>
      <c r="AH54" s="65" t="n">
        <f aca="false">-MIN(AH51+AH52,AH53+AH32)</f>
        <v>-1282.58064245174</v>
      </c>
      <c r="AI54" s="65" t="n">
        <f aca="false">-MIN(AI51+AI52,AI53+AI32)</f>
        <v>-1289.52795426502</v>
      </c>
      <c r="AJ54" s="65" t="n">
        <f aca="false">-MIN(AJ51+AJ52,AJ53+AJ32)</f>
        <v>-1296.51289735062</v>
      </c>
      <c r="AK54" s="65" t="n">
        <f aca="false">-MIN(AK51+AK52,AK53+AK32)</f>
        <v>-1303.5356755446</v>
      </c>
      <c r="AL54" s="65" t="n">
        <f aca="false">-MIN(AL51+AL52,AL53+AL32)</f>
        <v>-1310.59649378714</v>
      </c>
      <c r="AM54" s="65" t="n">
        <f aca="false">-MIN(AM51+AM52,AM53+AM32)</f>
        <v>-1317.69555812848</v>
      </c>
      <c r="AN54" s="65" t="n">
        <f aca="false">-MIN(AN51+AN52,AN53+AN32)</f>
        <v>-1324.83307573501</v>
      </c>
      <c r="AO54" s="65" t="n">
        <f aca="false">-MIN(AO51+AO52,AO53+AO32)</f>
        <v>-1332.00925489524</v>
      </c>
      <c r="AP54" s="65" t="n">
        <f aca="false">-MIN(AP51+AP52,AP53+AP32)</f>
        <v>-1339.22430502593</v>
      </c>
      <c r="AQ54" s="65" t="n">
        <f aca="false">-MIN(AQ51+AQ52,AQ53+AQ32)</f>
        <v>-1346.47843667815</v>
      </c>
      <c r="AR54" s="65" t="n">
        <f aca="false">-MIN(AR51+AR52,AR53+AR32)</f>
        <v>-1353.77186154349</v>
      </c>
      <c r="AS54" s="65" t="n">
        <f aca="false">-MIN(AS51+AS52,AS53+AS32)</f>
        <v>-1361.10479246018</v>
      </c>
      <c r="AT54" s="65" t="n">
        <f aca="false">-MIN(AT51+AT52,AT53+AT32)</f>
        <v>-1368.47744341934</v>
      </c>
      <c r="AU54" s="65" t="n">
        <f aca="false">-MIN(AU51+AU52,AU53+AU32)</f>
        <v>-1375.8900295712</v>
      </c>
      <c r="AV54" s="65" t="n">
        <f aca="false">-MIN(AV51+AV52,AV53+AV32)</f>
        <v>-1383.34276723137</v>
      </c>
      <c r="AW54" s="65" t="n">
        <f aca="false">-MIN(AW51+AW52,AW53+AW32)</f>
        <v>-1390.83587388721</v>
      </c>
      <c r="AX54" s="65" t="n">
        <f aca="false">-MIN(AX51+AX52,AX53+AX32)</f>
        <v>-1398.3695682041</v>
      </c>
      <c r="AY54" s="65" t="n">
        <f aca="false">-MIN(AY51+AY52,AY53+AY32)</f>
        <v>-1405.94407003187</v>
      </c>
      <c r="AZ54" s="65" t="n">
        <f aca="false">-MIN(AZ51+AZ52,AZ53+AZ32)</f>
        <v>-1413.55960041121</v>
      </c>
      <c r="BA54" s="65" t="n">
        <f aca="false">-MIN(BA51+BA52,BA53+BA32)</f>
        <v>-1421.21638158011</v>
      </c>
      <c r="BB54" s="65" t="n">
        <f aca="false">-MIN(BB51+BB52,BB53+BB32)</f>
        <v>-1428.91463698033</v>
      </c>
      <c r="BC54" s="65" t="n">
        <f aca="false">-MIN(BC51+BC52,BC53+BC32)</f>
        <v>-1436.65459126397</v>
      </c>
      <c r="BD54" s="65" t="n">
        <f aca="false">-MIN(BD51+BD52,BD53+BD32)</f>
        <v>-1444.43647029999</v>
      </c>
      <c r="BE54" s="65" t="n">
        <f aca="false">-MIN(BE51+BE52,BE53+BE32)</f>
        <v>-1452.26050118078</v>
      </c>
      <c r="BF54" s="65" t="n">
        <f aca="false">-MIN(BF51+BF52,BF53+BF32)</f>
        <v>-1460.12691222884</v>
      </c>
      <c r="BG54" s="65" t="n">
        <f aca="false">-MIN(BG51+BG52,BG53+BG32)</f>
        <v>-1468.03593300341</v>
      </c>
      <c r="BH54" s="65" t="n">
        <f aca="false">-MIN(BH51+BH52,BH53+BH32)</f>
        <v>-1475.98779430718</v>
      </c>
      <c r="BI54" s="65" t="n">
        <f aca="false">-MIN(BI51+BI52,BI53+BI32)</f>
        <v>-1483.98272819301</v>
      </c>
      <c r="BJ54" s="65" t="n">
        <f aca="false">-MIN(BJ51+BJ52,BJ53+BJ32)</f>
        <v>-1492.02096797073</v>
      </c>
    </row>
    <row r="55" customFormat="false" ht="15" hidden="false" customHeight="false" outlineLevel="0" collapsed="false">
      <c r="A55" s="6" t="s">
        <v>61</v>
      </c>
      <c r="C55" s="65" t="n">
        <f aca="false">C32+C54</f>
        <v>-7584.81628191557</v>
      </c>
      <c r="D55" s="65" t="n">
        <f aca="false">D32+D54</f>
        <v>-7584.81628191557</v>
      </c>
      <c r="E55" s="65" t="n">
        <f aca="false">E32+E54</f>
        <v>-7584.81628191557</v>
      </c>
      <c r="F55" s="65" t="n">
        <f aca="false">F32+F54</f>
        <v>-7584.81628191557</v>
      </c>
      <c r="G55" s="65" t="n">
        <f aca="false">G32+G54</f>
        <v>-7584.81628191557</v>
      </c>
      <c r="H55" s="65" t="n">
        <f aca="false">H32+H54</f>
        <v>-7584.81628191557</v>
      </c>
      <c r="I55" s="65" t="n">
        <f aca="false">I32+I54</f>
        <v>-7584.81628191557</v>
      </c>
      <c r="J55" s="65" t="n">
        <f aca="false">J32+J54</f>
        <v>-7584.81628191557</v>
      </c>
      <c r="K55" s="65" t="n">
        <f aca="false">K32+K54</f>
        <v>-7584.81628191557</v>
      </c>
      <c r="L55" s="65" t="n">
        <f aca="false">L32+L54</f>
        <v>-7584.81628191557</v>
      </c>
      <c r="M55" s="65" t="n">
        <f aca="false">M32+M54</f>
        <v>-7584.81628191557</v>
      </c>
      <c r="N55" s="65" t="n">
        <f aca="false">N32+N54</f>
        <v>-7584.81628191557</v>
      </c>
      <c r="O55" s="65" t="n">
        <f aca="false">O32+O54</f>
        <v>-7584.81628191557</v>
      </c>
      <c r="P55" s="65" t="n">
        <f aca="false">P32+P54</f>
        <v>-7584.81628191557</v>
      </c>
      <c r="Q55" s="65" t="n">
        <f aca="false">Q32+Q54</f>
        <v>-7584.81628191557</v>
      </c>
      <c r="R55" s="65" t="n">
        <f aca="false">R32+R54</f>
        <v>-7584.81628191557</v>
      </c>
      <c r="S55" s="65" t="n">
        <f aca="false">S32+S54</f>
        <v>-7584.81628191557</v>
      </c>
      <c r="T55" s="65" t="n">
        <f aca="false">T32+T54</f>
        <v>-7584.81628191557</v>
      </c>
      <c r="U55" s="65" t="n">
        <f aca="false">U32+U54</f>
        <v>-7584.81628191557</v>
      </c>
      <c r="V55" s="65" t="n">
        <f aca="false">V32+V54</f>
        <v>-7584.81628191557</v>
      </c>
      <c r="W55" s="65" t="n">
        <f aca="false">W32+W54</f>
        <v>-7584.81628191557</v>
      </c>
      <c r="X55" s="65" t="n">
        <f aca="false">X32+X54</f>
        <v>-7584.81628191557</v>
      </c>
      <c r="Y55" s="65" t="n">
        <f aca="false">Y32+Y54</f>
        <v>-7584.81628191557</v>
      </c>
      <c r="Z55" s="65" t="n">
        <f aca="false">Z32+Z54</f>
        <v>-7584.81628191557</v>
      </c>
      <c r="AA55" s="65" t="n">
        <f aca="false">AA32+AA54</f>
        <v>-7584.81628191557</v>
      </c>
      <c r="AB55" s="65" t="n">
        <f aca="false">AB32+AB54</f>
        <v>-7584.81628191557</v>
      </c>
      <c r="AC55" s="65" t="n">
        <f aca="false">AC32+AC54</f>
        <v>-7584.81628191557</v>
      </c>
      <c r="AD55" s="65" t="n">
        <f aca="false">AD32+AD54</f>
        <v>-7584.81628191557</v>
      </c>
      <c r="AE55" s="65" t="n">
        <f aca="false">AE32+AE54</f>
        <v>-7584.81628191557</v>
      </c>
      <c r="AF55" s="65" t="n">
        <f aca="false">AF32+AF54</f>
        <v>-7584.81628191557</v>
      </c>
      <c r="AG55" s="65" t="n">
        <f aca="false">AG32+AG54</f>
        <v>-7584.81628191557</v>
      </c>
      <c r="AH55" s="65" t="n">
        <f aca="false">AH32+AH54</f>
        <v>-7584.81628191557</v>
      </c>
      <c r="AI55" s="65" t="n">
        <f aca="false">AI32+AI54</f>
        <v>-7584.81628191557</v>
      </c>
      <c r="AJ55" s="65" t="n">
        <f aca="false">AJ32+AJ54</f>
        <v>-7584.81628191557</v>
      </c>
      <c r="AK55" s="65" t="n">
        <f aca="false">AK32+AK54</f>
        <v>-7584.81628191557</v>
      </c>
      <c r="AL55" s="65" t="n">
        <f aca="false">AL32+AL54</f>
        <v>-7584.81628191557</v>
      </c>
      <c r="AM55" s="65" t="n">
        <f aca="false">AM32+AM54</f>
        <v>-7584.81628191557</v>
      </c>
      <c r="AN55" s="65" t="n">
        <f aca="false">AN32+AN54</f>
        <v>-7584.81628191557</v>
      </c>
      <c r="AO55" s="65" t="n">
        <f aca="false">AO32+AO54</f>
        <v>-7584.81628191557</v>
      </c>
      <c r="AP55" s="65" t="n">
        <f aca="false">AP32+AP54</f>
        <v>-7584.81628191557</v>
      </c>
      <c r="AQ55" s="65" t="n">
        <f aca="false">AQ32+AQ54</f>
        <v>-7584.81628191557</v>
      </c>
      <c r="AR55" s="65" t="n">
        <f aca="false">AR32+AR54</f>
        <v>-7584.81628191557</v>
      </c>
      <c r="AS55" s="65" t="n">
        <f aca="false">AS32+AS54</f>
        <v>-7584.81628191557</v>
      </c>
      <c r="AT55" s="65" t="n">
        <f aca="false">AT32+AT54</f>
        <v>-7584.81628191557</v>
      </c>
      <c r="AU55" s="65" t="n">
        <f aca="false">AU32+AU54</f>
        <v>-7584.81628191557</v>
      </c>
      <c r="AV55" s="65" t="n">
        <f aca="false">AV32+AV54</f>
        <v>-7584.81628191557</v>
      </c>
      <c r="AW55" s="65" t="n">
        <f aca="false">AW32+AW54</f>
        <v>-7584.81628191557</v>
      </c>
      <c r="AX55" s="65" t="n">
        <f aca="false">AX32+AX54</f>
        <v>-7584.81628191557</v>
      </c>
      <c r="AY55" s="65" t="n">
        <f aca="false">AY32+AY54</f>
        <v>-7584.81628191557</v>
      </c>
      <c r="AZ55" s="65" t="n">
        <f aca="false">AZ32+AZ54</f>
        <v>-7584.81628191557</v>
      </c>
      <c r="BA55" s="65" t="n">
        <f aca="false">BA32+BA54</f>
        <v>-7584.81628191557</v>
      </c>
      <c r="BB55" s="65" t="n">
        <f aca="false">BB32+BB54</f>
        <v>-7584.81628191557</v>
      </c>
      <c r="BC55" s="65" t="n">
        <f aca="false">BC32+BC54</f>
        <v>-7584.81628191557</v>
      </c>
      <c r="BD55" s="65" t="n">
        <f aca="false">BD32+BD54</f>
        <v>-7584.81628191557</v>
      </c>
      <c r="BE55" s="65" t="n">
        <f aca="false">BE32+BE54</f>
        <v>-7584.81628191557</v>
      </c>
      <c r="BF55" s="65" t="n">
        <f aca="false">BF32+BF54</f>
        <v>-7584.81628191557</v>
      </c>
      <c r="BG55" s="65" t="n">
        <f aca="false">BG32+BG54</f>
        <v>-7584.81628191557</v>
      </c>
      <c r="BH55" s="65" t="n">
        <f aca="false">BH32+BH54</f>
        <v>-7584.81628191557</v>
      </c>
      <c r="BI55" s="65" t="n">
        <f aca="false">BI32+BI54</f>
        <v>-7584.81628191557</v>
      </c>
      <c r="BJ55" s="65" t="n">
        <f aca="false">BJ32+BJ54</f>
        <v>-7584.81628191557</v>
      </c>
    </row>
    <row r="56" customFormat="false" ht="15" hidden="false" customHeight="false" outlineLevel="0" collapsed="false">
      <c r="A56" s="4" t="s">
        <v>435</v>
      </c>
      <c r="C56" s="71" t="n">
        <f aca="false">C51+C52+C54</f>
        <v>1198915.18371808</v>
      </c>
      <c r="D56" s="71" t="n">
        <f aca="false">D51+D52+D54</f>
        <v>1197824.49134798</v>
      </c>
      <c r="E56" s="71" t="n">
        <f aca="false">E51+E52+E54</f>
        <v>1196727.89106086</v>
      </c>
      <c r="F56" s="71" t="n">
        <f aca="false">F51+F52+F54</f>
        <v>1195625.35085553</v>
      </c>
      <c r="G56" s="71" t="n">
        <f aca="false">G51+G52+G54</f>
        <v>1194516.83855741</v>
      </c>
      <c r="H56" s="71" t="n">
        <f aca="false">H51+H52+H54</f>
        <v>1193402.32181768</v>
      </c>
      <c r="I56" s="71" t="n">
        <f aca="false">I51+I52+I54</f>
        <v>1192281.76811228</v>
      </c>
      <c r="J56" s="71" t="n">
        <f aca="false">J51+J52+J54</f>
        <v>1191155.14474097</v>
      </c>
      <c r="K56" s="71" t="n">
        <f aca="false">K51+K52+K54</f>
        <v>1190022.4188264</v>
      </c>
      <c r="L56" s="71" t="n">
        <f aca="false">L51+L52+L54</f>
        <v>1188883.55731313</v>
      </c>
      <c r="M56" s="71" t="n">
        <f aca="false">M51+M52+M54</f>
        <v>1187738.52696666</v>
      </c>
      <c r="N56" s="71" t="n">
        <f aca="false">N51+N52+N54</f>
        <v>1186587.29437248</v>
      </c>
      <c r="O56" s="71" t="n">
        <f aca="false">O51+O52+O54</f>
        <v>1185429.82593508</v>
      </c>
      <c r="P56" s="71" t="n">
        <f aca="false">P51+P52+P54</f>
        <v>1184266.08787698</v>
      </c>
      <c r="Q56" s="71" t="n">
        <f aca="false">Q51+Q52+Q54</f>
        <v>1183096.04623773</v>
      </c>
      <c r="R56" s="71" t="n">
        <f aca="false">R51+R52+R54</f>
        <v>1181919.66687294</v>
      </c>
      <c r="S56" s="71" t="n">
        <f aca="false">S51+S52+S54</f>
        <v>1180736.91545325</v>
      </c>
      <c r="T56" s="71" t="n">
        <f aca="false">T51+T52+T54</f>
        <v>1179547.75746337</v>
      </c>
      <c r="U56" s="71" t="n">
        <f aca="false">U51+U52+U54</f>
        <v>1178352.15820105</v>
      </c>
      <c r="V56" s="71" t="n">
        <f aca="false">V51+V52+V54</f>
        <v>1177150.08277606</v>
      </c>
      <c r="W56" s="71" t="n">
        <f aca="false">W51+W52+W54</f>
        <v>1175941.49610918</v>
      </c>
      <c r="X56" s="71" t="n">
        <f aca="false">X51+X52+X54</f>
        <v>1174726.36293119</v>
      </c>
      <c r="Y56" s="71" t="n">
        <f aca="false">Y51+Y52+Y54</f>
        <v>1173504.64778182</v>
      </c>
      <c r="Z56" s="71" t="n">
        <f aca="false">Z51+Z52+Z54</f>
        <v>1172276.31500872</v>
      </c>
      <c r="AA56" s="71" t="n">
        <f aca="false">AA51+AA52+AA54</f>
        <v>1171041.32876644</v>
      </c>
      <c r="AB56" s="71" t="n">
        <f aca="false">AB51+AB52+AB54</f>
        <v>1169799.65301534</v>
      </c>
      <c r="AC56" s="71" t="n">
        <f aca="false">AC51+AC52+AC54</f>
        <v>1168551.25152059</v>
      </c>
      <c r="AD56" s="71" t="n">
        <f aca="false">AD51+AD52+AD54</f>
        <v>1167296.08785108</v>
      </c>
      <c r="AE56" s="71" t="n">
        <f aca="false">AE51+AE52+AE54</f>
        <v>1166034.12537835</v>
      </c>
      <c r="AF56" s="71" t="n">
        <f aca="false">AF51+AF52+AF54</f>
        <v>1164765.32727557</v>
      </c>
      <c r="AG56" s="71" t="n">
        <f aca="false">AG51+AG52+AG54</f>
        <v>1163489.6565164</v>
      </c>
      <c r="AH56" s="71" t="n">
        <f aca="false">AH51+AH52+AH54</f>
        <v>1162207.07587395</v>
      </c>
      <c r="AI56" s="71" t="n">
        <f aca="false">AI51+AI52+AI54</f>
        <v>1160917.54791968</v>
      </c>
      <c r="AJ56" s="71" t="n">
        <f aca="false">AJ51+AJ52+AJ54</f>
        <v>1159621.03502233</v>
      </c>
      <c r="AK56" s="71" t="n">
        <f aca="false">AK51+AK52+AK54</f>
        <v>1158317.49934679</v>
      </c>
      <c r="AL56" s="71" t="n">
        <f aca="false">AL51+AL52+AL54</f>
        <v>1157006.902853</v>
      </c>
      <c r="AM56" s="71" t="n">
        <f aca="false">AM51+AM52+AM54</f>
        <v>1155689.20729487</v>
      </c>
      <c r="AN56" s="71" t="n">
        <f aca="false">AN51+AN52+AN54</f>
        <v>1154364.37421914</v>
      </c>
      <c r="AO56" s="71" t="n">
        <f aca="false">AO51+AO52+AO54</f>
        <v>1153032.36496424</v>
      </c>
      <c r="AP56" s="71" t="n">
        <f aca="false">AP51+AP52+AP54</f>
        <v>1151693.14065922</v>
      </c>
      <c r="AQ56" s="71" t="n">
        <f aca="false">AQ51+AQ52+AQ54</f>
        <v>1150346.66222254</v>
      </c>
      <c r="AR56" s="71" t="n">
        <f aca="false">AR51+AR52+AR54</f>
        <v>1148992.89036099</v>
      </c>
      <c r="AS56" s="71" t="n">
        <f aca="false">AS51+AS52+AS54</f>
        <v>1147631.78556853</v>
      </c>
      <c r="AT56" s="71" t="n">
        <f aca="false">AT51+AT52+AT54</f>
        <v>1146263.30812511</v>
      </c>
      <c r="AU56" s="71" t="n">
        <f aca="false">AU51+AU52+AU54</f>
        <v>1144887.41809554</v>
      </c>
      <c r="AV56" s="71" t="n">
        <f aca="false">AV51+AV52+AV54</f>
        <v>1143504.07532831</v>
      </c>
      <c r="AW56" s="71" t="n">
        <f aca="false">AW51+AW52+AW54</f>
        <v>1142113.23945442</v>
      </c>
      <c r="AX56" s="71" t="n">
        <f aca="false">AX51+AX52+AX54</f>
        <v>1140714.86988622</v>
      </c>
      <c r="AY56" s="71" t="n">
        <f aca="false">AY51+AY52+AY54</f>
        <v>1139308.92581619</v>
      </c>
      <c r="AZ56" s="71" t="n">
        <f aca="false">AZ51+AZ52+AZ54</f>
        <v>1137895.36621578</v>
      </c>
      <c r="BA56" s="71" t="n">
        <f aca="false">BA51+BA52+BA54</f>
        <v>1136474.1498342</v>
      </c>
      <c r="BB56" s="71" t="n">
        <f aca="false">BB51+BB52+BB54</f>
        <v>1135045.23519722</v>
      </c>
      <c r="BC56" s="71" t="n">
        <f aca="false">BC51+BC52+BC54</f>
        <v>1133608.58060595</v>
      </c>
      <c r="BD56" s="71" t="n">
        <f aca="false">BD51+BD52+BD54</f>
        <v>1132164.14413565</v>
      </c>
      <c r="BE56" s="71" t="n">
        <f aca="false">BE51+BE52+BE54</f>
        <v>1130711.88363447</v>
      </c>
      <c r="BF56" s="71" t="n">
        <f aca="false">BF51+BF52+BF54</f>
        <v>1129251.75672224</v>
      </c>
      <c r="BG56" s="71" t="n">
        <f aca="false">BG51+BG52+BG54</f>
        <v>1127783.72078924</v>
      </c>
      <c r="BH56" s="71" t="n">
        <f aca="false">BH51+BH52+BH54</f>
        <v>1126307.73299493</v>
      </c>
      <c r="BI56" s="71" t="n">
        <f aca="false">BI51+BI52+BI54</f>
        <v>1124823.75026674</v>
      </c>
      <c r="BJ56" s="71" t="n">
        <f aca="false">BJ51+BJ52+BJ54</f>
        <v>1123331.72929877</v>
      </c>
    </row>
    <row r="58" customFormat="false" ht="15.75" hidden="false" customHeight="true" outlineLevel="0" collapsed="false">
      <c r="A58" s="7" t="s">
        <v>324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customFormat="false" ht="15" hidden="false" customHeight="false" outlineLevel="0" collapsed="false">
      <c r="A59" s="6" t="s">
        <v>90</v>
      </c>
      <c r="C59" s="65" t="n">
        <f aca="false">C14*Inputs!$B$40/30</f>
        <v>0</v>
      </c>
      <c r="D59" s="65" t="n">
        <f aca="false">D14*Inputs!$B$40/30</f>
        <v>0</v>
      </c>
      <c r="E59" s="65" t="n">
        <f aca="false">E14*Inputs!$B$40/30</f>
        <v>0</v>
      </c>
      <c r="F59" s="65" t="n">
        <f aca="false">F14*Inputs!$B$40/30</f>
        <v>0</v>
      </c>
      <c r="G59" s="65" t="n">
        <f aca="false">G14*Inputs!$B$40/30</f>
        <v>0</v>
      </c>
      <c r="H59" s="65" t="n">
        <f aca="false">H14*Inputs!$B$40/30</f>
        <v>0</v>
      </c>
      <c r="I59" s="65" t="n">
        <f aca="false">I14*Inputs!$B$40/30</f>
        <v>0</v>
      </c>
      <c r="J59" s="65" t="n">
        <f aca="false">J14*Inputs!$B$40/30</f>
        <v>0</v>
      </c>
      <c r="K59" s="65" t="n">
        <f aca="false">K14*Inputs!$B$40/30</f>
        <v>0</v>
      </c>
      <c r="L59" s="65" t="n">
        <f aca="false">L14*Inputs!$B$40/30</f>
        <v>0</v>
      </c>
      <c r="M59" s="65" t="n">
        <f aca="false">M14*Inputs!$B$40/30</f>
        <v>0</v>
      </c>
      <c r="N59" s="65" t="n">
        <f aca="false">N14*Inputs!$B$40/30</f>
        <v>0</v>
      </c>
      <c r="O59" s="65" t="n">
        <f aca="false">O14*Inputs!$B$40/30</f>
        <v>0</v>
      </c>
      <c r="P59" s="65" t="n">
        <f aca="false">P14*Inputs!$B$40/30</f>
        <v>0</v>
      </c>
      <c r="Q59" s="65" t="n">
        <f aca="false">Q14*Inputs!$B$40/30</f>
        <v>0</v>
      </c>
      <c r="R59" s="65" t="n">
        <f aca="false">R14*Inputs!$B$40/30</f>
        <v>0</v>
      </c>
      <c r="S59" s="65" t="n">
        <f aca="false">S14*Inputs!$B$40/30</f>
        <v>0</v>
      </c>
      <c r="T59" s="65" t="n">
        <f aca="false">T14*Inputs!$B$40/30</f>
        <v>0</v>
      </c>
      <c r="U59" s="65" t="n">
        <f aca="false">U14*Inputs!$B$40/30</f>
        <v>0</v>
      </c>
      <c r="V59" s="65" t="n">
        <f aca="false">V14*Inputs!$B$40/30</f>
        <v>0</v>
      </c>
      <c r="W59" s="65" t="n">
        <f aca="false">W14*Inputs!$B$40/30</f>
        <v>0</v>
      </c>
      <c r="X59" s="65" t="n">
        <f aca="false">X14*Inputs!$B$40/30</f>
        <v>0</v>
      </c>
      <c r="Y59" s="65" t="n">
        <f aca="false">Y14*Inputs!$B$40/30</f>
        <v>0</v>
      </c>
      <c r="Z59" s="65" t="n">
        <f aca="false">Z14*Inputs!$B$40/30</f>
        <v>0</v>
      </c>
      <c r="AA59" s="65" t="n">
        <f aca="false">AA14*Inputs!$B$40/30</f>
        <v>0</v>
      </c>
      <c r="AB59" s="65" t="n">
        <f aca="false">AB14*Inputs!$B$40/30</f>
        <v>0</v>
      </c>
      <c r="AC59" s="65" t="n">
        <f aca="false">AC14*Inputs!$B$40/30</f>
        <v>0</v>
      </c>
      <c r="AD59" s="65" t="n">
        <f aca="false">AD14*Inputs!$B$40/30</f>
        <v>0</v>
      </c>
      <c r="AE59" s="65" t="n">
        <f aca="false">AE14*Inputs!$B$40/30</f>
        <v>0</v>
      </c>
      <c r="AF59" s="65" t="n">
        <f aca="false">AF14*Inputs!$B$40/30</f>
        <v>0</v>
      </c>
      <c r="AG59" s="65" t="n">
        <f aca="false">AG14*Inputs!$B$40/30</f>
        <v>0</v>
      </c>
      <c r="AH59" s="65" t="n">
        <f aca="false">AH14*Inputs!$B$40/30</f>
        <v>0</v>
      </c>
      <c r="AI59" s="65" t="n">
        <f aca="false">AI14*Inputs!$B$40/30</f>
        <v>0</v>
      </c>
      <c r="AJ59" s="65" t="n">
        <f aca="false">AJ14*Inputs!$B$40/30</f>
        <v>0</v>
      </c>
      <c r="AK59" s="65" t="n">
        <f aca="false">AK14*Inputs!$B$40/30</f>
        <v>0</v>
      </c>
      <c r="AL59" s="65" t="n">
        <f aca="false">AL14*Inputs!$B$40/30</f>
        <v>0</v>
      </c>
      <c r="AM59" s="65" t="n">
        <f aca="false">AM14*Inputs!$B$40/30</f>
        <v>0</v>
      </c>
      <c r="AN59" s="65" t="n">
        <f aca="false">AN14*Inputs!$B$40/30</f>
        <v>0</v>
      </c>
      <c r="AO59" s="65" t="n">
        <f aca="false">AO14*Inputs!$B$40/30</f>
        <v>0</v>
      </c>
      <c r="AP59" s="65" t="n">
        <f aca="false">AP14*Inputs!$B$40/30</f>
        <v>0</v>
      </c>
      <c r="AQ59" s="65" t="n">
        <f aca="false">AQ14*Inputs!$B$40/30</f>
        <v>0</v>
      </c>
      <c r="AR59" s="65" t="n">
        <f aca="false">AR14*Inputs!$B$40/30</f>
        <v>0</v>
      </c>
      <c r="AS59" s="65" t="n">
        <f aca="false">AS14*Inputs!$B$40/30</f>
        <v>0</v>
      </c>
      <c r="AT59" s="65" t="n">
        <f aca="false">AT14*Inputs!$B$40/30</f>
        <v>0</v>
      </c>
      <c r="AU59" s="65" t="n">
        <f aca="false">AU14*Inputs!$B$40/30</f>
        <v>0</v>
      </c>
      <c r="AV59" s="65" t="n">
        <f aca="false">AV14*Inputs!$B$40/30</f>
        <v>0</v>
      </c>
      <c r="AW59" s="65" t="n">
        <f aca="false">AW14*Inputs!$B$40/30</f>
        <v>0</v>
      </c>
      <c r="AX59" s="65" t="n">
        <f aca="false">AX14*Inputs!$B$40/30</f>
        <v>0</v>
      </c>
      <c r="AY59" s="65" t="n">
        <f aca="false">AY14*Inputs!$B$40/30</f>
        <v>0</v>
      </c>
      <c r="AZ59" s="65" t="n">
        <f aca="false">AZ14*Inputs!$B$40/30</f>
        <v>0</v>
      </c>
      <c r="BA59" s="65" t="n">
        <f aca="false">BA14*Inputs!$B$40/30</f>
        <v>0</v>
      </c>
      <c r="BB59" s="65" t="n">
        <f aca="false">BB14*Inputs!$B$40/30</f>
        <v>0</v>
      </c>
      <c r="BC59" s="65" t="n">
        <f aca="false">BC14*Inputs!$B$40/30</f>
        <v>0</v>
      </c>
      <c r="BD59" s="65" t="n">
        <f aca="false">BD14*Inputs!$B$40/30</f>
        <v>0</v>
      </c>
      <c r="BE59" s="65" t="n">
        <f aca="false">BE14*Inputs!$B$40/30</f>
        <v>0</v>
      </c>
      <c r="BF59" s="65" t="n">
        <f aca="false">BF14*Inputs!$B$40/30</f>
        <v>0</v>
      </c>
      <c r="BG59" s="65" t="n">
        <f aca="false">BG14*Inputs!$B$40/30</f>
        <v>0</v>
      </c>
      <c r="BH59" s="65" t="n">
        <f aca="false">BH14*Inputs!$B$40/30</f>
        <v>0</v>
      </c>
      <c r="BI59" s="65" t="n">
        <f aca="false">BI14*Inputs!$B$40/30</f>
        <v>0</v>
      </c>
      <c r="BJ59" s="65" t="n">
        <f aca="false">BJ14*Inputs!$B$40/30</f>
        <v>0</v>
      </c>
    </row>
    <row r="60" customFormat="false" ht="15" hidden="false" customHeight="false" outlineLevel="0" collapsed="false">
      <c r="A60" s="6" t="s">
        <v>91</v>
      </c>
      <c r="C60" s="65" t="n">
        <f aca="false">-C19*Inputs!$B$41/30</f>
        <v>0</v>
      </c>
      <c r="D60" s="65" t="n">
        <f aca="false">-D19*Inputs!$B$41/30</f>
        <v>0</v>
      </c>
      <c r="E60" s="65" t="n">
        <f aca="false">-E19*Inputs!$B$41/30</f>
        <v>0</v>
      </c>
      <c r="F60" s="65" t="n">
        <f aca="false">-F19*Inputs!$B$41/30</f>
        <v>0</v>
      </c>
      <c r="G60" s="65" t="n">
        <f aca="false">-G19*Inputs!$B$41/30</f>
        <v>0</v>
      </c>
      <c r="H60" s="65" t="n">
        <f aca="false">-H19*Inputs!$B$41/30</f>
        <v>0</v>
      </c>
      <c r="I60" s="65" t="n">
        <f aca="false">-I19*Inputs!$B$41/30</f>
        <v>0</v>
      </c>
      <c r="J60" s="65" t="n">
        <f aca="false">-J19*Inputs!$B$41/30</f>
        <v>0</v>
      </c>
      <c r="K60" s="65" t="n">
        <f aca="false">-K19*Inputs!$B$41/30</f>
        <v>0</v>
      </c>
      <c r="L60" s="65" t="n">
        <f aca="false">-L19*Inputs!$B$41/30</f>
        <v>0</v>
      </c>
      <c r="M60" s="65" t="n">
        <f aca="false">-M19*Inputs!$B$41/30</f>
        <v>0</v>
      </c>
      <c r="N60" s="65" t="n">
        <f aca="false">-N19*Inputs!$B$41/30</f>
        <v>0</v>
      </c>
      <c r="O60" s="65" t="n">
        <f aca="false">-O19*Inputs!$B$41/30</f>
        <v>0</v>
      </c>
      <c r="P60" s="65" t="n">
        <f aca="false">-P19*Inputs!$B$41/30</f>
        <v>0</v>
      </c>
      <c r="Q60" s="65" t="n">
        <f aca="false">-Q19*Inputs!$B$41/30</f>
        <v>0</v>
      </c>
      <c r="R60" s="65" t="n">
        <f aca="false">-R19*Inputs!$B$41/30</f>
        <v>0</v>
      </c>
      <c r="S60" s="65" t="n">
        <f aca="false">-S19*Inputs!$B$41/30</f>
        <v>0</v>
      </c>
      <c r="T60" s="65" t="n">
        <f aca="false">-T19*Inputs!$B$41/30</f>
        <v>0</v>
      </c>
      <c r="U60" s="65" t="n">
        <f aca="false">-U19*Inputs!$B$41/30</f>
        <v>0</v>
      </c>
      <c r="V60" s="65" t="n">
        <f aca="false">-V19*Inputs!$B$41/30</f>
        <v>0</v>
      </c>
      <c r="W60" s="65" t="n">
        <f aca="false">-W19*Inputs!$B$41/30</f>
        <v>0</v>
      </c>
      <c r="X60" s="65" t="n">
        <f aca="false">-X19*Inputs!$B$41/30</f>
        <v>0</v>
      </c>
      <c r="Y60" s="65" t="n">
        <f aca="false">-Y19*Inputs!$B$41/30</f>
        <v>0</v>
      </c>
      <c r="Z60" s="65" t="n">
        <f aca="false">-Z19*Inputs!$B$41/30</f>
        <v>0</v>
      </c>
      <c r="AA60" s="65" t="n">
        <f aca="false">-AA19*Inputs!$B$41/30</f>
        <v>0</v>
      </c>
      <c r="AB60" s="65" t="n">
        <f aca="false">-AB19*Inputs!$B$41/30</f>
        <v>0</v>
      </c>
      <c r="AC60" s="65" t="n">
        <f aca="false">-AC19*Inputs!$B$41/30</f>
        <v>0</v>
      </c>
      <c r="AD60" s="65" t="n">
        <f aca="false">-AD19*Inputs!$B$41/30</f>
        <v>0</v>
      </c>
      <c r="AE60" s="65" t="n">
        <f aca="false">-AE19*Inputs!$B$41/30</f>
        <v>0</v>
      </c>
      <c r="AF60" s="65" t="n">
        <f aca="false">-AF19*Inputs!$B$41/30</f>
        <v>0</v>
      </c>
      <c r="AG60" s="65" t="n">
        <f aca="false">-AG19*Inputs!$B$41/30</f>
        <v>0</v>
      </c>
      <c r="AH60" s="65" t="n">
        <f aca="false">-AH19*Inputs!$B$41/30</f>
        <v>0</v>
      </c>
      <c r="AI60" s="65" t="n">
        <f aca="false">-AI19*Inputs!$B$41/30</f>
        <v>0</v>
      </c>
      <c r="AJ60" s="65" t="n">
        <f aca="false">-AJ19*Inputs!$B$41/30</f>
        <v>0</v>
      </c>
      <c r="AK60" s="65" t="n">
        <f aca="false">-AK19*Inputs!$B$41/30</f>
        <v>0</v>
      </c>
      <c r="AL60" s="65" t="n">
        <f aca="false">-AL19*Inputs!$B$41/30</f>
        <v>0</v>
      </c>
      <c r="AM60" s="65" t="n">
        <f aca="false">-AM19*Inputs!$B$41/30</f>
        <v>0</v>
      </c>
      <c r="AN60" s="65" t="n">
        <f aca="false">-AN19*Inputs!$B$41/30</f>
        <v>0</v>
      </c>
      <c r="AO60" s="65" t="n">
        <f aca="false">-AO19*Inputs!$B$41/30</f>
        <v>0</v>
      </c>
      <c r="AP60" s="65" t="n">
        <f aca="false">-AP19*Inputs!$B$41/30</f>
        <v>0</v>
      </c>
      <c r="AQ60" s="65" t="n">
        <f aca="false">-AQ19*Inputs!$B$41/30</f>
        <v>0</v>
      </c>
      <c r="AR60" s="65" t="n">
        <f aca="false">-AR19*Inputs!$B$41/30</f>
        <v>0</v>
      </c>
      <c r="AS60" s="65" t="n">
        <f aca="false">-AS19*Inputs!$B$41/30</f>
        <v>0</v>
      </c>
      <c r="AT60" s="65" t="n">
        <f aca="false">-AT19*Inputs!$B$41/30</f>
        <v>0</v>
      </c>
      <c r="AU60" s="65" t="n">
        <f aca="false">-AU19*Inputs!$B$41/30</f>
        <v>0</v>
      </c>
      <c r="AV60" s="65" t="n">
        <f aca="false">-AV19*Inputs!$B$41/30</f>
        <v>0</v>
      </c>
      <c r="AW60" s="65" t="n">
        <f aca="false">-AW19*Inputs!$B$41/30</f>
        <v>0</v>
      </c>
      <c r="AX60" s="65" t="n">
        <f aca="false">-AX19*Inputs!$B$41/30</f>
        <v>0</v>
      </c>
      <c r="AY60" s="65" t="n">
        <f aca="false">-AY19*Inputs!$B$41/30</f>
        <v>0</v>
      </c>
      <c r="AZ60" s="65" t="n">
        <f aca="false">-AZ19*Inputs!$B$41/30</f>
        <v>0</v>
      </c>
      <c r="BA60" s="65" t="n">
        <f aca="false">-BA19*Inputs!$B$41/30</f>
        <v>0</v>
      </c>
      <c r="BB60" s="65" t="n">
        <f aca="false">-BB19*Inputs!$B$41/30</f>
        <v>0</v>
      </c>
      <c r="BC60" s="65" t="n">
        <f aca="false">-BC19*Inputs!$B$41/30</f>
        <v>0</v>
      </c>
      <c r="BD60" s="65" t="n">
        <f aca="false">-BD19*Inputs!$B$41/30</f>
        <v>0</v>
      </c>
      <c r="BE60" s="65" t="n">
        <f aca="false">-BE19*Inputs!$B$41/30</f>
        <v>0</v>
      </c>
      <c r="BF60" s="65" t="n">
        <f aca="false">-BF19*Inputs!$B$41/30</f>
        <v>0</v>
      </c>
      <c r="BG60" s="65" t="n">
        <f aca="false">-BG19*Inputs!$B$41/30</f>
        <v>0</v>
      </c>
      <c r="BH60" s="65" t="n">
        <f aca="false">-BH19*Inputs!$B$41/30</f>
        <v>0</v>
      </c>
      <c r="BI60" s="65" t="n">
        <f aca="false">-BI19*Inputs!$B$41/30</f>
        <v>0</v>
      </c>
      <c r="BJ60" s="65" t="n">
        <f aca="false">-BJ19*Inputs!$B$41/30</f>
        <v>0</v>
      </c>
    </row>
    <row r="61" customFormat="false" ht="15" hidden="false" customHeight="false" outlineLevel="0" collapsed="false">
      <c r="A61" s="6" t="s">
        <v>94</v>
      </c>
      <c r="C61" s="65" t="n">
        <f aca="false">-C19*Inputs!$B$42/30</f>
        <v>965.2</v>
      </c>
      <c r="D61" s="65" t="n">
        <f aca="false">-D19*Inputs!$B$42/30</f>
        <v>965.2</v>
      </c>
      <c r="E61" s="65" t="n">
        <f aca="false">-E19*Inputs!$B$42/30</f>
        <v>965.2</v>
      </c>
      <c r="F61" s="65" t="n">
        <f aca="false">-F19*Inputs!$B$42/30</f>
        <v>965.2</v>
      </c>
      <c r="G61" s="65" t="n">
        <f aca="false">-G19*Inputs!$B$42/30</f>
        <v>965.2</v>
      </c>
      <c r="H61" s="65" t="n">
        <f aca="false">-H19*Inputs!$B$42/30</f>
        <v>965.2</v>
      </c>
      <c r="I61" s="65" t="n">
        <f aca="false">-I19*Inputs!$B$42/30</f>
        <v>965.2</v>
      </c>
      <c r="J61" s="65" t="n">
        <f aca="false">-J19*Inputs!$B$42/30</f>
        <v>965.2</v>
      </c>
      <c r="K61" s="65" t="n">
        <f aca="false">-K19*Inputs!$B$42/30</f>
        <v>965.2</v>
      </c>
      <c r="L61" s="65" t="n">
        <f aca="false">-L19*Inputs!$B$42/30</f>
        <v>965.2</v>
      </c>
      <c r="M61" s="65" t="n">
        <f aca="false">-M19*Inputs!$B$42/30</f>
        <v>965.2</v>
      </c>
      <c r="N61" s="65" t="n">
        <f aca="false">-N19*Inputs!$B$42/30</f>
        <v>965.2</v>
      </c>
      <c r="O61" s="65" t="n">
        <f aca="false">-O19*Inputs!$B$42/30</f>
        <v>993.504</v>
      </c>
      <c r="P61" s="65" t="n">
        <f aca="false">-P19*Inputs!$B$42/30</f>
        <v>993.504</v>
      </c>
      <c r="Q61" s="65" t="n">
        <f aca="false">-Q19*Inputs!$B$42/30</f>
        <v>993.504</v>
      </c>
      <c r="R61" s="65" t="n">
        <f aca="false">-R19*Inputs!$B$42/30</f>
        <v>993.504</v>
      </c>
      <c r="S61" s="65" t="n">
        <f aca="false">-S19*Inputs!$B$42/30</f>
        <v>993.504</v>
      </c>
      <c r="T61" s="65" t="n">
        <f aca="false">-T19*Inputs!$B$42/30</f>
        <v>993.504</v>
      </c>
      <c r="U61" s="65" t="n">
        <f aca="false">-U19*Inputs!$B$42/30</f>
        <v>993.504</v>
      </c>
      <c r="V61" s="65" t="n">
        <f aca="false">-V19*Inputs!$B$42/30</f>
        <v>993.504</v>
      </c>
      <c r="W61" s="65" t="n">
        <f aca="false">-W19*Inputs!$B$42/30</f>
        <v>993.504</v>
      </c>
      <c r="X61" s="65" t="n">
        <f aca="false">-X19*Inputs!$B$42/30</f>
        <v>993.504</v>
      </c>
      <c r="Y61" s="65" t="n">
        <f aca="false">-Y19*Inputs!$B$42/30</f>
        <v>993.504</v>
      </c>
      <c r="Z61" s="65" t="n">
        <f aca="false">-Z19*Inputs!$B$42/30</f>
        <v>993.504</v>
      </c>
      <c r="AA61" s="65" t="n">
        <f aca="false">-AA19*Inputs!$B$42/30</f>
        <v>1022.73408</v>
      </c>
      <c r="AB61" s="65" t="n">
        <f aca="false">-AB19*Inputs!$B$42/30</f>
        <v>1022.73408</v>
      </c>
      <c r="AC61" s="65" t="n">
        <f aca="false">-AC19*Inputs!$B$42/30</f>
        <v>1022.73408</v>
      </c>
      <c r="AD61" s="65" t="n">
        <f aca="false">-AD19*Inputs!$B$42/30</f>
        <v>1022.73408</v>
      </c>
      <c r="AE61" s="65" t="n">
        <f aca="false">-AE19*Inputs!$B$42/30</f>
        <v>1022.73408</v>
      </c>
      <c r="AF61" s="65" t="n">
        <f aca="false">-AF19*Inputs!$B$42/30</f>
        <v>1022.73408</v>
      </c>
      <c r="AG61" s="65" t="n">
        <f aca="false">-AG19*Inputs!$B$42/30</f>
        <v>1022.73408</v>
      </c>
      <c r="AH61" s="65" t="n">
        <f aca="false">-AH19*Inputs!$B$42/30</f>
        <v>1022.73408</v>
      </c>
      <c r="AI61" s="65" t="n">
        <f aca="false">-AI19*Inputs!$B$42/30</f>
        <v>1022.73408</v>
      </c>
      <c r="AJ61" s="65" t="n">
        <f aca="false">-AJ19*Inputs!$B$42/30</f>
        <v>1022.73408</v>
      </c>
      <c r="AK61" s="65" t="n">
        <f aca="false">-AK19*Inputs!$B$42/30</f>
        <v>1022.73408</v>
      </c>
      <c r="AL61" s="65" t="n">
        <f aca="false">-AL19*Inputs!$B$42/30</f>
        <v>1022.73408</v>
      </c>
      <c r="AM61" s="65" t="n">
        <f aca="false">-AM19*Inputs!$B$42/30</f>
        <v>1052.9231616</v>
      </c>
      <c r="AN61" s="65" t="n">
        <f aca="false">-AN19*Inputs!$B$42/30</f>
        <v>1052.9231616</v>
      </c>
      <c r="AO61" s="65" t="n">
        <f aca="false">-AO19*Inputs!$B$42/30</f>
        <v>1052.9231616</v>
      </c>
      <c r="AP61" s="65" t="n">
        <f aca="false">-AP19*Inputs!$B$42/30</f>
        <v>1052.9231616</v>
      </c>
      <c r="AQ61" s="65" t="n">
        <f aca="false">-AQ19*Inputs!$B$42/30</f>
        <v>1052.9231616</v>
      </c>
      <c r="AR61" s="65" t="n">
        <f aca="false">-AR19*Inputs!$B$42/30</f>
        <v>1052.9231616</v>
      </c>
      <c r="AS61" s="65" t="n">
        <f aca="false">-AS19*Inputs!$B$42/30</f>
        <v>1052.9231616</v>
      </c>
      <c r="AT61" s="65" t="n">
        <f aca="false">-AT19*Inputs!$B$42/30</f>
        <v>1052.9231616</v>
      </c>
      <c r="AU61" s="65" t="n">
        <f aca="false">-AU19*Inputs!$B$42/30</f>
        <v>1052.9231616</v>
      </c>
      <c r="AV61" s="65" t="n">
        <f aca="false">-AV19*Inputs!$B$42/30</f>
        <v>1052.9231616</v>
      </c>
      <c r="AW61" s="65" t="n">
        <f aca="false">-AW19*Inputs!$B$42/30</f>
        <v>1052.9231616</v>
      </c>
      <c r="AX61" s="65" t="n">
        <f aca="false">-AX19*Inputs!$B$42/30</f>
        <v>1052.9231616</v>
      </c>
      <c r="AY61" s="65" t="n">
        <f aca="false">-AY19*Inputs!$B$42/30</f>
        <v>1084.105400832</v>
      </c>
      <c r="AZ61" s="65" t="n">
        <f aca="false">-AZ19*Inputs!$B$42/30</f>
        <v>1084.105400832</v>
      </c>
      <c r="BA61" s="65" t="n">
        <f aca="false">-BA19*Inputs!$B$42/30</f>
        <v>1084.105400832</v>
      </c>
      <c r="BB61" s="65" t="n">
        <f aca="false">-BB19*Inputs!$B$42/30</f>
        <v>1084.105400832</v>
      </c>
      <c r="BC61" s="65" t="n">
        <f aca="false">-BC19*Inputs!$B$42/30</f>
        <v>1084.105400832</v>
      </c>
      <c r="BD61" s="65" t="n">
        <f aca="false">-BD19*Inputs!$B$42/30</f>
        <v>1084.105400832</v>
      </c>
      <c r="BE61" s="65" t="n">
        <f aca="false">-BE19*Inputs!$B$42/30</f>
        <v>1084.105400832</v>
      </c>
      <c r="BF61" s="65" t="n">
        <f aca="false">-BF19*Inputs!$B$42/30</f>
        <v>1084.105400832</v>
      </c>
      <c r="BG61" s="65" t="n">
        <f aca="false">-BG19*Inputs!$B$42/30</f>
        <v>1084.105400832</v>
      </c>
      <c r="BH61" s="65" t="n">
        <f aca="false">-BH19*Inputs!$B$42/30</f>
        <v>1084.105400832</v>
      </c>
      <c r="BI61" s="65" t="n">
        <f aca="false">-BI19*Inputs!$B$42/30</f>
        <v>1084.105400832</v>
      </c>
      <c r="BJ61" s="65" t="n">
        <f aca="false">-BJ19*Inputs!$B$42/30</f>
        <v>1084.105400832</v>
      </c>
    </row>
    <row r="62" customFormat="false" ht="15" hidden="false" customHeight="false" outlineLevel="0" collapsed="false">
      <c r="A62" s="6" t="s">
        <v>346</v>
      </c>
      <c r="C62" s="65" t="n">
        <f aca="false">-C59</f>
        <v>-0</v>
      </c>
      <c r="D62" s="65" t="n">
        <f aca="false">C59-D59</f>
        <v>0</v>
      </c>
      <c r="E62" s="65" t="n">
        <f aca="false">D59-E59</f>
        <v>0</v>
      </c>
      <c r="F62" s="65" t="n">
        <f aca="false">E59-F59</f>
        <v>0</v>
      </c>
      <c r="G62" s="65" t="n">
        <f aca="false">F59-G59</f>
        <v>0</v>
      </c>
      <c r="H62" s="65" t="n">
        <f aca="false">G59-H59</f>
        <v>0</v>
      </c>
      <c r="I62" s="65" t="n">
        <f aca="false">H59-I59</f>
        <v>0</v>
      </c>
      <c r="J62" s="65" t="n">
        <f aca="false">I59-J59</f>
        <v>0</v>
      </c>
      <c r="K62" s="65" t="n">
        <f aca="false">J59-K59</f>
        <v>0</v>
      </c>
      <c r="L62" s="65" t="n">
        <f aca="false">K59-L59</f>
        <v>0</v>
      </c>
      <c r="M62" s="65" t="n">
        <f aca="false">L59-M59</f>
        <v>0</v>
      </c>
      <c r="N62" s="65" t="n">
        <f aca="false">M59-N59</f>
        <v>0</v>
      </c>
      <c r="O62" s="65" t="n">
        <f aca="false">N59-O59</f>
        <v>0</v>
      </c>
      <c r="P62" s="65" t="n">
        <f aca="false">O59-P59</f>
        <v>0</v>
      </c>
      <c r="Q62" s="65" t="n">
        <f aca="false">P59-Q59</f>
        <v>0</v>
      </c>
      <c r="R62" s="65" t="n">
        <f aca="false">Q59-R59</f>
        <v>0</v>
      </c>
      <c r="S62" s="65" t="n">
        <f aca="false">R59-S59</f>
        <v>0</v>
      </c>
      <c r="T62" s="65" t="n">
        <f aca="false">S59-T59</f>
        <v>0</v>
      </c>
      <c r="U62" s="65" t="n">
        <f aca="false">T59-U59</f>
        <v>0</v>
      </c>
      <c r="V62" s="65" t="n">
        <f aca="false">U59-V59</f>
        <v>0</v>
      </c>
      <c r="W62" s="65" t="n">
        <f aca="false">V59-W59</f>
        <v>0</v>
      </c>
      <c r="X62" s="65" t="n">
        <f aca="false">W59-X59</f>
        <v>0</v>
      </c>
      <c r="Y62" s="65" t="n">
        <f aca="false">X59-Y59</f>
        <v>0</v>
      </c>
      <c r="Z62" s="65" t="n">
        <f aca="false">Y59-Z59</f>
        <v>0</v>
      </c>
      <c r="AA62" s="65" t="n">
        <f aca="false">Z59-AA59</f>
        <v>0</v>
      </c>
      <c r="AB62" s="65" t="n">
        <f aca="false">AA59-AB59</f>
        <v>0</v>
      </c>
      <c r="AC62" s="65" t="n">
        <f aca="false">AB59-AC59</f>
        <v>0</v>
      </c>
      <c r="AD62" s="65" t="n">
        <f aca="false">AC59-AD59</f>
        <v>0</v>
      </c>
      <c r="AE62" s="65" t="n">
        <f aca="false">AD59-AE59</f>
        <v>0</v>
      </c>
      <c r="AF62" s="65" t="n">
        <f aca="false">AE59-AF59</f>
        <v>0</v>
      </c>
      <c r="AG62" s="65" t="n">
        <f aca="false">AF59-AG59</f>
        <v>0</v>
      </c>
      <c r="AH62" s="65" t="n">
        <f aca="false">AG59-AH59</f>
        <v>0</v>
      </c>
      <c r="AI62" s="65" t="n">
        <f aca="false">AH59-AI59</f>
        <v>0</v>
      </c>
      <c r="AJ62" s="65" t="n">
        <f aca="false">AI59-AJ59</f>
        <v>0</v>
      </c>
      <c r="AK62" s="65" t="n">
        <f aca="false">AJ59-AK59</f>
        <v>0</v>
      </c>
      <c r="AL62" s="65" t="n">
        <f aca="false">AK59-AL59</f>
        <v>0</v>
      </c>
      <c r="AM62" s="65" t="n">
        <f aca="false">AL59-AM59</f>
        <v>0</v>
      </c>
      <c r="AN62" s="65" t="n">
        <f aca="false">AM59-AN59</f>
        <v>0</v>
      </c>
      <c r="AO62" s="65" t="n">
        <f aca="false">AN59-AO59</f>
        <v>0</v>
      </c>
      <c r="AP62" s="65" t="n">
        <f aca="false">AO59-AP59</f>
        <v>0</v>
      </c>
      <c r="AQ62" s="65" t="n">
        <f aca="false">AP59-AQ59</f>
        <v>0</v>
      </c>
      <c r="AR62" s="65" t="n">
        <f aca="false">AQ59-AR59</f>
        <v>0</v>
      </c>
      <c r="AS62" s="65" t="n">
        <f aca="false">AR59-AS59</f>
        <v>0</v>
      </c>
      <c r="AT62" s="65" t="n">
        <f aca="false">AS59-AT59</f>
        <v>0</v>
      </c>
      <c r="AU62" s="65" t="n">
        <f aca="false">AT59-AU59</f>
        <v>0</v>
      </c>
      <c r="AV62" s="65" t="n">
        <f aca="false">AU59-AV59</f>
        <v>0</v>
      </c>
      <c r="AW62" s="65" t="n">
        <f aca="false">AV59-AW59</f>
        <v>0</v>
      </c>
      <c r="AX62" s="65" t="n">
        <f aca="false">AW59-AX59</f>
        <v>0</v>
      </c>
      <c r="AY62" s="65" t="n">
        <f aca="false">AX59-AY59</f>
        <v>0</v>
      </c>
      <c r="AZ62" s="65" t="n">
        <f aca="false">AY59-AZ59</f>
        <v>0</v>
      </c>
      <c r="BA62" s="65" t="n">
        <f aca="false">AZ59-BA59</f>
        <v>0</v>
      </c>
      <c r="BB62" s="65" t="n">
        <f aca="false">BA59-BB59</f>
        <v>0</v>
      </c>
      <c r="BC62" s="65" t="n">
        <f aca="false">BB59-BC59</f>
        <v>0</v>
      </c>
      <c r="BD62" s="65" t="n">
        <f aca="false">BC59-BD59</f>
        <v>0</v>
      </c>
      <c r="BE62" s="65" t="n">
        <f aca="false">BD59-BE59</f>
        <v>0</v>
      </c>
      <c r="BF62" s="65" t="n">
        <f aca="false">BE59-BF59</f>
        <v>0</v>
      </c>
      <c r="BG62" s="65" t="n">
        <f aca="false">BF59-BG59</f>
        <v>0</v>
      </c>
      <c r="BH62" s="65" t="n">
        <f aca="false">BG59-BH59</f>
        <v>0</v>
      </c>
      <c r="BI62" s="65" t="n">
        <f aca="false">BH59-BI59</f>
        <v>0</v>
      </c>
      <c r="BJ62" s="65" t="n">
        <f aca="false">BI59-BJ59</f>
        <v>0</v>
      </c>
    </row>
    <row r="63" customFormat="false" ht="15" hidden="false" customHeight="false" outlineLevel="0" collapsed="false">
      <c r="A63" s="6" t="s">
        <v>347</v>
      </c>
      <c r="C63" s="65" t="n">
        <f aca="false">-C60</f>
        <v>-0</v>
      </c>
      <c r="D63" s="65" t="n">
        <f aca="false">C60-D60</f>
        <v>0</v>
      </c>
      <c r="E63" s="65" t="n">
        <f aca="false">D60-E60</f>
        <v>0</v>
      </c>
      <c r="F63" s="65" t="n">
        <f aca="false">E60-F60</f>
        <v>0</v>
      </c>
      <c r="G63" s="65" t="n">
        <f aca="false">F60-G60</f>
        <v>0</v>
      </c>
      <c r="H63" s="65" t="n">
        <f aca="false">G60-H60</f>
        <v>0</v>
      </c>
      <c r="I63" s="65" t="n">
        <f aca="false">H60-I60</f>
        <v>0</v>
      </c>
      <c r="J63" s="65" t="n">
        <f aca="false">I60-J60</f>
        <v>0</v>
      </c>
      <c r="K63" s="65" t="n">
        <f aca="false">J60-K60</f>
        <v>0</v>
      </c>
      <c r="L63" s="65" t="n">
        <f aca="false">K60-L60</f>
        <v>0</v>
      </c>
      <c r="M63" s="65" t="n">
        <f aca="false">L60-M60</f>
        <v>0</v>
      </c>
      <c r="N63" s="65" t="n">
        <f aca="false">M60-N60</f>
        <v>0</v>
      </c>
      <c r="O63" s="65" t="n">
        <f aca="false">N60-O60</f>
        <v>0</v>
      </c>
      <c r="P63" s="65" t="n">
        <f aca="false">O60-P60</f>
        <v>0</v>
      </c>
      <c r="Q63" s="65" t="n">
        <f aca="false">P60-Q60</f>
        <v>0</v>
      </c>
      <c r="R63" s="65" t="n">
        <f aca="false">Q60-R60</f>
        <v>0</v>
      </c>
      <c r="S63" s="65" t="n">
        <f aca="false">R60-S60</f>
        <v>0</v>
      </c>
      <c r="T63" s="65" t="n">
        <f aca="false">S60-T60</f>
        <v>0</v>
      </c>
      <c r="U63" s="65" t="n">
        <f aca="false">T60-U60</f>
        <v>0</v>
      </c>
      <c r="V63" s="65" t="n">
        <f aca="false">U60-V60</f>
        <v>0</v>
      </c>
      <c r="W63" s="65" t="n">
        <f aca="false">V60-W60</f>
        <v>0</v>
      </c>
      <c r="X63" s="65" t="n">
        <f aca="false">W60-X60</f>
        <v>0</v>
      </c>
      <c r="Y63" s="65" t="n">
        <f aca="false">X60-Y60</f>
        <v>0</v>
      </c>
      <c r="Z63" s="65" t="n">
        <f aca="false">Y60-Z60</f>
        <v>0</v>
      </c>
      <c r="AA63" s="65" t="n">
        <f aca="false">Z60-AA60</f>
        <v>0</v>
      </c>
      <c r="AB63" s="65" t="n">
        <f aca="false">AA60-AB60</f>
        <v>0</v>
      </c>
      <c r="AC63" s="65" t="n">
        <f aca="false">AB60-AC60</f>
        <v>0</v>
      </c>
      <c r="AD63" s="65" t="n">
        <f aca="false">AC60-AD60</f>
        <v>0</v>
      </c>
      <c r="AE63" s="65" t="n">
        <f aca="false">AD60-AE60</f>
        <v>0</v>
      </c>
      <c r="AF63" s="65" t="n">
        <f aca="false">AE60-AF60</f>
        <v>0</v>
      </c>
      <c r="AG63" s="65" t="n">
        <f aca="false">AF60-AG60</f>
        <v>0</v>
      </c>
      <c r="AH63" s="65" t="n">
        <f aca="false">AG60-AH60</f>
        <v>0</v>
      </c>
      <c r="AI63" s="65" t="n">
        <f aca="false">AH60-AI60</f>
        <v>0</v>
      </c>
      <c r="AJ63" s="65" t="n">
        <f aca="false">AI60-AJ60</f>
        <v>0</v>
      </c>
      <c r="AK63" s="65" t="n">
        <f aca="false">AJ60-AK60</f>
        <v>0</v>
      </c>
      <c r="AL63" s="65" t="n">
        <f aca="false">AK60-AL60</f>
        <v>0</v>
      </c>
      <c r="AM63" s="65" t="n">
        <f aca="false">AL60-AM60</f>
        <v>0</v>
      </c>
      <c r="AN63" s="65" t="n">
        <f aca="false">AM60-AN60</f>
        <v>0</v>
      </c>
      <c r="AO63" s="65" t="n">
        <f aca="false">AN60-AO60</f>
        <v>0</v>
      </c>
      <c r="AP63" s="65" t="n">
        <f aca="false">AO60-AP60</f>
        <v>0</v>
      </c>
      <c r="AQ63" s="65" t="n">
        <f aca="false">AP60-AQ60</f>
        <v>0</v>
      </c>
      <c r="AR63" s="65" t="n">
        <f aca="false">AQ60-AR60</f>
        <v>0</v>
      </c>
      <c r="AS63" s="65" t="n">
        <f aca="false">AR60-AS60</f>
        <v>0</v>
      </c>
      <c r="AT63" s="65" t="n">
        <f aca="false">AS60-AT60</f>
        <v>0</v>
      </c>
      <c r="AU63" s="65" t="n">
        <f aca="false">AT60-AU60</f>
        <v>0</v>
      </c>
      <c r="AV63" s="65" t="n">
        <f aca="false">AU60-AV60</f>
        <v>0</v>
      </c>
      <c r="AW63" s="65" t="n">
        <f aca="false">AV60-AW60</f>
        <v>0</v>
      </c>
      <c r="AX63" s="65" t="n">
        <f aca="false">AW60-AX60</f>
        <v>0</v>
      </c>
      <c r="AY63" s="65" t="n">
        <f aca="false">AX60-AY60</f>
        <v>0</v>
      </c>
      <c r="AZ63" s="65" t="n">
        <f aca="false">AY60-AZ60</f>
        <v>0</v>
      </c>
      <c r="BA63" s="65" t="n">
        <f aca="false">AZ60-BA60</f>
        <v>0</v>
      </c>
      <c r="BB63" s="65" t="n">
        <f aca="false">BA60-BB60</f>
        <v>0</v>
      </c>
      <c r="BC63" s="65" t="n">
        <f aca="false">BB60-BC60</f>
        <v>0</v>
      </c>
      <c r="BD63" s="65" t="n">
        <f aca="false">BC60-BD60</f>
        <v>0</v>
      </c>
      <c r="BE63" s="65" t="n">
        <f aca="false">BD60-BE60</f>
        <v>0</v>
      </c>
      <c r="BF63" s="65" t="n">
        <f aca="false">BE60-BF60</f>
        <v>0</v>
      </c>
      <c r="BG63" s="65" t="n">
        <f aca="false">BF60-BG60</f>
        <v>0</v>
      </c>
      <c r="BH63" s="65" t="n">
        <f aca="false">BG60-BH60</f>
        <v>0</v>
      </c>
      <c r="BI63" s="65" t="n">
        <f aca="false">BH60-BI60</f>
        <v>0</v>
      </c>
      <c r="BJ63" s="65" t="n">
        <f aca="false">BI60-BJ60</f>
        <v>0</v>
      </c>
    </row>
    <row r="64" customFormat="false" ht="15" hidden="false" customHeight="false" outlineLevel="0" collapsed="false">
      <c r="A64" s="6" t="s">
        <v>348</v>
      </c>
      <c r="C64" s="65" t="n">
        <f aca="false">C61</f>
        <v>965.2</v>
      </c>
      <c r="D64" s="65" t="n">
        <f aca="false">D61-C61</f>
        <v>0</v>
      </c>
      <c r="E64" s="65" t="n">
        <f aca="false">E61-D61</f>
        <v>0</v>
      </c>
      <c r="F64" s="65" t="n">
        <f aca="false">F61-E61</f>
        <v>0</v>
      </c>
      <c r="G64" s="65" t="n">
        <f aca="false">G61-F61</f>
        <v>0</v>
      </c>
      <c r="H64" s="65" t="n">
        <f aca="false">H61-G61</f>
        <v>0</v>
      </c>
      <c r="I64" s="65" t="n">
        <f aca="false">I61-H61</f>
        <v>0</v>
      </c>
      <c r="J64" s="65" t="n">
        <f aca="false">J61-I61</f>
        <v>0</v>
      </c>
      <c r="K64" s="65" t="n">
        <f aca="false">K61-J61</f>
        <v>0</v>
      </c>
      <c r="L64" s="65" t="n">
        <f aca="false">L61-K61</f>
        <v>0</v>
      </c>
      <c r="M64" s="65" t="n">
        <f aca="false">M61-L61</f>
        <v>0</v>
      </c>
      <c r="N64" s="65" t="n">
        <f aca="false">N61-M61</f>
        <v>0</v>
      </c>
      <c r="O64" s="65" t="n">
        <f aca="false">O61-N61</f>
        <v>28.304</v>
      </c>
      <c r="P64" s="65" t="n">
        <f aca="false">P61-O61</f>
        <v>0</v>
      </c>
      <c r="Q64" s="65" t="n">
        <f aca="false">Q61-P61</f>
        <v>0</v>
      </c>
      <c r="R64" s="65" t="n">
        <f aca="false">R61-Q61</f>
        <v>0</v>
      </c>
      <c r="S64" s="65" t="n">
        <f aca="false">S61-R61</f>
        <v>0</v>
      </c>
      <c r="T64" s="65" t="n">
        <f aca="false">T61-S61</f>
        <v>0</v>
      </c>
      <c r="U64" s="65" t="n">
        <f aca="false">U61-T61</f>
        <v>0</v>
      </c>
      <c r="V64" s="65" t="n">
        <f aca="false">V61-U61</f>
        <v>0</v>
      </c>
      <c r="W64" s="65" t="n">
        <f aca="false">W61-V61</f>
        <v>0</v>
      </c>
      <c r="X64" s="65" t="n">
        <f aca="false">X61-W61</f>
        <v>0</v>
      </c>
      <c r="Y64" s="65" t="n">
        <f aca="false">Y61-X61</f>
        <v>0</v>
      </c>
      <c r="Z64" s="65" t="n">
        <f aca="false">Z61-Y61</f>
        <v>0</v>
      </c>
      <c r="AA64" s="65" t="n">
        <f aca="false">AA61-Z61</f>
        <v>29.23008</v>
      </c>
      <c r="AB64" s="65" t="n">
        <f aca="false">AB61-AA61</f>
        <v>0</v>
      </c>
      <c r="AC64" s="65" t="n">
        <f aca="false">AC61-AB61</f>
        <v>0</v>
      </c>
      <c r="AD64" s="65" t="n">
        <f aca="false">AD61-AC61</f>
        <v>0</v>
      </c>
      <c r="AE64" s="65" t="n">
        <f aca="false">AE61-AD61</f>
        <v>0</v>
      </c>
      <c r="AF64" s="65" t="n">
        <f aca="false">AF61-AE61</f>
        <v>0</v>
      </c>
      <c r="AG64" s="65" t="n">
        <f aca="false">AG61-AF61</f>
        <v>0</v>
      </c>
      <c r="AH64" s="65" t="n">
        <f aca="false">AH61-AG61</f>
        <v>0</v>
      </c>
      <c r="AI64" s="65" t="n">
        <f aca="false">AI61-AH61</f>
        <v>0</v>
      </c>
      <c r="AJ64" s="65" t="n">
        <f aca="false">AJ61-AI61</f>
        <v>0</v>
      </c>
      <c r="AK64" s="65" t="n">
        <f aca="false">AK61-AJ61</f>
        <v>0</v>
      </c>
      <c r="AL64" s="65" t="n">
        <f aca="false">AL61-AK61</f>
        <v>0</v>
      </c>
      <c r="AM64" s="65" t="n">
        <f aca="false">AM61-AL61</f>
        <v>30.1890816000001</v>
      </c>
      <c r="AN64" s="65" t="n">
        <f aca="false">AN61-AM61</f>
        <v>0</v>
      </c>
      <c r="AO64" s="65" t="n">
        <f aca="false">AO61-AN61</f>
        <v>0</v>
      </c>
      <c r="AP64" s="65" t="n">
        <f aca="false">AP61-AO61</f>
        <v>0</v>
      </c>
      <c r="AQ64" s="65" t="n">
        <f aca="false">AQ61-AP61</f>
        <v>0</v>
      </c>
      <c r="AR64" s="65" t="n">
        <f aca="false">AR61-AQ61</f>
        <v>0</v>
      </c>
      <c r="AS64" s="65" t="n">
        <f aca="false">AS61-AR61</f>
        <v>0</v>
      </c>
      <c r="AT64" s="65" t="n">
        <f aca="false">AT61-AS61</f>
        <v>0</v>
      </c>
      <c r="AU64" s="65" t="n">
        <f aca="false">AU61-AT61</f>
        <v>0</v>
      </c>
      <c r="AV64" s="65" t="n">
        <f aca="false">AV61-AU61</f>
        <v>0</v>
      </c>
      <c r="AW64" s="65" t="n">
        <f aca="false">AW61-AV61</f>
        <v>0</v>
      </c>
      <c r="AX64" s="65" t="n">
        <f aca="false">AX61-AW61</f>
        <v>0</v>
      </c>
      <c r="AY64" s="65" t="n">
        <f aca="false">AY61-AX61</f>
        <v>31.182239232</v>
      </c>
      <c r="AZ64" s="65" t="n">
        <f aca="false">AZ61-AY61</f>
        <v>0</v>
      </c>
      <c r="BA64" s="65" t="n">
        <f aca="false">BA61-AZ61</f>
        <v>0</v>
      </c>
      <c r="BB64" s="65" t="n">
        <f aca="false">BB61-BA61</f>
        <v>0</v>
      </c>
      <c r="BC64" s="65" t="n">
        <f aca="false">BC61-BB61</f>
        <v>0</v>
      </c>
      <c r="BD64" s="65" t="n">
        <f aca="false">BD61-BC61</f>
        <v>0</v>
      </c>
      <c r="BE64" s="65" t="n">
        <f aca="false">BE61-BD61</f>
        <v>0</v>
      </c>
      <c r="BF64" s="65" t="n">
        <f aca="false">BF61-BE61</f>
        <v>0</v>
      </c>
      <c r="BG64" s="65" t="n">
        <f aca="false">BG61-BF61</f>
        <v>0</v>
      </c>
      <c r="BH64" s="65" t="n">
        <f aca="false">BH61-BG61</f>
        <v>0</v>
      </c>
      <c r="BI64" s="65" t="n">
        <f aca="false">BI61-BH61</f>
        <v>0</v>
      </c>
      <c r="BJ64" s="65" t="n">
        <f aca="false">BJ61-BI61</f>
        <v>0</v>
      </c>
    </row>
    <row r="66" customFormat="false" ht="15.75" hidden="false" customHeight="true" outlineLevel="0" collapsed="false">
      <c r="A66" s="7" t="s">
        <v>436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4" t="s">
        <v>53</v>
      </c>
      <c r="C67" s="71" t="n">
        <f aca="false">C37-C46+C62+C63+C64</f>
        <v>3483.98</v>
      </c>
      <c r="D67" s="71" t="n">
        <f aca="false">D37-D46+D62+D63+D64</f>
        <v>2524.65608819371</v>
      </c>
      <c r="E67" s="71" t="n">
        <f aca="false">E37-E46+E62+E63+E64</f>
        <v>2530.56400519847</v>
      </c>
      <c r="F67" s="71" t="n">
        <f aca="false">F37-F46+F62+F63+F64</f>
        <v>2536.50392342034</v>
      </c>
      <c r="G67" s="71" t="n">
        <f aca="false">G37-G46+G62+G63+G64</f>
        <v>2542.47601619924</v>
      </c>
      <c r="H67" s="71" t="n">
        <f aca="false">H37-H46+H62+H63+H64</f>
        <v>2548.48045781403</v>
      </c>
      <c r="I67" s="71" t="n">
        <f aca="false">I37-I46+I62+I63+I64</f>
        <v>2554.51742348756</v>
      </c>
      <c r="J67" s="71" t="n">
        <f aca="false">J37-J46+J62+J63+J64</f>
        <v>2560.58708939183</v>
      </c>
      <c r="K67" s="71" t="n">
        <f aca="false">K37-K46+K62+K63+K64</f>
        <v>2566.68963265308</v>
      </c>
      <c r="L67" s="71" t="n">
        <f aca="false">L37-L46+L62+L63+L64</f>
        <v>2572.82523135699</v>
      </c>
      <c r="M67" s="71" t="n">
        <f aca="false">M37-M46+M62+M63+M64</f>
        <v>2578.99406455389</v>
      </c>
      <c r="N67" s="71" t="n">
        <f aca="false">N37-N46+N62+N63+N64</f>
        <v>2585.19631226393</v>
      </c>
      <c r="O67" s="71" t="n">
        <f aca="false">O37-O46+O62+O63+O64</f>
        <v>2726.8617554824</v>
      </c>
      <c r="P67" s="71" t="n">
        <f aca="false">P37-P46+P62+P63+P64</f>
        <v>2704.82737618497</v>
      </c>
      <c r="Q67" s="71" t="n">
        <f aca="false">Q37-Q46+Q62+Q63+Q64</f>
        <v>2711.13095733302</v>
      </c>
      <c r="R67" s="71" t="n">
        <f aca="false">R37-R46+R62+R63+R64</f>
        <v>2717.46868287895</v>
      </c>
      <c r="S67" s="71" t="n">
        <f aca="false">S37-S46+S62+S63+S64</f>
        <v>2723.84073777158</v>
      </c>
      <c r="T67" s="71" t="n">
        <f aca="false">T37-T46+T62+T63+T64</f>
        <v>2730.24730796156</v>
      </c>
      <c r="U67" s="71" t="n">
        <f aca="false">U37-U46+U62+U63+U64</f>
        <v>2736.68858040672</v>
      </c>
      <c r="V67" s="71" t="n">
        <f aca="false">V37-V46+V62+V63+V64</f>
        <v>2743.16474307763</v>
      </c>
      <c r="W67" s="71" t="n">
        <f aca="false">W37-W46+W62+W63+W64</f>
        <v>2749.67598496302</v>
      </c>
      <c r="X67" s="71" t="n">
        <f aca="false">X37-X46+X62+X63+X64</f>
        <v>2756.22249607527</v>
      </c>
      <c r="Y67" s="71" t="n">
        <f aca="false">Y37-Y46+Y62+Y63+Y64</f>
        <v>2762.80446745606</v>
      </c>
      <c r="Z67" s="71" t="n">
        <f aca="false">Z37-Z46+Z62+Z63+Z64</f>
        <v>2769.42209118182</v>
      </c>
      <c r="AA67" s="71" t="n">
        <f aca="false">AA37-AA46+AA62+AA63+AA64</f>
        <v>2911.64375236943</v>
      </c>
      <c r="AB67" s="71" t="n">
        <f aca="false">AB37-AB46+AB62+AB63+AB64</f>
        <v>2889.10318118181</v>
      </c>
      <c r="AC67" s="71" t="n">
        <f aca="false">AC37-AC46+AC62+AC63+AC64</f>
        <v>2895.82892483358</v>
      </c>
      <c r="AD67" s="71" t="n">
        <f aca="false">AD37-AD46+AD62+AD63+AD64</f>
        <v>2902.59109959681</v>
      </c>
      <c r="AE67" s="71" t="n">
        <f aca="false">AE37-AE46+AE62+AE63+AE64</f>
        <v>2909.38990280667</v>
      </c>
      <c r="AF67" s="71" t="n">
        <f aca="false">AF37-AF46+AF62+AF63+AF64</f>
        <v>2916.22553286724</v>
      </c>
      <c r="AG67" s="71" t="n">
        <f aca="false">AG37-AG46+AG62+AG63+AG64</f>
        <v>2923.09818925732</v>
      </c>
      <c r="AH67" s="71" t="n">
        <f aca="false">AH37-AH46+AH62+AH63+AH64</f>
        <v>2930.00807253617</v>
      </c>
      <c r="AI67" s="71" t="n">
        <f aca="false">AI37-AI46+AI62+AI63+AI64</f>
        <v>2936.95538434945</v>
      </c>
      <c r="AJ67" s="71" t="n">
        <f aca="false">AJ37-AJ46+AJ62+AJ63+AJ64</f>
        <v>2943.94032743505</v>
      </c>
      <c r="AK67" s="71" t="n">
        <f aca="false">AK37-AK46+AK62+AK63+AK64</f>
        <v>2950.96310562904</v>
      </c>
      <c r="AL67" s="71" t="n">
        <f aca="false">AL37-AL46+AL62+AL63+AL64</f>
        <v>2958.02392387157</v>
      </c>
      <c r="AM67" s="71" t="n">
        <f aca="false">AM37-AM46+AM62+AM63+AM64</f>
        <v>3100.72974405292</v>
      </c>
      <c r="AN67" s="71" t="n">
        <f aca="false">AN37-AN46+AN62+AN63+AN64</f>
        <v>3077.67818005945</v>
      </c>
      <c r="AO67" s="71" t="n">
        <f aca="false">AO37-AO46+AO62+AO63+AO64</f>
        <v>3084.85435921968</v>
      </c>
      <c r="AP67" s="71" t="n">
        <f aca="false">AP37-AP46+AP62+AP63+AP64</f>
        <v>3092.06940935036</v>
      </c>
      <c r="AQ67" s="71" t="n">
        <f aca="false">AQ37-AQ46+AQ62+AQ63+AQ64</f>
        <v>3099.32354100258</v>
      </c>
      <c r="AR67" s="71" t="n">
        <f aca="false">AR37-AR46+AR62+AR63+AR64</f>
        <v>3106.61696586792</v>
      </c>
      <c r="AS67" s="71" t="n">
        <f aca="false">AS37-AS46+AS62+AS63+AS64</f>
        <v>3113.94989678462</v>
      </c>
      <c r="AT67" s="71" t="n">
        <f aca="false">AT37-AT46+AT62+AT63+AT64</f>
        <v>3121.32254774378</v>
      </c>
      <c r="AU67" s="71" t="n">
        <f aca="false">AU37-AU46+AU62+AU63+AU64</f>
        <v>3128.73513389563</v>
      </c>
      <c r="AV67" s="71" t="n">
        <f aca="false">AV37-AV46+AV62+AV63+AV64</f>
        <v>3136.18787155581</v>
      </c>
      <c r="AW67" s="71" t="n">
        <f aca="false">AW37-AW46+AW62+AW63+AW64</f>
        <v>3143.68097821165</v>
      </c>
      <c r="AX67" s="71" t="n">
        <f aca="false">AX37-AX46+AX62+AX63+AX64</f>
        <v>3151.21467252853</v>
      </c>
      <c r="AY67" s="71" t="n">
        <f aca="false">AY37-AY46+AY62+AY63+AY64</f>
        <v>3294.32835331311</v>
      </c>
      <c r="AZ67" s="71" t="n">
        <f aca="false">AZ37-AZ46+AZ62+AZ63+AZ64</f>
        <v>3270.76164446045</v>
      </c>
      <c r="BA67" s="71" t="n">
        <f aca="false">BA37-BA46+BA62+BA63+BA64</f>
        <v>3278.41842562934</v>
      </c>
      <c r="BB67" s="71" t="n">
        <f aca="false">BB37-BB46+BB62+BB63+BB64</f>
        <v>3286.11668102957</v>
      </c>
      <c r="BC67" s="71" t="n">
        <f aca="false">BC37-BC46+BC62+BC63+BC64</f>
        <v>3293.85663531321</v>
      </c>
      <c r="BD67" s="71" t="n">
        <f aca="false">BD37-BD46+BD62+BD63+BD64</f>
        <v>3301.63851434922</v>
      </c>
      <c r="BE67" s="71" t="n">
        <f aca="false">BE37-BE46+BE62+BE63+BE64</f>
        <v>3309.46254523001</v>
      </c>
      <c r="BF67" s="71" t="n">
        <f aca="false">BF37-BF46+BF62+BF63+BF64</f>
        <v>3317.32895627808</v>
      </c>
      <c r="BG67" s="71" t="n">
        <f aca="false">BG37-BG46+BG62+BG63+BG64</f>
        <v>3325.23797705265</v>
      </c>
      <c r="BH67" s="71" t="n">
        <f aca="false">BH37-BH46+BH62+BH63+BH64</f>
        <v>3333.18983835642</v>
      </c>
      <c r="BI67" s="71" t="n">
        <f aca="false">BI37-BI46+BI62+BI63+BI64</f>
        <v>3341.18477224225</v>
      </c>
      <c r="BJ67" s="71" t="n">
        <f aca="false">BJ37-BJ46+BJ62+BJ63+BJ64</f>
        <v>3349.22301201996</v>
      </c>
    </row>
    <row r="68" customFormat="false" ht="15" hidden="false" customHeight="false" outlineLevel="0" collapsed="false">
      <c r="A68" s="6" t="s">
        <v>437</v>
      </c>
      <c r="C68" s="65" t="n">
        <f aca="false">-C43</f>
        <v>-1905791.66666667</v>
      </c>
      <c r="D68" s="65" t="n">
        <f aca="false">-D43</f>
        <v>-291.666666666667</v>
      </c>
      <c r="E68" s="65" t="n">
        <f aca="false">-E43</f>
        <v>-291.666666666667</v>
      </c>
      <c r="F68" s="65" t="n">
        <f aca="false">-F43</f>
        <v>-291.666666666667</v>
      </c>
      <c r="G68" s="65" t="n">
        <f aca="false">-G43</f>
        <v>-291.666666666667</v>
      </c>
      <c r="H68" s="65" t="n">
        <f aca="false">-H43</f>
        <v>-291.666666666667</v>
      </c>
      <c r="I68" s="65" t="n">
        <f aca="false">-I43</f>
        <v>-291.666666666667</v>
      </c>
      <c r="J68" s="65" t="n">
        <f aca="false">-J43</f>
        <v>-291.666666666667</v>
      </c>
      <c r="K68" s="65" t="n">
        <f aca="false">-K43</f>
        <v>-291.666666666667</v>
      </c>
      <c r="L68" s="65" t="n">
        <f aca="false">-L43</f>
        <v>-291.666666666667</v>
      </c>
      <c r="M68" s="65" t="n">
        <f aca="false">-M43</f>
        <v>-291.666666666667</v>
      </c>
      <c r="N68" s="65" t="n">
        <f aca="false">-N43</f>
        <v>-291.666666666667</v>
      </c>
      <c r="O68" s="65" t="n">
        <f aca="false">-O43</f>
        <v>-303.333333333333</v>
      </c>
      <c r="P68" s="65" t="n">
        <f aca="false">-P43</f>
        <v>-303.333333333333</v>
      </c>
      <c r="Q68" s="65" t="n">
        <f aca="false">-Q43</f>
        <v>-303.333333333333</v>
      </c>
      <c r="R68" s="65" t="n">
        <f aca="false">-R43</f>
        <v>-303.333333333333</v>
      </c>
      <c r="S68" s="65" t="n">
        <f aca="false">-S43</f>
        <v>-303.333333333333</v>
      </c>
      <c r="T68" s="65" t="n">
        <f aca="false">-T43</f>
        <v>-303.333333333333</v>
      </c>
      <c r="U68" s="65" t="n">
        <f aca="false">-U43</f>
        <v>-303.333333333333</v>
      </c>
      <c r="V68" s="65" t="n">
        <f aca="false">-V43</f>
        <v>-303.333333333333</v>
      </c>
      <c r="W68" s="65" t="n">
        <f aca="false">-W43</f>
        <v>-303.333333333333</v>
      </c>
      <c r="X68" s="65" t="n">
        <f aca="false">-X43</f>
        <v>-303.333333333333</v>
      </c>
      <c r="Y68" s="65" t="n">
        <f aca="false">-Y43</f>
        <v>-303.333333333333</v>
      </c>
      <c r="Z68" s="65" t="n">
        <f aca="false">-Z43</f>
        <v>-303.333333333333</v>
      </c>
      <c r="AA68" s="65" t="n">
        <f aca="false">-AA43</f>
        <v>-315.466666666667</v>
      </c>
      <c r="AB68" s="65" t="n">
        <f aca="false">-AB43</f>
        <v>-315.466666666667</v>
      </c>
      <c r="AC68" s="65" t="n">
        <f aca="false">-AC43</f>
        <v>-315.466666666667</v>
      </c>
      <c r="AD68" s="65" t="n">
        <f aca="false">-AD43</f>
        <v>-315.466666666667</v>
      </c>
      <c r="AE68" s="65" t="n">
        <f aca="false">-AE43</f>
        <v>-315.466666666667</v>
      </c>
      <c r="AF68" s="65" t="n">
        <f aca="false">-AF43</f>
        <v>-315.466666666667</v>
      </c>
      <c r="AG68" s="65" t="n">
        <f aca="false">-AG43</f>
        <v>-315.466666666667</v>
      </c>
      <c r="AH68" s="65" t="n">
        <f aca="false">-AH43</f>
        <v>-315.466666666667</v>
      </c>
      <c r="AI68" s="65" t="n">
        <f aca="false">-AI43</f>
        <v>-315.466666666667</v>
      </c>
      <c r="AJ68" s="65" t="n">
        <f aca="false">-AJ43</f>
        <v>-315.466666666667</v>
      </c>
      <c r="AK68" s="65" t="n">
        <f aca="false">-AK43</f>
        <v>-315.466666666667</v>
      </c>
      <c r="AL68" s="65" t="n">
        <f aca="false">-AL43</f>
        <v>-315.466666666667</v>
      </c>
      <c r="AM68" s="65" t="n">
        <f aca="false">-AM43</f>
        <v>-328.085333333333</v>
      </c>
      <c r="AN68" s="65" t="n">
        <f aca="false">-AN43</f>
        <v>-328.085333333333</v>
      </c>
      <c r="AO68" s="65" t="n">
        <f aca="false">-AO43</f>
        <v>-328.085333333333</v>
      </c>
      <c r="AP68" s="65" t="n">
        <f aca="false">-AP43</f>
        <v>-328.085333333333</v>
      </c>
      <c r="AQ68" s="65" t="n">
        <f aca="false">-AQ43</f>
        <v>-328.085333333333</v>
      </c>
      <c r="AR68" s="65" t="n">
        <f aca="false">-AR43</f>
        <v>-328.085333333333</v>
      </c>
      <c r="AS68" s="65" t="n">
        <f aca="false">-AS43</f>
        <v>-328.085333333333</v>
      </c>
      <c r="AT68" s="65" t="n">
        <f aca="false">-AT43</f>
        <v>-328.085333333333</v>
      </c>
      <c r="AU68" s="65" t="n">
        <f aca="false">-AU43</f>
        <v>-328.085333333333</v>
      </c>
      <c r="AV68" s="65" t="n">
        <f aca="false">-AV43</f>
        <v>-328.085333333333</v>
      </c>
      <c r="AW68" s="65" t="n">
        <f aca="false">-AW43</f>
        <v>-328.085333333333</v>
      </c>
      <c r="AX68" s="65" t="n">
        <f aca="false">-AX43</f>
        <v>-328.085333333333</v>
      </c>
      <c r="AY68" s="65" t="n">
        <f aca="false">-AY43</f>
        <v>-341.208746666667</v>
      </c>
      <c r="AZ68" s="65" t="n">
        <f aca="false">-AZ43</f>
        <v>-341.208746666667</v>
      </c>
      <c r="BA68" s="65" t="n">
        <f aca="false">-BA43</f>
        <v>-341.208746666667</v>
      </c>
      <c r="BB68" s="65" t="n">
        <f aca="false">-BB43</f>
        <v>-341.208746666667</v>
      </c>
      <c r="BC68" s="65" t="n">
        <f aca="false">-BC43</f>
        <v>-341.208746666667</v>
      </c>
      <c r="BD68" s="65" t="n">
        <f aca="false">-BD43</f>
        <v>-341.208746666667</v>
      </c>
      <c r="BE68" s="65" t="n">
        <f aca="false">-BE43</f>
        <v>-341.208746666667</v>
      </c>
      <c r="BF68" s="65" t="n">
        <f aca="false">-BF43</f>
        <v>-341.208746666667</v>
      </c>
      <c r="BG68" s="65" t="n">
        <f aca="false">-BG43</f>
        <v>-341.208746666667</v>
      </c>
      <c r="BH68" s="65" t="n">
        <f aca="false">-BH43</f>
        <v>-341.208746666667</v>
      </c>
      <c r="BI68" s="65" t="n">
        <f aca="false">-BI43</f>
        <v>-341.208746666667</v>
      </c>
      <c r="BJ68" s="65" t="n">
        <f aca="false">-BJ43</f>
        <v>-341.208746666667</v>
      </c>
    </row>
    <row r="69" customFormat="false" ht="15" hidden="false" customHeight="false" outlineLevel="0" collapsed="false">
      <c r="A69" s="6" t="s">
        <v>64</v>
      </c>
      <c r="C69" s="65" t="n">
        <f aca="false">IF(C$6=1,Inputs!$B$34,0)</f>
        <v>760000</v>
      </c>
      <c r="D69" s="65" t="n">
        <f aca="false">IF(D$6=1,Inputs!$B$34,0)</f>
        <v>0</v>
      </c>
      <c r="E69" s="65" t="n">
        <f aca="false">IF(E$6=1,Inputs!$B$34,0)</f>
        <v>0</v>
      </c>
      <c r="F69" s="65" t="n">
        <f aca="false">IF(F$6=1,Inputs!$B$34,0)</f>
        <v>0</v>
      </c>
      <c r="G69" s="65" t="n">
        <f aca="false">IF(G$6=1,Inputs!$B$34,0)</f>
        <v>0</v>
      </c>
      <c r="H69" s="65" t="n">
        <f aca="false">IF(H$6=1,Inputs!$B$34,0)</f>
        <v>0</v>
      </c>
      <c r="I69" s="65" t="n">
        <f aca="false">IF(I$6=1,Inputs!$B$34,0)</f>
        <v>0</v>
      </c>
      <c r="J69" s="65" t="n">
        <f aca="false">IF(J$6=1,Inputs!$B$34,0)</f>
        <v>0</v>
      </c>
      <c r="K69" s="65" t="n">
        <f aca="false">IF(K$6=1,Inputs!$B$34,0)</f>
        <v>0</v>
      </c>
      <c r="L69" s="65" t="n">
        <f aca="false">IF(L$6=1,Inputs!$B$34,0)</f>
        <v>0</v>
      </c>
      <c r="M69" s="65" t="n">
        <f aca="false">IF(M$6=1,Inputs!$B$34,0)</f>
        <v>0</v>
      </c>
      <c r="N69" s="65" t="n">
        <f aca="false">IF(N$6=1,Inputs!$B$34,0)</f>
        <v>0</v>
      </c>
      <c r="O69" s="65" t="n">
        <f aca="false">IF(O$6=1,Inputs!$B$34,0)</f>
        <v>0</v>
      </c>
      <c r="P69" s="65" t="n">
        <f aca="false">IF(P$6=1,Inputs!$B$34,0)</f>
        <v>0</v>
      </c>
      <c r="Q69" s="65" t="n">
        <f aca="false">IF(Q$6=1,Inputs!$B$34,0)</f>
        <v>0</v>
      </c>
      <c r="R69" s="65" t="n">
        <f aca="false">IF(R$6=1,Inputs!$B$34,0)</f>
        <v>0</v>
      </c>
      <c r="S69" s="65" t="n">
        <f aca="false">IF(S$6=1,Inputs!$B$34,0)</f>
        <v>0</v>
      </c>
      <c r="T69" s="65" t="n">
        <f aca="false">IF(T$6=1,Inputs!$B$34,0)</f>
        <v>0</v>
      </c>
      <c r="U69" s="65" t="n">
        <f aca="false">IF(U$6=1,Inputs!$B$34,0)</f>
        <v>0</v>
      </c>
      <c r="V69" s="65" t="n">
        <f aca="false">IF(V$6=1,Inputs!$B$34,0)</f>
        <v>0</v>
      </c>
      <c r="W69" s="65" t="n">
        <f aca="false">IF(W$6=1,Inputs!$B$34,0)</f>
        <v>0</v>
      </c>
      <c r="X69" s="65" t="n">
        <f aca="false">IF(X$6=1,Inputs!$B$34,0)</f>
        <v>0</v>
      </c>
      <c r="Y69" s="65" t="n">
        <f aca="false">IF(Y$6=1,Inputs!$B$34,0)</f>
        <v>0</v>
      </c>
      <c r="Z69" s="65" t="n">
        <f aca="false">IF(Z$6=1,Inputs!$B$34,0)</f>
        <v>0</v>
      </c>
      <c r="AA69" s="65" t="n">
        <f aca="false">IF(AA$6=1,Inputs!$B$34,0)</f>
        <v>0</v>
      </c>
      <c r="AB69" s="65" t="n">
        <f aca="false">IF(AB$6=1,Inputs!$B$34,0)</f>
        <v>0</v>
      </c>
      <c r="AC69" s="65" t="n">
        <f aca="false">IF(AC$6=1,Inputs!$B$34,0)</f>
        <v>0</v>
      </c>
      <c r="AD69" s="65" t="n">
        <f aca="false">IF(AD$6=1,Inputs!$B$34,0)</f>
        <v>0</v>
      </c>
      <c r="AE69" s="65" t="n">
        <f aca="false">IF(AE$6=1,Inputs!$B$34,0)</f>
        <v>0</v>
      </c>
      <c r="AF69" s="65" t="n">
        <f aca="false">IF(AF$6=1,Inputs!$B$34,0)</f>
        <v>0</v>
      </c>
      <c r="AG69" s="65" t="n">
        <f aca="false">IF(AG$6=1,Inputs!$B$34,0)</f>
        <v>0</v>
      </c>
      <c r="AH69" s="65" t="n">
        <f aca="false">IF(AH$6=1,Inputs!$B$34,0)</f>
        <v>0</v>
      </c>
      <c r="AI69" s="65" t="n">
        <f aca="false">IF(AI$6=1,Inputs!$B$34,0)</f>
        <v>0</v>
      </c>
      <c r="AJ69" s="65" t="n">
        <f aca="false">IF(AJ$6=1,Inputs!$B$34,0)</f>
        <v>0</v>
      </c>
      <c r="AK69" s="65" t="n">
        <f aca="false">IF(AK$6=1,Inputs!$B$34,0)</f>
        <v>0</v>
      </c>
      <c r="AL69" s="65" t="n">
        <f aca="false">IF(AL$6=1,Inputs!$B$34,0)</f>
        <v>0</v>
      </c>
      <c r="AM69" s="65" t="n">
        <f aca="false">IF(AM$6=1,Inputs!$B$34,0)</f>
        <v>0</v>
      </c>
      <c r="AN69" s="65" t="n">
        <f aca="false">IF(AN$6=1,Inputs!$B$34,0)</f>
        <v>0</v>
      </c>
      <c r="AO69" s="65" t="n">
        <f aca="false">IF(AO$6=1,Inputs!$B$34,0)</f>
        <v>0</v>
      </c>
      <c r="AP69" s="65" t="n">
        <f aca="false">IF(AP$6=1,Inputs!$B$34,0)</f>
        <v>0</v>
      </c>
      <c r="AQ69" s="65" t="n">
        <f aca="false">IF(AQ$6=1,Inputs!$B$34,0)</f>
        <v>0</v>
      </c>
      <c r="AR69" s="65" t="n">
        <f aca="false">IF(AR$6=1,Inputs!$B$34,0)</f>
        <v>0</v>
      </c>
      <c r="AS69" s="65" t="n">
        <f aca="false">IF(AS$6=1,Inputs!$B$34,0)</f>
        <v>0</v>
      </c>
      <c r="AT69" s="65" t="n">
        <f aca="false">IF(AT$6=1,Inputs!$B$34,0)</f>
        <v>0</v>
      </c>
      <c r="AU69" s="65" t="n">
        <f aca="false">IF(AU$6=1,Inputs!$B$34,0)</f>
        <v>0</v>
      </c>
      <c r="AV69" s="65" t="n">
        <f aca="false">IF(AV$6=1,Inputs!$B$34,0)</f>
        <v>0</v>
      </c>
      <c r="AW69" s="65" t="n">
        <f aca="false">IF(AW$6=1,Inputs!$B$34,0)</f>
        <v>0</v>
      </c>
      <c r="AX69" s="65" t="n">
        <f aca="false">IF(AX$6=1,Inputs!$B$34,0)</f>
        <v>0</v>
      </c>
      <c r="AY69" s="65" t="n">
        <f aca="false">IF(AY$6=1,Inputs!$B$34,0)</f>
        <v>0</v>
      </c>
      <c r="AZ69" s="65" t="n">
        <f aca="false">IF(AZ$6=1,Inputs!$B$34,0)</f>
        <v>0</v>
      </c>
      <c r="BA69" s="65" t="n">
        <f aca="false">IF(BA$6=1,Inputs!$B$34,0)</f>
        <v>0</v>
      </c>
      <c r="BB69" s="65" t="n">
        <f aca="false">IF(BB$6=1,Inputs!$B$34,0)</f>
        <v>0</v>
      </c>
      <c r="BC69" s="65" t="n">
        <f aca="false">IF(BC$6=1,Inputs!$B$34,0)</f>
        <v>0</v>
      </c>
      <c r="BD69" s="65" t="n">
        <f aca="false">IF(BD$6=1,Inputs!$B$34,0)</f>
        <v>0</v>
      </c>
      <c r="BE69" s="65" t="n">
        <f aca="false">IF(BE$6=1,Inputs!$B$34,0)</f>
        <v>0</v>
      </c>
      <c r="BF69" s="65" t="n">
        <f aca="false">IF(BF$6=1,Inputs!$B$34,0)</f>
        <v>0</v>
      </c>
      <c r="BG69" s="65" t="n">
        <f aca="false">IF(BG$6=1,Inputs!$B$34,0)</f>
        <v>0</v>
      </c>
      <c r="BH69" s="65" t="n">
        <f aca="false">IF(BH$6=1,Inputs!$B$34,0)</f>
        <v>0</v>
      </c>
      <c r="BI69" s="65" t="n">
        <f aca="false">IF(BI$6=1,Inputs!$B$34,0)</f>
        <v>0</v>
      </c>
      <c r="BJ69" s="65" t="n">
        <f aca="false">IF(BJ$6=1,Inputs!$B$34,0)</f>
        <v>0</v>
      </c>
    </row>
    <row r="70" customFormat="false" ht="15" hidden="false" customHeight="false" outlineLevel="0" collapsed="false">
      <c r="A70" s="6" t="s">
        <v>55</v>
      </c>
      <c r="C70" s="65" t="n">
        <f aca="false">C69+C52+C54</f>
        <v>1958915.18371808</v>
      </c>
      <c r="D70" s="65" t="n">
        <f aca="false">D69+D52+D54</f>
        <v>-1090.69237010927</v>
      </c>
      <c r="E70" s="65" t="n">
        <f aca="false">E69+E52+E54</f>
        <v>-1096.60028711403</v>
      </c>
      <c r="F70" s="65" t="n">
        <f aca="false">F69+F52+F54</f>
        <v>-1102.5402053359</v>
      </c>
      <c r="G70" s="65" t="n">
        <f aca="false">G69+G52+G54</f>
        <v>-1108.5122981148</v>
      </c>
      <c r="H70" s="65" t="n">
        <f aca="false">H69+H52+H54</f>
        <v>-1114.51673972959</v>
      </c>
      <c r="I70" s="65" t="n">
        <f aca="false">I69+I52+I54</f>
        <v>-1120.55370540313</v>
      </c>
      <c r="J70" s="65" t="n">
        <f aca="false">J69+J52+J54</f>
        <v>-1126.62337130739</v>
      </c>
      <c r="K70" s="65" t="n">
        <f aca="false">K69+K52+K54</f>
        <v>-1132.72591456864</v>
      </c>
      <c r="L70" s="65" t="n">
        <f aca="false">L69+L52+L54</f>
        <v>-1138.86151327256</v>
      </c>
      <c r="M70" s="65" t="n">
        <f aca="false">M69+M52+M54</f>
        <v>-1145.03034646945</v>
      </c>
      <c r="N70" s="65" t="n">
        <f aca="false">N69+N52+N54</f>
        <v>-1151.23259417949</v>
      </c>
      <c r="O70" s="65" t="n">
        <f aca="false">O69+O52+O54</f>
        <v>-1157.46843739797</v>
      </c>
      <c r="P70" s="65" t="n">
        <f aca="false">P69+P52+P54</f>
        <v>-1163.73805810054</v>
      </c>
      <c r="Q70" s="65" t="n">
        <f aca="false">Q69+Q52+Q54</f>
        <v>-1170.04163924858</v>
      </c>
      <c r="R70" s="65" t="n">
        <f aca="false">R69+R52+R54</f>
        <v>-1176.37936479451</v>
      </c>
      <c r="S70" s="65" t="n">
        <f aca="false">S69+S52+S54</f>
        <v>-1182.75141968715</v>
      </c>
      <c r="T70" s="65" t="n">
        <f aca="false">T69+T52+T54</f>
        <v>-1189.15798987712</v>
      </c>
      <c r="U70" s="65" t="n">
        <f aca="false">U69+U52+U54</f>
        <v>-1195.59926232229</v>
      </c>
      <c r="V70" s="65" t="n">
        <f aca="false">V69+V52+V54</f>
        <v>-1202.0754249932</v>
      </c>
      <c r="W70" s="65" t="n">
        <f aca="false">W69+W52+W54</f>
        <v>-1208.58666687858</v>
      </c>
      <c r="X70" s="65" t="n">
        <f aca="false">X69+X52+X54</f>
        <v>-1215.13317799084</v>
      </c>
      <c r="Y70" s="65" t="n">
        <f aca="false">Y69+Y52+Y54</f>
        <v>-1221.71514937162</v>
      </c>
      <c r="Z70" s="65" t="n">
        <f aca="false">Z69+Z52+Z54</f>
        <v>-1228.33277309739</v>
      </c>
      <c r="AA70" s="65" t="n">
        <f aca="false">AA69+AA52+AA54</f>
        <v>-1234.986242285</v>
      </c>
      <c r="AB70" s="65" t="n">
        <f aca="false">AB69+AB52+AB54</f>
        <v>-1241.67575109737</v>
      </c>
      <c r="AC70" s="65" t="n">
        <f aca="false">AC69+AC52+AC54</f>
        <v>-1248.40149474915</v>
      </c>
      <c r="AD70" s="65" t="n">
        <f aca="false">AD69+AD52+AD54</f>
        <v>-1255.16366951237</v>
      </c>
      <c r="AE70" s="65" t="n">
        <f aca="false">AE69+AE52+AE54</f>
        <v>-1261.96247272223</v>
      </c>
      <c r="AF70" s="65" t="n">
        <f aca="false">AF69+AF52+AF54</f>
        <v>-1268.79810278281</v>
      </c>
      <c r="AG70" s="65" t="n">
        <f aca="false">AG69+AG52+AG54</f>
        <v>-1275.67075917288</v>
      </c>
      <c r="AH70" s="65" t="n">
        <f aca="false">AH69+AH52+AH54</f>
        <v>-1282.58064245174</v>
      </c>
      <c r="AI70" s="65" t="n">
        <f aca="false">AI69+AI52+AI54</f>
        <v>-1289.52795426502</v>
      </c>
      <c r="AJ70" s="65" t="n">
        <f aca="false">AJ69+AJ52+AJ54</f>
        <v>-1296.51289735062</v>
      </c>
      <c r="AK70" s="65" t="n">
        <f aca="false">AK69+AK52+AK54</f>
        <v>-1303.5356755446</v>
      </c>
      <c r="AL70" s="65" t="n">
        <f aca="false">AL69+AL52+AL54</f>
        <v>-1310.59649378714</v>
      </c>
      <c r="AM70" s="65" t="n">
        <f aca="false">AM69+AM52+AM54</f>
        <v>-1317.69555812848</v>
      </c>
      <c r="AN70" s="65" t="n">
        <f aca="false">AN69+AN52+AN54</f>
        <v>-1324.83307573501</v>
      </c>
      <c r="AO70" s="65" t="n">
        <f aca="false">AO69+AO52+AO54</f>
        <v>-1332.00925489524</v>
      </c>
      <c r="AP70" s="65" t="n">
        <f aca="false">AP69+AP52+AP54</f>
        <v>-1339.22430502593</v>
      </c>
      <c r="AQ70" s="65" t="n">
        <f aca="false">AQ69+AQ52+AQ54</f>
        <v>-1346.47843667815</v>
      </c>
      <c r="AR70" s="65" t="n">
        <f aca="false">AR69+AR52+AR54</f>
        <v>-1353.77186154349</v>
      </c>
      <c r="AS70" s="65" t="n">
        <f aca="false">AS69+AS52+AS54</f>
        <v>-1361.10479246018</v>
      </c>
      <c r="AT70" s="65" t="n">
        <f aca="false">AT69+AT52+AT54</f>
        <v>-1368.47744341934</v>
      </c>
      <c r="AU70" s="65" t="n">
        <f aca="false">AU69+AU52+AU54</f>
        <v>-1375.8900295712</v>
      </c>
      <c r="AV70" s="65" t="n">
        <f aca="false">AV69+AV52+AV54</f>
        <v>-1383.34276723137</v>
      </c>
      <c r="AW70" s="65" t="n">
        <f aca="false">AW69+AW52+AW54</f>
        <v>-1390.83587388721</v>
      </c>
      <c r="AX70" s="65" t="n">
        <f aca="false">AX69+AX52+AX54</f>
        <v>-1398.3695682041</v>
      </c>
      <c r="AY70" s="65" t="n">
        <f aca="false">AY69+AY52+AY54</f>
        <v>-1405.94407003187</v>
      </c>
      <c r="AZ70" s="65" t="n">
        <f aca="false">AZ69+AZ52+AZ54</f>
        <v>-1413.55960041121</v>
      </c>
      <c r="BA70" s="65" t="n">
        <f aca="false">BA69+BA52+BA54</f>
        <v>-1421.21638158011</v>
      </c>
      <c r="BB70" s="65" t="n">
        <f aca="false">BB69+BB52+BB54</f>
        <v>-1428.91463698033</v>
      </c>
      <c r="BC70" s="65" t="n">
        <f aca="false">BC69+BC52+BC54</f>
        <v>-1436.65459126397</v>
      </c>
      <c r="BD70" s="65" t="n">
        <f aca="false">BD69+BD52+BD54</f>
        <v>-1444.43647029999</v>
      </c>
      <c r="BE70" s="65" t="n">
        <f aca="false">BE69+BE52+BE54</f>
        <v>-1452.26050118078</v>
      </c>
      <c r="BF70" s="65" t="n">
        <f aca="false">BF69+BF52+BF54</f>
        <v>-1460.12691222884</v>
      </c>
      <c r="BG70" s="65" t="n">
        <f aca="false">BG69+BG52+BG54</f>
        <v>-1468.03593300341</v>
      </c>
      <c r="BH70" s="65" t="n">
        <f aca="false">BH69+BH52+BH54</f>
        <v>-1475.98779430718</v>
      </c>
      <c r="BI70" s="65" t="n">
        <f aca="false">BI69+BI52+BI54</f>
        <v>-1483.98272819301</v>
      </c>
      <c r="BJ70" s="65" t="n">
        <f aca="false">BJ69+BJ52+BJ54</f>
        <v>-1492.02096797073</v>
      </c>
    </row>
    <row r="71" customFormat="false" ht="15" hidden="false" customHeight="false" outlineLevel="0" collapsed="false">
      <c r="A71" s="108" t="s">
        <v>438</v>
      </c>
      <c r="C71" s="66" t="n">
        <f aca="false">C67+C68+C70</f>
        <v>56607.4970514176</v>
      </c>
      <c r="D71" s="66" t="n">
        <f aca="false">D67+D68+D70</f>
        <v>1142.29705141777</v>
      </c>
      <c r="E71" s="66" t="n">
        <f aca="false">E67+E68+E70</f>
        <v>1142.29705141777</v>
      </c>
      <c r="F71" s="66" t="n">
        <f aca="false">F67+F68+F70</f>
        <v>1142.29705141777</v>
      </c>
      <c r="G71" s="66" t="n">
        <f aca="false">G67+G68+G70</f>
        <v>1142.29705141777</v>
      </c>
      <c r="H71" s="66" t="n">
        <f aca="false">H67+H68+H70</f>
        <v>1142.29705141777</v>
      </c>
      <c r="I71" s="66" t="n">
        <f aca="false">I67+I68+I70</f>
        <v>1142.29705141777</v>
      </c>
      <c r="J71" s="66" t="n">
        <f aca="false">J67+J68+J70</f>
        <v>1142.29705141777</v>
      </c>
      <c r="K71" s="66" t="n">
        <f aca="false">K67+K68+K70</f>
        <v>1142.29705141777</v>
      </c>
      <c r="L71" s="66" t="n">
        <f aca="false">L67+L68+L70</f>
        <v>1142.29705141777</v>
      </c>
      <c r="M71" s="66" t="n">
        <f aca="false">M67+M68+M70</f>
        <v>1142.29705141777</v>
      </c>
      <c r="N71" s="66" t="n">
        <f aca="false">N67+N68+N70</f>
        <v>1142.29705141777</v>
      </c>
      <c r="O71" s="66" t="n">
        <f aca="false">O67+O68+O70</f>
        <v>1266.0599847511</v>
      </c>
      <c r="P71" s="66" t="n">
        <f aca="false">P67+P68+P70</f>
        <v>1237.7559847511</v>
      </c>
      <c r="Q71" s="66" t="n">
        <f aca="false">Q67+Q68+Q70</f>
        <v>1237.7559847511</v>
      </c>
      <c r="R71" s="66" t="n">
        <f aca="false">R67+R68+R70</f>
        <v>1237.7559847511</v>
      </c>
      <c r="S71" s="66" t="n">
        <f aca="false">S67+S68+S70</f>
        <v>1237.7559847511</v>
      </c>
      <c r="T71" s="66" t="n">
        <f aca="false">T67+T68+T70</f>
        <v>1237.7559847511</v>
      </c>
      <c r="U71" s="66" t="n">
        <f aca="false">U67+U68+U70</f>
        <v>1237.7559847511</v>
      </c>
      <c r="V71" s="66" t="n">
        <f aca="false">V67+V68+V70</f>
        <v>1237.7559847511</v>
      </c>
      <c r="W71" s="66" t="n">
        <f aca="false">W67+W68+W70</f>
        <v>1237.7559847511</v>
      </c>
      <c r="X71" s="66" t="n">
        <f aca="false">X67+X68+X70</f>
        <v>1237.7559847511</v>
      </c>
      <c r="Y71" s="66" t="n">
        <f aca="false">Y67+Y68+Y70</f>
        <v>1237.7559847511</v>
      </c>
      <c r="Z71" s="66" t="n">
        <f aca="false">Z67+Z68+Z70</f>
        <v>1237.7559847511</v>
      </c>
      <c r="AA71" s="66" t="n">
        <f aca="false">AA67+AA68+AA70</f>
        <v>1361.19084341777</v>
      </c>
      <c r="AB71" s="66" t="n">
        <f aca="false">AB67+AB68+AB70</f>
        <v>1331.96076341777</v>
      </c>
      <c r="AC71" s="66" t="n">
        <f aca="false">AC67+AC68+AC70</f>
        <v>1331.96076341777</v>
      </c>
      <c r="AD71" s="66" t="n">
        <f aca="false">AD67+AD68+AD70</f>
        <v>1331.96076341777</v>
      </c>
      <c r="AE71" s="66" t="n">
        <f aca="false">AE67+AE68+AE70</f>
        <v>1331.96076341777</v>
      </c>
      <c r="AF71" s="66" t="n">
        <f aca="false">AF67+AF68+AF70</f>
        <v>1331.96076341777</v>
      </c>
      <c r="AG71" s="66" t="n">
        <f aca="false">AG67+AG68+AG70</f>
        <v>1331.96076341777</v>
      </c>
      <c r="AH71" s="66" t="n">
        <f aca="false">AH67+AH68+AH70</f>
        <v>1331.96076341777</v>
      </c>
      <c r="AI71" s="66" t="n">
        <f aca="false">AI67+AI68+AI70</f>
        <v>1331.96076341777</v>
      </c>
      <c r="AJ71" s="66" t="n">
        <f aca="false">AJ67+AJ68+AJ70</f>
        <v>1331.96076341777</v>
      </c>
      <c r="AK71" s="66" t="n">
        <f aca="false">AK67+AK68+AK70</f>
        <v>1331.96076341777</v>
      </c>
      <c r="AL71" s="66" t="n">
        <f aca="false">AL67+AL68+AL70</f>
        <v>1331.96076341777</v>
      </c>
      <c r="AM71" s="66" t="n">
        <f aca="false">AM67+AM68+AM70</f>
        <v>1454.9488525911</v>
      </c>
      <c r="AN71" s="66" t="n">
        <f aca="false">AN67+AN68+AN70</f>
        <v>1424.7597709911</v>
      </c>
      <c r="AO71" s="66" t="n">
        <f aca="false">AO67+AO68+AO70</f>
        <v>1424.7597709911</v>
      </c>
      <c r="AP71" s="66" t="n">
        <f aca="false">AP67+AP68+AP70</f>
        <v>1424.7597709911</v>
      </c>
      <c r="AQ71" s="66" t="n">
        <f aca="false">AQ67+AQ68+AQ70</f>
        <v>1424.7597709911</v>
      </c>
      <c r="AR71" s="66" t="n">
        <f aca="false">AR67+AR68+AR70</f>
        <v>1424.7597709911</v>
      </c>
      <c r="AS71" s="66" t="n">
        <f aca="false">AS67+AS68+AS70</f>
        <v>1424.7597709911</v>
      </c>
      <c r="AT71" s="66" t="n">
        <f aca="false">AT67+AT68+AT70</f>
        <v>1424.7597709911</v>
      </c>
      <c r="AU71" s="66" t="n">
        <f aca="false">AU67+AU68+AU70</f>
        <v>1424.7597709911</v>
      </c>
      <c r="AV71" s="66" t="n">
        <f aca="false">AV67+AV68+AV70</f>
        <v>1424.7597709911</v>
      </c>
      <c r="AW71" s="66" t="n">
        <f aca="false">AW67+AW68+AW70</f>
        <v>1424.7597709911</v>
      </c>
      <c r="AX71" s="66" t="n">
        <f aca="false">AX67+AX68+AX70</f>
        <v>1424.7597709911</v>
      </c>
      <c r="AY71" s="66" t="n">
        <f aca="false">AY67+AY68+AY70</f>
        <v>1547.17553661457</v>
      </c>
      <c r="AZ71" s="66" t="n">
        <f aca="false">AZ67+AZ68+AZ70</f>
        <v>1515.99329738257</v>
      </c>
      <c r="BA71" s="66" t="n">
        <f aca="false">BA67+BA68+BA70</f>
        <v>1515.99329738257</v>
      </c>
      <c r="BB71" s="66" t="n">
        <f aca="false">BB67+BB68+BB70</f>
        <v>1515.99329738257</v>
      </c>
      <c r="BC71" s="66" t="n">
        <f aca="false">BC67+BC68+BC70</f>
        <v>1515.99329738257</v>
      </c>
      <c r="BD71" s="66" t="n">
        <f aca="false">BD67+BD68+BD70</f>
        <v>1515.99329738257</v>
      </c>
      <c r="BE71" s="66" t="n">
        <f aca="false">BE67+BE68+BE70</f>
        <v>1515.99329738257</v>
      </c>
      <c r="BF71" s="66" t="n">
        <f aca="false">BF67+BF68+BF70</f>
        <v>1515.99329738257</v>
      </c>
      <c r="BG71" s="66" t="n">
        <f aca="false">BG67+BG68+BG70</f>
        <v>1515.99329738257</v>
      </c>
      <c r="BH71" s="66" t="n">
        <f aca="false">BH67+BH68+BH70</f>
        <v>1515.99329738257</v>
      </c>
      <c r="BI71" s="66" t="n">
        <f aca="false">BI67+BI68+BI70</f>
        <v>1515.99329738257</v>
      </c>
      <c r="BJ71" s="66" t="n">
        <f aca="false">BJ67+BJ68+BJ70</f>
        <v>1515.99329738257</v>
      </c>
    </row>
    <row r="72" customFormat="false" ht="15" hidden="false" customHeight="false" outlineLevel="0" collapsed="false">
      <c r="A72" s="6" t="s">
        <v>349</v>
      </c>
      <c r="C72" s="65" t="n">
        <f aca="false">0</f>
        <v>0</v>
      </c>
      <c r="D72" s="65" t="n">
        <f aca="false">C73</f>
        <v>56607.4970514176</v>
      </c>
      <c r="E72" s="65" t="n">
        <f aca="false">D73</f>
        <v>57749.7941028354</v>
      </c>
      <c r="F72" s="65" t="n">
        <f aca="false">E73</f>
        <v>58892.0911542531</v>
      </c>
      <c r="G72" s="65" t="n">
        <f aca="false">F73</f>
        <v>60034.3882056709</v>
      </c>
      <c r="H72" s="65" t="n">
        <f aca="false">G73</f>
        <v>61176.6852570887</v>
      </c>
      <c r="I72" s="65" t="n">
        <f aca="false">H73</f>
        <v>62318.9823085065</v>
      </c>
      <c r="J72" s="65" t="n">
        <f aca="false">I73</f>
        <v>63461.2793599242</v>
      </c>
      <c r="K72" s="65" t="n">
        <f aca="false">J73</f>
        <v>64603.576411342</v>
      </c>
      <c r="L72" s="65" t="n">
        <f aca="false">K73</f>
        <v>65745.8734627598</v>
      </c>
      <c r="M72" s="65" t="n">
        <f aca="false">L73</f>
        <v>66888.1705141776</v>
      </c>
      <c r="N72" s="65" t="n">
        <f aca="false">M73</f>
        <v>68030.4675655953</v>
      </c>
      <c r="O72" s="65" t="n">
        <f aca="false">N73</f>
        <v>69172.7646170131</v>
      </c>
      <c r="P72" s="65" t="n">
        <f aca="false">O73</f>
        <v>70438.8246017642</v>
      </c>
      <c r="Q72" s="65" t="n">
        <f aca="false">P73</f>
        <v>71676.5805865153</v>
      </c>
      <c r="R72" s="65" t="n">
        <f aca="false">Q73</f>
        <v>72914.3365712664</v>
      </c>
      <c r="S72" s="65" t="n">
        <f aca="false">R73</f>
        <v>74152.0925560175</v>
      </c>
      <c r="T72" s="65" t="n">
        <f aca="false">S73</f>
        <v>75389.8485407686</v>
      </c>
      <c r="U72" s="65" t="n">
        <f aca="false">T73</f>
        <v>76627.6045255197</v>
      </c>
      <c r="V72" s="65" t="n">
        <f aca="false">U73</f>
        <v>77865.3605102708</v>
      </c>
      <c r="W72" s="65" t="n">
        <f aca="false">V73</f>
        <v>79103.1164950219</v>
      </c>
      <c r="X72" s="65" t="n">
        <f aca="false">W73</f>
        <v>80340.872479773</v>
      </c>
      <c r="Y72" s="65" t="n">
        <f aca="false">X73</f>
        <v>81578.6284645241</v>
      </c>
      <c r="Z72" s="65" t="n">
        <f aca="false">Y73</f>
        <v>82816.3844492752</v>
      </c>
      <c r="AA72" s="65" t="n">
        <f aca="false">Z73</f>
        <v>84054.1404340263</v>
      </c>
      <c r="AB72" s="65" t="n">
        <f aca="false">AA73</f>
        <v>85415.3312774441</v>
      </c>
      <c r="AC72" s="65" t="n">
        <f aca="false">AB73</f>
        <v>86747.2920408618</v>
      </c>
      <c r="AD72" s="65" t="n">
        <f aca="false">AC73</f>
        <v>88079.2528042796</v>
      </c>
      <c r="AE72" s="65" t="n">
        <f aca="false">AD73</f>
        <v>89411.2135676974</v>
      </c>
      <c r="AF72" s="65" t="n">
        <f aca="false">AE73</f>
        <v>90743.1743311151</v>
      </c>
      <c r="AG72" s="65" t="n">
        <f aca="false">AF73</f>
        <v>92075.1350945329</v>
      </c>
      <c r="AH72" s="65" t="n">
        <f aca="false">AG73</f>
        <v>93407.0958579507</v>
      </c>
      <c r="AI72" s="65" t="n">
        <f aca="false">AH73</f>
        <v>94739.0566213684</v>
      </c>
      <c r="AJ72" s="65" t="n">
        <f aca="false">AI73</f>
        <v>96071.0173847862</v>
      </c>
      <c r="AK72" s="65" t="n">
        <f aca="false">AJ73</f>
        <v>97402.978148204</v>
      </c>
      <c r="AL72" s="65" t="n">
        <f aca="false">AK73</f>
        <v>98734.9389116217</v>
      </c>
      <c r="AM72" s="65" t="n">
        <f aca="false">AL73</f>
        <v>100066.899675039</v>
      </c>
      <c r="AN72" s="65" t="n">
        <f aca="false">AM73</f>
        <v>101521.848527631</v>
      </c>
      <c r="AO72" s="65" t="n">
        <f aca="false">AN73</f>
        <v>102946.608298622</v>
      </c>
      <c r="AP72" s="65" t="n">
        <f aca="false">AO73</f>
        <v>104371.368069613</v>
      </c>
      <c r="AQ72" s="65" t="n">
        <f aca="false">AP73</f>
        <v>105796.127840604</v>
      </c>
      <c r="AR72" s="65" t="n">
        <f aca="false">AQ73</f>
        <v>107220.887611595</v>
      </c>
      <c r="AS72" s="65" t="n">
        <f aca="false">AR73</f>
        <v>108645.647382586</v>
      </c>
      <c r="AT72" s="65" t="n">
        <f aca="false">AS73</f>
        <v>110070.407153577</v>
      </c>
      <c r="AU72" s="65" t="n">
        <f aca="false">AT73</f>
        <v>111495.166924568</v>
      </c>
      <c r="AV72" s="65" t="n">
        <f aca="false">AU73</f>
        <v>112919.926695559</v>
      </c>
      <c r="AW72" s="65" t="n">
        <f aca="false">AV73</f>
        <v>114344.686466551</v>
      </c>
      <c r="AX72" s="65" t="n">
        <f aca="false">AW73</f>
        <v>115769.446237542</v>
      </c>
      <c r="AY72" s="65" t="n">
        <f aca="false">AX73</f>
        <v>117194.206008533</v>
      </c>
      <c r="AZ72" s="65" t="n">
        <f aca="false">AY73</f>
        <v>118741.381545147</v>
      </c>
      <c r="BA72" s="65" t="n">
        <f aca="false">AZ73</f>
        <v>120257.37484253</v>
      </c>
      <c r="BB72" s="65" t="n">
        <f aca="false">BA73</f>
        <v>121773.368139912</v>
      </c>
      <c r="BC72" s="65" t="n">
        <f aca="false">BB73</f>
        <v>123289.361437295</v>
      </c>
      <c r="BD72" s="65" t="n">
        <f aca="false">BC73</f>
        <v>124805.354734678</v>
      </c>
      <c r="BE72" s="65" t="n">
        <f aca="false">BD73</f>
        <v>126321.34803206</v>
      </c>
      <c r="BF72" s="65" t="n">
        <f aca="false">BE73</f>
        <v>127837.341329443</v>
      </c>
      <c r="BG72" s="65" t="n">
        <f aca="false">BF73</f>
        <v>129353.334626825</v>
      </c>
      <c r="BH72" s="65" t="n">
        <f aca="false">BG73</f>
        <v>130869.327924208</v>
      </c>
      <c r="BI72" s="65" t="n">
        <f aca="false">BH73</f>
        <v>132385.32122159</v>
      </c>
      <c r="BJ72" s="65" t="n">
        <f aca="false">BI73</f>
        <v>133901.314518973</v>
      </c>
    </row>
    <row r="73" customFormat="false" ht="15" hidden="false" customHeight="false" outlineLevel="0" collapsed="false">
      <c r="A73" s="108" t="s">
        <v>87</v>
      </c>
      <c r="C73" s="66" t="n">
        <f aca="false">C72+C71</f>
        <v>56607.4970514176</v>
      </c>
      <c r="D73" s="66" t="n">
        <f aca="false">D72+D71</f>
        <v>57749.7941028354</v>
      </c>
      <c r="E73" s="66" t="n">
        <f aca="false">E72+E71</f>
        <v>58892.0911542531</v>
      </c>
      <c r="F73" s="66" t="n">
        <f aca="false">F72+F71</f>
        <v>60034.3882056709</v>
      </c>
      <c r="G73" s="66" t="n">
        <f aca="false">G72+G71</f>
        <v>61176.6852570887</v>
      </c>
      <c r="H73" s="66" t="n">
        <f aca="false">H72+H71</f>
        <v>62318.9823085065</v>
      </c>
      <c r="I73" s="66" t="n">
        <f aca="false">I72+I71</f>
        <v>63461.2793599242</v>
      </c>
      <c r="J73" s="66" t="n">
        <f aca="false">J72+J71</f>
        <v>64603.576411342</v>
      </c>
      <c r="K73" s="66" t="n">
        <f aca="false">K72+K71</f>
        <v>65745.8734627598</v>
      </c>
      <c r="L73" s="66" t="n">
        <f aca="false">L72+L71</f>
        <v>66888.1705141776</v>
      </c>
      <c r="M73" s="66" t="n">
        <f aca="false">M72+M71</f>
        <v>68030.4675655953</v>
      </c>
      <c r="N73" s="66" t="n">
        <f aca="false">N72+N71</f>
        <v>69172.7646170131</v>
      </c>
      <c r="O73" s="66" t="n">
        <f aca="false">O72+O71</f>
        <v>70438.8246017642</v>
      </c>
      <c r="P73" s="66" t="n">
        <f aca="false">P72+P71</f>
        <v>71676.5805865153</v>
      </c>
      <c r="Q73" s="66" t="n">
        <f aca="false">Q72+Q71</f>
        <v>72914.3365712664</v>
      </c>
      <c r="R73" s="66" t="n">
        <f aca="false">R72+R71</f>
        <v>74152.0925560175</v>
      </c>
      <c r="S73" s="66" t="n">
        <f aca="false">S72+S71</f>
        <v>75389.8485407686</v>
      </c>
      <c r="T73" s="66" t="n">
        <f aca="false">T72+T71</f>
        <v>76627.6045255197</v>
      </c>
      <c r="U73" s="66" t="n">
        <f aca="false">U72+U71</f>
        <v>77865.3605102708</v>
      </c>
      <c r="V73" s="66" t="n">
        <f aca="false">V72+V71</f>
        <v>79103.1164950219</v>
      </c>
      <c r="W73" s="66" t="n">
        <f aca="false">W72+W71</f>
        <v>80340.872479773</v>
      </c>
      <c r="X73" s="66" t="n">
        <f aca="false">X72+X71</f>
        <v>81578.6284645241</v>
      </c>
      <c r="Y73" s="66" t="n">
        <f aca="false">Y72+Y71</f>
        <v>82816.3844492752</v>
      </c>
      <c r="Z73" s="66" t="n">
        <f aca="false">Z72+Z71</f>
        <v>84054.1404340263</v>
      </c>
      <c r="AA73" s="66" t="n">
        <f aca="false">AA72+AA71</f>
        <v>85415.3312774441</v>
      </c>
      <c r="AB73" s="66" t="n">
        <f aca="false">AB72+AB71</f>
        <v>86747.2920408618</v>
      </c>
      <c r="AC73" s="66" t="n">
        <f aca="false">AC72+AC71</f>
        <v>88079.2528042796</v>
      </c>
      <c r="AD73" s="66" t="n">
        <f aca="false">AD72+AD71</f>
        <v>89411.2135676974</v>
      </c>
      <c r="AE73" s="66" t="n">
        <f aca="false">AE72+AE71</f>
        <v>90743.1743311151</v>
      </c>
      <c r="AF73" s="66" t="n">
        <f aca="false">AF72+AF71</f>
        <v>92075.1350945329</v>
      </c>
      <c r="AG73" s="66" t="n">
        <f aca="false">AG72+AG71</f>
        <v>93407.0958579507</v>
      </c>
      <c r="AH73" s="66" t="n">
        <f aca="false">AH72+AH71</f>
        <v>94739.0566213684</v>
      </c>
      <c r="AI73" s="66" t="n">
        <f aca="false">AI72+AI71</f>
        <v>96071.0173847862</v>
      </c>
      <c r="AJ73" s="66" t="n">
        <f aca="false">AJ72+AJ71</f>
        <v>97402.978148204</v>
      </c>
      <c r="AK73" s="66" t="n">
        <f aca="false">AK72+AK71</f>
        <v>98734.9389116217</v>
      </c>
      <c r="AL73" s="66" t="n">
        <f aca="false">AL72+AL71</f>
        <v>100066.899675039</v>
      </c>
      <c r="AM73" s="66" t="n">
        <f aca="false">AM72+AM71</f>
        <v>101521.848527631</v>
      </c>
      <c r="AN73" s="66" t="n">
        <f aca="false">AN72+AN71</f>
        <v>102946.608298622</v>
      </c>
      <c r="AO73" s="66" t="n">
        <f aca="false">AO72+AO71</f>
        <v>104371.368069613</v>
      </c>
      <c r="AP73" s="66" t="n">
        <f aca="false">AP72+AP71</f>
        <v>105796.127840604</v>
      </c>
      <c r="AQ73" s="66" t="n">
        <f aca="false">AQ72+AQ71</f>
        <v>107220.887611595</v>
      </c>
      <c r="AR73" s="66" t="n">
        <f aca="false">AR72+AR71</f>
        <v>108645.647382586</v>
      </c>
      <c r="AS73" s="66" t="n">
        <f aca="false">AS72+AS71</f>
        <v>110070.407153577</v>
      </c>
      <c r="AT73" s="66" t="n">
        <f aca="false">AT72+AT71</f>
        <v>111495.166924568</v>
      </c>
      <c r="AU73" s="66" t="n">
        <f aca="false">AU72+AU71</f>
        <v>112919.926695559</v>
      </c>
      <c r="AV73" s="66" t="n">
        <f aca="false">AV72+AV71</f>
        <v>114344.686466551</v>
      </c>
      <c r="AW73" s="66" t="n">
        <f aca="false">AW72+AW71</f>
        <v>115769.446237542</v>
      </c>
      <c r="AX73" s="66" t="n">
        <f aca="false">AX72+AX71</f>
        <v>117194.206008533</v>
      </c>
      <c r="AY73" s="66" t="n">
        <f aca="false">AY72+AY71</f>
        <v>118741.381545147</v>
      </c>
      <c r="AZ73" s="66" t="n">
        <f aca="false">AZ72+AZ71</f>
        <v>120257.37484253</v>
      </c>
      <c r="BA73" s="66" t="n">
        <f aca="false">BA72+BA71</f>
        <v>121773.368139912</v>
      </c>
      <c r="BB73" s="66" t="n">
        <f aca="false">BB72+BB71</f>
        <v>123289.361437295</v>
      </c>
      <c r="BC73" s="66" t="n">
        <f aca="false">BC72+BC71</f>
        <v>124805.354734678</v>
      </c>
      <c r="BD73" s="66" t="n">
        <f aca="false">BD72+BD71</f>
        <v>126321.34803206</v>
      </c>
      <c r="BE73" s="66" t="n">
        <f aca="false">BE72+BE71</f>
        <v>127837.341329443</v>
      </c>
      <c r="BF73" s="66" t="n">
        <f aca="false">BF72+BF71</f>
        <v>129353.334626825</v>
      </c>
      <c r="BG73" s="66" t="n">
        <f aca="false">BG72+BG71</f>
        <v>130869.327924208</v>
      </c>
      <c r="BH73" s="66" t="n">
        <f aca="false">BH72+BH71</f>
        <v>132385.32122159</v>
      </c>
      <c r="BI73" s="66" t="n">
        <f aca="false">BI72+BI71</f>
        <v>133901.314518973</v>
      </c>
      <c r="BJ73" s="66" t="n">
        <f aca="false">BJ72+BJ71</f>
        <v>135417.307816356</v>
      </c>
    </row>
    <row r="74" customFormat="false" ht="15" hidden="false" customHeight="false" outlineLevel="0" collapsed="false">
      <c r="A74" s="112" t="s">
        <v>439</v>
      </c>
      <c r="C74" s="113" t="n">
        <f aca="false">IF(C28&gt;0,1,0)</f>
        <v>1</v>
      </c>
      <c r="D74" s="113" t="n">
        <f aca="false">IF(D28&gt;0,1,0)</f>
        <v>1</v>
      </c>
      <c r="E74" s="113" t="n">
        <f aca="false">IF(E28&gt;0,1,0)</f>
        <v>1</v>
      </c>
      <c r="F74" s="113" t="n">
        <f aca="false">IF(F28&gt;0,1,0)</f>
        <v>1</v>
      </c>
      <c r="G74" s="113" t="n">
        <f aca="false">IF(G28&gt;0,1,0)</f>
        <v>1</v>
      </c>
      <c r="H74" s="113" t="n">
        <f aca="false">IF(H28&gt;0,1,0)</f>
        <v>1</v>
      </c>
      <c r="I74" s="113" t="n">
        <f aca="false">IF(I28&gt;0,1,0)</f>
        <v>1</v>
      </c>
      <c r="J74" s="113" t="n">
        <f aca="false">IF(J28&gt;0,1,0)</f>
        <v>1</v>
      </c>
      <c r="K74" s="113" t="n">
        <f aca="false">IF(K28&gt;0,1,0)</f>
        <v>1</v>
      </c>
      <c r="L74" s="113" t="n">
        <f aca="false">IF(L28&gt;0,1,0)</f>
        <v>1</v>
      </c>
      <c r="M74" s="113" t="n">
        <f aca="false">IF(M28&gt;0,1,0)</f>
        <v>1</v>
      </c>
      <c r="N74" s="113" t="n">
        <f aca="false">IF(N28&gt;0,1,0)</f>
        <v>1</v>
      </c>
      <c r="O74" s="113" t="n">
        <f aca="false">IF(O28&gt;0,1,0)</f>
        <v>1</v>
      </c>
      <c r="P74" s="113" t="n">
        <f aca="false">IF(P28&gt;0,1,0)</f>
        <v>1</v>
      </c>
      <c r="Q74" s="113" t="n">
        <f aca="false">IF(Q28&gt;0,1,0)</f>
        <v>1</v>
      </c>
      <c r="R74" s="113" t="n">
        <f aca="false">IF(R28&gt;0,1,0)</f>
        <v>1</v>
      </c>
      <c r="S74" s="113" t="n">
        <f aca="false">IF(S28&gt;0,1,0)</f>
        <v>1</v>
      </c>
      <c r="T74" s="113" t="n">
        <f aca="false">IF(T28&gt;0,1,0)</f>
        <v>1</v>
      </c>
      <c r="U74" s="113" t="n">
        <f aca="false">IF(U28&gt;0,1,0)</f>
        <v>1</v>
      </c>
      <c r="V74" s="113" t="n">
        <f aca="false">IF(V28&gt;0,1,0)</f>
        <v>1</v>
      </c>
      <c r="W74" s="113" t="n">
        <f aca="false">IF(W28&gt;0,1,0)</f>
        <v>1</v>
      </c>
      <c r="X74" s="113" t="n">
        <f aca="false">IF(X28&gt;0,1,0)</f>
        <v>1</v>
      </c>
      <c r="Y74" s="113" t="n">
        <f aca="false">IF(Y28&gt;0,1,0)</f>
        <v>1</v>
      </c>
      <c r="Z74" s="113" t="n">
        <f aca="false">IF(Z28&gt;0,1,0)</f>
        <v>1</v>
      </c>
      <c r="AA74" s="113" t="n">
        <f aca="false">IF(AA28&gt;0,1,0)</f>
        <v>1</v>
      </c>
      <c r="AB74" s="113" t="n">
        <f aca="false">IF(AB28&gt;0,1,0)</f>
        <v>1</v>
      </c>
      <c r="AC74" s="113" t="n">
        <f aca="false">IF(AC28&gt;0,1,0)</f>
        <v>1</v>
      </c>
      <c r="AD74" s="113" t="n">
        <f aca="false">IF(AD28&gt;0,1,0)</f>
        <v>1</v>
      </c>
      <c r="AE74" s="113" t="n">
        <f aca="false">IF(AE28&gt;0,1,0)</f>
        <v>1</v>
      </c>
      <c r="AF74" s="113" t="n">
        <f aca="false">IF(AF28&gt;0,1,0)</f>
        <v>1</v>
      </c>
      <c r="AG74" s="113" t="n">
        <f aca="false">IF(AG28&gt;0,1,0)</f>
        <v>1</v>
      </c>
      <c r="AH74" s="113" t="n">
        <f aca="false">IF(AH28&gt;0,1,0)</f>
        <v>1</v>
      </c>
      <c r="AI74" s="113" t="n">
        <f aca="false">IF(AI28&gt;0,1,0)</f>
        <v>1</v>
      </c>
      <c r="AJ74" s="113" t="n">
        <f aca="false">IF(AJ28&gt;0,1,0)</f>
        <v>1</v>
      </c>
      <c r="AK74" s="113" t="n">
        <f aca="false">IF(AK28&gt;0,1,0)</f>
        <v>1</v>
      </c>
      <c r="AL74" s="113" t="n">
        <f aca="false">IF(AL28&gt;0,1,0)</f>
        <v>1</v>
      </c>
      <c r="AM74" s="113" t="n">
        <f aca="false">IF(AM28&gt;0,1,0)</f>
        <v>1</v>
      </c>
      <c r="AN74" s="113" t="n">
        <f aca="false">IF(AN28&gt;0,1,0)</f>
        <v>1</v>
      </c>
      <c r="AO74" s="113" t="n">
        <f aca="false">IF(AO28&gt;0,1,0)</f>
        <v>1</v>
      </c>
      <c r="AP74" s="113" t="n">
        <f aca="false">IF(AP28&gt;0,1,0)</f>
        <v>1</v>
      </c>
      <c r="AQ74" s="113" t="n">
        <f aca="false">IF(AQ28&gt;0,1,0)</f>
        <v>1</v>
      </c>
      <c r="AR74" s="113" t="n">
        <f aca="false">IF(AR28&gt;0,1,0)</f>
        <v>1</v>
      </c>
      <c r="AS74" s="113" t="n">
        <f aca="false">IF(AS28&gt;0,1,0)</f>
        <v>1</v>
      </c>
      <c r="AT74" s="113" t="n">
        <f aca="false">IF(AT28&gt;0,1,0)</f>
        <v>1</v>
      </c>
      <c r="AU74" s="113" t="n">
        <f aca="false">IF(AU28&gt;0,1,0)</f>
        <v>1</v>
      </c>
      <c r="AV74" s="113" t="n">
        <f aca="false">IF(AV28&gt;0,1,0)</f>
        <v>1</v>
      </c>
      <c r="AW74" s="113" t="n">
        <f aca="false">IF(AW28&gt;0,1,0)</f>
        <v>1</v>
      </c>
      <c r="AX74" s="113" t="n">
        <f aca="false">IF(AX28&gt;0,1,0)</f>
        <v>1</v>
      </c>
      <c r="AY74" s="113" t="n">
        <f aca="false">IF(AY28&gt;0,1,0)</f>
        <v>1</v>
      </c>
      <c r="AZ74" s="113" t="n">
        <f aca="false">IF(AZ28&gt;0,1,0)</f>
        <v>1</v>
      </c>
      <c r="BA74" s="113" t="n">
        <f aca="false">IF(BA28&gt;0,1,0)</f>
        <v>1</v>
      </c>
      <c r="BB74" s="113" t="n">
        <f aca="false">IF(BB28&gt;0,1,0)</f>
        <v>1</v>
      </c>
      <c r="BC74" s="113" t="n">
        <f aca="false">IF(BC28&gt;0,1,0)</f>
        <v>1</v>
      </c>
      <c r="BD74" s="113" t="n">
        <f aca="false">IF(BD28&gt;0,1,0)</f>
        <v>1</v>
      </c>
      <c r="BE74" s="113" t="n">
        <f aca="false">IF(BE28&gt;0,1,0)</f>
        <v>1</v>
      </c>
      <c r="BF74" s="113" t="n">
        <f aca="false">IF(BF28&gt;0,1,0)</f>
        <v>1</v>
      </c>
      <c r="BG74" s="113" t="n">
        <f aca="false">IF(BG28&gt;0,1,0)</f>
        <v>1</v>
      </c>
      <c r="BH74" s="113" t="n">
        <f aca="false">IF(BH28&gt;0,1,0)</f>
        <v>1</v>
      </c>
      <c r="BI74" s="113" t="n">
        <f aca="false">IF(BI28&gt;0,1,0)</f>
        <v>1</v>
      </c>
      <c r="BJ74" s="113" t="n">
        <f aca="false">IF(BJ28&gt;0,1,0)</f>
        <v>1</v>
      </c>
    </row>
    <row r="76" customFormat="false" ht="15.75" hidden="false" customHeight="true" outlineLevel="0" collapsed="false">
      <c r="A76" s="7" t="s">
        <v>440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112" t="s">
        <v>441</v>
      </c>
      <c r="C77" s="113" t="n">
        <f aca="false">IF(C37&gt;0,1,0)</f>
        <v>0</v>
      </c>
      <c r="D77" s="113" t="n">
        <f aca="false">IF(D37&gt;0,1,0)</f>
        <v>0</v>
      </c>
      <c r="E77" s="113" t="n">
        <f aca="false">IF(E37&gt;0,1,0)</f>
        <v>0</v>
      </c>
      <c r="F77" s="113" t="n">
        <f aca="false">IF(F37&gt;0,1,0)</f>
        <v>0</v>
      </c>
      <c r="G77" s="113" t="n">
        <f aca="false">IF(G37&gt;0,1,0)</f>
        <v>0</v>
      </c>
      <c r="H77" s="113" t="n">
        <f aca="false">IF(H37&gt;0,1,0)</f>
        <v>0</v>
      </c>
      <c r="I77" s="113" t="n">
        <f aca="false">IF(I37&gt;0,1,0)</f>
        <v>0</v>
      </c>
      <c r="J77" s="113" t="n">
        <f aca="false">IF(J37&gt;0,1,0)</f>
        <v>0</v>
      </c>
      <c r="K77" s="113" t="n">
        <f aca="false">IF(K37&gt;0,1,0)</f>
        <v>0</v>
      </c>
      <c r="L77" s="113" t="n">
        <f aca="false">IF(L37&gt;0,1,0)</f>
        <v>0</v>
      </c>
      <c r="M77" s="113" t="n">
        <f aca="false">IF(M37&gt;0,1,0)</f>
        <v>0</v>
      </c>
      <c r="N77" s="113" t="n">
        <f aca="false">IF(N37&gt;0,1,0)</f>
        <v>0</v>
      </c>
      <c r="O77" s="113" t="n">
        <f aca="false">IF(O37&gt;0,1,0)</f>
        <v>0</v>
      </c>
      <c r="P77" s="113" t="n">
        <f aca="false">IF(P37&gt;0,1,0)</f>
        <v>0</v>
      </c>
      <c r="Q77" s="113" t="n">
        <f aca="false">IF(Q37&gt;0,1,0)</f>
        <v>0</v>
      </c>
      <c r="R77" s="113" t="n">
        <f aca="false">IF(R37&gt;0,1,0)</f>
        <v>0</v>
      </c>
      <c r="S77" s="113" t="n">
        <f aca="false">IF(S37&gt;0,1,0)</f>
        <v>0</v>
      </c>
      <c r="T77" s="113" t="n">
        <f aca="false">IF(T37&gt;0,1,0)</f>
        <v>0</v>
      </c>
      <c r="U77" s="113" t="n">
        <f aca="false">IF(U37&gt;0,1,0)</f>
        <v>0</v>
      </c>
      <c r="V77" s="113" t="n">
        <f aca="false">IF(V37&gt;0,1,0)</f>
        <v>0</v>
      </c>
      <c r="W77" s="113" t="n">
        <f aca="false">IF(W37&gt;0,1,0)</f>
        <v>0</v>
      </c>
      <c r="X77" s="113" t="n">
        <f aca="false">IF(X37&gt;0,1,0)</f>
        <v>0</v>
      </c>
      <c r="Y77" s="113" t="n">
        <f aca="false">IF(Y37&gt;0,1,0)</f>
        <v>0</v>
      </c>
      <c r="Z77" s="113" t="n">
        <f aca="false">IF(Z37&gt;0,1,0)</f>
        <v>0</v>
      </c>
      <c r="AA77" s="113" t="n">
        <f aca="false">IF(AA37&gt;0,1,0)</f>
        <v>0</v>
      </c>
      <c r="AB77" s="113" t="n">
        <f aca="false">IF(AB37&gt;0,1,0)</f>
        <v>0</v>
      </c>
      <c r="AC77" s="113" t="n">
        <f aca="false">IF(AC37&gt;0,1,0)</f>
        <v>0</v>
      </c>
      <c r="AD77" s="113" t="n">
        <f aca="false">IF(AD37&gt;0,1,0)</f>
        <v>0</v>
      </c>
      <c r="AE77" s="113" t="n">
        <f aca="false">IF(AE37&gt;0,1,0)</f>
        <v>0</v>
      </c>
      <c r="AF77" s="113" t="n">
        <f aca="false">IF(AF37&gt;0,1,0)</f>
        <v>0</v>
      </c>
      <c r="AG77" s="113" t="n">
        <f aca="false">IF(AG37&gt;0,1,0)</f>
        <v>0</v>
      </c>
      <c r="AH77" s="113" t="n">
        <f aca="false">IF(AH37&gt;0,1,0)</f>
        <v>0</v>
      </c>
      <c r="AI77" s="113" t="n">
        <f aca="false">IF(AI37&gt;0,1,0)</f>
        <v>0</v>
      </c>
      <c r="AJ77" s="113" t="n">
        <f aca="false">IF(AJ37&gt;0,1,0)</f>
        <v>0</v>
      </c>
      <c r="AK77" s="113" t="n">
        <f aca="false">IF(AK37&gt;0,1,0)</f>
        <v>0</v>
      </c>
      <c r="AL77" s="113" t="n">
        <f aca="false">IF(AL37&gt;0,1,0)</f>
        <v>0</v>
      </c>
      <c r="AM77" s="113" t="n">
        <f aca="false">IF(AM37&gt;0,1,0)</f>
        <v>0</v>
      </c>
      <c r="AN77" s="113" t="n">
        <f aca="false">IF(AN37&gt;0,1,0)</f>
        <v>0</v>
      </c>
      <c r="AO77" s="113" t="n">
        <f aca="false">IF(AO37&gt;0,1,0)</f>
        <v>0</v>
      </c>
      <c r="AP77" s="113" t="n">
        <f aca="false">IF(AP37&gt;0,1,0)</f>
        <v>0</v>
      </c>
      <c r="AQ77" s="113" t="n">
        <f aca="false">IF(AQ37&gt;0,1,0)</f>
        <v>0</v>
      </c>
      <c r="AR77" s="113" t="n">
        <f aca="false">IF(AR37&gt;0,1,0)</f>
        <v>0</v>
      </c>
      <c r="AS77" s="113" t="n">
        <f aca="false">IF(AS37&gt;0,1,0)</f>
        <v>0</v>
      </c>
      <c r="AT77" s="113" t="n">
        <f aca="false">IF(AT37&gt;0,1,0)</f>
        <v>0</v>
      </c>
      <c r="AU77" s="113" t="n">
        <f aca="false">IF(AU37&gt;0,1,0)</f>
        <v>0</v>
      </c>
      <c r="AV77" s="113" t="n">
        <f aca="false">IF(AV37&gt;0,1,0)</f>
        <v>0</v>
      </c>
      <c r="AW77" s="113" t="n">
        <f aca="false">IF(AW37&gt;0,1,0)</f>
        <v>0</v>
      </c>
      <c r="AX77" s="113" t="n">
        <f aca="false">IF(AX37&gt;0,1,0)</f>
        <v>0</v>
      </c>
      <c r="AY77" s="113" t="n">
        <f aca="false">IF(AY37&gt;0,1,0)</f>
        <v>0</v>
      </c>
      <c r="AZ77" s="113" t="n">
        <f aca="false">IF(AZ37&gt;0,1,0)</f>
        <v>0</v>
      </c>
      <c r="BA77" s="113" t="n">
        <f aca="false">IF(BA37&gt;0,1,0)</f>
        <v>0</v>
      </c>
      <c r="BB77" s="113" t="n">
        <f aca="false">IF(BB37&gt;0,1,0)</f>
        <v>0</v>
      </c>
      <c r="BC77" s="113" t="n">
        <f aca="false">IF(BC37&gt;0,1,0)</f>
        <v>0</v>
      </c>
      <c r="BD77" s="113" t="n">
        <f aca="false">IF(BD37&gt;0,1,0)</f>
        <v>0</v>
      </c>
      <c r="BE77" s="113" t="n">
        <f aca="false">IF(BE37&gt;0,1,0)</f>
        <v>0</v>
      </c>
      <c r="BF77" s="113" t="n">
        <f aca="false">IF(BF37&gt;0,1,0)</f>
        <v>0</v>
      </c>
      <c r="BG77" s="113" t="n">
        <f aca="false">IF(BG37&gt;0,1,0)</f>
        <v>0</v>
      </c>
      <c r="BH77" s="113" t="n">
        <f aca="false">IF(BH37&gt;0,1,0)</f>
        <v>0</v>
      </c>
      <c r="BI77" s="113" t="n">
        <f aca="false">IF(BI37&gt;0,1,0)</f>
        <v>0</v>
      </c>
      <c r="BJ77" s="113" t="n">
        <f aca="false">IF(BJ37&gt;0,1,0)</f>
        <v>0</v>
      </c>
    </row>
    <row r="78" customFormat="false" ht="15" hidden="false" customHeight="false" outlineLevel="0" collapsed="false">
      <c r="A78" s="6" t="s">
        <v>442</v>
      </c>
      <c r="C78" s="65" t="n">
        <f aca="false">C67+C68</f>
        <v>-1902307.68666667</v>
      </c>
      <c r="D78" s="65" t="n">
        <f aca="false">D67+D68</f>
        <v>2232.98942152704</v>
      </c>
      <c r="E78" s="65" t="n">
        <f aca="false">E67+E68</f>
        <v>2238.8973385318</v>
      </c>
      <c r="F78" s="65" t="n">
        <f aca="false">F67+F68</f>
        <v>2244.83725675367</v>
      </c>
      <c r="G78" s="65" t="n">
        <f aca="false">G67+G68</f>
        <v>2250.80934953257</v>
      </c>
      <c r="H78" s="65" t="n">
        <f aca="false">H67+H68</f>
        <v>2256.81379114736</v>
      </c>
      <c r="I78" s="65" t="n">
        <f aca="false">I67+I68</f>
        <v>2262.8507568209</v>
      </c>
      <c r="J78" s="65" t="n">
        <f aca="false">J67+J68</f>
        <v>2268.92042272516</v>
      </c>
      <c r="K78" s="65" t="n">
        <f aca="false">K67+K68</f>
        <v>2275.02296598641</v>
      </c>
      <c r="L78" s="65" t="n">
        <f aca="false">L67+L68</f>
        <v>2281.15856469033</v>
      </c>
      <c r="M78" s="65" t="n">
        <f aca="false">M67+M68</f>
        <v>2287.32739788722</v>
      </c>
      <c r="N78" s="65" t="n">
        <f aca="false">N67+N68</f>
        <v>2293.52964559726</v>
      </c>
      <c r="O78" s="65" t="n">
        <f aca="false">O67+O68</f>
        <v>2423.52842214907</v>
      </c>
      <c r="P78" s="65" t="n">
        <f aca="false">P67+P68</f>
        <v>2401.49404285164</v>
      </c>
      <c r="Q78" s="65" t="n">
        <f aca="false">Q67+Q68</f>
        <v>2407.79762399968</v>
      </c>
      <c r="R78" s="65" t="n">
        <f aca="false">R67+R68</f>
        <v>2414.13534954561</v>
      </c>
      <c r="S78" s="65" t="n">
        <f aca="false">S67+S68</f>
        <v>2420.50740443825</v>
      </c>
      <c r="T78" s="65" t="n">
        <f aca="false">T67+T68</f>
        <v>2426.91397462822</v>
      </c>
      <c r="U78" s="65" t="n">
        <f aca="false">U67+U68</f>
        <v>2433.35524707339</v>
      </c>
      <c r="V78" s="65" t="n">
        <f aca="false">V67+V68</f>
        <v>2439.8314097443</v>
      </c>
      <c r="W78" s="65" t="n">
        <f aca="false">W67+W68</f>
        <v>2446.34265162968</v>
      </c>
      <c r="X78" s="65" t="n">
        <f aca="false">X67+X68</f>
        <v>2452.88916274194</v>
      </c>
      <c r="Y78" s="65" t="n">
        <f aca="false">Y67+Y68</f>
        <v>2459.47113412272</v>
      </c>
      <c r="Z78" s="65" t="n">
        <f aca="false">Z67+Z68</f>
        <v>2466.08875784849</v>
      </c>
      <c r="AA78" s="65" t="n">
        <f aca="false">AA67+AA68</f>
        <v>2596.17708570276</v>
      </c>
      <c r="AB78" s="65" t="n">
        <f aca="false">AB67+AB68</f>
        <v>2573.63651451514</v>
      </c>
      <c r="AC78" s="65" t="n">
        <f aca="false">AC67+AC68</f>
        <v>2580.36225816692</v>
      </c>
      <c r="AD78" s="65" t="n">
        <f aca="false">AD67+AD68</f>
        <v>2587.12443293014</v>
      </c>
      <c r="AE78" s="65" t="n">
        <f aca="false">AE67+AE68</f>
        <v>2593.92323614</v>
      </c>
      <c r="AF78" s="65" t="n">
        <f aca="false">AF67+AF68</f>
        <v>2600.75886620058</v>
      </c>
      <c r="AG78" s="65" t="n">
        <f aca="false">AG67+AG68</f>
        <v>2607.63152259065</v>
      </c>
      <c r="AH78" s="65" t="n">
        <f aca="false">AH67+AH68</f>
        <v>2614.5414058695</v>
      </c>
      <c r="AI78" s="65" t="n">
        <f aca="false">AI67+AI68</f>
        <v>2621.48871768278</v>
      </c>
      <c r="AJ78" s="65" t="n">
        <f aca="false">AJ67+AJ68</f>
        <v>2628.47366076839</v>
      </c>
      <c r="AK78" s="65" t="n">
        <f aca="false">AK67+AK68</f>
        <v>2635.49643896237</v>
      </c>
      <c r="AL78" s="65" t="n">
        <f aca="false">AL67+AL68</f>
        <v>2642.5572572049</v>
      </c>
      <c r="AM78" s="65" t="n">
        <f aca="false">AM67+AM68</f>
        <v>2772.64441071958</v>
      </c>
      <c r="AN78" s="65" t="n">
        <f aca="false">AN67+AN68</f>
        <v>2749.59284672611</v>
      </c>
      <c r="AO78" s="65" t="n">
        <f aca="false">AO67+AO68</f>
        <v>2756.76902588634</v>
      </c>
      <c r="AP78" s="65" t="n">
        <f aca="false">AP67+AP68</f>
        <v>2763.98407601703</v>
      </c>
      <c r="AQ78" s="65" t="n">
        <f aca="false">AQ67+AQ68</f>
        <v>2771.23820766925</v>
      </c>
      <c r="AR78" s="65" t="n">
        <f aca="false">AR67+AR68</f>
        <v>2778.53163253459</v>
      </c>
      <c r="AS78" s="65" t="n">
        <f aca="false">AS67+AS68</f>
        <v>2785.86456345128</v>
      </c>
      <c r="AT78" s="65" t="n">
        <f aca="false">AT67+AT68</f>
        <v>2793.23721441044</v>
      </c>
      <c r="AU78" s="65" t="n">
        <f aca="false">AU67+AU68</f>
        <v>2800.6498005623</v>
      </c>
      <c r="AV78" s="65" t="n">
        <f aca="false">AV67+AV68</f>
        <v>2808.10253822247</v>
      </c>
      <c r="AW78" s="65" t="n">
        <f aca="false">AW67+AW68</f>
        <v>2815.59564487831</v>
      </c>
      <c r="AX78" s="65" t="n">
        <f aca="false">AX67+AX68</f>
        <v>2823.1293391952</v>
      </c>
      <c r="AY78" s="65" t="n">
        <f aca="false">AY67+AY68</f>
        <v>2953.11960664644</v>
      </c>
      <c r="AZ78" s="65" t="n">
        <f aca="false">AZ67+AZ68</f>
        <v>2929.55289779378</v>
      </c>
      <c r="BA78" s="65" t="n">
        <f aca="false">BA67+BA68</f>
        <v>2937.20967896267</v>
      </c>
      <c r="BB78" s="65" t="n">
        <f aca="false">BB67+BB68</f>
        <v>2944.9079343629</v>
      </c>
      <c r="BC78" s="65" t="n">
        <f aca="false">BC67+BC68</f>
        <v>2952.64788864654</v>
      </c>
      <c r="BD78" s="65" t="n">
        <f aca="false">BD67+BD68</f>
        <v>2960.42976768256</v>
      </c>
      <c r="BE78" s="65" t="n">
        <f aca="false">BE67+BE68</f>
        <v>2968.25379856335</v>
      </c>
      <c r="BF78" s="65" t="n">
        <f aca="false">BF67+BF68</f>
        <v>2976.12020961141</v>
      </c>
      <c r="BG78" s="65" t="n">
        <f aca="false">BG67+BG68</f>
        <v>2984.02923038598</v>
      </c>
      <c r="BH78" s="65" t="n">
        <f aca="false">BH67+BH68</f>
        <v>2991.98109168975</v>
      </c>
      <c r="BI78" s="65" t="n">
        <f aca="false">BI67+BI68</f>
        <v>2999.97602557558</v>
      </c>
      <c r="BJ78" s="65" t="n">
        <f aca="false">BJ67+BJ68</f>
        <v>3008.01426535329</v>
      </c>
    </row>
    <row r="79" customFormat="false" ht="15" hidden="false" customHeight="false" outlineLevel="0" collapsed="false">
      <c r="A79" s="6" t="s">
        <v>443</v>
      </c>
      <c r="C79" s="65" t="n">
        <f aca="false">C78</f>
        <v>-1902307.68666667</v>
      </c>
      <c r="D79" s="65" t="n">
        <f aca="false">C79+D78</f>
        <v>-1900074.69724514</v>
      </c>
      <c r="E79" s="65" t="n">
        <f aca="false">D79+E78</f>
        <v>-1897835.79990661</v>
      </c>
      <c r="F79" s="65" t="n">
        <f aca="false">E79+F78</f>
        <v>-1895590.96264985</v>
      </c>
      <c r="G79" s="65" t="n">
        <f aca="false">F79+G78</f>
        <v>-1893340.15330032</v>
      </c>
      <c r="H79" s="65" t="n">
        <f aca="false">G79+H78</f>
        <v>-1891083.33950917</v>
      </c>
      <c r="I79" s="65" t="n">
        <f aca="false">H79+I78</f>
        <v>-1888820.48875235</v>
      </c>
      <c r="J79" s="65" t="n">
        <f aca="false">I79+J78</f>
        <v>-1886551.56832963</v>
      </c>
      <c r="K79" s="65" t="n">
        <f aca="false">J79+K78</f>
        <v>-1884276.54536364</v>
      </c>
      <c r="L79" s="65" t="n">
        <f aca="false">K79+L78</f>
        <v>-1881995.38679895</v>
      </c>
      <c r="M79" s="65" t="n">
        <f aca="false">L79+M78</f>
        <v>-1879708.05940106</v>
      </c>
      <c r="N79" s="65" t="n">
        <f aca="false">M79+N78</f>
        <v>-1877414.52975547</v>
      </c>
      <c r="O79" s="65" t="n">
        <f aca="false">N79+O78</f>
        <v>-1874991.00133332</v>
      </c>
      <c r="P79" s="65" t="n">
        <f aca="false">O79+P78</f>
        <v>-1872589.50729047</v>
      </c>
      <c r="Q79" s="65" t="n">
        <f aca="false">P79+Q78</f>
        <v>-1870181.70966647</v>
      </c>
      <c r="R79" s="65" t="n">
        <f aca="false">Q79+R78</f>
        <v>-1867767.57431692</v>
      </c>
      <c r="S79" s="65" t="n">
        <f aca="false">R79+S78</f>
        <v>-1865347.06691248</v>
      </c>
      <c r="T79" s="65" t="n">
        <f aca="false">S79+T78</f>
        <v>-1862920.15293785</v>
      </c>
      <c r="U79" s="65" t="n">
        <f aca="false">T79+U78</f>
        <v>-1860486.79769078</v>
      </c>
      <c r="V79" s="65" t="n">
        <f aca="false">U79+V78</f>
        <v>-1858046.96628104</v>
      </c>
      <c r="W79" s="65" t="n">
        <f aca="false">V79+W78</f>
        <v>-1855600.62362941</v>
      </c>
      <c r="X79" s="65" t="n">
        <f aca="false">W79+X78</f>
        <v>-1853147.73446667</v>
      </c>
      <c r="Y79" s="65" t="n">
        <f aca="false">X79+Y78</f>
        <v>-1850688.26333254</v>
      </c>
      <c r="Z79" s="65" t="n">
        <f aca="false">Y79+Z78</f>
        <v>-1848222.17457469</v>
      </c>
      <c r="AA79" s="65" t="n">
        <f aca="false">Z79+AA78</f>
        <v>-1845625.99748899</v>
      </c>
      <c r="AB79" s="65" t="n">
        <f aca="false">AA79+AB78</f>
        <v>-1843052.36097448</v>
      </c>
      <c r="AC79" s="65" t="n">
        <f aca="false">AB79+AC78</f>
        <v>-1840471.99871631</v>
      </c>
      <c r="AD79" s="65" t="n">
        <f aca="false">AC79+AD78</f>
        <v>-1837884.87428338</v>
      </c>
      <c r="AE79" s="65" t="n">
        <f aca="false">AD79+AE78</f>
        <v>-1835290.95104724</v>
      </c>
      <c r="AF79" s="65" t="n">
        <f aca="false">AE79+AF78</f>
        <v>-1832690.19218104</v>
      </c>
      <c r="AG79" s="65" t="n">
        <f aca="false">AF79+AG78</f>
        <v>-1830082.56065845</v>
      </c>
      <c r="AH79" s="65" t="n">
        <f aca="false">AG79+AH78</f>
        <v>-1827468.01925258</v>
      </c>
      <c r="AI79" s="65" t="n">
        <f aca="false">AH79+AI78</f>
        <v>-1824846.5305349</v>
      </c>
      <c r="AJ79" s="65" t="n">
        <f aca="false">AI79+AJ78</f>
        <v>-1822218.05687413</v>
      </c>
      <c r="AK79" s="65" t="n">
        <f aca="false">AJ79+AK78</f>
        <v>-1819582.56043516</v>
      </c>
      <c r="AL79" s="65" t="n">
        <f aca="false">AK79+AL78</f>
        <v>-1816940.00317796</v>
      </c>
      <c r="AM79" s="65" t="n">
        <f aca="false">AL79+AM78</f>
        <v>-1814167.35876724</v>
      </c>
      <c r="AN79" s="65" t="n">
        <f aca="false">AM79+AN78</f>
        <v>-1811417.76592051</v>
      </c>
      <c r="AO79" s="65" t="n">
        <f aca="false">AN79+AO78</f>
        <v>-1808660.99689463</v>
      </c>
      <c r="AP79" s="65" t="n">
        <f aca="false">AO79+AP78</f>
        <v>-1805897.01281861</v>
      </c>
      <c r="AQ79" s="65" t="n">
        <f aca="false">AP79+AQ78</f>
        <v>-1803125.77461094</v>
      </c>
      <c r="AR79" s="65" t="n">
        <f aca="false">AQ79+AR78</f>
        <v>-1800347.24297841</v>
      </c>
      <c r="AS79" s="65" t="n">
        <f aca="false">AR79+AS78</f>
        <v>-1797561.37841495</v>
      </c>
      <c r="AT79" s="65" t="n">
        <f aca="false">AS79+AT78</f>
        <v>-1794768.14120054</v>
      </c>
      <c r="AU79" s="65" t="n">
        <f aca="false">AT79+AU78</f>
        <v>-1791967.49139998</v>
      </c>
      <c r="AV79" s="65" t="n">
        <f aca="false">AU79+AV78</f>
        <v>-1789159.38886176</v>
      </c>
      <c r="AW79" s="65" t="n">
        <f aca="false">AV79+AW78</f>
        <v>-1786343.79321688</v>
      </c>
      <c r="AX79" s="65" t="n">
        <f aca="false">AW79+AX78</f>
        <v>-1783520.66387769</v>
      </c>
      <c r="AY79" s="65" t="n">
        <f aca="false">AX79+AY78</f>
        <v>-1780567.54427104</v>
      </c>
      <c r="AZ79" s="65" t="n">
        <f aca="false">AY79+AZ78</f>
        <v>-1777637.99137325</v>
      </c>
      <c r="BA79" s="65" t="n">
        <f aca="false">AZ79+BA78</f>
        <v>-1774700.78169428</v>
      </c>
      <c r="BB79" s="65" t="n">
        <f aca="false">BA79+BB78</f>
        <v>-1771755.87375992</v>
      </c>
      <c r="BC79" s="65" t="n">
        <f aca="false">BB79+BC78</f>
        <v>-1768803.22587127</v>
      </c>
      <c r="BD79" s="65" t="n">
        <f aca="false">BC79+BD78</f>
        <v>-1765842.79610359</v>
      </c>
      <c r="BE79" s="65" t="n">
        <f aca="false">BD79+BE78</f>
        <v>-1762874.54230503</v>
      </c>
      <c r="BF79" s="65" t="n">
        <f aca="false">BE79+BF78</f>
        <v>-1759898.42209542</v>
      </c>
      <c r="BG79" s="65" t="n">
        <f aca="false">BF79+BG78</f>
        <v>-1756914.39286503</v>
      </c>
      <c r="BH79" s="65" t="n">
        <f aca="false">BG79+BH78</f>
        <v>-1753922.41177334</v>
      </c>
      <c r="BI79" s="65" t="n">
        <f aca="false">BH79+BI78</f>
        <v>-1750922.43574777</v>
      </c>
      <c r="BJ79" s="65" t="n">
        <f aca="false">BI79+BJ78</f>
        <v>-1747914.42148241</v>
      </c>
    </row>
    <row r="80" customFormat="false" ht="15" hidden="false" customHeight="false" outlineLevel="0" collapsed="false">
      <c r="A80" s="112" t="s">
        <v>444</v>
      </c>
      <c r="C80" s="65" t="n">
        <f aca="false">C79</f>
        <v>-1902307.68666667</v>
      </c>
      <c r="D80" s="65" t="n">
        <f aca="false">MIN(C80,D79)</f>
        <v>-1902307.68666667</v>
      </c>
      <c r="E80" s="65" t="n">
        <f aca="false">MIN(D80,E79)</f>
        <v>-1902307.68666667</v>
      </c>
      <c r="F80" s="65" t="n">
        <f aca="false">MIN(E80,F79)</f>
        <v>-1902307.68666667</v>
      </c>
      <c r="G80" s="65" t="n">
        <f aca="false">MIN(F80,G79)</f>
        <v>-1902307.68666667</v>
      </c>
      <c r="H80" s="65" t="n">
        <f aca="false">MIN(G80,H79)</f>
        <v>-1902307.68666667</v>
      </c>
      <c r="I80" s="65" t="n">
        <f aca="false">MIN(H80,I79)</f>
        <v>-1902307.68666667</v>
      </c>
      <c r="J80" s="65" t="n">
        <f aca="false">MIN(I80,J79)</f>
        <v>-1902307.68666667</v>
      </c>
      <c r="K80" s="65" t="n">
        <f aca="false">MIN(J80,K79)</f>
        <v>-1902307.68666667</v>
      </c>
      <c r="L80" s="65" t="n">
        <f aca="false">MIN(K80,L79)</f>
        <v>-1902307.68666667</v>
      </c>
      <c r="M80" s="65" t="n">
        <f aca="false">MIN(L80,M79)</f>
        <v>-1902307.68666667</v>
      </c>
      <c r="N80" s="65" t="n">
        <f aca="false">MIN(M80,N79)</f>
        <v>-1902307.68666667</v>
      </c>
      <c r="O80" s="65" t="n">
        <f aca="false">MIN(N80,O79)</f>
        <v>-1902307.68666667</v>
      </c>
      <c r="P80" s="65" t="n">
        <f aca="false">MIN(O80,P79)</f>
        <v>-1902307.68666667</v>
      </c>
      <c r="Q80" s="65" t="n">
        <f aca="false">MIN(P80,Q79)</f>
        <v>-1902307.68666667</v>
      </c>
      <c r="R80" s="65" t="n">
        <f aca="false">MIN(Q80,R79)</f>
        <v>-1902307.68666667</v>
      </c>
      <c r="S80" s="65" t="n">
        <f aca="false">MIN(R80,S79)</f>
        <v>-1902307.68666667</v>
      </c>
      <c r="T80" s="65" t="n">
        <f aca="false">MIN(S80,T79)</f>
        <v>-1902307.68666667</v>
      </c>
      <c r="U80" s="65" t="n">
        <f aca="false">MIN(T80,U79)</f>
        <v>-1902307.68666667</v>
      </c>
      <c r="V80" s="65" t="n">
        <f aca="false">MIN(U80,V79)</f>
        <v>-1902307.68666667</v>
      </c>
      <c r="W80" s="65" t="n">
        <f aca="false">MIN(V80,W79)</f>
        <v>-1902307.68666667</v>
      </c>
      <c r="X80" s="65" t="n">
        <f aca="false">MIN(W80,X79)</f>
        <v>-1902307.68666667</v>
      </c>
      <c r="Y80" s="65" t="n">
        <f aca="false">MIN(X80,Y79)</f>
        <v>-1902307.68666667</v>
      </c>
      <c r="Z80" s="65" t="n">
        <f aca="false">MIN(Y80,Z79)</f>
        <v>-1902307.68666667</v>
      </c>
      <c r="AA80" s="65" t="n">
        <f aca="false">MIN(Z80,AA79)</f>
        <v>-1902307.68666667</v>
      </c>
      <c r="AB80" s="65" t="n">
        <f aca="false">MIN(AA80,AB79)</f>
        <v>-1902307.68666667</v>
      </c>
      <c r="AC80" s="65" t="n">
        <f aca="false">MIN(AB80,AC79)</f>
        <v>-1902307.68666667</v>
      </c>
      <c r="AD80" s="65" t="n">
        <f aca="false">MIN(AC80,AD79)</f>
        <v>-1902307.68666667</v>
      </c>
      <c r="AE80" s="65" t="n">
        <f aca="false">MIN(AD80,AE79)</f>
        <v>-1902307.68666667</v>
      </c>
      <c r="AF80" s="65" t="n">
        <f aca="false">MIN(AE80,AF79)</f>
        <v>-1902307.68666667</v>
      </c>
      <c r="AG80" s="65" t="n">
        <f aca="false">MIN(AF80,AG79)</f>
        <v>-1902307.68666667</v>
      </c>
      <c r="AH80" s="65" t="n">
        <f aca="false">MIN(AG80,AH79)</f>
        <v>-1902307.68666667</v>
      </c>
      <c r="AI80" s="65" t="n">
        <f aca="false">MIN(AH80,AI79)</f>
        <v>-1902307.68666667</v>
      </c>
      <c r="AJ80" s="65" t="n">
        <f aca="false">MIN(AI80,AJ79)</f>
        <v>-1902307.68666667</v>
      </c>
      <c r="AK80" s="65" t="n">
        <f aca="false">MIN(AJ80,AK79)</f>
        <v>-1902307.68666667</v>
      </c>
      <c r="AL80" s="65" t="n">
        <f aca="false">MIN(AK80,AL79)</f>
        <v>-1902307.68666667</v>
      </c>
      <c r="AM80" s="65" t="n">
        <f aca="false">MIN(AL80,AM79)</f>
        <v>-1902307.68666667</v>
      </c>
      <c r="AN80" s="65" t="n">
        <f aca="false">MIN(AM80,AN79)</f>
        <v>-1902307.68666667</v>
      </c>
      <c r="AO80" s="65" t="n">
        <f aca="false">MIN(AN80,AO79)</f>
        <v>-1902307.68666667</v>
      </c>
      <c r="AP80" s="65" t="n">
        <f aca="false">MIN(AO80,AP79)</f>
        <v>-1902307.68666667</v>
      </c>
      <c r="AQ80" s="65" t="n">
        <f aca="false">MIN(AP80,AQ79)</f>
        <v>-1902307.68666667</v>
      </c>
      <c r="AR80" s="65" t="n">
        <f aca="false">MIN(AQ80,AR79)</f>
        <v>-1902307.68666667</v>
      </c>
      <c r="AS80" s="65" t="n">
        <f aca="false">MIN(AR80,AS79)</f>
        <v>-1902307.68666667</v>
      </c>
      <c r="AT80" s="65" t="n">
        <f aca="false">MIN(AS80,AT79)</f>
        <v>-1902307.68666667</v>
      </c>
      <c r="AU80" s="65" t="n">
        <f aca="false">MIN(AT80,AU79)</f>
        <v>-1902307.68666667</v>
      </c>
      <c r="AV80" s="65" t="n">
        <f aca="false">MIN(AU80,AV79)</f>
        <v>-1902307.68666667</v>
      </c>
      <c r="AW80" s="65" t="n">
        <f aca="false">MIN(AV80,AW79)</f>
        <v>-1902307.68666667</v>
      </c>
      <c r="AX80" s="65" t="n">
        <f aca="false">MIN(AW80,AX79)</f>
        <v>-1902307.68666667</v>
      </c>
      <c r="AY80" s="65" t="n">
        <f aca="false">MIN(AX80,AY79)</f>
        <v>-1902307.68666667</v>
      </c>
      <c r="AZ80" s="65" t="n">
        <f aca="false">MIN(AY80,AZ79)</f>
        <v>-1902307.68666667</v>
      </c>
      <c r="BA80" s="65" t="n">
        <f aca="false">MIN(AZ80,BA79)</f>
        <v>-1902307.68666667</v>
      </c>
      <c r="BB80" s="65" t="n">
        <f aca="false">MIN(BA80,BB79)</f>
        <v>-1902307.68666667</v>
      </c>
      <c r="BC80" s="65" t="n">
        <f aca="false">MIN(BB80,BC79)</f>
        <v>-1902307.68666667</v>
      </c>
      <c r="BD80" s="65" t="n">
        <f aca="false">MIN(BC80,BD79)</f>
        <v>-1902307.68666667</v>
      </c>
      <c r="BE80" s="65" t="n">
        <f aca="false">MIN(BD80,BE79)</f>
        <v>-1902307.68666667</v>
      </c>
      <c r="BF80" s="65" t="n">
        <f aca="false">MIN(BE80,BF79)</f>
        <v>-1902307.68666667</v>
      </c>
      <c r="BG80" s="65" t="n">
        <f aca="false">MIN(BF80,BG79)</f>
        <v>-1902307.68666667</v>
      </c>
      <c r="BH80" s="65" t="n">
        <f aca="false">MIN(BG80,BH79)</f>
        <v>-1902307.68666667</v>
      </c>
      <c r="BI80" s="65" t="n">
        <f aca="false">MIN(BH80,BI79)</f>
        <v>-1902307.68666667</v>
      </c>
      <c r="BJ80" s="65" t="n">
        <f aca="false">MIN(BI80,BJ79)</f>
        <v>-1902307.68666667</v>
      </c>
    </row>
    <row r="81" customFormat="false" ht="15" hidden="false" customHeight="false" outlineLevel="0" collapsed="false">
      <c r="A81" s="112" t="s">
        <v>445</v>
      </c>
      <c r="C81" s="113" t="n">
        <f aca="false">IF(AND(C79&gt;=0,C80&lt;0),1,0)</f>
        <v>0</v>
      </c>
      <c r="D81" s="113" t="n">
        <f aca="false">IF(AND(D79&gt;=0,D80&lt;0),1,0)</f>
        <v>0</v>
      </c>
      <c r="E81" s="113" t="n">
        <f aca="false">IF(AND(E79&gt;=0,E80&lt;0),1,0)</f>
        <v>0</v>
      </c>
      <c r="F81" s="113" t="n">
        <f aca="false">IF(AND(F79&gt;=0,F80&lt;0),1,0)</f>
        <v>0</v>
      </c>
      <c r="G81" s="113" t="n">
        <f aca="false">IF(AND(G79&gt;=0,G80&lt;0),1,0)</f>
        <v>0</v>
      </c>
      <c r="H81" s="113" t="n">
        <f aca="false">IF(AND(H79&gt;=0,H80&lt;0),1,0)</f>
        <v>0</v>
      </c>
      <c r="I81" s="113" t="n">
        <f aca="false">IF(AND(I79&gt;=0,I80&lt;0),1,0)</f>
        <v>0</v>
      </c>
      <c r="J81" s="113" t="n">
        <f aca="false">IF(AND(J79&gt;=0,J80&lt;0),1,0)</f>
        <v>0</v>
      </c>
      <c r="K81" s="113" t="n">
        <f aca="false">IF(AND(K79&gt;=0,K80&lt;0),1,0)</f>
        <v>0</v>
      </c>
      <c r="L81" s="113" t="n">
        <f aca="false">IF(AND(L79&gt;=0,L80&lt;0),1,0)</f>
        <v>0</v>
      </c>
      <c r="M81" s="113" t="n">
        <f aca="false">IF(AND(M79&gt;=0,M80&lt;0),1,0)</f>
        <v>0</v>
      </c>
      <c r="N81" s="113" t="n">
        <f aca="false">IF(AND(N79&gt;=0,N80&lt;0),1,0)</f>
        <v>0</v>
      </c>
      <c r="O81" s="113" t="n">
        <f aca="false">IF(AND(O79&gt;=0,O80&lt;0),1,0)</f>
        <v>0</v>
      </c>
      <c r="P81" s="113" t="n">
        <f aca="false">IF(AND(P79&gt;=0,P80&lt;0),1,0)</f>
        <v>0</v>
      </c>
      <c r="Q81" s="113" t="n">
        <f aca="false">IF(AND(Q79&gt;=0,Q80&lt;0),1,0)</f>
        <v>0</v>
      </c>
      <c r="R81" s="113" t="n">
        <f aca="false">IF(AND(R79&gt;=0,R80&lt;0),1,0)</f>
        <v>0</v>
      </c>
      <c r="S81" s="113" t="n">
        <f aca="false">IF(AND(S79&gt;=0,S80&lt;0),1,0)</f>
        <v>0</v>
      </c>
      <c r="T81" s="113" t="n">
        <f aca="false">IF(AND(T79&gt;=0,T80&lt;0),1,0)</f>
        <v>0</v>
      </c>
      <c r="U81" s="113" t="n">
        <f aca="false">IF(AND(U79&gt;=0,U80&lt;0),1,0)</f>
        <v>0</v>
      </c>
      <c r="V81" s="113" t="n">
        <f aca="false">IF(AND(V79&gt;=0,V80&lt;0),1,0)</f>
        <v>0</v>
      </c>
      <c r="W81" s="113" t="n">
        <f aca="false">IF(AND(W79&gt;=0,W80&lt;0),1,0)</f>
        <v>0</v>
      </c>
      <c r="X81" s="113" t="n">
        <f aca="false">IF(AND(X79&gt;=0,X80&lt;0),1,0)</f>
        <v>0</v>
      </c>
      <c r="Y81" s="113" t="n">
        <f aca="false">IF(AND(Y79&gt;=0,Y80&lt;0),1,0)</f>
        <v>0</v>
      </c>
      <c r="Z81" s="113" t="n">
        <f aca="false">IF(AND(Z79&gt;=0,Z80&lt;0),1,0)</f>
        <v>0</v>
      </c>
      <c r="AA81" s="113" t="n">
        <f aca="false">IF(AND(AA79&gt;=0,AA80&lt;0),1,0)</f>
        <v>0</v>
      </c>
      <c r="AB81" s="113" t="n">
        <f aca="false">IF(AND(AB79&gt;=0,AB80&lt;0),1,0)</f>
        <v>0</v>
      </c>
      <c r="AC81" s="113" t="n">
        <f aca="false">IF(AND(AC79&gt;=0,AC80&lt;0),1,0)</f>
        <v>0</v>
      </c>
      <c r="AD81" s="113" t="n">
        <f aca="false">IF(AND(AD79&gt;=0,AD80&lt;0),1,0)</f>
        <v>0</v>
      </c>
      <c r="AE81" s="113" t="n">
        <f aca="false">IF(AND(AE79&gt;=0,AE80&lt;0),1,0)</f>
        <v>0</v>
      </c>
      <c r="AF81" s="113" t="n">
        <f aca="false">IF(AND(AF79&gt;=0,AF80&lt;0),1,0)</f>
        <v>0</v>
      </c>
      <c r="AG81" s="113" t="n">
        <f aca="false">IF(AND(AG79&gt;=0,AG80&lt;0),1,0)</f>
        <v>0</v>
      </c>
      <c r="AH81" s="113" t="n">
        <f aca="false">IF(AND(AH79&gt;=0,AH80&lt;0),1,0)</f>
        <v>0</v>
      </c>
      <c r="AI81" s="113" t="n">
        <f aca="false">IF(AND(AI79&gt;=0,AI80&lt;0),1,0)</f>
        <v>0</v>
      </c>
      <c r="AJ81" s="113" t="n">
        <f aca="false">IF(AND(AJ79&gt;=0,AJ80&lt;0),1,0)</f>
        <v>0</v>
      </c>
      <c r="AK81" s="113" t="n">
        <f aca="false">IF(AND(AK79&gt;=0,AK80&lt;0),1,0)</f>
        <v>0</v>
      </c>
      <c r="AL81" s="113" t="n">
        <f aca="false">IF(AND(AL79&gt;=0,AL80&lt;0),1,0)</f>
        <v>0</v>
      </c>
      <c r="AM81" s="113" t="n">
        <f aca="false">IF(AND(AM79&gt;=0,AM80&lt;0),1,0)</f>
        <v>0</v>
      </c>
      <c r="AN81" s="113" t="n">
        <f aca="false">IF(AND(AN79&gt;=0,AN80&lt;0),1,0)</f>
        <v>0</v>
      </c>
      <c r="AO81" s="113" t="n">
        <f aca="false">IF(AND(AO79&gt;=0,AO80&lt;0),1,0)</f>
        <v>0</v>
      </c>
      <c r="AP81" s="113" t="n">
        <f aca="false">IF(AND(AP79&gt;=0,AP80&lt;0),1,0)</f>
        <v>0</v>
      </c>
      <c r="AQ81" s="113" t="n">
        <f aca="false">IF(AND(AQ79&gt;=0,AQ80&lt;0),1,0)</f>
        <v>0</v>
      </c>
      <c r="AR81" s="113" t="n">
        <f aca="false">IF(AND(AR79&gt;=0,AR80&lt;0),1,0)</f>
        <v>0</v>
      </c>
      <c r="AS81" s="113" t="n">
        <f aca="false">IF(AND(AS79&gt;=0,AS80&lt;0),1,0)</f>
        <v>0</v>
      </c>
      <c r="AT81" s="113" t="n">
        <f aca="false">IF(AND(AT79&gt;=0,AT80&lt;0),1,0)</f>
        <v>0</v>
      </c>
      <c r="AU81" s="113" t="n">
        <f aca="false">IF(AND(AU79&gt;=0,AU80&lt;0),1,0)</f>
        <v>0</v>
      </c>
      <c r="AV81" s="113" t="n">
        <f aca="false">IF(AND(AV79&gt;=0,AV80&lt;0),1,0)</f>
        <v>0</v>
      </c>
      <c r="AW81" s="113" t="n">
        <f aca="false">IF(AND(AW79&gt;=0,AW80&lt;0),1,0)</f>
        <v>0</v>
      </c>
      <c r="AX81" s="113" t="n">
        <f aca="false">IF(AND(AX79&gt;=0,AX80&lt;0),1,0)</f>
        <v>0</v>
      </c>
      <c r="AY81" s="113" t="n">
        <f aca="false">IF(AND(AY79&gt;=0,AY80&lt;0),1,0)</f>
        <v>0</v>
      </c>
      <c r="AZ81" s="113" t="n">
        <f aca="false">IF(AND(AZ79&gt;=0,AZ80&lt;0),1,0)</f>
        <v>0</v>
      </c>
      <c r="BA81" s="113" t="n">
        <f aca="false">IF(AND(BA79&gt;=0,BA80&lt;0),1,0)</f>
        <v>0</v>
      </c>
      <c r="BB81" s="113" t="n">
        <f aca="false">IF(AND(BB79&gt;=0,BB80&lt;0),1,0)</f>
        <v>0</v>
      </c>
      <c r="BC81" s="113" t="n">
        <f aca="false">IF(AND(BC79&gt;=0,BC80&lt;0),1,0)</f>
        <v>0</v>
      </c>
      <c r="BD81" s="113" t="n">
        <f aca="false">IF(AND(BD79&gt;=0,BD80&lt;0),1,0)</f>
        <v>0</v>
      </c>
      <c r="BE81" s="113" t="n">
        <f aca="false">IF(AND(BE79&gt;=0,BE80&lt;0),1,0)</f>
        <v>0</v>
      </c>
      <c r="BF81" s="113" t="n">
        <f aca="false">IF(AND(BF79&gt;=0,BF80&lt;0),1,0)</f>
        <v>0</v>
      </c>
      <c r="BG81" s="113" t="n">
        <f aca="false">IF(AND(BG79&gt;=0,BG80&lt;0),1,0)</f>
        <v>0</v>
      </c>
      <c r="BH81" s="113" t="n">
        <f aca="false">IF(AND(BH79&gt;=0,BH80&lt;0),1,0)</f>
        <v>0</v>
      </c>
      <c r="BI81" s="113" t="n">
        <f aca="false">IF(AND(BI79&gt;=0,BI80&lt;0),1,0)</f>
        <v>0</v>
      </c>
      <c r="BJ81" s="113" t="n">
        <f aca="false">IF(AND(BJ79&gt;=0,BJ80&lt;0),1,0)</f>
        <v>0</v>
      </c>
    </row>
    <row r="82" customFormat="false" ht="15" hidden="false" customHeight="false" outlineLevel="0" collapsed="false">
      <c r="A82" s="6" t="s">
        <v>446</v>
      </c>
      <c r="C82" s="65" t="n">
        <f aca="false">C67-C32*(1-Inputs!$B$46)+C68</f>
        <v>-1897172.68666667</v>
      </c>
      <c r="D82" s="65" t="n">
        <f aca="false">D67-D32*(1-Inputs!$B$46)+D68</f>
        <v>7363.34731185401</v>
      </c>
      <c r="E82" s="65" t="n">
        <f aca="false">E67-E32*(1-Inputs!$B$46)+E68</f>
        <v>7364.58797442501</v>
      </c>
      <c r="F82" s="65" t="n">
        <f aca="false">F67-F32*(1-Inputs!$B$46)+F68</f>
        <v>7365.8353572516</v>
      </c>
      <c r="G82" s="65" t="n">
        <f aca="false">G67-G32*(1-Inputs!$B$46)+G68</f>
        <v>7367.08949673517</v>
      </c>
      <c r="H82" s="65" t="n">
        <f aca="false">H67-H32*(1-Inputs!$B$46)+H68</f>
        <v>7368.35042947428</v>
      </c>
      <c r="I82" s="65" t="n">
        <f aca="false">I67-I32*(1-Inputs!$B$46)+I68</f>
        <v>7369.61819226572</v>
      </c>
      <c r="J82" s="65" t="n">
        <f aca="false">J67-J32*(1-Inputs!$B$46)+J68</f>
        <v>7370.89282210562</v>
      </c>
      <c r="K82" s="65" t="n">
        <f aca="false">K67-K32*(1-Inputs!$B$46)+K68</f>
        <v>7372.17435619048</v>
      </c>
      <c r="L82" s="65" t="n">
        <f aca="false">L67-L32*(1-Inputs!$B$46)+L68</f>
        <v>7373.4628319183</v>
      </c>
      <c r="M82" s="65" t="n">
        <f aca="false">M67-M32*(1-Inputs!$B$46)+M68</f>
        <v>7374.75828688965</v>
      </c>
      <c r="N82" s="65" t="n">
        <f aca="false">N67-N32*(1-Inputs!$B$46)+N68</f>
        <v>7376.06075890876</v>
      </c>
      <c r="O82" s="65" t="n">
        <f aca="false">O67-O32*(1-Inputs!$B$46)+O68</f>
        <v>7501.13321931797</v>
      </c>
      <c r="P82" s="65" t="n">
        <f aca="false">P67-P32*(1-Inputs!$B$46)+P68</f>
        <v>7474.14583966551</v>
      </c>
      <c r="Q82" s="65" t="n">
        <f aca="false">Q67-Q32*(1-Inputs!$B$46)+Q68</f>
        <v>7475.4695917066</v>
      </c>
      <c r="R82" s="65" t="n">
        <f aca="false">R67-R32*(1-Inputs!$B$46)+R68</f>
        <v>7476.80051407125</v>
      </c>
      <c r="S82" s="65" t="n">
        <f aca="false">S67-S32*(1-Inputs!$B$46)+S68</f>
        <v>7478.1386455987</v>
      </c>
      <c r="T82" s="65" t="n">
        <f aca="false">T67-T32*(1-Inputs!$B$46)+T68</f>
        <v>7479.48402533859</v>
      </c>
      <c r="U82" s="65" t="n">
        <f aca="false">U67-U32*(1-Inputs!$B$46)+U68</f>
        <v>7480.83669255208</v>
      </c>
      <c r="V82" s="65" t="n">
        <f aca="false">V67-V32*(1-Inputs!$B$46)+V68</f>
        <v>7482.19668671297</v>
      </c>
      <c r="W82" s="65" t="n">
        <f aca="false">W67-W32*(1-Inputs!$B$46)+W68</f>
        <v>7483.5640475089</v>
      </c>
      <c r="X82" s="65" t="n">
        <f aca="false">X67-X32*(1-Inputs!$B$46)+X68</f>
        <v>7484.93881484248</v>
      </c>
      <c r="Y82" s="65" t="n">
        <f aca="false">Y67-Y32*(1-Inputs!$B$46)+Y68</f>
        <v>7486.32102883244</v>
      </c>
      <c r="Z82" s="65" t="n">
        <f aca="false">Z67-Z32*(1-Inputs!$B$46)+Z68</f>
        <v>7487.71072981485</v>
      </c>
      <c r="AA82" s="65" t="n">
        <f aca="false">AA67-AA32*(1-Inputs!$B$46)+AA68</f>
        <v>7612.54281701091</v>
      </c>
      <c r="AB82" s="65" t="n">
        <f aca="false">AB67-AB32*(1-Inputs!$B$46)+AB68</f>
        <v>7584.71753386151</v>
      </c>
      <c r="AC82" s="65" t="n">
        <f aca="false">AC67-AC32*(1-Inputs!$B$46)+AC68</f>
        <v>7586.12994002838</v>
      </c>
      <c r="AD82" s="65" t="n">
        <f aca="false">AD67-AD32*(1-Inputs!$B$46)+AD68</f>
        <v>7587.54999672866</v>
      </c>
      <c r="AE82" s="65" t="n">
        <f aca="false">AE67-AE32*(1-Inputs!$B$46)+AE68</f>
        <v>7588.97774540273</v>
      </c>
      <c r="AF82" s="65" t="n">
        <f aca="false">AF67-AF32*(1-Inputs!$B$46)+AF68</f>
        <v>7590.41322771545</v>
      </c>
      <c r="AG82" s="65" t="n">
        <f aca="false">AG67-AG32*(1-Inputs!$B$46)+AG68</f>
        <v>7591.85648555737</v>
      </c>
      <c r="AH82" s="65" t="n">
        <f aca="false">AH67-AH32*(1-Inputs!$B$46)+AH68</f>
        <v>7593.30756104593</v>
      </c>
      <c r="AI82" s="65" t="n">
        <f aca="false">AI67-AI32*(1-Inputs!$B$46)+AI68</f>
        <v>7594.76649652672</v>
      </c>
      <c r="AJ82" s="65" t="n">
        <f aca="false">AJ67-AJ32*(1-Inputs!$B$46)+AJ68</f>
        <v>7596.23333457469</v>
      </c>
      <c r="AK82" s="65" t="n">
        <f aca="false">AK67-AK32*(1-Inputs!$B$46)+AK68</f>
        <v>7597.70811799543</v>
      </c>
      <c r="AL82" s="65" t="n">
        <f aca="false">AL67-AL32*(1-Inputs!$B$46)+AL68</f>
        <v>7599.19088982636</v>
      </c>
      <c r="AM82" s="65" t="n">
        <f aca="false">AM67-AM32*(1-Inputs!$B$46)+AM68</f>
        <v>7723.66978251138</v>
      </c>
      <c r="AN82" s="65" t="n">
        <f aca="false">AN67-AN32*(1-Inputs!$B$46)+AN68</f>
        <v>7694.97957960875</v>
      </c>
      <c r="AO82" s="65" t="n">
        <f aca="false">AO67-AO32*(1-Inputs!$B$46)+AO68</f>
        <v>7696.4865772324</v>
      </c>
      <c r="AP82" s="65" t="n">
        <f aca="false">AP67-AP32*(1-Inputs!$B$46)+AP68</f>
        <v>7698.00173775984</v>
      </c>
      <c r="AQ82" s="65" t="n">
        <f aca="false">AQ67-AQ32*(1-Inputs!$B$46)+AQ68</f>
        <v>7699.52510540681</v>
      </c>
      <c r="AR82" s="65" t="n">
        <f aca="false">AR67-AR32*(1-Inputs!$B$46)+AR68</f>
        <v>7701.05672462853</v>
      </c>
      <c r="AS82" s="65" t="n">
        <f aca="false">AS67-AS32*(1-Inputs!$B$46)+AS68</f>
        <v>7702.59664012104</v>
      </c>
      <c r="AT82" s="65" t="n">
        <f aca="false">AT67-AT32*(1-Inputs!$B$46)+AT68</f>
        <v>7704.14489682246</v>
      </c>
      <c r="AU82" s="65" t="n">
        <f aca="false">AU67-AU32*(1-Inputs!$B$46)+AU68</f>
        <v>7705.70153991435</v>
      </c>
      <c r="AV82" s="65" t="n">
        <f aca="false">AV67-AV32*(1-Inputs!$B$46)+AV68</f>
        <v>7707.26661482299</v>
      </c>
      <c r="AW82" s="65" t="n">
        <f aca="false">AW67-AW32*(1-Inputs!$B$46)+AW68</f>
        <v>7708.84016722071</v>
      </c>
      <c r="AX82" s="65" t="n">
        <f aca="false">AX67-AX32*(1-Inputs!$B$46)+AX68</f>
        <v>7710.42224302726</v>
      </c>
      <c r="AY82" s="65" t="n">
        <f aca="false">AY67-AY32*(1-Inputs!$B$46)+AY68</f>
        <v>7834.42865403456</v>
      </c>
      <c r="AZ82" s="65" t="n">
        <f aca="false">AZ67-AZ32*(1-Inputs!$B$46)+AZ68</f>
        <v>7804.84567618222</v>
      </c>
      <c r="BA82" s="65" t="n">
        <f aca="false">BA67-BA32*(1-Inputs!$B$46)+BA68</f>
        <v>7806.45360022769</v>
      </c>
      <c r="BB82" s="65" t="n">
        <f aca="false">BB67-BB32*(1-Inputs!$B$46)+BB68</f>
        <v>7808.07023386173</v>
      </c>
      <c r="BC82" s="65" t="n">
        <f aca="false">BC67-BC32*(1-Inputs!$B$46)+BC68</f>
        <v>7809.6956242613</v>
      </c>
      <c r="BD82" s="65" t="n">
        <f aca="false">BD67-BD32*(1-Inputs!$B$46)+BD68</f>
        <v>7811.32981885886</v>
      </c>
      <c r="BE82" s="65" t="n">
        <f aca="false">BE67-BE32*(1-Inputs!$B$46)+BE68</f>
        <v>7812.97286534383</v>
      </c>
      <c r="BF82" s="65" t="n">
        <f aca="false">BF67-BF32*(1-Inputs!$B$46)+BF68</f>
        <v>7814.62481166392</v>
      </c>
      <c r="BG82" s="65" t="n">
        <f aca="false">BG67-BG32*(1-Inputs!$B$46)+BG68</f>
        <v>7816.28570602658</v>
      </c>
      <c r="BH82" s="65" t="n">
        <f aca="false">BH67-BH32*(1-Inputs!$B$46)+BH68</f>
        <v>7817.95559690037</v>
      </c>
      <c r="BI82" s="65" t="n">
        <f aca="false">BI67-BI32*(1-Inputs!$B$46)+BI68</f>
        <v>7819.6345330164</v>
      </c>
      <c r="BJ82" s="65" t="n">
        <f aca="false">BJ67-BJ32*(1-Inputs!$B$46)+BJ68</f>
        <v>7821.32256336972</v>
      </c>
    </row>
    <row r="84" customFormat="false" ht="15.75" hidden="false" customHeight="true" outlineLevel="0" collapsed="false">
      <c r="A84" s="7" t="s">
        <v>447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6" t="s">
        <v>97</v>
      </c>
      <c r="C85" s="65" t="n">
        <f aca="false">C69</f>
        <v>760000</v>
      </c>
      <c r="D85" s="65" t="n">
        <f aca="false">C85+D69</f>
        <v>760000</v>
      </c>
      <c r="E85" s="65" t="n">
        <f aca="false">D85+E69</f>
        <v>760000</v>
      </c>
      <c r="F85" s="65" t="n">
        <f aca="false">E85+F69</f>
        <v>760000</v>
      </c>
      <c r="G85" s="65" t="n">
        <f aca="false">F85+G69</f>
        <v>760000</v>
      </c>
      <c r="H85" s="65" t="n">
        <f aca="false">G85+H69</f>
        <v>760000</v>
      </c>
      <c r="I85" s="65" t="n">
        <f aca="false">H85+I69</f>
        <v>760000</v>
      </c>
      <c r="J85" s="65" t="n">
        <f aca="false">I85+J69</f>
        <v>760000</v>
      </c>
      <c r="K85" s="65" t="n">
        <f aca="false">J85+K69</f>
        <v>760000</v>
      </c>
      <c r="L85" s="65" t="n">
        <f aca="false">K85+L69</f>
        <v>760000</v>
      </c>
      <c r="M85" s="65" t="n">
        <f aca="false">L85+M69</f>
        <v>760000</v>
      </c>
      <c r="N85" s="65" t="n">
        <f aca="false">M85+N69</f>
        <v>760000</v>
      </c>
      <c r="O85" s="65" t="n">
        <f aca="false">N85+O69</f>
        <v>760000</v>
      </c>
      <c r="P85" s="65" t="n">
        <f aca="false">O85+P69</f>
        <v>760000</v>
      </c>
      <c r="Q85" s="65" t="n">
        <f aca="false">P85+Q69</f>
        <v>760000</v>
      </c>
      <c r="R85" s="65" t="n">
        <f aca="false">Q85+R69</f>
        <v>760000</v>
      </c>
      <c r="S85" s="65" t="n">
        <f aca="false">R85+S69</f>
        <v>760000</v>
      </c>
      <c r="T85" s="65" t="n">
        <f aca="false">S85+T69</f>
        <v>760000</v>
      </c>
      <c r="U85" s="65" t="n">
        <f aca="false">T85+U69</f>
        <v>760000</v>
      </c>
      <c r="V85" s="65" t="n">
        <f aca="false">U85+V69</f>
        <v>760000</v>
      </c>
      <c r="W85" s="65" t="n">
        <f aca="false">V85+W69</f>
        <v>760000</v>
      </c>
      <c r="X85" s="65" t="n">
        <f aca="false">W85+X69</f>
        <v>760000</v>
      </c>
      <c r="Y85" s="65" t="n">
        <f aca="false">X85+Y69</f>
        <v>760000</v>
      </c>
      <c r="Z85" s="65" t="n">
        <f aca="false">Y85+Z69</f>
        <v>760000</v>
      </c>
      <c r="AA85" s="65" t="n">
        <f aca="false">Z85+AA69</f>
        <v>760000</v>
      </c>
      <c r="AB85" s="65" t="n">
        <f aca="false">AA85+AB69</f>
        <v>760000</v>
      </c>
      <c r="AC85" s="65" t="n">
        <f aca="false">AB85+AC69</f>
        <v>760000</v>
      </c>
      <c r="AD85" s="65" t="n">
        <f aca="false">AC85+AD69</f>
        <v>760000</v>
      </c>
      <c r="AE85" s="65" t="n">
        <f aca="false">AD85+AE69</f>
        <v>760000</v>
      </c>
      <c r="AF85" s="65" t="n">
        <f aca="false">AE85+AF69</f>
        <v>760000</v>
      </c>
      <c r="AG85" s="65" t="n">
        <f aca="false">AF85+AG69</f>
        <v>760000</v>
      </c>
      <c r="AH85" s="65" t="n">
        <f aca="false">AG85+AH69</f>
        <v>760000</v>
      </c>
      <c r="AI85" s="65" t="n">
        <f aca="false">AH85+AI69</f>
        <v>760000</v>
      </c>
      <c r="AJ85" s="65" t="n">
        <f aca="false">AI85+AJ69</f>
        <v>760000</v>
      </c>
      <c r="AK85" s="65" t="n">
        <f aca="false">AJ85+AK69</f>
        <v>760000</v>
      </c>
      <c r="AL85" s="65" t="n">
        <f aca="false">AK85+AL69</f>
        <v>760000</v>
      </c>
      <c r="AM85" s="65" t="n">
        <f aca="false">AL85+AM69</f>
        <v>760000</v>
      </c>
      <c r="AN85" s="65" t="n">
        <f aca="false">AM85+AN69</f>
        <v>760000</v>
      </c>
      <c r="AO85" s="65" t="n">
        <f aca="false">AN85+AO69</f>
        <v>760000</v>
      </c>
      <c r="AP85" s="65" t="n">
        <f aca="false">AO85+AP69</f>
        <v>760000</v>
      </c>
      <c r="AQ85" s="65" t="n">
        <f aca="false">AP85+AQ69</f>
        <v>760000</v>
      </c>
      <c r="AR85" s="65" t="n">
        <f aca="false">AQ85+AR69</f>
        <v>760000</v>
      </c>
      <c r="AS85" s="65" t="n">
        <f aca="false">AR85+AS69</f>
        <v>760000</v>
      </c>
      <c r="AT85" s="65" t="n">
        <f aca="false">AS85+AT69</f>
        <v>760000</v>
      </c>
      <c r="AU85" s="65" t="n">
        <f aca="false">AT85+AU69</f>
        <v>760000</v>
      </c>
      <c r="AV85" s="65" t="n">
        <f aca="false">AU85+AV69</f>
        <v>760000</v>
      </c>
      <c r="AW85" s="65" t="n">
        <f aca="false">AV85+AW69</f>
        <v>760000</v>
      </c>
      <c r="AX85" s="65" t="n">
        <f aca="false">AW85+AX69</f>
        <v>760000</v>
      </c>
      <c r="AY85" s="65" t="n">
        <f aca="false">AX85+AY69</f>
        <v>760000</v>
      </c>
      <c r="AZ85" s="65" t="n">
        <f aca="false">AY85+AZ69</f>
        <v>760000</v>
      </c>
      <c r="BA85" s="65" t="n">
        <f aca="false">AZ85+BA69</f>
        <v>760000</v>
      </c>
      <c r="BB85" s="65" t="n">
        <f aca="false">BA85+BB69</f>
        <v>760000</v>
      </c>
      <c r="BC85" s="65" t="n">
        <f aca="false">BB85+BC69</f>
        <v>760000</v>
      </c>
      <c r="BD85" s="65" t="n">
        <f aca="false">BC85+BD69</f>
        <v>760000</v>
      </c>
      <c r="BE85" s="65" t="n">
        <f aca="false">BD85+BE69</f>
        <v>760000</v>
      </c>
      <c r="BF85" s="65" t="n">
        <f aca="false">BE85+BF69</f>
        <v>760000</v>
      </c>
      <c r="BG85" s="65" t="n">
        <f aca="false">BF85+BG69</f>
        <v>760000</v>
      </c>
      <c r="BH85" s="65" t="n">
        <f aca="false">BG85+BH69</f>
        <v>760000</v>
      </c>
      <c r="BI85" s="65" t="n">
        <f aca="false">BH85+BI69</f>
        <v>760000</v>
      </c>
      <c r="BJ85" s="65" t="n">
        <f aca="false">BI85+BJ69</f>
        <v>760000</v>
      </c>
    </row>
    <row r="86" customFormat="false" ht="15" hidden="false" customHeight="false" outlineLevel="0" collapsed="false">
      <c r="A86" s="6" t="s">
        <v>98</v>
      </c>
      <c r="C86" s="65" t="n">
        <f aca="false">C37</f>
        <v>-2221.31773662551</v>
      </c>
      <c r="D86" s="65" t="n">
        <f aca="false">C86+D37</f>
        <v>-4437.65959081864</v>
      </c>
      <c r="E86" s="65" t="n">
        <f aca="false">D86+E37</f>
        <v>-6648.99373376832</v>
      </c>
      <c r="F86" s="65" t="n">
        <f aca="false">E86+F37</f>
        <v>-8855.28816425745</v>
      </c>
      <c r="G86" s="65" t="n">
        <f aca="false">F86+G37</f>
        <v>-11056.510707729</v>
      </c>
      <c r="H86" s="65" t="n">
        <f aca="false">G86+H37</f>
        <v>-13252.6290153471</v>
      </c>
      <c r="I86" s="65" t="n">
        <f aca="false">H86+I37</f>
        <v>-15443.6105630529</v>
      </c>
      <c r="J86" s="65" t="n">
        <f aca="false">I86+J37</f>
        <v>-17629.4226506158</v>
      </c>
      <c r="K86" s="65" t="n">
        <f aca="false">J86+K37</f>
        <v>-19810.0324006788</v>
      </c>
      <c r="L86" s="65" t="n">
        <f aca="false">K86+L37</f>
        <v>-21985.4067577992</v>
      </c>
      <c r="M86" s="65" t="n">
        <f aca="false">L86+M37</f>
        <v>-24155.512487484</v>
      </c>
      <c r="N86" s="65" t="n">
        <f aca="false">M86+N37</f>
        <v>-26320.31617522</v>
      </c>
      <c r="O86" s="65" t="n">
        <f aca="false">N86+O37</f>
        <v>-28372.6946337294</v>
      </c>
      <c r="P86" s="65" t="n">
        <f aca="false">O86+P37</f>
        <v>-30419.739685528</v>
      </c>
      <c r="Q86" s="65" t="n">
        <f aca="false">P86+Q37</f>
        <v>-32461.4173701703</v>
      </c>
      <c r="R86" s="65" t="n">
        <f aca="false">Q86+R37</f>
        <v>-34497.6935432584</v>
      </c>
      <c r="S86" s="65" t="n">
        <f aca="false">R86+S37</f>
        <v>-36528.5338754457</v>
      </c>
      <c r="T86" s="65" t="n">
        <f aca="false">S86+T37</f>
        <v>-38553.9038514347</v>
      </c>
      <c r="U86" s="65" t="n">
        <f aca="false">T86+U37</f>
        <v>-40573.7687689704</v>
      </c>
      <c r="V86" s="65" t="n">
        <f aca="false">U86+V37</f>
        <v>-42588.0937378269</v>
      </c>
      <c r="W86" s="65" t="n">
        <f aca="false">V86+W37</f>
        <v>-44596.8436787898</v>
      </c>
      <c r="X86" s="65" t="n">
        <f aca="false">W86+X37</f>
        <v>-46599.9833226322</v>
      </c>
      <c r="Y86" s="65" t="n">
        <f aca="false">X86+Y37</f>
        <v>-48597.4772090857</v>
      </c>
      <c r="Z86" s="65" t="n">
        <f aca="false">Y86+Z37</f>
        <v>-50589.2896858051</v>
      </c>
      <c r="AA86" s="65" t="n">
        <f aca="false">Z86+AA37</f>
        <v>-52469.0842438883</v>
      </c>
      <c r="AB86" s="65" t="n">
        <f aca="false">AA86+AB37</f>
        <v>-54343.1629557106</v>
      </c>
      <c r="AC86" s="65" t="n">
        <f aca="false">AB86+AC37</f>
        <v>-56211.4895864326</v>
      </c>
      <c r="AD86" s="65" t="n">
        <f aca="false">AC86+AD37</f>
        <v>-58074.0277049428</v>
      </c>
      <c r="AE86" s="65" t="n">
        <f aca="false">AD86+AE37</f>
        <v>-59930.7406827946</v>
      </c>
      <c r="AF86" s="65" t="n">
        <f aca="false">AE86+AF37</f>
        <v>-61781.5916931372</v>
      </c>
      <c r="AG86" s="65" t="n">
        <f aca="false">AF86+AG37</f>
        <v>-63626.5437096412</v>
      </c>
      <c r="AH86" s="65" t="n">
        <f aca="false">AG86+AH37</f>
        <v>-65465.5595054178</v>
      </c>
      <c r="AI86" s="65" t="n">
        <f aca="false">AH86+AI37</f>
        <v>-67298.6016519325</v>
      </c>
      <c r="AJ86" s="65" t="n">
        <f aca="false">AI86+AJ37</f>
        <v>-69125.6325179131</v>
      </c>
      <c r="AK86" s="65" t="n">
        <f aca="false">AJ86+AK37</f>
        <v>-70946.6142682511</v>
      </c>
      <c r="AL86" s="65" t="n">
        <f aca="false">AK86+AL37</f>
        <v>-72761.5088628981</v>
      </c>
      <c r="AM86" s="65" t="n">
        <f aca="false">AL86+AM37</f>
        <v>-74464.8993280172</v>
      </c>
      <c r="AN86" s="65" t="n">
        <f aca="false">AM86+AN37</f>
        <v>-76162.1648845832</v>
      </c>
      <c r="AO86" s="65" t="n">
        <f aca="false">AN86+AO37</f>
        <v>-77853.2668710426</v>
      </c>
      <c r="AP86" s="65" t="n">
        <f aca="false">AO86+AP37</f>
        <v>-79538.1664164247</v>
      </c>
      <c r="AQ86" s="65" t="n">
        <f aca="false">AP86+AQ37</f>
        <v>-81216.8244392081</v>
      </c>
      <c r="AR86" s="65" t="n">
        <f aca="false">AQ86+AR37</f>
        <v>-82889.2016461797</v>
      </c>
      <c r="AS86" s="65" t="n">
        <f aca="false">AR86+AS37</f>
        <v>-84555.2585312881</v>
      </c>
      <c r="AT86" s="65" t="n">
        <f aca="false">AS86+AT37</f>
        <v>-86214.9553744908</v>
      </c>
      <c r="AU86" s="65" t="n">
        <f aca="false">AT86+AU37</f>
        <v>-87868.2522405952</v>
      </c>
      <c r="AV86" s="65" t="n">
        <f aca="false">AU86+AV37</f>
        <v>-89515.1089780929</v>
      </c>
      <c r="AW86" s="65" t="n">
        <f aca="false">AV86+AW37</f>
        <v>-91155.4852179882</v>
      </c>
      <c r="AX86" s="65" t="n">
        <f aca="false">AW86+AX37</f>
        <v>-92789.3403726202</v>
      </c>
      <c r="AY86" s="65" t="n">
        <f aca="false">AX86+AY37</f>
        <v>-94312.3171991152</v>
      </c>
      <c r="AZ86" s="65" t="n">
        <f aca="false">AY86+AZ37</f>
        <v>-95828.7316086465</v>
      </c>
      <c r="BA86" s="65" t="n">
        <f aca="false">AZ86+BA37</f>
        <v>-97338.5423504246</v>
      </c>
      <c r="BB86" s="65" t="n">
        <f aca="false">BA86+BB37</f>
        <v>-98841.707950218</v>
      </c>
      <c r="BC86" s="65" t="n">
        <f aca="false">BB86+BC37</f>
        <v>-100338.186709144</v>
      </c>
      <c r="BD86" s="65" t="n">
        <f aca="false">BC86+BD37</f>
        <v>-101827.936702449</v>
      </c>
      <c r="BE86" s="65" t="n">
        <f aca="false">BD86+BE37</f>
        <v>-103310.915778289</v>
      </c>
      <c r="BF86" s="65" t="n">
        <f aca="false">BE86+BF37</f>
        <v>-104787.081556496</v>
      </c>
      <c r="BG86" s="65" t="n">
        <f aca="false">BF86+BG37</f>
        <v>-106256.391427345</v>
      </c>
      <c r="BH86" s="65" t="n">
        <f aca="false">BG86+BH37</f>
        <v>-107718.802550305</v>
      </c>
      <c r="BI86" s="65" t="n">
        <f aca="false">BH86+BI37</f>
        <v>-109174.271852795</v>
      </c>
      <c r="BJ86" s="65" t="n">
        <f aca="false">BI86+BJ37</f>
        <v>-110622.756028924</v>
      </c>
    </row>
    <row r="87" customFormat="false" ht="15" hidden="false" customHeight="false" outlineLevel="0" collapsed="false">
      <c r="A87" s="4" t="s">
        <v>93</v>
      </c>
      <c r="C87" s="71" t="n">
        <f aca="false">C73+C59+C60+C48</f>
        <v>1957659.06598146</v>
      </c>
      <c r="D87" s="71" t="n">
        <f aca="false">D73+D59+D60+D48</f>
        <v>1954352.03175716</v>
      </c>
      <c r="E87" s="71" t="n">
        <f aca="false">E73+E59+E60+E48</f>
        <v>1951044.09732709</v>
      </c>
      <c r="F87" s="71" t="n">
        <f aca="false">F73+F59+F60+F48</f>
        <v>1947735.26269127</v>
      </c>
      <c r="G87" s="71" t="n">
        <f aca="false">G73+G59+G60+G48</f>
        <v>1944425.52784968</v>
      </c>
      <c r="H87" s="71" t="n">
        <f aca="false">H73+H59+H60+H48</f>
        <v>1941114.89280233</v>
      </c>
      <c r="I87" s="71" t="n">
        <f aca="false">I73+I59+I60+I48</f>
        <v>1937803.35754923</v>
      </c>
      <c r="J87" s="71" t="n">
        <f aca="false">J73+J59+J60+J48</f>
        <v>1934490.92209036</v>
      </c>
      <c r="K87" s="71" t="n">
        <f aca="false">K73+K59+K60+K48</f>
        <v>1931177.58642572</v>
      </c>
      <c r="L87" s="71" t="n">
        <f aca="false">L73+L59+L60+L48</f>
        <v>1927863.35055533</v>
      </c>
      <c r="M87" s="71" t="n">
        <f aca="false">M73+M59+M60+M48</f>
        <v>1924548.21447918</v>
      </c>
      <c r="N87" s="71" t="n">
        <f aca="false">N73+N59+N60+N48</f>
        <v>1921232.17819726</v>
      </c>
      <c r="O87" s="71" t="n">
        <f aca="false">O73+O59+O60+O48</f>
        <v>1918050.63530135</v>
      </c>
      <c r="P87" s="71" t="n">
        <f aca="false">P73+P59+P60+P48</f>
        <v>1914839.85219145</v>
      </c>
      <c r="Q87" s="71" t="n">
        <f aca="false">Q73+Q59+Q60+Q48</f>
        <v>1911628.13286756</v>
      </c>
      <c r="R87" s="71" t="n">
        <f aca="false">R73+R59+R60+R48</f>
        <v>1908415.47732968</v>
      </c>
      <c r="S87" s="71" t="n">
        <f aca="false">S73+S59+S60+S48</f>
        <v>1905201.88557781</v>
      </c>
      <c r="T87" s="71" t="n">
        <f aca="false">T73+T59+T60+T48</f>
        <v>1901987.35761194</v>
      </c>
      <c r="U87" s="71" t="n">
        <f aca="false">U73+U59+U60+U48</f>
        <v>1898771.89343208</v>
      </c>
      <c r="V87" s="71" t="n">
        <f aca="false">V73+V59+V60+V48</f>
        <v>1895555.49303823</v>
      </c>
      <c r="W87" s="71" t="n">
        <f aca="false">W73+W59+W60+W48</f>
        <v>1892338.15643039</v>
      </c>
      <c r="X87" s="71" t="n">
        <f aca="false">X73+X59+X60+X48</f>
        <v>1889119.88360856</v>
      </c>
      <c r="Y87" s="71" t="n">
        <f aca="false">Y73+Y59+Y60+Y48</f>
        <v>1885900.67457273</v>
      </c>
      <c r="Z87" s="71" t="n">
        <f aca="false">Z73+Z59+Z60+Z48</f>
        <v>1882680.52932292</v>
      </c>
      <c r="AA87" s="71" t="n">
        <f aca="false">AA73+AA59+AA60+AA48</f>
        <v>1879594.97860255</v>
      </c>
      <c r="AB87" s="71" t="n">
        <f aca="false">AB73+AB59+AB60+AB48</f>
        <v>1876479.22413963</v>
      </c>
      <c r="AC87" s="71" t="n">
        <f aca="false">AC73+AC59+AC60+AC48</f>
        <v>1873362.49601416</v>
      </c>
      <c r="AD87" s="71" t="n">
        <f aca="false">AD73+AD59+AD60+AD48</f>
        <v>1870244.79422613</v>
      </c>
      <c r="AE87" s="71" t="n">
        <f aca="false">AE73+AE59+AE60+AE48</f>
        <v>1867126.11877556</v>
      </c>
      <c r="AF87" s="71" t="n">
        <f aca="false">AF73+AF59+AF60+AF48</f>
        <v>1864006.46966243</v>
      </c>
      <c r="AG87" s="71" t="n">
        <f aca="false">AG73+AG59+AG60+AG48</f>
        <v>1860885.84688676</v>
      </c>
      <c r="AH87" s="71" t="n">
        <f aca="false">AH73+AH59+AH60+AH48</f>
        <v>1857764.25044853</v>
      </c>
      <c r="AI87" s="71" t="n">
        <f aca="false">AI73+AI59+AI60+AI48</f>
        <v>1854641.68034775</v>
      </c>
      <c r="AJ87" s="71" t="n">
        <f aca="false">AJ73+AJ59+AJ60+AJ48</f>
        <v>1851518.13658442</v>
      </c>
      <c r="AK87" s="71" t="n">
        <f aca="false">AK73+AK59+AK60+AK48</f>
        <v>1848393.61915853</v>
      </c>
      <c r="AL87" s="71" t="n">
        <f aca="false">AL73+AL59+AL60+AL48</f>
        <v>1845268.1280701</v>
      </c>
      <c r="AM87" s="71" t="n">
        <f aca="false">AM73+AM59+AM60+AM48</f>
        <v>1842277.23112845</v>
      </c>
      <c r="AN87" s="71" t="n">
        <f aca="false">AN73+AN59+AN60+AN48</f>
        <v>1839255.13249615</v>
      </c>
      <c r="AO87" s="71" t="n">
        <f aca="false">AO73+AO59+AO60+AO48</f>
        <v>1836232.0212548</v>
      </c>
      <c r="AP87" s="71" t="n">
        <f aca="false">AP73+AP59+AP60+AP48</f>
        <v>1833207.89740439</v>
      </c>
      <c r="AQ87" s="71" t="n">
        <f aca="false">AQ73+AQ59+AQ60+AQ48</f>
        <v>1830182.76094493</v>
      </c>
      <c r="AR87" s="71" t="n">
        <f aca="false">AR73+AR59+AR60+AR48</f>
        <v>1827156.61187641</v>
      </c>
      <c r="AS87" s="71" t="n">
        <f aca="false">AS73+AS59+AS60+AS48</f>
        <v>1824129.45019884</v>
      </c>
      <c r="AT87" s="71" t="n">
        <f aca="false">AT73+AT59+AT60+AT48</f>
        <v>1821101.27591222</v>
      </c>
      <c r="AU87" s="71" t="n">
        <f aca="false">AU73+AU59+AU60+AU48</f>
        <v>1818072.08901655</v>
      </c>
      <c r="AV87" s="71" t="n">
        <f aca="false">AV73+AV59+AV60+AV48</f>
        <v>1815041.88951182</v>
      </c>
      <c r="AW87" s="71" t="n">
        <f aca="false">AW73+AW59+AW60+AW48</f>
        <v>1812010.67739803</v>
      </c>
      <c r="AX87" s="71" t="n">
        <f aca="false">AX73+AX59+AX60+AX48</f>
        <v>1808978.4526752</v>
      </c>
      <c r="AY87" s="71" t="n">
        <f aca="false">AY73+AY59+AY60+AY48</f>
        <v>1806080.7140179</v>
      </c>
      <c r="AZ87" s="71" t="n">
        <f aca="false">AZ73+AZ59+AZ60+AZ48</f>
        <v>1803150.74000796</v>
      </c>
      <c r="BA87" s="71" t="n">
        <f aca="false">BA73+BA59+BA60+BA48</f>
        <v>1800219.7128846</v>
      </c>
      <c r="BB87" s="71" t="n">
        <f aca="false">BB73+BB59+BB60+BB48</f>
        <v>1797287.63264783</v>
      </c>
      <c r="BC87" s="71" t="n">
        <f aca="false">BC73+BC59+BC60+BC48</f>
        <v>1794354.49929764</v>
      </c>
      <c r="BD87" s="71" t="n">
        <f aca="false">BD73+BD59+BD60+BD48</f>
        <v>1791420.31283403</v>
      </c>
      <c r="BE87" s="71" t="n">
        <f aca="false">BE73+BE59+BE60+BE48</f>
        <v>1788485.07325701</v>
      </c>
      <c r="BF87" s="71" t="n">
        <f aca="false">BF73+BF59+BF60+BF48</f>
        <v>1785548.78056658</v>
      </c>
      <c r="BG87" s="71" t="n">
        <f aca="false">BG73+BG59+BG60+BG48</f>
        <v>1782611.43476272</v>
      </c>
      <c r="BH87" s="71" t="n">
        <f aca="false">BH73+BH59+BH60+BH48</f>
        <v>1779673.03584546</v>
      </c>
      <c r="BI87" s="71" t="n">
        <f aca="false">BI73+BI59+BI60+BI48</f>
        <v>1776733.58381477</v>
      </c>
      <c r="BJ87" s="71" t="n">
        <f aca="false">BJ73+BJ59+BJ60+BJ48</f>
        <v>1773793.07867067</v>
      </c>
    </row>
    <row r="88" customFormat="false" ht="15" hidden="false" customHeight="false" outlineLevel="0" collapsed="false">
      <c r="A88" s="6" t="s">
        <v>96</v>
      </c>
      <c r="C88" s="65" t="n">
        <f aca="false">C61+C56</f>
        <v>1199880.38371808</v>
      </c>
      <c r="D88" s="65" t="n">
        <f aca="false">D61+D56</f>
        <v>1198789.69134798</v>
      </c>
      <c r="E88" s="65" t="n">
        <f aca="false">E61+E56</f>
        <v>1197693.09106086</v>
      </c>
      <c r="F88" s="65" t="n">
        <f aca="false">F61+F56</f>
        <v>1196590.55085553</v>
      </c>
      <c r="G88" s="65" t="n">
        <f aca="false">G61+G56</f>
        <v>1195482.03855741</v>
      </c>
      <c r="H88" s="65" t="n">
        <f aca="false">H61+H56</f>
        <v>1194367.52181768</v>
      </c>
      <c r="I88" s="65" t="n">
        <f aca="false">I61+I56</f>
        <v>1193246.96811228</v>
      </c>
      <c r="J88" s="65" t="n">
        <f aca="false">J61+J56</f>
        <v>1192120.34474097</v>
      </c>
      <c r="K88" s="65" t="n">
        <f aca="false">K61+K56</f>
        <v>1190987.6188264</v>
      </c>
      <c r="L88" s="65" t="n">
        <f aca="false">L61+L56</f>
        <v>1189848.75731313</v>
      </c>
      <c r="M88" s="65" t="n">
        <f aca="false">M61+M56</f>
        <v>1188703.72696666</v>
      </c>
      <c r="N88" s="65" t="n">
        <f aca="false">N61+N56</f>
        <v>1187552.49437248</v>
      </c>
      <c r="O88" s="65" t="n">
        <f aca="false">O61+O56</f>
        <v>1186423.32993508</v>
      </c>
      <c r="P88" s="65" t="n">
        <f aca="false">P61+P56</f>
        <v>1185259.59187698</v>
      </c>
      <c r="Q88" s="65" t="n">
        <f aca="false">Q61+Q56</f>
        <v>1184089.55023773</v>
      </c>
      <c r="R88" s="65" t="n">
        <f aca="false">R61+R56</f>
        <v>1182913.17087294</v>
      </c>
      <c r="S88" s="65" t="n">
        <f aca="false">S61+S56</f>
        <v>1181730.41945325</v>
      </c>
      <c r="T88" s="65" t="n">
        <f aca="false">T61+T56</f>
        <v>1180541.26146337</v>
      </c>
      <c r="U88" s="65" t="n">
        <f aca="false">U61+U56</f>
        <v>1179345.66220105</v>
      </c>
      <c r="V88" s="65" t="n">
        <f aca="false">V61+V56</f>
        <v>1178143.58677606</v>
      </c>
      <c r="W88" s="65" t="n">
        <f aca="false">W61+W56</f>
        <v>1176935.00010918</v>
      </c>
      <c r="X88" s="65" t="n">
        <f aca="false">X61+X56</f>
        <v>1175719.86693119</v>
      </c>
      <c r="Y88" s="65" t="n">
        <f aca="false">Y61+Y56</f>
        <v>1174498.15178182</v>
      </c>
      <c r="Z88" s="65" t="n">
        <f aca="false">Z61+Z56</f>
        <v>1173269.81900872</v>
      </c>
      <c r="AA88" s="65" t="n">
        <f aca="false">AA61+AA56</f>
        <v>1172064.06284644</v>
      </c>
      <c r="AB88" s="65" t="n">
        <f aca="false">AB61+AB56</f>
        <v>1170822.38709534</v>
      </c>
      <c r="AC88" s="65" t="n">
        <f aca="false">AC61+AC56</f>
        <v>1169573.98560059</v>
      </c>
      <c r="AD88" s="65" t="n">
        <f aca="false">AD61+AD56</f>
        <v>1168318.82193108</v>
      </c>
      <c r="AE88" s="65" t="n">
        <f aca="false">AE61+AE56</f>
        <v>1167056.85945835</v>
      </c>
      <c r="AF88" s="65" t="n">
        <f aca="false">AF61+AF56</f>
        <v>1165788.06135557</v>
      </c>
      <c r="AG88" s="65" t="n">
        <f aca="false">AG61+AG56</f>
        <v>1164512.3905964</v>
      </c>
      <c r="AH88" s="65" t="n">
        <f aca="false">AH61+AH56</f>
        <v>1163229.80995395</v>
      </c>
      <c r="AI88" s="65" t="n">
        <f aca="false">AI61+AI56</f>
        <v>1161940.28199968</v>
      </c>
      <c r="AJ88" s="65" t="n">
        <f aca="false">AJ61+AJ56</f>
        <v>1160643.76910233</v>
      </c>
      <c r="AK88" s="65" t="n">
        <f aca="false">AK61+AK56</f>
        <v>1159340.23342679</v>
      </c>
      <c r="AL88" s="65" t="n">
        <f aca="false">AL61+AL56</f>
        <v>1158029.636933</v>
      </c>
      <c r="AM88" s="65" t="n">
        <f aca="false">AM61+AM56</f>
        <v>1156742.13045647</v>
      </c>
      <c r="AN88" s="65" t="n">
        <f aca="false">AN61+AN56</f>
        <v>1155417.29738074</v>
      </c>
      <c r="AO88" s="65" t="n">
        <f aca="false">AO61+AO56</f>
        <v>1154085.28812584</v>
      </c>
      <c r="AP88" s="65" t="n">
        <f aca="false">AP61+AP56</f>
        <v>1152746.06382082</v>
      </c>
      <c r="AQ88" s="65" t="n">
        <f aca="false">AQ61+AQ56</f>
        <v>1151399.58538414</v>
      </c>
      <c r="AR88" s="65" t="n">
        <f aca="false">AR61+AR56</f>
        <v>1150045.81352259</v>
      </c>
      <c r="AS88" s="65" t="n">
        <f aca="false">AS61+AS56</f>
        <v>1148684.70873013</v>
      </c>
      <c r="AT88" s="65" t="n">
        <f aca="false">AT61+AT56</f>
        <v>1147316.23128671</v>
      </c>
      <c r="AU88" s="65" t="n">
        <f aca="false">AU61+AU56</f>
        <v>1145940.34125714</v>
      </c>
      <c r="AV88" s="65" t="n">
        <f aca="false">AV61+AV56</f>
        <v>1144556.99848991</v>
      </c>
      <c r="AW88" s="65" t="n">
        <f aca="false">AW61+AW56</f>
        <v>1143166.16261602</v>
      </c>
      <c r="AX88" s="65" t="n">
        <f aca="false">AX61+AX56</f>
        <v>1141767.79304782</v>
      </c>
      <c r="AY88" s="65" t="n">
        <f aca="false">AY61+AY56</f>
        <v>1140393.03121702</v>
      </c>
      <c r="AZ88" s="65" t="n">
        <f aca="false">AZ61+AZ56</f>
        <v>1138979.47161661</v>
      </c>
      <c r="BA88" s="65" t="n">
        <f aca="false">BA61+BA56</f>
        <v>1137558.25523503</v>
      </c>
      <c r="BB88" s="65" t="n">
        <f aca="false">BB61+BB56</f>
        <v>1136129.34059805</v>
      </c>
      <c r="BC88" s="65" t="n">
        <f aca="false">BC61+BC56</f>
        <v>1134692.68600678</v>
      </c>
      <c r="BD88" s="65" t="n">
        <f aca="false">BD61+BD56</f>
        <v>1133248.24953648</v>
      </c>
      <c r="BE88" s="65" t="n">
        <f aca="false">BE61+BE56</f>
        <v>1131795.9890353</v>
      </c>
      <c r="BF88" s="65" t="n">
        <f aca="false">BF61+BF56</f>
        <v>1130335.86212308</v>
      </c>
      <c r="BG88" s="65" t="n">
        <f aca="false">BG61+BG56</f>
        <v>1128867.82619007</v>
      </c>
      <c r="BH88" s="65" t="n">
        <f aca="false">BH61+BH56</f>
        <v>1127391.83839576</v>
      </c>
      <c r="BI88" s="65" t="n">
        <f aca="false">BI61+BI56</f>
        <v>1125907.85566757</v>
      </c>
      <c r="BJ88" s="65" t="n">
        <f aca="false">BJ61+BJ56</f>
        <v>1124415.8346996</v>
      </c>
    </row>
    <row r="89" customFormat="false" ht="15" hidden="false" customHeight="false" outlineLevel="0" collapsed="false">
      <c r="A89" s="6" t="s">
        <v>99</v>
      </c>
      <c r="C89" s="65" t="n">
        <f aca="false">C85+C86</f>
        <v>757778.682263374</v>
      </c>
      <c r="D89" s="65" t="n">
        <f aca="false">D85+D86</f>
        <v>755562.340409181</v>
      </c>
      <c r="E89" s="65" t="n">
        <f aca="false">E85+E86</f>
        <v>753351.006266232</v>
      </c>
      <c r="F89" s="65" t="n">
        <f aca="false">F85+F86</f>
        <v>751144.711835743</v>
      </c>
      <c r="G89" s="65" t="n">
        <f aca="false">G85+G86</f>
        <v>748943.489292271</v>
      </c>
      <c r="H89" s="65" t="n">
        <f aca="false">H85+H86</f>
        <v>746747.370984653</v>
      </c>
      <c r="I89" s="65" t="n">
        <f aca="false">I85+I86</f>
        <v>744556.389436947</v>
      </c>
      <c r="J89" s="65" t="n">
        <f aca="false">J85+J86</f>
        <v>742370.577349384</v>
      </c>
      <c r="K89" s="65" t="n">
        <f aca="false">K85+K86</f>
        <v>740189.967599321</v>
      </c>
      <c r="L89" s="65" t="n">
        <f aca="false">L85+L86</f>
        <v>738014.593242201</v>
      </c>
      <c r="M89" s="65" t="n">
        <f aca="false">M85+M86</f>
        <v>735844.487512516</v>
      </c>
      <c r="N89" s="65" t="n">
        <f aca="false">N85+N86</f>
        <v>733679.68382478</v>
      </c>
      <c r="O89" s="65" t="n">
        <f aca="false">O85+O86</f>
        <v>731627.305366271</v>
      </c>
      <c r="P89" s="65" t="n">
        <f aca="false">P85+P86</f>
        <v>729580.260314472</v>
      </c>
      <c r="Q89" s="65" t="n">
        <f aca="false">Q85+Q86</f>
        <v>727538.58262983</v>
      </c>
      <c r="R89" s="65" t="n">
        <f aca="false">R85+R86</f>
        <v>725502.306456742</v>
      </c>
      <c r="S89" s="65" t="n">
        <f aca="false">S85+S86</f>
        <v>723471.466124554</v>
      </c>
      <c r="T89" s="65" t="n">
        <f aca="false">T85+T86</f>
        <v>721446.096148565</v>
      </c>
      <c r="U89" s="65" t="n">
        <f aca="false">U85+U86</f>
        <v>719426.23123103</v>
      </c>
      <c r="V89" s="65" t="n">
        <f aca="false">V85+V86</f>
        <v>717411.906262173</v>
      </c>
      <c r="W89" s="65" t="n">
        <f aca="false">W85+W86</f>
        <v>715403.15632121</v>
      </c>
      <c r="X89" s="65" t="n">
        <f aca="false">X85+X86</f>
        <v>713400.016677368</v>
      </c>
      <c r="Y89" s="65" t="n">
        <f aca="false">Y85+Y86</f>
        <v>711402.522790914</v>
      </c>
      <c r="Z89" s="65" t="n">
        <f aca="false">Z85+Z86</f>
        <v>709410.710314195</v>
      </c>
      <c r="AA89" s="65" t="n">
        <f aca="false">AA85+AA86</f>
        <v>707530.915756112</v>
      </c>
      <c r="AB89" s="65" t="n">
        <f aca="false">AB85+AB86</f>
        <v>705656.837044289</v>
      </c>
      <c r="AC89" s="65" t="n">
        <f aca="false">AC85+AC86</f>
        <v>703788.510413567</v>
      </c>
      <c r="AD89" s="65" t="n">
        <f aca="false">AD85+AD86</f>
        <v>701925.972295057</v>
      </c>
      <c r="AE89" s="65" t="n">
        <f aca="false">AE85+AE86</f>
        <v>700069.259317205</v>
      </c>
      <c r="AF89" s="65" t="n">
        <f aca="false">AF85+AF86</f>
        <v>698218.408306863</v>
      </c>
      <c r="AG89" s="65" t="n">
        <f aca="false">AG85+AG86</f>
        <v>696373.456290359</v>
      </c>
      <c r="AH89" s="65" t="n">
        <f aca="false">AH85+AH86</f>
        <v>694534.440494582</v>
      </c>
      <c r="AI89" s="65" t="n">
        <f aca="false">AI85+AI86</f>
        <v>692701.398348068</v>
      </c>
      <c r="AJ89" s="65" t="n">
        <f aca="false">AJ85+AJ86</f>
        <v>690874.367482087</v>
      </c>
      <c r="AK89" s="65" t="n">
        <f aca="false">AK85+AK86</f>
        <v>689053.385731749</v>
      </c>
      <c r="AL89" s="65" t="n">
        <f aca="false">AL85+AL86</f>
        <v>687238.491137102</v>
      </c>
      <c r="AM89" s="65" t="n">
        <f aca="false">AM85+AM86</f>
        <v>685535.100671983</v>
      </c>
      <c r="AN89" s="65" t="n">
        <f aca="false">AN85+AN86</f>
        <v>683837.835115417</v>
      </c>
      <c r="AO89" s="65" t="n">
        <f aca="false">AO85+AO86</f>
        <v>682146.733128958</v>
      </c>
      <c r="AP89" s="65" t="n">
        <f aca="false">AP85+AP86</f>
        <v>680461.833583575</v>
      </c>
      <c r="AQ89" s="65" t="n">
        <f aca="false">AQ85+AQ86</f>
        <v>678783.175560792</v>
      </c>
      <c r="AR89" s="65" t="n">
        <f aca="false">AR85+AR86</f>
        <v>677110.79835382</v>
      </c>
      <c r="AS89" s="65" t="n">
        <f aca="false">AS85+AS86</f>
        <v>675444.741468712</v>
      </c>
      <c r="AT89" s="65" t="n">
        <f aca="false">AT85+AT86</f>
        <v>673785.044625509</v>
      </c>
      <c r="AU89" s="65" t="n">
        <f aca="false">AU85+AU86</f>
        <v>672131.747759405</v>
      </c>
      <c r="AV89" s="65" t="n">
        <f aca="false">AV85+AV86</f>
        <v>670484.891021907</v>
      </c>
      <c r="AW89" s="65" t="n">
        <f aca="false">AW85+AW86</f>
        <v>668844.514782012</v>
      </c>
      <c r="AX89" s="65" t="n">
        <f aca="false">AX85+AX86</f>
        <v>667210.65962738</v>
      </c>
      <c r="AY89" s="65" t="n">
        <f aca="false">AY85+AY86</f>
        <v>665687.682800885</v>
      </c>
      <c r="AZ89" s="65" t="n">
        <f aca="false">AZ85+AZ86</f>
        <v>664171.268391354</v>
      </c>
      <c r="BA89" s="65" t="n">
        <f aca="false">BA85+BA86</f>
        <v>662661.457649575</v>
      </c>
      <c r="BB89" s="65" t="n">
        <f aca="false">BB85+BB86</f>
        <v>661158.292049782</v>
      </c>
      <c r="BC89" s="65" t="n">
        <f aca="false">BC85+BC86</f>
        <v>659661.813290857</v>
      </c>
      <c r="BD89" s="65" t="n">
        <f aca="false">BD85+BD86</f>
        <v>658172.063297551</v>
      </c>
      <c r="BE89" s="65" t="n">
        <f aca="false">BE85+BE86</f>
        <v>656689.084221712</v>
      </c>
      <c r="BF89" s="65" t="n">
        <f aca="false">BF85+BF86</f>
        <v>655212.918443504</v>
      </c>
      <c r="BG89" s="65" t="n">
        <f aca="false">BG85+BG86</f>
        <v>653743.608572655</v>
      </c>
      <c r="BH89" s="65" t="n">
        <f aca="false">BH85+BH86</f>
        <v>652281.197449695</v>
      </c>
      <c r="BI89" s="65" t="n">
        <f aca="false">BI85+BI86</f>
        <v>650825.728147205</v>
      </c>
      <c r="BJ89" s="65" t="n">
        <f aca="false">BJ85+BJ86</f>
        <v>649377.243971076</v>
      </c>
    </row>
    <row r="90" customFormat="false" ht="15" hidden="false" customHeight="false" outlineLevel="0" collapsed="false">
      <c r="A90" s="4" t="s">
        <v>100</v>
      </c>
      <c r="C90" s="71" t="n">
        <f aca="false">C88+C89</f>
        <v>1957659.06598146</v>
      </c>
      <c r="D90" s="71" t="n">
        <f aca="false">D88+D89</f>
        <v>1954352.03175716</v>
      </c>
      <c r="E90" s="71" t="n">
        <f aca="false">E88+E89</f>
        <v>1951044.09732709</v>
      </c>
      <c r="F90" s="71" t="n">
        <f aca="false">F88+F89</f>
        <v>1947735.26269127</v>
      </c>
      <c r="G90" s="71" t="n">
        <f aca="false">G88+G89</f>
        <v>1944425.52784968</v>
      </c>
      <c r="H90" s="71" t="n">
        <f aca="false">H88+H89</f>
        <v>1941114.89280233</v>
      </c>
      <c r="I90" s="71" t="n">
        <f aca="false">I88+I89</f>
        <v>1937803.35754922</v>
      </c>
      <c r="J90" s="71" t="n">
        <f aca="false">J88+J89</f>
        <v>1934490.92209035</v>
      </c>
      <c r="K90" s="71" t="n">
        <f aca="false">K88+K89</f>
        <v>1931177.58642572</v>
      </c>
      <c r="L90" s="71" t="n">
        <f aca="false">L88+L89</f>
        <v>1927863.35055533</v>
      </c>
      <c r="M90" s="71" t="n">
        <f aca="false">M88+M89</f>
        <v>1924548.21447918</v>
      </c>
      <c r="N90" s="71" t="n">
        <f aca="false">N88+N89</f>
        <v>1921232.17819726</v>
      </c>
      <c r="O90" s="71" t="n">
        <f aca="false">O88+O89</f>
        <v>1918050.63530135</v>
      </c>
      <c r="P90" s="71" t="n">
        <f aca="false">P88+P89</f>
        <v>1914839.85219145</v>
      </c>
      <c r="Q90" s="71" t="n">
        <f aca="false">Q88+Q89</f>
        <v>1911628.13286756</v>
      </c>
      <c r="R90" s="71" t="n">
        <f aca="false">R88+R89</f>
        <v>1908415.47732968</v>
      </c>
      <c r="S90" s="71" t="n">
        <f aca="false">S88+S89</f>
        <v>1905201.88557781</v>
      </c>
      <c r="T90" s="71" t="n">
        <f aca="false">T88+T89</f>
        <v>1901987.35761194</v>
      </c>
      <c r="U90" s="71" t="n">
        <f aca="false">U88+U89</f>
        <v>1898771.89343208</v>
      </c>
      <c r="V90" s="71" t="n">
        <f aca="false">V88+V89</f>
        <v>1895555.49303823</v>
      </c>
      <c r="W90" s="71" t="n">
        <f aca="false">W88+W89</f>
        <v>1892338.15643039</v>
      </c>
      <c r="X90" s="71" t="n">
        <f aca="false">X88+X89</f>
        <v>1889119.88360856</v>
      </c>
      <c r="Y90" s="71" t="n">
        <f aca="false">Y88+Y89</f>
        <v>1885900.67457273</v>
      </c>
      <c r="Z90" s="71" t="n">
        <f aca="false">Z88+Z89</f>
        <v>1882680.52932292</v>
      </c>
      <c r="AA90" s="71" t="n">
        <f aca="false">AA88+AA89</f>
        <v>1879594.97860255</v>
      </c>
      <c r="AB90" s="71" t="n">
        <f aca="false">AB88+AB89</f>
        <v>1876479.22413963</v>
      </c>
      <c r="AC90" s="71" t="n">
        <f aca="false">AC88+AC89</f>
        <v>1873362.49601416</v>
      </c>
      <c r="AD90" s="71" t="n">
        <f aca="false">AD88+AD89</f>
        <v>1870244.79422613</v>
      </c>
      <c r="AE90" s="71" t="n">
        <f aca="false">AE88+AE89</f>
        <v>1867126.11877556</v>
      </c>
      <c r="AF90" s="71" t="n">
        <f aca="false">AF88+AF89</f>
        <v>1864006.46966243</v>
      </c>
      <c r="AG90" s="71" t="n">
        <f aca="false">AG88+AG89</f>
        <v>1860885.84688676</v>
      </c>
      <c r="AH90" s="71" t="n">
        <f aca="false">AH88+AH89</f>
        <v>1857764.25044853</v>
      </c>
      <c r="AI90" s="71" t="n">
        <f aca="false">AI88+AI89</f>
        <v>1854641.68034775</v>
      </c>
      <c r="AJ90" s="71" t="n">
        <f aca="false">AJ88+AJ89</f>
        <v>1851518.13658442</v>
      </c>
      <c r="AK90" s="71" t="n">
        <f aca="false">AK88+AK89</f>
        <v>1848393.61915854</v>
      </c>
      <c r="AL90" s="71" t="n">
        <f aca="false">AL88+AL89</f>
        <v>1845268.1280701</v>
      </c>
      <c r="AM90" s="71" t="n">
        <f aca="false">AM88+AM89</f>
        <v>1842277.23112845</v>
      </c>
      <c r="AN90" s="71" t="n">
        <f aca="false">AN88+AN89</f>
        <v>1839255.13249615</v>
      </c>
      <c r="AO90" s="71" t="n">
        <f aca="false">AO88+AO89</f>
        <v>1836232.0212548</v>
      </c>
      <c r="AP90" s="71" t="n">
        <f aca="false">AP88+AP89</f>
        <v>1833207.89740439</v>
      </c>
      <c r="AQ90" s="71" t="n">
        <f aca="false">AQ88+AQ89</f>
        <v>1830182.76094493</v>
      </c>
      <c r="AR90" s="71" t="n">
        <f aca="false">AR88+AR89</f>
        <v>1827156.61187641</v>
      </c>
      <c r="AS90" s="71" t="n">
        <f aca="false">AS88+AS89</f>
        <v>1824129.45019885</v>
      </c>
      <c r="AT90" s="71" t="n">
        <f aca="false">AT88+AT89</f>
        <v>1821101.27591222</v>
      </c>
      <c r="AU90" s="71" t="n">
        <f aca="false">AU88+AU89</f>
        <v>1818072.08901655</v>
      </c>
      <c r="AV90" s="71" t="n">
        <f aca="false">AV88+AV89</f>
        <v>1815041.88951182</v>
      </c>
      <c r="AW90" s="71" t="n">
        <f aca="false">AW88+AW89</f>
        <v>1812010.67739804</v>
      </c>
      <c r="AX90" s="71" t="n">
        <f aca="false">AX88+AX89</f>
        <v>1808978.4526752</v>
      </c>
      <c r="AY90" s="71" t="n">
        <f aca="false">AY88+AY89</f>
        <v>1806080.71401791</v>
      </c>
      <c r="AZ90" s="71" t="n">
        <f aca="false">AZ88+AZ89</f>
        <v>1803150.74000796</v>
      </c>
      <c r="BA90" s="71" t="n">
        <f aca="false">BA88+BA89</f>
        <v>1800219.7128846</v>
      </c>
      <c r="BB90" s="71" t="n">
        <f aca="false">BB88+BB89</f>
        <v>1797287.63264783</v>
      </c>
      <c r="BC90" s="71" t="n">
        <f aca="false">BC88+BC89</f>
        <v>1794354.49929764</v>
      </c>
      <c r="BD90" s="71" t="n">
        <f aca="false">BD88+BD89</f>
        <v>1791420.31283404</v>
      </c>
      <c r="BE90" s="71" t="n">
        <f aca="false">BE88+BE89</f>
        <v>1788485.07325702</v>
      </c>
      <c r="BF90" s="71" t="n">
        <f aca="false">BF88+BF89</f>
        <v>1785548.78056658</v>
      </c>
      <c r="BG90" s="71" t="n">
        <f aca="false">BG88+BG89</f>
        <v>1782611.43476273</v>
      </c>
      <c r="BH90" s="71" t="n">
        <f aca="false">BH88+BH89</f>
        <v>1779673.03584546</v>
      </c>
      <c r="BI90" s="71" t="n">
        <f aca="false">BI88+BI89</f>
        <v>1776733.58381478</v>
      </c>
      <c r="BJ90" s="71" t="n">
        <f aca="false">BJ88+BJ89</f>
        <v>1773793.07867068</v>
      </c>
    </row>
    <row r="91" customFormat="false" ht="15" hidden="false" customHeight="false" outlineLevel="0" collapsed="false">
      <c r="A91" s="6" t="s">
        <v>448</v>
      </c>
      <c r="C91" s="65" t="n">
        <f aca="false">C87-C90</f>
        <v>0</v>
      </c>
      <c r="D91" s="65" t="n">
        <f aca="false">D87-D90</f>
        <v>0</v>
      </c>
      <c r="E91" s="65" t="n">
        <f aca="false">E87-E90</f>
        <v>0</v>
      </c>
      <c r="F91" s="65" t="n">
        <f aca="false">F87-F90</f>
        <v>0</v>
      </c>
      <c r="G91" s="65" t="n">
        <f aca="false">G87-G90</f>
        <v>0</v>
      </c>
      <c r="H91" s="65" t="n">
        <f aca="false">H87-H90</f>
        <v>0</v>
      </c>
      <c r="I91" s="65" t="n">
        <f aca="false">I87-I90</f>
        <v>0</v>
      </c>
      <c r="J91" s="65" t="n">
        <f aca="false">J87-J90</f>
        <v>0</v>
      </c>
      <c r="K91" s="65" t="n">
        <f aca="false">K87-K90</f>
        <v>0</v>
      </c>
      <c r="L91" s="65" t="n">
        <f aca="false">L87-L90</f>
        <v>0</v>
      </c>
      <c r="M91" s="65" t="n">
        <f aca="false">M87-M90</f>
        <v>0</v>
      </c>
      <c r="N91" s="65" t="n">
        <f aca="false">N87-N90</f>
        <v>0</v>
      </c>
      <c r="O91" s="65" t="n">
        <f aca="false">O87-O90</f>
        <v>0</v>
      </c>
      <c r="P91" s="65" t="n">
        <f aca="false">P87-P90</f>
        <v>0</v>
      </c>
      <c r="Q91" s="65" t="n">
        <f aca="false">Q87-Q90</f>
        <v>0</v>
      </c>
      <c r="R91" s="65" t="n">
        <f aca="false">R87-R90</f>
        <v>0</v>
      </c>
      <c r="S91" s="65" t="n">
        <f aca="false">S87-S90</f>
        <v>0</v>
      </c>
      <c r="T91" s="65" t="n">
        <f aca="false">T87-T90</f>
        <v>0</v>
      </c>
      <c r="U91" s="65" t="n">
        <f aca="false">U87-U90</f>
        <v>0</v>
      </c>
      <c r="V91" s="65" t="n">
        <f aca="false">V87-V90</f>
        <v>0</v>
      </c>
      <c r="W91" s="65" t="n">
        <f aca="false">W87-W90</f>
        <v>0</v>
      </c>
      <c r="X91" s="65" t="n">
        <f aca="false">X87-X90</f>
        <v>0</v>
      </c>
      <c r="Y91" s="65" t="n">
        <f aca="false">Y87-Y90</f>
        <v>0</v>
      </c>
      <c r="Z91" s="65" t="n">
        <f aca="false">Z87-Z90</f>
        <v>0</v>
      </c>
      <c r="AA91" s="65" t="n">
        <f aca="false">AA87-AA90</f>
        <v>0</v>
      </c>
      <c r="AB91" s="65" t="n">
        <f aca="false">AB87-AB90</f>
        <v>0</v>
      </c>
      <c r="AC91" s="65" t="n">
        <f aca="false">AC87-AC90</f>
        <v>0</v>
      </c>
      <c r="AD91" s="65" t="n">
        <f aca="false">AD87-AD90</f>
        <v>0</v>
      </c>
      <c r="AE91" s="65" t="n">
        <f aca="false">AE87-AE90</f>
        <v>0</v>
      </c>
      <c r="AF91" s="65" t="n">
        <f aca="false">AF87-AF90</f>
        <v>0</v>
      </c>
      <c r="AG91" s="65" t="n">
        <f aca="false">AG87-AG90</f>
        <v>0</v>
      </c>
      <c r="AH91" s="65" t="n">
        <f aca="false">AH87-AH90</f>
        <v>0</v>
      </c>
      <c r="AI91" s="65" t="n">
        <f aca="false">AI87-AI90</f>
        <v>0</v>
      </c>
      <c r="AJ91" s="65" t="n">
        <f aca="false">AJ87-AJ90</f>
        <v>0</v>
      </c>
      <c r="AK91" s="65" t="n">
        <f aca="false">AK87-AK90</f>
        <v>0</v>
      </c>
      <c r="AL91" s="65" t="n">
        <f aca="false">AL87-AL90</f>
        <v>0</v>
      </c>
      <c r="AM91" s="65" t="n">
        <f aca="false">AM87-AM90</f>
        <v>0</v>
      </c>
      <c r="AN91" s="65" t="n">
        <f aca="false">AN87-AN90</f>
        <v>0</v>
      </c>
      <c r="AO91" s="65" t="n">
        <f aca="false">AO87-AO90</f>
        <v>0</v>
      </c>
      <c r="AP91" s="65" t="n">
        <f aca="false">AP87-AP90</f>
        <v>0</v>
      </c>
      <c r="AQ91" s="65" t="n">
        <f aca="false">AQ87-AQ90</f>
        <v>0</v>
      </c>
      <c r="AR91" s="65" t="n">
        <f aca="false">AR87-AR90</f>
        <v>0</v>
      </c>
      <c r="AS91" s="65" t="n">
        <f aca="false">AS87-AS90</f>
        <v>0</v>
      </c>
      <c r="AT91" s="65" t="n">
        <f aca="false">AT87-AT90</f>
        <v>0</v>
      </c>
      <c r="AU91" s="65" t="n">
        <f aca="false">AU87-AU90</f>
        <v>0</v>
      </c>
      <c r="AV91" s="65" t="n">
        <f aca="false">AV87-AV90</f>
        <v>0</v>
      </c>
      <c r="AW91" s="65" t="n">
        <f aca="false">AW87-AW90</f>
        <v>0</v>
      </c>
      <c r="AX91" s="65" t="n">
        <f aca="false">AX87-AX90</f>
        <v>0</v>
      </c>
      <c r="AY91" s="65" t="n">
        <f aca="false">AY87-AY90</f>
        <v>0</v>
      </c>
      <c r="AZ91" s="65" t="n">
        <f aca="false">AZ87-AZ90</f>
        <v>0</v>
      </c>
      <c r="BA91" s="65" t="n">
        <f aca="false">BA87-BA90</f>
        <v>0</v>
      </c>
      <c r="BB91" s="65" t="n">
        <f aca="false">BB87-BB90</f>
        <v>0</v>
      </c>
      <c r="BC91" s="65" t="n">
        <f aca="false">BC87-BC90</f>
        <v>0</v>
      </c>
      <c r="BD91" s="65" t="n">
        <f aca="false">BD87-BD90</f>
        <v>0</v>
      </c>
      <c r="BE91" s="65" t="n">
        <f aca="false">BE87-BE90</f>
        <v>0</v>
      </c>
      <c r="BF91" s="65" t="n">
        <f aca="false">BF87-BF90</f>
        <v>0</v>
      </c>
      <c r="BG91" s="65" t="n">
        <f aca="false">BG87-BG90</f>
        <v>0</v>
      </c>
      <c r="BH91" s="65" t="n">
        <f aca="false">BH87-BH90</f>
        <v>0</v>
      </c>
      <c r="BI91" s="65" t="n">
        <f aca="false">BI87-BI90</f>
        <v>0</v>
      </c>
      <c r="BJ91" s="65" t="n">
        <f aca="false">BJ87-BJ90</f>
        <v>0</v>
      </c>
    </row>
    <row r="92" customFormat="false" ht="15" hidden="false" customHeight="false" outlineLevel="0" collapsed="false">
      <c r="A92" s="108" t="s">
        <v>450</v>
      </c>
      <c r="C92" s="114" t="n">
        <f aca="false">0</f>
        <v>0</v>
      </c>
      <c r="D92" s="114" t="n">
        <f aca="false">0</f>
        <v>0</v>
      </c>
      <c r="E92" s="114" t="n">
        <f aca="false">0</f>
        <v>0</v>
      </c>
      <c r="F92" s="114" t="n">
        <f aca="false">0</f>
        <v>0</v>
      </c>
      <c r="G92" s="114" t="n">
        <f aca="false">0</f>
        <v>0</v>
      </c>
      <c r="H92" s="114" t="n">
        <f aca="false">0</f>
        <v>0</v>
      </c>
      <c r="I92" s="114" t="n">
        <f aca="false">0</f>
        <v>0</v>
      </c>
      <c r="J92" s="114" t="n">
        <f aca="false">0</f>
        <v>0</v>
      </c>
      <c r="K92" s="114" t="n">
        <f aca="false">0</f>
        <v>0</v>
      </c>
      <c r="L92" s="114" t="n">
        <f aca="false">0</f>
        <v>0</v>
      </c>
      <c r="M92" s="114" t="n">
        <f aca="false">0</f>
        <v>0</v>
      </c>
      <c r="N92" s="114" t="n">
        <f aca="false">0</f>
        <v>0</v>
      </c>
      <c r="O92" s="114" t="n">
        <f aca="false">0</f>
        <v>0</v>
      </c>
      <c r="P92" s="114" t="n">
        <f aca="false">0</f>
        <v>0</v>
      </c>
      <c r="Q92" s="114" t="n">
        <f aca="false">0</f>
        <v>0</v>
      </c>
      <c r="R92" s="114" t="n">
        <f aca="false">0</f>
        <v>0</v>
      </c>
      <c r="S92" s="114" t="n">
        <f aca="false">0</f>
        <v>0</v>
      </c>
      <c r="T92" s="114" t="n">
        <f aca="false">0</f>
        <v>0</v>
      </c>
      <c r="U92" s="114" t="n">
        <f aca="false">0</f>
        <v>0</v>
      </c>
      <c r="V92" s="114" t="n">
        <f aca="false">0</f>
        <v>0</v>
      </c>
      <c r="W92" s="114" t="n">
        <f aca="false">0</f>
        <v>0</v>
      </c>
      <c r="X92" s="114" t="n">
        <f aca="false">0</f>
        <v>0</v>
      </c>
      <c r="Y92" s="114" t="n">
        <f aca="false">0</f>
        <v>0</v>
      </c>
      <c r="Z92" s="114" t="n">
        <f aca="false">0</f>
        <v>0</v>
      </c>
      <c r="AA92" s="114" t="n">
        <f aca="false">0</f>
        <v>0</v>
      </c>
      <c r="AB92" s="114" t="n">
        <f aca="false">0</f>
        <v>0</v>
      </c>
      <c r="AC92" s="114" t="n">
        <f aca="false">0</f>
        <v>0</v>
      </c>
      <c r="AD92" s="114" t="n">
        <f aca="false">0</f>
        <v>0</v>
      </c>
      <c r="AE92" s="114" t="n">
        <f aca="false">0</f>
        <v>0</v>
      </c>
      <c r="AF92" s="114" t="n">
        <f aca="false">0</f>
        <v>0</v>
      </c>
      <c r="AG92" s="114" t="n">
        <f aca="false">0</f>
        <v>0</v>
      </c>
      <c r="AH92" s="114" t="n">
        <f aca="false">0</f>
        <v>0</v>
      </c>
      <c r="AI92" s="114" t="n">
        <f aca="false">0</f>
        <v>0</v>
      </c>
      <c r="AJ92" s="114" t="n">
        <f aca="false">0</f>
        <v>0</v>
      </c>
      <c r="AK92" s="114" t="n">
        <f aca="false">0</f>
        <v>0</v>
      </c>
      <c r="AL92" s="114" t="n">
        <f aca="false">0</f>
        <v>0</v>
      </c>
      <c r="AM92" s="114" t="n">
        <f aca="false">0</f>
        <v>0</v>
      </c>
      <c r="AN92" s="114" t="n">
        <f aca="false">0</f>
        <v>0</v>
      </c>
      <c r="AO92" s="114" t="n">
        <f aca="false">0</f>
        <v>0</v>
      </c>
      <c r="AP92" s="114" t="n">
        <f aca="false">0</f>
        <v>0</v>
      </c>
      <c r="AQ92" s="114" t="n">
        <f aca="false">0</f>
        <v>0</v>
      </c>
      <c r="AR92" s="114" t="n">
        <f aca="false">0</f>
        <v>0</v>
      </c>
      <c r="AS92" s="114" t="n">
        <f aca="false">0</f>
        <v>0</v>
      </c>
      <c r="AT92" s="114" t="n">
        <f aca="false">0</f>
        <v>0</v>
      </c>
      <c r="AU92" s="114" t="n">
        <f aca="false">0</f>
        <v>0</v>
      </c>
      <c r="AV92" s="114" t="n">
        <f aca="false">0</f>
        <v>0</v>
      </c>
      <c r="AW92" s="114" t="n">
        <f aca="false">0</f>
        <v>0</v>
      </c>
      <c r="AX92" s="114" t="n">
        <f aca="false">0</f>
        <v>0</v>
      </c>
      <c r="AY92" s="114" t="n">
        <f aca="false">0</f>
        <v>0</v>
      </c>
      <c r="AZ92" s="114" t="n">
        <f aca="false">0</f>
        <v>0</v>
      </c>
      <c r="BA92" s="114" t="n">
        <f aca="false">0</f>
        <v>0</v>
      </c>
      <c r="BB92" s="114" t="n">
        <f aca="false">0</f>
        <v>0</v>
      </c>
      <c r="BC92" s="114" t="n">
        <f aca="false">0</f>
        <v>0</v>
      </c>
      <c r="BD92" s="114" t="n">
        <f aca="false">0</f>
        <v>0</v>
      </c>
      <c r="BE92" s="114" t="n">
        <f aca="false">0</f>
        <v>0</v>
      </c>
      <c r="BF92" s="114" t="n">
        <f aca="false">0</f>
        <v>0</v>
      </c>
      <c r="BG92" s="114" t="n">
        <f aca="false">0</f>
        <v>0</v>
      </c>
      <c r="BH92" s="114" t="n">
        <f aca="false">0</f>
        <v>0</v>
      </c>
      <c r="BI92" s="114" t="n">
        <f aca="false">0</f>
        <v>0</v>
      </c>
      <c r="BJ92" s="114" t="n">
        <f aca="false">0</f>
        <v>0</v>
      </c>
    </row>
    <row r="93" customFormat="false" ht="15" hidden="false" customHeight="false" outlineLevel="0" collapsed="false">
      <c r="A93" s="108" t="s">
        <v>451</v>
      </c>
      <c r="C93" s="66" t="n">
        <f aca="false">0</f>
        <v>0</v>
      </c>
      <c r="D93" s="66" t="n">
        <f aca="false">0</f>
        <v>0</v>
      </c>
      <c r="E93" s="66" t="n">
        <f aca="false">0</f>
        <v>0</v>
      </c>
      <c r="F93" s="66" t="n">
        <f aca="false">0</f>
        <v>0</v>
      </c>
      <c r="G93" s="66" t="n">
        <f aca="false">0</f>
        <v>0</v>
      </c>
      <c r="H93" s="66" t="n">
        <f aca="false">0</f>
        <v>0</v>
      </c>
      <c r="I93" s="66" t="n">
        <f aca="false">0</f>
        <v>0</v>
      </c>
      <c r="J93" s="66" t="n">
        <f aca="false">0</f>
        <v>0</v>
      </c>
      <c r="K93" s="66" t="n">
        <f aca="false">0</f>
        <v>0</v>
      </c>
      <c r="L93" s="66" t="n">
        <f aca="false">0</f>
        <v>0</v>
      </c>
      <c r="M93" s="66" t="n">
        <f aca="false">0</f>
        <v>0</v>
      </c>
      <c r="N93" s="66" t="n">
        <f aca="false">0</f>
        <v>0</v>
      </c>
      <c r="O93" s="66" t="n">
        <f aca="false">0</f>
        <v>0</v>
      </c>
      <c r="P93" s="66" t="n">
        <f aca="false">0</f>
        <v>0</v>
      </c>
      <c r="Q93" s="66" t="n">
        <f aca="false">0</f>
        <v>0</v>
      </c>
      <c r="R93" s="66" t="n">
        <f aca="false">0</f>
        <v>0</v>
      </c>
      <c r="S93" s="66" t="n">
        <f aca="false">0</f>
        <v>0</v>
      </c>
      <c r="T93" s="66" t="n">
        <f aca="false">0</f>
        <v>0</v>
      </c>
      <c r="U93" s="66" t="n">
        <f aca="false">0</f>
        <v>0</v>
      </c>
      <c r="V93" s="66" t="n">
        <f aca="false">0</f>
        <v>0</v>
      </c>
      <c r="W93" s="66" t="n">
        <f aca="false">0</f>
        <v>0</v>
      </c>
      <c r="X93" s="66" t="n">
        <f aca="false">0</f>
        <v>0</v>
      </c>
      <c r="Y93" s="66" t="n">
        <f aca="false">0</f>
        <v>0</v>
      </c>
      <c r="Z93" s="66" t="n">
        <f aca="false">0</f>
        <v>0</v>
      </c>
      <c r="AA93" s="66" t="n">
        <f aca="false">0</f>
        <v>0</v>
      </c>
      <c r="AB93" s="66" t="n">
        <f aca="false">0</f>
        <v>0</v>
      </c>
      <c r="AC93" s="66" t="n">
        <f aca="false">0</f>
        <v>0</v>
      </c>
      <c r="AD93" s="66" t="n">
        <f aca="false">0</f>
        <v>0</v>
      </c>
      <c r="AE93" s="66" t="n">
        <f aca="false">0</f>
        <v>0</v>
      </c>
      <c r="AF93" s="66" t="n">
        <f aca="false">0</f>
        <v>0</v>
      </c>
      <c r="AG93" s="66" t="n">
        <f aca="false">0</f>
        <v>0</v>
      </c>
      <c r="AH93" s="66" t="n">
        <f aca="false">0</f>
        <v>0</v>
      </c>
      <c r="AI93" s="66" t="n">
        <f aca="false">0</f>
        <v>0</v>
      </c>
      <c r="AJ93" s="66" t="n">
        <f aca="false">0</f>
        <v>0</v>
      </c>
      <c r="AK93" s="66" t="n">
        <f aca="false">0</f>
        <v>0</v>
      </c>
      <c r="AL93" s="66" t="n">
        <f aca="false">0</f>
        <v>0</v>
      </c>
      <c r="AM93" s="66" t="n">
        <f aca="false">0</f>
        <v>0</v>
      </c>
      <c r="AN93" s="66" t="n">
        <f aca="false">0</f>
        <v>0</v>
      </c>
      <c r="AO93" s="66" t="n">
        <f aca="false">0</f>
        <v>0</v>
      </c>
      <c r="AP93" s="66" t="n">
        <f aca="false">0</f>
        <v>0</v>
      </c>
      <c r="AQ93" s="66" t="n">
        <f aca="false">0</f>
        <v>0</v>
      </c>
      <c r="AR93" s="66" t="n">
        <f aca="false">0</f>
        <v>0</v>
      </c>
      <c r="AS93" s="66" t="n">
        <f aca="false">0</f>
        <v>0</v>
      </c>
      <c r="AT93" s="66" t="n">
        <f aca="false">0</f>
        <v>0</v>
      </c>
      <c r="AU93" s="66" t="n">
        <f aca="false">0</f>
        <v>0</v>
      </c>
      <c r="AV93" s="66" t="n">
        <f aca="false">0</f>
        <v>0</v>
      </c>
      <c r="AW93" s="66" t="n">
        <f aca="false">0</f>
        <v>0</v>
      </c>
      <c r="AX93" s="66" t="n">
        <f aca="false">0</f>
        <v>0</v>
      </c>
      <c r="AY93" s="66" t="n">
        <f aca="false">0</f>
        <v>0</v>
      </c>
      <c r="AZ93" s="66" t="n">
        <f aca="false">0</f>
        <v>0</v>
      </c>
      <c r="BA93" s="66" t="n">
        <f aca="false">0</f>
        <v>0</v>
      </c>
      <c r="BB93" s="66" t="n">
        <f aca="false">0</f>
        <v>0</v>
      </c>
      <c r="BC93" s="66" t="n">
        <f aca="false">0</f>
        <v>0</v>
      </c>
      <c r="BD93" s="66" t="n">
        <f aca="false">0</f>
        <v>0</v>
      </c>
      <c r="BE93" s="66" t="n">
        <f aca="false">0</f>
        <v>0</v>
      </c>
      <c r="BF93" s="66" t="n">
        <f aca="false">0</f>
        <v>0</v>
      </c>
      <c r="BG93" s="66" t="n">
        <f aca="false">0</f>
        <v>0</v>
      </c>
      <c r="BH93" s="66" t="n">
        <f aca="false">0</f>
        <v>0</v>
      </c>
      <c r="BI93" s="66" t="n">
        <f aca="false">0</f>
        <v>0</v>
      </c>
      <c r="BJ93" s="66" t="n">
        <f aca="false">0</f>
        <v>0</v>
      </c>
    </row>
    <row r="96" customFormat="false" ht="15.75" hidden="false" customHeight="true" outlineLevel="0" collapsed="false">
      <c r="A96" s="7" t="s">
        <v>455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customFormat="false" ht="15" hidden="false" customHeight="false" outlineLevel="0" collapsed="false">
      <c r="A97" s="33" t="s">
        <v>353</v>
      </c>
      <c r="C97" s="50" t="s">
        <v>354</v>
      </c>
      <c r="D97" s="50" t="s">
        <v>355</v>
      </c>
      <c r="E97" s="50" t="s">
        <v>356</v>
      </c>
      <c r="F97" s="50" t="s">
        <v>357</v>
      </c>
      <c r="G97" s="50" t="s">
        <v>358</v>
      </c>
      <c r="H97" s="50" t="s">
        <v>359</v>
      </c>
      <c r="I97" s="50" t="s">
        <v>360</v>
      </c>
      <c r="J97" s="50" t="s">
        <v>361</v>
      </c>
      <c r="K97" s="50" t="s">
        <v>362</v>
      </c>
      <c r="L97" s="50" t="s">
        <v>363</v>
      </c>
      <c r="M97" s="50" t="s">
        <v>364</v>
      </c>
      <c r="N97" s="50" t="s">
        <v>365</v>
      </c>
      <c r="O97" s="50" t="s">
        <v>366</v>
      </c>
      <c r="P97" s="50" t="s">
        <v>367</v>
      </c>
      <c r="Q97" s="50" t="s">
        <v>368</v>
      </c>
      <c r="R97" s="50" t="s">
        <v>369</v>
      </c>
      <c r="S97" s="50" t="s">
        <v>370</v>
      </c>
      <c r="T97" s="50" t="s">
        <v>371</v>
      </c>
      <c r="U97" s="50" t="s">
        <v>372</v>
      </c>
      <c r="V97" s="50" t="s">
        <v>373</v>
      </c>
      <c r="W97" s="50" t="s">
        <v>374</v>
      </c>
      <c r="X97" s="50" t="s">
        <v>375</v>
      </c>
      <c r="Y97" s="50" t="s">
        <v>376</v>
      </c>
      <c r="Z97" s="50" t="s">
        <v>377</v>
      </c>
      <c r="AA97" s="50" t="s">
        <v>378</v>
      </c>
      <c r="AB97" s="50" t="s">
        <v>379</v>
      </c>
      <c r="AC97" s="50" t="s">
        <v>380</v>
      </c>
      <c r="AD97" s="50" t="s">
        <v>381</v>
      </c>
      <c r="AE97" s="50" t="s">
        <v>382</v>
      </c>
      <c r="AF97" s="50" t="s">
        <v>383</v>
      </c>
      <c r="AG97" s="50" t="s">
        <v>384</v>
      </c>
      <c r="AH97" s="50" t="s">
        <v>385</v>
      </c>
      <c r="AI97" s="50" t="s">
        <v>386</v>
      </c>
      <c r="AJ97" s="50" t="s">
        <v>387</v>
      </c>
      <c r="AK97" s="50" t="s">
        <v>388</v>
      </c>
      <c r="AL97" s="50" t="s">
        <v>389</v>
      </c>
      <c r="AM97" s="50" t="s">
        <v>390</v>
      </c>
      <c r="AN97" s="50" t="s">
        <v>391</v>
      </c>
      <c r="AO97" s="50" t="s">
        <v>392</v>
      </c>
      <c r="AP97" s="50" t="s">
        <v>393</v>
      </c>
      <c r="AQ97" s="50" t="s">
        <v>394</v>
      </c>
      <c r="AR97" s="50" t="s">
        <v>395</v>
      </c>
      <c r="AS97" s="50" t="s">
        <v>396</v>
      </c>
      <c r="AT97" s="50" t="s">
        <v>397</v>
      </c>
      <c r="AU97" s="50" t="s">
        <v>398</v>
      </c>
      <c r="AV97" s="50" t="s">
        <v>399</v>
      </c>
      <c r="AW97" s="50" t="s">
        <v>400</v>
      </c>
      <c r="AX97" s="50" t="s">
        <v>401</v>
      </c>
      <c r="AY97" s="50" t="s">
        <v>402</v>
      </c>
      <c r="AZ97" s="50" t="s">
        <v>403</v>
      </c>
      <c r="BA97" s="50" t="s">
        <v>404</v>
      </c>
      <c r="BB97" s="50" t="s">
        <v>405</v>
      </c>
      <c r="BC97" s="50" t="s">
        <v>406</v>
      </c>
      <c r="BD97" s="50" t="s">
        <v>407</v>
      </c>
      <c r="BE97" s="50" t="s">
        <v>408</v>
      </c>
      <c r="BF97" s="50" t="s">
        <v>409</v>
      </c>
      <c r="BG97" s="50" t="s">
        <v>410</v>
      </c>
      <c r="BH97" s="50" t="s">
        <v>411</v>
      </c>
      <c r="BI97" s="50" t="s">
        <v>412</v>
      </c>
      <c r="BJ97" s="50" t="s">
        <v>413</v>
      </c>
    </row>
    <row r="98" customFormat="false" ht="15" hidden="false" customHeight="false" outlineLevel="0" collapsed="false">
      <c r="A98" s="70" t="s">
        <v>414</v>
      </c>
      <c r="C98" s="70" t="n">
        <v>1</v>
      </c>
      <c r="D98" s="70" t="n">
        <v>2</v>
      </c>
      <c r="E98" s="70" t="n">
        <v>3</v>
      </c>
      <c r="F98" s="70" t="n">
        <v>4</v>
      </c>
      <c r="G98" s="70" t="n">
        <v>5</v>
      </c>
      <c r="H98" s="70" t="n">
        <v>6</v>
      </c>
      <c r="I98" s="70" t="n">
        <v>7</v>
      </c>
      <c r="J98" s="70" t="n">
        <v>8</v>
      </c>
      <c r="K98" s="70" t="n">
        <v>9</v>
      </c>
      <c r="L98" s="70" t="n">
        <v>10</v>
      </c>
      <c r="M98" s="70" t="n">
        <v>11</v>
      </c>
      <c r="N98" s="70" t="n">
        <v>12</v>
      </c>
      <c r="O98" s="70" t="n">
        <v>13</v>
      </c>
      <c r="P98" s="70" t="n">
        <v>14</v>
      </c>
      <c r="Q98" s="70" t="n">
        <v>15</v>
      </c>
      <c r="R98" s="70" t="n">
        <v>16</v>
      </c>
      <c r="S98" s="70" t="n">
        <v>17</v>
      </c>
      <c r="T98" s="70" t="n">
        <v>18</v>
      </c>
      <c r="U98" s="70" t="n">
        <v>19</v>
      </c>
      <c r="V98" s="70" t="n">
        <v>20</v>
      </c>
      <c r="W98" s="70" t="n">
        <v>21</v>
      </c>
      <c r="X98" s="70" t="n">
        <v>22</v>
      </c>
      <c r="Y98" s="70" t="n">
        <v>23</v>
      </c>
      <c r="Z98" s="70" t="n">
        <v>24</v>
      </c>
      <c r="AA98" s="70" t="n">
        <v>25</v>
      </c>
      <c r="AB98" s="70" t="n">
        <v>26</v>
      </c>
      <c r="AC98" s="70" t="n">
        <v>27</v>
      </c>
      <c r="AD98" s="70" t="n">
        <v>28</v>
      </c>
      <c r="AE98" s="70" t="n">
        <v>29</v>
      </c>
      <c r="AF98" s="70" t="n">
        <v>30</v>
      </c>
      <c r="AG98" s="70" t="n">
        <v>31</v>
      </c>
      <c r="AH98" s="70" t="n">
        <v>32</v>
      </c>
      <c r="AI98" s="70" t="n">
        <v>33</v>
      </c>
      <c r="AJ98" s="70" t="n">
        <v>34</v>
      </c>
      <c r="AK98" s="70" t="n">
        <v>35</v>
      </c>
      <c r="AL98" s="70" t="n">
        <v>36</v>
      </c>
      <c r="AM98" s="70" t="n">
        <v>37</v>
      </c>
      <c r="AN98" s="70" t="n">
        <v>38</v>
      </c>
      <c r="AO98" s="70" t="n">
        <v>39</v>
      </c>
      <c r="AP98" s="70" t="n">
        <v>40</v>
      </c>
      <c r="AQ98" s="70" t="n">
        <v>41</v>
      </c>
      <c r="AR98" s="70" t="n">
        <v>42</v>
      </c>
      <c r="AS98" s="70" t="n">
        <v>43</v>
      </c>
      <c r="AT98" s="70" t="n">
        <v>44</v>
      </c>
      <c r="AU98" s="70" t="n">
        <v>45</v>
      </c>
      <c r="AV98" s="70" t="n">
        <v>46</v>
      </c>
      <c r="AW98" s="70" t="n">
        <v>47</v>
      </c>
      <c r="AX98" s="70" t="n">
        <v>48</v>
      </c>
      <c r="AY98" s="70" t="n">
        <v>49</v>
      </c>
      <c r="AZ98" s="70" t="n">
        <v>50</v>
      </c>
      <c r="BA98" s="70" t="n">
        <v>51</v>
      </c>
      <c r="BB98" s="70" t="n">
        <v>52</v>
      </c>
      <c r="BC98" s="70" t="n">
        <v>53</v>
      </c>
      <c r="BD98" s="70" t="n">
        <v>54</v>
      </c>
      <c r="BE98" s="70" t="n">
        <v>55</v>
      </c>
      <c r="BF98" s="70" t="n">
        <v>56</v>
      </c>
      <c r="BG98" s="70" t="n">
        <v>57</v>
      </c>
      <c r="BH98" s="70" t="n">
        <v>58</v>
      </c>
      <c r="BI98" s="70" t="n">
        <v>59</v>
      </c>
      <c r="BJ98" s="70" t="n">
        <v>60</v>
      </c>
    </row>
    <row r="99" customFormat="false" ht="15" hidden="false" customHeight="false" outlineLevel="0" collapsed="false">
      <c r="A99" s="70" t="s">
        <v>155</v>
      </c>
      <c r="C99" s="70" t="n">
        <f aca="false">ROUNDUP(C98*1/12,0)</f>
        <v>1</v>
      </c>
      <c r="D99" s="70" t="n">
        <f aca="false">ROUNDUP(D98*1/12,0)</f>
        <v>1</v>
      </c>
      <c r="E99" s="70" t="n">
        <f aca="false">ROUNDUP(E98*1/12,0)</f>
        <v>1</v>
      </c>
      <c r="F99" s="70" t="n">
        <f aca="false">ROUNDUP(F98*1/12,0)</f>
        <v>1</v>
      </c>
      <c r="G99" s="70" t="n">
        <f aca="false">ROUNDUP(G98*1/12,0)</f>
        <v>1</v>
      </c>
      <c r="H99" s="70" t="n">
        <f aca="false">ROUNDUP(H98*1/12,0)</f>
        <v>1</v>
      </c>
      <c r="I99" s="70" t="n">
        <f aca="false">ROUNDUP(I98*1/12,0)</f>
        <v>1</v>
      </c>
      <c r="J99" s="70" t="n">
        <f aca="false">ROUNDUP(J98*1/12,0)</f>
        <v>1</v>
      </c>
      <c r="K99" s="70" t="n">
        <f aca="false">ROUNDUP(K98*1/12,0)</f>
        <v>1</v>
      </c>
      <c r="L99" s="70" t="n">
        <f aca="false">ROUNDUP(L98*1/12,0)</f>
        <v>1</v>
      </c>
      <c r="M99" s="70" t="n">
        <f aca="false">ROUNDUP(M98*1/12,0)</f>
        <v>1</v>
      </c>
      <c r="N99" s="70" t="n">
        <f aca="false">ROUNDUP(N98*1/12,0)</f>
        <v>1</v>
      </c>
      <c r="O99" s="70" t="n">
        <f aca="false">ROUNDUP(O98*1/12,0)</f>
        <v>2</v>
      </c>
      <c r="P99" s="70" t="n">
        <f aca="false">ROUNDUP(P98*1/12,0)</f>
        <v>2</v>
      </c>
      <c r="Q99" s="70" t="n">
        <f aca="false">ROUNDUP(Q98*1/12,0)</f>
        <v>2</v>
      </c>
      <c r="R99" s="70" t="n">
        <f aca="false">ROUNDUP(R98*1/12,0)</f>
        <v>2</v>
      </c>
      <c r="S99" s="70" t="n">
        <f aca="false">ROUNDUP(S98*1/12,0)</f>
        <v>2</v>
      </c>
      <c r="T99" s="70" t="n">
        <f aca="false">ROUNDUP(T98*1/12,0)</f>
        <v>2</v>
      </c>
      <c r="U99" s="70" t="n">
        <f aca="false">ROUNDUP(U98*1/12,0)</f>
        <v>2</v>
      </c>
      <c r="V99" s="70" t="n">
        <f aca="false">ROUNDUP(V98*1/12,0)</f>
        <v>2</v>
      </c>
      <c r="W99" s="70" t="n">
        <f aca="false">ROUNDUP(W98*1/12,0)</f>
        <v>2</v>
      </c>
      <c r="X99" s="70" t="n">
        <f aca="false">ROUNDUP(X98*1/12,0)</f>
        <v>2</v>
      </c>
      <c r="Y99" s="70" t="n">
        <f aca="false">ROUNDUP(Y98*1/12,0)</f>
        <v>2</v>
      </c>
      <c r="Z99" s="70" t="n">
        <f aca="false">ROUNDUP(Z98*1/12,0)</f>
        <v>2</v>
      </c>
      <c r="AA99" s="70" t="n">
        <f aca="false">ROUNDUP(AA98*1/12,0)</f>
        <v>3</v>
      </c>
      <c r="AB99" s="70" t="n">
        <f aca="false">ROUNDUP(AB98*1/12,0)</f>
        <v>3</v>
      </c>
      <c r="AC99" s="70" t="n">
        <f aca="false">ROUNDUP(AC98*1/12,0)</f>
        <v>3</v>
      </c>
      <c r="AD99" s="70" t="n">
        <f aca="false">ROUNDUP(AD98*1/12,0)</f>
        <v>3</v>
      </c>
      <c r="AE99" s="70" t="n">
        <f aca="false">ROUNDUP(AE98*1/12,0)</f>
        <v>3</v>
      </c>
      <c r="AF99" s="70" t="n">
        <f aca="false">ROUNDUP(AF98*1/12,0)</f>
        <v>3</v>
      </c>
      <c r="AG99" s="70" t="n">
        <f aca="false">ROUNDUP(AG98*1/12,0)</f>
        <v>3</v>
      </c>
      <c r="AH99" s="70" t="n">
        <f aca="false">ROUNDUP(AH98*1/12,0)</f>
        <v>3</v>
      </c>
      <c r="AI99" s="70" t="n">
        <f aca="false">ROUNDUP(AI98*1/12,0)</f>
        <v>3</v>
      </c>
      <c r="AJ99" s="70" t="n">
        <f aca="false">ROUNDUP(AJ98*1/12,0)</f>
        <v>3</v>
      </c>
      <c r="AK99" s="70" t="n">
        <f aca="false">ROUNDUP(AK98*1/12,0)</f>
        <v>3</v>
      </c>
      <c r="AL99" s="70" t="n">
        <f aca="false">ROUNDUP(AL98*1/12,0)</f>
        <v>3</v>
      </c>
      <c r="AM99" s="70" t="n">
        <f aca="false">ROUNDUP(AM98*1/12,0)</f>
        <v>4</v>
      </c>
      <c r="AN99" s="70" t="n">
        <f aca="false">ROUNDUP(AN98*1/12,0)</f>
        <v>4</v>
      </c>
      <c r="AO99" s="70" t="n">
        <f aca="false">ROUNDUP(AO98*1/12,0)</f>
        <v>4</v>
      </c>
      <c r="AP99" s="70" t="n">
        <f aca="false">ROUNDUP(AP98*1/12,0)</f>
        <v>4</v>
      </c>
      <c r="AQ99" s="70" t="n">
        <f aca="false">ROUNDUP(AQ98*1/12,0)</f>
        <v>4</v>
      </c>
      <c r="AR99" s="70" t="n">
        <f aca="false">ROUNDUP(AR98*1/12,0)</f>
        <v>4</v>
      </c>
      <c r="AS99" s="70" t="n">
        <f aca="false">ROUNDUP(AS98*1/12,0)</f>
        <v>4</v>
      </c>
      <c r="AT99" s="70" t="n">
        <f aca="false">ROUNDUP(AT98*1/12,0)</f>
        <v>4</v>
      </c>
      <c r="AU99" s="70" t="n">
        <f aca="false">ROUNDUP(AU98*1/12,0)</f>
        <v>4</v>
      </c>
      <c r="AV99" s="70" t="n">
        <f aca="false">ROUNDUP(AV98*1/12,0)</f>
        <v>4</v>
      </c>
      <c r="AW99" s="70" t="n">
        <f aca="false">ROUNDUP(AW98*1/12,0)</f>
        <v>4</v>
      </c>
      <c r="AX99" s="70" t="n">
        <f aca="false">ROUNDUP(AX98*1/12,0)</f>
        <v>4</v>
      </c>
      <c r="AY99" s="70" t="n">
        <f aca="false">ROUNDUP(AY98*1/12,0)</f>
        <v>5</v>
      </c>
      <c r="AZ99" s="70" t="n">
        <f aca="false">ROUNDUP(AZ98*1/12,0)</f>
        <v>5</v>
      </c>
      <c r="BA99" s="70" t="n">
        <f aca="false">ROUNDUP(BA98*1/12,0)</f>
        <v>5</v>
      </c>
      <c r="BB99" s="70" t="n">
        <f aca="false">ROUNDUP(BB98*1/12,0)</f>
        <v>5</v>
      </c>
      <c r="BC99" s="70" t="n">
        <f aca="false">ROUNDUP(BC98*1/12,0)</f>
        <v>5</v>
      </c>
      <c r="BD99" s="70" t="n">
        <f aca="false">ROUNDUP(BD98*1/12,0)</f>
        <v>5</v>
      </c>
      <c r="BE99" s="70" t="n">
        <f aca="false">ROUNDUP(BE98*1/12,0)</f>
        <v>5</v>
      </c>
      <c r="BF99" s="70" t="n">
        <f aca="false">ROUNDUP(BF98*1/12,0)</f>
        <v>5</v>
      </c>
      <c r="BG99" s="70" t="n">
        <f aca="false">ROUNDUP(BG98*1/12,0)</f>
        <v>5</v>
      </c>
      <c r="BH99" s="70" t="n">
        <f aca="false">ROUNDUP(BH98*1/12,0)</f>
        <v>5</v>
      </c>
      <c r="BI99" s="70" t="n">
        <f aca="false">ROUNDUP(BI98*1/12,0)</f>
        <v>5</v>
      </c>
      <c r="BJ99" s="70" t="n">
        <f aca="false">ROUNDUP(BJ98*1/12,0)</f>
        <v>5</v>
      </c>
    </row>
    <row r="101" customFormat="false" ht="15.75" hidden="false" customHeight="true" outlineLevel="0" collapsed="false">
      <c r="A101" s="7" t="s">
        <v>299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customFormat="false" ht="15" hidden="false" customHeight="false" outlineLevel="0" collapsed="false">
      <c r="A102" s="6" t="s">
        <v>415</v>
      </c>
      <c r="C102" s="111" t="n">
        <f aca="false">Inputs!$C$13*(1+Inputs!$C$14)^(C$99-1)</f>
        <v>1700</v>
      </c>
      <c r="D102" s="111" t="n">
        <f aca="false">Inputs!$C$13*(1+Inputs!$C$14)^(D$99-1)</f>
        <v>1700</v>
      </c>
      <c r="E102" s="111" t="n">
        <f aca="false">Inputs!$C$13*(1+Inputs!$C$14)^(E$99-1)</f>
        <v>1700</v>
      </c>
      <c r="F102" s="111" t="n">
        <f aca="false">Inputs!$C$13*(1+Inputs!$C$14)^(F$99-1)</f>
        <v>1700</v>
      </c>
      <c r="G102" s="111" t="n">
        <f aca="false">Inputs!$C$13*(1+Inputs!$C$14)^(G$99-1)</f>
        <v>1700</v>
      </c>
      <c r="H102" s="111" t="n">
        <f aca="false">Inputs!$C$13*(1+Inputs!$C$14)^(H$99-1)</f>
        <v>1700</v>
      </c>
      <c r="I102" s="111" t="n">
        <f aca="false">Inputs!$C$13*(1+Inputs!$C$14)^(I$99-1)</f>
        <v>1700</v>
      </c>
      <c r="J102" s="111" t="n">
        <f aca="false">Inputs!$C$13*(1+Inputs!$C$14)^(J$99-1)</f>
        <v>1700</v>
      </c>
      <c r="K102" s="111" t="n">
        <f aca="false">Inputs!$C$13*(1+Inputs!$C$14)^(K$99-1)</f>
        <v>1700</v>
      </c>
      <c r="L102" s="111" t="n">
        <f aca="false">Inputs!$C$13*(1+Inputs!$C$14)^(L$99-1)</f>
        <v>1700</v>
      </c>
      <c r="M102" s="111" t="n">
        <f aca="false">Inputs!$C$13*(1+Inputs!$C$14)^(M$99-1)</f>
        <v>1700</v>
      </c>
      <c r="N102" s="111" t="n">
        <f aca="false">Inputs!$C$13*(1+Inputs!$C$14)^(N$99-1)</f>
        <v>1700</v>
      </c>
      <c r="O102" s="111" t="n">
        <f aca="false">Inputs!$C$13*(1+Inputs!$C$14)^(O$99-1)</f>
        <v>1751</v>
      </c>
      <c r="P102" s="111" t="n">
        <f aca="false">Inputs!$C$13*(1+Inputs!$C$14)^(P$99-1)</f>
        <v>1751</v>
      </c>
      <c r="Q102" s="111" t="n">
        <f aca="false">Inputs!$C$13*(1+Inputs!$C$14)^(Q$99-1)</f>
        <v>1751</v>
      </c>
      <c r="R102" s="111" t="n">
        <f aca="false">Inputs!$C$13*(1+Inputs!$C$14)^(R$99-1)</f>
        <v>1751</v>
      </c>
      <c r="S102" s="111" t="n">
        <f aca="false">Inputs!$C$13*(1+Inputs!$C$14)^(S$99-1)</f>
        <v>1751</v>
      </c>
      <c r="T102" s="111" t="n">
        <f aca="false">Inputs!$C$13*(1+Inputs!$C$14)^(T$99-1)</f>
        <v>1751</v>
      </c>
      <c r="U102" s="111" t="n">
        <f aca="false">Inputs!$C$13*(1+Inputs!$C$14)^(U$99-1)</f>
        <v>1751</v>
      </c>
      <c r="V102" s="111" t="n">
        <f aca="false">Inputs!$C$13*(1+Inputs!$C$14)^(V$99-1)</f>
        <v>1751</v>
      </c>
      <c r="W102" s="111" t="n">
        <f aca="false">Inputs!$C$13*(1+Inputs!$C$14)^(W$99-1)</f>
        <v>1751</v>
      </c>
      <c r="X102" s="111" t="n">
        <f aca="false">Inputs!$C$13*(1+Inputs!$C$14)^(X$99-1)</f>
        <v>1751</v>
      </c>
      <c r="Y102" s="111" t="n">
        <f aca="false">Inputs!$C$13*(1+Inputs!$C$14)^(Y$99-1)</f>
        <v>1751</v>
      </c>
      <c r="Z102" s="111" t="n">
        <f aca="false">Inputs!$C$13*(1+Inputs!$C$14)^(Z$99-1)</f>
        <v>1751</v>
      </c>
      <c r="AA102" s="111" t="n">
        <f aca="false">Inputs!$C$13*(1+Inputs!$C$14)^(AA$99-1)</f>
        <v>1803.53</v>
      </c>
      <c r="AB102" s="111" t="n">
        <f aca="false">Inputs!$C$13*(1+Inputs!$C$14)^(AB$99-1)</f>
        <v>1803.53</v>
      </c>
      <c r="AC102" s="111" t="n">
        <f aca="false">Inputs!$C$13*(1+Inputs!$C$14)^(AC$99-1)</f>
        <v>1803.53</v>
      </c>
      <c r="AD102" s="111" t="n">
        <f aca="false">Inputs!$C$13*(1+Inputs!$C$14)^(AD$99-1)</f>
        <v>1803.53</v>
      </c>
      <c r="AE102" s="111" t="n">
        <f aca="false">Inputs!$C$13*(1+Inputs!$C$14)^(AE$99-1)</f>
        <v>1803.53</v>
      </c>
      <c r="AF102" s="111" t="n">
        <f aca="false">Inputs!$C$13*(1+Inputs!$C$14)^(AF$99-1)</f>
        <v>1803.53</v>
      </c>
      <c r="AG102" s="111" t="n">
        <f aca="false">Inputs!$C$13*(1+Inputs!$C$14)^(AG$99-1)</f>
        <v>1803.53</v>
      </c>
      <c r="AH102" s="111" t="n">
        <f aca="false">Inputs!$C$13*(1+Inputs!$C$14)^(AH$99-1)</f>
        <v>1803.53</v>
      </c>
      <c r="AI102" s="111" t="n">
        <f aca="false">Inputs!$C$13*(1+Inputs!$C$14)^(AI$99-1)</f>
        <v>1803.53</v>
      </c>
      <c r="AJ102" s="111" t="n">
        <f aca="false">Inputs!$C$13*(1+Inputs!$C$14)^(AJ$99-1)</f>
        <v>1803.53</v>
      </c>
      <c r="AK102" s="111" t="n">
        <f aca="false">Inputs!$C$13*(1+Inputs!$C$14)^(AK$99-1)</f>
        <v>1803.53</v>
      </c>
      <c r="AL102" s="111" t="n">
        <f aca="false">Inputs!$C$13*(1+Inputs!$C$14)^(AL$99-1)</f>
        <v>1803.53</v>
      </c>
      <c r="AM102" s="111" t="n">
        <f aca="false">Inputs!$C$13*(1+Inputs!$C$14)^(AM$99-1)</f>
        <v>1857.6359</v>
      </c>
      <c r="AN102" s="111" t="n">
        <f aca="false">Inputs!$C$13*(1+Inputs!$C$14)^(AN$99-1)</f>
        <v>1857.6359</v>
      </c>
      <c r="AO102" s="111" t="n">
        <f aca="false">Inputs!$C$13*(1+Inputs!$C$14)^(AO$99-1)</f>
        <v>1857.6359</v>
      </c>
      <c r="AP102" s="111" t="n">
        <f aca="false">Inputs!$C$13*(1+Inputs!$C$14)^(AP$99-1)</f>
        <v>1857.6359</v>
      </c>
      <c r="AQ102" s="111" t="n">
        <f aca="false">Inputs!$C$13*(1+Inputs!$C$14)^(AQ$99-1)</f>
        <v>1857.6359</v>
      </c>
      <c r="AR102" s="111" t="n">
        <f aca="false">Inputs!$C$13*(1+Inputs!$C$14)^(AR$99-1)</f>
        <v>1857.6359</v>
      </c>
      <c r="AS102" s="111" t="n">
        <f aca="false">Inputs!$C$13*(1+Inputs!$C$14)^(AS$99-1)</f>
        <v>1857.6359</v>
      </c>
      <c r="AT102" s="111" t="n">
        <f aca="false">Inputs!$C$13*(1+Inputs!$C$14)^(AT$99-1)</f>
        <v>1857.6359</v>
      </c>
      <c r="AU102" s="111" t="n">
        <f aca="false">Inputs!$C$13*(1+Inputs!$C$14)^(AU$99-1)</f>
        <v>1857.6359</v>
      </c>
      <c r="AV102" s="111" t="n">
        <f aca="false">Inputs!$C$13*(1+Inputs!$C$14)^(AV$99-1)</f>
        <v>1857.6359</v>
      </c>
      <c r="AW102" s="111" t="n">
        <f aca="false">Inputs!$C$13*(1+Inputs!$C$14)^(AW$99-1)</f>
        <v>1857.6359</v>
      </c>
      <c r="AX102" s="111" t="n">
        <f aca="false">Inputs!$C$13*(1+Inputs!$C$14)^(AX$99-1)</f>
        <v>1857.6359</v>
      </c>
      <c r="AY102" s="111" t="n">
        <f aca="false">Inputs!$C$13*(1+Inputs!$C$14)^(AY$99-1)</f>
        <v>1913.364977</v>
      </c>
      <c r="AZ102" s="111" t="n">
        <f aca="false">Inputs!$C$13*(1+Inputs!$C$14)^(AZ$99-1)</f>
        <v>1913.364977</v>
      </c>
      <c r="BA102" s="111" t="n">
        <f aca="false">Inputs!$C$13*(1+Inputs!$C$14)^(BA$99-1)</f>
        <v>1913.364977</v>
      </c>
      <c r="BB102" s="111" t="n">
        <f aca="false">Inputs!$C$13*(1+Inputs!$C$14)^(BB$99-1)</f>
        <v>1913.364977</v>
      </c>
      <c r="BC102" s="111" t="n">
        <f aca="false">Inputs!$C$13*(1+Inputs!$C$14)^(BC$99-1)</f>
        <v>1913.364977</v>
      </c>
      <c r="BD102" s="111" t="n">
        <f aca="false">Inputs!$C$13*(1+Inputs!$C$14)^(BD$99-1)</f>
        <v>1913.364977</v>
      </c>
      <c r="BE102" s="111" t="n">
        <f aca="false">Inputs!$C$13*(1+Inputs!$C$14)^(BE$99-1)</f>
        <v>1913.364977</v>
      </c>
      <c r="BF102" s="111" t="n">
        <f aca="false">Inputs!$C$13*(1+Inputs!$C$14)^(BF$99-1)</f>
        <v>1913.364977</v>
      </c>
      <c r="BG102" s="111" t="n">
        <f aca="false">Inputs!$C$13*(1+Inputs!$C$14)^(BG$99-1)</f>
        <v>1913.364977</v>
      </c>
      <c r="BH102" s="111" t="n">
        <f aca="false">Inputs!$C$13*(1+Inputs!$C$14)^(BH$99-1)</f>
        <v>1913.364977</v>
      </c>
      <c r="BI102" s="111" t="n">
        <f aca="false">Inputs!$C$13*(1+Inputs!$C$14)^(BI$99-1)</f>
        <v>1913.364977</v>
      </c>
      <c r="BJ102" s="111" t="n">
        <f aca="false">Inputs!$C$13*(1+Inputs!$C$14)^(BJ$99-1)</f>
        <v>1913.364977</v>
      </c>
    </row>
    <row r="103" customFormat="false" ht="15" hidden="false" customHeight="false" outlineLevel="0" collapsed="false">
      <c r="A103" s="6" t="s">
        <v>416</v>
      </c>
      <c r="C103" s="65" t="n">
        <f aca="false">Inputs!$C$10*C102*1</f>
        <v>17000</v>
      </c>
      <c r="D103" s="65" t="n">
        <f aca="false">Inputs!$C$10*D102*1</f>
        <v>17000</v>
      </c>
      <c r="E103" s="65" t="n">
        <f aca="false">Inputs!$C$10*E102*1</f>
        <v>17000</v>
      </c>
      <c r="F103" s="65" t="n">
        <f aca="false">Inputs!$C$10*F102*1</f>
        <v>17000</v>
      </c>
      <c r="G103" s="65" t="n">
        <f aca="false">Inputs!$C$10*G102*1</f>
        <v>17000</v>
      </c>
      <c r="H103" s="65" t="n">
        <f aca="false">Inputs!$C$10*H102*1</f>
        <v>17000</v>
      </c>
      <c r="I103" s="65" t="n">
        <f aca="false">Inputs!$C$10*I102*1</f>
        <v>17000</v>
      </c>
      <c r="J103" s="65" t="n">
        <f aca="false">Inputs!$C$10*J102*1</f>
        <v>17000</v>
      </c>
      <c r="K103" s="65" t="n">
        <f aca="false">Inputs!$C$10*K102*1</f>
        <v>17000</v>
      </c>
      <c r="L103" s="65" t="n">
        <f aca="false">Inputs!$C$10*L102*1</f>
        <v>17000</v>
      </c>
      <c r="M103" s="65" t="n">
        <f aca="false">Inputs!$C$10*M102*1</f>
        <v>17000</v>
      </c>
      <c r="N103" s="65" t="n">
        <f aca="false">Inputs!$C$10*N102*1</f>
        <v>17000</v>
      </c>
      <c r="O103" s="65" t="n">
        <f aca="false">Inputs!$C$10*O102*1</f>
        <v>17510</v>
      </c>
      <c r="P103" s="65" t="n">
        <f aca="false">Inputs!$C$10*P102*1</f>
        <v>17510</v>
      </c>
      <c r="Q103" s="65" t="n">
        <f aca="false">Inputs!$C$10*Q102*1</f>
        <v>17510</v>
      </c>
      <c r="R103" s="65" t="n">
        <f aca="false">Inputs!$C$10*R102*1</f>
        <v>17510</v>
      </c>
      <c r="S103" s="65" t="n">
        <f aca="false">Inputs!$C$10*S102*1</f>
        <v>17510</v>
      </c>
      <c r="T103" s="65" t="n">
        <f aca="false">Inputs!$C$10*T102*1</f>
        <v>17510</v>
      </c>
      <c r="U103" s="65" t="n">
        <f aca="false">Inputs!$C$10*U102*1</f>
        <v>17510</v>
      </c>
      <c r="V103" s="65" t="n">
        <f aca="false">Inputs!$C$10*V102*1</f>
        <v>17510</v>
      </c>
      <c r="W103" s="65" t="n">
        <f aca="false">Inputs!$C$10*W102*1</f>
        <v>17510</v>
      </c>
      <c r="X103" s="65" t="n">
        <f aca="false">Inputs!$C$10*X102*1</f>
        <v>17510</v>
      </c>
      <c r="Y103" s="65" t="n">
        <f aca="false">Inputs!$C$10*Y102*1</f>
        <v>17510</v>
      </c>
      <c r="Z103" s="65" t="n">
        <f aca="false">Inputs!$C$10*Z102*1</f>
        <v>17510</v>
      </c>
      <c r="AA103" s="65" t="n">
        <f aca="false">Inputs!$C$10*AA102*1</f>
        <v>18035.3</v>
      </c>
      <c r="AB103" s="65" t="n">
        <f aca="false">Inputs!$C$10*AB102*1</f>
        <v>18035.3</v>
      </c>
      <c r="AC103" s="65" t="n">
        <f aca="false">Inputs!$C$10*AC102*1</f>
        <v>18035.3</v>
      </c>
      <c r="AD103" s="65" t="n">
        <f aca="false">Inputs!$C$10*AD102*1</f>
        <v>18035.3</v>
      </c>
      <c r="AE103" s="65" t="n">
        <f aca="false">Inputs!$C$10*AE102*1</f>
        <v>18035.3</v>
      </c>
      <c r="AF103" s="65" t="n">
        <f aca="false">Inputs!$C$10*AF102*1</f>
        <v>18035.3</v>
      </c>
      <c r="AG103" s="65" t="n">
        <f aca="false">Inputs!$C$10*AG102*1</f>
        <v>18035.3</v>
      </c>
      <c r="AH103" s="65" t="n">
        <f aca="false">Inputs!$C$10*AH102*1</f>
        <v>18035.3</v>
      </c>
      <c r="AI103" s="65" t="n">
        <f aca="false">Inputs!$C$10*AI102*1</f>
        <v>18035.3</v>
      </c>
      <c r="AJ103" s="65" t="n">
        <f aca="false">Inputs!$C$10*AJ102*1</f>
        <v>18035.3</v>
      </c>
      <c r="AK103" s="65" t="n">
        <f aca="false">Inputs!$C$10*AK102*1</f>
        <v>18035.3</v>
      </c>
      <c r="AL103" s="65" t="n">
        <f aca="false">Inputs!$C$10*AL102*1</f>
        <v>18035.3</v>
      </c>
      <c r="AM103" s="65" t="n">
        <f aca="false">Inputs!$C$10*AM102*1</f>
        <v>18576.359</v>
      </c>
      <c r="AN103" s="65" t="n">
        <f aca="false">Inputs!$C$10*AN102*1</f>
        <v>18576.359</v>
      </c>
      <c r="AO103" s="65" t="n">
        <f aca="false">Inputs!$C$10*AO102*1</f>
        <v>18576.359</v>
      </c>
      <c r="AP103" s="65" t="n">
        <f aca="false">Inputs!$C$10*AP102*1</f>
        <v>18576.359</v>
      </c>
      <c r="AQ103" s="65" t="n">
        <f aca="false">Inputs!$C$10*AQ102*1</f>
        <v>18576.359</v>
      </c>
      <c r="AR103" s="65" t="n">
        <f aca="false">Inputs!$C$10*AR102*1</f>
        <v>18576.359</v>
      </c>
      <c r="AS103" s="65" t="n">
        <f aca="false">Inputs!$C$10*AS102*1</f>
        <v>18576.359</v>
      </c>
      <c r="AT103" s="65" t="n">
        <f aca="false">Inputs!$C$10*AT102*1</f>
        <v>18576.359</v>
      </c>
      <c r="AU103" s="65" t="n">
        <f aca="false">Inputs!$C$10*AU102*1</f>
        <v>18576.359</v>
      </c>
      <c r="AV103" s="65" t="n">
        <f aca="false">Inputs!$C$10*AV102*1</f>
        <v>18576.359</v>
      </c>
      <c r="AW103" s="65" t="n">
        <f aca="false">Inputs!$C$10*AW102*1</f>
        <v>18576.359</v>
      </c>
      <c r="AX103" s="65" t="n">
        <f aca="false">Inputs!$C$10*AX102*1</f>
        <v>18576.359</v>
      </c>
      <c r="AY103" s="65" t="n">
        <f aca="false">Inputs!$C$10*AY102*1</f>
        <v>19133.64977</v>
      </c>
      <c r="AZ103" s="65" t="n">
        <f aca="false">Inputs!$C$10*AZ102*1</f>
        <v>19133.64977</v>
      </c>
      <c r="BA103" s="65" t="n">
        <f aca="false">Inputs!$C$10*BA102*1</f>
        <v>19133.64977</v>
      </c>
      <c r="BB103" s="65" t="n">
        <f aca="false">Inputs!$C$10*BB102*1</f>
        <v>19133.64977</v>
      </c>
      <c r="BC103" s="65" t="n">
        <f aca="false">Inputs!$C$10*BC102*1</f>
        <v>19133.64977</v>
      </c>
      <c r="BD103" s="65" t="n">
        <f aca="false">Inputs!$C$10*BD102*1</f>
        <v>19133.64977</v>
      </c>
      <c r="BE103" s="65" t="n">
        <f aca="false">Inputs!$C$10*BE102*1</f>
        <v>19133.64977</v>
      </c>
      <c r="BF103" s="65" t="n">
        <f aca="false">Inputs!$C$10*BF102*1</f>
        <v>19133.64977</v>
      </c>
      <c r="BG103" s="65" t="n">
        <f aca="false">Inputs!$C$10*BG102*1</f>
        <v>19133.64977</v>
      </c>
      <c r="BH103" s="65" t="n">
        <f aca="false">Inputs!$C$10*BH102*1</f>
        <v>19133.64977</v>
      </c>
      <c r="BI103" s="65" t="n">
        <f aca="false">Inputs!$C$10*BI102*1</f>
        <v>19133.64977</v>
      </c>
      <c r="BJ103" s="65" t="n">
        <f aca="false">Inputs!$C$10*BJ102*1</f>
        <v>19133.64977</v>
      </c>
    </row>
    <row r="104" customFormat="false" ht="15" hidden="false" customHeight="false" outlineLevel="0" collapsed="false">
      <c r="A104" s="6" t="s">
        <v>235</v>
      </c>
      <c r="C104" s="65" t="n">
        <f aca="false">-C103*Inputs!$C$15</f>
        <v>-850</v>
      </c>
      <c r="D104" s="65" t="n">
        <f aca="false">-D103*Inputs!$C$15</f>
        <v>-850</v>
      </c>
      <c r="E104" s="65" t="n">
        <f aca="false">-E103*Inputs!$C$15</f>
        <v>-850</v>
      </c>
      <c r="F104" s="65" t="n">
        <f aca="false">-F103*Inputs!$C$15</f>
        <v>-850</v>
      </c>
      <c r="G104" s="65" t="n">
        <f aca="false">-G103*Inputs!$C$15</f>
        <v>-850</v>
      </c>
      <c r="H104" s="65" t="n">
        <f aca="false">-H103*Inputs!$C$15</f>
        <v>-850</v>
      </c>
      <c r="I104" s="65" t="n">
        <f aca="false">-I103*Inputs!$C$15</f>
        <v>-850</v>
      </c>
      <c r="J104" s="65" t="n">
        <f aca="false">-J103*Inputs!$C$15</f>
        <v>-850</v>
      </c>
      <c r="K104" s="65" t="n">
        <f aca="false">-K103*Inputs!$C$15</f>
        <v>-850</v>
      </c>
      <c r="L104" s="65" t="n">
        <f aca="false">-L103*Inputs!$C$15</f>
        <v>-850</v>
      </c>
      <c r="M104" s="65" t="n">
        <f aca="false">-M103*Inputs!$C$15</f>
        <v>-850</v>
      </c>
      <c r="N104" s="65" t="n">
        <f aca="false">-N103*Inputs!$C$15</f>
        <v>-850</v>
      </c>
      <c r="O104" s="65" t="n">
        <f aca="false">-O103*Inputs!$C$15</f>
        <v>-875.5</v>
      </c>
      <c r="P104" s="65" t="n">
        <f aca="false">-P103*Inputs!$C$15</f>
        <v>-875.5</v>
      </c>
      <c r="Q104" s="65" t="n">
        <f aca="false">-Q103*Inputs!$C$15</f>
        <v>-875.5</v>
      </c>
      <c r="R104" s="65" t="n">
        <f aca="false">-R103*Inputs!$C$15</f>
        <v>-875.5</v>
      </c>
      <c r="S104" s="65" t="n">
        <f aca="false">-S103*Inputs!$C$15</f>
        <v>-875.5</v>
      </c>
      <c r="T104" s="65" t="n">
        <f aca="false">-T103*Inputs!$C$15</f>
        <v>-875.5</v>
      </c>
      <c r="U104" s="65" t="n">
        <f aca="false">-U103*Inputs!$C$15</f>
        <v>-875.5</v>
      </c>
      <c r="V104" s="65" t="n">
        <f aca="false">-V103*Inputs!$C$15</f>
        <v>-875.5</v>
      </c>
      <c r="W104" s="65" t="n">
        <f aca="false">-W103*Inputs!$C$15</f>
        <v>-875.5</v>
      </c>
      <c r="X104" s="65" t="n">
        <f aca="false">-X103*Inputs!$C$15</f>
        <v>-875.5</v>
      </c>
      <c r="Y104" s="65" t="n">
        <f aca="false">-Y103*Inputs!$C$15</f>
        <v>-875.5</v>
      </c>
      <c r="Z104" s="65" t="n">
        <f aca="false">-Z103*Inputs!$C$15</f>
        <v>-875.5</v>
      </c>
      <c r="AA104" s="65" t="n">
        <f aca="false">-AA103*Inputs!$C$15</f>
        <v>-901.765</v>
      </c>
      <c r="AB104" s="65" t="n">
        <f aca="false">-AB103*Inputs!$C$15</f>
        <v>-901.765</v>
      </c>
      <c r="AC104" s="65" t="n">
        <f aca="false">-AC103*Inputs!$C$15</f>
        <v>-901.765</v>
      </c>
      <c r="AD104" s="65" t="n">
        <f aca="false">-AD103*Inputs!$C$15</f>
        <v>-901.765</v>
      </c>
      <c r="AE104" s="65" t="n">
        <f aca="false">-AE103*Inputs!$C$15</f>
        <v>-901.765</v>
      </c>
      <c r="AF104" s="65" t="n">
        <f aca="false">-AF103*Inputs!$C$15</f>
        <v>-901.765</v>
      </c>
      <c r="AG104" s="65" t="n">
        <f aca="false">-AG103*Inputs!$C$15</f>
        <v>-901.765</v>
      </c>
      <c r="AH104" s="65" t="n">
        <f aca="false">-AH103*Inputs!$C$15</f>
        <v>-901.765</v>
      </c>
      <c r="AI104" s="65" t="n">
        <f aca="false">-AI103*Inputs!$C$15</f>
        <v>-901.765</v>
      </c>
      <c r="AJ104" s="65" t="n">
        <f aca="false">-AJ103*Inputs!$C$15</f>
        <v>-901.765</v>
      </c>
      <c r="AK104" s="65" t="n">
        <f aca="false">-AK103*Inputs!$C$15</f>
        <v>-901.765</v>
      </c>
      <c r="AL104" s="65" t="n">
        <f aca="false">-AL103*Inputs!$C$15</f>
        <v>-901.765</v>
      </c>
      <c r="AM104" s="65" t="n">
        <f aca="false">-AM103*Inputs!$C$15</f>
        <v>-928.81795</v>
      </c>
      <c r="AN104" s="65" t="n">
        <f aca="false">-AN103*Inputs!$C$15</f>
        <v>-928.81795</v>
      </c>
      <c r="AO104" s="65" t="n">
        <f aca="false">-AO103*Inputs!$C$15</f>
        <v>-928.81795</v>
      </c>
      <c r="AP104" s="65" t="n">
        <f aca="false">-AP103*Inputs!$C$15</f>
        <v>-928.81795</v>
      </c>
      <c r="AQ104" s="65" t="n">
        <f aca="false">-AQ103*Inputs!$C$15</f>
        <v>-928.81795</v>
      </c>
      <c r="AR104" s="65" t="n">
        <f aca="false">-AR103*Inputs!$C$15</f>
        <v>-928.81795</v>
      </c>
      <c r="AS104" s="65" t="n">
        <f aca="false">-AS103*Inputs!$C$15</f>
        <v>-928.81795</v>
      </c>
      <c r="AT104" s="65" t="n">
        <f aca="false">-AT103*Inputs!$C$15</f>
        <v>-928.81795</v>
      </c>
      <c r="AU104" s="65" t="n">
        <f aca="false">-AU103*Inputs!$C$15</f>
        <v>-928.81795</v>
      </c>
      <c r="AV104" s="65" t="n">
        <f aca="false">-AV103*Inputs!$C$15</f>
        <v>-928.81795</v>
      </c>
      <c r="AW104" s="65" t="n">
        <f aca="false">-AW103*Inputs!$C$15</f>
        <v>-928.81795</v>
      </c>
      <c r="AX104" s="65" t="n">
        <f aca="false">-AX103*Inputs!$C$15</f>
        <v>-928.81795</v>
      </c>
      <c r="AY104" s="65" t="n">
        <f aca="false">-AY103*Inputs!$C$15</f>
        <v>-956.6824885</v>
      </c>
      <c r="AZ104" s="65" t="n">
        <f aca="false">-AZ103*Inputs!$C$15</f>
        <v>-956.6824885</v>
      </c>
      <c r="BA104" s="65" t="n">
        <f aca="false">-BA103*Inputs!$C$15</f>
        <v>-956.6824885</v>
      </c>
      <c r="BB104" s="65" t="n">
        <f aca="false">-BB103*Inputs!$C$15</f>
        <v>-956.6824885</v>
      </c>
      <c r="BC104" s="65" t="n">
        <f aca="false">-BC103*Inputs!$C$15</f>
        <v>-956.6824885</v>
      </c>
      <c r="BD104" s="65" t="n">
        <f aca="false">-BD103*Inputs!$C$15</f>
        <v>-956.6824885</v>
      </c>
      <c r="BE104" s="65" t="n">
        <f aca="false">-BE103*Inputs!$C$15</f>
        <v>-956.6824885</v>
      </c>
      <c r="BF104" s="65" t="n">
        <f aca="false">-BF103*Inputs!$C$15</f>
        <v>-956.6824885</v>
      </c>
      <c r="BG104" s="65" t="n">
        <f aca="false">-BG103*Inputs!$C$15</f>
        <v>-956.6824885</v>
      </c>
      <c r="BH104" s="65" t="n">
        <f aca="false">-BH103*Inputs!$C$15</f>
        <v>-956.6824885</v>
      </c>
      <c r="BI104" s="65" t="n">
        <f aca="false">-BI103*Inputs!$C$15</f>
        <v>-956.6824885</v>
      </c>
      <c r="BJ104" s="65" t="n">
        <f aca="false">-BJ103*Inputs!$C$15</f>
        <v>-956.6824885</v>
      </c>
    </row>
    <row r="105" customFormat="false" ht="15" hidden="false" customHeight="false" outlineLevel="0" collapsed="false">
      <c r="A105" s="6" t="s">
        <v>417</v>
      </c>
      <c r="C105" s="65" t="n">
        <f aca="false">Inputs!$C$10*Inputs!$C$16*(1+Inputs!$C$14)^(C$99-1)*(1-Inputs!$C$15)*1</f>
        <v>237.5</v>
      </c>
      <c r="D105" s="65" t="n">
        <f aca="false">Inputs!$C$10*Inputs!$C$16*(1+Inputs!$C$14)^(D$99-1)*(1-Inputs!$C$15)*1</f>
        <v>237.5</v>
      </c>
      <c r="E105" s="65" t="n">
        <f aca="false">Inputs!$C$10*Inputs!$C$16*(1+Inputs!$C$14)^(E$99-1)*(1-Inputs!$C$15)*1</f>
        <v>237.5</v>
      </c>
      <c r="F105" s="65" t="n">
        <f aca="false">Inputs!$C$10*Inputs!$C$16*(1+Inputs!$C$14)^(F$99-1)*(1-Inputs!$C$15)*1</f>
        <v>237.5</v>
      </c>
      <c r="G105" s="65" t="n">
        <f aca="false">Inputs!$C$10*Inputs!$C$16*(1+Inputs!$C$14)^(G$99-1)*(1-Inputs!$C$15)*1</f>
        <v>237.5</v>
      </c>
      <c r="H105" s="65" t="n">
        <f aca="false">Inputs!$C$10*Inputs!$C$16*(1+Inputs!$C$14)^(H$99-1)*(1-Inputs!$C$15)*1</f>
        <v>237.5</v>
      </c>
      <c r="I105" s="65" t="n">
        <f aca="false">Inputs!$C$10*Inputs!$C$16*(1+Inputs!$C$14)^(I$99-1)*(1-Inputs!$C$15)*1</f>
        <v>237.5</v>
      </c>
      <c r="J105" s="65" t="n">
        <f aca="false">Inputs!$C$10*Inputs!$C$16*(1+Inputs!$C$14)^(J$99-1)*(1-Inputs!$C$15)*1</f>
        <v>237.5</v>
      </c>
      <c r="K105" s="65" t="n">
        <f aca="false">Inputs!$C$10*Inputs!$C$16*(1+Inputs!$C$14)^(K$99-1)*(1-Inputs!$C$15)*1</f>
        <v>237.5</v>
      </c>
      <c r="L105" s="65" t="n">
        <f aca="false">Inputs!$C$10*Inputs!$C$16*(1+Inputs!$C$14)^(L$99-1)*(1-Inputs!$C$15)*1</f>
        <v>237.5</v>
      </c>
      <c r="M105" s="65" t="n">
        <f aca="false">Inputs!$C$10*Inputs!$C$16*(1+Inputs!$C$14)^(M$99-1)*(1-Inputs!$C$15)*1</f>
        <v>237.5</v>
      </c>
      <c r="N105" s="65" t="n">
        <f aca="false">Inputs!$C$10*Inputs!$C$16*(1+Inputs!$C$14)^(N$99-1)*(1-Inputs!$C$15)*1</f>
        <v>237.5</v>
      </c>
      <c r="O105" s="65" t="n">
        <f aca="false">Inputs!$C$10*Inputs!$C$16*(1+Inputs!$C$14)^(O$99-1)*(1-Inputs!$C$15)*1</f>
        <v>244.625</v>
      </c>
      <c r="P105" s="65" t="n">
        <f aca="false">Inputs!$C$10*Inputs!$C$16*(1+Inputs!$C$14)^(P$99-1)*(1-Inputs!$C$15)*1</f>
        <v>244.625</v>
      </c>
      <c r="Q105" s="65" t="n">
        <f aca="false">Inputs!$C$10*Inputs!$C$16*(1+Inputs!$C$14)^(Q$99-1)*(1-Inputs!$C$15)*1</f>
        <v>244.625</v>
      </c>
      <c r="R105" s="65" t="n">
        <f aca="false">Inputs!$C$10*Inputs!$C$16*(1+Inputs!$C$14)^(R$99-1)*(1-Inputs!$C$15)*1</f>
        <v>244.625</v>
      </c>
      <c r="S105" s="65" t="n">
        <f aca="false">Inputs!$C$10*Inputs!$C$16*(1+Inputs!$C$14)^(S$99-1)*(1-Inputs!$C$15)*1</f>
        <v>244.625</v>
      </c>
      <c r="T105" s="65" t="n">
        <f aca="false">Inputs!$C$10*Inputs!$C$16*(1+Inputs!$C$14)^(T$99-1)*(1-Inputs!$C$15)*1</f>
        <v>244.625</v>
      </c>
      <c r="U105" s="65" t="n">
        <f aca="false">Inputs!$C$10*Inputs!$C$16*(1+Inputs!$C$14)^(U$99-1)*(1-Inputs!$C$15)*1</f>
        <v>244.625</v>
      </c>
      <c r="V105" s="65" t="n">
        <f aca="false">Inputs!$C$10*Inputs!$C$16*(1+Inputs!$C$14)^(V$99-1)*(1-Inputs!$C$15)*1</f>
        <v>244.625</v>
      </c>
      <c r="W105" s="65" t="n">
        <f aca="false">Inputs!$C$10*Inputs!$C$16*(1+Inputs!$C$14)^(W$99-1)*(1-Inputs!$C$15)*1</f>
        <v>244.625</v>
      </c>
      <c r="X105" s="65" t="n">
        <f aca="false">Inputs!$C$10*Inputs!$C$16*(1+Inputs!$C$14)^(X$99-1)*(1-Inputs!$C$15)*1</f>
        <v>244.625</v>
      </c>
      <c r="Y105" s="65" t="n">
        <f aca="false">Inputs!$C$10*Inputs!$C$16*(1+Inputs!$C$14)^(Y$99-1)*(1-Inputs!$C$15)*1</f>
        <v>244.625</v>
      </c>
      <c r="Z105" s="65" t="n">
        <f aca="false">Inputs!$C$10*Inputs!$C$16*(1+Inputs!$C$14)^(Z$99-1)*(1-Inputs!$C$15)*1</f>
        <v>244.625</v>
      </c>
      <c r="AA105" s="65" t="n">
        <f aca="false">Inputs!$C$10*Inputs!$C$16*(1+Inputs!$C$14)^(AA$99-1)*(1-Inputs!$C$15)*1</f>
        <v>251.96375</v>
      </c>
      <c r="AB105" s="65" t="n">
        <f aca="false">Inputs!$C$10*Inputs!$C$16*(1+Inputs!$C$14)^(AB$99-1)*(1-Inputs!$C$15)*1</f>
        <v>251.96375</v>
      </c>
      <c r="AC105" s="65" t="n">
        <f aca="false">Inputs!$C$10*Inputs!$C$16*(1+Inputs!$C$14)^(AC$99-1)*(1-Inputs!$C$15)*1</f>
        <v>251.96375</v>
      </c>
      <c r="AD105" s="65" t="n">
        <f aca="false">Inputs!$C$10*Inputs!$C$16*(1+Inputs!$C$14)^(AD$99-1)*(1-Inputs!$C$15)*1</f>
        <v>251.96375</v>
      </c>
      <c r="AE105" s="65" t="n">
        <f aca="false">Inputs!$C$10*Inputs!$C$16*(1+Inputs!$C$14)^(AE$99-1)*(1-Inputs!$C$15)*1</f>
        <v>251.96375</v>
      </c>
      <c r="AF105" s="65" t="n">
        <f aca="false">Inputs!$C$10*Inputs!$C$16*(1+Inputs!$C$14)^(AF$99-1)*(1-Inputs!$C$15)*1</f>
        <v>251.96375</v>
      </c>
      <c r="AG105" s="65" t="n">
        <f aca="false">Inputs!$C$10*Inputs!$C$16*(1+Inputs!$C$14)^(AG$99-1)*(1-Inputs!$C$15)*1</f>
        <v>251.96375</v>
      </c>
      <c r="AH105" s="65" t="n">
        <f aca="false">Inputs!$C$10*Inputs!$C$16*(1+Inputs!$C$14)^(AH$99-1)*(1-Inputs!$C$15)*1</f>
        <v>251.96375</v>
      </c>
      <c r="AI105" s="65" t="n">
        <f aca="false">Inputs!$C$10*Inputs!$C$16*(1+Inputs!$C$14)^(AI$99-1)*(1-Inputs!$C$15)*1</f>
        <v>251.96375</v>
      </c>
      <c r="AJ105" s="65" t="n">
        <f aca="false">Inputs!$C$10*Inputs!$C$16*(1+Inputs!$C$14)^(AJ$99-1)*(1-Inputs!$C$15)*1</f>
        <v>251.96375</v>
      </c>
      <c r="AK105" s="65" t="n">
        <f aca="false">Inputs!$C$10*Inputs!$C$16*(1+Inputs!$C$14)^(AK$99-1)*(1-Inputs!$C$15)*1</f>
        <v>251.96375</v>
      </c>
      <c r="AL105" s="65" t="n">
        <f aca="false">Inputs!$C$10*Inputs!$C$16*(1+Inputs!$C$14)^(AL$99-1)*(1-Inputs!$C$15)*1</f>
        <v>251.96375</v>
      </c>
      <c r="AM105" s="65" t="n">
        <f aca="false">Inputs!$C$10*Inputs!$C$16*(1+Inputs!$C$14)^(AM$99-1)*(1-Inputs!$C$15)*1</f>
        <v>259.5226625</v>
      </c>
      <c r="AN105" s="65" t="n">
        <f aca="false">Inputs!$C$10*Inputs!$C$16*(1+Inputs!$C$14)^(AN$99-1)*(1-Inputs!$C$15)*1</f>
        <v>259.5226625</v>
      </c>
      <c r="AO105" s="65" t="n">
        <f aca="false">Inputs!$C$10*Inputs!$C$16*(1+Inputs!$C$14)^(AO$99-1)*(1-Inputs!$C$15)*1</f>
        <v>259.5226625</v>
      </c>
      <c r="AP105" s="65" t="n">
        <f aca="false">Inputs!$C$10*Inputs!$C$16*(1+Inputs!$C$14)^(AP$99-1)*(1-Inputs!$C$15)*1</f>
        <v>259.5226625</v>
      </c>
      <c r="AQ105" s="65" t="n">
        <f aca="false">Inputs!$C$10*Inputs!$C$16*(1+Inputs!$C$14)^(AQ$99-1)*(1-Inputs!$C$15)*1</f>
        <v>259.5226625</v>
      </c>
      <c r="AR105" s="65" t="n">
        <f aca="false">Inputs!$C$10*Inputs!$C$16*(1+Inputs!$C$14)^(AR$99-1)*(1-Inputs!$C$15)*1</f>
        <v>259.5226625</v>
      </c>
      <c r="AS105" s="65" t="n">
        <f aca="false">Inputs!$C$10*Inputs!$C$16*(1+Inputs!$C$14)^(AS$99-1)*(1-Inputs!$C$15)*1</f>
        <v>259.5226625</v>
      </c>
      <c r="AT105" s="65" t="n">
        <f aca="false">Inputs!$C$10*Inputs!$C$16*(1+Inputs!$C$14)^(AT$99-1)*(1-Inputs!$C$15)*1</f>
        <v>259.5226625</v>
      </c>
      <c r="AU105" s="65" t="n">
        <f aca="false">Inputs!$C$10*Inputs!$C$16*(1+Inputs!$C$14)^(AU$99-1)*(1-Inputs!$C$15)*1</f>
        <v>259.5226625</v>
      </c>
      <c r="AV105" s="65" t="n">
        <f aca="false">Inputs!$C$10*Inputs!$C$16*(1+Inputs!$C$14)^(AV$99-1)*(1-Inputs!$C$15)*1</f>
        <v>259.5226625</v>
      </c>
      <c r="AW105" s="65" t="n">
        <f aca="false">Inputs!$C$10*Inputs!$C$16*(1+Inputs!$C$14)^(AW$99-1)*(1-Inputs!$C$15)*1</f>
        <v>259.5226625</v>
      </c>
      <c r="AX105" s="65" t="n">
        <f aca="false">Inputs!$C$10*Inputs!$C$16*(1+Inputs!$C$14)^(AX$99-1)*(1-Inputs!$C$15)*1</f>
        <v>259.5226625</v>
      </c>
      <c r="AY105" s="65" t="n">
        <f aca="false">Inputs!$C$10*Inputs!$C$16*(1+Inputs!$C$14)^(AY$99-1)*(1-Inputs!$C$15)*1</f>
        <v>267.308342375</v>
      </c>
      <c r="AZ105" s="65" t="n">
        <f aca="false">Inputs!$C$10*Inputs!$C$16*(1+Inputs!$C$14)^(AZ$99-1)*(1-Inputs!$C$15)*1</f>
        <v>267.308342375</v>
      </c>
      <c r="BA105" s="65" t="n">
        <f aca="false">Inputs!$C$10*Inputs!$C$16*(1+Inputs!$C$14)^(BA$99-1)*(1-Inputs!$C$15)*1</f>
        <v>267.308342375</v>
      </c>
      <c r="BB105" s="65" t="n">
        <f aca="false">Inputs!$C$10*Inputs!$C$16*(1+Inputs!$C$14)^(BB$99-1)*(1-Inputs!$C$15)*1</f>
        <v>267.308342375</v>
      </c>
      <c r="BC105" s="65" t="n">
        <f aca="false">Inputs!$C$10*Inputs!$C$16*(1+Inputs!$C$14)^(BC$99-1)*(1-Inputs!$C$15)*1</f>
        <v>267.308342375</v>
      </c>
      <c r="BD105" s="65" t="n">
        <f aca="false">Inputs!$C$10*Inputs!$C$16*(1+Inputs!$C$14)^(BD$99-1)*(1-Inputs!$C$15)*1</f>
        <v>267.308342375</v>
      </c>
      <c r="BE105" s="65" t="n">
        <f aca="false">Inputs!$C$10*Inputs!$C$16*(1+Inputs!$C$14)^(BE$99-1)*(1-Inputs!$C$15)*1</f>
        <v>267.308342375</v>
      </c>
      <c r="BF105" s="65" t="n">
        <f aca="false">Inputs!$C$10*Inputs!$C$16*(1+Inputs!$C$14)^(BF$99-1)*(1-Inputs!$C$15)*1</f>
        <v>267.308342375</v>
      </c>
      <c r="BG105" s="65" t="n">
        <f aca="false">Inputs!$C$10*Inputs!$C$16*(1+Inputs!$C$14)^(BG$99-1)*(1-Inputs!$C$15)*1</f>
        <v>267.308342375</v>
      </c>
      <c r="BH105" s="65" t="n">
        <f aca="false">Inputs!$C$10*Inputs!$C$16*(1+Inputs!$C$14)^(BH$99-1)*(1-Inputs!$C$15)*1</f>
        <v>267.308342375</v>
      </c>
      <c r="BI105" s="65" t="n">
        <f aca="false">Inputs!$C$10*Inputs!$C$16*(1+Inputs!$C$14)^(BI$99-1)*(1-Inputs!$C$15)*1</f>
        <v>267.308342375</v>
      </c>
      <c r="BJ105" s="65" t="n">
        <f aca="false">Inputs!$C$10*Inputs!$C$16*(1+Inputs!$C$14)^(BJ$99-1)*(1-Inputs!$C$15)*1</f>
        <v>267.308342375</v>
      </c>
    </row>
    <row r="106" customFormat="false" ht="15" hidden="false" customHeight="false" outlineLevel="0" collapsed="false">
      <c r="A106" s="108" t="s">
        <v>237</v>
      </c>
      <c r="C106" s="66" t="n">
        <f aca="false">C103+C104+C105</f>
        <v>16387.5</v>
      </c>
      <c r="D106" s="66" t="n">
        <f aca="false">D103+D104+D105</f>
        <v>16387.5</v>
      </c>
      <c r="E106" s="66" t="n">
        <f aca="false">E103+E104+E105</f>
        <v>16387.5</v>
      </c>
      <c r="F106" s="66" t="n">
        <f aca="false">F103+F104+F105</f>
        <v>16387.5</v>
      </c>
      <c r="G106" s="66" t="n">
        <f aca="false">G103+G104+G105</f>
        <v>16387.5</v>
      </c>
      <c r="H106" s="66" t="n">
        <f aca="false">H103+H104+H105</f>
        <v>16387.5</v>
      </c>
      <c r="I106" s="66" t="n">
        <f aca="false">I103+I104+I105</f>
        <v>16387.5</v>
      </c>
      <c r="J106" s="66" t="n">
        <f aca="false">J103+J104+J105</f>
        <v>16387.5</v>
      </c>
      <c r="K106" s="66" t="n">
        <f aca="false">K103+K104+K105</f>
        <v>16387.5</v>
      </c>
      <c r="L106" s="66" t="n">
        <f aca="false">L103+L104+L105</f>
        <v>16387.5</v>
      </c>
      <c r="M106" s="66" t="n">
        <f aca="false">M103+M104+M105</f>
        <v>16387.5</v>
      </c>
      <c r="N106" s="66" t="n">
        <f aca="false">N103+N104+N105</f>
        <v>16387.5</v>
      </c>
      <c r="O106" s="66" t="n">
        <f aca="false">O103+O104+O105</f>
        <v>16879.125</v>
      </c>
      <c r="P106" s="66" t="n">
        <f aca="false">P103+P104+P105</f>
        <v>16879.125</v>
      </c>
      <c r="Q106" s="66" t="n">
        <f aca="false">Q103+Q104+Q105</f>
        <v>16879.125</v>
      </c>
      <c r="R106" s="66" t="n">
        <f aca="false">R103+R104+R105</f>
        <v>16879.125</v>
      </c>
      <c r="S106" s="66" t="n">
        <f aca="false">S103+S104+S105</f>
        <v>16879.125</v>
      </c>
      <c r="T106" s="66" t="n">
        <f aca="false">T103+T104+T105</f>
        <v>16879.125</v>
      </c>
      <c r="U106" s="66" t="n">
        <f aca="false">U103+U104+U105</f>
        <v>16879.125</v>
      </c>
      <c r="V106" s="66" t="n">
        <f aca="false">V103+V104+V105</f>
        <v>16879.125</v>
      </c>
      <c r="W106" s="66" t="n">
        <f aca="false">W103+W104+W105</f>
        <v>16879.125</v>
      </c>
      <c r="X106" s="66" t="n">
        <f aca="false">X103+X104+X105</f>
        <v>16879.125</v>
      </c>
      <c r="Y106" s="66" t="n">
        <f aca="false">Y103+Y104+Y105</f>
        <v>16879.125</v>
      </c>
      <c r="Z106" s="66" t="n">
        <f aca="false">Z103+Z104+Z105</f>
        <v>16879.125</v>
      </c>
      <c r="AA106" s="66" t="n">
        <f aca="false">AA103+AA104+AA105</f>
        <v>17385.49875</v>
      </c>
      <c r="AB106" s="66" t="n">
        <f aca="false">AB103+AB104+AB105</f>
        <v>17385.49875</v>
      </c>
      <c r="AC106" s="66" t="n">
        <f aca="false">AC103+AC104+AC105</f>
        <v>17385.49875</v>
      </c>
      <c r="AD106" s="66" t="n">
        <f aca="false">AD103+AD104+AD105</f>
        <v>17385.49875</v>
      </c>
      <c r="AE106" s="66" t="n">
        <f aca="false">AE103+AE104+AE105</f>
        <v>17385.49875</v>
      </c>
      <c r="AF106" s="66" t="n">
        <f aca="false">AF103+AF104+AF105</f>
        <v>17385.49875</v>
      </c>
      <c r="AG106" s="66" t="n">
        <f aca="false">AG103+AG104+AG105</f>
        <v>17385.49875</v>
      </c>
      <c r="AH106" s="66" t="n">
        <f aca="false">AH103+AH104+AH105</f>
        <v>17385.49875</v>
      </c>
      <c r="AI106" s="66" t="n">
        <f aca="false">AI103+AI104+AI105</f>
        <v>17385.49875</v>
      </c>
      <c r="AJ106" s="66" t="n">
        <f aca="false">AJ103+AJ104+AJ105</f>
        <v>17385.49875</v>
      </c>
      <c r="AK106" s="66" t="n">
        <f aca="false">AK103+AK104+AK105</f>
        <v>17385.49875</v>
      </c>
      <c r="AL106" s="66" t="n">
        <f aca="false">AL103+AL104+AL105</f>
        <v>17385.49875</v>
      </c>
      <c r="AM106" s="66" t="n">
        <f aca="false">AM103+AM104+AM105</f>
        <v>17907.0637125</v>
      </c>
      <c r="AN106" s="66" t="n">
        <f aca="false">AN103+AN104+AN105</f>
        <v>17907.0637125</v>
      </c>
      <c r="AO106" s="66" t="n">
        <f aca="false">AO103+AO104+AO105</f>
        <v>17907.0637125</v>
      </c>
      <c r="AP106" s="66" t="n">
        <f aca="false">AP103+AP104+AP105</f>
        <v>17907.0637125</v>
      </c>
      <c r="AQ106" s="66" t="n">
        <f aca="false">AQ103+AQ104+AQ105</f>
        <v>17907.0637125</v>
      </c>
      <c r="AR106" s="66" t="n">
        <f aca="false">AR103+AR104+AR105</f>
        <v>17907.0637125</v>
      </c>
      <c r="AS106" s="66" t="n">
        <f aca="false">AS103+AS104+AS105</f>
        <v>17907.0637125</v>
      </c>
      <c r="AT106" s="66" t="n">
        <f aca="false">AT103+AT104+AT105</f>
        <v>17907.0637125</v>
      </c>
      <c r="AU106" s="66" t="n">
        <f aca="false">AU103+AU104+AU105</f>
        <v>17907.0637125</v>
      </c>
      <c r="AV106" s="66" t="n">
        <f aca="false">AV103+AV104+AV105</f>
        <v>17907.0637125</v>
      </c>
      <c r="AW106" s="66" t="n">
        <f aca="false">AW103+AW104+AW105</f>
        <v>17907.0637125</v>
      </c>
      <c r="AX106" s="66" t="n">
        <f aca="false">AX103+AX104+AX105</f>
        <v>17907.0637125</v>
      </c>
      <c r="AY106" s="66" t="n">
        <f aca="false">AY103+AY104+AY105</f>
        <v>18444.275623875</v>
      </c>
      <c r="AZ106" s="66" t="n">
        <f aca="false">AZ103+AZ104+AZ105</f>
        <v>18444.275623875</v>
      </c>
      <c r="BA106" s="66" t="n">
        <f aca="false">BA103+BA104+BA105</f>
        <v>18444.275623875</v>
      </c>
      <c r="BB106" s="66" t="n">
        <f aca="false">BB103+BB104+BB105</f>
        <v>18444.275623875</v>
      </c>
      <c r="BC106" s="66" t="n">
        <f aca="false">BC103+BC104+BC105</f>
        <v>18444.275623875</v>
      </c>
      <c r="BD106" s="66" t="n">
        <f aca="false">BD103+BD104+BD105</f>
        <v>18444.275623875</v>
      </c>
      <c r="BE106" s="66" t="n">
        <f aca="false">BE103+BE104+BE105</f>
        <v>18444.275623875</v>
      </c>
      <c r="BF106" s="66" t="n">
        <f aca="false">BF103+BF104+BF105</f>
        <v>18444.275623875</v>
      </c>
      <c r="BG106" s="66" t="n">
        <f aca="false">BG103+BG104+BG105</f>
        <v>18444.275623875</v>
      </c>
      <c r="BH106" s="66" t="n">
        <f aca="false">BH103+BH104+BH105</f>
        <v>18444.275623875</v>
      </c>
      <c r="BI106" s="66" t="n">
        <f aca="false">BI103+BI104+BI105</f>
        <v>18444.275623875</v>
      </c>
      <c r="BJ106" s="66" t="n">
        <f aca="false">BJ103+BJ104+BJ105</f>
        <v>18444.275623875</v>
      </c>
    </row>
    <row r="108" customFormat="false" ht="15.75" hidden="false" customHeight="true" outlineLevel="0" collapsed="false">
      <c r="A108" s="7" t="s">
        <v>76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418</v>
      </c>
      <c r="C109" s="65" t="n">
        <f aca="false">-(C103+C104)*Inputs!$C$19</f>
        <v>-969</v>
      </c>
      <c r="D109" s="65" t="n">
        <f aca="false">-(D103+D104)*Inputs!$C$19</f>
        <v>-969</v>
      </c>
      <c r="E109" s="65" t="n">
        <f aca="false">-(E103+E104)*Inputs!$C$19</f>
        <v>-969</v>
      </c>
      <c r="F109" s="65" t="n">
        <f aca="false">-(F103+F104)*Inputs!$C$19</f>
        <v>-969</v>
      </c>
      <c r="G109" s="65" t="n">
        <f aca="false">-(G103+G104)*Inputs!$C$19</f>
        <v>-969</v>
      </c>
      <c r="H109" s="65" t="n">
        <f aca="false">-(H103+H104)*Inputs!$C$19</f>
        <v>-969</v>
      </c>
      <c r="I109" s="65" t="n">
        <f aca="false">-(I103+I104)*Inputs!$C$19</f>
        <v>-969</v>
      </c>
      <c r="J109" s="65" t="n">
        <f aca="false">-(J103+J104)*Inputs!$C$19</f>
        <v>-969</v>
      </c>
      <c r="K109" s="65" t="n">
        <f aca="false">-(K103+K104)*Inputs!$C$19</f>
        <v>-969</v>
      </c>
      <c r="L109" s="65" t="n">
        <f aca="false">-(L103+L104)*Inputs!$C$19</f>
        <v>-969</v>
      </c>
      <c r="M109" s="65" t="n">
        <f aca="false">-(M103+M104)*Inputs!$C$19</f>
        <v>-969</v>
      </c>
      <c r="N109" s="65" t="n">
        <f aca="false">-(N103+N104)*Inputs!$C$19</f>
        <v>-969</v>
      </c>
      <c r="O109" s="65" t="n">
        <f aca="false">-(O103+O104)*Inputs!$C$19</f>
        <v>-998.07</v>
      </c>
      <c r="P109" s="65" t="n">
        <f aca="false">-(P103+P104)*Inputs!$C$19</f>
        <v>-998.07</v>
      </c>
      <c r="Q109" s="65" t="n">
        <f aca="false">-(Q103+Q104)*Inputs!$C$19</f>
        <v>-998.07</v>
      </c>
      <c r="R109" s="65" t="n">
        <f aca="false">-(R103+R104)*Inputs!$C$19</f>
        <v>-998.07</v>
      </c>
      <c r="S109" s="65" t="n">
        <f aca="false">-(S103+S104)*Inputs!$C$19</f>
        <v>-998.07</v>
      </c>
      <c r="T109" s="65" t="n">
        <f aca="false">-(T103+T104)*Inputs!$C$19</f>
        <v>-998.07</v>
      </c>
      <c r="U109" s="65" t="n">
        <f aca="false">-(U103+U104)*Inputs!$C$19</f>
        <v>-998.07</v>
      </c>
      <c r="V109" s="65" t="n">
        <f aca="false">-(V103+V104)*Inputs!$C$19</f>
        <v>-998.07</v>
      </c>
      <c r="W109" s="65" t="n">
        <f aca="false">-(W103+W104)*Inputs!$C$19</f>
        <v>-998.07</v>
      </c>
      <c r="X109" s="65" t="n">
        <f aca="false">-(X103+X104)*Inputs!$C$19</f>
        <v>-998.07</v>
      </c>
      <c r="Y109" s="65" t="n">
        <f aca="false">-(Y103+Y104)*Inputs!$C$19</f>
        <v>-998.07</v>
      </c>
      <c r="Z109" s="65" t="n">
        <f aca="false">-(Z103+Z104)*Inputs!$C$19</f>
        <v>-998.07</v>
      </c>
      <c r="AA109" s="65" t="n">
        <f aca="false">-(AA103+AA104)*Inputs!$C$19</f>
        <v>-1028.0121</v>
      </c>
      <c r="AB109" s="65" t="n">
        <f aca="false">-(AB103+AB104)*Inputs!$C$19</f>
        <v>-1028.0121</v>
      </c>
      <c r="AC109" s="65" t="n">
        <f aca="false">-(AC103+AC104)*Inputs!$C$19</f>
        <v>-1028.0121</v>
      </c>
      <c r="AD109" s="65" t="n">
        <f aca="false">-(AD103+AD104)*Inputs!$C$19</f>
        <v>-1028.0121</v>
      </c>
      <c r="AE109" s="65" t="n">
        <f aca="false">-(AE103+AE104)*Inputs!$C$19</f>
        <v>-1028.0121</v>
      </c>
      <c r="AF109" s="65" t="n">
        <f aca="false">-(AF103+AF104)*Inputs!$C$19</f>
        <v>-1028.0121</v>
      </c>
      <c r="AG109" s="65" t="n">
        <f aca="false">-(AG103+AG104)*Inputs!$C$19</f>
        <v>-1028.0121</v>
      </c>
      <c r="AH109" s="65" t="n">
        <f aca="false">-(AH103+AH104)*Inputs!$C$19</f>
        <v>-1028.0121</v>
      </c>
      <c r="AI109" s="65" t="n">
        <f aca="false">-(AI103+AI104)*Inputs!$C$19</f>
        <v>-1028.0121</v>
      </c>
      <c r="AJ109" s="65" t="n">
        <f aca="false">-(AJ103+AJ104)*Inputs!$C$19</f>
        <v>-1028.0121</v>
      </c>
      <c r="AK109" s="65" t="n">
        <f aca="false">-(AK103+AK104)*Inputs!$C$19</f>
        <v>-1028.0121</v>
      </c>
      <c r="AL109" s="65" t="n">
        <f aca="false">-(AL103+AL104)*Inputs!$C$19</f>
        <v>-1028.0121</v>
      </c>
      <c r="AM109" s="65" t="n">
        <f aca="false">-(AM103+AM104)*Inputs!$C$19</f>
        <v>-1058.852463</v>
      </c>
      <c r="AN109" s="65" t="n">
        <f aca="false">-(AN103+AN104)*Inputs!$C$19</f>
        <v>-1058.852463</v>
      </c>
      <c r="AO109" s="65" t="n">
        <f aca="false">-(AO103+AO104)*Inputs!$C$19</f>
        <v>-1058.852463</v>
      </c>
      <c r="AP109" s="65" t="n">
        <f aca="false">-(AP103+AP104)*Inputs!$C$19</f>
        <v>-1058.852463</v>
      </c>
      <c r="AQ109" s="65" t="n">
        <f aca="false">-(AQ103+AQ104)*Inputs!$C$19</f>
        <v>-1058.852463</v>
      </c>
      <c r="AR109" s="65" t="n">
        <f aca="false">-(AR103+AR104)*Inputs!$C$19</f>
        <v>-1058.852463</v>
      </c>
      <c r="AS109" s="65" t="n">
        <f aca="false">-(AS103+AS104)*Inputs!$C$19</f>
        <v>-1058.852463</v>
      </c>
      <c r="AT109" s="65" t="n">
        <f aca="false">-(AT103+AT104)*Inputs!$C$19</f>
        <v>-1058.852463</v>
      </c>
      <c r="AU109" s="65" t="n">
        <f aca="false">-(AU103+AU104)*Inputs!$C$19</f>
        <v>-1058.852463</v>
      </c>
      <c r="AV109" s="65" t="n">
        <f aca="false">-(AV103+AV104)*Inputs!$C$19</f>
        <v>-1058.852463</v>
      </c>
      <c r="AW109" s="65" t="n">
        <f aca="false">-(AW103+AW104)*Inputs!$C$19</f>
        <v>-1058.852463</v>
      </c>
      <c r="AX109" s="65" t="n">
        <f aca="false">-(AX103+AX104)*Inputs!$C$19</f>
        <v>-1058.852463</v>
      </c>
      <c r="AY109" s="65" t="n">
        <f aca="false">-(AY103+AY104)*Inputs!$C$19</f>
        <v>-1090.61803689</v>
      </c>
      <c r="AZ109" s="65" t="n">
        <f aca="false">-(AZ103+AZ104)*Inputs!$C$19</f>
        <v>-1090.61803689</v>
      </c>
      <c r="BA109" s="65" t="n">
        <f aca="false">-(BA103+BA104)*Inputs!$C$19</f>
        <v>-1090.61803689</v>
      </c>
      <c r="BB109" s="65" t="n">
        <f aca="false">-(BB103+BB104)*Inputs!$C$19</f>
        <v>-1090.61803689</v>
      </c>
      <c r="BC109" s="65" t="n">
        <f aca="false">-(BC103+BC104)*Inputs!$C$19</f>
        <v>-1090.61803689</v>
      </c>
      <c r="BD109" s="65" t="n">
        <f aca="false">-(BD103+BD104)*Inputs!$C$19</f>
        <v>-1090.61803689</v>
      </c>
      <c r="BE109" s="65" t="n">
        <f aca="false">-(BE103+BE104)*Inputs!$C$19</f>
        <v>-1090.61803689</v>
      </c>
      <c r="BF109" s="65" t="n">
        <f aca="false">-(BF103+BF104)*Inputs!$C$19</f>
        <v>-1090.61803689</v>
      </c>
      <c r="BG109" s="65" t="n">
        <f aca="false">-(BG103+BG104)*Inputs!$C$19</f>
        <v>-1090.61803689</v>
      </c>
      <c r="BH109" s="65" t="n">
        <f aca="false">-(BH103+BH104)*Inputs!$C$19</f>
        <v>-1090.61803689</v>
      </c>
      <c r="BI109" s="65" t="n">
        <f aca="false">-(BI103+BI104)*Inputs!$C$19</f>
        <v>-1090.61803689</v>
      </c>
      <c r="BJ109" s="65" t="n">
        <f aca="false">-(BJ103+BJ104)*Inputs!$C$19</f>
        <v>-1090.61803689</v>
      </c>
    </row>
    <row r="110" customFormat="false" ht="15" hidden="false" customHeight="false" outlineLevel="0" collapsed="false">
      <c r="A110" s="6" t="s">
        <v>419</v>
      </c>
      <c r="C110" s="65" t="n">
        <f aca="false">-Inputs!$C$20*(1+Inputs!$C$25)^(C$99-1)*1</f>
        <v>-900</v>
      </c>
      <c r="D110" s="65" t="n">
        <f aca="false">-Inputs!$C$20*(1+Inputs!$C$25)^(D$99-1)*1</f>
        <v>-900</v>
      </c>
      <c r="E110" s="65" t="n">
        <f aca="false">-Inputs!$C$20*(1+Inputs!$C$25)^(E$99-1)*1</f>
        <v>-900</v>
      </c>
      <c r="F110" s="65" t="n">
        <f aca="false">-Inputs!$C$20*(1+Inputs!$C$25)^(F$99-1)*1</f>
        <v>-900</v>
      </c>
      <c r="G110" s="65" t="n">
        <f aca="false">-Inputs!$C$20*(1+Inputs!$C$25)^(G$99-1)*1</f>
        <v>-900</v>
      </c>
      <c r="H110" s="65" t="n">
        <f aca="false">-Inputs!$C$20*(1+Inputs!$C$25)^(H$99-1)*1</f>
        <v>-900</v>
      </c>
      <c r="I110" s="65" t="n">
        <f aca="false">-Inputs!$C$20*(1+Inputs!$C$25)^(I$99-1)*1</f>
        <v>-900</v>
      </c>
      <c r="J110" s="65" t="n">
        <f aca="false">-Inputs!$C$20*(1+Inputs!$C$25)^(J$99-1)*1</f>
        <v>-900</v>
      </c>
      <c r="K110" s="65" t="n">
        <f aca="false">-Inputs!$C$20*(1+Inputs!$C$25)^(K$99-1)*1</f>
        <v>-900</v>
      </c>
      <c r="L110" s="65" t="n">
        <f aca="false">-Inputs!$C$20*(1+Inputs!$C$25)^(L$99-1)*1</f>
        <v>-900</v>
      </c>
      <c r="M110" s="65" t="n">
        <f aca="false">-Inputs!$C$20*(1+Inputs!$C$25)^(M$99-1)*1</f>
        <v>-900</v>
      </c>
      <c r="N110" s="65" t="n">
        <f aca="false">-Inputs!$C$20*(1+Inputs!$C$25)^(N$99-1)*1</f>
        <v>-900</v>
      </c>
      <c r="O110" s="65" t="n">
        <f aca="false">-Inputs!$C$20*(1+Inputs!$C$25)^(O$99-1)*1</f>
        <v>-927</v>
      </c>
      <c r="P110" s="65" t="n">
        <f aca="false">-Inputs!$C$20*(1+Inputs!$C$25)^(P$99-1)*1</f>
        <v>-927</v>
      </c>
      <c r="Q110" s="65" t="n">
        <f aca="false">-Inputs!$C$20*(1+Inputs!$C$25)^(Q$99-1)*1</f>
        <v>-927</v>
      </c>
      <c r="R110" s="65" t="n">
        <f aca="false">-Inputs!$C$20*(1+Inputs!$C$25)^(R$99-1)*1</f>
        <v>-927</v>
      </c>
      <c r="S110" s="65" t="n">
        <f aca="false">-Inputs!$C$20*(1+Inputs!$C$25)^(S$99-1)*1</f>
        <v>-927</v>
      </c>
      <c r="T110" s="65" t="n">
        <f aca="false">-Inputs!$C$20*(1+Inputs!$C$25)^(T$99-1)*1</f>
        <v>-927</v>
      </c>
      <c r="U110" s="65" t="n">
        <f aca="false">-Inputs!$C$20*(1+Inputs!$C$25)^(U$99-1)*1</f>
        <v>-927</v>
      </c>
      <c r="V110" s="65" t="n">
        <f aca="false">-Inputs!$C$20*(1+Inputs!$C$25)^(V$99-1)*1</f>
        <v>-927</v>
      </c>
      <c r="W110" s="65" t="n">
        <f aca="false">-Inputs!$C$20*(1+Inputs!$C$25)^(W$99-1)*1</f>
        <v>-927</v>
      </c>
      <c r="X110" s="65" t="n">
        <f aca="false">-Inputs!$C$20*(1+Inputs!$C$25)^(X$99-1)*1</f>
        <v>-927</v>
      </c>
      <c r="Y110" s="65" t="n">
        <f aca="false">-Inputs!$C$20*(1+Inputs!$C$25)^(Y$99-1)*1</f>
        <v>-927</v>
      </c>
      <c r="Z110" s="65" t="n">
        <f aca="false">-Inputs!$C$20*(1+Inputs!$C$25)^(Z$99-1)*1</f>
        <v>-927</v>
      </c>
      <c r="AA110" s="65" t="n">
        <f aca="false">-Inputs!$C$20*(1+Inputs!$C$25)^(AA$99-1)*1</f>
        <v>-954.81</v>
      </c>
      <c r="AB110" s="65" t="n">
        <f aca="false">-Inputs!$C$20*(1+Inputs!$C$25)^(AB$99-1)*1</f>
        <v>-954.81</v>
      </c>
      <c r="AC110" s="65" t="n">
        <f aca="false">-Inputs!$C$20*(1+Inputs!$C$25)^(AC$99-1)*1</f>
        <v>-954.81</v>
      </c>
      <c r="AD110" s="65" t="n">
        <f aca="false">-Inputs!$C$20*(1+Inputs!$C$25)^(AD$99-1)*1</f>
        <v>-954.81</v>
      </c>
      <c r="AE110" s="65" t="n">
        <f aca="false">-Inputs!$C$20*(1+Inputs!$C$25)^(AE$99-1)*1</f>
        <v>-954.81</v>
      </c>
      <c r="AF110" s="65" t="n">
        <f aca="false">-Inputs!$C$20*(1+Inputs!$C$25)^(AF$99-1)*1</f>
        <v>-954.81</v>
      </c>
      <c r="AG110" s="65" t="n">
        <f aca="false">-Inputs!$C$20*(1+Inputs!$C$25)^(AG$99-1)*1</f>
        <v>-954.81</v>
      </c>
      <c r="AH110" s="65" t="n">
        <f aca="false">-Inputs!$C$20*(1+Inputs!$C$25)^(AH$99-1)*1</f>
        <v>-954.81</v>
      </c>
      <c r="AI110" s="65" t="n">
        <f aca="false">-Inputs!$C$20*(1+Inputs!$C$25)^(AI$99-1)*1</f>
        <v>-954.81</v>
      </c>
      <c r="AJ110" s="65" t="n">
        <f aca="false">-Inputs!$C$20*(1+Inputs!$C$25)^(AJ$99-1)*1</f>
        <v>-954.81</v>
      </c>
      <c r="AK110" s="65" t="n">
        <f aca="false">-Inputs!$C$20*(1+Inputs!$C$25)^(AK$99-1)*1</f>
        <v>-954.81</v>
      </c>
      <c r="AL110" s="65" t="n">
        <f aca="false">-Inputs!$C$20*(1+Inputs!$C$25)^(AL$99-1)*1</f>
        <v>-954.81</v>
      </c>
      <c r="AM110" s="65" t="n">
        <f aca="false">-Inputs!$C$20*(1+Inputs!$C$25)^(AM$99-1)*1</f>
        <v>-983.4543</v>
      </c>
      <c r="AN110" s="65" t="n">
        <f aca="false">-Inputs!$C$20*(1+Inputs!$C$25)^(AN$99-1)*1</f>
        <v>-983.4543</v>
      </c>
      <c r="AO110" s="65" t="n">
        <f aca="false">-Inputs!$C$20*(1+Inputs!$C$25)^(AO$99-1)*1</f>
        <v>-983.4543</v>
      </c>
      <c r="AP110" s="65" t="n">
        <f aca="false">-Inputs!$C$20*(1+Inputs!$C$25)^(AP$99-1)*1</f>
        <v>-983.4543</v>
      </c>
      <c r="AQ110" s="65" t="n">
        <f aca="false">-Inputs!$C$20*(1+Inputs!$C$25)^(AQ$99-1)*1</f>
        <v>-983.4543</v>
      </c>
      <c r="AR110" s="65" t="n">
        <f aca="false">-Inputs!$C$20*(1+Inputs!$C$25)^(AR$99-1)*1</f>
        <v>-983.4543</v>
      </c>
      <c r="AS110" s="65" t="n">
        <f aca="false">-Inputs!$C$20*(1+Inputs!$C$25)^(AS$99-1)*1</f>
        <v>-983.4543</v>
      </c>
      <c r="AT110" s="65" t="n">
        <f aca="false">-Inputs!$C$20*(1+Inputs!$C$25)^(AT$99-1)*1</f>
        <v>-983.4543</v>
      </c>
      <c r="AU110" s="65" t="n">
        <f aca="false">-Inputs!$C$20*(1+Inputs!$C$25)^(AU$99-1)*1</f>
        <v>-983.4543</v>
      </c>
      <c r="AV110" s="65" t="n">
        <f aca="false">-Inputs!$C$20*(1+Inputs!$C$25)^(AV$99-1)*1</f>
        <v>-983.4543</v>
      </c>
      <c r="AW110" s="65" t="n">
        <f aca="false">-Inputs!$C$20*(1+Inputs!$C$25)^(AW$99-1)*1</f>
        <v>-983.4543</v>
      </c>
      <c r="AX110" s="65" t="n">
        <f aca="false">-Inputs!$C$20*(1+Inputs!$C$25)^(AX$99-1)*1</f>
        <v>-983.4543</v>
      </c>
      <c r="AY110" s="65" t="n">
        <f aca="false">-Inputs!$C$20*(1+Inputs!$C$25)^(AY$99-1)*1</f>
        <v>-1012.957929</v>
      </c>
      <c r="AZ110" s="65" t="n">
        <f aca="false">-Inputs!$C$20*(1+Inputs!$C$25)^(AZ$99-1)*1</f>
        <v>-1012.957929</v>
      </c>
      <c r="BA110" s="65" t="n">
        <f aca="false">-Inputs!$C$20*(1+Inputs!$C$25)^(BA$99-1)*1</f>
        <v>-1012.957929</v>
      </c>
      <c r="BB110" s="65" t="n">
        <f aca="false">-Inputs!$C$20*(1+Inputs!$C$25)^(BB$99-1)*1</f>
        <v>-1012.957929</v>
      </c>
      <c r="BC110" s="65" t="n">
        <f aca="false">-Inputs!$C$20*(1+Inputs!$C$25)^(BC$99-1)*1</f>
        <v>-1012.957929</v>
      </c>
      <c r="BD110" s="65" t="n">
        <f aca="false">-Inputs!$C$20*(1+Inputs!$C$25)^(BD$99-1)*1</f>
        <v>-1012.957929</v>
      </c>
      <c r="BE110" s="65" t="n">
        <f aca="false">-Inputs!$C$20*(1+Inputs!$C$25)^(BE$99-1)*1</f>
        <v>-1012.957929</v>
      </c>
      <c r="BF110" s="65" t="n">
        <f aca="false">-Inputs!$C$20*(1+Inputs!$C$25)^(BF$99-1)*1</f>
        <v>-1012.957929</v>
      </c>
      <c r="BG110" s="65" t="n">
        <f aca="false">-Inputs!$C$20*(1+Inputs!$C$25)^(BG$99-1)*1</f>
        <v>-1012.957929</v>
      </c>
      <c r="BH110" s="65" t="n">
        <f aca="false">-Inputs!$C$20*(1+Inputs!$C$25)^(BH$99-1)*1</f>
        <v>-1012.957929</v>
      </c>
      <c r="BI110" s="65" t="n">
        <f aca="false">-Inputs!$C$20*(1+Inputs!$C$25)^(BI$99-1)*1</f>
        <v>-1012.957929</v>
      </c>
      <c r="BJ110" s="65" t="n">
        <f aca="false">-Inputs!$C$20*(1+Inputs!$C$25)^(BJ$99-1)*1</f>
        <v>-1012.957929</v>
      </c>
    </row>
    <row r="111" customFormat="false" ht="15" hidden="false" customHeight="false" outlineLevel="0" collapsed="false">
      <c r="A111" s="4" t="s">
        <v>76</v>
      </c>
      <c r="C111" s="71" t="n">
        <f aca="false">C109+C110</f>
        <v>-1869</v>
      </c>
      <c r="D111" s="71" t="n">
        <f aca="false">D109+D110</f>
        <v>-1869</v>
      </c>
      <c r="E111" s="71" t="n">
        <f aca="false">E109+E110</f>
        <v>-1869</v>
      </c>
      <c r="F111" s="71" t="n">
        <f aca="false">F109+F110</f>
        <v>-1869</v>
      </c>
      <c r="G111" s="71" t="n">
        <f aca="false">G109+G110</f>
        <v>-1869</v>
      </c>
      <c r="H111" s="71" t="n">
        <f aca="false">H109+H110</f>
        <v>-1869</v>
      </c>
      <c r="I111" s="71" t="n">
        <f aca="false">I109+I110</f>
        <v>-1869</v>
      </c>
      <c r="J111" s="71" t="n">
        <f aca="false">J109+J110</f>
        <v>-1869</v>
      </c>
      <c r="K111" s="71" t="n">
        <f aca="false">K109+K110</f>
        <v>-1869</v>
      </c>
      <c r="L111" s="71" t="n">
        <f aca="false">L109+L110</f>
        <v>-1869</v>
      </c>
      <c r="M111" s="71" t="n">
        <f aca="false">M109+M110</f>
        <v>-1869</v>
      </c>
      <c r="N111" s="71" t="n">
        <f aca="false">N109+N110</f>
        <v>-1869</v>
      </c>
      <c r="O111" s="71" t="n">
        <f aca="false">O109+O110</f>
        <v>-1925.07</v>
      </c>
      <c r="P111" s="71" t="n">
        <f aca="false">P109+P110</f>
        <v>-1925.07</v>
      </c>
      <c r="Q111" s="71" t="n">
        <f aca="false">Q109+Q110</f>
        <v>-1925.07</v>
      </c>
      <c r="R111" s="71" t="n">
        <f aca="false">R109+R110</f>
        <v>-1925.07</v>
      </c>
      <c r="S111" s="71" t="n">
        <f aca="false">S109+S110</f>
        <v>-1925.07</v>
      </c>
      <c r="T111" s="71" t="n">
        <f aca="false">T109+T110</f>
        <v>-1925.07</v>
      </c>
      <c r="U111" s="71" t="n">
        <f aca="false">U109+U110</f>
        <v>-1925.07</v>
      </c>
      <c r="V111" s="71" t="n">
        <f aca="false">V109+V110</f>
        <v>-1925.07</v>
      </c>
      <c r="W111" s="71" t="n">
        <f aca="false">W109+W110</f>
        <v>-1925.07</v>
      </c>
      <c r="X111" s="71" t="n">
        <f aca="false">X109+X110</f>
        <v>-1925.07</v>
      </c>
      <c r="Y111" s="71" t="n">
        <f aca="false">Y109+Y110</f>
        <v>-1925.07</v>
      </c>
      <c r="Z111" s="71" t="n">
        <f aca="false">Z109+Z110</f>
        <v>-1925.07</v>
      </c>
      <c r="AA111" s="71" t="n">
        <f aca="false">AA109+AA110</f>
        <v>-1982.8221</v>
      </c>
      <c r="AB111" s="71" t="n">
        <f aca="false">AB109+AB110</f>
        <v>-1982.8221</v>
      </c>
      <c r="AC111" s="71" t="n">
        <f aca="false">AC109+AC110</f>
        <v>-1982.8221</v>
      </c>
      <c r="AD111" s="71" t="n">
        <f aca="false">AD109+AD110</f>
        <v>-1982.8221</v>
      </c>
      <c r="AE111" s="71" t="n">
        <f aca="false">AE109+AE110</f>
        <v>-1982.8221</v>
      </c>
      <c r="AF111" s="71" t="n">
        <f aca="false">AF109+AF110</f>
        <v>-1982.8221</v>
      </c>
      <c r="AG111" s="71" t="n">
        <f aca="false">AG109+AG110</f>
        <v>-1982.8221</v>
      </c>
      <c r="AH111" s="71" t="n">
        <f aca="false">AH109+AH110</f>
        <v>-1982.8221</v>
      </c>
      <c r="AI111" s="71" t="n">
        <f aca="false">AI109+AI110</f>
        <v>-1982.8221</v>
      </c>
      <c r="AJ111" s="71" t="n">
        <f aca="false">AJ109+AJ110</f>
        <v>-1982.8221</v>
      </c>
      <c r="AK111" s="71" t="n">
        <f aca="false">AK109+AK110</f>
        <v>-1982.8221</v>
      </c>
      <c r="AL111" s="71" t="n">
        <f aca="false">AL109+AL110</f>
        <v>-1982.8221</v>
      </c>
      <c r="AM111" s="71" t="n">
        <f aca="false">AM109+AM110</f>
        <v>-2042.306763</v>
      </c>
      <c r="AN111" s="71" t="n">
        <f aca="false">AN109+AN110</f>
        <v>-2042.306763</v>
      </c>
      <c r="AO111" s="71" t="n">
        <f aca="false">AO109+AO110</f>
        <v>-2042.306763</v>
      </c>
      <c r="AP111" s="71" t="n">
        <f aca="false">AP109+AP110</f>
        <v>-2042.306763</v>
      </c>
      <c r="AQ111" s="71" t="n">
        <f aca="false">AQ109+AQ110</f>
        <v>-2042.306763</v>
      </c>
      <c r="AR111" s="71" t="n">
        <f aca="false">AR109+AR110</f>
        <v>-2042.306763</v>
      </c>
      <c r="AS111" s="71" t="n">
        <f aca="false">AS109+AS110</f>
        <v>-2042.306763</v>
      </c>
      <c r="AT111" s="71" t="n">
        <f aca="false">AT109+AT110</f>
        <v>-2042.306763</v>
      </c>
      <c r="AU111" s="71" t="n">
        <f aca="false">AU109+AU110</f>
        <v>-2042.306763</v>
      </c>
      <c r="AV111" s="71" t="n">
        <f aca="false">AV109+AV110</f>
        <v>-2042.306763</v>
      </c>
      <c r="AW111" s="71" t="n">
        <f aca="false">AW109+AW110</f>
        <v>-2042.306763</v>
      </c>
      <c r="AX111" s="71" t="n">
        <f aca="false">AX109+AX110</f>
        <v>-2042.306763</v>
      </c>
      <c r="AY111" s="71" t="n">
        <f aca="false">AY109+AY110</f>
        <v>-2103.57596589</v>
      </c>
      <c r="AZ111" s="71" t="n">
        <f aca="false">AZ109+AZ110</f>
        <v>-2103.57596589</v>
      </c>
      <c r="BA111" s="71" t="n">
        <f aca="false">BA109+BA110</f>
        <v>-2103.57596589</v>
      </c>
      <c r="BB111" s="71" t="n">
        <f aca="false">BB109+BB110</f>
        <v>-2103.57596589</v>
      </c>
      <c r="BC111" s="71" t="n">
        <f aca="false">BC109+BC110</f>
        <v>-2103.57596589</v>
      </c>
      <c r="BD111" s="71" t="n">
        <f aca="false">BD109+BD110</f>
        <v>-2103.57596589</v>
      </c>
      <c r="BE111" s="71" t="n">
        <f aca="false">BE109+BE110</f>
        <v>-2103.57596589</v>
      </c>
      <c r="BF111" s="71" t="n">
        <f aca="false">BF109+BF110</f>
        <v>-2103.57596589</v>
      </c>
      <c r="BG111" s="71" t="n">
        <f aca="false">BG109+BG110</f>
        <v>-2103.57596589</v>
      </c>
      <c r="BH111" s="71" t="n">
        <f aca="false">BH109+BH110</f>
        <v>-2103.57596589</v>
      </c>
      <c r="BI111" s="71" t="n">
        <f aca="false">BI109+BI110</f>
        <v>-2103.57596589</v>
      </c>
      <c r="BJ111" s="71" t="n">
        <f aca="false">BJ109+BJ110</f>
        <v>-2103.57596589</v>
      </c>
    </row>
    <row r="112" customFormat="false" ht="15" hidden="false" customHeight="false" outlineLevel="0" collapsed="false">
      <c r="A112" s="108" t="s">
        <v>46</v>
      </c>
      <c r="C112" s="66" t="n">
        <f aca="false">C106+C111</f>
        <v>14518.5</v>
      </c>
      <c r="D112" s="66" t="n">
        <f aca="false">D106+D111</f>
        <v>14518.5</v>
      </c>
      <c r="E112" s="66" t="n">
        <f aca="false">E106+E111</f>
        <v>14518.5</v>
      </c>
      <c r="F112" s="66" t="n">
        <f aca="false">F106+F111</f>
        <v>14518.5</v>
      </c>
      <c r="G112" s="66" t="n">
        <f aca="false">G106+G111</f>
        <v>14518.5</v>
      </c>
      <c r="H112" s="66" t="n">
        <f aca="false">H106+H111</f>
        <v>14518.5</v>
      </c>
      <c r="I112" s="66" t="n">
        <f aca="false">I106+I111</f>
        <v>14518.5</v>
      </c>
      <c r="J112" s="66" t="n">
        <f aca="false">J106+J111</f>
        <v>14518.5</v>
      </c>
      <c r="K112" s="66" t="n">
        <f aca="false">K106+K111</f>
        <v>14518.5</v>
      </c>
      <c r="L112" s="66" t="n">
        <f aca="false">L106+L111</f>
        <v>14518.5</v>
      </c>
      <c r="M112" s="66" t="n">
        <f aca="false">M106+M111</f>
        <v>14518.5</v>
      </c>
      <c r="N112" s="66" t="n">
        <f aca="false">N106+N111</f>
        <v>14518.5</v>
      </c>
      <c r="O112" s="66" t="n">
        <f aca="false">O106+O111</f>
        <v>14954.055</v>
      </c>
      <c r="P112" s="66" t="n">
        <f aca="false">P106+P111</f>
        <v>14954.055</v>
      </c>
      <c r="Q112" s="66" t="n">
        <f aca="false">Q106+Q111</f>
        <v>14954.055</v>
      </c>
      <c r="R112" s="66" t="n">
        <f aca="false">R106+R111</f>
        <v>14954.055</v>
      </c>
      <c r="S112" s="66" t="n">
        <f aca="false">S106+S111</f>
        <v>14954.055</v>
      </c>
      <c r="T112" s="66" t="n">
        <f aca="false">T106+T111</f>
        <v>14954.055</v>
      </c>
      <c r="U112" s="66" t="n">
        <f aca="false">U106+U111</f>
        <v>14954.055</v>
      </c>
      <c r="V112" s="66" t="n">
        <f aca="false">V106+V111</f>
        <v>14954.055</v>
      </c>
      <c r="W112" s="66" t="n">
        <f aca="false">W106+W111</f>
        <v>14954.055</v>
      </c>
      <c r="X112" s="66" t="n">
        <f aca="false">X106+X111</f>
        <v>14954.055</v>
      </c>
      <c r="Y112" s="66" t="n">
        <f aca="false">Y106+Y111</f>
        <v>14954.055</v>
      </c>
      <c r="Z112" s="66" t="n">
        <f aca="false">Z106+Z111</f>
        <v>14954.055</v>
      </c>
      <c r="AA112" s="66" t="n">
        <f aca="false">AA106+AA111</f>
        <v>15402.67665</v>
      </c>
      <c r="AB112" s="66" t="n">
        <f aca="false">AB106+AB111</f>
        <v>15402.67665</v>
      </c>
      <c r="AC112" s="66" t="n">
        <f aca="false">AC106+AC111</f>
        <v>15402.67665</v>
      </c>
      <c r="AD112" s="66" t="n">
        <f aca="false">AD106+AD111</f>
        <v>15402.67665</v>
      </c>
      <c r="AE112" s="66" t="n">
        <f aca="false">AE106+AE111</f>
        <v>15402.67665</v>
      </c>
      <c r="AF112" s="66" t="n">
        <f aca="false">AF106+AF111</f>
        <v>15402.67665</v>
      </c>
      <c r="AG112" s="66" t="n">
        <f aca="false">AG106+AG111</f>
        <v>15402.67665</v>
      </c>
      <c r="AH112" s="66" t="n">
        <f aca="false">AH106+AH111</f>
        <v>15402.67665</v>
      </c>
      <c r="AI112" s="66" t="n">
        <f aca="false">AI106+AI111</f>
        <v>15402.67665</v>
      </c>
      <c r="AJ112" s="66" t="n">
        <f aca="false">AJ106+AJ111</f>
        <v>15402.67665</v>
      </c>
      <c r="AK112" s="66" t="n">
        <f aca="false">AK106+AK111</f>
        <v>15402.67665</v>
      </c>
      <c r="AL112" s="66" t="n">
        <f aca="false">AL106+AL111</f>
        <v>15402.67665</v>
      </c>
      <c r="AM112" s="66" t="n">
        <f aca="false">AM106+AM111</f>
        <v>15864.7569495</v>
      </c>
      <c r="AN112" s="66" t="n">
        <f aca="false">AN106+AN111</f>
        <v>15864.7569495</v>
      </c>
      <c r="AO112" s="66" t="n">
        <f aca="false">AO106+AO111</f>
        <v>15864.7569495</v>
      </c>
      <c r="AP112" s="66" t="n">
        <f aca="false">AP106+AP111</f>
        <v>15864.7569495</v>
      </c>
      <c r="AQ112" s="66" t="n">
        <f aca="false">AQ106+AQ111</f>
        <v>15864.7569495</v>
      </c>
      <c r="AR112" s="66" t="n">
        <f aca="false">AR106+AR111</f>
        <v>15864.7569495</v>
      </c>
      <c r="AS112" s="66" t="n">
        <f aca="false">AS106+AS111</f>
        <v>15864.7569495</v>
      </c>
      <c r="AT112" s="66" t="n">
        <f aca="false">AT106+AT111</f>
        <v>15864.7569495</v>
      </c>
      <c r="AU112" s="66" t="n">
        <f aca="false">AU106+AU111</f>
        <v>15864.7569495</v>
      </c>
      <c r="AV112" s="66" t="n">
        <f aca="false">AV106+AV111</f>
        <v>15864.7569495</v>
      </c>
      <c r="AW112" s="66" t="n">
        <f aca="false">AW106+AW111</f>
        <v>15864.7569495</v>
      </c>
      <c r="AX112" s="66" t="n">
        <f aca="false">AX106+AX111</f>
        <v>15864.7569495</v>
      </c>
      <c r="AY112" s="66" t="n">
        <f aca="false">AY106+AY111</f>
        <v>16340.699657985</v>
      </c>
      <c r="AZ112" s="66" t="n">
        <f aca="false">AZ106+AZ111</f>
        <v>16340.699657985</v>
      </c>
      <c r="BA112" s="66" t="n">
        <f aca="false">BA106+BA111</f>
        <v>16340.699657985</v>
      </c>
      <c r="BB112" s="66" t="n">
        <f aca="false">BB106+BB111</f>
        <v>16340.699657985</v>
      </c>
      <c r="BC112" s="66" t="n">
        <f aca="false">BC106+BC111</f>
        <v>16340.699657985</v>
      </c>
      <c r="BD112" s="66" t="n">
        <f aca="false">BD106+BD111</f>
        <v>16340.699657985</v>
      </c>
      <c r="BE112" s="66" t="n">
        <f aca="false">BE106+BE111</f>
        <v>16340.699657985</v>
      </c>
      <c r="BF112" s="66" t="n">
        <f aca="false">BF106+BF111</f>
        <v>16340.699657985</v>
      </c>
      <c r="BG112" s="66" t="n">
        <f aca="false">BG106+BG111</f>
        <v>16340.699657985</v>
      </c>
      <c r="BH112" s="66" t="n">
        <f aca="false">BH106+BH111</f>
        <v>16340.699657985</v>
      </c>
      <c r="BI112" s="66" t="n">
        <f aca="false">BI106+BI111</f>
        <v>16340.699657985</v>
      </c>
      <c r="BJ112" s="66" t="n">
        <f aca="false">BJ106+BJ111</f>
        <v>16340.699657985</v>
      </c>
    </row>
    <row r="114" customFormat="false" ht="15.75" hidden="false" customHeight="true" outlineLevel="0" collapsed="false">
      <c r="A114" s="7" t="s">
        <v>48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customFormat="false" ht="15" hidden="false" customHeight="false" outlineLevel="0" collapsed="false">
      <c r="A115" s="6" t="s">
        <v>341</v>
      </c>
      <c r="C115" s="65" t="n">
        <f aca="false">-Inputs!$C$7*Inputs!$C$21/12*(1+Inputs!$C$25)^(C$99-1)*1</f>
        <v>-1695.83333333333</v>
      </c>
      <c r="D115" s="65" t="n">
        <f aca="false">-Inputs!$C$7*Inputs!$C$21/12*(1+Inputs!$C$25)^(D$99-1)*1</f>
        <v>-1695.83333333333</v>
      </c>
      <c r="E115" s="65" t="n">
        <f aca="false">-Inputs!$C$7*Inputs!$C$21/12*(1+Inputs!$C$25)^(E$99-1)*1</f>
        <v>-1695.83333333333</v>
      </c>
      <c r="F115" s="65" t="n">
        <f aca="false">-Inputs!$C$7*Inputs!$C$21/12*(1+Inputs!$C$25)^(F$99-1)*1</f>
        <v>-1695.83333333333</v>
      </c>
      <c r="G115" s="65" t="n">
        <f aca="false">-Inputs!$C$7*Inputs!$C$21/12*(1+Inputs!$C$25)^(G$99-1)*1</f>
        <v>-1695.83333333333</v>
      </c>
      <c r="H115" s="65" t="n">
        <f aca="false">-Inputs!$C$7*Inputs!$C$21/12*(1+Inputs!$C$25)^(H$99-1)*1</f>
        <v>-1695.83333333333</v>
      </c>
      <c r="I115" s="65" t="n">
        <f aca="false">-Inputs!$C$7*Inputs!$C$21/12*(1+Inputs!$C$25)^(I$99-1)*1</f>
        <v>-1695.83333333333</v>
      </c>
      <c r="J115" s="65" t="n">
        <f aca="false">-Inputs!$C$7*Inputs!$C$21/12*(1+Inputs!$C$25)^(J$99-1)*1</f>
        <v>-1695.83333333333</v>
      </c>
      <c r="K115" s="65" t="n">
        <f aca="false">-Inputs!$C$7*Inputs!$C$21/12*(1+Inputs!$C$25)^(K$99-1)*1</f>
        <v>-1695.83333333333</v>
      </c>
      <c r="L115" s="65" t="n">
        <f aca="false">-Inputs!$C$7*Inputs!$C$21/12*(1+Inputs!$C$25)^(L$99-1)*1</f>
        <v>-1695.83333333333</v>
      </c>
      <c r="M115" s="65" t="n">
        <f aca="false">-Inputs!$C$7*Inputs!$C$21/12*(1+Inputs!$C$25)^(M$99-1)*1</f>
        <v>-1695.83333333333</v>
      </c>
      <c r="N115" s="65" t="n">
        <f aca="false">-Inputs!$C$7*Inputs!$C$21/12*(1+Inputs!$C$25)^(N$99-1)*1</f>
        <v>-1695.83333333333</v>
      </c>
      <c r="O115" s="65" t="n">
        <f aca="false">-Inputs!$C$7*Inputs!$C$21/12*(1+Inputs!$C$25)^(O$99-1)*1</f>
        <v>-1746.70833333333</v>
      </c>
      <c r="P115" s="65" t="n">
        <f aca="false">-Inputs!$C$7*Inputs!$C$21/12*(1+Inputs!$C$25)^(P$99-1)*1</f>
        <v>-1746.70833333333</v>
      </c>
      <c r="Q115" s="65" t="n">
        <f aca="false">-Inputs!$C$7*Inputs!$C$21/12*(1+Inputs!$C$25)^(Q$99-1)*1</f>
        <v>-1746.70833333333</v>
      </c>
      <c r="R115" s="65" t="n">
        <f aca="false">-Inputs!$C$7*Inputs!$C$21/12*(1+Inputs!$C$25)^(R$99-1)*1</f>
        <v>-1746.70833333333</v>
      </c>
      <c r="S115" s="65" t="n">
        <f aca="false">-Inputs!$C$7*Inputs!$C$21/12*(1+Inputs!$C$25)^(S$99-1)*1</f>
        <v>-1746.70833333333</v>
      </c>
      <c r="T115" s="65" t="n">
        <f aca="false">-Inputs!$C$7*Inputs!$C$21/12*(1+Inputs!$C$25)^(T$99-1)*1</f>
        <v>-1746.70833333333</v>
      </c>
      <c r="U115" s="65" t="n">
        <f aca="false">-Inputs!$C$7*Inputs!$C$21/12*(1+Inputs!$C$25)^(U$99-1)*1</f>
        <v>-1746.70833333333</v>
      </c>
      <c r="V115" s="65" t="n">
        <f aca="false">-Inputs!$C$7*Inputs!$C$21/12*(1+Inputs!$C$25)^(V$99-1)*1</f>
        <v>-1746.70833333333</v>
      </c>
      <c r="W115" s="65" t="n">
        <f aca="false">-Inputs!$C$7*Inputs!$C$21/12*(1+Inputs!$C$25)^(W$99-1)*1</f>
        <v>-1746.70833333333</v>
      </c>
      <c r="X115" s="65" t="n">
        <f aca="false">-Inputs!$C$7*Inputs!$C$21/12*(1+Inputs!$C$25)^(X$99-1)*1</f>
        <v>-1746.70833333333</v>
      </c>
      <c r="Y115" s="65" t="n">
        <f aca="false">-Inputs!$C$7*Inputs!$C$21/12*(1+Inputs!$C$25)^(Y$99-1)*1</f>
        <v>-1746.70833333333</v>
      </c>
      <c r="Z115" s="65" t="n">
        <f aca="false">-Inputs!$C$7*Inputs!$C$21/12*(1+Inputs!$C$25)^(Z$99-1)*1</f>
        <v>-1746.70833333333</v>
      </c>
      <c r="AA115" s="65" t="n">
        <f aca="false">-Inputs!$C$7*Inputs!$C$21/12*(1+Inputs!$C$25)^(AA$99-1)*1</f>
        <v>-1799.10958333333</v>
      </c>
      <c r="AB115" s="65" t="n">
        <f aca="false">-Inputs!$C$7*Inputs!$C$21/12*(1+Inputs!$C$25)^(AB$99-1)*1</f>
        <v>-1799.10958333333</v>
      </c>
      <c r="AC115" s="65" t="n">
        <f aca="false">-Inputs!$C$7*Inputs!$C$21/12*(1+Inputs!$C$25)^(AC$99-1)*1</f>
        <v>-1799.10958333333</v>
      </c>
      <c r="AD115" s="65" t="n">
        <f aca="false">-Inputs!$C$7*Inputs!$C$21/12*(1+Inputs!$C$25)^(AD$99-1)*1</f>
        <v>-1799.10958333333</v>
      </c>
      <c r="AE115" s="65" t="n">
        <f aca="false">-Inputs!$C$7*Inputs!$C$21/12*(1+Inputs!$C$25)^(AE$99-1)*1</f>
        <v>-1799.10958333333</v>
      </c>
      <c r="AF115" s="65" t="n">
        <f aca="false">-Inputs!$C$7*Inputs!$C$21/12*(1+Inputs!$C$25)^(AF$99-1)*1</f>
        <v>-1799.10958333333</v>
      </c>
      <c r="AG115" s="65" t="n">
        <f aca="false">-Inputs!$C$7*Inputs!$C$21/12*(1+Inputs!$C$25)^(AG$99-1)*1</f>
        <v>-1799.10958333333</v>
      </c>
      <c r="AH115" s="65" t="n">
        <f aca="false">-Inputs!$C$7*Inputs!$C$21/12*(1+Inputs!$C$25)^(AH$99-1)*1</f>
        <v>-1799.10958333333</v>
      </c>
      <c r="AI115" s="65" t="n">
        <f aca="false">-Inputs!$C$7*Inputs!$C$21/12*(1+Inputs!$C$25)^(AI$99-1)*1</f>
        <v>-1799.10958333333</v>
      </c>
      <c r="AJ115" s="65" t="n">
        <f aca="false">-Inputs!$C$7*Inputs!$C$21/12*(1+Inputs!$C$25)^(AJ$99-1)*1</f>
        <v>-1799.10958333333</v>
      </c>
      <c r="AK115" s="65" t="n">
        <f aca="false">-Inputs!$C$7*Inputs!$C$21/12*(1+Inputs!$C$25)^(AK$99-1)*1</f>
        <v>-1799.10958333333</v>
      </c>
      <c r="AL115" s="65" t="n">
        <f aca="false">-Inputs!$C$7*Inputs!$C$21/12*(1+Inputs!$C$25)^(AL$99-1)*1</f>
        <v>-1799.10958333333</v>
      </c>
      <c r="AM115" s="65" t="n">
        <f aca="false">-Inputs!$C$7*Inputs!$C$21/12*(1+Inputs!$C$25)^(AM$99-1)*1</f>
        <v>-1853.08287083333</v>
      </c>
      <c r="AN115" s="65" t="n">
        <f aca="false">-Inputs!$C$7*Inputs!$C$21/12*(1+Inputs!$C$25)^(AN$99-1)*1</f>
        <v>-1853.08287083333</v>
      </c>
      <c r="AO115" s="65" t="n">
        <f aca="false">-Inputs!$C$7*Inputs!$C$21/12*(1+Inputs!$C$25)^(AO$99-1)*1</f>
        <v>-1853.08287083333</v>
      </c>
      <c r="AP115" s="65" t="n">
        <f aca="false">-Inputs!$C$7*Inputs!$C$21/12*(1+Inputs!$C$25)^(AP$99-1)*1</f>
        <v>-1853.08287083333</v>
      </c>
      <c r="AQ115" s="65" t="n">
        <f aca="false">-Inputs!$C$7*Inputs!$C$21/12*(1+Inputs!$C$25)^(AQ$99-1)*1</f>
        <v>-1853.08287083333</v>
      </c>
      <c r="AR115" s="65" t="n">
        <f aca="false">-Inputs!$C$7*Inputs!$C$21/12*(1+Inputs!$C$25)^(AR$99-1)*1</f>
        <v>-1853.08287083333</v>
      </c>
      <c r="AS115" s="65" t="n">
        <f aca="false">-Inputs!$C$7*Inputs!$C$21/12*(1+Inputs!$C$25)^(AS$99-1)*1</f>
        <v>-1853.08287083333</v>
      </c>
      <c r="AT115" s="65" t="n">
        <f aca="false">-Inputs!$C$7*Inputs!$C$21/12*(1+Inputs!$C$25)^(AT$99-1)*1</f>
        <v>-1853.08287083333</v>
      </c>
      <c r="AU115" s="65" t="n">
        <f aca="false">-Inputs!$C$7*Inputs!$C$21/12*(1+Inputs!$C$25)^(AU$99-1)*1</f>
        <v>-1853.08287083333</v>
      </c>
      <c r="AV115" s="65" t="n">
        <f aca="false">-Inputs!$C$7*Inputs!$C$21/12*(1+Inputs!$C$25)^(AV$99-1)*1</f>
        <v>-1853.08287083333</v>
      </c>
      <c r="AW115" s="65" t="n">
        <f aca="false">-Inputs!$C$7*Inputs!$C$21/12*(1+Inputs!$C$25)^(AW$99-1)*1</f>
        <v>-1853.08287083333</v>
      </c>
      <c r="AX115" s="65" t="n">
        <f aca="false">-Inputs!$C$7*Inputs!$C$21/12*(1+Inputs!$C$25)^(AX$99-1)*1</f>
        <v>-1853.08287083333</v>
      </c>
      <c r="AY115" s="65" t="n">
        <f aca="false">-Inputs!$C$7*Inputs!$C$21/12*(1+Inputs!$C$25)^(AY$99-1)*1</f>
        <v>-1908.67535695833</v>
      </c>
      <c r="AZ115" s="65" t="n">
        <f aca="false">-Inputs!$C$7*Inputs!$C$21/12*(1+Inputs!$C$25)^(AZ$99-1)*1</f>
        <v>-1908.67535695833</v>
      </c>
      <c r="BA115" s="65" t="n">
        <f aca="false">-Inputs!$C$7*Inputs!$C$21/12*(1+Inputs!$C$25)^(BA$99-1)*1</f>
        <v>-1908.67535695833</v>
      </c>
      <c r="BB115" s="65" t="n">
        <f aca="false">-Inputs!$C$7*Inputs!$C$21/12*(1+Inputs!$C$25)^(BB$99-1)*1</f>
        <v>-1908.67535695833</v>
      </c>
      <c r="BC115" s="65" t="n">
        <f aca="false">-Inputs!$C$7*Inputs!$C$21/12*(1+Inputs!$C$25)^(BC$99-1)*1</f>
        <v>-1908.67535695833</v>
      </c>
      <c r="BD115" s="65" t="n">
        <f aca="false">-Inputs!$C$7*Inputs!$C$21/12*(1+Inputs!$C$25)^(BD$99-1)*1</f>
        <v>-1908.67535695833</v>
      </c>
      <c r="BE115" s="65" t="n">
        <f aca="false">-Inputs!$C$7*Inputs!$C$21/12*(1+Inputs!$C$25)^(BE$99-1)*1</f>
        <v>-1908.67535695833</v>
      </c>
      <c r="BF115" s="65" t="n">
        <f aca="false">-Inputs!$C$7*Inputs!$C$21/12*(1+Inputs!$C$25)^(BF$99-1)*1</f>
        <v>-1908.67535695833</v>
      </c>
      <c r="BG115" s="65" t="n">
        <f aca="false">-Inputs!$C$7*Inputs!$C$21/12*(1+Inputs!$C$25)^(BG$99-1)*1</f>
        <v>-1908.67535695833</v>
      </c>
      <c r="BH115" s="65" t="n">
        <f aca="false">-Inputs!$C$7*Inputs!$C$21/12*(1+Inputs!$C$25)^(BH$99-1)*1</f>
        <v>-1908.67535695833</v>
      </c>
      <c r="BI115" s="65" t="n">
        <f aca="false">-Inputs!$C$7*Inputs!$C$21/12*(1+Inputs!$C$25)^(BI$99-1)*1</f>
        <v>-1908.67535695833</v>
      </c>
      <c r="BJ115" s="65" t="n">
        <f aca="false">-Inputs!$C$7*Inputs!$C$21/12*(1+Inputs!$C$25)^(BJ$99-1)*1</f>
        <v>-1908.67535695833</v>
      </c>
    </row>
    <row r="116" customFormat="false" ht="15" hidden="false" customHeight="false" outlineLevel="0" collapsed="false">
      <c r="A116" s="6" t="s">
        <v>342</v>
      </c>
      <c r="C116" s="65" t="n">
        <f aca="false">-Inputs!$C$10*Inputs!$C$22/12*(1+Inputs!$C$25)^(C$99-1)*1</f>
        <v>-666.666666666667</v>
      </c>
      <c r="D116" s="65" t="n">
        <f aca="false">-Inputs!$C$10*Inputs!$C$22/12*(1+Inputs!$C$25)^(D$99-1)*1</f>
        <v>-666.666666666667</v>
      </c>
      <c r="E116" s="65" t="n">
        <f aca="false">-Inputs!$C$10*Inputs!$C$22/12*(1+Inputs!$C$25)^(E$99-1)*1</f>
        <v>-666.666666666667</v>
      </c>
      <c r="F116" s="65" t="n">
        <f aca="false">-Inputs!$C$10*Inputs!$C$22/12*(1+Inputs!$C$25)^(F$99-1)*1</f>
        <v>-666.666666666667</v>
      </c>
      <c r="G116" s="65" t="n">
        <f aca="false">-Inputs!$C$10*Inputs!$C$22/12*(1+Inputs!$C$25)^(G$99-1)*1</f>
        <v>-666.666666666667</v>
      </c>
      <c r="H116" s="65" t="n">
        <f aca="false">-Inputs!$C$10*Inputs!$C$22/12*(1+Inputs!$C$25)^(H$99-1)*1</f>
        <v>-666.666666666667</v>
      </c>
      <c r="I116" s="65" t="n">
        <f aca="false">-Inputs!$C$10*Inputs!$C$22/12*(1+Inputs!$C$25)^(I$99-1)*1</f>
        <v>-666.666666666667</v>
      </c>
      <c r="J116" s="65" t="n">
        <f aca="false">-Inputs!$C$10*Inputs!$C$22/12*(1+Inputs!$C$25)^(J$99-1)*1</f>
        <v>-666.666666666667</v>
      </c>
      <c r="K116" s="65" t="n">
        <f aca="false">-Inputs!$C$10*Inputs!$C$22/12*(1+Inputs!$C$25)^(K$99-1)*1</f>
        <v>-666.666666666667</v>
      </c>
      <c r="L116" s="65" t="n">
        <f aca="false">-Inputs!$C$10*Inputs!$C$22/12*(1+Inputs!$C$25)^(L$99-1)*1</f>
        <v>-666.666666666667</v>
      </c>
      <c r="M116" s="65" t="n">
        <f aca="false">-Inputs!$C$10*Inputs!$C$22/12*(1+Inputs!$C$25)^(M$99-1)*1</f>
        <v>-666.666666666667</v>
      </c>
      <c r="N116" s="65" t="n">
        <f aca="false">-Inputs!$C$10*Inputs!$C$22/12*(1+Inputs!$C$25)^(N$99-1)*1</f>
        <v>-666.666666666667</v>
      </c>
      <c r="O116" s="65" t="n">
        <f aca="false">-Inputs!$C$10*Inputs!$C$22/12*(1+Inputs!$C$25)^(O$99-1)*1</f>
        <v>-686.666666666667</v>
      </c>
      <c r="P116" s="65" t="n">
        <f aca="false">-Inputs!$C$10*Inputs!$C$22/12*(1+Inputs!$C$25)^(P$99-1)*1</f>
        <v>-686.666666666667</v>
      </c>
      <c r="Q116" s="65" t="n">
        <f aca="false">-Inputs!$C$10*Inputs!$C$22/12*(1+Inputs!$C$25)^(Q$99-1)*1</f>
        <v>-686.666666666667</v>
      </c>
      <c r="R116" s="65" t="n">
        <f aca="false">-Inputs!$C$10*Inputs!$C$22/12*(1+Inputs!$C$25)^(R$99-1)*1</f>
        <v>-686.666666666667</v>
      </c>
      <c r="S116" s="65" t="n">
        <f aca="false">-Inputs!$C$10*Inputs!$C$22/12*(1+Inputs!$C$25)^(S$99-1)*1</f>
        <v>-686.666666666667</v>
      </c>
      <c r="T116" s="65" t="n">
        <f aca="false">-Inputs!$C$10*Inputs!$C$22/12*(1+Inputs!$C$25)^(T$99-1)*1</f>
        <v>-686.666666666667</v>
      </c>
      <c r="U116" s="65" t="n">
        <f aca="false">-Inputs!$C$10*Inputs!$C$22/12*(1+Inputs!$C$25)^(U$99-1)*1</f>
        <v>-686.666666666667</v>
      </c>
      <c r="V116" s="65" t="n">
        <f aca="false">-Inputs!$C$10*Inputs!$C$22/12*(1+Inputs!$C$25)^(V$99-1)*1</f>
        <v>-686.666666666667</v>
      </c>
      <c r="W116" s="65" t="n">
        <f aca="false">-Inputs!$C$10*Inputs!$C$22/12*(1+Inputs!$C$25)^(W$99-1)*1</f>
        <v>-686.666666666667</v>
      </c>
      <c r="X116" s="65" t="n">
        <f aca="false">-Inputs!$C$10*Inputs!$C$22/12*(1+Inputs!$C$25)^(X$99-1)*1</f>
        <v>-686.666666666667</v>
      </c>
      <c r="Y116" s="65" t="n">
        <f aca="false">-Inputs!$C$10*Inputs!$C$22/12*(1+Inputs!$C$25)^(Y$99-1)*1</f>
        <v>-686.666666666667</v>
      </c>
      <c r="Z116" s="65" t="n">
        <f aca="false">-Inputs!$C$10*Inputs!$C$22/12*(1+Inputs!$C$25)^(Z$99-1)*1</f>
        <v>-686.666666666667</v>
      </c>
      <c r="AA116" s="65" t="n">
        <f aca="false">-Inputs!$C$10*Inputs!$C$22/12*(1+Inputs!$C$25)^(AA$99-1)*1</f>
        <v>-707.266666666667</v>
      </c>
      <c r="AB116" s="65" t="n">
        <f aca="false">-Inputs!$C$10*Inputs!$C$22/12*(1+Inputs!$C$25)^(AB$99-1)*1</f>
        <v>-707.266666666667</v>
      </c>
      <c r="AC116" s="65" t="n">
        <f aca="false">-Inputs!$C$10*Inputs!$C$22/12*(1+Inputs!$C$25)^(AC$99-1)*1</f>
        <v>-707.266666666667</v>
      </c>
      <c r="AD116" s="65" t="n">
        <f aca="false">-Inputs!$C$10*Inputs!$C$22/12*(1+Inputs!$C$25)^(AD$99-1)*1</f>
        <v>-707.266666666667</v>
      </c>
      <c r="AE116" s="65" t="n">
        <f aca="false">-Inputs!$C$10*Inputs!$C$22/12*(1+Inputs!$C$25)^(AE$99-1)*1</f>
        <v>-707.266666666667</v>
      </c>
      <c r="AF116" s="65" t="n">
        <f aca="false">-Inputs!$C$10*Inputs!$C$22/12*(1+Inputs!$C$25)^(AF$99-1)*1</f>
        <v>-707.266666666667</v>
      </c>
      <c r="AG116" s="65" t="n">
        <f aca="false">-Inputs!$C$10*Inputs!$C$22/12*(1+Inputs!$C$25)^(AG$99-1)*1</f>
        <v>-707.266666666667</v>
      </c>
      <c r="AH116" s="65" t="n">
        <f aca="false">-Inputs!$C$10*Inputs!$C$22/12*(1+Inputs!$C$25)^(AH$99-1)*1</f>
        <v>-707.266666666667</v>
      </c>
      <c r="AI116" s="65" t="n">
        <f aca="false">-Inputs!$C$10*Inputs!$C$22/12*(1+Inputs!$C$25)^(AI$99-1)*1</f>
        <v>-707.266666666667</v>
      </c>
      <c r="AJ116" s="65" t="n">
        <f aca="false">-Inputs!$C$10*Inputs!$C$22/12*(1+Inputs!$C$25)^(AJ$99-1)*1</f>
        <v>-707.266666666667</v>
      </c>
      <c r="AK116" s="65" t="n">
        <f aca="false">-Inputs!$C$10*Inputs!$C$22/12*(1+Inputs!$C$25)^(AK$99-1)*1</f>
        <v>-707.266666666667</v>
      </c>
      <c r="AL116" s="65" t="n">
        <f aca="false">-Inputs!$C$10*Inputs!$C$22/12*(1+Inputs!$C$25)^(AL$99-1)*1</f>
        <v>-707.266666666667</v>
      </c>
      <c r="AM116" s="65" t="n">
        <f aca="false">-Inputs!$C$10*Inputs!$C$22/12*(1+Inputs!$C$25)^(AM$99-1)*1</f>
        <v>-728.484666666667</v>
      </c>
      <c r="AN116" s="65" t="n">
        <f aca="false">-Inputs!$C$10*Inputs!$C$22/12*(1+Inputs!$C$25)^(AN$99-1)*1</f>
        <v>-728.484666666667</v>
      </c>
      <c r="AO116" s="65" t="n">
        <f aca="false">-Inputs!$C$10*Inputs!$C$22/12*(1+Inputs!$C$25)^(AO$99-1)*1</f>
        <v>-728.484666666667</v>
      </c>
      <c r="AP116" s="65" t="n">
        <f aca="false">-Inputs!$C$10*Inputs!$C$22/12*(1+Inputs!$C$25)^(AP$99-1)*1</f>
        <v>-728.484666666667</v>
      </c>
      <c r="AQ116" s="65" t="n">
        <f aca="false">-Inputs!$C$10*Inputs!$C$22/12*(1+Inputs!$C$25)^(AQ$99-1)*1</f>
        <v>-728.484666666667</v>
      </c>
      <c r="AR116" s="65" t="n">
        <f aca="false">-Inputs!$C$10*Inputs!$C$22/12*(1+Inputs!$C$25)^(AR$99-1)*1</f>
        <v>-728.484666666667</v>
      </c>
      <c r="AS116" s="65" t="n">
        <f aca="false">-Inputs!$C$10*Inputs!$C$22/12*(1+Inputs!$C$25)^(AS$99-1)*1</f>
        <v>-728.484666666667</v>
      </c>
      <c r="AT116" s="65" t="n">
        <f aca="false">-Inputs!$C$10*Inputs!$C$22/12*(1+Inputs!$C$25)^(AT$99-1)*1</f>
        <v>-728.484666666667</v>
      </c>
      <c r="AU116" s="65" t="n">
        <f aca="false">-Inputs!$C$10*Inputs!$C$22/12*(1+Inputs!$C$25)^(AU$99-1)*1</f>
        <v>-728.484666666667</v>
      </c>
      <c r="AV116" s="65" t="n">
        <f aca="false">-Inputs!$C$10*Inputs!$C$22/12*(1+Inputs!$C$25)^(AV$99-1)*1</f>
        <v>-728.484666666667</v>
      </c>
      <c r="AW116" s="65" t="n">
        <f aca="false">-Inputs!$C$10*Inputs!$C$22/12*(1+Inputs!$C$25)^(AW$99-1)*1</f>
        <v>-728.484666666667</v>
      </c>
      <c r="AX116" s="65" t="n">
        <f aca="false">-Inputs!$C$10*Inputs!$C$22/12*(1+Inputs!$C$25)^(AX$99-1)*1</f>
        <v>-728.484666666667</v>
      </c>
      <c r="AY116" s="65" t="n">
        <f aca="false">-Inputs!$C$10*Inputs!$C$22/12*(1+Inputs!$C$25)^(AY$99-1)*1</f>
        <v>-750.339206666667</v>
      </c>
      <c r="AZ116" s="65" t="n">
        <f aca="false">-Inputs!$C$10*Inputs!$C$22/12*(1+Inputs!$C$25)^(AZ$99-1)*1</f>
        <v>-750.339206666667</v>
      </c>
      <c r="BA116" s="65" t="n">
        <f aca="false">-Inputs!$C$10*Inputs!$C$22/12*(1+Inputs!$C$25)^(BA$99-1)*1</f>
        <v>-750.339206666667</v>
      </c>
      <c r="BB116" s="65" t="n">
        <f aca="false">-Inputs!$C$10*Inputs!$C$22/12*(1+Inputs!$C$25)^(BB$99-1)*1</f>
        <v>-750.339206666667</v>
      </c>
      <c r="BC116" s="65" t="n">
        <f aca="false">-Inputs!$C$10*Inputs!$C$22/12*(1+Inputs!$C$25)^(BC$99-1)*1</f>
        <v>-750.339206666667</v>
      </c>
      <c r="BD116" s="65" t="n">
        <f aca="false">-Inputs!$C$10*Inputs!$C$22/12*(1+Inputs!$C$25)^(BD$99-1)*1</f>
        <v>-750.339206666667</v>
      </c>
      <c r="BE116" s="65" t="n">
        <f aca="false">-Inputs!$C$10*Inputs!$C$22/12*(1+Inputs!$C$25)^(BE$99-1)*1</f>
        <v>-750.339206666667</v>
      </c>
      <c r="BF116" s="65" t="n">
        <f aca="false">-Inputs!$C$10*Inputs!$C$22/12*(1+Inputs!$C$25)^(BF$99-1)*1</f>
        <v>-750.339206666667</v>
      </c>
      <c r="BG116" s="65" t="n">
        <f aca="false">-Inputs!$C$10*Inputs!$C$22/12*(1+Inputs!$C$25)^(BG$99-1)*1</f>
        <v>-750.339206666667</v>
      </c>
      <c r="BH116" s="65" t="n">
        <f aca="false">-Inputs!$C$10*Inputs!$C$22/12*(1+Inputs!$C$25)^(BH$99-1)*1</f>
        <v>-750.339206666667</v>
      </c>
      <c r="BI116" s="65" t="n">
        <f aca="false">-Inputs!$C$10*Inputs!$C$22/12*(1+Inputs!$C$25)^(BI$99-1)*1</f>
        <v>-750.339206666667</v>
      </c>
      <c r="BJ116" s="65" t="n">
        <f aca="false">-Inputs!$C$10*Inputs!$C$22/12*(1+Inputs!$C$25)^(BJ$99-1)*1</f>
        <v>-750.339206666667</v>
      </c>
    </row>
    <row r="117" customFormat="false" ht="15" hidden="false" customHeight="false" outlineLevel="0" collapsed="false">
      <c r="A117" s="6" t="s">
        <v>343</v>
      </c>
      <c r="C117" s="65" t="n">
        <f aca="false">-C106*Inputs!$C$23</f>
        <v>-1311</v>
      </c>
      <c r="D117" s="65" t="n">
        <f aca="false">-D106*Inputs!$C$23</f>
        <v>-1311</v>
      </c>
      <c r="E117" s="65" t="n">
        <f aca="false">-E106*Inputs!$C$23</f>
        <v>-1311</v>
      </c>
      <c r="F117" s="65" t="n">
        <f aca="false">-F106*Inputs!$C$23</f>
        <v>-1311</v>
      </c>
      <c r="G117" s="65" t="n">
        <f aca="false">-G106*Inputs!$C$23</f>
        <v>-1311</v>
      </c>
      <c r="H117" s="65" t="n">
        <f aca="false">-H106*Inputs!$C$23</f>
        <v>-1311</v>
      </c>
      <c r="I117" s="65" t="n">
        <f aca="false">-I106*Inputs!$C$23</f>
        <v>-1311</v>
      </c>
      <c r="J117" s="65" t="n">
        <f aca="false">-J106*Inputs!$C$23</f>
        <v>-1311</v>
      </c>
      <c r="K117" s="65" t="n">
        <f aca="false">-K106*Inputs!$C$23</f>
        <v>-1311</v>
      </c>
      <c r="L117" s="65" t="n">
        <f aca="false">-L106*Inputs!$C$23</f>
        <v>-1311</v>
      </c>
      <c r="M117" s="65" t="n">
        <f aca="false">-M106*Inputs!$C$23</f>
        <v>-1311</v>
      </c>
      <c r="N117" s="65" t="n">
        <f aca="false">-N106*Inputs!$C$23</f>
        <v>-1311</v>
      </c>
      <c r="O117" s="65" t="n">
        <f aca="false">-O106*Inputs!$C$23</f>
        <v>-1350.33</v>
      </c>
      <c r="P117" s="65" t="n">
        <f aca="false">-P106*Inputs!$C$23</f>
        <v>-1350.33</v>
      </c>
      <c r="Q117" s="65" t="n">
        <f aca="false">-Q106*Inputs!$C$23</f>
        <v>-1350.33</v>
      </c>
      <c r="R117" s="65" t="n">
        <f aca="false">-R106*Inputs!$C$23</f>
        <v>-1350.33</v>
      </c>
      <c r="S117" s="65" t="n">
        <f aca="false">-S106*Inputs!$C$23</f>
        <v>-1350.33</v>
      </c>
      <c r="T117" s="65" t="n">
        <f aca="false">-T106*Inputs!$C$23</f>
        <v>-1350.33</v>
      </c>
      <c r="U117" s="65" t="n">
        <f aca="false">-U106*Inputs!$C$23</f>
        <v>-1350.33</v>
      </c>
      <c r="V117" s="65" t="n">
        <f aca="false">-V106*Inputs!$C$23</f>
        <v>-1350.33</v>
      </c>
      <c r="W117" s="65" t="n">
        <f aca="false">-W106*Inputs!$C$23</f>
        <v>-1350.33</v>
      </c>
      <c r="X117" s="65" t="n">
        <f aca="false">-X106*Inputs!$C$23</f>
        <v>-1350.33</v>
      </c>
      <c r="Y117" s="65" t="n">
        <f aca="false">-Y106*Inputs!$C$23</f>
        <v>-1350.33</v>
      </c>
      <c r="Z117" s="65" t="n">
        <f aca="false">-Z106*Inputs!$C$23</f>
        <v>-1350.33</v>
      </c>
      <c r="AA117" s="65" t="n">
        <f aca="false">-AA106*Inputs!$C$23</f>
        <v>-1390.8399</v>
      </c>
      <c r="AB117" s="65" t="n">
        <f aca="false">-AB106*Inputs!$C$23</f>
        <v>-1390.8399</v>
      </c>
      <c r="AC117" s="65" t="n">
        <f aca="false">-AC106*Inputs!$C$23</f>
        <v>-1390.8399</v>
      </c>
      <c r="AD117" s="65" t="n">
        <f aca="false">-AD106*Inputs!$C$23</f>
        <v>-1390.8399</v>
      </c>
      <c r="AE117" s="65" t="n">
        <f aca="false">-AE106*Inputs!$C$23</f>
        <v>-1390.8399</v>
      </c>
      <c r="AF117" s="65" t="n">
        <f aca="false">-AF106*Inputs!$C$23</f>
        <v>-1390.8399</v>
      </c>
      <c r="AG117" s="65" t="n">
        <f aca="false">-AG106*Inputs!$C$23</f>
        <v>-1390.8399</v>
      </c>
      <c r="AH117" s="65" t="n">
        <f aca="false">-AH106*Inputs!$C$23</f>
        <v>-1390.8399</v>
      </c>
      <c r="AI117" s="65" t="n">
        <f aca="false">-AI106*Inputs!$C$23</f>
        <v>-1390.8399</v>
      </c>
      <c r="AJ117" s="65" t="n">
        <f aca="false">-AJ106*Inputs!$C$23</f>
        <v>-1390.8399</v>
      </c>
      <c r="AK117" s="65" t="n">
        <f aca="false">-AK106*Inputs!$C$23</f>
        <v>-1390.8399</v>
      </c>
      <c r="AL117" s="65" t="n">
        <f aca="false">-AL106*Inputs!$C$23</f>
        <v>-1390.8399</v>
      </c>
      <c r="AM117" s="65" t="n">
        <f aca="false">-AM106*Inputs!$C$23</f>
        <v>-1432.565097</v>
      </c>
      <c r="AN117" s="65" t="n">
        <f aca="false">-AN106*Inputs!$C$23</f>
        <v>-1432.565097</v>
      </c>
      <c r="AO117" s="65" t="n">
        <f aca="false">-AO106*Inputs!$C$23</f>
        <v>-1432.565097</v>
      </c>
      <c r="AP117" s="65" t="n">
        <f aca="false">-AP106*Inputs!$C$23</f>
        <v>-1432.565097</v>
      </c>
      <c r="AQ117" s="65" t="n">
        <f aca="false">-AQ106*Inputs!$C$23</f>
        <v>-1432.565097</v>
      </c>
      <c r="AR117" s="65" t="n">
        <f aca="false">-AR106*Inputs!$C$23</f>
        <v>-1432.565097</v>
      </c>
      <c r="AS117" s="65" t="n">
        <f aca="false">-AS106*Inputs!$C$23</f>
        <v>-1432.565097</v>
      </c>
      <c r="AT117" s="65" t="n">
        <f aca="false">-AT106*Inputs!$C$23</f>
        <v>-1432.565097</v>
      </c>
      <c r="AU117" s="65" t="n">
        <f aca="false">-AU106*Inputs!$C$23</f>
        <v>-1432.565097</v>
      </c>
      <c r="AV117" s="65" t="n">
        <f aca="false">-AV106*Inputs!$C$23</f>
        <v>-1432.565097</v>
      </c>
      <c r="AW117" s="65" t="n">
        <f aca="false">-AW106*Inputs!$C$23</f>
        <v>-1432.565097</v>
      </c>
      <c r="AX117" s="65" t="n">
        <f aca="false">-AX106*Inputs!$C$23</f>
        <v>-1432.565097</v>
      </c>
      <c r="AY117" s="65" t="n">
        <f aca="false">-AY106*Inputs!$C$23</f>
        <v>-1475.54204991</v>
      </c>
      <c r="AZ117" s="65" t="n">
        <f aca="false">-AZ106*Inputs!$C$23</f>
        <v>-1475.54204991</v>
      </c>
      <c r="BA117" s="65" t="n">
        <f aca="false">-BA106*Inputs!$C$23</f>
        <v>-1475.54204991</v>
      </c>
      <c r="BB117" s="65" t="n">
        <f aca="false">-BB106*Inputs!$C$23</f>
        <v>-1475.54204991</v>
      </c>
      <c r="BC117" s="65" t="n">
        <f aca="false">-BC106*Inputs!$C$23</f>
        <v>-1475.54204991</v>
      </c>
      <c r="BD117" s="65" t="n">
        <f aca="false">-BD106*Inputs!$C$23</f>
        <v>-1475.54204991</v>
      </c>
      <c r="BE117" s="65" t="n">
        <f aca="false">-BE106*Inputs!$C$23</f>
        <v>-1475.54204991</v>
      </c>
      <c r="BF117" s="65" t="n">
        <f aca="false">-BF106*Inputs!$C$23</f>
        <v>-1475.54204991</v>
      </c>
      <c r="BG117" s="65" t="n">
        <f aca="false">-BG106*Inputs!$C$23</f>
        <v>-1475.54204991</v>
      </c>
      <c r="BH117" s="65" t="n">
        <f aca="false">-BH106*Inputs!$C$23</f>
        <v>-1475.54204991</v>
      </c>
      <c r="BI117" s="65" t="n">
        <f aca="false">-BI106*Inputs!$C$23</f>
        <v>-1475.54204991</v>
      </c>
      <c r="BJ117" s="65" t="n">
        <f aca="false">-BJ106*Inputs!$C$23</f>
        <v>-1475.54204991</v>
      </c>
    </row>
    <row r="118" customFormat="false" ht="15" hidden="false" customHeight="false" outlineLevel="0" collapsed="false">
      <c r="A118" s="6" t="s">
        <v>344</v>
      </c>
      <c r="C118" s="65" t="n">
        <f aca="false">-Inputs!$C$24*(1+Inputs!$C$25)^(C$99-1)*1</f>
        <v>-400</v>
      </c>
      <c r="D118" s="65" t="n">
        <f aca="false">-Inputs!$C$24*(1+Inputs!$C$25)^(D$99-1)*1</f>
        <v>-400</v>
      </c>
      <c r="E118" s="65" t="n">
        <f aca="false">-Inputs!$C$24*(1+Inputs!$C$25)^(E$99-1)*1</f>
        <v>-400</v>
      </c>
      <c r="F118" s="65" t="n">
        <f aca="false">-Inputs!$C$24*(1+Inputs!$C$25)^(F$99-1)*1</f>
        <v>-400</v>
      </c>
      <c r="G118" s="65" t="n">
        <f aca="false">-Inputs!$C$24*(1+Inputs!$C$25)^(G$99-1)*1</f>
        <v>-400</v>
      </c>
      <c r="H118" s="65" t="n">
        <f aca="false">-Inputs!$C$24*(1+Inputs!$C$25)^(H$99-1)*1</f>
        <v>-400</v>
      </c>
      <c r="I118" s="65" t="n">
        <f aca="false">-Inputs!$C$24*(1+Inputs!$C$25)^(I$99-1)*1</f>
        <v>-400</v>
      </c>
      <c r="J118" s="65" t="n">
        <f aca="false">-Inputs!$C$24*(1+Inputs!$C$25)^(J$99-1)*1</f>
        <v>-400</v>
      </c>
      <c r="K118" s="65" t="n">
        <f aca="false">-Inputs!$C$24*(1+Inputs!$C$25)^(K$99-1)*1</f>
        <v>-400</v>
      </c>
      <c r="L118" s="65" t="n">
        <f aca="false">-Inputs!$C$24*(1+Inputs!$C$25)^(L$99-1)*1</f>
        <v>-400</v>
      </c>
      <c r="M118" s="65" t="n">
        <f aca="false">-Inputs!$C$24*(1+Inputs!$C$25)^(M$99-1)*1</f>
        <v>-400</v>
      </c>
      <c r="N118" s="65" t="n">
        <f aca="false">-Inputs!$C$24*(1+Inputs!$C$25)^(N$99-1)*1</f>
        <v>-400</v>
      </c>
      <c r="O118" s="65" t="n">
        <f aca="false">-Inputs!$C$24*(1+Inputs!$C$25)^(O$99-1)*1</f>
        <v>-412</v>
      </c>
      <c r="P118" s="65" t="n">
        <f aca="false">-Inputs!$C$24*(1+Inputs!$C$25)^(P$99-1)*1</f>
        <v>-412</v>
      </c>
      <c r="Q118" s="65" t="n">
        <f aca="false">-Inputs!$C$24*(1+Inputs!$C$25)^(Q$99-1)*1</f>
        <v>-412</v>
      </c>
      <c r="R118" s="65" t="n">
        <f aca="false">-Inputs!$C$24*(1+Inputs!$C$25)^(R$99-1)*1</f>
        <v>-412</v>
      </c>
      <c r="S118" s="65" t="n">
        <f aca="false">-Inputs!$C$24*(1+Inputs!$C$25)^(S$99-1)*1</f>
        <v>-412</v>
      </c>
      <c r="T118" s="65" t="n">
        <f aca="false">-Inputs!$C$24*(1+Inputs!$C$25)^(T$99-1)*1</f>
        <v>-412</v>
      </c>
      <c r="U118" s="65" t="n">
        <f aca="false">-Inputs!$C$24*(1+Inputs!$C$25)^(U$99-1)*1</f>
        <v>-412</v>
      </c>
      <c r="V118" s="65" t="n">
        <f aca="false">-Inputs!$C$24*(1+Inputs!$C$25)^(V$99-1)*1</f>
        <v>-412</v>
      </c>
      <c r="W118" s="65" t="n">
        <f aca="false">-Inputs!$C$24*(1+Inputs!$C$25)^(W$99-1)*1</f>
        <v>-412</v>
      </c>
      <c r="X118" s="65" t="n">
        <f aca="false">-Inputs!$C$24*(1+Inputs!$C$25)^(X$99-1)*1</f>
        <v>-412</v>
      </c>
      <c r="Y118" s="65" t="n">
        <f aca="false">-Inputs!$C$24*(1+Inputs!$C$25)^(Y$99-1)*1</f>
        <v>-412</v>
      </c>
      <c r="Z118" s="65" t="n">
        <f aca="false">-Inputs!$C$24*(1+Inputs!$C$25)^(Z$99-1)*1</f>
        <v>-412</v>
      </c>
      <c r="AA118" s="65" t="n">
        <f aca="false">-Inputs!$C$24*(1+Inputs!$C$25)^(AA$99-1)*1</f>
        <v>-424.36</v>
      </c>
      <c r="AB118" s="65" t="n">
        <f aca="false">-Inputs!$C$24*(1+Inputs!$C$25)^(AB$99-1)*1</f>
        <v>-424.36</v>
      </c>
      <c r="AC118" s="65" t="n">
        <f aca="false">-Inputs!$C$24*(1+Inputs!$C$25)^(AC$99-1)*1</f>
        <v>-424.36</v>
      </c>
      <c r="AD118" s="65" t="n">
        <f aca="false">-Inputs!$C$24*(1+Inputs!$C$25)^(AD$99-1)*1</f>
        <v>-424.36</v>
      </c>
      <c r="AE118" s="65" t="n">
        <f aca="false">-Inputs!$C$24*(1+Inputs!$C$25)^(AE$99-1)*1</f>
        <v>-424.36</v>
      </c>
      <c r="AF118" s="65" t="n">
        <f aca="false">-Inputs!$C$24*(1+Inputs!$C$25)^(AF$99-1)*1</f>
        <v>-424.36</v>
      </c>
      <c r="AG118" s="65" t="n">
        <f aca="false">-Inputs!$C$24*(1+Inputs!$C$25)^(AG$99-1)*1</f>
        <v>-424.36</v>
      </c>
      <c r="AH118" s="65" t="n">
        <f aca="false">-Inputs!$C$24*(1+Inputs!$C$25)^(AH$99-1)*1</f>
        <v>-424.36</v>
      </c>
      <c r="AI118" s="65" t="n">
        <f aca="false">-Inputs!$C$24*(1+Inputs!$C$25)^(AI$99-1)*1</f>
        <v>-424.36</v>
      </c>
      <c r="AJ118" s="65" t="n">
        <f aca="false">-Inputs!$C$24*(1+Inputs!$C$25)^(AJ$99-1)*1</f>
        <v>-424.36</v>
      </c>
      <c r="AK118" s="65" t="n">
        <f aca="false">-Inputs!$C$24*(1+Inputs!$C$25)^(AK$99-1)*1</f>
        <v>-424.36</v>
      </c>
      <c r="AL118" s="65" t="n">
        <f aca="false">-Inputs!$C$24*(1+Inputs!$C$25)^(AL$99-1)*1</f>
        <v>-424.36</v>
      </c>
      <c r="AM118" s="65" t="n">
        <f aca="false">-Inputs!$C$24*(1+Inputs!$C$25)^(AM$99-1)*1</f>
        <v>-437.0908</v>
      </c>
      <c r="AN118" s="65" t="n">
        <f aca="false">-Inputs!$C$24*(1+Inputs!$C$25)^(AN$99-1)*1</f>
        <v>-437.0908</v>
      </c>
      <c r="AO118" s="65" t="n">
        <f aca="false">-Inputs!$C$24*(1+Inputs!$C$25)^(AO$99-1)*1</f>
        <v>-437.0908</v>
      </c>
      <c r="AP118" s="65" t="n">
        <f aca="false">-Inputs!$C$24*(1+Inputs!$C$25)^(AP$99-1)*1</f>
        <v>-437.0908</v>
      </c>
      <c r="AQ118" s="65" t="n">
        <f aca="false">-Inputs!$C$24*(1+Inputs!$C$25)^(AQ$99-1)*1</f>
        <v>-437.0908</v>
      </c>
      <c r="AR118" s="65" t="n">
        <f aca="false">-Inputs!$C$24*(1+Inputs!$C$25)^(AR$99-1)*1</f>
        <v>-437.0908</v>
      </c>
      <c r="AS118" s="65" t="n">
        <f aca="false">-Inputs!$C$24*(1+Inputs!$C$25)^(AS$99-1)*1</f>
        <v>-437.0908</v>
      </c>
      <c r="AT118" s="65" t="n">
        <f aca="false">-Inputs!$C$24*(1+Inputs!$C$25)^(AT$99-1)*1</f>
        <v>-437.0908</v>
      </c>
      <c r="AU118" s="65" t="n">
        <f aca="false">-Inputs!$C$24*(1+Inputs!$C$25)^(AU$99-1)*1</f>
        <v>-437.0908</v>
      </c>
      <c r="AV118" s="65" t="n">
        <f aca="false">-Inputs!$C$24*(1+Inputs!$C$25)^(AV$99-1)*1</f>
        <v>-437.0908</v>
      </c>
      <c r="AW118" s="65" t="n">
        <f aca="false">-Inputs!$C$24*(1+Inputs!$C$25)^(AW$99-1)*1</f>
        <v>-437.0908</v>
      </c>
      <c r="AX118" s="65" t="n">
        <f aca="false">-Inputs!$C$24*(1+Inputs!$C$25)^(AX$99-1)*1</f>
        <v>-437.0908</v>
      </c>
      <c r="AY118" s="65" t="n">
        <f aca="false">-Inputs!$C$24*(1+Inputs!$C$25)^(AY$99-1)*1</f>
        <v>-450.203524</v>
      </c>
      <c r="AZ118" s="65" t="n">
        <f aca="false">-Inputs!$C$24*(1+Inputs!$C$25)^(AZ$99-1)*1</f>
        <v>-450.203524</v>
      </c>
      <c r="BA118" s="65" t="n">
        <f aca="false">-Inputs!$C$24*(1+Inputs!$C$25)^(BA$99-1)*1</f>
        <v>-450.203524</v>
      </c>
      <c r="BB118" s="65" t="n">
        <f aca="false">-Inputs!$C$24*(1+Inputs!$C$25)^(BB$99-1)*1</f>
        <v>-450.203524</v>
      </c>
      <c r="BC118" s="65" t="n">
        <f aca="false">-Inputs!$C$24*(1+Inputs!$C$25)^(BC$99-1)*1</f>
        <v>-450.203524</v>
      </c>
      <c r="BD118" s="65" t="n">
        <f aca="false">-Inputs!$C$24*(1+Inputs!$C$25)^(BD$99-1)*1</f>
        <v>-450.203524</v>
      </c>
      <c r="BE118" s="65" t="n">
        <f aca="false">-Inputs!$C$24*(1+Inputs!$C$25)^(BE$99-1)*1</f>
        <v>-450.203524</v>
      </c>
      <c r="BF118" s="65" t="n">
        <f aca="false">-Inputs!$C$24*(1+Inputs!$C$25)^(BF$99-1)*1</f>
        <v>-450.203524</v>
      </c>
      <c r="BG118" s="65" t="n">
        <f aca="false">-Inputs!$C$24*(1+Inputs!$C$25)^(BG$99-1)*1</f>
        <v>-450.203524</v>
      </c>
      <c r="BH118" s="65" t="n">
        <f aca="false">-Inputs!$C$24*(1+Inputs!$C$25)^(BH$99-1)*1</f>
        <v>-450.203524</v>
      </c>
      <c r="BI118" s="65" t="n">
        <f aca="false">-Inputs!$C$24*(1+Inputs!$C$25)^(BI$99-1)*1</f>
        <v>-450.203524</v>
      </c>
      <c r="BJ118" s="65" t="n">
        <f aca="false">-Inputs!$C$24*(1+Inputs!$C$25)^(BJ$99-1)*1</f>
        <v>-450.203524</v>
      </c>
    </row>
    <row r="119" customFormat="false" ht="15" hidden="false" customHeight="false" outlineLevel="0" collapsed="false">
      <c r="A119" s="108" t="s">
        <v>77</v>
      </c>
      <c r="C119" s="66" t="n">
        <f aca="false">C115+C116+C117+C118</f>
        <v>-4073.5</v>
      </c>
      <c r="D119" s="66" t="n">
        <f aca="false">D115+D116+D117+D118</f>
        <v>-4073.5</v>
      </c>
      <c r="E119" s="66" t="n">
        <f aca="false">E115+E116+E117+E118</f>
        <v>-4073.5</v>
      </c>
      <c r="F119" s="66" t="n">
        <f aca="false">F115+F116+F117+F118</f>
        <v>-4073.5</v>
      </c>
      <c r="G119" s="66" t="n">
        <f aca="false">G115+G116+G117+G118</f>
        <v>-4073.5</v>
      </c>
      <c r="H119" s="66" t="n">
        <f aca="false">H115+H116+H117+H118</f>
        <v>-4073.5</v>
      </c>
      <c r="I119" s="66" t="n">
        <f aca="false">I115+I116+I117+I118</f>
        <v>-4073.5</v>
      </c>
      <c r="J119" s="66" t="n">
        <f aca="false">J115+J116+J117+J118</f>
        <v>-4073.5</v>
      </c>
      <c r="K119" s="66" t="n">
        <f aca="false">K115+K116+K117+K118</f>
        <v>-4073.5</v>
      </c>
      <c r="L119" s="66" t="n">
        <f aca="false">L115+L116+L117+L118</f>
        <v>-4073.5</v>
      </c>
      <c r="M119" s="66" t="n">
        <f aca="false">M115+M116+M117+M118</f>
        <v>-4073.5</v>
      </c>
      <c r="N119" s="66" t="n">
        <f aca="false">N115+N116+N117+N118</f>
        <v>-4073.5</v>
      </c>
      <c r="O119" s="66" t="n">
        <f aca="false">O115+O116+O117+O118</f>
        <v>-4195.705</v>
      </c>
      <c r="P119" s="66" t="n">
        <f aca="false">P115+P116+P117+P118</f>
        <v>-4195.705</v>
      </c>
      <c r="Q119" s="66" t="n">
        <f aca="false">Q115+Q116+Q117+Q118</f>
        <v>-4195.705</v>
      </c>
      <c r="R119" s="66" t="n">
        <f aca="false">R115+R116+R117+R118</f>
        <v>-4195.705</v>
      </c>
      <c r="S119" s="66" t="n">
        <f aca="false">S115+S116+S117+S118</f>
        <v>-4195.705</v>
      </c>
      <c r="T119" s="66" t="n">
        <f aca="false">T115+T116+T117+T118</f>
        <v>-4195.705</v>
      </c>
      <c r="U119" s="66" t="n">
        <f aca="false">U115+U116+U117+U118</f>
        <v>-4195.705</v>
      </c>
      <c r="V119" s="66" t="n">
        <f aca="false">V115+V116+V117+V118</f>
        <v>-4195.705</v>
      </c>
      <c r="W119" s="66" t="n">
        <f aca="false">W115+W116+W117+W118</f>
        <v>-4195.705</v>
      </c>
      <c r="X119" s="66" t="n">
        <f aca="false">X115+X116+X117+X118</f>
        <v>-4195.705</v>
      </c>
      <c r="Y119" s="66" t="n">
        <f aca="false">Y115+Y116+Y117+Y118</f>
        <v>-4195.705</v>
      </c>
      <c r="Z119" s="66" t="n">
        <f aca="false">Z115+Z116+Z117+Z118</f>
        <v>-4195.705</v>
      </c>
      <c r="AA119" s="66" t="n">
        <f aca="false">AA115+AA116+AA117+AA118</f>
        <v>-4321.57615</v>
      </c>
      <c r="AB119" s="66" t="n">
        <f aca="false">AB115+AB116+AB117+AB118</f>
        <v>-4321.57615</v>
      </c>
      <c r="AC119" s="66" t="n">
        <f aca="false">AC115+AC116+AC117+AC118</f>
        <v>-4321.57615</v>
      </c>
      <c r="AD119" s="66" t="n">
        <f aca="false">AD115+AD116+AD117+AD118</f>
        <v>-4321.57615</v>
      </c>
      <c r="AE119" s="66" t="n">
        <f aca="false">AE115+AE116+AE117+AE118</f>
        <v>-4321.57615</v>
      </c>
      <c r="AF119" s="66" t="n">
        <f aca="false">AF115+AF116+AF117+AF118</f>
        <v>-4321.57615</v>
      </c>
      <c r="AG119" s="66" t="n">
        <f aca="false">AG115+AG116+AG117+AG118</f>
        <v>-4321.57615</v>
      </c>
      <c r="AH119" s="66" t="n">
        <f aca="false">AH115+AH116+AH117+AH118</f>
        <v>-4321.57615</v>
      </c>
      <c r="AI119" s="66" t="n">
        <f aca="false">AI115+AI116+AI117+AI118</f>
        <v>-4321.57615</v>
      </c>
      <c r="AJ119" s="66" t="n">
        <f aca="false">AJ115+AJ116+AJ117+AJ118</f>
        <v>-4321.57615</v>
      </c>
      <c r="AK119" s="66" t="n">
        <f aca="false">AK115+AK116+AK117+AK118</f>
        <v>-4321.57615</v>
      </c>
      <c r="AL119" s="66" t="n">
        <f aca="false">AL115+AL116+AL117+AL118</f>
        <v>-4321.57615</v>
      </c>
      <c r="AM119" s="66" t="n">
        <f aca="false">AM115+AM116+AM117+AM118</f>
        <v>-4451.2234345</v>
      </c>
      <c r="AN119" s="66" t="n">
        <f aca="false">AN115+AN116+AN117+AN118</f>
        <v>-4451.2234345</v>
      </c>
      <c r="AO119" s="66" t="n">
        <f aca="false">AO115+AO116+AO117+AO118</f>
        <v>-4451.2234345</v>
      </c>
      <c r="AP119" s="66" t="n">
        <f aca="false">AP115+AP116+AP117+AP118</f>
        <v>-4451.2234345</v>
      </c>
      <c r="AQ119" s="66" t="n">
        <f aca="false">AQ115+AQ116+AQ117+AQ118</f>
        <v>-4451.2234345</v>
      </c>
      <c r="AR119" s="66" t="n">
        <f aca="false">AR115+AR116+AR117+AR118</f>
        <v>-4451.2234345</v>
      </c>
      <c r="AS119" s="66" t="n">
        <f aca="false">AS115+AS116+AS117+AS118</f>
        <v>-4451.2234345</v>
      </c>
      <c r="AT119" s="66" t="n">
        <f aca="false">AT115+AT116+AT117+AT118</f>
        <v>-4451.2234345</v>
      </c>
      <c r="AU119" s="66" t="n">
        <f aca="false">AU115+AU116+AU117+AU118</f>
        <v>-4451.2234345</v>
      </c>
      <c r="AV119" s="66" t="n">
        <f aca="false">AV115+AV116+AV117+AV118</f>
        <v>-4451.2234345</v>
      </c>
      <c r="AW119" s="66" t="n">
        <f aca="false">AW115+AW116+AW117+AW118</f>
        <v>-4451.2234345</v>
      </c>
      <c r="AX119" s="66" t="n">
        <f aca="false">AX115+AX116+AX117+AX118</f>
        <v>-4451.2234345</v>
      </c>
      <c r="AY119" s="66" t="n">
        <f aca="false">AY115+AY116+AY117+AY118</f>
        <v>-4584.760137535</v>
      </c>
      <c r="AZ119" s="66" t="n">
        <f aca="false">AZ115+AZ116+AZ117+AZ118</f>
        <v>-4584.760137535</v>
      </c>
      <c r="BA119" s="66" t="n">
        <f aca="false">BA115+BA116+BA117+BA118</f>
        <v>-4584.760137535</v>
      </c>
      <c r="BB119" s="66" t="n">
        <f aca="false">BB115+BB116+BB117+BB118</f>
        <v>-4584.760137535</v>
      </c>
      <c r="BC119" s="66" t="n">
        <f aca="false">BC115+BC116+BC117+BC118</f>
        <v>-4584.760137535</v>
      </c>
      <c r="BD119" s="66" t="n">
        <f aca="false">BD115+BD116+BD117+BD118</f>
        <v>-4584.760137535</v>
      </c>
      <c r="BE119" s="66" t="n">
        <f aca="false">BE115+BE116+BE117+BE118</f>
        <v>-4584.760137535</v>
      </c>
      <c r="BF119" s="66" t="n">
        <f aca="false">BF115+BF116+BF117+BF118</f>
        <v>-4584.760137535</v>
      </c>
      <c r="BG119" s="66" t="n">
        <f aca="false">BG115+BG116+BG117+BG118</f>
        <v>-4584.760137535</v>
      </c>
      <c r="BH119" s="66" t="n">
        <f aca="false">BH115+BH116+BH117+BH118</f>
        <v>-4584.760137535</v>
      </c>
      <c r="BI119" s="66" t="n">
        <f aca="false">BI115+BI116+BI117+BI118</f>
        <v>-4584.760137535</v>
      </c>
      <c r="BJ119" s="66" t="n">
        <f aca="false">BJ115+BJ116+BJ117+BJ118</f>
        <v>-4584.760137535</v>
      </c>
    </row>
    <row r="120" customFormat="false" ht="15" hidden="false" customHeight="false" outlineLevel="0" collapsed="false">
      <c r="A120" s="108" t="s">
        <v>49</v>
      </c>
      <c r="C120" s="66" t="n">
        <f aca="false">C112+C119</f>
        <v>10445</v>
      </c>
      <c r="D120" s="66" t="n">
        <f aca="false">D112+D119</f>
        <v>10445</v>
      </c>
      <c r="E120" s="66" t="n">
        <f aca="false">E112+E119</f>
        <v>10445</v>
      </c>
      <c r="F120" s="66" t="n">
        <f aca="false">F112+F119</f>
        <v>10445</v>
      </c>
      <c r="G120" s="66" t="n">
        <f aca="false">G112+G119</f>
        <v>10445</v>
      </c>
      <c r="H120" s="66" t="n">
        <f aca="false">H112+H119</f>
        <v>10445</v>
      </c>
      <c r="I120" s="66" t="n">
        <f aca="false">I112+I119</f>
        <v>10445</v>
      </c>
      <c r="J120" s="66" t="n">
        <f aca="false">J112+J119</f>
        <v>10445</v>
      </c>
      <c r="K120" s="66" t="n">
        <f aca="false">K112+K119</f>
        <v>10445</v>
      </c>
      <c r="L120" s="66" t="n">
        <f aca="false">L112+L119</f>
        <v>10445</v>
      </c>
      <c r="M120" s="66" t="n">
        <f aca="false">M112+M119</f>
        <v>10445</v>
      </c>
      <c r="N120" s="66" t="n">
        <f aca="false">N112+N119</f>
        <v>10445</v>
      </c>
      <c r="O120" s="66" t="n">
        <f aca="false">O112+O119</f>
        <v>10758.35</v>
      </c>
      <c r="P120" s="66" t="n">
        <f aca="false">P112+P119</f>
        <v>10758.35</v>
      </c>
      <c r="Q120" s="66" t="n">
        <f aca="false">Q112+Q119</f>
        <v>10758.35</v>
      </c>
      <c r="R120" s="66" t="n">
        <f aca="false">R112+R119</f>
        <v>10758.35</v>
      </c>
      <c r="S120" s="66" t="n">
        <f aca="false">S112+S119</f>
        <v>10758.35</v>
      </c>
      <c r="T120" s="66" t="n">
        <f aca="false">T112+T119</f>
        <v>10758.35</v>
      </c>
      <c r="U120" s="66" t="n">
        <f aca="false">U112+U119</f>
        <v>10758.35</v>
      </c>
      <c r="V120" s="66" t="n">
        <f aca="false">V112+V119</f>
        <v>10758.35</v>
      </c>
      <c r="W120" s="66" t="n">
        <f aca="false">W112+W119</f>
        <v>10758.35</v>
      </c>
      <c r="X120" s="66" t="n">
        <f aca="false">X112+X119</f>
        <v>10758.35</v>
      </c>
      <c r="Y120" s="66" t="n">
        <f aca="false">Y112+Y119</f>
        <v>10758.35</v>
      </c>
      <c r="Z120" s="66" t="n">
        <f aca="false">Z112+Z119</f>
        <v>10758.35</v>
      </c>
      <c r="AA120" s="66" t="n">
        <f aca="false">AA112+AA119</f>
        <v>11081.1005</v>
      </c>
      <c r="AB120" s="66" t="n">
        <f aca="false">AB112+AB119</f>
        <v>11081.1005</v>
      </c>
      <c r="AC120" s="66" t="n">
        <f aca="false">AC112+AC119</f>
        <v>11081.1005</v>
      </c>
      <c r="AD120" s="66" t="n">
        <f aca="false">AD112+AD119</f>
        <v>11081.1005</v>
      </c>
      <c r="AE120" s="66" t="n">
        <f aca="false">AE112+AE119</f>
        <v>11081.1005</v>
      </c>
      <c r="AF120" s="66" t="n">
        <f aca="false">AF112+AF119</f>
        <v>11081.1005</v>
      </c>
      <c r="AG120" s="66" t="n">
        <f aca="false">AG112+AG119</f>
        <v>11081.1005</v>
      </c>
      <c r="AH120" s="66" t="n">
        <f aca="false">AH112+AH119</f>
        <v>11081.1005</v>
      </c>
      <c r="AI120" s="66" t="n">
        <f aca="false">AI112+AI119</f>
        <v>11081.1005</v>
      </c>
      <c r="AJ120" s="66" t="n">
        <f aca="false">AJ112+AJ119</f>
        <v>11081.1005</v>
      </c>
      <c r="AK120" s="66" t="n">
        <f aca="false">AK112+AK119</f>
        <v>11081.1005</v>
      </c>
      <c r="AL120" s="66" t="n">
        <f aca="false">AL112+AL119</f>
        <v>11081.1005</v>
      </c>
      <c r="AM120" s="66" t="n">
        <f aca="false">AM112+AM119</f>
        <v>11413.533515</v>
      </c>
      <c r="AN120" s="66" t="n">
        <f aca="false">AN112+AN119</f>
        <v>11413.533515</v>
      </c>
      <c r="AO120" s="66" t="n">
        <f aca="false">AO112+AO119</f>
        <v>11413.533515</v>
      </c>
      <c r="AP120" s="66" t="n">
        <f aca="false">AP112+AP119</f>
        <v>11413.533515</v>
      </c>
      <c r="AQ120" s="66" t="n">
        <f aca="false">AQ112+AQ119</f>
        <v>11413.533515</v>
      </c>
      <c r="AR120" s="66" t="n">
        <f aca="false">AR112+AR119</f>
        <v>11413.533515</v>
      </c>
      <c r="AS120" s="66" t="n">
        <f aca="false">AS112+AS119</f>
        <v>11413.533515</v>
      </c>
      <c r="AT120" s="66" t="n">
        <f aca="false">AT112+AT119</f>
        <v>11413.533515</v>
      </c>
      <c r="AU120" s="66" t="n">
        <f aca="false">AU112+AU119</f>
        <v>11413.533515</v>
      </c>
      <c r="AV120" s="66" t="n">
        <f aca="false">AV112+AV119</f>
        <v>11413.533515</v>
      </c>
      <c r="AW120" s="66" t="n">
        <f aca="false">AW112+AW119</f>
        <v>11413.533515</v>
      </c>
      <c r="AX120" s="66" t="n">
        <f aca="false">AX112+AX119</f>
        <v>11413.533515</v>
      </c>
      <c r="AY120" s="66" t="n">
        <f aca="false">AY112+AY119</f>
        <v>11755.93952045</v>
      </c>
      <c r="AZ120" s="66" t="n">
        <f aca="false">AZ112+AZ119</f>
        <v>11755.93952045</v>
      </c>
      <c r="BA120" s="66" t="n">
        <f aca="false">BA112+BA119</f>
        <v>11755.93952045</v>
      </c>
      <c r="BB120" s="66" t="n">
        <f aca="false">BB112+BB119</f>
        <v>11755.93952045</v>
      </c>
      <c r="BC120" s="66" t="n">
        <f aca="false">BC112+BC119</f>
        <v>11755.93952045</v>
      </c>
      <c r="BD120" s="66" t="n">
        <f aca="false">BD112+BD119</f>
        <v>11755.93952045</v>
      </c>
      <c r="BE120" s="66" t="n">
        <f aca="false">BE112+BE119</f>
        <v>11755.93952045</v>
      </c>
      <c r="BF120" s="66" t="n">
        <f aca="false">BF112+BF119</f>
        <v>11755.93952045</v>
      </c>
      <c r="BG120" s="66" t="n">
        <f aca="false">BG112+BG119</f>
        <v>11755.93952045</v>
      </c>
      <c r="BH120" s="66" t="n">
        <f aca="false">BH112+BH119</f>
        <v>11755.93952045</v>
      </c>
      <c r="BI120" s="66" t="n">
        <f aca="false">BI112+BI119</f>
        <v>11755.93952045</v>
      </c>
      <c r="BJ120" s="66" t="n">
        <f aca="false">BJ112+BJ119</f>
        <v>11755.93952045</v>
      </c>
    </row>
    <row r="122" customFormat="false" ht="15.75" hidden="false" customHeight="true" outlineLevel="0" collapsed="false">
      <c r="A122" s="7" t="s">
        <v>420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customFormat="false" ht="15" hidden="false" customHeight="false" outlineLevel="0" collapsed="false">
      <c r="A123" s="4" t="s">
        <v>79</v>
      </c>
      <c r="C123" s="71" t="n">
        <f aca="false">C120+C138</f>
        <v>5704.90226337449</v>
      </c>
      <c r="D123" s="71" t="n">
        <f aca="false">D120+D138</f>
        <v>5704.00205761317</v>
      </c>
      <c r="E123" s="71" t="n">
        <f aca="false">E120+E138</f>
        <v>5703.10185185185</v>
      </c>
      <c r="F123" s="71" t="n">
        <f aca="false">F120+F138</f>
        <v>5702.20164609053</v>
      </c>
      <c r="G123" s="71" t="n">
        <f aca="false">G120+G138</f>
        <v>5701.30144032922</v>
      </c>
      <c r="H123" s="71" t="n">
        <f aca="false">H120+H138</f>
        <v>5700.4012345679</v>
      </c>
      <c r="I123" s="71" t="n">
        <f aca="false">I120+I138</f>
        <v>5699.50102880658</v>
      </c>
      <c r="J123" s="71" t="n">
        <f aca="false">J120+J138</f>
        <v>5698.60082304527</v>
      </c>
      <c r="K123" s="71" t="n">
        <f aca="false">K120+K138</f>
        <v>5697.70061728395</v>
      </c>
      <c r="L123" s="71" t="n">
        <f aca="false">L120+L138</f>
        <v>5696.80041152263</v>
      </c>
      <c r="M123" s="71" t="n">
        <f aca="false">M120+M138</f>
        <v>5695.90020576131</v>
      </c>
      <c r="N123" s="71" t="n">
        <f aca="false">N120+N138</f>
        <v>5695</v>
      </c>
      <c r="O123" s="71" t="n">
        <f aca="false">O120+O138</f>
        <v>6007.42278806584</v>
      </c>
      <c r="P123" s="71" t="n">
        <f aca="false">P120+P138</f>
        <v>6006.49557613168</v>
      </c>
      <c r="Q123" s="71" t="n">
        <f aca="false">Q120+Q138</f>
        <v>6005.56836419753</v>
      </c>
      <c r="R123" s="71" t="n">
        <f aca="false">R120+R138</f>
        <v>6004.64115226337</v>
      </c>
      <c r="S123" s="71" t="n">
        <f aca="false">S120+S138</f>
        <v>6003.71394032921</v>
      </c>
      <c r="T123" s="71" t="n">
        <f aca="false">T120+T138</f>
        <v>6002.78672839506</v>
      </c>
      <c r="U123" s="71" t="n">
        <f aca="false">U120+U138</f>
        <v>6001.8595164609</v>
      </c>
      <c r="V123" s="71" t="n">
        <f aca="false">V120+V138</f>
        <v>6000.93230452675</v>
      </c>
      <c r="W123" s="71" t="n">
        <f aca="false">W120+W138</f>
        <v>6000.00509259259</v>
      </c>
      <c r="X123" s="71" t="n">
        <f aca="false">X120+X138</f>
        <v>5999.07788065843</v>
      </c>
      <c r="Y123" s="71" t="n">
        <f aca="false">Y120+Y138</f>
        <v>5998.15066872427</v>
      </c>
      <c r="Z123" s="71" t="n">
        <f aca="false">Z120+Z138</f>
        <v>5997.22345679012</v>
      </c>
      <c r="AA123" s="71" t="n">
        <f aca="false">AA120+AA138</f>
        <v>6319.01892849794</v>
      </c>
      <c r="AB123" s="71" t="n">
        <f aca="false">AB120+AB138</f>
        <v>6318.06390020576</v>
      </c>
      <c r="AC123" s="71" t="n">
        <f aca="false">AC120+AC138</f>
        <v>6317.10887191358</v>
      </c>
      <c r="AD123" s="71" t="n">
        <f aca="false">AD120+AD138</f>
        <v>6316.15384362139</v>
      </c>
      <c r="AE123" s="71" t="n">
        <f aca="false">AE120+AE138</f>
        <v>6315.19881532921</v>
      </c>
      <c r="AF123" s="71" t="n">
        <f aca="false">AF120+AF138</f>
        <v>6314.24378703703</v>
      </c>
      <c r="AG123" s="71" t="n">
        <f aca="false">AG120+AG138</f>
        <v>6313.28875874485</v>
      </c>
      <c r="AH123" s="71" t="n">
        <f aca="false">AH120+AH138</f>
        <v>6312.33373045267</v>
      </c>
      <c r="AI123" s="71" t="n">
        <f aca="false">AI120+AI138</f>
        <v>6311.37870216049</v>
      </c>
      <c r="AJ123" s="71" t="n">
        <f aca="false">AJ120+AJ138</f>
        <v>6310.42367386831</v>
      </c>
      <c r="AK123" s="71" t="n">
        <f aca="false">AK120+AK138</f>
        <v>6309.46864557613</v>
      </c>
      <c r="AL123" s="71" t="n">
        <f aca="false">AL120+AL138</f>
        <v>6308.51361728394</v>
      </c>
      <c r="AM123" s="71" t="n">
        <f aca="false">AM120+AM138</f>
        <v>6639.962953143</v>
      </c>
      <c r="AN123" s="71" t="n">
        <f aca="false">AN120+AN138</f>
        <v>6638.97927400205</v>
      </c>
      <c r="AO123" s="71" t="n">
        <f aca="false">AO120+AO138</f>
        <v>6637.9955948611</v>
      </c>
      <c r="AP123" s="71" t="n">
        <f aca="false">AP120+AP138</f>
        <v>6637.01191572016</v>
      </c>
      <c r="AQ123" s="71" t="n">
        <f aca="false">AQ120+AQ138</f>
        <v>6636.02823657921</v>
      </c>
      <c r="AR123" s="71" t="n">
        <f aca="false">AR120+AR138</f>
        <v>6635.04455743826</v>
      </c>
      <c r="AS123" s="71" t="n">
        <f aca="false">AS120+AS138</f>
        <v>6634.06087829732</v>
      </c>
      <c r="AT123" s="71" t="n">
        <f aca="false">AT120+AT138</f>
        <v>6633.07719915637</v>
      </c>
      <c r="AU123" s="71" t="n">
        <f aca="false">AU120+AU138</f>
        <v>6632.09352001542</v>
      </c>
      <c r="AV123" s="71" t="n">
        <f aca="false">AV120+AV138</f>
        <v>6631.10984087448</v>
      </c>
      <c r="AW123" s="71" t="n">
        <f aca="false">AW120+AW138</f>
        <v>6630.12616173353</v>
      </c>
      <c r="AX123" s="71" t="n">
        <f aca="false">AX120+AX138</f>
        <v>6629.14248259258</v>
      </c>
      <c r="AY123" s="71" t="n">
        <f aca="false">AY120+AY138</f>
        <v>6970.53529852741</v>
      </c>
      <c r="AZ123" s="71" t="n">
        <f aca="false">AZ120+AZ138</f>
        <v>6969.52210901224</v>
      </c>
      <c r="BA123" s="71" t="n">
        <f aca="false">BA120+BA138</f>
        <v>6968.50891949706</v>
      </c>
      <c r="BB123" s="71" t="n">
        <f aca="false">BB120+BB138</f>
        <v>6967.49572998189</v>
      </c>
      <c r="BC123" s="71" t="n">
        <f aca="false">BC120+BC138</f>
        <v>6966.48254046671</v>
      </c>
      <c r="BD123" s="71" t="n">
        <f aca="false">BD120+BD138</f>
        <v>6965.46935095154</v>
      </c>
      <c r="BE123" s="71" t="n">
        <f aca="false">BE120+BE138</f>
        <v>6964.45616143636</v>
      </c>
      <c r="BF123" s="71" t="n">
        <f aca="false">BF120+BF138</f>
        <v>6963.44297192119</v>
      </c>
      <c r="BG123" s="71" t="n">
        <f aca="false">BG120+BG138</f>
        <v>6962.42978240601</v>
      </c>
      <c r="BH123" s="71" t="n">
        <f aca="false">BH120+BH138</f>
        <v>6961.41659289084</v>
      </c>
      <c r="BI123" s="71" t="n">
        <f aca="false">BI120+BI138</f>
        <v>6960.40340337566</v>
      </c>
      <c r="BJ123" s="71" t="n">
        <f aca="false">BJ120+BJ138</f>
        <v>6959.39021386049</v>
      </c>
    </row>
    <row r="124" customFormat="false" ht="15" hidden="false" customHeight="false" outlineLevel="0" collapsed="false">
      <c r="A124" s="6" t="s">
        <v>421</v>
      </c>
      <c r="C124" s="65" t="n">
        <f aca="false">-(C143+C144)*Inputs!$C$36/12</f>
        <v>-6500</v>
      </c>
      <c r="D124" s="65" t="n">
        <f aca="false">-(D143+D144)*Inputs!$C$36/12</f>
        <v>-6494.12391180629</v>
      </c>
      <c r="E124" s="65" t="n">
        <f aca="false">-(E143+E144)*Inputs!$C$36/12</f>
        <v>-6488.21599480153</v>
      </c>
      <c r="F124" s="65" t="n">
        <f aca="false">-(F143+F144)*Inputs!$C$36/12</f>
        <v>-6482.27607657966</v>
      </c>
      <c r="G124" s="65" t="n">
        <f aca="false">-(G143+G144)*Inputs!$C$36/12</f>
        <v>-6476.30398380076</v>
      </c>
      <c r="H124" s="65" t="n">
        <f aca="false">-(H143+H144)*Inputs!$C$36/12</f>
        <v>-6470.29954218597</v>
      </c>
      <c r="I124" s="65" t="n">
        <f aca="false">-(I143+I144)*Inputs!$C$36/12</f>
        <v>-6464.26257651244</v>
      </c>
      <c r="J124" s="65" t="n">
        <f aca="false">-(J143+J144)*Inputs!$C$36/12</f>
        <v>-6458.19291060817</v>
      </c>
      <c r="K124" s="65" t="n">
        <f aca="false">-(K143+K144)*Inputs!$C$36/12</f>
        <v>-6452.09036734692</v>
      </c>
      <c r="L124" s="65" t="n">
        <f aca="false">-(L143+L144)*Inputs!$C$36/12</f>
        <v>-6445.95476864301</v>
      </c>
      <c r="M124" s="65" t="n">
        <f aca="false">-(M143+M144)*Inputs!$C$36/12</f>
        <v>-6439.78593544611</v>
      </c>
      <c r="N124" s="65" t="n">
        <f aca="false">-(N143+N144)*Inputs!$C$36/12</f>
        <v>-6433.58368773607</v>
      </c>
      <c r="O124" s="65" t="n">
        <f aca="false">-(O143+O144)*Inputs!$C$36/12</f>
        <v>-6427.3478445176</v>
      </c>
      <c r="P124" s="65" t="n">
        <f aca="false">-(P143+P144)*Inputs!$C$36/12</f>
        <v>-6421.07822381503</v>
      </c>
      <c r="Q124" s="65" t="n">
        <f aca="false">-(Q143+Q144)*Inputs!$C$36/12</f>
        <v>-6414.77464266698</v>
      </c>
      <c r="R124" s="65" t="n">
        <f aca="false">-(R143+R144)*Inputs!$C$36/12</f>
        <v>-6408.43691712105</v>
      </c>
      <c r="S124" s="65" t="n">
        <f aca="false">-(S143+S144)*Inputs!$C$36/12</f>
        <v>-6402.06486222842</v>
      </c>
      <c r="T124" s="65" t="n">
        <f aca="false">-(T143+T144)*Inputs!$C$36/12</f>
        <v>-6395.65829203844</v>
      </c>
      <c r="U124" s="65" t="n">
        <f aca="false">-(U143+U144)*Inputs!$C$36/12</f>
        <v>-6389.21701959328</v>
      </c>
      <c r="V124" s="65" t="n">
        <f aca="false">-(V143+V144)*Inputs!$C$36/12</f>
        <v>-6382.74085692237</v>
      </c>
      <c r="W124" s="65" t="n">
        <f aca="false">-(W143+W144)*Inputs!$C$36/12</f>
        <v>-6376.22961503699</v>
      </c>
      <c r="X124" s="65" t="n">
        <f aca="false">-(X143+X144)*Inputs!$C$36/12</f>
        <v>-6369.68310392473</v>
      </c>
      <c r="Y124" s="65" t="n">
        <f aca="false">-(Y143+Y144)*Inputs!$C$36/12</f>
        <v>-6363.10113254394</v>
      </c>
      <c r="Z124" s="65" t="n">
        <f aca="false">-(Z143+Z144)*Inputs!$C$36/12</f>
        <v>-6356.48350881818</v>
      </c>
      <c r="AA124" s="65" t="n">
        <f aca="false">-(AA143+AA144)*Inputs!$C$36/12</f>
        <v>-6349.83003963057</v>
      </c>
      <c r="AB124" s="65" t="n">
        <f aca="false">-(AB143+AB144)*Inputs!$C$36/12</f>
        <v>-6343.14053081819</v>
      </c>
      <c r="AC124" s="65" t="n">
        <f aca="false">-(AC143+AC144)*Inputs!$C$36/12</f>
        <v>-6336.41478716641</v>
      </c>
      <c r="AD124" s="65" t="n">
        <f aca="false">-(AD143+AD144)*Inputs!$C$36/12</f>
        <v>-6329.65261240319</v>
      </c>
      <c r="AE124" s="65" t="n">
        <f aca="false">-(AE143+AE144)*Inputs!$C$36/12</f>
        <v>-6322.85380919333</v>
      </c>
      <c r="AF124" s="65" t="n">
        <f aca="false">-(AF143+AF144)*Inputs!$C$36/12</f>
        <v>-6316.01817913275</v>
      </c>
      <c r="AG124" s="65" t="n">
        <f aca="false">-(AG143+AG144)*Inputs!$C$36/12</f>
        <v>-6309.14552274268</v>
      </c>
      <c r="AH124" s="65" t="n">
        <f aca="false">-(AH143+AH144)*Inputs!$C$36/12</f>
        <v>-6302.23563946383</v>
      </c>
      <c r="AI124" s="65" t="n">
        <f aca="false">-(AI143+AI144)*Inputs!$C$36/12</f>
        <v>-6295.28832765055</v>
      </c>
      <c r="AJ124" s="65" t="n">
        <f aca="false">-(AJ143+AJ144)*Inputs!$C$36/12</f>
        <v>-6288.30338456494</v>
      </c>
      <c r="AK124" s="65" t="n">
        <f aca="false">-(AK143+AK144)*Inputs!$C$36/12</f>
        <v>-6281.28060637096</v>
      </c>
      <c r="AL124" s="65" t="n">
        <f aca="false">-(AL143+AL144)*Inputs!$C$36/12</f>
        <v>-6274.21978812843</v>
      </c>
      <c r="AM124" s="65" t="n">
        <f aca="false">-(AM143+AM144)*Inputs!$C$36/12</f>
        <v>-6267.12072378708</v>
      </c>
      <c r="AN124" s="65" t="n">
        <f aca="false">-(AN143+AN144)*Inputs!$C$36/12</f>
        <v>-6259.98320618055</v>
      </c>
      <c r="AO124" s="65" t="n">
        <f aca="false">-(AO143+AO144)*Inputs!$C$36/12</f>
        <v>-6252.80702702032</v>
      </c>
      <c r="AP124" s="65" t="n">
        <f aca="false">-(AP143+AP144)*Inputs!$C$36/12</f>
        <v>-6245.59197688964</v>
      </c>
      <c r="AQ124" s="65" t="n">
        <f aca="false">-(AQ143+AQ144)*Inputs!$C$36/12</f>
        <v>-6238.33784523742</v>
      </c>
      <c r="AR124" s="65" t="n">
        <f aca="false">-(AR143+AR144)*Inputs!$C$36/12</f>
        <v>-6231.04442037208</v>
      </c>
      <c r="AS124" s="65" t="n">
        <f aca="false">-(AS143+AS144)*Inputs!$C$36/12</f>
        <v>-6223.71148945538</v>
      </c>
      <c r="AT124" s="65" t="n">
        <f aca="false">-(AT143+AT144)*Inputs!$C$36/12</f>
        <v>-6216.33883849622</v>
      </c>
      <c r="AU124" s="65" t="n">
        <f aca="false">-(AU143+AU144)*Inputs!$C$36/12</f>
        <v>-6208.92625234437</v>
      </c>
      <c r="AV124" s="65" t="n">
        <f aca="false">-(AV143+AV144)*Inputs!$C$36/12</f>
        <v>-6201.47351468419</v>
      </c>
      <c r="AW124" s="65" t="n">
        <f aca="false">-(AW143+AW144)*Inputs!$C$36/12</f>
        <v>-6193.98040802835</v>
      </c>
      <c r="AX124" s="65" t="n">
        <f aca="false">-(AX143+AX144)*Inputs!$C$36/12</f>
        <v>-6186.44671371147</v>
      </c>
      <c r="AY124" s="65" t="n">
        <f aca="false">-(AY143+AY144)*Inputs!$C$36/12</f>
        <v>-6178.87221188369</v>
      </c>
      <c r="AZ124" s="65" t="n">
        <f aca="false">-(AZ143+AZ144)*Inputs!$C$36/12</f>
        <v>-6171.25668150435</v>
      </c>
      <c r="BA124" s="65" t="n">
        <f aca="false">-(BA143+BA144)*Inputs!$C$36/12</f>
        <v>-6163.59990033546</v>
      </c>
      <c r="BB124" s="65" t="n">
        <f aca="false">-(BB143+BB144)*Inputs!$C$36/12</f>
        <v>-6155.90164493523</v>
      </c>
      <c r="BC124" s="65" t="n">
        <f aca="false">-(BC143+BC144)*Inputs!$C$36/12</f>
        <v>-6148.16169065159</v>
      </c>
      <c r="BD124" s="65" t="n">
        <f aca="false">-(BD143+BD144)*Inputs!$C$36/12</f>
        <v>-6140.37981161558</v>
      </c>
      <c r="BE124" s="65" t="n">
        <f aca="false">-(BE143+BE144)*Inputs!$C$36/12</f>
        <v>-6132.55578073479</v>
      </c>
      <c r="BF124" s="65" t="n">
        <f aca="false">-(BF143+BF144)*Inputs!$C$36/12</f>
        <v>-6124.68936968672</v>
      </c>
      <c r="BG124" s="65" t="n">
        <f aca="false">-(BG143+BG144)*Inputs!$C$36/12</f>
        <v>-6116.78034891215</v>
      </c>
      <c r="BH124" s="65" t="n">
        <f aca="false">-(BH143+BH144)*Inputs!$C$36/12</f>
        <v>-6108.82848760838</v>
      </c>
      <c r="BI124" s="65" t="n">
        <f aca="false">-(BI143+BI144)*Inputs!$C$36/12</f>
        <v>-6100.83355372255</v>
      </c>
      <c r="BJ124" s="65" t="n">
        <f aca="false">-(BJ143+BJ144)*Inputs!$C$36/12</f>
        <v>-6092.79531394484</v>
      </c>
    </row>
    <row r="125" customFormat="false" ht="15" hidden="false" customHeight="false" outlineLevel="0" collapsed="false">
      <c r="A125" s="108" t="s">
        <v>81</v>
      </c>
      <c r="C125" s="66" t="n">
        <f aca="false">C123+C124</f>
        <v>-795.097736625515</v>
      </c>
      <c r="D125" s="66" t="n">
        <f aca="false">D123+D124</f>
        <v>-790.121854193122</v>
      </c>
      <c r="E125" s="66" t="n">
        <f aca="false">E123+E124</f>
        <v>-785.114142949681</v>
      </c>
      <c r="F125" s="66" t="n">
        <f aca="false">F123+F124</f>
        <v>-780.07443048913</v>
      </c>
      <c r="G125" s="66" t="n">
        <f aca="false">G123+G124</f>
        <v>-775.002543471544</v>
      </c>
      <c r="H125" s="66" t="n">
        <f aca="false">H123+H124</f>
        <v>-769.898307618073</v>
      </c>
      <c r="I125" s="66" t="n">
        <f aca="false">I123+I124</f>
        <v>-764.761547705854</v>
      </c>
      <c r="J125" s="66" t="n">
        <f aca="false">J123+J124</f>
        <v>-759.592087562905</v>
      </c>
      <c r="K125" s="66" t="n">
        <f aca="false">K123+K124</f>
        <v>-754.389750062974</v>
      </c>
      <c r="L125" s="66" t="n">
        <f aca="false">L123+L124</f>
        <v>-749.154357120377</v>
      </c>
      <c r="M125" s="66" t="n">
        <f aca="false">M123+M124</f>
        <v>-743.8857296848</v>
      </c>
      <c r="N125" s="66" t="n">
        <f aca="false">N123+N124</f>
        <v>-738.583687736074</v>
      </c>
      <c r="O125" s="66" t="n">
        <f aca="false">O123+O124</f>
        <v>-419.925056451759</v>
      </c>
      <c r="P125" s="66" t="n">
        <f aca="false">P123+P124</f>
        <v>-414.582647683344</v>
      </c>
      <c r="Q125" s="66" t="n">
        <f aca="false">Q123+Q124</f>
        <v>-409.206278469456</v>
      </c>
      <c r="R125" s="66" t="n">
        <f aca="false">R123+R124</f>
        <v>-403.795764857683</v>
      </c>
      <c r="S125" s="66" t="n">
        <f aca="false">S123+S124</f>
        <v>-398.350921899203</v>
      </c>
      <c r="T125" s="66" t="n">
        <f aca="false">T123+T124</f>
        <v>-392.871563643385</v>
      </c>
      <c r="U125" s="66" t="n">
        <f aca="false">U123+U124</f>
        <v>-387.357503132375</v>
      </c>
      <c r="V125" s="66" t="n">
        <f aca="false">V123+V124</f>
        <v>-381.808552395621</v>
      </c>
      <c r="W125" s="66" t="n">
        <f aca="false">W123+W124</f>
        <v>-376.224522444397</v>
      </c>
      <c r="X125" s="66" t="n">
        <f aca="false">X123+X124</f>
        <v>-370.605223266295</v>
      </c>
      <c r="Y125" s="66" t="n">
        <f aca="false">Y123+Y124</f>
        <v>-364.950463819669</v>
      </c>
      <c r="Z125" s="66" t="n">
        <f aca="false">Z123+Z124</f>
        <v>-359.260052028061</v>
      </c>
      <c r="AA125" s="66" t="n">
        <f aca="false">AA123+AA124</f>
        <v>-30.8111111326316</v>
      </c>
      <c r="AB125" s="66" t="n">
        <f aca="false">AB123+AB124</f>
        <v>-25.076630612436</v>
      </c>
      <c r="AC125" s="66" t="n">
        <f aca="false">AC123+AC124</f>
        <v>-19.3059152528394</v>
      </c>
      <c r="AD125" s="66" t="n">
        <f aca="false">AD123+AD124</f>
        <v>-13.4987687817975</v>
      </c>
      <c r="AE125" s="66" t="n">
        <f aca="false">AE123+AE124</f>
        <v>-7.65499386412012</v>
      </c>
      <c r="AF125" s="66" t="n">
        <f aca="false">AF123+AF124</f>
        <v>-1.77439209572185</v>
      </c>
      <c r="AG125" s="66" t="n">
        <f aca="false">AG123+AG124</f>
        <v>4.14323600216994</v>
      </c>
      <c r="AH125" s="66" t="n">
        <f aca="false">AH123+AH124</f>
        <v>10.0980909888422</v>
      </c>
      <c r="AI125" s="66" t="n">
        <f aca="false">AI123+AI124</f>
        <v>16.0903745099413</v>
      </c>
      <c r="AJ125" s="66" t="n">
        <f aca="false">AJ123+AJ124</f>
        <v>22.1202893033624</v>
      </c>
      <c r="AK125" s="66" t="n">
        <f aca="false">AK123+AK124</f>
        <v>28.1880392051635</v>
      </c>
      <c r="AL125" s="66" t="n">
        <f aca="false">AL123+AL124</f>
        <v>34.2938291555147</v>
      </c>
      <c r="AM125" s="66" t="n">
        <f aca="false">AM123+AM124</f>
        <v>372.842229355915</v>
      </c>
      <c r="AN125" s="66" t="n">
        <f aca="false">AN123+AN124</f>
        <v>378.996067821496</v>
      </c>
      <c r="AO125" s="66" t="n">
        <f aca="false">AO123+AO124</f>
        <v>385.188567840782</v>
      </c>
      <c r="AP125" s="66" t="n">
        <f aca="false">AP123+AP124</f>
        <v>391.419938830517</v>
      </c>
      <c r="AQ125" s="66" t="n">
        <f aca="false">AQ123+AQ124</f>
        <v>397.690391341794</v>
      </c>
      <c r="AR125" s="66" t="n">
        <f aca="false">AR123+AR124</f>
        <v>404.000137066188</v>
      </c>
      <c r="AS125" s="66" t="n">
        <f aca="false">AS123+AS124</f>
        <v>410.349388841934</v>
      </c>
      <c r="AT125" s="66" t="n">
        <f aca="false">AT123+AT124</f>
        <v>416.738360660146</v>
      </c>
      <c r="AU125" s="66" t="n">
        <f aca="false">AU123+AU124</f>
        <v>423.167267671054</v>
      </c>
      <c r="AV125" s="66" t="n">
        <f aca="false">AV123+AV124</f>
        <v>429.636326190284</v>
      </c>
      <c r="AW125" s="66" t="n">
        <f aca="false">AW123+AW124</f>
        <v>436.145753705176</v>
      </c>
      <c r="AX125" s="66" t="n">
        <f aca="false">AX123+AX124</f>
        <v>442.695768881117</v>
      </c>
      <c r="AY125" s="66" t="n">
        <f aca="false">AY123+AY124</f>
        <v>791.663086643718</v>
      </c>
      <c r="AZ125" s="66" t="n">
        <f aca="false">AZ123+AZ124</f>
        <v>798.265427507883</v>
      </c>
      <c r="BA125" s="66" t="n">
        <f aca="false">BA123+BA124</f>
        <v>804.909019161602</v>
      </c>
      <c r="BB125" s="66" t="n">
        <f aca="false">BB123+BB124</f>
        <v>811.594085046652</v>
      </c>
      <c r="BC125" s="66" t="n">
        <f aca="false">BC123+BC124</f>
        <v>818.32084981512</v>
      </c>
      <c r="BD125" s="66" t="n">
        <f aca="false">BD123+BD124</f>
        <v>825.089539335959</v>
      </c>
      <c r="BE125" s="66" t="n">
        <f aca="false">BE123+BE124</f>
        <v>831.900380701574</v>
      </c>
      <c r="BF125" s="66" t="n">
        <f aca="false">BF123+BF124</f>
        <v>838.753602234462</v>
      </c>
      <c r="BG125" s="66" t="n">
        <f aca="false">BG123+BG124</f>
        <v>845.64943349386</v>
      </c>
      <c r="BH125" s="66" t="n">
        <f aca="false">BH123+BH124</f>
        <v>852.588105282454</v>
      </c>
      <c r="BI125" s="66" t="n">
        <f aca="false">BI123+BI124</f>
        <v>859.56984965311</v>
      </c>
      <c r="BJ125" s="66" t="n">
        <f aca="false">BJ123+BJ124</f>
        <v>866.594899915646</v>
      </c>
    </row>
    <row r="126" customFormat="false" ht="15" hidden="false" customHeight="false" outlineLevel="0" collapsed="false">
      <c r="A126" s="112" t="s">
        <v>422</v>
      </c>
      <c r="C126" s="65" t="n">
        <f aca="false">C125</f>
        <v>-795.097736625515</v>
      </c>
      <c r="D126" s="65" t="n">
        <f aca="false">C126+D125</f>
        <v>-1585.21959081864</v>
      </c>
      <c r="E126" s="65" t="n">
        <f aca="false">D126+E125</f>
        <v>-2370.33373376832</v>
      </c>
      <c r="F126" s="65" t="n">
        <f aca="false">E126+F125</f>
        <v>-3150.40816425745</v>
      </c>
      <c r="G126" s="65" t="n">
        <f aca="false">F126+G125</f>
        <v>-3925.41070772899</v>
      </c>
      <c r="H126" s="65" t="n">
        <f aca="false">G126+H125</f>
        <v>-4695.30901534706</v>
      </c>
      <c r="I126" s="65" t="n">
        <f aca="false">H126+I125</f>
        <v>-5460.07056305292</v>
      </c>
      <c r="J126" s="65" t="n">
        <f aca="false">I126+J125</f>
        <v>-6219.66265061582</v>
      </c>
      <c r="K126" s="65" t="n">
        <f aca="false">J126+K125</f>
        <v>-6974.0524006788</v>
      </c>
      <c r="L126" s="65" t="n">
        <f aca="false">K126+L125</f>
        <v>-7723.20675779918</v>
      </c>
      <c r="M126" s="65" t="n">
        <f aca="false">L126+M125</f>
        <v>-8467.09248748398</v>
      </c>
      <c r="N126" s="65" t="n">
        <f aca="false">M126+N125</f>
        <v>-9205.67617522005</v>
      </c>
      <c r="O126" s="65" t="n">
        <f aca="false">N126+O125</f>
        <v>-9625.60123167181</v>
      </c>
      <c r="P126" s="65" t="n">
        <f aca="false">O126+P125</f>
        <v>-10040.1838793552</v>
      </c>
      <c r="Q126" s="65" t="n">
        <f aca="false">P126+Q125</f>
        <v>-10449.3901578246</v>
      </c>
      <c r="R126" s="65" t="n">
        <f aca="false">Q126+R125</f>
        <v>-10853.1859226823</v>
      </c>
      <c r="S126" s="65" t="n">
        <f aca="false">R126+S125</f>
        <v>-11251.5368445815</v>
      </c>
      <c r="T126" s="65" t="n">
        <f aca="false">S126+T125</f>
        <v>-11644.4084082249</v>
      </c>
      <c r="U126" s="65" t="n">
        <f aca="false">T126+U125</f>
        <v>-12031.7659113573</v>
      </c>
      <c r="V126" s="65" t="n">
        <f aca="false">U126+V125</f>
        <v>-12413.5744637529</v>
      </c>
      <c r="W126" s="65" t="n">
        <f aca="false">V126+W125</f>
        <v>-12789.7989861973</v>
      </c>
      <c r="X126" s="65" t="n">
        <f aca="false">W126+X125</f>
        <v>-13160.4042094636</v>
      </c>
      <c r="Y126" s="65" t="n">
        <f aca="false">X126+Y125</f>
        <v>-13525.3546732832</v>
      </c>
      <c r="Z126" s="65" t="n">
        <f aca="false">Y126+Z125</f>
        <v>-13884.6147253113</v>
      </c>
      <c r="AA126" s="65" t="n">
        <f aca="false">Z126+AA125</f>
        <v>-13915.4258364439</v>
      </c>
      <c r="AB126" s="65" t="n">
        <f aca="false">AA126+AB125</f>
        <v>-13940.5024670564</v>
      </c>
      <c r="AC126" s="65" t="n">
        <f aca="false">AB126+AC125</f>
        <v>-13959.8083823092</v>
      </c>
      <c r="AD126" s="65" t="n">
        <f aca="false">AC126+AD125</f>
        <v>-13973.307151091</v>
      </c>
      <c r="AE126" s="65" t="n">
        <f aca="false">AD126+AE125</f>
        <v>-13980.9621449551</v>
      </c>
      <c r="AF126" s="65" t="n">
        <f aca="false">AE126+AF125</f>
        <v>-13982.7365370508</v>
      </c>
      <c r="AG126" s="65" t="n">
        <f aca="false">AF126+AG125</f>
        <v>-13978.5933010487</v>
      </c>
      <c r="AH126" s="65" t="n">
        <f aca="false">AG126+AH125</f>
        <v>-13968.4952100598</v>
      </c>
      <c r="AI126" s="65" t="n">
        <f aca="false">AH126+AI125</f>
        <v>-13952.4048355499</v>
      </c>
      <c r="AJ126" s="65" t="n">
        <f aca="false">AI126+AJ125</f>
        <v>-13930.2845462465</v>
      </c>
      <c r="AK126" s="65" t="n">
        <f aca="false">AJ126+AK125</f>
        <v>-13902.0965070414</v>
      </c>
      <c r="AL126" s="65" t="n">
        <f aca="false">AK126+AL125</f>
        <v>-13867.8026778858</v>
      </c>
      <c r="AM126" s="65" t="n">
        <f aca="false">AL126+AM125</f>
        <v>-13494.9604485299</v>
      </c>
      <c r="AN126" s="65" t="n">
        <f aca="false">AM126+AN125</f>
        <v>-13115.9643807084</v>
      </c>
      <c r="AO126" s="65" t="n">
        <f aca="false">AN126+AO125</f>
        <v>-12730.7758128677</v>
      </c>
      <c r="AP126" s="65" t="n">
        <f aca="false">AO126+AP125</f>
        <v>-12339.3558740371</v>
      </c>
      <c r="AQ126" s="65" t="n">
        <f aca="false">AP126+AQ125</f>
        <v>-11941.6654826953</v>
      </c>
      <c r="AR126" s="65" t="n">
        <f aca="false">AQ126+AR125</f>
        <v>-11537.6653456292</v>
      </c>
      <c r="AS126" s="65" t="n">
        <f aca="false">AR126+AS125</f>
        <v>-11127.3159567872</v>
      </c>
      <c r="AT126" s="65" t="n">
        <f aca="false">AS126+AT125</f>
        <v>-10710.5775961271</v>
      </c>
      <c r="AU126" s="65" t="n">
        <f aca="false">AT126+AU125</f>
        <v>-10287.410328456</v>
      </c>
      <c r="AV126" s="65" t="n">
        <f aca="false">AU126+AV125</f>
        <v>-9857.77400226574</v>
      </c>
      <c r="AW126" s="65" t="n">
        <f aca="false">AV126+AW125</f>
        <v>-9421.62824856056</v>
      </c>
      <c r="AX126" s="65" t="n">
        <f aca="false">AW126+AX125</f>
        <v>-8978.93247967945</v>
      </c>
      <c r="AY126" s="65" t="n">
        <f aca="false">AX126+AY125</f>
        <v>-8187.26939303573</v>
      </c>
      <c r="AZ126" s="65" t="n">
        <f aca="false">AY126+AZ125</f>
        <v>-7389.00396552785</v>
      </c>
      <c r="BA126" s="65" t="n">
        <f aca="false">AZ126+BA125</f>
        <v>-6584.09494636624</v>
      </c>
      <c r="BB126" s="65" t="n">
        <f aca="false">BA126+BB125</f>
        <v>-5772.50086131959</v>
      </c>
      <c r="BC126" s="65" t="n">
        <f aca="false">BB126+BC125</f>
        <v>-4954.18001150447</v>
      </c>
      <c r="BD126" s="65" t="n">
        <f aca="false">BC126+BD125</f>
        <v>-4129.09047216851</v>
      </c>
      <c r="BE126" s="65" t="n">
        <f aca="false">BD126+BE125</f>
        <v>-3297.19009146694</v>
      </c>
      <c r="BF126" s="65" t="n">
        <f aca="false">BE126+BF125</f>
        <v>-2458.43648923248</v>
      </c>
      <c r="BG126" s="65" t="n">
        <f aca="false">BF126+BG125</f>
        <v>-1612.78705573862</v>
      </c>
      <c r="BH126" s="65" t="n">
        <f aca="false">BG126+BH125</f>
        <v>-760.198950456162</v>
      </c>
      <c r="BI126" s="65" t="n">
        <f aca="false">BH126+BI125</f>
        <v>99.3708991969479</v>
      </c>
      <c r="BJ126" s="65" t="n">
        <f aca="false">BI126+BJ125</f>
        <v>965.965799112594</v>
      </c>
    </row>
    <row r="127" customFormat="false" ht="15" hidden="false" customHeight="false" outlineLevel="0" collapsed="false">
      <c r="A127" s="112" t="s">
        <v>423</v>
      </c>
      <c r="C127" s="65" t="n">
        <f aca="false">MAX(0,C126)</f>
        <v>0</v>
      </c>
      <c r="D127" s="65" t="n">
        <f aca="false">MAX(C127,D126)</f>
        <v>0</v>
      </c>
      <c r="E127" s="65" t="n">
        <f aca="false">MAX(D127,E126)</f>
        <v>0</v>
      </c>
      <c r="F127" s="65" t="n">
        <f aca="false">MAX(E127,F126)</f>
        <v>0</v>
      </c>
      <c r="G127" s="65" t="n">
        <f aca="false">MAX(F127,G126)</f>
        <v>0</v>
      </c>
      <c r="H127" s="65" t="n">
        <f aca="false">MAX(G127,H126)</f>
        <v>0</v>
      </c>
      <c r="I127" s="65" t="n">
        <f aca="false">MAX(H127,I126)</f>
        <v>0</v>
      </c>
      <c r="J127" s="65" t="n">
        <f aca="false">MAX(I127,J126)</f>
        <v>0</v>
      </c>
      <c r="K127" s="65" t="n">
        <f aca="false">MAX(J127,K126)</f>
        <v>0</v>
      </c>
      <c r="L127" s="65" t="n">
        <f aca="false">MAX(K127,L126)</f>
        <v>0</v>
      </c>
      <c r="M127" s="65" t="n">
        <f aca="false">MAX(L127,M126)</f>
        <v>0</v>
      </c>
      <c r="N127" s="65" t="n">
        <f aca="false">MAX(M127,N126)</f>
        <v>0</v>
      </c>
      <c r="O127" s="65" t="n">
        <f aca="false">MAX(N127,O126)</f>
        <v>0</v>
      </c>
      <c r="P127" s="65" t="n">
        <f aca="false">MAX(O127,P126)</f>
        <v>0</v>
      </c>
      <c r="Q127" s="65" t="n">
        <f aca="false">MAX(P127,Q126)</f>
        <v>0</v>
      </c>
      <c r="R127" s="65" t="n">
        <f aca="false">MAX(Q127,R126)</f>
        <v>0</v>
      </c>
      <c r="S127" s="65" t="n">
        <f aca="false">MAX(R127,S126)</f>
        <v>0</v>
      </c>
      <c r="T127" s="65" t="n">
        <f aca="false">MAX(S127,T126)</f>
        <v>0</v>
      </c>
      <c r="U127" s="65" t="n">
        <f aca="false">MAX(T127,U126)</f>
        <v>0</v>
      </c>
      <c r="V127" s="65" t="n">
        <f aca="false">MAX(U127,V126)</f>
        <v>0</v>
      </c>
      <c r="W127" s="65" t="n">
        <f aca="false">MAX(V127,W126)</f>
        <v>0</v>
      </c>
      <c r="X127" s="65" t="n">
        <f aca="false">MAX(W127,X126)</f>
        <v>0</v>
      </c>
      <c r="Y127" s="65" t="n">
        <f aca="false">MAX(X127,Y126)</f>
        <v>0</v>
      </c>
      <c r="Z127" s="65" t="n">
        <f aca="false">MAX(Y127,Z126)</f>
        <v>0</v>
      </c>
      <c r="AA127" s="65" t="n">
        <f aca="false">MAX(Z127,AA126)</f>
        <v>0</v>
      </c>
      <c r="AB127" s="65" t="n">
        <f aca="false">MAX(AA127,AB126)</f>
        <v>0</v>
      </c>
      <c r="AC127" s="65" t="n">
        <f aca="false">MAX(AB127,AC126)</f>
        <v>0</v>
      </c>
      <c r="AD127" s="65" t="n">
        <f aca="false">MAX(AC127,AD126)</f>
        <v>0</v>
      </c>
      <c r="AE127" s="65" t="n">
        <f aca="false">MAX(AD127,AE126)</f>
        <v>0</v>
      </c>
      <c r="AF127" s="65" t="n">
        <f aca="false">MAX(AE127,AF126)</f>
        <v>0</v>
      </c>
      <c r="AG127" s="65" t="n">
        <f aca="false">MAX(AF127,AG126)</f>
        <v>0</v>
      </c>
      <c r="AH127" s="65" t="n">
        <f aca="false">MAX(AG127,AH126)</f>
        <v>0</v>
      </c>
      <c r="AI127" s="65" t="n">
        <f aca="false">MAX(AH127,AI126)</f>
        <v>0</v>
      </c>
      <c r="AJ127" s="65" t="n">
        <f aca="false">MAX(AI127,AJ126)</f>
        <v>0</v>
      </c>
      <c r="AK127" s="65" t="n">
        <f aca="false">MAX(AJ127,AK126)</f>
        <v>0</v>
      </c>
      <c r="AL127" s="65" t="n">
        <f aca="false">MAX(AK127,AL126)</f>
        <v>0</v>
      </c>
      <c r="AM127" s="65" t="n">
        <f aca="false">MAX(AL127,AM126)</f>
        <v>0</v>
      </c>
      <c r="AN127" s="65" t="n">
        <f aca="false">MAX(AM127,AN126)</f>
        <v>0</v>
      </c>
      <c r="AO127" s="65" t="n">
        <f aca="false">MAX(AN127,AO126)</f>
        <v>0</v>
      </c>
      <c r="AP127" s="65" t="n">
        <f aca="false">MAX(AO127,AP126)</f>
        <v>0</v>
      </c>
      <c r="AQ127" s="65" t="n">
        <f aca="false">MAX(AP127,AQ126)</f>
        <v>0</v>
      </c>
      <c r="AR127" s="65" t="n">
        <f aca="false">MAX(AQ127,AR126)</f>
        <v>0</v>
      </c>
      <c r="AS127" s="65" t="n">
        <f aca="false">MAX(AR127,AS126)</f>
        <v>0</v>
      </c>
      <c r="AT127" s="65" t="n">
        <f aca="false">MAX(AS127,AT126)</f>
        <v>0</v>
      </c>
      <c r="AU127" s="65" t="n">
        <f aca="false">MAX(AT127,AU126)</f>
        <v>0</v>
      </c>
      <c r="AV127" s="65" t="n">
        <f aca="false">MAX(AU127,AV126)</f>
        <v>0</v>
      </c>
      <c r="AW127" s="65" t="n">
        <f aca="false">MAX(AV127,AW126)</f>
        <v>0</v>
      </c>
      <c r="AX127" s="65" t="n">
        <f aca="false">MAX(AW127,AX126)</f>
        <v>0</v>
      </c>
      <c r="AY127" s="65" t="n">
        <f aca="false">MAX(AX127,AY126)</f>
        <v>0</v>
      </c>
      <c r="AZ127" s="65" t="n">
        <f aca="false">MAX(AY127,AZ126)</f>
        <v>0</v>
      </c>
      <c r="BA127" s="65" t="n">
        <f aca="false">MAX(AZ127,BA126)</f>
        <v>0</v>
      </c>
      <c r="BB127" s="65" t="n">
        <f aca="false">MAX(BA127,BB126)</f>
        <v>0</v>
      </c>
      <c r="BC127" s="65" t="n">
        <f aca="false">MAX(BB127,BC126)</f>
        <v>0</v>
      </c>
      <c r="BD127" s="65" t="n">
        <f aca="false">MAX(BC127,BD126)</f>
        <v>0</v>
      </c>
      <c r="BE127" s="65" t="n">
        <f aca="false">MAX(BD127,BE126)</f>
        <v>0</v>
      </c>
      <c r="BF127" s="65" t="n">
        <f aca="false">MAX(BE127,BF126)</f>
        <v>0</v>
      </c>
      <c r="BG127" s="65" t="n">
        <f aca="false">MAX(BF127,BG126)</f>
        <v>0</v>
      </c>
      <c r="BH127" s="65" t="n">
        <f aca="false">MAX(BG127,BH126)</f>
        <v>0</v>
      </c>
      <c r="BI127" s="65" t="n">
        <f aca="false">MAX(BH127,BI126)</f>
        <v>99.3708991969479</v>
      </c>
      <c r="BJ127" s="65" t="n">
        <f aca="false">MAX(BI127,BJ126)</f>
        <v>965.965799112594</v>
      </c>
    </row>
    <row r="128" customFormat="false" ht="15" hidden="false" customHeight="false" outlineLevel="0" collapsed="false">
      <c r="A128" s="6" t="s">
        <v>82</v>
      </c>
      <c r="C128" s="65" t="n">
        <f aca="false">-C127*Inputs!$C$46</f>
        <v>-0</v>
      </c>
      <c r="D128" s="65" t="n">
        <f aca="false">-(D127-C127)*Inputs!$C$46</f>
        <v>-0</v>
      </c>
      <c r="E128" s="65" t="n">
        <f aca="false">-(E127-D127)*Inputs!$C$46</f>
        <v>-0</v>
      </c>
      <c r="F128" s="65" t="n">
        <f aca="false">-(F127-E127)*Inputs!$C$46</f>
        <v>-0</v>
      </c>
      <c r="G128" s="65" t="n">
        <f aca="false">-(G127-F127)*Inputs!$C$46</f>
        <v>-0</v>
      </c>
      <c r="H128" s="65" t="n">
        <f aca="false">-(H127-G127)*Inputs!$C$46</f>
        <v>-0</v>
      </c>
      <c r="I128" s="65" t="n">
        <f aca="false">-(I127-H127)*Inputs!$C$46</f>
        <v>-0</v>
      </c>
      <c r="J128" s="65" t="n">
        <f aca="false">-(J127-I127)*Inputs!$C$46</f>
        <v>-0</v>
      </c>
      <c r="K128" s="65" t="n">
        <f aca="false">-(K127-J127)*Inputs!$C$46</f>
        <v>-0</v>
      </c>
      <c r="L128" s="65" t="n">
        <f aca="false">-(L127-K127)*Inputs!$C$46</f>
        <v>-0</v>
      </c>
      <c r="M128" s="65" t="n">
        <f aca="false">-(M127-L127)*Inputs!$C$46</f>
        <v>-0</v>
      </c>
      <c r="N128" s="65" t="n">
        <f aca="false">-(N127-M127)*Inputs!$C$46</f>
        <v>-0</v>
      </c>
      <c r="O128" s="65" t="n">
        <f aca="false">-(O127-N127)*Inputs!$C$46</f>
        <v>-0</v>
      </c>
      <c r="P128" s="65" t="n">
        <f aca="false">-(P127-O127)*Inputs!$C$46</f>
        <v>-0</v>
      </c>
      <c r="Q128" s="65" t="n">
        <f aca="false">-(Q127-P127)*Inputs!$C$46</f>
        <v>-0</v>
      </c>
      <c r="R128" s="65" t="n">
        <f aca="false">-(R127-Q127)*Inputs!$C$46</f>
        <v>-0</v>
      </c>
      <c r="S128" s="65" t="n">
        <f aca="false">-(S127-R127)*Inputs!$C$46</f>
        <v>-0</v>
      </c>
      <c r="T128" s="65" t="n">
        <f aca="false">-(T127-S127)*Inputs!$C$46</f>
        <v>-0</v>
      </c>
      <c r="U128" s="65" t="n">
        <f aca="false">-(U127-T127)*Inputs!$C$46</f>
        <v>-0</v>
      </c>
      <c r="V128" s="65" t="n">
        <f aca="false">-(V127-U127)*Inputs!$C$46</f>
        <v>-0</v>
      </c>
      <c r="W128" s="65" t="n">
        <f aca="false">-(W127-V127)*Inputs!$C$46</f>
        <v>-0</v>
      </c>
      <c r="X128" s="65" t="n">
        <f aca="false">-(X127-W127)*Inputs!$C$46</f>
        <v>-0</v>
      </c>
      <c r="Y128" s="65" t="n">
        <f aca="false">-(Y127-X127)*Inputs!$C$46</f>
        <v>-0</v>
      </c>
      <c r="Z128" s="65" t="n">
        <f aca="false">-(Z127-Y127)*Inputs!$C$46</f>
        <v>-0</v>
      </c>
      <c r="AA128" s="65" t="n">
        <f aca="false">-(AA127-Z127)*Inputs!$C$46</f>
        <v>-0</v>
      </c>
      <c r="AB128" s="65" t="n">
        <f aca="false">-(AB127-AA127)*Inputs!$C$46</f>
        <v>-0</v>
      </c>
      <c r="AC128" s="65" t="n">
        <f aca="false">-(AC127-AB127)*Inputs!$C$46</f>
        <v>-0</v>
      </c>
      <c r="AD128" s="65" t="n">
        <f aca="false">-(AD127-AC127)*Inputs!$C$46</f>
        <v>-0</v>
      </c>
      <c r="AE128" s="65" t="n">
        <f aca="false">-(AE127-AD127)*Inputs!$C$46</f>
        <v>-0</v>
      </c>
      <c r="AF128" s="65" t="n">
        <f aca="false">-(AF127-AE127)*Inputs!$C$46</f>
        <v>-0</v>
      </c>
      <c r="AG128" s="65" t="n">
        <f aca="false">-(AG127-AF127)*Inputs!$C$46</f>
        <v>-0</v>
      </c>
      <c r="AH128" s="65" t="n">
        <f aca="false">-(AH127-AG127)*Inputs!$C$46</f>
        <v>-0</v>
      </c>
      <c r="AI128" s="65" t="n">
        <f aca="false">-(AI127-AH127)*Inputs!$C$46</f>
        <v>-0</v>
      </c>
      <c r="AJ128" s="65" t="n">
        <f aca="false">-(AJ127-AI127)*Inputs!$C$46</f>
        <v>-0</v>
      </c>
      <c r="AK128" s="65" t="n">
        <f aca="false">-(AK127-AJ127)*Inputs!$C$46</f>
        <v>-0</v>
      </c>
      <c r="AL128" s="65" t="n">
        <f aca="false">-(AL127-AK127)*Inputs!$C$46</f>
        <v>-0</v>
      </c>
      <c r="AM128" s="65" t="n">
        <f aca="false">-(AM127-AL127)*Inputs!$C$46</f>
        <v>-0</v>
      </c>
      <c r="AN128" s="65" t="n">
        <f aca="false">-(AN127-AM127)*Inputs!$C$46</f>
        <v>-0</v>
      </c>
      <c r="AO128" s="65" t="n">
        <f aca="false">-(AO127-AN127)*Inputs!$C$46</f>
        <v>-0</v>
      </c>
      <c r="AP128" s="65" t="n">
        <f aca="false">-(AP127-AO127)*Inputs!$C$46</f>
        <v>-0</v>
      </c>
      <c r="AQ128" s="65" t="n">
        <f aca="false">-(AQ127-AP127)*Inputs!$C$46</f>
        <v>-0</v>
      </c>
      <c r="AR128" s="65" t="n">
        <f aca="false">-(AR127-AQ127)*Inputs!$C$46</f>
        <v>-0</v>
      </c>
      <c r="AS128" s="65" t="n">
        <f aca="false">-(AS127-AR127)*Inputs!$C$46</f>
        <v>-0</v>
      </c>
      <c r="AT128" s="65" t="n">
        <f aca="false">-(AT127-AS127)*Inputs!$C$46</f>
        <v>-0</v>
      </c>
      <c r="AU128" s="65" t="n">
        <f aca="false">-(AU127-AT127)*Inputs!$C$46</f>
        <v>-0</v>
      </c>
      <c r="AV128" s="65" t="n">
        <f aca="false">-(AV127-AU127)*Inputs!$C$46</f>
        <v>-0</v>
      </c>
      <c r="AW128" s="65" t="n">
        <f aca="false">-(AW127-AV127)*Inputs!$C$46</f>
        <v>-0</v>
      </c>
      <c r="AX128" s="65" t="n">
        <f aca="false">-(AX127-AW127)*Inputs!$C$46</f>
        <v>-0</v>
      </c>
      <c r="AY128" s="65" t="n">
        <f aca="false">-(AY127-AX127)*Inputs!$C$46</f>
        <v>-0</v>
      </c>
      <c r="AZ128" s="65" t="n">
        <f aca="false">-(AZ127-AY127)*Inputs!$C$46</f>
        <v>-0</v>
      </c>
      <c r="BA128" s="65" t="n">
        <f aca="false">-(BA127-AZ127)*Inputs!$C$46</f>
        <v>-0</v>
      </c>
      <c r="BB128" s="65" t="n">
        <f aca="false">-(BB127-BA127)*Inputs!$C$46</f>
        <v>-0</v>
      </c>
      <c r="BC128" s="65" t="n">
        <f aca="false">-(BC127-BB127)*Inputs!$C$46</f>
        <v>-0</v>
      </c>
      <c r="BD128" s="65" t="n">
        <f aca="false">-(BD127-BC127)*Inputs!$C$46</f>
        <v>-0</v>
      </c>
      <c r="BE128" s="65" t="n">
        <f aca="false">-(BE127-BD127)*Inputs!$C$46</f>
        <v>-0</v>
      </c>
      <c r="BF128" s="65" t="n">
        <f aca="false">-(BF127-BE127)*Inputs!$C$46</f>
        <v>-0</v>
      </c>
      <c r="BG128" s="65" t="n">
        <f aca="false">-(BG127-BF127)*Inputs!$C$46</f>
        <v>-0</v>
      </c>
      <c r="BH128" s="65" t="n">
        <f aca="false">-(BH127-BG127)*Inputs!$C$46</f>
        <v>-0</v>
      </c>
      <c r="BI128" s="65" t="n">
        <f aca="false">-(BI127-BH127)*Inputs!$C$46</f>
        <v>-20.8678888313591</v>
      </c>
      <c r="BJ128" s="65" t="n">
        <f aca="false">-(BJ127-BI127)*Inputs!$C$46</f>
        <v>-181.984928982286</v>
      </c>
    </row>
    <row r="129" customFormat="false" ht="15" hidden="false" customHeight="false" outlineLevel="0" collapsed="false">
      <c r="A129" s="108" t="s">
        <v>51</v>
      </c>
      <c r="C129" s="66" t="n">
        <f aca="false">C125+C128</f>
        <v>-795.097736625515</v>
      </c>
      <c r="D129" s="66" t="n">
        <f aca="false">D125+D128</f>
        <v>-790.121854193122</v>
      </c>
      <c r="E129" s="66" t="n">
        <f aca="false">E125+E128</f>
        <v>-785.114142949681</v>
      </c>
      <c r="F129" s="66" t="n">
        <f aca="false">F125+F128</f>
        <v>-780.07443048913</v>
      </c>
      <c r="G129" s="66" t="n">
        <f aca="false">G125+G128</f>
        <v>-775.002543471544</v>
      </c>
      <c r="H129" s="66" t="n">
        <f aca="false">H125+H128</f>
        <v>-769.898307618073</v>
      </c>
      <c r="I129" s="66" t="n">
        <f aca="false">I125+I128</f>
        <v>-764.761547705854</v>
      </c>
      <c r="J129" s="66" t="n">
        <f aca="false">J125+J128</f>
        <v>-759.592087562905</v>
      </c>
      <c r="K129" s="66" t="n">
        <f aca="false">K125+K128</f>
        <v>-754.389750062974</v>
      </c>
      <c r="L129" s="66" t="n">
        <f aca="false">L125+L128</f>
        <v>-749.154357120377</v>
      </c>
      <c r="M129" s="66" t="n">
        <f aca="false">M125+M128</f>
        <v>-743.8857296848</v>
      </c>
      <c r="N129" s="66" t="n">
        <f aca="false">N125+N128</f>
        <v>-738.583687736074</v>
      </c>
      <c r="O129" s="66" t="n">
        <f aca="false">O125+O128</f>
        <v>-419.925056451759</v>
      </c>
      <c r="P129" s="66" t="n">
        <f aca="false">P125+P128</f>
        <v>-414.582647683344</v>
      </c>
      <c r="Q129" s="66" t="n">
        <f aca="false">Q125+Q128</f>
        <v>-409.206278469456</v>
      </c>
      <c r="R129" s="66" t="n">
        <f aca="false">R125+R128</f>
        <v>-403.795764857683</v>
      </c>
      <c r="S129" s="66" t="n">
        <f aca="false">S125+S128</f>
        <v>-398.350921899203</v>
      </c>
      <c r="T129" s="66" t="n">
        <f aca="false">T125+T128</f>
        <v>-392.871563643385</v>
      </c>
      <c r="U129" s="66" t="n">
        <f aca="false">U125+U128</f>
        <v>-387.357503132375</v>
      </c>
      <c r="V129" s="66" t="n">
        <f aca="false">V125+V128</f>
        <v>-381.808552395621</v>
      </c>
      <c r="W129" s="66" t="n">
        <f aca="false">W125+W128</f>
        <v>-376.224522444397</v>
      </c>
      <c r="X129" s="66" t="n">
        <f aca="false">X125+X128</f>
        <v>-370.605223266295</v>
      </c>
      <c r="Y129" s="66" t="n">
        <f aca="false">Y125+Y128</f>
        <v>-364.950463819669</v>
      </c>
      <c r="Z129" s="66" t="n">
        <f aca="false">Z125+Z128</f>
        <v>-359.260052028061</v>
      </c>
      <c r="AA129" s="66" t="n">
        <f aca="false">AA125+AA128</f>
        <v>-30.8111111326316</v>
      </c>
      <c r="AB129" s="66" t="n">
        <f aca="false">AB125+AB128</f>
        <v>-25.076630612436</v>
      </c>
      <c r="AC129" s="66" t="n">
        <f aca="false">AC125+AC128</f>
        <v>-19.3059152528394</v>
      </c>
      <c r="AD129" s="66" t="n">
        <f aca="false">AD125+AD128</f>
        <v>-13.4987687817975</v>
      </c>
      <c r="AE129" s="66" t="n">
        <f aca="false">AE125+AE128</f>
        <v>-7.65499386412012</v>
      </c>
      <c r="AF129" s="66" t="n">
        <f aca="false">AF125+AF128</f>
        <v>-1.77439209572185</v>
      </c>
      <c r="AG129" s="66" t="n">
        <f aca="false">AG125+AG128</f>
        <v>4.14323600216994</v>
      </c>
      <c r="AH129" s="66" t="n">
        <f aca="false">AH125+AH128</f>
        <v>10.0980909888422</v>
      </c>
      <c r="AI129" s="66" t="n">
        <f aca="false">AI125+AI128</f>
        <v>16.0903745099413</v>
      </c>
      <c r="AJ129" s="66" t="n">
        <f aca="false">AJ125+AJ128</f>
        <v>22.1202893033624</v>
      </c>
      <c r="AK129" s="66" t="n">
        <f aca="false">AK125+AK128</f>
        <v>28.1880392051635</v>
      </c>
      <c r="AL129" s="66" t="n">
        <f aca="false">AL125+AL128</f>
        <v>34.2938291555147</v>
      </c>
      <c r="AM129" s="66" t="n">
        <f aca="false">AM125+AM128</f>
        <v>372.842229355915</v>
      </c>
      <c r="AN129" s="66" t="n">
        <f aca="false">AN125+AN128</f>
        <v>378.996067821496</v>
      </c>
      <c r="AO129" s="66" t="n">
        <f aca="false">AO125+AO128</f>
        <v>385.188567840782</v>
      </c>
      <c r="AP129" s="66" t="n">
        <f aca="false">AP125+AP128</f>
        <v>391.419938830517</v>
      </c>
      <c r="AQ129" s="66" t="n">
        <f aca="false">AQ125+AQ128</f>
        <v>397.690391341794</v>
      </c>
      <c r="AR129" s="66" t="n">
        <f aca="false">AR125+AR128</f>
        <v>404.000137066188</v>
      </c>
      <c r="AS129" s="66" t="n">
        <f aca="false">AS125+AS128</f>
        <v>410.349388841934</v>
      </c>
      <c r="AT129" s="66" t="n">
        <f aca="false">AT125+AT128</f>
        <v>416.738360660146</v>
      </c>
      <c r="AU129" s="66" t="n">
        <f aca="false">AU125+AU128</f>
        <v>423.167267671054</v>
      </c>
      <c r="AV129" s="66" t="n">
        <f aca="false">AV125+AV128</f>
        <v>429.636326190284</v>
      </c>
      <c r="AW129" s="66" t="n">
        <f aca="false">AW125+AW128</f>
        <v>436.145753705176</v>
      </c>
      <c r="AX129" s="66" t="n">
        <f aca="false">AX125+AX128</f>
        <v>442.695768881117</v>
      </c>
      <c r="AY129" s="66" t="n">
        <f aca="false">AY125+AY128</f>
        <v>791.663086643718</v>
      </c>
      <c r="AZ129" s="66" t="n">
        <f aca="false">AZ125+AZ128</f>
        <v>798.265427507883</v>
      </c>
      <c r="BA129" s="66" t="n">
        <f aca="false">BA125+BA128</f>
        <v>804.909019161602</v>
      </c>
      <c r="BB129" s="66" t="n">
        <f aca="false">BB125+BB128</f>
        <v>811.594085046652</v>
      </c>
      <c r="BC129" s="66" t="n">
        <f aca="false">BC125+BC128</f>
        <v>818.32084981512</v>
      </c>
      <c r="BD129" s="66" t="n">
        <f aca="false">BD125+BD128</f>
        <v>825.089539335959</v>
      </c>
      <c r="BE129" s="66" t="n">
        <f aca="false">BE125+BE128</f>
        <v>831.900380701574</v>
      </c>
      <c r="BF129" s="66" t="n">
        <f aca="false">BF125+BF128</f>
        <v>838.753602234462</v>
      </c>
      <c r="BG129" s="66" t="n">
        <f aca="false">BG125+BG128</f>
        <v>845.64943349386</v>
      </c>
      <c r="BH129" s="66" t="n">
        <f aca="false">BH125+BH128</f>
        <v>852.588105282454</v>
      </c>
      <c r="BI129" s="66" t="n">
        <f aca="false">BI125+BI128</f>
        <v>838.70196082175</v>
      </c>
      <c r="BJ129" s="66" t="n">
        <f aca="false">BJ125+BJ128</f>
        <v>684.609970933361</v>
      </c>
    </row>
    <row r="131" customFormat="false" ht="15.75" hidden="false" customHeight="true" outlineLevel="0" collapsed="false">
      <c r="A131" s="7" t="s">
        <v>424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customFormat="false" ht="15" hidden="false" customHeight="false" outlineLevel="0" collapsed="false">
      <c r="A132" s="6" t="s">
        <v>425</v>
      </c>
      <c r="C132" s="65" t="n">
        <f aca="false">IF(C$98=1,Inputs!$C$7*(1+Inputs!$C$9),0)</f>
        <v>1905500</v>
      </c>
      <c r="D132" s="65" t="n">
        <f aca="false">IF(D$98=1,Inputs!$C$7*(1+Inputs!$C$9),0)</f>
        <v>0</v>
      </c>
      <c r="E132" s="65" t="n">
        <f aca="false">IF(E$98=1,Inputs!$C$7*(1+Inputs!$C$9),0)</f>
        <v>0</v>
      </c>
      <c r="F132" s="65" t="n">
        <f aca="false">IF(F$98=1,Inputs!$C$7*(1+Inputs!$C$9),0)</f>
        <v>0</v>
      </c>
      <c r="G132" s="65" t="n">
        <f aca="false">IF(G$98=1,Inputs!$C$7*(1+Inputs!$C$9),0)</f>
        <v>0</v>
      </c>
      <c r="H132" s="65" t="n">
        <f aca="false">IF(H$98=1,Inputs!$C$7*(1+Inputs!$C$9),0)</f>
        <v>0</v>
      </c>
      <c r="I132" s="65" t="n">
        <f aca="false">IF(I$98=1,Inputs!$C$7*(1+Inputs!$C$9),0)</f>
        <v>0</v>
      </c>
      <c r="J132" s="65" t="n">
        <f aca="false">IF(J$98=1,Inputs!$C$7*(1+Inputs!$C$9),0)</f>
        <v>0</v>
      </c>
      <c r="K132" s="65" t="n">
        <f aca="false">IF(K$98=1,Inputs!$C$7*(1+Inputs!$C$9),0)</f>
        <v>0</v>
      </c>
      <c r="L132" s="65" t="n">
        <f aca="false">IF(L$98=1,Inputs!$C$7*(1+Inputs!$C$9),0)</f>
        <v>0</v>
      </c>
      <c r="M132" s="65" t="n">
        <f aca="false">IF(M$98=1,Inputs!$C$7*(1+Inputs!$C$9),0)</f>
        <v>0</v>
      </c>
      <c r="N132" s="65" t="n">
        <f aca="false">IF(N$98=1,Inputs!$C$7*(1+Inputs!$C$9),0)</f>
        <v>0</v>
      </c>
      <c r="O132" s="65" t="n">
        <f aca="false">IF(O$98=1,Inputs!$C$7*(1+Inputs!$C$9),0)</f>
        <v>0</v>
      </c>
      <c r="P132" s="65" t="n">
        <f aca="false">IF(P$98=1,Inputs!$C$7*(1+Inputs!$C$9),0)</f>
        <v>0</v>
      </c>
      <c r="Q132" s="65" t="n">
        <f aca="false">IF(Q$98=1,Inputs!$C$7*(1+Inputs!$C$9),0)</f>
        <v>0</v>
      </c>
      <c r="R132" s="65" t="n">
        <f aca="false">IF(R$98=1,Inputs!$C$7*(1+Inputs!$C$9),0)</f>
        <v>0</v>
      </c>
      <c r="S132" s="65" t="n">
        <f aca="false">IF(S$98=1,Inputs!$C$7*(1+Inputs!$C$9),0)</f>
        <v>0</v>
      </c>
      <c r="T132" s="65" t="n">
        <f aca="false">IF(T$98=1,Inputs!$C$7*(1+Inputs!$C$9),0)</f>
        <v>0</v>
      </c>
      <c r="U132" s="65" t="n">
        <f aca="false">IF(U$98=1,Inputs!$C$7*(1+Inputs!$C$9),0)</f>
        <v>0</v>
      </c>
      <c r="V132" s="65" t="n">
        <f aca="false">IF(V$98=1,Inputs!$C$7*(1+Inputs!$C$9),0)</f>
        <v>0</v>
      </c>
      <c r="W132" s="65" t="n">
        <f aca="false">IF(W$98=1,Inputs!$C$7*(1+Inputs!$C$9),0)</f>
        <v>0</v>
      </c>
      <c r="X132" s="65" t="n">
        <f aca="false">IF(X$98=1,Inputs!$C$7*(1+Inputs!$C$9),0)</f>
        <v>0</v>
      </c>
      <c r="Y132" s="65" t="n">
        <f aca="false">IF(Y$98=1,Inputs!$C$7*(1+Inputs!$C$9),0)</f>
        <v>0</v>
      </c>
      <c r="Z132" s="65" t="n">
        <f aca="false">IF(Z$98=1,Inputs!$C$7*(1+Inputs!$C$9),0)</f>
        <v>0</v>
      </c>
      <c r="AA132" s="65" t="n">
        <f aca="false">IF(AA$98=1,Inputs!$C$7*(1+Inputs!$C$9),0)</f>
        <v>0</v>
      </c>
      <c r="AB132" s="65" t="n">
        <f aca="false">IF(AB$98=1,Inputs!$C$7*(1+Inputs!$C$9),0)</f>
        <v>0</v>
      </c>
      <c r="AC132" s="65" t="n">
        <f aca="false">IF(AC$98=1,Inputs!$C$7*(1+Inputs!$C$9),0)</f>
        <v>0</v>
      </c>
      <c r="AD132" s="65" t="n">
        <f aca="false">IF(AD$98=1,Inputs!$C$7*(1+Inputs!$C$9),0)</f>
        <v>0</v>
      </c>
      <c r="AE132" s="65" t="n">
        <f aca="false">IF(AE$98=1,Inputs!$C$7*(1+Inputs!$C$9),0)</f>
        <v>0</v>
      </c>
      <c r="AF132" s="65" t="n">
        <f aca="false">IF(AF$98=1,Inputs!$C$7*(1+Inputs!$C$9),0)</f>
        <v>0</v>
      </c>
      <c r="AG132" s="65" t="n">
        <f aca="false">IF(AG$98=1,Inputs!$C$7*(1+Inputs!$C$9),0)</f>
        <v>0</v>
      </c>
      <c r="AH132" s="65" t="n">
        <f aca="false">IF(AH$98=1,Inputs!$C$7*(1+Inputs!$C$9),0)</f>
        <v>0</v>
      </c>
      <c r="AI132" s="65" t="n">
        <f aca="false">IF(AI$98=1,Inputs!$C$7*(1+Inputs!$C$9),0)</f>
        <v>0</v>
      </c>
      <c r="AJ132" s="65" t="n">
        <f aca="false">IF(AJ$98=1,Inputs!$C$7*(1+Inputs!$C$9),0)</f>
        <v>0</v>
      </c>
      <c r="AK132" s="65" t="n">
        <f aca="false">IF(AK$98=1,Inputs!$C$7*(1+Inputs!$C$9),0)</f>
        <v>0</v>
      </c>
      <c r="AL132" s="65" t="n">
        <f aca="false">IF(AL$98=1,Inputs!$C$7*(1+Inputs!$C$9),0)</f>
        <v>0</v>
      </c>
      <c r="AM132" s="65" t="n">
        <f aca="false">IF(AM$98=1,Inputs!$C$7*(1+Inputs!$C$9),0)</f>
        <v>0</v>
      </c>
      <c r="AN132" s="65" t="n">
        <f aca="false">IF(AN$98=1,Inputs!$C$7*(1+Inputs!$C$9),0)</f>
        <v>0</v>
      </c>
      <c r="AO132" s="65" t="n">
        <f aca="false">IF(AO$98=1,Inputs!$C$7*(1+Inputs!$C$9),0)</f>
        <v>0</v>
      </c>
      <c r="AP132" s="65" t="n">
        <f aca="false">IF(AP$98=1,Inputs!$C$7*(1+Inputs!$C$9),0)</f>
        <v>0</v>
      </c>
      <c r="AQ132" s="65" t="n">
        <f aca="false">IF(AQ$98=1,Inputs!$C$7*(1+Inputs!$C$9),0)</f>
        <v>0</v>
      </c>
      <c r="AR132" s="65" t="n">
        <f aca="false">IF(AR$98=1,Inputs!$C$7*(1+Inputs!$C$9),0)</f>
        <v>0</v>
      </c>
      <c r="AS132" s="65" t="n">
        <f aca="false">IF(AS$98=1,Inputs!$C$7*(1+Inputs!$C$9),0)</f>
        <v>0</v>
      </c>
      <c r="AT132" s="65" t="n">
        <f aca="false">IF(AT$98=1,Inputs!$C$7*(1+Inputs!$C$9),0)</f>
        <v>0</v>
      </c>
      <c r="AU132" s="65" t="n">
        <f aca="false">IF(AU$98=1,Inputs!$C$7*(1+Inputs!$C$9),0)</f>
        <v>0</v>
      </c>
      <c r="AV132" s="65" t="n">
        <f aca="false">IF(AV$98=1,Inputs!$C$7*(1+Inputs!$C$9),0)</f>
        <v>0</v>
      </c>
      <c r="AW132" s="65" t="n">
        <f aca="false">IF(AW$98=1,Inputs!$C$7*(1+Inputs!$C$9),0)</f>
        <v>0</v>
      </c>
      <c r="AX132" s="65" t="n">
        <f aca="false">IF(AX$98=1,Inputs!$C$7*(1+Inputs!$C$9),0)</f>
        <v>0</v>
      </c>
      <c r="AY132" s="65" t="n">
        <f aca="false">IF(AY$98=1,Inputs!$C$7*(1+Inputs!$C$9),0)</f>
        <v>0</v>
      </c>
      <c r="AZ132" s="65" t="n">
        <f aca="false">IF(AZ$98=1,Inputs!$C$7*(1+Inputs!$C$9),0)</f>
        <v>0</v>
      </c>
      <c r="BA132" s="65" t="n">
        <f aca="false">IF(BA$98=1,Inputs!$C$7*(1+Inputs!$C$9),0)</f>
        <v>0</v>
      </c>
      <c r="BB132" s="65" t="n">
        <f aca="false">IF(BB$98=1,Inputs!$C$7*(1+Inputs!$C$9),0)</f>
        <v>0</v>
      </c>
      <c r="BC132" s="65" t="n">
        <f aca="false">IF(BC$98=1,Inputs!$C$7*(1+Inputs!$C$9),0)</f>
        <v>0</v>
      </c>
      <c r="BD132" s="65" t="n">
        <f aca="false">IF(BD$98=1,Inputs!$C$7*(1+Inputs!$C$9),0)</f>
        <v>0</v>
      </c>
      <c r="BE132" s="65" t="n">
        <f aca="false">IF(BE$98=1,Inputs!$C$7*(1+Inputs!$C$9),0)</f>
        <v>0</v>
      </c>
      <c r="BF132" s="65" t="n">
        <f aca="false">IF(BF$98=1,Inputs!$C$7*(1+Inputs!$C$9),0)</f>
        <v>0</v>
      </c>
      <c r="BG132" s="65" t="n">
        <f aca="false">IF(BG$98=1,Inputs!$C$7*(1+Inputs!$C$9),0)</f>
        <v>0</v>
      </c>
      <c r="BH132" s="65" t="n">
        <f aca="false">IF(BH$98=1,Inputs!$C$7*(1+Inputs!$C$9),0)</f>
        <v>0</v>
      </c>
      <c r="BI132" s="65" t="n">
        <f aca="false">IF(BI$98=1,Inputs!$C$7*(1+Inputs!$C$9),0)</f>
        <v>0</v>
      </c>
      <c r="BJ132" s="65" t="n">
        <f aca="false">IF(BJ$98=1,Inputs!$C$7*(1+Inputs!$C$9),0)</f>
        <v>0</v>
      </c>
    </row>
    <row r="133" customFormat="false" ht="15" hidden="false" customHeight="false" outlineLevel="0" collapsed="false">
      <c r="A133" s="6" t="s">
        <v>426</v>
      </c>
      <c r="C133" s="65" t="n">
        <f aca="false">IF(C$98=1,Inputs!$C$7*Inputs!$C$8,0)</f>
        <v>370000</v>
      </c>
      <c r="D133" s="65" t="n">
        <f aca="false">IF(D$98=1,Inputs!$C$7*Inputs!$C$8,0)</f>
        <v>0</v>
      </c>
      <c r="E133" s="65" t="n">
        <f aca="false">IF(E$98=1,Inputs!$C$7*Inputs!$C$8,0)</f>
        <v>0</v>
      </c>
      <c r="F133" s="65" t="n">
        <f aca="false">IF(F$98=1,Inputs!$C$7*Inputs!$C$8,0)</f>
        <v>0</v>
      </c>
      <c r="G133" s="65" t="n">
        <f aca="false">IF(G$98=1,Inputs!$C$7*Inputs!$C$8,0)</f>
        <v>0</v>
      </c>
      <c r="H133" s="65" t="n">
        <f aca="false">IF(H$98=1,Inputs!$C$7*Inputs!$C$8,0)</f>
        <v>0</v>
      </c>
      <c r="I133" s="65" t="n">
        <f aca="false">IF(I$98=1,Inputs!$C$7*Inputs!$C$8,0)</f>
        <v>0</v>
      </c>
      <c r="J133" s="65" t="n">
        <f aca="false">IF(J$98=1,Inputs!$C$7*Inputs!$C$8,0)</f>
        <v>0</v>
      </c>
      <c r="K133" s="65" t="n">
        <f aca="false">IF(K$98=1,Inputs!$C$7*Inputs!$C$8,0)</f>
        <v>0</v>
      </c>
      <c r="L133" s="65" t="n">
        <f aca="false">IF(L$98=1,Inputs!$C$7*Inputs!$C$8,0)</f>
        <v>0</v>
      </c>
      <c r="M133" s="65" t="n">
        <f aca="false">IF(M$98=1,Inputs!$C$7*Inputs!$C$8,0)</f>
        <v>0</v>
      </c>
      <c r="N133" s="65" t="n">
        <f aca="false">IF(N$98=1,Inputs!$C$7*Inputs!$C$8,0)</f>
        <v>0</v>
      </c>
      <c r="O133" s="65" t="n">
        <f aca="false">IF(O$98=1,Inputs!$C$7*Inputs!$C$8,0)</f>
        <v>0</v>
      </c>
      <c r="P133" s="65" t="n">
        <f aca="false">IF(P$98=1,Inputs!$C$7*Inputs!$C$8,0)</f>
        <v>0</v>
      </c>
      <c r="Q133" s="65" t="n">
        <f aca="false">IF(Q$98=1,Inputs!$C$7*Inputs!$C$8,0)</f>
        <v>0</v>
      </c>
      <c r="R133" s="65" t="n">
        <f aca="false">IF(R$98=1,Inputs!$C$7*Inputs!$C$8,0)</f>
        <v>0</v>
      </c>
      <c r="S133" s="65" t="n">
        <f aca="false">IF(S$98=1,Inputs!$C$7*Inputs!$C$8,0)</f>
        <v>0</v>
      </c>
      <c r="T133" s="65" t="n">
        <f aca="false">IF(T$98=1,Inputs!$C$7*Inputs!$C$8,0)</f>
        <v>0</v>
      </c>
      <c r="U133" s="65" t="n">
        <f aca="false">IF(U$98=1,Inputs!$C$7*Inputs!$C$8,0)</f>
        <v>0</v>
      </c>
      <c r="V133" s="65" t="n">
        <f aca="false">IF(V$98=1,Inputs!$C$7*Inputs!$C$8,0)</f>
        <v>0</v>
      </c>
      <c r="W133" s="65" t="n">
        <f aca="false">IF(W$98=1,Inputs!$C$7*Inputs!$C$8,0)</f>
        <v>0</v>
      </c>
      <c r="X133" s="65" t="n">
        <f aca="false">IF(X$98=1,Inputs!$C$7*Inputs!$C$8,0)</f>
        <v>0</v>
      </c>
      <c r="Y133" s="65" t="n">
        <f aca="false">IF(Y$98=1,Inputs!$C$7*Inputs!$C$8,0)</f>
        <v>0</v>
      </c>
      <c r="Z133" s="65" t="n">
        <f aca="false">IF(Z$98=1,Inputs!$C$7*Inputs!$C$8,0)</f>
        <v>0</v>
      </c>
      <c r="AA133" s="65" t="n">
        <f aca="false">IF(AA$98=1,Inputs!$C$7*Inputs!$C$8,0)</f>
        <v>0</v>
      </c>
      <c r="AB133" s="65" t="n">
        <f aca="false">IF(AB$98=1,Inputs!$C$7*Inputs!$C$8,0)</f>
        <v>0</v>
      </c>
      <c r="AC133" s="65" t="n">
        <f aca="false">IF(AC$98=1,Inputs!$C$7*Inputs!$C$8,0)</f>
        <v>0</v>
      </c>
      <c r="AD133" s="65" t="n">
        <f aca="false">IF(AD$98=1,Inputs!$C$7*Inputs!$C$8,0)</f>
        <v>0</v>
      </c>
      <c r="AE133" s="65" t="n">
        <f aca="false">IF(AE$98=1,Inputs!$C$7*Inputs!$C$8,0)</f>
        <v>0</v>
      </c>
      <c r="AF133" s="65" t="n">
        <f aca="false">IF(AF$98=1,Inputs!$C$7*Inputs!$C$8,0)</f>
        <v>0</v>
      </c>
      <c r="AG133" s="65" t="n">
        <f aca="false">IF(AG$98=1,Inputs!$C$7*Inputs!$C$8,0)</f>
        <v>0</v>
      </c>
      <c r="AH133" s="65" t="n">
        <f aca="false">IF(AH$98=1,Inputs!$C$7*Inputs!$C$8,0)</f>
        <v>0</v>
      </c>
      <c r="AI133" s="65" t="n">
        <f aca="false">IF(AI$98=1,Inputs!$C$7*Inputs!$C$8,0)</f>
        <v>0</v>
      </c>
      <c r="AJ133" s="65" t="n">
        <f aca="false">IF(AJ$98=1,Inputs!$C$7*Inputs!$C$8,0)</f>
        <v>0</v>
      </c>
      <c r="AK133" s="65" t="n">
        <f aca="false">IF(AK$98=1,Inputs!$C$7*Inputs!$C$8,0)</f>
        <v>0</v>
      </c>
      <c r="AL133" s="65" t="n">
        <f aca="false">IF(AL$98=1,Inputs!$C$7*Inputs!$C$8,0)</f>
        <v>0</v>
      </c>
      <c r="AM133" s="65" t="n">
        <f aca="false">IF(AM$98=1,Inputs!$C$7*Inputs!$C$8,0)</f>
        <v>0</v>
      </c>
      <c r="AN133" s="65" t="n">
        <f aca="false">IF(AN$98=1,Inputs!$C$7*Inputs!$C$8,0)</f>
        <v>0</v>
      </c>
      <c r="AO133" s="65" t="n">
        <f aca="false">IF(AO$98=1,Inputs!$C$7*Inputs!$C$8,0)</f>
        <v>0</v>
      </c>
      <c r="AP133" s="65" t="n">
        <f aca="false">IF(AP$98=1,Inputs!$C$7*Inputs!$C$8,0)</f>
        <v>0</v>
      </c>
      <c r="AQ133" s="65" t="n">
        <f aca="false">IF(AQ$98=1,Inputs!$C$7*Inputs!$C$8,0)</f>
        <v>0</v>
      </c>
      <c r="AR133" s="65" t="n">
        <f aca="false">IF(AR$98=1,Inputs!$C$7*Inputs!$C$8,0)</f>
        <v>0</v>
      </c>
      <c r="AS133" s="65" t="n">
        <f aca="false">IF(AS$98=1,Inputs!$C$7*Inputs!$C$8,0)</f>
        <v>0</v>
      </c>
      <c r="AT133" s="65" t="n">
        <f aca="false">IF(AT$98=1,Inputs!$C$7*Inputs!$C$8,0)</f>
        <v>0</v>
      </c>
      <c r="AU133" s="65" t="n">
        <f aca="false">IF(AU$98=1,Inputs!$C$7*Inputs!$C$8,0)</f>
        <v>0</v>
      </c>
      <c r="AV133" s="65" t="n">
        <f aca="false">IF(AV$98=1,Inputs!$C$7*Inputs!$C$8,0)</f>
        <v>0</v>
      </c>
      <c r="AW133" s="65" t="n">
        <f aca="false">IF(AW$98=1,Inputs!$C$7*Inputs!$C$8,0)</f>
        <v>0</v>
      </c>
      <c r="AX133" s="65" t="n">
        <f aca="false">IF(AX$98=1,Inputs!$C$7*Inputs!$C$8,0)</f>
        <v>0</v>
      </c>
      <c r="AY133" s="65" t="n">
        <f aca="false">IF(AY$98=1,Inputs!$C$7*Inputs!$C$8,0)</f>
        <v>0</v>
      </c>
      <c r="AZ133" s="65" t="n">
        <f aca="false">IF(AZ$98=1,Inputs!$C$7*Inputs!$C$8,0)</f>
        <v>0</v>
      </c>
      <c r="BA133" s="65" t="n">
        <f aca="false">IF(BA$98=1,Inputs!$C$7*Inputs!$C$8,0)</f>
        <v>0</v>
      </c>
      <c r="BB133" s="65" t="n">
        <f aca="false">IF(BB$98=1,Inputs!$C$7*Inputs!$C$8,0)</f>
        <v>0</v>
      </c>
      <c r="BC133" s="65" t="n">
        <f aca="false">IF(BC$98=1,Inputs!$C$7*Inputs!$C$8,0)</f>
        <v>0</v>
      </c>
      <c r="BD133" s="65" t="n">
        <f aca="false">IF(BD$98=1,Inputs!$C$7*Inputs!$C$8,0)</f>
        <v>0</v>
      </c>
      <c r="BE133" s="65" t="n">
        <f aca="false">IF(BE$98=1,Inputs!$C$7*Inputs!$C$8,0)</f>
        <v>0</v>
      </c>
      <c r="BF133" s="65" t="n">
        <f aca="false">IF(BF$98=1,Inputs!$C$7*Inputs!$C$8,0)</f>
        <v>0</v>
      </c>
      <c r="BG133" s="65" t="n">
        <f aca="false">IF(BG$98=1,Inputs!$C$7*Inputs!$C$8,0)</f>
        <v>0</v>
      </c>
      <c r="BH133" s="65" t="n">
        <f aca="false">IF(BH$98=1,Inputs!$C$7*Inputs!$C$8,0)</f>
        <v>0</v>
      </c>
      <c r="BI133" s="65" t="n">
        <f aca="false">IF(BI$98=1,Inputs!$C$7*Inputs!$C$8,0)</f>
        <v>0</v>
      </c>
      <c r="BJ133" s="65" t="n">
        <f aca="false">IF(BJ$98=1,Inputs!$C$7*Inputs!$C$8,0)</f>
        <v>0</v>
      </c>
    </row>
    <row r="134" customFormat="false" ht="15" hidden="false" customHeight="false" outlineLevel="0" collapsed="false">
      <c r="A134" s="6" t="s">
        <v>427</v>
      </c>
      <c r="C134" s="65" t="n">
        <f aca="false">Inputs!$C$10*Inputs!$C$26/12*(1+Inputs!$C$25)^(C$99-1)*1</f>
        <v>291.666666666667</v>
      </c>
      <c r="D134" s="65" t="n">
        <f aca="false">Inputs!$C$10*Inputs!$C$26/12*(1+Inputs!$C$25)^(D$99-1)*1</f>
        <v>291.666666666667</v>
      </c>
      <c r="E134" s="65" t="n">
        <f aca="false">Inputs!$C$10*Inputs!$C$26/12*(1+Inputs!$C$25)^(E$99-1)*1</f>
        <v>291.666666666667</v>
      </c>
      <c r="F134" s="65" t="n">
        <f aca="false">Inputs!$C$10*Inputs!$C$26/12*(1+Inputs!$C$25)^(F$99-1)*1</f>
        <v>291.666666666667</v>
      </c>
      <c r="G134" s="65" t="n">
        <f aca="false">Inputs!$C$10*Inputs!$C$26/12*(1+Inputs!$C$25)^(G$99-1)*1</f>
        <v>291.666666666667</v>
      </c>
      <c r="H134" s="65" t="n">
        <f aca="false">Inputs!$C$10*Inputs!$C$26/12*(1+Inputs!$C$25)^(H$99-1)*1</f>
        <v>291.666666666667</v>
      </c>
      <c r="I134" s="65" t="n">
        <f aca="false">Inputs!$C$10*Inputs!$C$26/12*(1+Inputs!$C$25)^(I$99-1)*1</f>
        <v>291.666666666667</v>
      </c>
      <c r="J134" s="65" t="n">
        <f aca="false">Inputs!$C$10*Inputs!$C$26/12*(1+Inputs!$C$25)^(J$99-1)*1</f>
        <v>291.666666666667</v>
      </c>
      <c r="K134" s="65" t="n">
        <f aca="false">Inputs!$C$10*Inputs!$C$26/12*(1+Inputs!$C$25)^(K$99-1)*1</f>
        <v>291.666666666667</v>
      </c>
      <c r="L134" s="65" t="n">
        <f aca="false">Inputs!$C$10*Inputs!$C$26/12*(1+Inputs!$C$25)^(L$99-1)*1</f>
        <v>291.666666666667</v>
      </c>
      <c r="M134" s="65" t="n">
        <f aca="false">Inputs!$C$10*Inputs!$C$26/12*(1+Inputs!$C$25)^(M$99-1)*1</f>
        <v>291.666666666667</v>
      </c>
      <c r="N134" s="65" t="n">
        <f aca="false">Inputs!$C$10*Inputs!$C$26/12*(1+Inputs!$C$25)^(N$99-1)*1</f>
        <v>291.666666666667</v>
      </c>
      <c r="O134" s="65" t="n">
        <f aca="false">Inputs!$C$10*Inputs!$C$26/12*(1+Inputs!$C$25)^(O$99-1)*1</f>
        <v>300.416666666667</v>
      </c>
      <c r="P134" s="65" t="n">
        <f aca="false">Inputs!$C$10*Inputs!$C$26/12*(1+Inputs!$C$25)^(P$99-1)*1</f>
        <v>300.416666666667</v>
      </c>
      <c r="Q134" s="65" t="n">
        <f aca="false">Inputs!$C$10*Inputs!$C$26/12*(1+Inputs!$C$25)^(Q$99-1)*1</f>
        <v>300.416666666667</v>
      </c>
      <c r="R134" s="65" t="n">
        <f aca="false">Inputs!$C$10*Inputs!$C$26/12*(1+Inputs!$C$25)^(R$99-1)*1</f>
        <v>300.416666666667</v>
      </c>
      <c r="S134" s="65" t="n">
        <f aca="false">Inputs!$C$10*Inputs!$C$26/12*(1+Inputs!$C$25)^(S$99-1)*1</f>
        <v>300.416666666667</v>
      </c>
      <c r="T134" s="65" t="n">
        <f aca="false">Inputs!$C$10*Inputs!$C$26/12*(1+Inputs!$C$25)^(T$99-1)*1</f>
        <v>300.416666666667</v>
      </c>
      <c r="U134" s="65" t="n">
        <f aca="false">Inputs!$C$10*Inputs!$C$26/12*(1+Inputs!$C$25)^(U$99-1)*1</f>
        <v>300.416666666667</v>
      </c>
      <c r="V134" s="65" t="n">
        <f aca="false">Inputs!$C$10*Inputs!$C$26/12*(1+Inputs!$C$25)^(V$99-1)*1</f>
        <v>300.416666666667</v>
      </c>
      <c r="W134" s="65" t="n">
        <f aca="false">Inputs!$C$10*Inputs!$C$26/12*(1+Inputs!$C$25)^(W$99-1)*1</f>
        <v>300.416666666667</v>
      </c>
      <c r="X134" s="65" t="n">
        <f aca="false">Inputs!$C$10*Inputs!$C$26/12*(1+Inputs!$C$25)^(X$99-1)*1</f>
        <v>300.416666666667</v>
      </c>
      <c r="Y134" s="65" t="n">
        <f aca="false">Inputs!$C$10*Inputs!$C$26/12*(1+Inputs!$C$25)^(Y$99-1)*1</f>
        <v>300.416666666667</v>
      </c>
      <c r="Z134" s="65" t="n">
        <f aca="false">Inputs!$C$10*Inputs!$C$26/12*(1+Inputs!$C$25)^(Z$99-1)*1</f>
        <v>300.416666666667</v>
      </c>
      <c r="AA134" s="65" t="n">
        <f aca="false">Inputs!$C$10*Inputs!$C$26/12*(1+Inputs!$C$25)^(AA$99-1)*1</f>
        <v>309.429166666667</v>
      </c>
      <c r="AB134" s="65" t="n">
        <f aca="false">Inputs!$C$10*Inputs!$C$26/12*(1+Inputs!$C$25)^(AB$99-1)*1</f>
        <v>309.429166666667</v>
      </c>
      <c r="AC134" s="65" t="n">
        <f aca="false">Inputs!$C$10*Inputs!$C$26/12*(1+Inputs!$C$25)^(AC$99-1)*1</f>
        <v>309.429166666667</v>
      </c>
      <c r="AD134" s="65" t="n">
        <f aca="false">Inputs!$C$10*Inputs!$C$26/12*(1+Inputs!$C$25)^(AD$99-1)*1</f>
        <v>309.429166666667</v>
      </c>
      <c r="AE134" s="65" t="n">
        <f aca="false">Inputs!$C$10*Inputs!$C$26/12*(1+Inputs!$C$25)^(AE$99-1)*1</f>
        <v>309.429166666667</v>
      </c>
      <c r="AF134" s="65" t="n">
        <f aca="false">Inputs!$C$10*Inputs!$C$26/12*(1+Inputs!$C$25)^(AF$99-1)*1</f>
        <v>309.429166666667</v>
      </c>
      <c r="AG134" s="65" t="n">
        <f aca="false">Inputs!$C$10*Inputs!$C$26/12*(1+Inputs!$C$25)^(AG$99-1)*1</f>
        <v>309.429166666667</v>
      </c>
      <c r="AH134" s="65" t="n">
        <f aca="false">Inputs!$C$10*Inputs!$C$26/12*(1+Inputs!$C$25)^(AH$99-1)*1</f>
        <v>309.429166666667</v>
      </c>
      <c r="AI134" s="65" t="n">
        <f aca="false">Inputs!$C$10*Inputs!$C$26/12*(1+Inputs!$C$25)^(AI$99-1)*1</f>
        <v>309.429166666667</v>
      </c>
      <c r="AJ134" s="65" t="n">
        <f aca="false">Inputs!$C$10*Inputs!$C$26/12*(1+Inputs!$C$25)^(AJ$99-1)*1</f>
        <v>309.429166666667</v>
      </c>
      <c r="AK134" s="65" t="n">
        <f aca="false">Inputs!$C$10*Inputs!$C$26/12*(1+Inputs!$C$25)^(AK$99-1)*1</f>
        <v>309.429166666667</v>
      </c>
      <c r="AL134" s="65" t="n">
        <f aca="false">Inputs!$C$10*Inputs!$C$26/12*(1+Inputs!$C$25)^(AL$99-1)*1</f>
        <v>309.429166666667</v>
      </c>
      <c r="AM134" s="65" t="n">
        <f aca="false">Inputs!$C$10*Inputs!$C$26/12*(1+Inputs!$C$25)^(AM$99-1)*1</f>
        <v>318.712041666667</v>
      </c>
      <c r="AN134" s="65" t="n">
        <f aca="false">Inputs!$C$10*Inputs!$C$26/12*(1+Inputs!$C$25)^(AN$99-1)*1</f>
        <v>318.712041666667</v>
      </c>
      <c r="AO134" s="65" t="n">
        <f aca="false">Inputs!$C$10*Inputs!$C$26/12*(1+Inputs!$C$25)^(AO$99-1)*1</f>
        <v>318.712041666667</v>
      </c>
      <c r="AP134" s="65" t="n">
        <f aca="false">Inputs!$C$10*Inputs!$C$26/12*(1+Inputs!$C$25)^(AP$99-1)*1</f>
        <v>318.712041666667</v>
      </c>
      <c r="AQ134" s="65" t="n">
        <f aca="false">Inputs!$C$10*Inputs!$C$26/12*(1+Inputs!$C$25)^(AQ$99-1)*1</f>
        <v>318.712041666667</v>
      </c>
      <c r="AR134" s="65" t="n">
        <f aca="false">Inputs!$C$10*Inputs!$C$26/12*(1+Inputs!$C$25)^(AR$99-1)*1</f>
        <v>318.712041666667</v>
      </c>
      <c r="AS134" s="65" t="n">
        <f aca="false">Inputs!$C$10*Inputs!$C$26/12*(1+Inputs!$C$25)^(AS$99-1)*1</f>
        <v>318.712041666667</v>
      </c>
      <c r="AT134" s="65" t="n">
        <f aca="false">Inputs!$C$10*Inputs!$C$26/12*(1+Inputs!$C$25)^(AT$99-1)*1</f>
        <v>318.712041666667</v>
      </c>
      <c r="AU134" s="65" t="n">
        <f aca="false">Inputs!$C$10*Inputs!$C$26/12*(1+Inputs!$C$25)^(AU$99-1)*1</f>
        <v>318.712041666667</v>
      </c>
      <c r="AV134" s="65" t="n">
        <f aca="false">Inputs!$C$10*Inputs!$C$26/12*(1+Inputs!$C$25)^(AV$99-1)*1</f>
        <v>318.712041666667</v>
      </c>
      <c r="AW134" s="65" t="n">
        <f aca="false">Inputs!$C$10*Inputs!$C$26/12*(1+Inputs!$C$25)^(AW$99-1)*1</f>
        <v>318.712041666667</v>
      </c>
      <c r="AX134" s="65" t="n">
        <f aca="false">Inputs!$C$10*Inputs!$C$26/12*(1+Inputs!$C$25)^(AX$99-1)*1</f>
        <v>318.712041666667</v>
      </c>
      <c r="AY134" s="65" t="n">
        <f aca="false">Inputs!$C$10*Inputs!$C$26/12*(1+Inputs!$C$25)^(AY$99-1)*1</f>
        <v>328.273402916667</v>
      </c>
      <c r="AZ134" s="65" t="n">
        <f aca="false">Inputs!$C$10*Inputs!$C$26/12*(1+Inputs!$C$25)^(AZ$99-1)*1</f>
        <v>328.273402916667</v>
      </c>
      <c r="BA134" s="65" t="n">
        <f aca="false">Inputs!$C$10*Inputs!$C$26/12*(1+Inputs!$C$25)^(BA$99-1)*1</f>
        <v>328.273402916667</v>
      </c>
      <c r="BB134" s="65" t="n">
        <f aca="false">Inputs!$C$10*Inputs!$C$26/12*(1+Inputs!$C$25)^(BB$99-1)*1</f>
        <v>328.273402916667</v>
      </c>
      <c r="BC134" s="65" t="n">
        <f aca="false">Inputs!$C$10*Inputs!$C$26/12*(1+Inputs!$C$25)^(BC$99-1)*1</f>
        <v>328.273402916667</v>
      </c>
      <c r="BD134" s="65" t="n">
        <f aca="false">Inputs!$C$10*Inputs!$C$26/12*(1+Inputs!$C$25)^(BD$99-1)*1</f>
        <v>328.273402916667</v>
      </c>
      <c r="BE134" s="65" t="n">
        <f aca="false">Inputs!$C$10*Inputs!$C$26/12*(1+Inputs!$C$25)^(BE$99-1)*1</f>
        <v>328.273402916667</v>
      </c>
      <c r="BF134" s="65" t="n">
        <f aca="false">Inputs!$C$10*Inputs!$C$26/12*(1+Inputs!$C$25)^(BF$99-1)*1</f>
        <v>328.273402916667</v>
      </c>
      <c r="BG134" s="65" t="n">
        <f aca="false">Inputs!$C$10*Inputs!$C$26/12*(1+Inputs!$C$25)^(BG$99-1)*1</f>
        <v>328.273402916667</v>
      </c>
      <c r="BH134" s="65" t="n">
        <f aca="false">Inputs!$C$10*Inputs!$C$26/12*(1+Inputs!$C$25)^(BH$99-1)*1</f>
        <v>328.273402916667</v>
      </c>
      <c r="BI134" s="65" t="n">
        <f aca="false">Inputs!$C$10*Inputs!$C$26/12*(1+Inputs!$C$25)^(BI$99-1)*1</f>
        <v>328.273402916667</v>
      </c>
      <c r="BJ134" s="65" t="n">
        <f aca="false">Inputs!$C$10*Inputs!$C$26/12*(1+Inputs!$C$25)^(BJ$99-1)*1</f>
        <v>328.273402916667</v>
      </c>
    </row>
    <row r="135" customFormat="false" ht="15" hidden="false" customHeight="false" outlineLevel="0" collapsed="false">
      <c r="A135" s="4" t="s">
        <v>84</v>
      </c>
      <c r="C135" s="71" t="n">
        <f aca="false">C132+C134</f>
        <v>1905791.66666667</v>
      </c>
      <c r="D135" s="71" t="n">
        <f aca="false">D132+D134</f>
        <v>291.666666666667</v>
      </c>
      <c r="E135" s="71" t="n">
        <f aca="false">E132+E134</f>
        <v>291.666666666667</v>
      </c>
      <c r="F135" s="71" t="n">
        <f aca="false">F132+F134</f>
        <v>291.666666666667</v>
      </c>
      <c r="G135" s="71" t="n">
        <f aca="false">G132+G134</f>
        <v>291.666666666667</v>
      </c>
      <c r="H135" s="71" t="n">
        <f aca="false">H132+H134</f>
        <v>291.666666666667</v>
      </c>
      <c r="I135" s="71" t="n">
        <f aca="false">I132+I134</f>
        <v>291.666666666667</v>
      </c>
      <c r="J135" s="71" t="n">
        <f aca="false">J132+J134</f>
        <v>291.666666666667</v>
      </c>
      <c r="K135" s="71" t="n">
        <f aca="false">K132+K134</f>
        <v>291.666666666667</v>
      </c>
      <c r="L135" s="71" t="n">
        <f aca="false">L132+L134</f>
        <v>291.666666666667</v>
      </c>
      <c r="M135" s="71" t="n">
        <f aca="false">M132+M134</f>
        <v>291.666666666667</v>
      </c>
      <c r="N135" s="71" t="n">
        <f aca="false">N132+N134</f>
        <v>291.666666666667</v>
      </c>
      <c r="O135" s="71" t="n">
        <f aca="false">O132+O134</f>
        <v>300.416666666667</v>
      </c>
      <c r="P135" s="71" t="n">
        <f aca="false">P132+P134</f>
        <v>300.416666666667</v>
      </c>
      <c r="Q135" s="71" t="n">
        <f aca="false">Q132+Q134</f>
        <v>300.416666666667</v>
      </c>
      <c r="R135" s="71" t="n">
        <f aca="false">R132+R134</f>
        <v>300.416666666667</v>
      </c>
      <c r="S135" s="71" t="n">
        <f aca="false">S132+S134</f>
        <v>300.416666666667</v>
      </c>
      <c r="T135" s="71" t="n">
        <f aca="false">T132+T134</f>
        <v>300.416666666667</v>
      </c>
      <c r="U135" s="71" t="n">
        <f aca="false">U132+U134</f>
        <v>300.416666666667</v>
      </c>
      <c r="V135" s="71" t="n">
        <f aca="false">V132+V134</f>
        <v>300.416666666667</v>
      </c>
      <c r="W135" s="71" t="n">
        <f aca="false">W132+W134</f>
        <v>300.416666666667</v>
      </c>
      <c r="X135" s="71" t="n">
        <f aca="false">X132+X134</f>
        <v>300.416666666667</v>
      </c>
      <c r="Y135" s="71" t="n">
        <f aca="false">Y132+Y134</f>
        <v>300.416666666667</v>
      </c>
      <c r="Z135" s="71" t="n">
        <f aca="false">Z132+Z134</f>
        <v>300.416666666667</v>
      </c>
      <c r="AA135" s="71" t="n">
        <f aca="false">AA132+AA134</f>
        <v>309.429166666667</v>
      </c>
      <c r="AB135" s="71" t="n">
        <f aca="false">AB132+AB134</f>
        <v>309.429166666667</v>
      </c>
      <c r="AC135" s="71" t="n">
        <f aca="false">AC132+AC134</f>
        <v>309.429166666667</v>
      </c>
      <c r="AD135" s="71" t="n">
        <f aca="false">AD132+AD134</f>
        <v>309.429166666667</v>
      </c>
      <c r="AE135" s="71" t="n">
        <f aca="false">AE132+AE134</f>
        <v>309.429166666667</v>
      </c>
      <c r="AF135" s="71" t="n">
        <f aca="false">AF132+AF134</f>
        <v>309.429166666667</v>
      </c>
      <c r="AG135" s="71" t="n">
        <f aca="false">AG132+AG134</f>
        <v>309.429166666667</v>
      </c>
      <c r="AH135" s="71" t="n">
        <f aca="false">AH132+AH134</f>
        <v>309.429166666667</v>
      </c>
      <c r="AI135" s="71" t="n">
        <f aca="false">AI132+AI134</f>
        <v>309.429166666667</v>
      </c>
      <c r="AJ135" s="71" t="n">
        <f aca="false">AJ132+AJ134</f>
        <v>309.429166666667</v>
      </c>
      <c r="AK135" s="71" t="n">
        <f aca="false">AK132+AK134</f>
        <v>309.429166666667</v>
      </c>
      <c r="AL135" s="71" t="n">
        <f aca="false">AL132+AL134</f>
        <v>309.429166666667</v>
      </c>
      <c r="AM135" s="71" t="n">
        <f aca="false">AM132+AM134</f>
        <v>318.712041666667</v>
      </c>
      <c r="AN135" s="71" t="n">
        <f aca="false">AN132+AN134</f>
        <v>318.712041666667</v>
      </c>
      <c r="AO135" s="71" t="n">
        <f aca="false">AO132+AO134</f>
        <v>318.712041666667</v>
      </c>
      <c r="AP135" s="71" t="n">
        <f aca="false">AP132+AP134</f>
        <v>318.712041666667</v>
      </c>
      <c r="AQ135" s="71" t="n">
        <f aca="false">AQ132+AQ134</f>
        <v>318.712041666667</v>
      </c>
      <c r="AR135" s="71" t="n">
        <f aca="false">AR132+AR134</f>
        <v>318.712041666667</v>
      </c>
      <c r="AS135" s="71" t="n">
        <f aca="false">AS132+AS134</f>
        <v>318.712041666667</v>
      </c>
      <c r="AT135" s="71" t="n">
        <f aca="false">AT132+AT134</f>
        <v>318.712041666667</v>
      </c>
      <c r="AU135" s="71" t="n">
        <f aca="false">AU132+AU134</f>
        <v>318.712041666667</v>
      </c>
      <c r="AV135" s="71" t="n">
        <f aca="false">AV132+AV134</f>
        <v>318.712041666667</v>
      </c>
      <c r="AW135" s="71" t="n">
        <f aca="false">AW132+AW134</f>
        <v>318.712041666667</v>
      </c>
      <c r="AX135" s="71" t="n">
        <f aca="false">AX132+AX134</f>
        <v>318.712041666667</v>
      </c>
      <c r="AY135" s="71" t="n">
        <f aca="false">AY132+AY134</f>
        <v>328.273402916667</v>
      </c>
      <c r="AZ135" s="71" t="n">
        <f aca="false">AZ132+AZ134</f>
        <v>328.273402916667</v>
      </c>
      <c r="BA135" s="71" t="n">
        <f aca="false">BA132+BA134</f>
        <v>328.273402916667</v>
      </c>
      <c r="BB135" s="71" t="n">
        <f aca="false">BB132+BB134</f>
        <v>328.273402916667</v>
      </c>
      <c r="BC135" s="71" t="n">
        <f aca="false">BC132+BC134</f>
        <v>328.273402916667</v>
      </c>
      <c r="BD135" s="71" t="n">
        <f aca="false">BD132+BD134</f>
        <v>328.273402916667</v>
      </c>
      <c r="BE135" s="71" t="n">
        <f aca="false">BE132+BE134</f>
        <v>328.273402916667</v>
      </c>
      <c r="BF135" s="71" t="n">
        <f aca="false">BF132+BF134</f>
        <v>328.273402916667</v>
      </c>
      <c r="BG135" s="71" t="n">
        <f aca="false">BG132+BG134</f>
        <v>328.273402916667</v>
      </c>
      <c r="BH135" s="71" t="n">
        <f aca="false">BH132+BH134</f>
        <v>328.273402916667</v>
      </c>
      <c r="BI135" s="71" t="n">
        <f aca="false">BI132+BI134</f>
        <v>328.273402916667</v>
      </c>
      <c r="BJ135" s="71" t="n">
        <f aca="false">BJ132+BJ134</f>
        <v>328.273402916667</v>
      </c>
    </row>
    <row r="136" customFormat="false" ht="15" hidden="false" customHeight="false" outlineLevel="0" collapsed="false">
      <c r="A136" s="6" t="s">
        <v>428</v>
      </c>
      <c r="C136" s="65" t="n">
        <f aca="false">C135</f>
        <v>1905791.66666667</v>
      </c>
      <c r="D136" s="65" t="n">
        <f aca="false">C136+D135</f>
        <v>1906083.33333333</v>
      </c>
      <c r="E136" s="65" t="n">
        <f aca="false">D136+E135</f>
        <v>1906375</v>
      </c>
      <c r="F136" s="65" t="n">
        <f aca="false">E136+F135</f>
        <v>1906666.66666667</v>
      </c>
      <c r="G136" s="65" t="n">
        <f aca="false">F136+G135</f>
        <v>1906958.33333333</v>
      </c>
      <c r="H136" s="65" t="n">
        <f aca="false">G136+H135</f>
        <v>1907250</v>
      </c>
      <c r="I136" s="65" t="n">
        <f aca="false">H136+I135</f>
        <v>1907541.66666667</v>
      </c>
      <c r="J136" s="65" t="n">
        <f aca="false">I136+J135</f>
        <v>1907833.33333333</v>
      </c>
      <c r="K136" s="65" t="n">
        <f aca="false">J136+K135</f>
        <v>1908125</v>
      </c>
      <c r="L136" s="65" t="n">
        <f aca="false">K136+L135</f>
        <v>1908416.66666667</v>
      </c>
      <c r="M136" s="65" t="n">
        <f aca="false">L136+M135</f>
        <v>1908708.33333333</v>
      </c>
      <c r="N136" s="65" t="n">
        <f aca="false">M136+N135</f>
        <v>1909000</v>
      </c>
      <c r="O136" s="65" t="n">
        <f aca="false">N136+O135</f>
        <v>1909300.41666667</v>
      </c>
      <c r="P136" s="65" t="n">
        <f aca="false">O136+P135</f>
        <v>1909600.83333333</v>
      </c>
      <c r="Q136" s="65" t="n">
        <f aca="false">P136+Q135</f>
        <v>1909901.25</v>
      </c>
      <c r="R136" s="65" t="n">
        <f aca="false">Q136+R135</f>
        <v>1910201.66666667</v>
      </c>
      <c r="S136" s="65" t="n">
        <f aca="false">R136+S135</f>
        <v>1910502.08333333</v>
      </c>
      <c r="T136" s="65" t="n">
        <f aca="false">S136+T135</f>
        <v>1910802.5</v>
      </c>
      <c r="U136" s="65" t="n">
        <f aca="false">T136+U135</f>
        <v>1911102.91666667</v>
      </c>
      <c r="V136" s="65" t="n">
        <f aca="false">U136+V135</f>
        <v>1911403.33333334</v>
      </c>
      <c r="W136" s="65" t="n">
        <f aca="false">V136+W135</f>
        <v>1911703.75</v>
      </c>
      <c r="X136" s="65" t="n">
        <f aca="false">W136+X135</f>
        <v>1912004.16666667</v>
      </c>
      <c r="Y136" s="65" t="n">
        <f aca="false">X136+Y135</f>
        <v>1912304.58333334</v>
      </c>
      <c r="Z136" s="65" t="n">
        <f aca="false">Y136+Z135</f>
        <v>1912605</v>
      </c>
      <c r="AA136" s="65" t="n">
        <f aca="false">Z136+AA135</f>
        <v>1912914.42916667</v>
      </c>
      <c r="AB136" s="65" t="n">
        <f aca="false">AA136+AB135</f>
        <v>1913223.85833334</v>
      </c>
      <c r="AC136" s="65" t="n">
        <f aca="false">AB136+AC135</f>
        <v>1913533.2875</v>
      </c>
      <c r="AD136" s="65" t="n">
        <f aca="false">AC136+AD135</f>
        <v>1913842.71666667</v>
      </c>
      <c r="AE136" s="65" t="n">
        <f aca="false">AD136+AE135</f>
        <v>1914152.14583334</v>
      </c>
      <c r="AF136" s="65" t="n">
        <f aca="false">AE136+AF135</f>
        <v>1914461.575</v>
      </c>
      <c r="AG136" s="65" t="n">
        <f aca="false">AF136+AG135</f>
        <v>1914771.00416667</v>
      </c>
      <c r="AH136" s="65" t="n">
        <f aca="false">AG136+AH135</f>
        <v>1915080.43333334</v>
      </c>
      <c r="AI136" s="65" t="n">
        <f aca="false">AH136+AI135</f>
        <v>1915389.8625</v>
      </c>
      <c r="AJ136" s="65" t="n">
        <f aca="false">AI136+AJ135</f>
        <v>1915699.29166667</v>
      </c>
      <c r="AK136" s="65" t="n">
        <f aca="false">AJ136+AK135</f>
        <v>1916008.72083334</v>
      </c>
      <c r="AL136" s="65" t="n">
        <f aca="false">AK136+AL135</f>
        <v>1916318.15</v>
      </c>
      <c r="AM136" s="65" t="n">
        <f aca="false">AL136+AM135</f>
        <v>1916636.86204167</v>
      </c>
      <c r="AN136" s="65" t="n">
        <f aca="false">AM136+AN135</f>
        <v>1916955.57408334</v>
      </c>
      <c r="AO136" s="65" t="n">
        <f aca="false">AN136+AO135</f>
        <v>1917274.286125</v>
      </c>
      <c r="AP136" s="65" t="n">
        <f aca="false">AO136+AP135</f>
        <v>1917592.99816667</v>
      </c>
      <c r="AQ136" s="65" t="n">
        <f aca="false">AP136+AQ135</f>
        <v>1917911.71020834</v>
      </c>
      <c r="AR136" s="65" t="n">
        <f aca="false">AQ136+AR135</f>
        <v>1918230.42225</v>
      </c>
      <c r="AS136" s="65" t="n">
        <f aca="false">AR136+AS135</f>
        <v>1918549.13429167</v>
      </c>
      <c r="AT136" s="65" t="n">
        <f aca="false">AS136+AT135</f>
        <v>1918867.84633334</v>
      </c>
      <c r="AU136" s="65" t="n">
        <f aca="false">AT136+AU135</f>
        <v>1919186.558375</v>
      </c>
      <c r="AV136" s="65" t="n">
        <f aca="false">AU136+AV135</f>
        <v>1919505.27041667</v>
      </c>
      <c r="AW136" s="65" t="n">
        <f aca="false">AV136+AW135</f>
        <v>1919823.98245834</v>
      </c>
      <c r="AX136" s="65" t="n">
        <f aca="false">AW136+AX135</f>
        <v>1920142.6945</v>
      </c>
      <c r="AY136" s="65" t="n">
        <f aca="false">AX136+AY135</f>
        <v>1920470.96790292</v>
      </c>
      <c r="AZ136" s="65" t="n">
        <f aca="false">AY136+AZ135</f>
        <v>1920799.24130584</v>
      </c>
      <c r="BA136" s="65" t="n">
        <f aca="false">AZ136+BA135</f>
        <v>1921127.51470875</v>
      </c>
      <c r="BB136" s="65" t="n">
        <f aca="false">BA136+BB135</f>
        <v>1921455.78811167</v>
      </c>
      <c r="BC136" s="65" t="n">
        <f aca="false">BB136+BC135</f>
        <v>1921784.06151459</v>
      </c>
      <c r="BD136" s="65" t="n">
        <f aca="false">BC136+BD135</f>
        <v>1922112.3349175</v>
      </c>
      <c r="BE136" s="65" t="n">
        <f aca="false">BD136+BE135</f>
        <v>1922440.60832042</v>
      </c>
      <c r="BF136" s="65" t="n">
        <f aca="false">BE136+BF135</f>
        <v>1922768.88172334</v>
      </c>
      <c r="BG136" s="65" t="n">
        <f aca="false">BF136+BG135</f>
        <v>1923097.15512625</v>
      </c>
      <c r="BH136" s="65" t="n">
        <f aca="false">BG136+BH135</f>
        <v>1923425.42852917</v>
      </c>
      <c r="BI136" s="65" t="n">
        <f aca="false">BH136+BI135</f>
        <v>1923753.70193209</v>
      </c>
      <c r="BJ136" s="65" t="n">
        <f aca="false">BI136+BJ135</f>
        <v>1924081.975335</v>
      </c>
    </row>
    <row r="137" customFormat="false" ht="15" hidden="false" customHeight="false" outlineLevel="0" collapsed="false">
      <c r="A137" s="6" t="s">
        <v>429</v>
      </c>
      <c r="C137" s="65" t="n">
        <f aca="false">C133</f>
        <v>370000</v>
      </c>
      <c r="D137" s="65" t="n">
        <f aca="false">C137+D133</f>
        <v>370000</v>
      </c>
      <c r="E137" s="65" t="n">
        <f aca="false">D137+E133</f>
        <v>370000</v>
      </c>
      <c r="F137" s="65" t="n">
        <f aca="false">E137+F133</f>
        <v>370000</v>
      </c>
      <c r="G137" s="65" t="n">
        <f aca="false">F137+G133</f>
        <v>370000</v>
      </c>
      <c r="H137" s="65" t="n">
        <f aca="false">G137+H133</f>
        <v>370000</v>
      </c>
      <c r="I137" s="65" t="n">
        <f aca="false">H137+I133</f>
        <v>370000</v>
      </c>
      <c r="J137" s="65" t="n">
        <f aca="false">I137+J133</f>
        <v>370000</v>
      </c>
      <c r="K137" s="65" t="n">
        <f aca="false">J137+K133</f>
        <v>370000</v>
      </c>
      <c r="L137" s="65" t="n">
        <f aca="false">K137+L133</f>
        <v>370000</v>
      </c>
      <c r="M137" s="65" t="n">
        <f aca="false">L137+M133</f>
        <v>370000</v>
      </c>
      <c r="N137" s="65" t="n">
        <f aca="false">M137+N133</f>
        <v>370000</v>
      </c>
      <c r="O137" s="65" t="n">
        <f aca="false">N137+O133</f>
        <v>370000</v>
      </c>
      <c r="P137" s="65" t="n">
        <f aca="false">O137+P133</f>
        <v>370000</v>
      </c>
      <c r="Q137" s="65" t="n">
        <f aca="false">P137+Q133</f>
        <v>370000</v>
      </c>
      <c r="R137" s="65" t="n">
        <f aca="false">Q137+R133</f>
        <v>370000</v>
      </c>
      <c r="S137" s="65" t="n">
        <f aca="false">R137+S133</f>
        <v>370000</v>
      </c>
      <c r="T137" s="65" t="n">
        <f aca="false">S137+T133</f>
        <v>370000</v>
      </c>
      <c r="U137" s="65" t="n">
        <f aca="false">T137+U133</f>
        <v>370000</v>
      </c>
      <c r="V137" s="65" t="n">
        <f aca="false">U137+V133</f>
        <v>370000</v>
      </c>
      <c r="W137" s="65" t="n">
        <f aca="false">V137+W133</f>
        <v>370000</v>
      </c>
      <c r="X137" s="65" t="n">
        <f aca="false">W137+X133</f>
        <v>370000</v>
      </c>
      <c r="Y137" s="65" t="n">
        <f aca="false">X137+Y133</f>
        <v>370000</v>
      </c>
      <c r="Z137" s="65" t="n">
        <f aca="false">Y137+Z133</f>
        <v>370000</v>
      </c>
      <c r="AA137" s="65" t="n">
        <f aca="false">Z137+AA133</f>
        <v>370000</v>
      </c>
      <c r="AB137" s="65" t="n">
        <f aca="false">AA137+AB133</f>
        <v>370000</v>
      </c>
      <c r="AC137" s="65" t="n">
        <f aca="false">AB137+AC133</f>
        <v>370000</v>
      </c>
      <c r="AD137" s="65" t="n">
        <f aca="false">AC137+AD133</f>
        <v>370000</v>
      </c>
      <c r="AE137" s="65" t="n">
        <f aca="false">AD137+AE133</f>
        <v>370000</v>
      </c>
      <c r="AF137" s="65" t="n">
        <f aca="false">AE137+AF133</f>
        <v>370000</v>
      </c>
      <c r="AG137" s="65" t="n">
        <f aca="false">AF137+AG133</f>
        <v>370000</v>
      </c>
      <c r="AH137" s="65" t="n">
        <f aca="false">AG137+AH133</f>
        <v>370000</v>
      </c>
      <c r="AI137" s="65" t="n">
        <f aca="false">AH137+AI133</f>
        <v>370000</v>
      </c>
      <c r="AJ137" s="65" t="n">
        <f aca="false">AI137+AJ133</f>
        <v>370000</v>
      </c>
      <c r="AK137" s="65" t="n">
        <f aca="false">AJ137+AK133</f>
        <v>370000</v>
      </c>
      <c r="AL137" s="65" t="n">
        <f aca="false">AK137+AL133</f>
        <v>370000</v>
      </c>
      <c r="AM137" s="65" t="n">
        <f aca="false">AL137+AM133</f>
        <v>370000</v>
      </c>
      <c r="AN137" s="65" t="n">
        <f aca="false">AM137+AN133</f>
        <v>370000</v>
      </c>
      <c r="AO137" s="65" t="n">
        <f aca="false">AN137+AO133</f>
        <v>370000</v>
      </c>
      <c r="AP137" s="65" t="n">
        <f aca="false">AO137+AP133</f>
        <v>370000</v>
      </c>
      <c r="AQ137" s="65" t="n">
        <f aca="false">AP137+AQ133</f>
        <v>370000</v>
      </c>
      <c r="AR137" s="65" t="n">
        <f aca="false">AQ137+AR133</f>
        <v>370000</v>
      </c>
      <c r="AS137" s="65" t="n">
        <f aca="false">AR137+AS133</f>
        <v>370000</v>
      </c>
      <c r="AT137" s="65" t="n">
        <f aca="false">AS137+AT133</f>
        <v>370000</v>
      </c>
      <c r="AU137" s="65" t="n">
        <f aca="false">AT137+AU133</f>
        <v>370000</v>
      </c>
      <c r="AV137" s="65" t="n">
        <f aca="false">AU137+AV133</f>
        <v>370000</v>
      </c>
      <c r="AW137" s="65" t="n">
        <f aca="false">AV137+AW133</f>
        <v>370000</v>
      </c>
      <c r="AX137" s="65" t="n">
        <f aca="false">AW137+AX133</f>
        <v>370000</v>
      </c>
      <c r="AY137" s="65" t="n">
        <f aca="false">AX137+AY133</f>
        <v>370000</v>
      </c>
      <c r="AZ137" s="65" t="n">
        <f aca="false">AY137+AZ133</f>
        <v>370000</v>
      </c>
      <c r="BA137" s="65" t="n">
        <f aca="false">AZ137+BA133</f>
        <v>370000</v>
      </c>
      <c r="BB137" s="65" t="n">
        <f aca="false">BA137+BB133</f>
        <v>370000</v>
      </c>
      <c r="BC137" s="65" t="n">
        <f aca="false">BB137+BC133</f>
        <v>370000</v>
      </c>
      <c r="BD137" s="65" t="n">
        <f aca="false">BC137+BD133</f>
        <v>370000</v>
      </c>
      <c r="BE137" s="65" t="n">
        <f aca="false">BD137+BE133</f>
        <v>370000</v>
      </c>
      <c r="BF137" s="65" t="n">
        <f aca="false">BE137+BF133</f>
        <v>370000</v>
      </c>
      <c r="BG137" s="65" t="n">
        <f aca="false">BF137+BG133</f>
        <v>370000</v>
      </c>
      <c r="BH137" s="65" t="n">
        <f aca="false">BG137+BH133</f>
        <v>370000</v>
      </c>
      <c r="BI137" s="65" t="n">
        <f aca="false">BH137+BI133</f>
        <v>370000</v>
      </c>
      <c r="BJ137" s="65" t="n">
        <f aca="false">BI137+BJ133</f>
        <v>370000</v>
      </c>
    </row>
    <row r="138" customFormat="false" ht="15" hidden="false" customHeight="false" outlineLevel="0" collapsed="false">
      <c r="A138" s="6" t="s">
        <v>78</v>
      </c>
      <c r="C138" s="65" t="n">
        <f aca="false">-MIN((C136-C137)/MAX(1,Inputs!$C$45*12),C135-C137)</f>
        <v>-4740.09773662552</v>
      </c>
      <c r="D138" s="65" t="n">
        <f aca="false">-MIN((D136-D137)/MAX(1,Inputs!$C$45*12),C140+D135-D137)</f>
        <v>-4740.99794238683</v>
      </c>
      <c r="E138" s="65" t="n">
        <f aca="false">-MIN((E136-E137)/MAX(1,Inputs!$C$45*12),D140+E135-E137)</f>
        <v>-4741.89814814815</v>
      </c>
      <c r="F138" s="65" t="n">
        <f aca="false">-MIN((F136-F137)/MAX(1,Inputs!$C$45*12),E140+F135-F137)</f>
        <v>-4742.79835390947</v>
      </c>
      <c r="G138" s="65" t="n">
        <f aca="false">-MIN((G136-G137)/MAX(1,Inputs!$C$45*12),F140+G135-G137)</f>
        <v>-4743.69855967078</v>
      </c>
      <c r="H138" s="65" t="n">
        <f aca="false">-MIN((H136-H137)/MAX(1,Inputs!$C$45*12),G140+H135-H137)</f>
        <v>-4744.5987654321</v>
      </c>
      <c r="I138" s="65" t="n">
        <f aca="false">-MIN((I136-I137)/MAX(1,Inputs!$C$45*12),H140+I135-I137)</f>
        <v>-4745.49897119342</v>
      </c>
      <c r="J138" s="65" t="n">
        <f aca="false">-MIN((J136-J137)/MAX(1,Inputs!$C$45*12),I140+J135-J137)</f>
        <v>-4746.39917695474</v>
      </c>
      <c r="K138" s="65" t="n">
        <f aca="false">-MIN((K136-K137)/MAX(1,Inputs!$C$45*12),J140+K135-K137)</f>
        <v>-4747.29938271605</v>
      </c>
      <c r="L138" s="65" t="n">
        <f aca="false">-MIN((L136-L137)/MAX(1,Inputs!$C$45*12),K140+L135-L137)</f>
        <v>-4748.19958847737</v>
      </c>
      <c r="M138" s="65" t="n">
        <f aca="false">-MIN((M136-M137)/MAX(1,Inputs!$C$45*12),L140+M135-M137)</f>
        <v>-4749.09979423869</v>
      </c>
      <c r="N138" s="65" t="n">
        <f aca="false">-MIN((N136-N137)/MAX(1,Inputs!$C$45*12),M140+N135-N137)</f>
        <v>-4750</v>
      </c>
      <c r="O138" s="65" t="n">
        <f aca="false">-MIN((O136-O137)/MAX(1,Inputs!$C$45*12),N140+O135-O137)</f>
        <v>-4750.92721193416</v>
      </c>
      <c r="P138" s="65" t="n">
        <f aca="false">-MIN((P136-P137)/MAX(1,Inputs!$C$45*12),O140+P135-P137)</f>
        <v>-4751.85442386832</v>
      </c>
      <c r="Q138" s="65" t="n">
        <f aca="false">-MIN((Q136-Q137)/MAX(1,Inputs!$C$45*12),P140+Q135-Q137)</f>
        <v>-4752.78163580247</v>
      </c>
      <c r="R138" s="65" t="n">
        <f aca="false">-MIN((R136-R137)/MAX(1,Inputs!$C$45*12),Q140+R135-R137)</f>
        <v>-4753.70884773663</v>
      </c>
      <c r="S138" s="65" t="n">
        <f aca="false">-MIN((S136-S137)/MAX(1,Inputs!$C$45*12),R140+S135-S137)</f>
        <v>-4754.63605967079</v>
      </c>
      <c r="T138" s="65" t="n">
        <f aca="false">-MIN((T136-T137)/MAX(1,Inputs!$C$45*12),S140+T135-T137)</f>
        <v>-4755.56327160494</v>
      </c>
      <c r="U138" s="65" t="n">
        <f aca="false">-MIN((U136-U137)/MAX(1,Inputs!$C$45*12),T140+U135-U137)</f>
        <v>-4756.4904835391</v>
      </c>
      <c r="V138" s="65" t="n">
        <f aca="false">-MIN((V136-V137)/MAX(1,Inputs!$C$45*12),U140+V135-V137)</f>
        <v>-4757.41769547326</v>
      </c>
      <c r="W138" s="65" t="n">
        <f aca="false">-MIN((W136-W137)/MAX(1,Inputs!$C$45*12),V140+W135-W137)</f>
        <v>-4758.34490740741</v>
      </c>
      <c r="X138" s="65" t="n">
        <f aca="false">-MIN((X136-X137)/MAX(1,Inputs!$C$45*12),W140+X135-X137)</f>
        <v>-4759.27211934157</v>
      </c>
      <c r="Y138" s="65" t="n">
        <f aca="false">-MIN((Y136-Y137)/MAX(1,Inputs!$C$45*12),X140+Y135-Y137)</f>
        <v>-4760.19933127573</v>
      </c>
      <c r="Z138" s="65" t="n">
        <f aca="false">-MIN((Z136-Z137)/MAX(1,Inputs!$C$45*12),Y140+Z135-Z137)</f>
        <v>-4761.12654320988</v>
      </c>
      <c r="AA138" s="65" t="n">
        <f aca="false">-MIN((AA136-AA137)/MAX(1,Inputs!$C$45*12),Z140+AA135-AA137)</f>
        <v>-4762.08157150206</v>
      </c>
      <c r="AB138" s="65" t="n">
        <f aca="false">-MIN((AB136-AB137)/MAX(1,Inputs!$C$45*12),AA140+AB135-AB137)</f>
        <v>-4763.03659979424</v>
      </c>
      <c r="AC138" s="65" t="n">
        <f aca="false">-MIN((AC136-AC137)/MAX(1,Inputs!$C$45*12),AB140+AC135-AC137)</f>
        <v>-4763.99162808643</v>
      </c>
      <c r="AD138" s="65" t="n">
        <f aca="false">-MIN((AD136-AD137)/MAX(1,Inputs!$C$45*12),AC140+AD135-AD137)</f>
        <v>-4764.94665637861</v>
      </c>
      <c r="AE138" s="65" t="n">
        <f aca="false">-MIN((AE136-AE137)/MAX(1,Inputs!$C$45*12),AD140+AE135-AE137)</f>
        <v>-4765.90168467079</v>
      </c>
      <c r="AF138" s="65" t="n">
        <f aca="false">-MIN((AF136-AF137)/MAX(1,Inputs!$C$45*12),AE140+AF135-AF137)</f>
        <v>-4766.85671296297</v>
      </c>
      <c r="AG138" s="65" t="n">
        <f aca="false">-MIN((AG136-AG137)/MAX(1,Inputs!$C$45*12),AF140+AG135-AG137)</f>
        <v>-4767.81174125515</v>
      </c>
      <c r="AH138" s="65" t="n">
        <f aca="false">-MIN((AH136-AH137)/MAX(1,Inputs!$C$45*12),AG140+AH135-AH137)</f>
        <v>-4768.76676954733</v>
      </c>
      <c r="AI138" s="65" t="n">
        <f aca="false">-MIN((AI136-AI137)/MAX(1,Inputs!$C$45*12),AH140+AI135-AI137)</f>
        <v>-4769.72179783951</v>
      </c>
      <c r="AJ138" s="65" t="n">
        <f aca="false">-MIN((AJ136-AJ137)/MAX(1,Inputs!$C$45*12),AI140+AJ135-AJ137)</f>
        <v>-4770.67682613169</v>
      </c>
      <c r="AK138" s="65" t="n">
        <f aca="false">-MIN((AK136-AK137)/MAX(1,Inputs!$C$45*12),AJ140+AK135-AK137)</f>
        <v>-4771.63185442388</v>
      </c>
      <c r="AL138" s="65" t="n">
        <f aca="false">-MIN((AL136-AL137)/MAX(1,Inputs!$C$45*12),AK140+AL135-AL137)</f>
        <v>-4772.58688271606</v>
      </c>
      <c r="AM138" s="65" t="n">
        <f aca="false">-MIN((AM136-AM137)/MAX(1,Inputs!$C$45*12),AL140+AM135-AM137)</f>
        <v>-4773.570561857</v>
      </c>
      <c r="AN138" s="65" t="n">
        <f aca="false">-MIN((AN136-AN137)/MAX(1,Inputs!$C$45*12),AM140+AN135-AN137)</f>
        <v>-4774.55424099795</v>
      </c>
      <c r="AO138" s="65" t="n">
        <f aca="false">-MIN((AO136-AO137)/MAX(1,Inputs!$C$45*12),AN140+AO135-AO137)</f>
        <v>-4775.5379201389</v>
      </c>
      <c r="AP138" s="65" t="n">
        <f aca="false">-MIN((AP136-AP137)/MAX(1,Inputs!$C$45*12),AO140+AP135-AP137)</f>
        <v>-4776.52159927984</v>
      </c>
      <c r="AQ138" s="65" t="n">
        <f aca="false">-MIN((AQ136-AQ137)/MAX(1,Inputs!$C$45*12),AP140+AQ135-AQ137)</f>
        <v>-4777.50527842079</v>
      </c>
      <c r="AR138" s="65" t="n">
        <f aca="false">-MIN((AR136-AR137)/MAX(1,Inputs!$C$45*12),AQ140+AR135-AR137)</f>
        <v>-4778.48895756174</v>
      </c>
      <c r="AS138" s="65" t="n">
        <f aca="false">-MIN((AS136-AS137)/MAX(1,Inputs!$C$45*12),AR140+AS135-AS137)</f>
        <v>-4779.47263670268</v>
      </c>
      <c r="AT138" s="65" t="n">
        <f aca="false">-MIN((AT136-AT137)/MAX(1,Inputs!$C$45*12),AS140+AT135-AT137)</f>
        <v>-4780.45631584363</v>
      </c>
      <c r="AU138" s="65" t="n">
        <f aca="false">-MIN((AU136-AU137)/MAX(1,Inputs!$C$45*12),AT140+AU135-AU137)</f>
        <v>-4781.43999498458</v>
      </c>
      <c r="AV138" s="65" t="n">
        <f aca="false">-MIN((AV136-AV137)/MAX(1,Inputs!$C$45*12),AU140+AV135-AV137)</f>
        <v>-4782.42367412552</v>
      </c>
      <c r="AW138" s="65" t="n">
        <f aca="false">-MIN((AW136-AW137)/MAX(1,Inputs!$C$45*12),AV140+AW135-AW137)</f>
        <v>-4783.40735326647</v>
      </c>
      <c r="AX138" s="65" t="n">
        <f aca="false">-MIN((AX136-AX137)/MAX(1,Inputs!$C$45*12),AW140+AX135-AX137)</f>
        <v>-4784.39103240742</v>
      </c>
      <c r="AY138" s="65" t="n">
        <f aca="false">-MIN((AY136-AY137)/MAX(1,Inputs!$C$45*12),AX140+AY135-AY137)</f>
        <v>-4785.40422192259</v>
      </c>
      <c r="AZ138" s="65" t="n">
        <f aca="false">-MIN((AZ136-AZ137)/MAX(1,Inputs!$C$45*12),AY140+AZ135-AZ137)</f>
        <v>-4786.41741143777</v>
      </c>
      <c r="BA138" s="65" t="n">
        <f aca="false">-MIN((BA136-BA137)/MAX(1,Inputs!$C$45*12),AZ140+BA135-BA137)</f>
        <v>-4787.43060095294</v>
      </c>
      <c r="BB138" s="65" t="n">
        <f aca="false">-MIN((BB136-BB137)/MAX(1,Inputs!$C$45*12),BA140+BB135-BB137)</f>
        <v>-4788.44379046812</v>
      </c>
      <c r="BC138" s="65" t="n">
        <f aca="false">-MIN((BC136-BC137)/MAX(1,Inputs!$C$45*12),BB140+BC135-BC137)</f>
        <v>-4789.45697998329</v>
      </c>
      <c r="BD138" s="65" t="n">
        <f aca="false">-MIN((BD136-BD137)/MAX(1,Inputs!$C$45*12),BC140+BD135-BD137)</f>
        <v>-4790.47016949847</v>
      </c>
      <c r="BE138" s="65" t="n">
        <f aca="false">-MIN((BE136-BE137)/MAX(1,Inputs!$C$45*12),BD140+BE135-BE137)</f>
        <v>-4791.48335901364</v>
      </c>
      <c r="BF138" s="65" t="n">
        <f aca="false">-MIN((BF136-BF137)/MAX(1,Inputs!$C$45*12),BE140+BF135-BF137)</f>
        <v>-4792.49654852882</v>
      </c>
      <c r="BG138" s="65" t="n">
        <f aca="false">-MIN((BG136-BG137)/MAX(1,Inputs!$C$45*12),BF140+BG135-BG137)</f>
        <v>-4793.50973804399</v>
      </c>
      <c r="BH138" s="65" t="n">
        <f aca="false">-MIN((BH136-BH137)/MAX(1,Inputs!$C$45*12),BG140+BH135-BH137)</f>
        <v>-4794.52292755917</v>
      </c>
      <c r="BI138" s="65" t="n">
        <f aca="false">-MIN((BI136-BI137)/MAX(1,Inputs!$C$45*12),BH140+BI135-BI137)</f>
        <v>-4795.53611707434</v>
      </c>
      <c r="BJ138" s="65" t="n">
        <f aca="false">-MIN((BJ136-BJ137)/MAX(1,Inputs!$C$45*12),BI140+BJ135-BJ137)</f>
        <v>-4796.54930658952</v>
      </c>
    </row>
    <row r="139" customFormat="false" ht="15" hidden="false" customHeight="false" outlineLevel="0" collapsed="false">
      <c r="A139" s="6" t="s">
        <v>430</v>
      </c>
      <c r="C139" s="65" t="n">
        <f aca="false">C138</f>
        <v>-4740.09773662552</v>
      </c>
      <c r="D139" s="65" t="n">
        <f aca="false">C139+D138</f>
        <v>-9481.09567901235</v>
      </c>
      <c r="E139" s="65" t="n">
        <f aca="false">D139+E138</f>
        <v>-14222.9938271605</v>
      </c>
      <c r="F139" s="65" t="n">
        <f aca="false">E139+F138</f>
        <v>-18965.79218107</v>
      </c>
      <c r="G139" s="65" t="n">
        <f aca="false">F139+G138</f>
        <v>-23709.4907407407</v>
      </c>
      <c r="H139" s="65" t="n">
        <f aca="false">G139+H138</f>
        <v>-28454.0895061728</v>
      </c>
      <c r="I139" s="65" t="n">
        <f aca="false">H139+I138</f>
        <v>-33199.5884773663</v>
      </c>
      <c r="J139" s="65" t="n">
        <f aca="false">I139+J138</f>
        <v>-37945.987654321</v>
      </c>
      <c r="K139" s="65" t="n">
        <f aca="false">J139+K138</f>
        <v>-42693.2870370371</v>
      </c>
      <c r="L139" s="65" t="n">
        <f aca="false">K139+L138</f>
        <v>-47441.4866255144</v>
      </c>
      <c r="M139" s="65" t="n">
        <f aca="false">L139+M138</f>
        <v>-52190.5864197531</v>
      </c>
      <c r="N139" s="65" t="n">
        <f aca="false">M139+N138</f>
        <v>-56940.5864197531</v>
      </c>
      <c r="O139" s="65" t="n">
        <f aca="false">N139+O138</f>
        <v>-61691.5136316873</v>
      </c>
      <c r="P139" s="65" t="n">
        <f aca="false">O139+P138</f>
        <v>-66443.3680555556</v>
      </c>
      <c r="Q139" s="65" t="n">
        <f aca="false">P139+Q138</f>
        <v>-71196.1496913581</v>
      </c>
      <c r="R139" s="65" t="n">
        <f aca="false">Q139+R138</f>
        <v>-75949.8585390947</v>
      </c>
      <c r="S139" s="65" t="n">
        <f aca="false">R139+S138</f>
        <v>-80704.4945987655</v>
      </c>
      <c r="T139" s="65" t="n">
        <f aca="false">S139+T138</f>
        <v>-85460.0578703704</v>
      </c>
      <c r="U139" s="65" t="n">
        <f aca="false">T139+U138</f>
        <v>-90216.5483539095</v>
      </c>
      <c r="V139" s="65" t="n">
        <f aca="false">U139+V138</f>
        <v>-94973.9660493828</v>
      </c>
      <c r="W139" s="65" t="n">
        <f aca="false">V139+W138</f>
        <v>-99732.3109567902</v>
      </c>
      <c r="X139" s="65" t="n">
        <f aca="false">W139+X138</f>
        <v>-104491.583076132</v>
      </c>
      <c r="Y139" s="65" t="n">
        <f aca="false">X139+Y138</f>
        <v>-109251.782407407</v>
      </c>
      <c r="Z139" s="65" t="n">
        <f aca="false">Y139+Z138</f>
        <v>-114012.908950617</v>
      </c>
      <c r="AA139" s="65" t="n">
        <f aca="false">Z139+AA138</f>
        <v>-118774.990522119</v>
      </c>
      <c r="AB139" s="65" t="n">
        <f aca="false">AA139+AB138</f>
        <v>-123538.027121914</v>
      </c>
      <c r="AC139" s="65" t="n">
        <f aca="false">AB139+AC138</f>
        <v>-128302.01875</v>
      </c>
      <c r="AD139" s="65" t="n">
        <f aca="false">AC139+AD138</f>
        <v>-133066.965406379</v>
      </c>
      <c r="AE139" s="65" t="n">
        <f aca="false">AD139+AE138</f>
        <v>-137832.86709105</v>
      </c>
      <c r="AF139" s="65" t="n">
        <f aca="false">AE139+AF138</f>
        <v>-142599.723804012</v>
      </c>
      <c r="AG139" s="65" t="n">
        <f aca="false">AF139+AG138</f>
        <v>-147367.535545268</v>
      </c>
      <c r="AH139" s="65" t="n">
        <f aca="false">AG139+AH138</f>
        <v>-152136.302314815</v>
      </c>
      <c r="AI139" s="65" t="n">
        <f aca="false">AH139+AI138</f>
        <v>-156906.024112654</v>
      </c>
      <c r="AJ139" s="65" t="n">
        <f aca="false">AI139+AJ138</f>
        <v>-161676.700938786</v>
      </c>
      <c r="AK139" s="65" t="n">
        <f aca="false">AJ139+AK138</f>
        <v>-166448.33279321</v>
      </c>
      <c r="AL139" s="65" t="n">
        <f aca="false">AK139+AL138</f>
        <v>-171220.919675926</v>
      </c>
      <c r="AM139" s="65" t="n">
        <f aca="false">AL139+AM138</f>
        <v>-175994.490237783</v>
      </c>
      <c r="AN139" s="65" t="n">
        <f aca="false">AM139+AN138</f>
        <v>-180769.044478781</v>
      </c>
      <c r="AO139" s="65" t="n">
        <f aca="false">AN139+AO138</f>
        <v>-185544.58239892</v>
      </c>
      <c r="AP139" s="65" t="n">
        <f aca="false">AO139+AP138</f>
        <v>-190321.1039982</v>
      </c>
      <c r="AQ139" s="65" t="n">
        <f aca="false">AP139+AQ138</f>
        <v>-195098.609276621</v>
      </c>
      <c r="AR139" s="65" t="n">
        <f aca="false">AQ139+AR138</f>
        <v>-199877.098234182</v>
      </c>
      <c r="AS139" s="65" t="n">
        <f aca="false">AR139+AS138</f>
        <v>-204656.570870885</v>
      </c>
      <c r="AT139" s="65" t="n">
        <f aca="false">AS139+AT138</f>
        <v>-209437.027186729</v>
      </c>
      <c r="AU139" s="65" t="n">
        <f aca="false">AT139+AU138</f>
        <v>-214218.467181713</v>
      </c>
      <c r="AV139" s="65" t="n">
        <f aca="false">AU139+AV138</f>
        <v>-219000.890855839</v>
      </c>
      <c r="AW139" s="65" t="n">
        <f aca="false">AV139+AW138</f>
        <v>-223784.298209105</v>
      </c>
      <c r="AX139" s="65" t="n">
        <f aca="false">AW139+AX138</f>
        <v>-228568.689241512</v>
      </c>
      <c r="AY139" s="65" t="n">
        <f aca="false">AX139+AY138</f>
        <v>-233354.093463435</v>
      </c>
      <c r="AZ139" s="65" t="n">
        <f aca="false">AY139+AZ138</f>
        <v>-238140.510874873</v>
      </c>
      <c r="BA139" s="65" t="n">
        <f aca="false">AZ139+BA138</f>
        <v>-242927.941475826</v>
      </c>
      <c r="BB139" s="65" t="n">
        <f aca="false">BA139+BB138</f>
        <v>-247716.385266294</v>
      </c>
      <c r="BC139" s="65" t="n">
        <f aca="false">BB139+BC138</f>
        <v>-252505.842246277</v>
      </c>
      <c r="BD139" s="65" t="n">
        <f aca="false">BC139+BD138</f>
        <v>-257296.312415776</v>
      </c>
      <c r="BE139" s="65" t="n">
        <f aca="false">BD139+BE138</f>
        <v>-262087.795774789</v>
      </c>
      <c r="BF139" s="65" t="n">
        <f aca="false">BE139+BF138</f>
        <v>-266880.292323318</v>
      </c>
      <c r="BG139" s="65" t="n">
        <f aca="false">BF139+BG138</f>
        <v>-271673.802061362</v>
      </c>
      <c r="BH139" s="65" t="n">
        <f aca="false">BG139+BH138</f>
        <v>-276468.324988921</v>
      </c>
      <c r="BI139" s="65" t="n">
        <f aca="false">BH139+BI138</f>
        <v>-281263.861105996</v>
      </c>
      <c r="BJ139" s="65" t="n">
        <f aca="false">BI139+BJ138</f>
        <v>-286060.410412585</v>
      </c>
    </row>
    <row r="140" customFormat="false" ht="15" hidden="false" customHeight="false" outlineLevel="0" collapsed="false">
      <c r="A140" s="4" t="s">
        <v>92</v>
      </c>
      <c r="C140" s="71" t="n">
        <f aca="false">C136+C139</f>
        <v>1901051.56893004</v>
      </c>
      <c r="D140" s="71" t="n">
        <f aca="false">D136+D139</f>
        <v>1896602.23765432</v>
      </c>
      <c r="E140" s="71" t="n">
        <f aca="false">E136+E139</f>
        <v>1892152.00617284</v>
      </c>
      <c r="F140" s="71" t="n">
        <f aca="false">F136+F139</f>
        <v>1887700.8744856</v>
      </c>
      <c r="G140" s="71" t="n">
        <f aca="false">G136+G139</f>
        <v>1883248.84259259</v>
      </c>
      <c r="H140" s="71" t="n">
        <f aca="false">H136+H139</f>
        <v>1878795.91049383</v>
      </c>
      <c r="I140" s="71" t="n">
        <f aca="false">I136+I139</f>
        <v>1874342.0781893</v>
      </c>
      <c r="J140" s="71" t="n">
        <f aca="false">J136+J139</f>
        <v>1869887.34567901</v>
      </c>
      <c r="K140" s="71" t="n">
        <f aca="false">K136+K139</f>
        <v>1865431.71296296</v>
      </c>
      <c r="L140" s="71" t="n">
        <f aca="false">L136+L139</f>
        <v>1860975.18004115</v>
      </c>
      <c r="M140" s="71" t="n">
        <f aca="false">M136+M139</f>
        <v>1856517.74691358</v>
      </c>
      <c r="N140" s="71" t="n">
        <f aca="false">N136+N139</f>
        <v>1852059.41358025</v>
      </c>
      <c r="O140" s="71" t="n">
        <f aca="false">O136+O139</f>
        <v>1847608.90303498</v>
      </c>
      <c r="P140" s="71" t="n">
        <f aca="false">P136+P139</f>
        <v>1843157.46527778</v>
      </c>
      <c r="Q140" s="71" t="n">
        <f aca="false">Q136+Q139</f>
        <v>1838705.10030864</v>
      </c>
      <c r="R140" s="71" t="n">
        <f aca="false">R136+R139</f>
        <v>1834251.80812757</v>
      </c>
      <c r="S140" s="71" t="n">
        <f aca="false">S136+S139</f>
        <v>1829797.58873457</v>
      </c>
      <c r="T140" s="71" t="n">
        <f aca="false">T136+T139</f>
        <v>1825342.44212963</v>
      </c>
      <c r="U140" s="71" t="n">
        <f aca="false">U136+U139</f>
        <v>1820886.36831276</v>
      </c>
      <c r="V140" s="71" t="n">
        <f aca="false">V136+V139</f>
        <v>1816429.36728395</v>
      </c>
      <c r="W140" s="71" t="n">
        <f aca="false">W136+W139</f>
        <v>1811971.43904321</v>
      </c>
      <c r="X140" s="71" t="n">
        <f aca="false">X136+X139</f>
        <v>1807512.58359054</v>
      </c>
      <c r="Y140" s="71" t="n">
        <f aca="false">Y136+Y139</f>
        <v>1803052.80092593</v>
      </c>
      <c r="Z140" s="71" t="n">
        <f aca="false">Z136+Z139</f>
        <v>1798592.09104938</v>
      </c>
      <c r="AA140" s="71" t="n">
        <f aca="false">AA136+AA139</f>
        <v>1794139.43864455</v>
      </c>
      <c r="AB140" s="71" t="n">
        <f aca="false">AB136+AB139</f>
        <v>1789685.83121142</v>
      </c>
      <c r="AC140" s="71" t="n">
        <f aca="false">AC136+AC139</f>
        <v>1785231.26875</v>
      </c>
      <c r="AD140" s="71" t="n">
        <f aca="false">AD136+AD139</f>
        <v>1780775.75126029</v>
      </c>
      <c r="AE140" s="71" t="n">
        <f aca="false">AE136+AE139</f>
        <v>1776319.27874229</v>
      </c>
      <c r="AF140" s="71" t="n">
        <f aca="false">AF136+AF139</f>
        <v>1771861.85119599</v>
      </c>
      <c r="AG140" s="71" t="n">
        <f aca="false">AG136+AG139</f>
        <v>1767403.4686214</v>
      </c>
      <c r="AH140" s="71" t="n">
        <f aca="false">AH136+AH139</f>
        <v>1762944.13101852</v>
      </c>
      <c r="AI140" s="71" t="n">
        <f aca="false">AI136+AI139</f>
        <v>1758483.83838735</v>
      </c>
      <c r="AJ140" s="71" t="n">
        <f aca="false">AJ136+AJ139</f>
        <v>1754022.59072788</v>
      </c>
      <c r="AK140" s="71" t="n">
        <f aca="false">AK136+AK139</f>
        <v>1749560.38804013</v>
      </c>
      <c r="AL140" s="71" t="n">
        <f aca="false">AL136+AL139</f>
        <v>1745097.23032408</v>
      </c>
      <c r="AM140" s="71" t="n">
        <f aca="false">AM136+AM139</f>
        <v>1740642.37180389</v>
      </c>
      <c r="AN140" s="71" t="n">
        <f aca="false">AN136+AN139</f>
        <v>1736186.52960455</v>
      </c>
      <c r="AO140" s="71" t="n">
        <f aca="false">AO136+AO139</f>
        <v>1731729.70372608</v>
      </c>
      <c r="AP140" s="71" t="n">
        <f aca="false">AP136+AP139</f>
        <v>1727271.89416847</v>
      </c>
      <c r="AQ140" s="71" t="n">
        <f aca="false">AQ136+AQ139</f>
        <v>1722813.10093172</v>
      </c>
      <c r="AR140" s="71" t="n">
        <f aca="false">AR136+AR139</f>
        <v>1718353.32401582</v>
      </c>
      <c r="AS140" s="71" t="n">
        <f aca="false">AS136+AS139</f>
        <v>1713892.56342078</v>
      </c>
      <c r="AT140" s="71" t="n">
        <f aca="false">AT136+AT139</f>
        <v>1709430.81914661</v>
      </c>
      <c r="AU140" s="71" t="n">
        <f aca="false">AU136+AU139</f>
        <v>1704968.09119329</v>
      </c>
      <c r="AV140" s="71" t="n">
        <f aca="false">AV136+AV139</f>
        <v>1700504.37956083</v>
      </c>
      <c r="AW140" s="71" t="n">
        <f aca="false">AW136+AW139</f>
        <v>1696039.68424923</v>
      </c>
      <c r="AX140" s="71" t="n">
        <f aca="false">AX136+AX139</f>
        <v>1691574.00525849</v>
      </c>
      <c r="AY140" s="71" t="n">
        <f aca="false">AY136+AY139</f>
        <v>1687116.87443948</v>
      </c>
      <c r="AZ140" s="71" t="n">
        <f aca="false">AZ136+AZ139</f>
        <v>1682658.73043096</v>
      </c>
      <c r="BA140" s="71" t="n">
        <f aca="false">BA136+BA139</f>
        <v>1678199.57323293</v>
      </c>
      <c r="BB140" s="71" t="n">
        <f aca="false">BB136+BB139</f>
        <v>1673739.40284538</v>
      </c>
      <c r="BC140" s="71" t="n">
        <f aca="false">BC136+BC139</f>
        <v>1669278.21926831</v>
      </c>
      <c r="BD140" s="71" t="n">
        <f aca="false">BD136+BD139</f>
        <v>1664816.02250173</v>
      </c>
      <c r="BE140" s="71" t="n">
        <f aca="false">BE136+BE139</f>
        <v>1660352.81254563</v>
      </c>
      <c r="BF140" s="71" t="n">
        <f aca="false">BF136+BF139</f>
        <v>1655888.58940002</v>
      </c>
      <c r="BG140" s="71" t="n">
        <f aca="false">BG136+BG139</f>
        <v>1651423.35306489</v>
      </c>
      <c r="BH140" s="71" t="n">
        <f aca="false">BH136+BH139</f>
        <v>1646957.10354025</v>
      </c>
      <c r="BI140" s="71" t="n">
        <f aca="false">BI136+BI139</f>
        <v>1642489.84082609</v>
      </c>
      <c r="BJ140" s="71" t="n">
        <f aca="false">BJ136+BJ139</f>
        <v>1638021.56492242</v>
      </c>
    </row>
    <row r="142" customFormat="false" ht="15.75" hidden="false" customHeight="true" outlineLevel="0" collapsed="false">
      <c r="A142" s="7" t="s">
        <v>431</v>
      </c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</row>
    <row r="143" customFormat="false" ht="15" hidden="false" customHeight="false" outlineLevel="0" collapsed="false">
      <c r="A143" s="6" t="s">
        <v>432</v>
      </c>
      <c r="C143" s="65" t="n">
        <f aca="false">0</f>
        <v>0</v>
      </c>
      <c r="D143" s="65" t="n">
        <f aca="false">C148</f>
        <v>1198915.18371808</v>
      </c>
      <c r="E143" s="65" t="n">
        <f aca="false">D148</f>
        <v>1197824.49134798</v>
      </c>
      <c r="F143" s="65" t="n">
        <f aca="false">E148</f>
        <v>1196727.89106086</v>
      </c>
      <c r="G143" s="65" t="n">
        <f aca="false">F148</f>
        <v>1195625.35085553</v>
      </c>
      <c r="H143" s="65" t="n">
        <f aca="false">G148</f>
        <v>1194516.83855741</v>
      </c>
      <c r="I143" s="65" t="n">
        <f aca="false">H148</f>
        <v>1193402.32181768</v>
      </c>
      <c r="J143" s="65" t="n">
        <f aca="false">I148</f>
        <v>1192281.76811228</v>
      </c>
      <c r="K143" s="65" t="n">
        <f aca="false">J148</f>
        <v>1191155.14474097</v>
      </c>
      <c r="L143" s="65" t="n">
        <f aca="false">K148</f>
        <v>1190022.4188264</v>
      </c>
      <c r="M143" s="65" t="n">
        <f aca="false">L148</f>
        <v>1188883.55731313</v>
      </c>
      <c r="N143" s="65" t="n">
        <f aca="false">M148</f>
        <v>1187738.52696666</v>
      </c>
      <c r="O143" s="65" t="n">
        <f aca="false">N148</f>
        <v>1186587.29437248</v>
      </c>
      <c r="P143" s="65" t="n">
        <f aca="false">O148</f>
        <v>1185429.82593508</v>
      </c>
      <c r="Q143" s="65" t="n">
        <f aca="false">P148</f>
        <v>1184266.08787698</v>
      </c>
      <c r="R143" s="65" t="n">
        <f aca="false">Q148</f>
        <v>1183096.04623773</v>
      </c>
      <c r="S143" s="65" t="n">
        <f aca="false">R148</f>
        <v>1181919.66687294</v>
      </c>
      <c r="T143" s="65" t="n">
        <f aca="false">S148</f>
        <v>1180736.91545325</v>
      </c>
      <c r="U143" s="65" t="n">
        <f aca="false">T148</f>
        <v>1179547.75746337</v>
      </c>
      <c r="V143" s="65" t="n">
        <f aca="false">U148</f>
        <v>1178352.15820105</v>
      </c>
      <c r="W143" s="65" t="n">
        <f aca="false">V148</f>
        <v>1177150.08277606</v>
      </c>
      <c r="X143" s="65" t="n">
        <f aca="false">W148</f>
        <v>1175941.49610918</v>
      </c>
      <c r="Y143" s="65" t="n">
        <f aca="false">X148</f>
        <v>1174726.36293119</v>
      </c>
      <c r="Z143" s="65" t="n">
        <f aca="false">Y148</f>
        <v>1173504.64778182</v>
      </c>
      <c r="AA143" s="65" t="n">
        <f aca="false">Z148</f>
        <v>1172276.31500872</v>
      </c>
      <c r="AB143" s="65" t="n">
        <f aca="false">AA148</f>
        <v>1171041.32876644</v>
      </c>
      <c r="AC143" s="65" t="n">
        <f aca="false">AB148</f>
        <v>1169799.65301534</v>
      </c>
      <c r="AD143" s="65" t="n">
        <f aca="false">AC148</f>
        <v>1168551.25152059</v>
      </c>
      <c r="AE143" s="65" t="n">
        <f aca="false">AD148</f>
        <v>1167296.08785108</v>
      </c>
      <c r="AF143" s="65" t="n">
        <f aca="false">AE148</f>
        <v>1166034.12537835</v>
      </c>
      <c r="AG143" s="65" t="n">
        <f aca="false">AF148</f>
        <v>1164765.32727557</v>
      </c>
      <c r="AH143" s="65" t="n">
        <f aca="false">AG148</f>
        <v>1163489.6565164</v>
      </c>
      <c r="AI143" s="65" t="n">
        <f aca="false">AH148</f>
        <v>1162207.07587395</v>
      </c>
      <c r="AJ143" s="65" t="n">
        <f aca="false">AI148</f>
        <v>1160917.54791968</v>
      </c>
      <c r="AK143" s="65" t="n">
        <f aca="false">AJ148</f>
        <v>1159621.03502233</v>
      </c>
      <c r="AL143" s="65" t="n">
        <f aca="false">AK148</f>
        <v>1158317.49934679</v>
      </c>
      <c r="AM143" s="65" t="n">
        <f aca="false">AL148</f>
        <v>1157006.902853</v>
      </c>
      <c r="AN143" s="65" t="n">
        <f aca="false">AM148</f>
        <v>1155689.20729487</v>
      </c>
      <c r="AO143" s="65" t="n">
        <f aca="false">AN148</f>
        <v>1154364.37421914</v>
      </c>
      <c r="AP143" s="65" t="n">
        <f aca="false">AO148</f>
        <v>1153032.36496424</v>
      </c>
      <c r="AQ143" s="65" t="n">
        <f aca="false">AP148</f>
        <v>1151693.14065922</v>
      </c>
      <c r="AR143" s="65" t="n">
        <f aca="false">AQ148</f>
        <v>1150346.66222254</v>
      </c>
      <c r="AS143" s="65" t="n">
        <f aca="false">AR148</f>
        <v>1148992.89036099</v>
      </c>
      <c r="AT143" s="65" t="n">
        <f aca="false">AS148</f>
        <v>1147631.78556853</v>
      </c>
      <c r="AU143" s="65" t="n">
        <f aca="false">AT148</f>
        <v>1146263.30812511</v>
      </c>
      <c r="AV143" s="65" t="n">
        <f aca="false">AU148</f>
        <v>1144887.41809554</v>
      </c>
      <c r="AW143" s="65" t="n">
        <f aca="false">AV148</f>
        <v>1143504.07532831</v>
      </c>
      <c r="AX143" s="65" t="n">
        <f aca="false">AW148</f>
        <v>1142113.23945442</v>
      </c>
      <c r="AY143" s="65" t="n">
        <f aca="false">AX148</f>
        <v>1140714.86988622</v>
      </c>
      <c r="AZ143" s="65" t="n">
        <f aca="false">AY148</f>
        <v>1139308.92581619</v>
      </c>
      <c r="BA143" s="65" t="n">
        <f aca="false">AZ148</f>
        <v>1137895.36621578</v>
      </c>
      <c r="BB143" s="65" t="n">
        <f aca="false">BA148</f>
        <v>1136474.1498342</v>
      </c>
      <c r="BC143" s="65" t="n">
        <f aca="false">BB148</f>
        <v>1135045.23519722</v>
      </c>
      <c r="BD143" s="65" t="n">
        <f aca="false">BC148</f>
        <v>1133608.58060595</v>
      </c>
      <c r="BE143" s="65" t="n">
        <f aca="false">BD148</f>
        <v>1132164.14413565</v>
      </c>
      <c r="BF143" s="65" t="n">
        <f aca="false">BE148</f>
        <v>1130711.88363447</v>
      </c>
      <c r="BG143" s="65" t="n">
        <f aca="false">BF148</f>
        <v>1129251.75672224</v>
      </c>
      <c r="BH143" s="65" t="n">
        <f aca="false">BG148</f>
        <v>1127783.72078924</v>
      </c>
      <c r="BI143" s="65" t="n">
        <f aca="false">BH148</f>
        <v>1126307.73299493</v>
      </c>
      <c r="BJ143" s="65" t="n">
        <f aca="false">BI148</f>
        <v>1124823.75026674</v>
      </c>
    </row>
    <row r="144" customFormat="false" ht="15" hidden="false" customHeight="false" outlineLevel="0" collapsed="false">
      <c r="A144" s="6" t="s">
        <v>85</v>
      </c>
      <c r="C144" s="65" t="n">
        <f aca="false">IF(C$98=1,Inputs!$C$35,0)</f>
        <v>1200000</v>
      </c>
      <c r="D144" s="65" t="n">
        <f aca="false">IF(D$98=1,Inputs!$C$35,0)</f>
        <v>0</v>
      </c>
      <c r="E144" s="65" t="n">
        <f aca="false">IF(E$98=1,Inputs!$C$35,0)</f>
        <v>0</v>
      </c>
      <c r="F144" s="65" t="n">
        <f aca="false">IF(F$98=1,Inputs!$C$35,0)</f>
        <v>0</v>
      </c>
      <c r="G144" s="65" t="n">
        <f aca="false">IF(G$98=1,Inputs!$C$35,0)</f>
        <v>0</v>
      </c>
      <c r="H144" s="65" t="n">
        <f aca="false">IF(H$98=1,Inputs!$C$35,0)</f>
        <v>0</v>
      </c>
      <c r="I144" s="65" t="n">
        <f aca="false">IF(I$98=1,Inputs!$C$35,0)</f>
        <v>0</v>
      </c>
      <c r="J144" s="65" t="n">
        <f aca="false">IF(J$98=1,Inputs!$C$35,0)</f>
        <v>0</v>
      </c>
      <c r="K144" s="65" t="n">
        <f aca="false">IF(K$98=1,Inputs!$C$35,0)</f>
        <v>0</v>
      </c>
      <c r="L144" s="65" t="n">
        <f aca="false">IF(L$98=1,Inputs!$C$35,0)</f>
        <v>0</v>
      </c>
      <c r="M144" s="65" t="n">
        <f aca="false">IF(M$98=1,Inputs!$C$35,0)</f>
        <v>0</v>
      </c>
      <c r="N144" s="65" t="n">
        <f aca="false">IF(N$98=1,Inputs!$C$35,0)</f>
        <v>0</v>
      </c>
      <c r="O144" s="65" t="n">
        <f aca="false">IF(O$98=1,Inputs!$C$35,0)</f>
        <v>0</v>
      </c>
      <c r="P144" s="65" t="n">
        <f aca="false">IF(P$98=1,Inputs!$C$35,0)</f>
        <v>0</v>
      </c>
      <c r="Q144" s="65" t="n">
        <f aca="false">IF(Q$98=1,Inputs!$C$35,0)</f>
        <v>0</v>
      </c>
      <c r="R144" s="65" t="n">
        <f aca="false">IF(R$98=1,Inputs!$C$35,0)</f>
        <v>0</v>
      </c>
      <c r="S144" s="65" t="n">
        <f aca="false">IF(S$98=1,Inputs!$C$35,0)</f>
        <v>0</v>
      </c>
      <c r="T144" s="65" t="n">
        <f aca="false">IF(T$98=1,Inputs!$C$35,0)</f>
        <v>0</v>
      </c>
      <c r="U144" s="65" t="n">
        <f aca="false">IF(U$98=1,Inputs!$C$35,0)</f>
        <v>0</v>
      </c>
      <c r="V144" s="65" t="n">
        <f aca="false">IF(V$98=1,Inputs!$C$35,0)</f>
        <v>0</v>
      </c>
      <c r="W144" s="65" t="n">
        <f aca="false">IF(W$98=1,Inputs!$C$35,0)</f>
        <v>0</v>
      </c>
      <c r="X144" s="65" t="n">
        <f aca="false">IF(X$98=1,Inputs!$C$35,0)</f>
        <v>0</v>
      </c>
      <c r="Y144" s="65" t="n">
        <f aca="false">IF(Y$98=1,Inputs!$C$35,0)</f>
        <v>0</v>
      </c>
      <c r="Z144" s="65" t="n">
        <f aca="false">IF(Z$98=1,Inputs!$C$35,0)</f>
        <v>0</v>
      </c>
      <c r="AA144" s="65" t="n">
        <f aca="false">IF(AA$98=1,Inputs!$C$35,0)</f>
        <v>0</v>
      </c>
      <c r="AB144" s="65" t="n">
        <f aca="false">IF(AB$98=1,Inputs!$C$35,0)</f>
        <v>0</v>
      </c>
      <c r="AC144" s="65" t="n">
        <f aca="false">IF(AC$98=1,Inputs!$C$35,0)</f>
        <v>0</v>
      </c>
      <c r="AD144" s="65" t="n">
        <f aca="false">IF(AD$98=1,Inputs!$C$35,0)</f>
        <v>0</v>
      </c>
      <c r="AE144" s="65" t="n">
        <f aca="false">IF(AE$98=1,Inputs!$C$35,0)</f>
        <v>0</v>
      </c>
      <c r="AF144" s="65" t="n">
        <f aca="false">IF(AF$98=1,Inputs!$C$35,0)</f>
        <v>0</v>
      </c>
      <c r="AG144" s="65" t="n">
        <f aca="false">IF(AG$98=1,Inputs!$C$35,0)</f>
        <v>0</v>
      </c>
      <c r="AH144" s="65" t="n">
        <f aca="false">IF(AH$98=1,Inputs!$C$35,0)</f>
        <v>0</v>
      </c>
      <c r="AI144" s="65" t="n">
        <f aca="false">IF(AI$98=1,Inputs!$C$35,0)</f>
        <v>0</v>
      </c>
      <c r="AJ144" s="65" t="n">
        <f aca="false">IF(AJ$98=1,Inputs!$C$35,0)</f>
        <v>0</v>
      </c>
      <c r="AK144" s="65" t="n">
        <f aca="false">IF(AK$98=1,Inputs!$C$35,0)</f>
        <v>0</v>
      </c>
      <c r="AL144" s="65" t="n">
        <f aca="false">IF(AL$98=1,Inputs!$C$35,0)</f>
        <v>0</v>
      </c>
      <c r="AM144" s="65" t="n">
        <f aca="false">IF(AM$98=1,Inputs!$C$35,0)</f>
        <v>0</v>
      </c>
      <c r="AN144" s="65" t="n">
        <f aca="false">IF(AN$98=1,Inputs!$C$35,0)</f>
        <v>0</v>
      </c>
      <c r="AO144" s="65" t="n">
        <f aca="false">IF(AO$98=1,Inputs!$C$35,0)</f>
        <v>0</v>
      </c>
      <c r="AP144" s="65" t="n">
        <f aca="false">IF(AP$98=1,Inputs!$C$35,0)</f>
        <v>0</v>
      </c>
      <c r="AQ144" s="65" t="n">
        <f aca="false">IF(AQ$98=1,Inputs!$C$35,0)</f>
        <v>0</v>
      </c>
      <c r="AR144" s="65" t="n">
        <f aca="false">IF(AR$98=1,Inputs!$C$35,0)</f>
        <v>0</v>
      </c>
      <c r="AS144" s="65" t="n">
        <f aca="false">IF(AS$98=1,Inputs!$C$35,0)</f>
        <v>0</v>
      </c>
      <c r="AT144" s="65" t="n">
        <f aca="false">IF(AT$98=1,Inputs!$C$35,0)</f>
        <v>0</v>
      </c>
      <c r="AU144" s="65" t="n">
        <f aca="false">IF(AU$98=1,Inputs!$C$35,0)</f>
        <v>0</v>
      </c>
      <c r="AV144" s="65" t="n">
        <f aca="false">IF(AV$98=1,Inputs!$C$35,0)</f>
        <v>0</v>
      </c>
      <c r="AW144" s="65" t="n">
        <f aca="false">IF(AW$98=1,Inputs!$C$35,0)</f>
        <v>0</v>
      </c>
      <c r="AX144" s="65" t="n">
        <f aca="false">IF(AX$98=1,Inputs!$C$35,0)</f>
        <v>0</v>
      </c>
      <c r="AY144" s="65" t="n">
        <f aca="false">IF(AY$98=1,Inputs!$C$35,0)</f>
        <v>0</v>
      </c>
      <c r="AZ144" s="65" t="n">
        <f aca="false">IF(AZ$98=1,Inputs!$C$35,0)</f>
        <v>0</v>
      </c>
      <c r="BA144" s="65" t="n">
        <f aca="false">IF(BA$98=1,Inputs!$C$35,0)</f>
        <v>0</v>
      </c>
      <c r="BB144" s="65" t="n">
        <f aca="false">IF(BB$98=1,Inputs!$C$35,0)</f>
        <v>0</v>
      </c>
      <c r="BC144" s="65" t="n">
        <f aca="false">IF(BC$98=1,Inputs!$C$35,0)</f>
        <v>0</v>
      </c>
      <c r="BD144" s="65" t="n">
        <f aca="false">IF(BD$98=1,Inputs!$C$35,0)</f>
        <v>0</v>
      </c>
      <c r="BE144" s="65" t="n">
        <f aca="false">IF(BE$98=1,Inputs!$C$35,0)</f>
        <v>0</v>
      </c>
      <c r="BF144" s="65" t="n">
        <f aca="false">IF(BF$98=1,Inputs!$C$35,0)</f>
        <v>0</v>
      </c>
      <c r="BG144" s="65" t="n">
        <f aca="false">IF(BG$98=1,Inputs!$C$35,0)</f>
        <v>0</v>
      </c>
      <c r="BH144" s="65" t="n">
        <f aca="false">IF(BH$98=1,Inputs!$C$35,0)</f>
        <v>0</v>
      </c>
      <c r="BI144" s="65" t="n">
        <f aca="false">IF(BI$98=1,Inputs!$C$35,0)</f>
        <v>0</v>
      </c>
      <c r="BJ144" s="65" t="n">
        <f aca="false">IF(BJ$98=1,Inputs!$C$35,0)</f>
        <v>0</v>
      </c>
    </row>
    <row r="145" customFormat="false" ht="15" hidden="false" customHeight="false" outlineLevel="0" collapsed="false">
      <c r="A145" s="6" t="s">
        <v>433</v>
      </c>
      <c r="C145" s="65" t="n">
        <f aca="false">-PMT(Inputs!$C$36/12,MAX(1,Inputs!$C$37*12),Inputs!$C$35)</f>
        <v>7584.81628191557</v>
      </c>
      <c r="D145" s="65" t="n">
        <f aca="false">-PMT(Inputs!$C$36/12,MAX(1,Inputs!$C$37*12),Inputs!$C$35)</f>
        <v>7584.81628191557</v>
      </c>
      <c r="E145" s="65" t="n">
        <f aca="false">-PMT(Inputs!$C$36/12,MAX(1,Inputs!$C$37*12),Inputs!$C$35)</f>
        <v>7584.81628191557</v>
      </c>
      <c r="F145" s="65" t="n">
        <f aca="false">-PMT(Inputs!$C$36/12,MAX(1,Inputs!$C$37*12),Inputs!$C$35)</f>
        <v>7584.81628191557</v>
      </c>
      <c r="G145" s="65" t="n">
        <f aca="false">-PMT(Inputs!$C$36/12,MAX(1,Inputs!$C$37*12),Inputs!$C$35)</f>
        <v>7584.81628191557</v>
      </c>
      <c r="H145" s="65" t="n">
        <f aca="false">-PMT(Inputs!$C$36/12,MAX(1,Inputs!$C$37*12),Inputs!$C$35)</f>
        <v>7584.81628191557</v>
      </c>
      <c r="I145" s="65" t="n">
        <f aca="false">-PMT(Inputs!$C$36/12,MAX(1,Inputs!$C$37*12),Inputs!$C$35)</f>
        <v>7584.81628191557</v>
      </c>
      <c r="J145" s="65" t="n">
        <f aca="false">-PMT(Inputs!$C$36/12,MAX(1,Inputs!$C$37*12),Inputs!$C$35)</f>
        <v>7584.81628191557</v>
      </c>
      <c r="K145" s="65" t="n">
        <f aca="false">-PMT(Inputs!$C$36/12,MAX(1,Inputs!$C$37*12),Inputs!$C$35)</f>
        <v>7584.81628191557</v>
      </c>
      <c r="L145" s="65" t="n">
        <f aca="false">-PMT(Inputs!$C$36/12,MAX(1,Inputs!$C$37*12),Inputs!$C$35)</f>
        <v>7584.81628191557</v>
      </c>
      <c r="M145" s="65" t="n">
        <f aca="false">-PMT(Inputs!$C$36/12,MAX(1,Inputs!$C$37*12),Inputs!$C$35)</f>
        <v>7584.81628191557</v>
      </c>
      <c r="N145" s="65" t="n">
        <f aca="false">-PMT(Inputs!$C$36/12,MAX(1,Inputs!$C$37*12),Inputs!$C$35)</f>
        <v>7584.81628191557</v>
      </c>
      <c r="O145" s="65" t="n">
        <f aca="false">-PMT(Inputs!$C$36/12,MAX(1,Inputs!$C$37*12),Inputs!$C$35)</f>
        <v>7584.81628191557</v>
      </c>
      <c r="P145" s="65" t="n">
        <f aca="false">-PMT(Inputs!$C$36/12,MAX(1,Inputs!$C$37*12),Inputs!$C$35)</f>
        <v>7584.81628191557</v>
      </c>
      <c r="Q145" s="65" t="n">
        <f aca="false">-PMT(Inputs!$C$36/12,MAX(1,Inputs!$C$37*12),Inputs!$C$35)</f>
        <v>7584.81628191557</v>
      </c>
      <c r="R145" s="65" t="n">
        <f aca="false">-PMT(Inputs!$C$36/12,MAX(1,Inputs!$C$37*12),Inputs!$C$35)</f>
        <v>7584.81628191557</v>
      </c>
      <c r="S145" s="65" t="n">
        <f aca="false">-PMT(Inputs!$C$36/12,MAX(1,Inputs!$C$37*12),Inputs!$C$35)</f>
        <v>7584.81628191557</v>
      </c>
      <c r="T145" s="65" t="n">
        <f aca="false">-PMT(Inputs!$C$36/12,MAX(1,Inputs!$C$37*12),Inputs!$C$35)</f>
        <v>7584.81628191557</v>
      </c>
      <c r="U145" s="65" t="n">
        <f aca="false">-PMT(Inputs!$C$36/12,MAX(1,Inputs!$C$37*12),Inputs!$C$35)</f>
        <v>7584.81628191557</v>
      </c>
      <c r="V145" s="65" t="n">
        <f aca="false">-PMT(Inputs!$C$36/12,MAX(1,Inputs!$C$37*12),Inputs!$C$35)</f>
        <v>7584.81628191557</v>
      </c>
      <c r="W145" s="65" t="n">
        <f aca="false">-PMT(Inputs!$C$36/12,MAX(1,Inputs!$C$37*12),Inputs!$C$35)</f>
        <v>7584.81628191557</v>
      </c>
      <c r="X145" s="65" t="n">
        <f aca="false">-PMT(Inputs!$C$36/12,MAX(1,Inputs!$C$37*12),Inputs!$C$35)</f>
        <v>7584.81628191557</v>
      </c>
      <c r="Y145" s="65" t="n">
        <f aca="false">-PMT(Inputs!$C$36/12,MAX(1,Inputs!$C$37*12),Inputs!$C$35)</f>
        <v>7584.81628191557</v>
      </c>
      <c r="Z145" s="65" t="n">
        <f aca="false">-PMT(Inputs!$C$36/12,MAX(1,Inputs!$C$37*12),Inputs!$C$35)</f>
        <v>7584.81628191557</v>
      </c>
      <c r="AA145" s="65" t="n">
        <f aca="false">-PMT(Inputs!$C$36/12,MAX(1,Inputs!$C$37*12),Inputs!$C$35)</f>
        <v>7584.81628191557</v>
      </c>
      <c r="AB145" s="65" t="n">
        <f aca="false">-PMT(Inputs!$C$36/12,MAX(1,Inputs!$C$37*12),Inputs!$C$35)</f>
        <v>7584.81628191557</v>
      </c>
      <c r="AC145" s="65" t="n">
        <f aca="false">-PMT(Inputs!$C$36/12,MAX(1,Inputs!$C$37*12),Inputs!$C$35)</f>
        <v>7584.81628191557</v>
      </c>
      <c r="AD145" s="65" t="n">
        <f aca="false">-PMT(Inputs!$C$36/12,MAX(1,Inputs!$C$37*12),Inputs!$C$35)</f>
        <v>7584.81628191557</v>
      </c>
      <c r="AE145" s="65" t="n">
        <f aca="false">-PMT(Inputs!$C$36/12,MAX(1,Inputs!$C$37*12),Inputs!$C$35)</f>
        <v>7584.81628191557</v>
      </c>
      <c r="AF145" s="65" t="n">
        <f aca="false">-PMT(Inputs!$C$36/12,MAX(1,Inputs!$C$37*12),Inputs!$C$35)</f>
        <v>7584.81628191557</v>
      </c>
      <c r="AG145" s="65" t="n">
        <f aca="false">-PMT(Inputs!$C$36/12,MAX(1,Inputs!$C$37*12),Inputs!$C$35)</f>
        <v>7584.81628191557</v>
      </c>
      <c r="AH145" s="65" t="n">
        <f aca="false">-PMT(Inputs!$C$36/12,MAX(1,Inputs!$C$37*12),Inputs!$C$35)</f>
        <v>7584.81628191557</v>
      </c>
      <c r="AI145" s="65" t="n">
        <f aca="false">-PMT(Inputs!$C$36/12,MAX(1,Inputs!$C$37*12),Inputs!$C$35)</f>
        <v>7584.81628191557</v>
      </c>
      <c r="AJ145" s="65" t="n">
        <f aca="false">-PMT(Inputs!$C$36/12,MAX(1,Inputs!$C$37*12),Inputs!$C$35)</f>
        <v>7584.81628191557</v>
      </c>
      <c r="AK145" s="65" t="n">
        <f aca="false">-PMT(Inputs!$C$36/12,MAX(1,Inputs!$C$37*12),Inputs!$C$35)</f>
        <v>7584.81628191557</v>
      </c>
      <c r="AL145" s="65" t="n">
        <f aca="false">-PMT(Inputs!$C$36/12,MAX(1,Inputs!$C$37*12),Inputs!$C$35)</f>
        <v>7584.81628191557</v>
      </c>
      <c r="AM145" s="65" t="n">
        <f aca="false">-PMT(Inputs!$C$36/12,MAX(1,Inputs!$C$37*12),Inputs!$C$35)</f>
        <v>7584.81628191557</v>
      </c>
      <c r="AN145" s="65" t="n">
        <f aca="false">-PMT(Inputs!$C$36/12,MAX(1,Inputs!$C$37*12),Inputs!$C$35)</f>
        <v>7584.81628191557</v>
      </c>
      <c r="AO145" s="65" t="n">
        <f aca="false">-PMT(Inputs!$C$36/12,MAX(1,Inputs!$C$37*12),Inputs!$C$35)</f>
        <v>7584.81628191557</v>
      </c>
      <c r="AP145" s="65" t="n">
        <f aca="false">-PMT(Inputs!$C$36/12,MAX(1,Inputs!$C$37*12),Inputs!$C$35)</f>
        <v>7584.81628191557</v>
      </c>
      <c r="AQ145" s="65" t="n">
        <f aca="false">-PMT(Inputs!$C$36/12,MAX(1,Inputs!$C$37*12),Inputs!$C$35)</f>
        <v>7584.81628191557</v>
      </c>
      <c r="AR145" s="65" t="n">
        <f aca="false">-PMT(Inputs!$C$36/12,MAX(1,Inputs!$C$37*12),Inputs!$C$35)</f>
        <v>7584.81628191557</v>
      </c>
      <c r="AS145" s="65" t="n">
        <f aca="false">-PMT(Inputs!$C$36/12,MAX(1,Inputs!$C$37*12),Inputs!$C$35)</f>
        <v>7584.81628191557</v>
      </c>
      <c r="AT145" s="65" t="n">
        <f aca="false">-PMT(Inputs!$C$36/12,MAX(1,Inputs!$C$37*12),Inputs!$C$35)</f>
        <v>7584.81628191557</v>
      </c>
      <c r="AU145" s="65" t="n">
        <f aca="false">-PMT(Inputs!$C$36/12,MAX(1,Inputs!$C$37*12),Inputs!$C$35)</f>
        <v>7584.81628191557</v>
      </c>
      <c r="AV145" s="65" t="n">
        <f aca="false">-PMT(Inputs!$C$36/12,MAX(1,Inputs!$C$37*12),Inputs!$C$35)</f>
        <v>7584.81628191557</v>
      </c>
      <c r="AW145" s="65" t="n">
        <f aca="false">-PMT(Inputs!$C$36/12,MAX(1,Inputs!$C$37*12),Inputs!$C$35)</f>
        <v>7584.81628191557</v>
      </c>
      <c r="AX145" s="65" t="n">
        <f aca="false">-PMT(Inputs!$C$36/12,MAX(1,Inputs!$C$37*12),Inputs!$C$35)</f>
        <v>7584.81628191557</v>
      </c>
      <c r="AY145" s="65" t="n">
        <f aca="false">-PMT(Inputs!$C$36/12,MAX(1,Inputs!$C$37*12),Inputs!$C$35)</f>
        <v>7584.81628191557</v>
      </c>
      <c r="AZ145" s="65" t="n">
        <f aca="false">-PMT(Inputs!$C$36/12,MAX(1,Inputs!$C$37*12),Inputs!$C$35)</f>
        <v>7584.81628191557</v>
      </c>
      <c r="BA145" s="65" t="n">
        <f aca="false">-PMT(Inputs!$C$36/12,MAX(1,Inputs!$C$37*12),Inputs!$C$35)</f>
        <v>7584.81628191557</v>
      </c>
      <c r="BB145" s="65" t="n">
        <f aca="false">-PMT(Inputs!$C$36/12,MAX(1,Inputs!$C$37*12),Inputs!$C$35)</f>
        <v>7584.81628191557</v>
      </c>
      <c r="BC145" s="65" t="n">
        <f aca="false">-PMT(Inputs!$C$36/12,MAX(1,Inputs!$C$37*12),Inputs!$C$35)</f>
        <v>7584.81628191557</v>
      </c>
      <c r="BD145" s="65" t="n">
        <f aca="false">-PMT(Inputs!$C$36/12,MAX(1,Inputs!$C$37*12),Inputs!$C$35)</f>
        <v>7584.81628191557</v>
      </c>
      <c r="BE145" s="65" t="n">
        <f aca="false">-PMT(Inputs!$C$36/12,MAX(1,Inputs!$C$37*12),Inputs!$C$35)</f>
        <v>7584.81628191557</v>
      </c>
      <c r="BF145" s="65" t="n">
        <f aca="false">-PMT(Inputs!$C$36/12,MAX(1,Inputs!$C$37*12),Inputs!$C$35)</f>
        <v>7584.81628191557</v>
      </c>
      <c r="BG145" s="65" t="n">
        <f aca="false">-PMT(Inputs!$C$36/12,MAX(1,Inputs!$C$37*12),Inputs!$C$35)</f>
        <v>7584.81628191557</v>
      </c>
      <c r="BH145" s="65" t="n">
        <f aca="false">-PMT(Inputs!$C$36/12,MAX(1,Inputs!$C$37*12),Inputs!$C$35)</f>
        <v>7584.81628191557</v>
      </c>
      <c r="BI145" s="65" t="n">
        <f aca="false">-PMT(Inputs!$C$36/12,MAX(1,Inputs!$C$37*12),Inputs!$C$35)</f>
        <v>7584.81628191557</v>
      </c>
      <c r="BJ145" s="65" t="n">
        <f aca="false">-PMT(Inputs!$C$36/12,MAX(1,Inputs!$C$37*12),Inputs!$C$35)</f>
        <v>7584.81628191557</v>
      </c>
    </row>
    <row r="146" customFormat="false" ht="15" hidden="false" customHeight="false" outlineLevel="0" collapsed="false">
      <c r="A146" s="6" t="s">
        <v>434</v>
      </c>
      <c r="C146" s="65" t="n">
        <f aca="false">-MIN(C143+C144,C145+C124)</f>
        <v>-1084.81628191557</v>
      </c>
      <c r="D146" s="65" t="n">
        <f aca="false">-MIN(D143+D144,D145+D124)</f>
        <v>-1090.69237010927</v>
      </c>
      <c r="E146" s="65" t="n">
        <f aca="false">-MIN(E143+E144,E145+E124)</f>
        <v>-1096.60028711403</v>
      </c>
      <c r="F146" s="65" t="n">
        <f aca="false">-MIN(F143+F144,F145+F124)</f>
        <v>-1102.5402053359</v>
      </c>
      <c r="G146" s="65" t="n">
        <f aca="false">-MIN(G143+G144,G145+G124)</f>
        <v>-1108.5122981148</v>
      </c>
      <c r="H146" s="65" t="n">
        <f aca="false">-MIN(H143+H144,H145+H124)</f>
        <v>-1114.51673972959</v>
      </c>
      <c r="I146" s="65" t="n">
        <f aca="false">-MIN(I143+I144,I145+I124)</f>
        <v>-1120.55370540313</v>
      </c>
      <c r="J146" s="65" t="n">
        <f aca="false">-MIN(J143+J144,J145+J124)</f>
        <v>-1126.62337130739</v>
      </c>
      <c r="K146" s="65" t="n">
        <f aca="false">-MIN(K143+K144,K145+K124)</f>
        <v>-1132.72591456864</v>
      </c>
      <c r="L146" s="65" t="n">
        <f aca="false">-MIN(L143+L144,L145+L124)</f>
        <v>-1138.86151327256</v>
      </c>
      <c r="M146" s="65" t="n">
        <f aca="false">-MIN(M143+M144,M145+M124)</f>
        <v>-1145.03034646945</v>
      </c>
      <c r="N146" s="65" t="n">
        <f aca="false">-MIN(N143+N144,N145+N124)</f>
        <v>-1151.23259417949</v>
      </c>
      <c r="O146" s="65" t="n">
        <f aca="false">-MIN(O143+O144,O145+O124)</f>
        <v>-1157.46843739797</v>
      </c>
      <c r="P146" s="65" t="n">
        <f aca="false">-MIN(P143+P144,P145+P124)</f>
        <v>-1163.73805810054</v>
      </c>
      <c r="Q146" s="65" t="n">
        <f aca="false">-MIN(Q143+Q144,Q145+Q124)</f>
        <v>-1170.04163924858</v>
      </c>
      <c r="R146" s="65" t="n">
        <f aca="false">-MIN(R143+R144,R145+R124)</f>
        <v>-1176.37936479451</v>
      </c>
      <c r="S146" s="65" t="n">
        <f aca="false">-MIN(S143+S144,S145+S124)</f>
        <v>-1182.75141968715</v>
      </c>
      <c r="T146" s="65" t="n">
        <f aca="false">-MIN(T143+T144,T145+T124)</f>
        <v>-1189.15798987712</v>
      </c>
      <c r="U146" s="65" t="n">
        <f aca="false">-MIN(U143+U144,U145+U124)</f>
        <v>-1195.59926232229</v>
      </c>
      <c r="V146" s="65" t="n">
        <f aca="false">-MIN(V143+V144,V145+V124)</f>
        <v>-1202.0754249932</v>
      </c>
      <c r="W146" s="65" t="n">
        <f aca="false">-MIN(W143+W144,W145+W124)</f>
        <v>-1208.58666687858</v>
      </c>
      <c r="X146" s="65" t="n">
        <f aca="false">-MIN(X143+X144,X145+X124)</f>
        <v>-1215.13317799084</v>
      </c>
      <c r="Y146" s="65" t="n">
        <f aca="false">-MIN(Y143+Y144,Y145+Y124)</f>
        <v>-1221.71514937162</v>
      </c>
      <c r="Z146" s="65" t="n">
        <f aca="false">-MIN(Z143+Z144,Z145+Z124)</f>
        <v>-1228.33277309739</v>
      </c>
      <c r="AA146" s="65" t="n">
        <f aca="false">-MIN(AA143+AA144,AA145+AA124)</f>
        <v>-1234.986242285</v>
      </c>
      <c r="AB146" s="65" t="n">
        <f aca="false">-MIN(AB143+AB144,AB145+AB124)</f>
        <v>-1241.67575109737</v>
      </c>
      <c r="AC146" s="65" t="n">
        <f aca="false">-MIN(AC143+AC144,AC145+AC124)</f>
        <v>-1248.40149474915</v>
      </c>
      <c r="AD146" s="65" t="n">
        <f aca="false">-MIN(AD143+AD144,AD145+AD124)</f>
        <v>-1255.16366951237</v>
      </c>
      <c r="AE146" s="65" t="n">
        <f aca="false">-MIN(AE143+AE144,AE145+AE124)</f>
        <v>-1261.96247272223</v>
      </c>
      <c r="AF146" s="65" t="n">
        <f aca="false">-MIN(AF143+AF144,AF145+AF124)</f>
        <v>-1268.79810278281</v>
      </c>
      <c r="AG146" s="65" t="n">
        <f aca="false">-MIN(AG143+AG144,AG145+AG124)</f>
        <v>-1275.67075917288</v>
      </c>
      <c r="AH146" s="65" t="n">
        <f aca="false">-MIN(AH143+AH144,AH145+AH124)</f>
        <v>-1282.58064245174</v>
      </c>
      <c r="AI146" s="65" t="n">
        <f aca="false">-MIN(AI143+AI144,AI145+AI124)</f>
        <v>-1289.52795426502</v>
      </c>
      <c r="AJ146" s="65" t="n">
        <f aca="false">-MIN(AJ143+AJ144,AJ145+AJ124)</f>
        <v>-1296.51289735062</v>
      </c>
      <c r="AK146" s="65" t="n">
        <f aca="false">-MIN(AK143+AK144,AK145+AK124)</f>
        <v>-1303.5356755446</v>
      </c>
      <c r="AL146" s="65" t="n">
        <f aca="false">-MIN(AL143+AL144,AL145+AL124)</f>
        <v>-1310.59649378714</v>
      </c>
      <c r="AM146" s="65" t="n">
        <f aca="false">-MIN(AM143+AM144,AM145+AM124)</f>
        <v>-1317.69555812848</v>
      </c>
      <c r="AN146" s="65" t="n">
        <f aca="false">-MIN(AN143+AN144,AN145+AN124)</f>
        <v>-1324.83307573501</v>
      </c>
      <c r="AO146" s="65" t="n">
        <f aca="false">-MIN(AO143+AO144,AO145+AO124)</f>
        <v>-1332.00925489524</v>
      </c>
      <c r="AP146" s="65" t="n">
        <f aca="false">-MIN(AP143+AP144,AP145+AP124)</f>
        <v>-1339.22430502593</v>
      </c>
      <c r="AQ146" s="65" t="n">
        <f aca="false">-MIN(AQ143+AQ144,AQ145+AQ124)</f>
        <v>-1346.47843667815</v>
      </c>
      <c r="AR146" s="65" t="n">
        <f aca="false">-MIN(AR143+AR144,AR145+AR124)</f>
        <v>-1353.77186154349</v>
      </c>
      <c r="AS146" s="65" t="n">
        <f aca="false">-MIN(AS143+AS144,AS145+AS124)</f>
        <v>-1361.10479246018</v>
      </c>
      <c r="AT146" s="65" t="n">
        <f aca="false">-MIN(AT143+AT144,AT145+AT124)</f>
        <v>-1368.47744341934</v>
      </c>
      <c r="AU146" s="65" t="n">
        <f aca="false">-MIN(AU143+AU144,AU145+AU124)</f>
        <v>-1375.8900295712</v>
      </c>
      <c r="AV146" s="65" t="n">
        <f aca="false">-MIN(AV143+AV144,AV145+AV124)</f>
        <v>-1383.34276723137</v>
      </c>
      <c r="AW146" s="65" t="n">
        <f aca="false">-MIN(AW143+AW144,AW145+AW124)</f>
        <v>-1390.83587388721</v>
      </c>
      <c r="AX146" s="65" t="n">
        <f aca="false">-MIN(AX143+AX144,AX145+AX124)</f>
        <v>-1398.3695682041</v>
      </c>
      <c r="AY146" s="65" t="n">
        <f aca="false">-MIN(AY143+AY144,AY145+AY124)</f>
        <v>-1405.94407003187</v>
      </c>
      <c r="AZ146" s="65" t="n">
        <f aca="false">-MIN(AZ143+AZ144,AZ145+AZ124)</f>
        <v>-1413.55960041121</v>
      </c>
      <c r="BA146" s="65" t="n">
        <f aca="false">-MIN(BA143+BA144,BA145+BA124)</f>
        <v>-1421.21638158011</v>
      </c>
      <c r="BB146" s="65" t="n">
        <f aca="false">-MIN(BB143+BB144,BB145+BB124)</f>
        <v>-1428.91463698033</v>
      </c>
      <c r="BC146" s="65" t="n">
        <f aca="false">-MIN(BC143+BC144,BC145+BC124)</f>
        <v>-1436.65459126397</v>
      </c>
      <c r="BD146" s="65" t="n">
        <f aca="false">-MIN(BD143+BD144,BD145+BD124)</f>
        <v>-1444.43647029999</v>
      </c>
      <c r="BE146" s="65" t="n">
        <f aca="false">-MIN(BE143+BE144,BE145+BE124)</f>
        <v>-1452.26050118078</v>
      </c>
      <c r="BF146" s="65" t="n">
        <f aca="false">-MIN(BF143+BF144,BF145+BF124)</f>
        <v>-1460.12691222884</v>
      </c>
      <c r="BG146" s="65" t="n">
        <f aca="false">-MIN(BG143+BG144,BG145+BG124)</f>
        <v>-1468.03593300341</v>
      </c>
      <c r="BH146" s="65" t="n">
        <f aca="false">-MIN(BH143+BH144,BH145+BH124)</f>
        <v>-1475.98779430718</v>
      </c>
      <c r="BI146" s="65" t="n">
        <f aca="false">-MIN(BI143+BI144,BI145+BI124)</f>
        <v>-1483.98272819301</v>
      </c>
      <c r="BJ146" s="65" t="n">
        <f aca="false">-MIN(BJ143+BJ144,BJ145+BJ124)</f>
        <v>-1492.02096797073</v>
      </c>
    </row>
    <row r="147" customFormat="false" ht="15" hidden="false" customHeight="false" outlineLevel="0" collapsed="false">
      <c r="A147" s="6" t="s">
        <v>61</v>
      </c>
      <c r="C147" s="65" t="n">
        <f aca="false">C124+C146</f>
        <v>-7584.81628191557</v>
      </c>
      <c r="D147" s="65" t="n">
        <f aca="false">D124+D146</f>
        <v>-7584.81628191557</v>
      </c>
      <c r="E147" s="65" t="n">
        <f aca="false">E124+E146</f>
        <v>-7584.81628191557</v>
      </c>
      <c r="F147" s="65" t="n">
        <f aca="false">F124+F146</f>
        <v>-7584.81628191557</v>
      </c>
      <c r="G147" s="65" t="n">
        <f aca="false">G124+G146</f>
        <v>-7584.81628191557</v>
      </c>
      <c r="H147" s="65" t="n">
        <f aca="false">H124+H146</f>
        <v>-7584.81628191557</v>
      </c>
      <c r="I147" s="65" t="n">
        <f aca="false">I124+I146</f>
        <v>-7584.81628191557</v>
      </c>
      <c r="J147" s="65" t="n">
        <f aca="false">J124+J146</f>
        <v>-7584.81628191557</v>
      </c>
      <c r="K147" s="65" t="n">
        <f aca="false">K124+K146</f>
        <v>-7584.81628191557</v>
      </c>
      <c r="L147" s="65" t="n">
        <f aca="false">L124+L146</f>
        <v>-7584.81628191557</v>
      </c>
      <c r="M147" s="65" t="n">
        <f aca="false">M124+M146</f>
        <v>-7584.81628191557</v>
      </c>
      <c r="N147" s="65" t="n">
        <f aca="false">N124+N146</f>
        <v>-7584.81628191557</v>
      </c>
      <c r="O147" s="65" t="n">
        <f aca="false">O124+O146</f>
        <v>-7584.81628191557</v>
      </c>
      <c r="P147" s="65" t="n">
        <f aca="false">P124+P146</f>
        <v>-7584.81628191557</v>
      </c>
      <c r="Q147" s="65" t="n">
        <f aca="false">Q124+Q146</f>
        <v>-7584.81628191557</v>
      </c>
      <c r="R147" s="65" t="n">
        <f aca="false">R124+R146</f>
        <v>-7584.81628191557</v>
      </c>
      <c r="S147" s="65" t="n">
        <f aca="false">S124+S146</f>
        <v>-7584.81628191557</v>
      </c>
      <c r="T147" s="65" t="n">
        <f aca="false">T124+T146</f>
        <v>-7584.81628191557</v>
      </c>
      <c r="U147" s="65" t="n">
        <f aca="false">U124+U146</f>
        <v>-7584.81628191557</v>
      </c>
      <c r="V147" s="65" t="n">
        <f aca="false">V124+V146</f>
        <v>-7584.81628191557</v>
      </c>
      <c r="W147" s="65" t="n">
        <f aca="false">W124+W146</f>
        <v>-7584.81628191557</v>
      </c>
      <c r="X147" s="65" t="n">
        <f aca="false">X124+X146</f>
        <v>-7584.81628191557</v>
      </c>
      <c r="Y147" s="65" t="n">
        <f aca="false">Y124+Y146</f>
        <v>-7584.81628191557</v>
      </c>
      <c r="Z147" s="65" t="n">
        <f aca="false">Z124+Z146</f>
        <v>-7584.81628191557</v>
      </c>
      <c r="AA147" s="65" t="n">
        <f aca="false">AA124+AA146</f>
        <v>-7584.81628191557</v>
      </c>
      <c r="AB147" s="65" t="n">
        <f aca="false">AB124+AB146</f>
        <v>-7584.81628191557</v>
      </c>
      <c r="AC147" s="65" t="n">
        <f aca="false">AC124+AC146</f>
        <v>-7584.81628191557</v>
      </c>
      <c r="AD147" s="65" t="n">
        <f aca="false">AD124+AD146</f>
        <v>-7584.81628191557</v>
      </c>
      <c r="AE147" s="65" t="n">
        <f aca="false">AE124+AE146</f>
        <v>-7584.81628191557</v>
      </c>
      <c r="AF147" s="65" t="n">
        <f aca="false">AF124+AF146</f>
        <v>-7584.81628191557</v>
      </c>
      <c r="AG147" s="65" t="n">
        <f aca="false">AG124+AG146</f>
        <v>-7584.81628191557</v>
      </c>
      <c r="AH147" s="65" t="n">
        <f aca="false">AH124+AH146</f>
        <v>-7584.81628191557</v>
      </c>
      <c r="AI147" s="65" t="n">
        <f aca="false">AI124+AI146</f>
        <v>-7584.81628191557</v>
      </c>
      <c r="AJ147" s="65" t="n">
        <f aca="false">AJ124+AJ146</f>
        <v>-7584.81628191557</v>
      </c>
      <c r="AK147" s="65" t="n">
        <f aca="false">AK124+AK146</f>
        <v>-7584.81628191557</v>
      </c>
      <c r="AL147" s="65" t="n">
        <f aca="false">AL124+AL146</f>
        <v>-7584.81628191557</v>
      </c>
      <c r="AM147" s="65" t="n">
        <f aca="false">AM124+AM146</f>
        <v>-7584.81628191557</v>
      </c>
      <c r="AN147" s="65" t="n">
        <f aca="false">AN124+AN146</f>
        <v>-7584.81628191557</v>
      </c>
      <c r="AO147" s="65" t="n">
        <f aca="false">AO124+AO146</f>
        <v>-7584.81628191557</v>
      </c>
      <c r="AP147" s="65" t="n">
        <f aca="false">AP124+AP146</f>
        <v>-7584.81628191557</v>
      </c>
      <c r="AQ147" s="65" t="n">
        <f aca="false">AQ124+AQ146</f>
        <v>-7584.81628191557</v>
      </c>
      <c r="AR147" s="65" t="n">
        <f aca="false">AR124+AR146</f>
        <v>-7584.81628191557</v>
      </c>
      <c r="AS147" s="65" t="n">
        <f aca="false">AS124+AS146</f>
        <v>-7584.81628191557</v>
      </c>
      <c r="AT147" s="65" t="n">
        <f aca="false">AT124+AT146</f>
        <v>-7584.81628191557</v>
      </c>
      <c r="AU147" s="65" t="n">
        <f aca="false">AU124+AU146</f>
        <v>-7584.81628191557</v>
      </c>
      <c r="AV147" s="65" t="n">
        <f aca="false">AV124+AV146</f>
        <v>-7584.81628191557</v>
      </c>
      <c r="AW147" s="65" t="n">
        <f aca="false">AW124+AW146</f>
        <v>-7584.81628191557</v>
      </c>
      <c r="AX147" s="65" t="n">
        <f aca="false">AX124+AX146</f>
        <v>-7584.81628191557</v>
      </c>
      <c r="AY147" s="65" t="n">
        <f aca="false">AY124+AY146</f>
        <v>-7584.81628191557</v>
      </c>
      <c r="AZ147" s="65" t="n">
        <f aca="false">AZ124+AZ146</f>
        <v>-7584.81628191557</v>
      </c>
      <c r="BA147" s="65" t="n">
        <f aca="false">BA124+BA146</f>
        <v>-7584.81628191557</v>
      </c>
      <c r="BB147" s="65" t="n">
        <f aca="false">BB124+BB146</f>
        <v>-7584.81628191557</v>
      </c>
      <c r="BC147" s="65" t="n">
        <f aca="false">BC124+BC146</f>
        <v>-7584.81628191557</v>
      </c>
      <c r="BD147" s="65" t="n">
        <f aca="false">BD124+BD146</f>
        <v>-7584.81628191557</v>
      </c>
      <c r="BE147" s="65" t="n">
        <f aca="false">BE124+BE146</f>
        <v>-7584.81628191557</v>
      </c>
      <c r="BF147" s="65" t="n">
        <f aca="false">BF124+BF146</f>
        <v>-7584.81628191557</v>
      </c>
      <c r="BG147" s="65" t="n">
        <f aca="false">BG124+BG146</f>
        <v>-7584.81628191557</v>
      </c>
      <c r="BH147" s="65" t="n">
        <f aca="false">BH124+BH146</f>
        <v>-7584.81628191557</v>
      </c>
      <c r="BI147" s="65" t="n">
        <f aca="false">BI124+BI146</f>
        <v>-7584.81628191557</v>
      </c>
      <c r="BJ147" s="65" t="n">
        <f aca="false">BJ124+BJ146</f>
        <v>-7584.81628191557</v>
      </c>
    </row>
    <row r="148" customFormat="false" ht="15" hidden="false" customHeight="false" outlineLevel="0" collapsed="false">
      <c r="A148" s="4" t="s">
        <v>435</v>
      </c>
      <c r="C148" s="71" t="n">
        <f aca="false">C143+C144+C146</f>
        <v>1198915.18371808</v>
      </c>
      <c r="D148" s="71" t="n">
        <f aca="false">D143+D144+D146</f>
        <v>1197824.49134798</v>
      </c>
      <c r="E148" s="71" t="n">
        <f aca="false">E143+E144+E146</f>
        <v>1196727.89106086</v>
      </c>
      <c r="F148" s="71" t="n">
        <f aca="false">F143+F144+F146</f>
        <v>1195625.35085553</v>
      </c>
      <c r="G148" s="71" t="n">
        <f aca="false">G143+G144+G146</f>
        <v>1194516.83855741</v>
      </c>
      <c r="H148" s="71" t="n">
        <f aca="false">H143+H144+H146</f>
        <v>1193402.32181768</v>
      </c>
      <c r="I148" s="71" t="n">
        <f aca="false">I143+I144+I146</f>
        <v>1192281.76811228</v>
      </c>
      <c r="J148" s="71" t="n">
        <f aca="false">J143+J144+J146</f>
        <v>1191155.14474097</v>
      </c>
      <c r="K148" s="71" t="n">
        <f aca="false">K143+K144+K146</f>
        <v>1190022.4188264</v>
      </c>
      <c r="L148" s="71" t="n">
        <f aca="false">L143+L144+L146</f>
        <v>1188883.55731313</v>
      </c>
      <c r="M148" s="71" t="n">
        <f aca="false">M143+M144+M146</f>
        <v>1187738.52696666</v>
      </c>
      <c r="N148" s="71" t="n">
        <f aca="false">N143+N144+N146</f>
        <v>1186587.29437248</v>
      </c>
      <c r="O148" s="71" t="n">
        <f aca="false">O143+O144+O146</f>
        <v>1185429.82593508</v>
      </c>
      <c r="P148" s="71" t="n">
        <f aca="false">P143+P144+P146</f>
        <v>1184266.08787698</v>
      </c>
      <c r="Q148" s="71" t="n">
        <f aca="false">Q143+Q144+Q146</f>
        <v>1183096.04623773</v>
      </c>
      <c r="R148" s="71" t="n">
        <f aca="false">R143+R144+R146</f>
        <v>1181919.66687294</v>
      </c>
      <c r="S148" s="71" t="n">
        <f aca="false">S143+S144+S146</f>
        <v>1180736.91545325</v>
      </c>
      <c r="T148" s="71" t="n">
        <f aca="false">T143+T144+T146</f>
        <v>1179547.75746337</v>
      </c>
      <c r="U148" s="71" t="n">
        <f aca="false">U143+U144+U146</f>
        <v>1178352.15820105</v>
      </c>
      <c r="V148" s="71" t="n">
        <f aca="false">V143+V144+V146</f>
        <v>1177150.08277606</v>
      </c>
      <c r="W148" s="71" t="n">
        <f aca="false">W143+W144+W146</f>
        <v>1175941.49610918</v>
      </c>
      <c r="X148" s="71" t="n">
        <f aca="false">X143+X144+X146</f>
        <v>1174726.36293119</v>
      </c>
      <c r="Y148" s="71" t="n">
        <f aca="false">Y143+Y144+Y146</f>
        <v>1173504.64778182</v>
      </c>
      <c r="Z148" s="71" t="n">
        <f aca="false">Z143+Z144+Z146</f>
        <v>1172276.31500872</v>
      </c>
      <c r="AA148" s="71" t="n">
        <f aca="false">AA143+AA144+AA146</f>
        <v>1171041.32876644</v>
      </c>
      <c r="AB148" s="71" t="n">
        <f aca="false">AB143+AB144+AB146</f>
        <v>1169799.65301534</v>
      </c>
      <c r="AC148" s="71" t="n">
        <f aca="false">AC143+AC144+AC146</f>
        <v>1168551.25152059</v>
      </c>
      <c r="AD148" s="71" t="n">
        <f aca="false">AD143+AD144+AD146</f>
        <v>1167296.08785108</v>
      </c>
      <c r="AE148" s="71" t="n">
        <f aca="false">AE143+AE144+AE146</f>
        <v>1166034.12537835</v>
      </c>
      <c r="AF148" s="71" t="n">
        <f aca="false">AF143+AF144+AF146</f>
        <v>1164765.32727557</v>
      </c>
      <c r="AG148" s="71" t="n">
        <f aca="false">AG143+AG144+AG146</f>
        <v>1163489.6565164</v>
      </c>
      <c r="AH148" s="71" t="n">
        <f aca="false">AH143+AH144+AH146</f>
        <v>1162207.07587395</v>
      </c>
      <c r="AI148" s="71" t="n">
        <f aca="false">AI143+AI144+AI146</f>
        <v>1160917.54791968</v>
      </c>
      <c r="AJ148" s="71" t="n">
        <f aca="false">AJ143+AJ144+AJ146</f>
        <v>1159621.03502233</v>
      </c>
      <c r="AK148" s="71" t="n">
        <f aca="false">AK143+AK144+AK146</f>
        <v>1158317.49934679</v>
      </c>
      <c r="AL148" s="71" t="n">
        <f aca="false">AL143+AL144+AL146</f>
        <v>1157006.902853</v>
      </c>
      <c r="AM148" s="71" t="n">
        <f aca="false">AM143+AM144+AM146</f>
        <v>1155689.20729487</v>
      </c>
      <c r="AN148" s="71" t="n">
        <f aca="false">AN143+AN144+AN146</f>
        <v>1154364.37421914</v>
      </c>
      <c r="AO148" s="71" t="n">
        <f aca="false">AO143+AO144+AO146</f>
        <v>1153032.36496424</v>
      </c>
      <c r="AP148" s="71" t="n">
        <f aca="false">AP143+AP144+AP146</f>
        <v>1151693.14065922</v>
      </c>
      <c r="AQ148" s="71" t="n">
        <f aca="false">AQ143+AQ144+AQ146</f>
        <v>1150346.66222254</v>
      </c>
      <c r="AR148" s="71" t="n">
        <f aca="false">AR143+AR144+AR146</f>
        <v>1148992.89036099</v>
      </c>
      <c r="AS148" s="71" t="n">
        <f aca="false">AS143+AS144+AS146</f>
        <v>1147631.78556853</v>
      </c>
      <c r="AT148" s="71" t="n">
        <f aca="false">AT143+AT144+AT146</f>
        <v>1146263.30812511</v>
      </c>
      <c r="AU148" s="71" t="n">
        <f aca="false">AU143+AU144+AU146</f>
        <v>1144887.41809554</v>
      </c>
      <c r="AV148" s="71" t="n">
        <f aca="false">AV143+AV144+AV146</f>
        <v>1143504.07532831</v>
      </c>
      <c r="AW148" s="71" t="n">
        <f aca="false">AW143+AW144+AW146</f>
        <v>1142113.23945442</v>
      </c>
      <c r="AX148" s="71" t="n">
        <f aca="false">AX143+AX144+AX146</f>
        <v>1140714.86988622</v>
      </c>
      <c r="AY148" s="71" t="n">
        <f aca="false">AY143+AY144+AY146</f>
        <v>1139308.92581619</v>
      </c>
      <c r="AZ148" s="71" t="n">
        <f aca="false">AZ143+AZ144+AZ146</f>
        <v>1137895.36621578</v>
      </c>
      <c r="BA148" s="71" t="n">
        <f aca="false">BA143+BA144+BA146</f>
        <v>1136474.1498342</v>
      </c>
      <c r="BB148" s="71" t="n">
        <f aca="false">BB143+BB144+BB146</f>
        <v>1135045.23519722</v>
      </c>
      <c r="BC148" s="71" t="n">
        <f aca="false">BC143+BC144+BC146</f>
        <v>1133608.58060595</v>
      </c>
      <c r="BD148" s="71" t="n">
        <f aca="false">BD143+BD144+BD146</f>
        <v>1132164.14413565</v>
      </c>
      <c r="BE148" s="71" t="n">
        <f aca="false">BE143+BE144+BE146</f>
        <v>1130711.88363447</v>
      </c>
      <c r="BF148" s="71" t="n">
        <f aca="false">BF143+BF144+BF146</f>
        <v>1129251.75672224</v>
      </c>
      <c r="BG148" s="71" t="n">
        <f aca="false">BG143+BG144+BG146</f>
        <v>1127783.72078924</v>
      </c>
      <c r="BH148" s="71" t="n">
        <f aca="false">BH143+BH144+BH146</f>
        <v>1126307.73299493</v>
      </c>
      <c r="BI148" s="71" t="n">
        <f aca="false">BI143+BI144+BI146</f>
        <v>1124823.75026674</v>
      </c>
      <c r="BJ148" s="71" t="n">
        <f aca="false">BJ143+BJ144+BJ146</f>
        <v>1123331.72929877</v>
      </c>
    </row>
    <row r="150" customFormat="false" ht="15.75" hidden="false" customHeight="true" outlineLevel="0" collapsed="false">
      <c r="A150" s="7" t="s">
        <v>324</v>
      </c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</row>
    <row r="151" customFormat="false" ht="15" hidden="false" customHeight="false" outlineLevel="0" collapsed="false">
      <c r="A151" s="6" t="s">
        <v>90</v>
      </c>
      <c r="C151" s="65" t="n">
        <f aca="false">C106*Inputs!$C$40/30</f>
        <v>0</v>
      </c>
      <c r="D151" s="65" t="n">
        <f aca="false">D106*Inputs!$C$40/30</f>
        <v>0</v>
      </c>
      <c r="E151" s="65" t="n">
        <f aca="false">E106*Inputs!$C$40/30</f>
        <v>0</v>
      </c>
      <c r="F151" s="65" t="n">
        <f aca="false">F106*Inputs!$C$40/30</f>
        <v>0</v>
      </c>
      <c r="G151" s="65" t="n">
        <f aca="false">G106*Inputs!$C$40/30</f>
        <v>0</v>
      </c>
      <c r="H151" s="65" t="n">
        <f aca="false">H106*Inputs!$C$40/30</f>
        <v>0</v>
      </c>
      <c r="I151" s="65" t="n">
        <f aca="false">I106*Inputs!$C$40/30</f>
        <v>0</v>
      </c>
      <c r="J151" s="65" t="n">
        <f aca="false">J106*Inputs!$C$40/30</f>
        <v>0</v>
      </c>
      <c r="K151" s="65" t="n">
        <f aca="false">K106*Inputs!$C$40/30</f>
        <v>0</v>
      </c>
      <c r="L151" s="65" t="n">
        <f aca="false">L106*Inputs!$C$40/30</f>
        <v>0</v>
      </c>
      <c r="M151" s="65" t="n">
        <f aca="false">M106*Inputs!$C$40/30</f>
        <v>0</v>
      </c>
      <c r="N151" s="65" t="n">
        <f aca="false">N106*Inputs!$C$40/30</f>
        <v>0</v>
      </c>
      <c r="O151" s="65" t="n">
        <f aca="false">O106*Inputs!$C$40/30</f>
        <v>0</v>
      </c>
      <c r="P151" s="65" t="n">
        <f aca="false">P106*Inputs!$C$40/30</f>
        <v>0</v>
      </c>
      <c r="Q151" s="65" t="n">
        <f aca="false">Q106*Inputs!$C$40/30</f>
        <v>0</v>
      </c>
      <c r="R151" s="65" t="n">
        <f aca="false">R106*Inputs!$C$40/30</f>
        <v>0</v>
      </c>
      <c r="S151" s="65" t="n">
        <f aca="false">S106*Inputs!$C$40/30</f>
        <v>0</v>
      </c>
      <c r="T151" s="65" t="n">
        <f aca="false">T106*Inputs!$C$40/30</f>
        <v>0</v>
      </c>
      <c r="U151" s="65" t="n">
        <f aca="false">U106*Inputs!$C$40/30</f>
        <v>0</v>
      </c>
      <c r="V151" s="65" t="n">
        <f aca="false">V106*Inputs!$C$40/30</f>
        <v>0</v>
      </c>
      <c r="W151" s="65" t="n">
        <f aca="false">W106*Inputs!$C$40/30</f>
        <v>0</v>
      </c>
      <c r="X151" s="65" t="n">
        <f aca="false">X106*Inputs!$C$40/30</f>
        <v>0</v>
      </c>
      <c r="Y151" s="65" t="n">
        <f aca="false">Y106*Inputs!$C$40/30</f>
        <v>0</v>
      </c>
      <c r="Z151" s="65" t="n">
        <f aca="false">Z106*Inputs!$C$40/30</f>
        <v>0</v>
      </c>
      <c r="AA151" s="65" t="n">
        <f aca="false">AA106*Inputs!$C$40/30</f>
        <v>0</v>
      </c>
      <c r="AB151" s="65" t="n">
        <f aca="false">AB106*Inputs!$C$40/30</f>
        <v>0</v>
      </c>
      <c r="AC151" s="65" t="n">
        <f aca="false">AC106*Inputs!$C$40/30</f>
        <v>0</v>
      </c>
      <c r="AD151" s="65" t="n">
        <f aca="false">AD106*Inputs!$C$40/30</f>
        <v>0</v>
      </c>
      <c r="AE151" s="65" t="n">
        <f aca="false">AE106*Inputs!$C$40/30</f>
        <v>0</v>
      </c>
      <c r="AF151" s="65" t="n">
        <f aca="false">AF106*Inputs!$C$40/30</f>
        <v>0</v>
      </c>
      <c r="AG151" s="65" t="n">
        <f aca="false">AG106*Inputs!$C$40/30</f>
        <v>0</v>
      </c>
      <c r="AH151" s="65" t="n">
        <f aca="false">AH106*Inputs!$C$40/30</f>
        <v>0</v>
      </c>
      <c r="AI151" s="65" t="n">
        <f aca="false">AI106*Inputs!$C$40/30</f>
        <v>0</v>
      </c>
      <c r="AJ151" s="65" t="n">
        <f aca="false">AJ106*Inputs!$C$40/30</f>
        <v>0</v>
      </c>
      <c r="AK151" s="65" t="n">
        <f aca="false">AK106*Inputs!$C$40/30</f>
        <v>0</v>
      </c>
      <c r="AL151" s="65" t="n">
        <f aca="false">AL106*Inputs!$C$40/30</f>
        <v>0</v>
      </c>
      <c r="AM151" s="65" t="n">
        <f aca="false">AM106*Inputs!$C$40/30</f>
        <v>0</v>
      </c>
      <c r="AN151" s="65" t="n">
        <f aca="false">AN106*Inputs!$C$40/30</f>
        <v>0</v>
      </c>
      <c r="AO151" s="65" t="n">
        <f aca="false">AO106*Inputs!$C$40/30</f>
        <v>0</v>
      </c>
      <c r="AP151" s="65" t="n">
        <f aca="false">AP106*Inputs!$C$40/30</f>
        <v>0</v>
      </c>
      <c r="AQ151" s="65" t="n">
        <f aca="false">AQ106*Inputs!$C$40/30</f>
        <v>0</v>
      </c>
      <c r="AR151" s="65" t="n">
        <f aca="false">AR106*Inputs!$C$40/30</f>
        <v>0</v>
      </c>
      <c r="AS151" s="65" t="n">
        <f aca="false">AS106*Inputs!$C$40/30</f>
        <v>0</v>
      </c>
      <c r="AT151" s="65" t="n">
        <f aca="false">AT106*Inputs!$C$40/30</f>
        <v>0</v>
      </c>
      <c r="AU151" s="65" t="n">
        <f aca="false">AU106*Inputs!$C$40/30</f>
        <v>0</v>
      </c>
      <c r="AV151" s="65" t="n">
        <f aca="false">AV106*Inputs!$C$40/30</f>
        <v>0</v>
      </c>
      <c r="AW151" s="65" t="n">
        <f aca="false">AW106*Inputs!$C$40/30</f>
        <v>0</v>
      </c>
      <c r="AX151" s="65" t="n">
        <f aca="false">AX106*Inputs!$C$40/30</f>
        <v>0</v>
      </c>
      <c r="AY151" s="65" t="n">
        <f aca="false">AY106*Inputs!$C$40/30</f>
        <v>0</v>
      </c>
      <c r="AZ151" s="65" t="n">
        <f aca="false">AZ106*Inputs!$C$40/30</f>
        <v>0</v>
      </c>
      <c r="BA151" s="65" t="n">
        <f aca="false">BA106*Inputs!$C$40/30</f>
        <v>0</v>
      </c>
      <c r="BB151" s="65" t="n">
        <f aca="false">BB106*Inputs!$C$40/30</f>
        <v>0</v>
      </c>
      <c r="BC151" s="65" t="n">
        <f aca="false">BC106*Inputs!$C$40/30</f>
        <v>0</v>
      </c>
      <c r="BD151" s="65" t="n">
        <f aca="false">BD106*Inputs!$C$40/30</f>
        <v>0</v>
      </c>
      <c r="BE151" s="65" t="n">
        <f aca="false">BE106*Inputs!$C$40/30</f>
        <v>0</v>
      </c>
      <c r="BF151" s="65" t="n">
        <f aca="false">BF106*Inputs!$C$40/30</f>
        <v>0</v>
      </c>
      <c r="BG151" s="65" t="n">
        <f aca="false">BG106*Inputs!$C$40/30</f>
        <v>0</v>
      </c>
      <c r="BH151" s="65" t="n">
        <f aca="false">BH106*Inputs!$C$40/30</f>
        <v>0</v>
      </c>
      <c r="BI151" s="65" t="n">
        <f aca="false">BI106*Inputs!$C$40/30</f>
        <v>0</v>
      </c>
      <c r="BJ151" s="65" t="n">
        <f aca="false">BJ106*Inputs!$C$40/30</f>
        <v>0</v>
      </c>
    </row>
    <row r="152" customFormat="false" ht="15" hidden="false" customHeight="false" outlineLevel="0" collapsed="false">
      <c r="A152" s="6" t="s">
        <v>91</v>
      </c>
      <c r="C152" s="65" t="n">
        <f aca="false">-C111*Inputs!$C$41/30</f>
        <v>0</v>
      </c>
      <c r="D152" s="65" t="n">
        <f aca="false">-D111*Inputs!$C$41/30</f>
        <v>0</v>
      </c>
      <c r="E152" s="65" t="n">
        <f aca="false">-E111*Inputs!$C$41/30</f>
        <v>0</v>
      </c>
      <c r="F152" s="65" t="n">
        <f aca="false">-F111*Inputs!$C$41/30</f>
        <v>0</v>
      </c>
      <c r="G152" s="65" t="n">
        <f aca="false">-G111*Inputs!$C$41/30</f>
        <v>0</v>
      </c>
      <c r="H152" s="65" t="n">
        <f aca="false">-H111*Inputs!$C$41/30</f>
        <v>0</v>
      </c>
      <c r="I152" s="65" t="n">
        <f aca="false">-I111*Inputs!$C$41/30</f>
        <v>0</v>
      </c>
      <c r="J152" s="65" t="n">
        <f aca="false">-J111*Inputs!$C$41/30</f>
        <v>0</v>
      </c>
      <c r="K152" s="65" t="n">
        <f aca="false">-K111*Inputs!$C$41/30</f>
        <v>0</v>
      </c>
      <c r="L152" s="65" t="n">
        <f aca="false">-L111*Inputs!$C$41/30</f>
        <v>0</v>
      </c>
      <c r="M152" s="65" t="n">
        <f aca="false">-M111*Inputs!$C$41/30</f>
        <v>0</v>
      </c>
      <c r="N152" s="65" t="n">
        <f aca="false">-N111*Inputs!$C$41/30</f>
        <v>0</v>
      </c>
      <c r="O152" s="65" t="n">
        <f aca="false">-O111*Inputs!$C$41/30</f>
        <v>0</v>
      </c>
      <c r="P152" s="65" t="n">
        <f aca="false">-P111*Inputs!$C$41/30</f>
        <v>0</v>
      </c>
      <c r="Q152" s="65" t="n">
        <f aca="false">-Q111*Inputs!$C$41/30</f>
        <v>0</v>
      </c>
      <c r="R152" s="65" t="n">
        <f aca="false">-R111*Inputs!$C$41/30</f>
        <v>0</v>
      </c>
      <c r="S152" s="65" t="n">
        <f aca="false">-S111*Inputs!$C$41/30</f>
        <v>0</v>
      </c>
      <c r="T152" s="65" t="n">
        <f aca="false">-T111*Inputs!$C$41/30</f>
        <v>0</v>
      </c>
      <c r="U152" s="65" t="n">
        <f aca="false">-U111*Inputs!$C$41/30</f>
        <v>0</v>
      </c>
      <c r="V152" s="65" t="n">
        <f aca="false">-V111*Inputs!$C$41/30</f>
        <v>0</v>
      </c>
      <c r="W152" s="65" t="n">
        <f aca="false">-W111*Inputs!$C$41/30</f>
        <v>0</v>
      </c>
      <c r="X152" s="65" t="n">
        <f aca="false">-X111*Inputs!$C$41/30</f>
        <v>0</v>
      </c>
      <c r="Y152" s="65" t="n">
        <f aca="false">-Y111*Inputs!$C$41/30</f>
        <v>0</v>
      </c>
      <c r="Z152" s="65" t="n">
        <f aca="false">-Z111*Inputs!$C$41/30</f>
        <v>0</v>
      </c>
      <c r="AA152" s="65" t="n">
        <f aca="false">-AA111*Inputs!$C$41/30</f>
        <v>0</v>
      </c>
      <c r="AB152" s="65" t="n">
        <f aca="false">-AB111*Inputs!$C$41/30</f>
        <v>0</v>
      </c>
      <c r="AC152" s="65" t="n">
        <f aca="false">-AC111*Inputs!$C$41/30</f>
        <v>0</v>
      </c>
      <c r="AD152" s="65" t="n">
        <f aca="false">-AD111*Inputs!$C$41/30</f>
        <v>0</v>
      </c>
      <c r="AE152" s="65" t="n">
        <f aca="false">-AE111*Inputs!$C$41/30</f>
        <v>0</v>
      </c>
      <c r="AF152" s="65" t="n">
        <f aca="false">-AF111*Inputs!$C$41/30</f>
        <v>0</v>
      </c>
      <c r="AG152" s="65" t="n">
        <f aca="false">-AG111*Inputs!$C$41/30</f>
        <v>0</v>
      </c>
      <c r="AH152" s="65" t="n">
        <f aca="false">-AH111*Inputs!$C$41/30</f>
        <v>0</v>
      </c>
      <c r="AI152" s="65" t="n">
        <f aca="false">-AI111*Inputs!$C$41/30</f>
        <v>0</v>
      </c>
      <c r="AJ152" s="65" t="n">
        <f aca="false">-AJ111*Inputs!$C$41/30</f>
        <v>0</v>
      </c>
      <c r="AK152" s="65" t="n">
        <f aca="false">-AK111*Inputs!$C$41/30</f>
        <v>0</v>
      </c>
      <c r="AL152" s="65" t="n">
        <f aca="false">-AL111*Inputs!$C$41/30</f>
        <v>0</v>
      </c>
      <c r="AM152" s="65" t="n">
        <f aca="false">-AM111*Inputs!$C$41/30</f>
        <v>0</v>
      </c>
      <c r="AN152" s="65" t="n">
        <f aca="false">-AN111*Inputs!$C$41/30</f>
        <v>0</v>
      </c>
      <c r="AO152" s="65" t="n">
        <f aca="false">-AO111*Inputs!$C$41/30</f>
        <v>0</v>
      </c>
      <c r="AP152" s="65" t="n">
        <f aca="false">-AP111*Inputs!$C$41/30</f>
        <v>0</v>
      </c>
      <c r="AQ152" s="65" t="n">
        <f aca="false">-AQ111*Inputs!$C$41/30</f>
        <v>0</v>
      </c>
      <c r="AR152" s="65" t="n">
        <f aca="false">-AR111*Inputs!$C$41/30</f>
        <v>0</v>
      </c>
      <c r="AS152" s="65" t="n">
        <f aca="false">-AS111*Inputs!$C$41/30</f>
        <v>0</v>
      </c>
      <c r="AT152" s="65" t="n">
        <f aca="false">-AT111*Inputs!$C$41/30</f>
        <v>0</v>
      </c>
      <c r="AU152" s="65" t="n">
        <f aca="false">-AU111*Inputs!$C$41/30</f>
        <v>0</v>
      </c>
      <c r="AV152" s="65" t="n">
        <f aca="false">-AV111*Inputs!$C$41/30</f>
        <v>0</v>
      </c>
      <c r="AW152" s="65" t="n">
        <f aca="false">-AW111*Inputs!$C$41/30</f>
        <v>0</v>
      </c>
      <c r="AX152" s="65" t="n">
        <f aca="false">-AX111*Inputs!$C$41/30</f>
        <v>0</v>
      </c>
      <c r="AY152" s="65" t="n">
        <f aca="false">-AY111*Inputs!$C$41/30</f>
        <v>0</v>
      </c>
      <c r="AZ152" s="65" t="n">
        <f aca="false">-AZ111*Inputs!$C$41/30</f>
        <v>0</v>
      </c>
      <c r="BA152" s="65" t="n">
        <f aca="false">-BA111*Inputs!$C$41/30</f>
        <v>0</v>
      </c>
      <c r="BB152" s="65" t="n">
        <f aca="false">-BB111*Inputs!$C$41/30</f>
        <v>0</v>
      </c>
      <c r="BC152" s="65" t="n">
        <f aca="false">-BC111*Inputs!$C$41/30</f>
        <v>0</v>
      </c>
      <c r="BD152" s="65" t="n">
        <f aca="false">-BD111*Inputs!$C$41/30</f>
        <v>0</v>
      </c>
      <c r="BE152" s="65" t="n">
        <f aca="false">-BE111*Inputs!$C$41/30</f>
        <v>0</v>
      </c>
      <c r="BF152" s="65" t="n">
        <f aca="false">-BF111*Inputs!$C$41/30</f>
        <v>0</v>
      </c>
      <c r="BG152" s="65" t="n">
        <f aca="false">-BG111*Inputs!$C$41/30</f>
        <v>0</v>
      </c>
      <c r="BH152" s="65" t="n">
        <f aca="false">-BH111*Inputs!$C$41/30</f>
        <v>0</v>
      </c>
      <c r="BI152" s="65" t="n">
        <f aca="false">-BI111*Inputs!$C$41/30</f>
        <v>0</v>
      </c>
      <c r="BJ152" s="65" t="n">
        <f aca="false">-BJ111*Inputs!$C$41/30</f>
        <v>0</v>
      </c>
    </row>
    <row r="153" customFormat="false" ht="15" hidden="false" customHeight="false" outlineLevel="0" collapsed="false">
      <c r="A153" s="6" t="s">
        <v>94</v>
      </c>
      <c r="C153" s="65" t="n">
        <f aca="false">-C111*Inputs!$C$42/30</f>
        <v>934.5</v>
      </c>
      <c r="D153" s="65" t="n">
        <f aca="false">-D111*Inputs!$C$42/30</f>
        <v>934.5</v>
      </c>
      <c r="E153" s="65" t="n">
        <f aca="false">-E111*Inputs!$C$42/30</f>
        <v>934.5</v>
      </c>
      <c r="F153" s="65" t="n">
        <f aca="false">-F111*Inputs!$C$42/30</f>
        <v>934.5</v>
      </c>
      <c r="G153" s="65" t="n">
        <f aca="false">-G111*Inputs!$C$42/30</f>
        <v>934.5</v>
      </c>
      <c r="H153" s="65" t="n">
        <f aca="false">-H111*Inputs!$C$42/30</f>
        <v>934.5</v>
      </c>
      <c r="I153" s="65" t="n">
        <f aca="false">-I111*Inputs!$C$42/30</f>
        <v>934.5</v>
      </c>
      <c r="J153" s="65" t="n">
        <f aca="false">-J111*Inputs!$C$42/30</f>
        <v>934.5</v>
      </c>
      <c r="K153" s="65" t="n">
        <f aca="false">-K111*Inputs!$C$42/30</f>
        <v>934.5</v>
      </c>
      <c r="L153" s="65" t="n">
        <f aca="false">-L111*Inputs!$C$42/30</f>
        <v>934.5</v>
      </c>
      <c r="M153" s="65" t="n">
        <f aca="false">-M111*Inputs!$C$42/30</f>
        <v>934.5</v>
      </c>
      <c r="N153" s="65" t="n">
        <f aca="false">-N111*Inputs!$C$42/30</f>
        <v>934.5</v>
      </c>
      <c r="O153" s="65" t="n">
        <f aca="false">-O111*Inputs!$C$42/30</f>
        <v>962.535</v>
      </c>
      <c r="P153" s="65" t="n">
        <f aca="false">-P111*Inputs!$C$42/30</f>
        <v>962.535</v>
      </c>
      <c r="Q153" s="65" t="n">
        <f aca="false">-Q111*Inputs!$C$42/30</f>
        <v>962.535</v>
      </c>
      <c r="R153" s="65" t="n">
        <f aca="false">-R111*Inputs!$C$42/30</f>
        <v>962.535</v>
      </c>
      <c r="S153" s="65" t="n">
        <f aca="false">-S111*Inputs!$C$42/30</f>
        <v>962.535</v>
      </c>
      <c r="T153" s="65" t="n">
        <f aca="false">-T111*Inputs!$C$42/30</f>
        <v>962.535</v>
      </c>
      <c r="U153" s="65" t="n">
        <f aca="false">-U111*Inputs!$C$42/30</f>
        <v>962.535</v>
      </c>
      <c r="V153" s="65" t="n">
        <f aca="false">-V111*Inputs!$C$42/30</f>
        <v>962.535</v>
      </c>
      <c r="W153" s="65" t="n">
        <f aca="false">-W111*Inputs!$C$42/30</f>
        <v>962.535</v>
      </c>
      <c r="X153" s="65" t="n">
        <f aca="false">-X111*Inputs!$C$42/30</f>
        <v>962.535</v>
      </c>
      <c r="Y153" s="65" t="n">
        <f aca="false">-Y111*Inputs!$C$42/30</f>
        <v>962.535</v>
      </c>
      <c r="Z153" s="65" t="n">
        <f aca="false">-Z111*Inputs!$C$42/30</f>
        <v>962.535</v>
      </c>
      <c r="AA153" s="65" t="n">
        <f aca="false">-AA111*Inputs!$C$42/30</f>
        <v>991.41105</v>
      </c>
      <c r="AB153" s="65" t="n">
        <f aca="false">-AB111*Inputs!$C$42/30</f>
        <v>991.41105</v>
      </c>
      <c r="AC153" s="65" t="n">
        <f aca="false">-AC111*Inputs!$C$42/30</f>
        <v>991.41105</v>
      </c>
      <c r="AD153" s="65" t="n">
        <f aca="false">-AD111*Inputs!$C$42/30</f>
        <v>991.41105</v>
      </c>
      <c r="AE153" s="65" t="n">
        <f aca="false">-AE111*Inputs!$C$42/30</f>
        <v>991.41105</v>
      </c>
      <c r="AF153" s="65" t="n">
        <f aca="false">-AF111*Inputs!$C$42/30</f>
        <v>991.41105</v>
      </c>
      <c r="AG153" s="65" t="n">
        <f aca="false">-AG111*Inputs!$C$42/30</f>
        <v>991.41105</v>
      </c>
      <c r="AH153" s="65" t="n">
        <f aca="false">-AH111*Inputs!$C$42/30</f>
        <v>991.41105</v>
      </c>
      <c r="AI153" s="65" t="n">
        <f aca="false">-AI111*Inputs!$C$42/30</f>
        <v>991.41105</v>
      </c>
      <c r="AJ153" s="65" t="n">
        <f aca="false">-AJ111*Inputs!$C$42/30</f>
        <v>991.41105</v>
      </c>
      <c r="AK153" s="65" t="n">
        <f aca="false">-AK111*Inputs!$C$42/30</f>
        <v>991.41105</v>
      </c>
      <c r="AL153" s="65" t="n">
        <f aca="false">-AL111*Inputs!$C$42/30</f>
        <v>991.41105</v>
      </c>
      <c r="AM153" s="65" t="n">
        <f aca="false">-AM111*Inputs!$C$42/30</f>
        <v>1021.1533815</v>
      </c>
      <c r="AN153" s="65" t="n">
        <f aca="false">-AN111*Inputs!$C$42/30</f>
        <v>1021.1533815</v>
      </c>
      <c r="AO153" s="65" t="n">
        <f aca="false">-AO111*Inputs!$C$42/30</f>
        <v>1021.1533815</v>
      </c>
      <c r="AP153" s="65" t="n">
        <f aca="false">-AP111*Inputs!$C$42/30</f>
        <v>1021.1533815</v>
      </c>
      <c r="AQ153" s="65" t="n">
        <f aca="false">-AQ111*Inputs!$C$42/30</f>
        <v>1021.1533815</v>
      </c>
      <c r="AR153" s="65" t="n">
        <f aca="false">-AR111*Inputs!$C$42/30</f>
        <v>1021.1533815</v>
      </c>
      <c r="AS153" s="65" t="n">
        <f aca="false">-AS111*Inputs!$C$42/30</f>
        <v>1021.1533815</v>
      </c>
      <c r="AT153" s="65" t="n">
        <f aca="false">-AT111*Inputs!$C$42/30</f>
        <v>1021.1533815</v>
      </c>
      <c r="AU153" s="65" t="n">
        <f aca="false">-AU111*Inputs!$C$42/30</f>
        <v>1021.1533815</v>
      </c>
      <c r="AV153" s="65" t="n">
        <f aca="false">-AV111*Inputs!$C$42/30</f>
        <v>1021.1533815</v>
      </c>
      <c r="AW153" s="65" t="n">
        <f aca="false">-AW111*Inputs!$C$42/30</f>
        <v>1021.1533815</v>
      </c>
      <c r="AX153" s="65" t="n">
        <f aca="false">-AX111*Inputs!$C$42/30</f>
        <v>1021.1533815</v>
      </c>
      <c r="AY153" s="65" t="n">
        <f aca="false">-AY111*Inputs!$C$42/30</f>
        <v>1051.787982945</v>
      </c>
      <c r="AZ153" s="65" t="n">
        <f aca="false">-AZ111*Inputs!$C$42/30</f>
        <v>1051.787982945</v>
      </c>
      <c r="BA153" s="65" t="n">
        <f aca="false">-BA111*Inputs!$C$42/30</f>
        <v>1051.787982945</v>
      </c>
      <c r="BB153" s="65" t="n">
        <f aca="false">-BB111*Inputs!$C$42/30</f>
        <v>1051.787982945</v>
      </c>
      <c r="BC153" s="65" t="n">
        <f aca="false">-BC111*Inputs!$C$42/30</f>
        <v>1051.787982945</v>
      </c>
      <c r="BD153" s="65" t="n">
        <f aca="false">-BD111*Inputs!$C$42/30</f>
        <v>1051.787982945</v>
      </c>
      <c r="BE153" s="65" t="n">
        <f aca="false">-BE111*Inputs!$C$42/30</f>
        <v>1051.787982945</v>
      </c>
      <c r="BF153" s="65" t="n">
        <f aca="false">-BF111*Inputs!$C$42/30</f>
        <v>1051.787982945</v>
      </c>
      <c r="BG153" s="65" t="n">
        <f aca="false">-BG111*Inputs!$C$42/30</f>
        <v>1051.787982945</v>
      </c>
      <c r="BH153" s="65" t="n">
        <f aca="false">-BH111*Inputs!$C$42/30</f>
        <v>1051.787982945</v>
      </c>
      <c r="BI153" s="65" t="n">
        <f aca="false">-BI111*Inputs!$C$42/30</f>
        <v>1051.787982945</v>
      </c>
      <c r="BJ153" s="65" t="n">
        <f aca="false">-BJ111*Inputs!$C$42/30</f>
        <v>1051.787982945</v>
      </c>
    </row>
    <row r="154" customFormat="false" ht="15" hidden="false" customHeight="false" outlineLevel="0" collapsed="false">
      <c r="A154" s="6" t="s">
        <v>346</v>
      </c>
      <c r="C154" s="65" t="n">
        <f aca="false">-C151</f>
        <v>-0</v>
      </c>
      <c r="D154" s="65" t="n">
        <f aca="false">C151-D151</f>
        <v>0</v>
      </c>
      <c r="E154" s="65" t="n">
        <f aca="false">D151-E151</f>
        <v>0</v>
      </c>
      <c r="F154" s="65" t="n">
        <f aca="false">E151-F151</f>
        <v>0</v>
      </c>
      <c r="G154" s="65" t="n">
        <f aca="false">F151-G151</f>
        <v>0</v>
      </c>
      <c r="H154" s="65" t="n">
        <f aca="false">G151-H151</f>
        <v>0</v>
      </c>
      <c r="I154" s="65" t="n">
        <f aca="false">H151-I151</f>
        <v>0</v>
      </c>
      <c r="J154" s="65" t="n">
        <f aca="false">I151-J151</f>
        <v>0</v>
      </c>
      <c r="K154" s="65" t="n">
        <f aca="false">J151-K151</f>
        <v>0</v>
      </c>
      <c r="L154" s="65" t="n">
        <f aca="false">K151-L151</f>
        <v>0</v>
      </c>
      <c r="M154" s="65" t="n">
        <f aca="false">L151-M151</f>
        <v>0</v>
      </c>
      <c r="N154" s="65" t="n">
        <f aca="false">M151-N151</f>
        <v>0</v>
      </c>
      <c r="O154" s="65" t="n">
        <f aca="false">N151-O151</f>
        <v>0</v>
      </c>
      <c r="P154" s="65" t="n">
        <f aca="false">O151-P151</f>
        <v>0</v>
      </c>
      <c r="Q154" s="65" t="n">
        <f aca="false">P151-Q151</f>
        <v>0</v>
      </c>
      <c r="R154" s="65" t="n">
        <f aca="false">Q151-R151</f>
        <v>0</v>
      </c>
      <c r="S154" s="65" t="n">
        <f aca="false">R151-S151</f>
        <v>0</v>
      </c>
      <c r="T154" s="65" t="n">
        <f aca="false">S151-T151</f>
        <v>0</v>
      </c>
      <c r="U154" s="65" t="n">
        <f aca="false">T151-U151</f>
        <v>0</v>
      </c>
      <c r="V154" s="65" t="n">
        <f aca="false">U151-V151</f>
        <v>0</v>
      </c>
      <c r="W154" s="65" t="n">
        <f aca="false">V151-W151</f>
        <v>0</v>
      </c>
      <c r="X154" s="65" t="n">
        <f aca="false">W151-X151</f>
        <v>0</v>
      </c>
      <c r="Y154" s="65" t="n">
        <f aca="false">X151-Y151</f>
        <v>0</v>
      </c>
      <c r="Z154" s="65" t="n">
        <f aca="false">Y151-Z151</f>
        <v>0</v>
      </c>
      <c r="AA154" s="65" t="n">
        <f aca="false">Z151-AA151</f>
        <v>0</v>
      </c>
      <c r="AB154" s="65" t="n">
        <f aca="false">AA151-AB151</f>
        <v>0</v>
      </c>
      <c r="AC154" s="65" t="n">
        <f aca="false">AB151-AC151</f>
        <v>0</v>
      </c>
      <c r="AD154" s="65" t="n">
        <f aca="false">AC151-AD151</f>
        <v>0</v>
      </c>
      <c r="AE154" s="65" t="n">
        <f aca="false">AD151-AE151</f>
        <v>0</v>
      </c>
      <c r="AF154" s="65" t="n">
        <f aca="false">AE151-AF151</f>
        <v>0</v>
      </c>
      <c r="AG154" s="65" t="n">
        <f aca="false">AF151-AG151</f>
        <v>0</v>
      </c>
      <c r="AH154" s="65" t="n">
        <f aca="false">AG151-AH151</f>
        <v>0</v>
      </c>
      <c r="AI154" s="65" t="n">
        <f aca="false">AH151-AI151</f>
        <v>0</v>
      </c>
      <c r="AJ154" s="65" t="n">
        <f aca="false">AI151-AJ151</f>
        <v>0</v>
      </c>
      <c r="AK154" s="65" t="n">
        <f aca="false">AJ151-AK151</f>
        <v>0</v>
      </c>
      <c r="AL154" s="65" t="n">
        <f aca="false">AK151-AL151</f>
        <v>0</v>
      </c>
      <c r="AM154" s="65" t="n">
        <f aca="false">AL151-AM151</f>
        <v>0</v>
      </c>
      <c r="AN154" s="65" t="n">
        <f aca="false">AM151-AN151</f>
        <v>0</v>
      </c>
      <c r="AO154" s="65" t="n">
        <f aca="false">AN151-AO151</f>
        <v>0</v>
      </c>
      <c r="AP154" s="65" t="n">
        <f aca="false">AO151-AP151</f>
        <v>0</v>
      </c>
      <c r="AQ154" s="65" t="n">
        <f aca="false">AP151-AQ151</f>
        <v>0</v>
      </c>
      <c r="AR154" s="65" t="n">
        <f aca="false">AQ151-AR151</f>
        <v>0</v>
      </c>
      <c r="AS154" s="65" t="n">
        <f aca="false">AR151-AS151</f>
        <v>0</v>
      </c>
      <c r="AT154" s="65" t="n">
        <f aca="false">AS151-AT151</f>
        <v>0</v>
      </c>
      <c r="AU154" s="65" t="n">
        <f aca="false">AT151-AU151</f>
        <v>0</v>
      </c>
      <c r="AV154" s="65" t="n">
        <f aca="false">AU151-AV151</f>
        <v>0</v>
      </c>
      <c r="AW154" s="65" t="n">
        <f aca="false">AV151-AW151</f>
        <v>0</v>
      </c>
      <c r="AX154" s="65" t="n">
        <f aca="false">AW151-AX151</f>
        <v>0</v>
      </c>
      <c r="AY154" s="65" t="n">
        <f aca="false">AX151-AY151</f>
        <v>0</v>
      </c>
      <c r="AZ154" s="65" t="n">
        <f aca="false">AY151-AZ151</f>
        <v>0</v>
      </c>
      <c r="BA154" s="65" t="n">
        <f aca="false">AZ151-BA151</f>
        <v>0</v>
      </c>
      <c r="BB154" s="65" t="n">
        <f aca="false">BA151-BB151</f>
        <v>0</v>
      </c>
      <c r="BC154" s="65" t="n">
        <f aca="false">BB151-BC151</f>
        <v>0</v>
      </c>
      <c r="BD154" s="65" t="n">
        <f aca="false">BC151-BD151</f>
        <v>0</v>
      </c>
      <c r="BE154" s="65" t="n">
        <f aca="false">BD151-BE151</f>
        <v>0</v>
      </c>
      <c r="BF154" s="65" t="n">
        <f aca="false">BE151-BF151</f>
        <v>0</v>
      </c>
      <c r="BG154" s="65" t="n">
        <f aca="false">BF151-BG151</f>
        <v>0</v>
      </c>
      <c r="BH154" s="65" t="n">
        <f aca="false">BG151-BH151</f>
        <v>0</v>
      </c>
      <c r="BI154" s="65" t="n">
        <f aca="false">BH151-BI151</f>
        <v>0</v>
      </c>
      <c r="BJ154" s="65" t="n">
        <f aca="false">BI151-BJ151</f>
        <v>0</v>
      </c>
    </row>
    <row r="155" customFormat="false" ht="15" hidden="false" customHeight="false" outlineLevel="0" collapsed="false">
      <c r="A155" s="6" t="s">
        <v>347</v>
      </c>
      <c r="C155" s="65" t="n">
        <f aca="false">-C152</f>
        <v>-0</v>
      </c>
      <c r="D155" s="65" t="n">
        <f aca="false">C152-D152</f>
        <v>0</v>
      </c>
      <c r="E155" s="65" t="n">
        <f aca="false">D152-E152</f>
        <v>0</v>
      </c>
      <c r="F155" s="65" t="n">
        <f aca="false">E152-F152</f>
        <v>0</v>
      </c>
      <c r="G155" s="65" t="n">
        <f aca="false">F152-G152</f>
        <v>0</v>
      </c>
      <c r="H155" s="65" t="n">
        <f aca="false">G152-H152</f>
        <v>0</v>
      </c>
      <c r="I155" s="65" t="n">
        <f aca="false">H152-I152</f>
        <v>0</v>
      </c>
      <c r="J155" s="65" t="n">
        <f aca="false">I152-J152</f>
        <v>0</v>
      </c>
      <c r="K155" s="65" t="n">
        <f aca="false">J152-K152</f>
        <v>0</v>
      </c>
      <c r="L155" s="65" t="n">
        <f aca="false">K152-L152</f>
        <v>0</v>
      </c>
      <c r="M155" s="65" t="n">
        <f aca="false">L152-M152</f>
        <v>0</v>
      </c>
      <c r="N155" s="65" t="n">
        <f aca="false">M152-N152</f>
        <v>0</v>
      </c>
      <c r="O155" s="65" t="n">
        <f aca="false">N152-O152</f>
        <v>0</v>
      </c>
      <c r="P155" s="65" t="n">
        <f aca="false">O152-P152</f>
        <v>0</v>
      </c>
      <c r="Q155" s="65" t="n">
        <f aca="false">P152-Q152</f>
        <v>0</v>
      </c>
      <c r="R155" s="65" t="n">
        <f aca="false">Q152-R152</f>
        <v>0</v>
      </c>
      <c r="S155" s="65" t="n">
        <f aca="false">R152-S152</f>
        <v>0</v>
      </c>
      <c r="T155" s="65" t="n">
        <f aca="false">S152-T152</f>
        <v>0</v>
      </c>
      <c r="U155" s="65" t="n">
        <f aca="false">T152-U152</f>
        <v>0</v>
      </c>
      <c r="V155" s="65" t="n">
        <f aca="false">U152-V152</f>
        <v>0</v>
      </c>
      <c r="W155" s="65" t="n">
        <f aca="false">V152-W152</f>
        <v>0</v>
      </c>
      <c r="X155" s="65" t="n">
        <f aca="false">W152-X152</f>
        <v>0</v>
      </c>
      <c r="Y155" s="65" t="n">
        <f aca="false">X152-Y152</f>
        <v>0</v>
      </c>
      <c r="Z155" s="65" t="n">
        <f aca="false">Y152-Z152</f>
        <v>0</v>
      </c>
      <c r="AA155" s="65" t="n">
        <f aca="false">Z152-AA152</f>
        <v>0</v>
      </c>
      <c r="AB155" s="65" t="n">
        <f aca="false">AA152-AB152</f>
        <v>0</v>
      </c>
      <c r="AC155" s="65" t="n">
        <f aca="false">AB152-AC152</f>
        <v>0</v>
      </c>
      <c r="AD155" s="65" t="n">
        <f aca="false">AC152-AD152</f>
        <v>0</v>
      </c>
      <c r="AE155" s="65" t="n">
        <f aca="false">AD152-AE152</f>
        <v>0</v>
      </c>
      <c r="AF155" s="65" t="n">
        <f aca="false">AE152-AF152</f>
        <v>0</v>
      </c>
      <c r="AG155" s="65" t="n">
        <f aca="false">AF152-AG152</f>
        <v>0</v>
      </c>
      <c r="AH155" s="65" t="n">
        <f aca="false">AG152-AH152</f>
        <v>0</v>
      </c>
      <c r="AI155" s="65" t="n">
        <f aca="false">AH152-AI152</f>
        <v>0</v>
      </c>
      <c r="AJ155" s="65" t="n">
        <f aca="false">AI152-AJ152</f>
        <v>0</v>
      </c>
      <c r="AK155" s="65" t="n">
        <f aca="false">AJ152-AK152</f>
        <v>0</v>
      </c>
      <c r="AL155" s="65" t="n">
        <f aca="false">AK152-AL152</f>
        <v>0</v>
      </c>
      <c r="AM155" s="65" t="n">
        <f aca="false">AL152-AM152</f>
        <v>0</v>
      </c>
      <c r="AN155" s="65" t="n">
        <f aca="false">AM152-AN152</f>
        <v>0</v>
      </c>
      <c r="AO155" s="65" t="n">
        <f aca="false">AN152-AO152</f>
        <v>0</v>
      </c>
      <c r="AP155" s="65" t="n">
        <f aca="false">AO152-AP152</f>
        <v>0</v>
      </c>
      <c r="AQ155" s="65" t="n">
        <f aca="false">AP152-AQ152</f>
        <v>0</v>
      </c>
      <c r="AR155" s="65" t="n">
        <f aca="false">AQ152-AR152</f>
        <v>0</v>
      </c>
      <c r="AS155" s="65" t="n">
        <f aca="false">AR152-AS152</f>
        <v>0</v>
      </c>
      <c r="AT155" s="65" t="n">
        <f aca="false">AS152-AT152</f>
        <v>0</v>
      </c>
      <c r="AU155" s="65" t="n">
        <f aca="false">AT152-AU152</f>
        <v>0</v>
      </c>
      <c r="AV155" s="65" t="n">
        <f aca="false">AU152-AV152</f>
        <v>0</v>
      </c>
      <c r="AW155" s="65" t="n">
        <f aca="false">AV152-AW152</f>
        <v>0</v>
      </c>
      <c r="AX155" s="65" t="n">
        <f aca="false">AW152-AX152</f>
        <v>0</v>
      </c>
      <c r="AY155" s="65" t="n">
        <f aca="false">AX152-AY152</f>
        <v>0</v>
      </c>
      <c r="AZ155" s="65" t="n">
        <f aca="false">AY152-AZ152</f>
        <v>0</v>
      </c>
      <c r="BA155" s="65" t="n">
        <f aca="false">AZ152-BA152</f>
        <v>0</v>
      </c>
      <c r="BB155" s="65" t="n">
        <f aca="false">BA152-BB152</f>
        <v>0</v>
      </c>
      <c r="BC155" s="65" t="n">
        <f aca="false">BB152-BC152</f>
        <v>0</v>
      </c>
      <c r="BD155" s="65" t="n">
        <f aca="false">BC152-BD152</f>
        <v>0</v>
      </c>
      <c r="BE155" s="65" t="n">
        <f aca="false">BD152-BE152</f>
        <v>0</v>
      </c>
      <c r="BF155" s="65" t="n">
        <f aca="false">BE152-BF152</f>
        <v>0</v>
      </c>
      <c r="BG155" s="65" t="n">
        <f aca="false">BF152-BG152</f>
        <v>0</v>
      </c>
      <c r="BH155" s="65" t="n">
        <f aca="false">BG152-BH152</f>
        <v>0</v>
      </c>
      <c r="BI155" s="65" t="n">
        <f aca="false">BH152-BI152</f>
        <v>0</v>
      </c>
      <c r="BJ155" s="65" t="n">
        <f aca="false">BI152-BJ152</f>
        <v>0</v>
      </c>
    </row>
    <row r="156" customFormat="false" ht="15" hidden="false" customHeight="false" outlineLevel="0" collapsed="false">
      <c r="A156" s="6" t="s">
        <v>348</v>
      </c>
      <c r="C156" s="65" t="n">
        <f aca="false">C153</f>
        <v>934.5</v>
      </c>
      <c r="D156" s="65" t="n">
        <f aca="false">D153-C153</f>
        <v>0</v>
      </c>
      <c r="E156" s="65" t="n">
        <f aca="false">E153-D153</f>
        <v>0</v>
      </c>
      <c r="F156" s="65" t="n">
        <f aca="false">F153-E153</f>
        <v>0</v>
      </c>
      <c r="G156" s="65" t="n">
        <f aca="false">G153-F153</f>
        <v>0</v>
      </c>
      <c r="H156" s="65" t="n">
        <f aca="false">H153-G153</f>
        <v>0</v>
      </c>
      <c r="I156" s="65" t="n">
        <f aca="false">I153-H153</f>
        <v>0</v>
      </c>
      <c r="J156" s="65" t="n">
        <f aca="false">J153-I153</f>
        <v>0</v>
      </c>
      <c r="K156" s="65" t="n">
        <f aca="false">K153-J153</f>
        <v>0</v>
      </c>
      <c r="L156" s="65" t="n">
        <f aca="false">L153-K153</f>
        <v>0</v>
      </c>
      <c r="M156" s="65" t="n">
        <f aca="false">M153-L153</f>
        <v>0</v>
      </c>
      <c r="N156" s="65" t="n">
        <f aca="false">N153-M153</f>
        <v>0</v>
      </c>
      <c r="O156" s="65" t="n">
        <f aca="false">O153-N153</f>
        <v>28.035</v>
      </c>
      <c r="P156" s="65" t="n">
        <f aca="false">P153-O153</f>
        <v>0</v>
      </c>
      <c r="Q156" s="65" t="n">
        <f aca="false">Q153-P153</f>
        <v>0</v>
      </c>
      <c r="R156" s="65" t="n">
        <f aca="false">R153-Q153</f>
        <v>0</v>
      </c>
      <c r="S156" s="65" t="n">
        <f aca="false">S153-R153</f>
        <v>0</v>
      </c>
      <c r="T156" s="65" t="n">
        <f aca="false">T153-S153</f>
        <v>0</v>
      </c>
      <c r="U156" s="65" t="n">
        <f aca="false">U153-T153</f>
        <v>0</v>
      </c>
      <c r="V156" s="65" t="n">
        <f aca="false">V153-U153</f>
        <v>0</v>
      </c>
      <c r="W156" s="65" t="n">
        <f aca="false">W153-V153</f>
        <v>0</v>
      </c>
      <c r="X156" s="65" t="n">
        <f aca="false">X153-W153</f>
        <v>0</v>
      </c>
      <c r="Y156" s="65" t="n">
        <f aca="false">Y153-X153</f>
        <v>0</v>
      </c>
      <c r="Z156" s="65" t="n">
        <f aca="false">Z153-Y153</f>
        <v>0</v>
      </c>
      <c r="AA156" s="65" t="n">
        <f aca="false">AA153-Z153</f>
        <v>28.87605</v>
      </c>
      <c r="AB156" s="65" t="n">
        <f aca="false">AB153-AA153</f>
        <v>0</v>
      </c>
      <c r="AC156" s="65" t="n">
        <f aca="false">AC153-AB153</f>
        <v>0</v>
      </c>
      <c r="AD156" s="65" t="n">
        <f aca="false">AD153-AC153</f>
        <v>0</v>
      </c>
      <c r="AE156" s="65" t="n">
        <f aca="false">AE153-AD153</f>
        <v>0</v>
      </c>
      <c r="AF156" s="65" t="n">
        <f aca="false">AF153-AE153</f>
        <v>0</v>
      </c>
      <c r="AG156" s="65" t="n">
        <f aca="false">AG153-AF153</f>
        <v>0</v>
      </c>
      <c r="AH156" s="65" t="n">
        <f aca="false">AH153-AG153</f>
        <v>0</v>
      </c>
      <c r="AI156" s="65" t="n">
        <f aca="false">AI153-AH153</f>
        <v>0</v>
      </c>
      <c r="AJ156" s="65" t="n">
        <f aca="false">AJ153-AI153</f>
        <v>0</v>
      </c>
      <c r="AK156" s="65" t="n">
        <f aca="false">AK153-AJ153</f>
        <v>0</v>
      </c>
      <c r="AL156" s="65" t="n">
        <f aca="false">AL153-AK153</f>
        <v>0</v>
      </c>
      <c r="AM156" s="65" t="n">
        <f aca="false">AM153-AL153</f>
        <v>29.7423315000001</v>
      </c>
      <c r="AN156" s="65" t="n">
        <f aca="false">AN153-AM153</f>
        <v>0</v>
      </c>
      <c r="AO156" s="65" t="n">
        <f aca="false">AO153-AN153</f>
        <v>0</v>
      </c>
      <c r="AP156" s="65" t="n">
        <f aca="false">AP153-AO153</f>
        <v>0</v>
      </c>
      <c r="AQ156" s="65" t="n">
        <f aca="false">AQ153-AP153</f>
        <v>0</v>
      </c>
      <c r="AR156" s="65" t="n">
        <f aca="false">AR153-AQ153</f>
        <v>0</v>
      </c>
      <c r="AS156" s="65" t="n">
        <f aca="false">AS153-AR153</f>
        <v>0</v>
      </c>
      <c r="AT156" s="65" t="n">
        <f aca="false">AT153-AS153</f>
        <v>0</v>
      </c>
      <c r="AU156" s="65" t="n">
        <f aca="false">AU153-AT153</f>
        <v>0</v>
      </c>
      <c r="AV156" s="65" t="n">
        <f aca="false">AV153-AU153</f>
        <v>0</v>
      </c>
      <c r="AW156" s="65" t="n">
        <f aca="false">AW153-AV153</f>
        <v>0</v>
      </c>
      <c r="AX156" s="65" t="n">
        <f aca="false">AX153-AW153</f>
        <v>0</v>
      </c>
      <c r="AY156" s="65" t="n">
        <f aca="false">AY153-AX153</f>
        <v>30.6346014450003</v>
      </c>
      <c r="AZ156" s="65" t="n">
        <f aca="false">AZ153-AY153</f>
        <v>0</v>
      </c>
      <c r="BA156" s="65" t="n">
        <f aca="false">BA153-AZ153</f>
        <v>0</v>
      </c>
      <c r="BB156" s="65" t="n">
        <f aca="false">BB153-BA153</f>
        <v>0</v>
      </c>
      <c r="BC156" s="65" t="n">
        <f aca="false">BC153-BB153</f>
        <v>0</v>
      </c>
      <c r="BD156" s="65" t="n">
        <f aca="false">BD153-BC153</f>
        <v>0</v>
      </c>
      <c r="BE156" s="65" t="n">
        <f aca="false">BE153-BD153</f>
        <v>0</v>
      </c>
      <c r="BF156" s="65" t="n">
        <f aca="false">BF153-BE153</f>
        <v>0</v>
      </c>
      <c r="BG156" s="65" t="n">
        <f aca="false">BG153-BF153</f>
        <v>0</v>
      </c>
      <c r="BH156" s="65" t="n">
        <f aca="false">BH153-BG153</f>
        <v>0</v>
      </c>
      <c r="BI156" s="65" t="n">
        <f aca="false">BI153-BH153</f>
        <v>0</v>
      </c>
      <c r="BJ156" s="65" t="n">
        <f aca="false">BJ153-BI153</f>
        <v>0</v>
      </c>
    </row>
    <row r="158" customFormat="false" ht="15.75" hidden="false" customHeight="true" outlineLevel="0" collapsed="false">
      <c r="A158" s="7" t="s">
        <v>436</v>
      </c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</row>
    <row r="159" customFormat="false" ht="15" hidden="false" customHeight="false" outlineLevel="0" collapsed="false">
      <c r="A159" s="4" t="s">
        <v>53</v>
      </c>
      <c r="C159" s="71" t="n">
        <f aca="false">C129-C138+C154+C155+C156</f>
        <v>4879.5</v>
      </c>
      <c r="D159" s="71" t="n">
        <f aca="false">D129-D138+D154+D155+D156</f>
        <v>3950.87608819371</v>
      </c>
      <c r="E159" s="71" t="n">
        <f aca="false">E129-E138+E154+E155+E156</f>
        <v>3956.78400519847</v>
      </c>
      <c r="F159" s="71" t="n">
        <f aca="false">F129-F138+F154+F155+F156</f>
        <v>3962.72392342034</v>
      </c>
      <c r="G159" s="71" t="n">
        <f aca="false">G129-G138+G154+G155+G156</f>
        <v>3968.69601619924</v>
      </c>
      <c r="H159" s="71" t="n">
        <f aca="false">H129-H138+H154+H155+H156</f>
        <v>3974.70045781403</v>
      </c>
      <c r="I159" s="71" t="n">
        <f aca="false">I129-I138+I154+I155+I156</f>
        <v>3980.73742348756</v>
      </c>
      <c r="J159" s="71" t="n">
        <f aca="false">J129-J138+J154+J155+J156</f>
        <v>3986.80708939183</v>
      </c>
      <c r="K159" s="71" t="n">
        <f aca="false">K129-K138+K154+K155+K156</f>
        <v>3992.90963265308</v>
      </c>
      <c r="L159" s="71" t="n">
        <f aca="false">L129-L138+L154+L155+L156</f>
        <v>3999.04523135699</v>
      </c>
      <c r="M159" s="71" t="n">
        <f aca="false">M129-M138+M154+M155+M156</f>
        <v>4005.21406455389</v>
      </c>
      <c r="N159" s="71" t="n">
        <f aca="false">N129-N138+N154+N155+N156</f>
        <v>4011.41631226393</v>
      </c>
      <c r="O159" s="71" t="n">
        <f aca="false">O129-O138+O154+O155+O156</f>
        <v>4359.0371554824</v>
      </c>
      <c r="P159" s="71" t="n">
        <f aca="false">P129-P138+P154+P155+P156</f>
        <v>4337.27177618497</v>
      </c>
      <c r="Q159" s="71" t="n">
        <f aca="false">Q129-Q138+Q154+Q155+Q156</f>
        <v>4343.57535733302</v>
      </c>
      <c r="R159" s="71" t="n">
        <f aca="false">R129-R138+R154+R155+R156</f>
        <v>4349.91308287895</v>
      </c>
      <c r="S159" s="71" t="n">
        <f aca="false">S129-S138+S154+S155+S156</f>
        <v>4356.28513777158</v>
      </c>
      <c r="T159" s="71" t="n">
        <f aca="false">T129-T138+T154+T155+T156</f>
        <v>4362.69170796156</v>
      </c>
      <c r="U159" s="71" t="n">
        <f aca="false">U129-U138+U154+U155+U156</f>
        <v>4369.13298040672</v>
      </c>
      <c r="V159" s="71" t="n">
        <f aca="false">V129-V138+V154+V155+V156</f>
        <v>4375.60914307764</v>
      </c>
      <c r="W159" s="71" t="n">
        <f aca="false">W129-W138+W154+W155+W156</f>
        <v>4382.12038496302</v>
      </c>
      <c r="X159" s="71" t="n">
        <f aca="false">X129-X138+X154+X155+X156</f>
        <v>4388.66689607527</v>
      </c>
      <c r="Y159" s="71" t="n">
        <f aca="false">Y129-Y138+Y154+Y155+Y156</f>
        <v>4395.24886745606</v>
      </c>
      <c r="Z159" s="71" t="n">
        <f aca="false">Z129-Z138+Z154+Z155+Z156</f>
        <v>4401.86649118182</v>
      </c>
      <c r="AA159" s="71" t="n">
        <f aca="false">AA129-AA138+AA154+AA155+AA156</f>
        <v>4760.14651036943</v>
      </c>
      <c r="AB159" s="71" t="n">
        <f aca="false">AB129-AB138+AB154+AB155+AB156</f>
        <v>4737.95996918181</v>
      </c>
      <c r="AC159" s="71" t="n">
        <f aca="false">AC129-AC138+AC154+AC155+AC156</f>
        <v>4744.68571283359</v>
      </c>
      <c r="AD159" s="71" t="n">
        <f aca="false">AD129-AD138+AD154+AD155+AD156</f>
        <v>4751.44788759681</v>
      </c>
      <c r="AE159" s="71" t="n">
        <f aca="false">AE129-AE138+AE154+AE155+AE156</f>
        <v>4758.24669080667</v>
      </c>
      <c r="AF159" s="71" t="n">
        <f aca="false">AF129-AF138+AF154+AF155+AF156</f>
        <v>4765.08232086725</v>
      </c>
      <c r="AG159" s="71" t="n">
        <f aca="false">AG129-AG138+AG154+AG155+AG156</f>
        <v>4771.95497725732</v>
      </c>
      <c r="AH159" s="71" t="n">
        <f aca="false">AH129-AH138+AH154+AH155+AH156</f>
        <v>4778.86486053617</v>
      </c>
      <c r="AI159" s="71" t="n">
        <f aca="false">AI129-AI138+AI154+AI155+AI156</f>
        <v>4785.81217234945</v>
      </c>
      <c r="AJ159" s="71" t="n">
        <f aca="false">AJ129-AJ138+AJ154+AJ155+AJ156</f>
        <v>4792.79711543506</v>
      </c>
      <c r="AK159" s="71" t="n">
        <f aca="false">AK129-AK138+AK154+AK155+AK156</f>
        <v>4799.81989362904</v>
      </c>
      <c r="AL159" s="71" t="n">
        <f aca="false">AL129-AL138+AL154+AL155+AL156</f>
        <v>4806.88071187157</v>
      </c>
      <c r="AM159" s="71" t="n">
        <f aca="false">AM129-AM138+AM154+AM155+AM156</f>
        <v>5176.15512271292</v>
      </c>
      <c r="AN159" s="71" t="n">
        <f aca="false">AN129-AN138+AN154+AN155+AN156</f>
        <v>5153.55030881945</v>
      </c>
      <c r="AO159" s="71" t="n">
        <f aca="false">AO129-AO138+AO154+AO155+AO156</f>
        <v>5160.72648797968</v>
      </c>
      <c r="AP159" s="71" t="n">
        <f aca="false">AP129-AP138+AP154+AP155+AP156</f>
        <v>5167.94153811036</v>
      </c>
      <c r="AQ159" s="71" t="n">
        <f aca="false">AQ129-AQ138+AQ154+AQ155+AQ156</f>
        <v>5175.19566976258</v>
      </c>
      <c r="AR159" s="71" t="n">
        <f aca="false">AR129-AR138+AR154+AR155+AR156</f>
        <v>5182.48909462792</v>
      </c>
      <c r="AS159" s="71" t="n">
        <f aca="false">AS129-AS138+AS154+AS155+AS156</f>
        <v>5189.82202554462</v>
      </c>
      <c r="AT159" s="71" t="n">
        <f aca="false">AT129-AT138+AT154+AT155+AT156</f>
        <v>5197.19467650378</v>
      </c>
      <c r="AU159" s="71" t="n">
        <f aca="false">AU129-AU138+AU154+AU155+AU156</f>
        <v>5204.60726265563</v>
      </c>
      <c r="AV159" s="71" t="n">
        <f aca="false">AV129-AV138+AV154+AV155+AV156</f>
        <v>5212.06000031581</v>
      </c>
      <c r="AW159" s="71" t="n">
        <f aca="false">AW129-AW138+AW154+AW155+AW156</f>
        <v>5219.55310697165</v>
      </c>
      <c r="AX159" s="71" t="n">
        <f aca="false">AX129-AX138+AX154+AX155+AX156</f>
        <v>5227.08680128853</v>
      </c>
      <c r="AY159" s="71" t="n">
        <f aca="false">AY129-AY138+AY154+AY155+AY156</f>
        <v>5607.70191001131</v>
      </c>
      <c r="AZ159" s="71" t="n">
        <f aca="false">AZ129-AZ138+AZ154+AZ155+AZ156</f>
        <v>5584.68283894565</v>
      </c>
      <c r="BA159" s="71" t="n">
        <f aca="false">BA129-BA138+BA154+BA155+BA156</f>
        <v>5592.33962011454</v>
      </c>
      <c r="BB159" s="71" t="n">
        <f aca="false">BB129-BB138+BB154+BB155+BB156</f>
        <v>5600.03787551477</v>
      </c>
      <c r="BC159" s="71" t="n">
        <f aca="false">BC129-BC138+BC154+BC155+BC156</f>
        <v>5607.77782979841</v>
      </c>
      <c r="BD159" s="71" t="n">
        <f aca="false">BD129-BD138+BD154+BD155+BD156</f>
        <v>5615.55970883443</v>
      </c>
      <c r="BE159" s="71" t="n">
        <f aca="false">BE129-BE138+BE154+BE155+BE156</f>
        <v>5623.38373971522</v>
      </c>
      <c r="BF159" s="71" t="n">
        <f aca="false">BF129-BF138+BF154+BF155+BF156</f>
        <v>5631.25015076328</v>
      </c>
      <c r="BG159" s="71" t="n">
        <f aca="false">BG129-BG138+BG154+BG155+BG156</f>
        <v>5639.15917153785</v>
      </c>
      <c r="BH159" s="71" t="n">
        <f aca="false">BH129-BH138+BH154+BH155+BH156</f>
        <v>5647.11103284162</v>
      </c>
      <c r="BI159" s="71" t="n">
        <f aca="false">BI129-BI138+BI154+BI155+BI156</f>
        <v>5634.23807789609</v>
      </c>
      <c r="BJ159" s="71" t="n">
        <f aca="false">BJ129-BJ138+BJ154+BJ155+BJ156</f>
        <v>5481.15927752288</v>
      </c>
    </row>
    <row r="160" customFormat="false" ht="15" hidden="false" customHeight="false" outlineLevel="0" collapsed="false">
      <c r="A160" s="6" t="s">
        <v>437</v>
      </c>
      <c r="C160" s="65" t="n">
        <f aca="false">-C135</f>
        <v>-1905791.66666667</v>
      </c>
      <c r="D160" s="65" t="n">
        <f aca="false">-D135</f>
        <v>-291.666666666667</v>
      </c>
      <c r="E160" s="65" t="n">
        <f aca="false">-E135</f>
        <v>-291.666666666667</v>
      </c>
      <c r="F160" s="65" t="n">
        <f aca="false">-F135</f>
        <v>-291.666666666667</v>
      </c>
      <c r="G160" s="65" t="n">
        <f aca="false">-G135</f>
        <v>-291.666666666667</v>
      </c>
      <c r="H160" s="65" t="n">
        <f aca="false">-H135</f>
        <v>-291.666666666667</v>
      </c>
      <c r="I160" s="65" t="n">
        <f aca="false">-I135</f>
        <v>-291.666666666667</v>
      </c>
      <c r="J160" s="65" t="n">
        <f aca="false">-J135</f>
        <v>-291.666666666667</v>
      </c>
      <c r="K160" s="65" t="n">
        <f aca="false">-K135</f>
        <v>-291.666666666667</v>
      </c>
      <c r="L160" s="65" t="n">
        <f aca="false">-L135</f>
        <v>-291.666666666667</v>
      </c>
      <c r="M160" s="65" t="n">
        <f aca="false">-M135</f>
        <v>-291.666666666667</v>
      </c>
      <c r="N160" s="65" t="n">
        <f aca="false">-N135</f>
        <v>-291.666666666667</v>
      </c>
      <c r="O160" s="65" t="n">
        <f aca="false">-O135</f>
        <v>-300.416666666667</v>
      </c>
      <c r="P160" s="65" t="n">
        <f aca="false">-P135</f>
        <v>-300.416666666667</v>
      </c>
      <c r="Q160" s="65" t="n">
        <f aca="false">-Q135</f>
        <v>-300.416666666667</v>
      </c>
      <c r="R160" s="65" t="n">
        <f aca="false">-R135</f>
        <v>-300.416666666667</v>
      </c>
      <c r="S160" s="65" t="n">
        <f aca="false">-S135</f>
        <v>-300.416666666667</v>
      </c>
      <c r="T160" s="65" t="n">
        <f aca="false">-T135</f>
        <v>-300.416666666667</v>
      </c>
      <c r="U160" s="65" t="n">
        <f aca="false">-U135</f>
        <v>-300.416666666667</v>
      </c>
      <c r="V160" s="65" t="n">
        <f aca="false">-V135</f>
        <v>-300.416666666667</v>
      </c>
      <c r="W160" s="65" t="n">
        <f aca="false">-W135</f>
        <v>-300.416666666667</v>
      </c>
      <c r="X160" s="65" t="n">
        <f aca="false">-X135</f>
        <v>-300.416666666667</v>
      </c>
      <c r="Y160" s="65" t="n">
        <f aca="false">-Y135</f>
        <v>-300.416666666667</v>
      </c>
      <c r="Z160" s="65" t="n">
        <f aca="false">-Z135</f>
        <v>-300.416666666667</v>
      </c>
      <c r="AA160" s="65" t="n">
        <f aca="false">-AA135</f>
        <v>-309.429166666667</v>
      </c>
      <c r="AB160" s="65" t="n">
        <f aca="false">-AB135</f>
        <v>-309.429166666667</v>
      </c>
      <c r="AC160" s="65" t="n">
        <f aca="false">-AC135</f>
        <v>-309.429166666667</v>
      </c>
      <c r="AD160" s="65" t="n">
        <f aca="false">-AD135</f>
        <v>-309.429166666667</v>
      </c>
      <c r="AE160" s="65" t="n">
        <f aca="false">-AE135</f>
        <v>-309.429166666667</v>
      </c>
      <c r="AF160" s="65" t="n">
        <f aca="false">-AF135</f>
        <v>-309.429166666667</v>
      </c>
      <c r="AG160" s="65" t="n">
        <f aca="false">-AG135</f>
        <v>-309.429166666667</v>
      </c>
      <c r="AH160" s="65" t="n">
        <f aca="false">-AH135</f>
        <v>-309.429166666667</v>
      </c>
      <c r="AI160" s="65" t="n">
        <f aca="false">-AI135</f>
        <v>-309.429166666667</v>
      </c>
      <c r="AJ160" s="65" t="n">
        <f aca="false">-AJ135</f>
        <v>-309.429166666667</v>
      </c>
      <c r="AK160" s="65" t="n">
        <f aca="false">-AK135</f>
        <v>-309.429166666667</v>
      </c>
      <c r="AL160" s="65" t="n">
        <f aca="false">-AL135</f>
        <v>-309.429166666667</v>
      </c>
      <c r="AM160" s="65" t="n">
        <f aca="false">-AM135</f>
        <v>-318.712041666667</v>
      </c>
      <c r="AN160" s="65" t="n">
        <f aca="false">-AN135</f>
        <v>-318.712041666667</v>
      </c>
      <c r="AO160" s="65" t="n">
        <f aca="false">-AO135</f>
        <v>-318.712041666667</v>
      </c>
      <c r="AP160" s="65" t="n">
        <f aca="false">-AP135</f>
        <v>-318.712041666667</v>
      </c>
      <c r="AQ160" s="65" t="n">
        <f aca="false">-AQ135</f>
        <v>-318.712041666667</v>
      </c>
      <c r="AR160" s="65" t="n">
        <f aca="false">-AR135</f>
        <v>-318.712041666667</v>
      </c>
      <c r="AS160" s="65" t="n">
        <f aca="false">-AS135</f>
        <v>-318.712041666667</v>
      </c>
      <c r="AT160" s="65" t="n">
        <f aca="false">-AT135</f>
        <v>-318.712041666667</v>
      </c>
      <c r="AU160" s="65" t="n">
        <f aca="false">-AU135</f>
        <v>-318.712041666667</v>
      </c>
      <c r="AV160" s="65" t="n">
        <f aca="false">-AV135</f>
        <v>-318.712041666667</v>
      </c>
      <c r="AW160" s="65" t="n">
        <f aca="false">-AW135</f>
        <v>-318.712041666667</v>
      </c>
      <c r="AX160" s="65" t="n">
        <f aca="false">-AX135</f>
        <v>-318.712041666667</v>
      </c>
      <c r="AY160" s="65" t="n">
        <f aca="false">-AY135</f>
        <v>-328.273402916667</v>
      </c>
      <c r="AZ160" s="65" t="n">
        <f aca="false">-AZ135</f>
        <v>-328.273402916667</v>
      </c>
      <c r="BA160" s="65" t="n">
        <f aca="false">-BA135</f>
        <v>-328.273402916667</v>
      </c>
      <c r="BB160" s="65" t="n">
        <f aca="false">-BB135</f>
        <v>-328.273402916667</v>
      </c>
      <c r="BC160" s="65" t="n">
        <f aca="false">-BC135</f>
        <v>-328.273402916667</v>
      </c>
      <c r="BD160" s="65" t="n">
        <f aca="false">-BD135</f>
        <v>-328.273402916667</v>
      </c>
      <c r="BE160" s="65" t="n">
        <f aca="false">-BE135</f>
        <v>-328.273402916667</v>
      </c>
      <c r="BF160" s="65" t="n">
        <f aca="false">-BF135</f>
        <v>-328.273402916667</v>
      </c>
      <c r="BG160" s="65" t="n">
        <f aca="false">-BG135</f>
        <v>-328.273402916667</v>
      </c>
      <c r="BH160" s="65" t="n">
        <f aca="false">-BH135</f>
        <v>-328.273402916667</v>
      </c>
      <c r="BI160" s="65" t="n">
        <f aca="false">-BI135</f>
        <v>-328.273402916667</v>
      </c>
      <c r="BJ160" s="65" t="n">
        <f aca="false">-BJ135</f>
        <v>-328.273402916667</v>
      </c>
    </row>
    <row r="161" customFormat="false" ht="15" hidden="false" customHeight="false" outlineLevel="0" collapsed="false">
      <c r="A161" s="6" t="s">
        <v>64</v>
      </c>
      <c r="C161" s="65" t="n">
        <f aca="false">IF(C$98=1,Inputs!$C$34,0)</f>
        <v>760000</v>
      </c>
      <c r="D161" s="65" t="n">
        <f aca="false">IF(D$98=1,Inputs!$C$34,0)</f>
        <v>0</v>
      </c>
      <c r="E161" s="65" t="n">
        <f aca="false">IF(E$98=1,Inputs!$C$34,0)</f>
        <v>0</v>
      </c>
      <c r="F161" s="65" t="n">
        <f aca="false">IF(F$98=1,Inputs!$C$34,0)</f>
        <v>0</v>
      </c>
      <c r="G161" s="65" t="n">
        <f aca="false">IF(G$98=1,Inputs!$C$34,0)</f>
        <v>0</v>
      </c>
      <c r="H161" s="65" t="n">
        <f aca="false">IF(H$98=1,Inputs!$C$34,0)</f>
        <v>0</v>
      </c>
      <c r="I161" s="65" t="n">
        <f aca="false">IF(I$98=1,Inputs!$C$34,0)</f>
        <v>0</v>
      </c>
      <c r="J161" s="65" t="n">
        <f aca="false">IF(J$98=1,Inputs!$C$34,0)</f>
        <v>0</v>
      </c>
      <c r="K161" s="65" t="n">
        <f aca="false">IF(K$98=1,Inputs!$C$34,0)</f>
        <v>0</v>
      </c>
      <c r="L161" s="65" t="n">
        <f aca="false">IF(L$98=1,Inputs!$C$34,0)</f>
        <v>0</v>
      </c>
      <c r="M161" s="65" t="n">
        <f aca="false">IF(M$98=1,Inputs!$C$34,0)</f>
        <v>0</v>
      </c>
      <c r="N161" s="65" t="n">
        <f aca="false">IF(N$98=1,Inputs!$C$34,0)</f>
        <v>0</v>
      </c>
      <c r="O161" s="65" t="n">
        <f aca="false">IF(O$98=1,Inputs!$C$34,0)</f>
        <v>0</v>
      </c>
      <c r="P161" s="65" t="n">
        <f aca="false">IF(P$98=1,Inputs!$C$34,0)</f>
        <v>0</v>
      </c>
      <c r="Q161" s="65" t="n">
        <f aca="false">IF(Q$98=1,Inputs!$C$34,0)</f>
        <v>0</v>
      </c>
      <c r="R161" s="65" t="n">
        <f aca="false">IF(R$98=1,Inputs!$C$34,0)</f>
        <v>0</v>
      </c>
      <c r="S161" s="65" t="n">
        <f aca="false">IF(S$98=1,Inputs!$C$34,0)</f>
        <v>0</v>
      </c>
      <c r="T161" s="65" t="n">
        <f aca="false">IF(T$98=1,Inputs!$C$34,0)</f>
        <v>0</v>
      </c>
      <c r="U161" s="65" t="n">
        <f aca="false">IF(U$98=1,Inputs!$C$34,0)</f>
        <v>0</v>
      </c>
      <c r="V161" s="65" t="n">
        <f aca="false">IF(V$98=1,Inputs!$C$34,0)</f>
        <v>0</v>
      </c>
      <c r="W161" s="65" t="n">
        <f aca="false">IF(W$98=1,Inputs!$C$34,0)</f>
        <v>0</v>
      </c>
      <c r="X161" s="65" t="n">
        <f aca="false">IF(X$98=1,Inputs!$C$34,0)</f>
        <v>0</v>
      </c>
      <c r="Y161" s="65" t="n">
        <f aca="false">IF(Y$98=1,Inputs!$C$34,0)</f>
        <v>0</v>
      </c>
      <c r="Z161" s="65" t="n">
        <f aca="false">IF(Z$98=1,Inputs!$C$34,0)</f>
        <v>0</v>
      </c>
      <c r="AA161" s="65" t="n">
        <f aca="false">IF(AA$98=1,Inputs!$C$34,0)</f>
        <v>0</v>
      </c>
      <c r="AB161" s="65" t="n">
        <f aca="false">IF(AB$98=1,Inputs!$C$34,0)</f>
        <v>0</v>
      </c>
      <c r="AC161" s="65" t="n">
        <f aca="false">IF(AC$98=1,Inputs!$C$34,0)</f>
        <v>0</v>
      </c>
      <c r="AD161" s="65" t="n">
        <f aca="false">IF(AD$98=1,Inputs!$C$34,0)</f>
        <v>0</v>
      </c>
      <c r="AE161" s="65" t="n">
        <f aca="false">IF(AE$98=1,Inputs!$C$34,0)</f>
        <v>0</v>
      </c>
      <c r="AF161" s="65" t="n">
        <f aca="false">IF(AF$98=1,Inputs!$C$34,0)</f>
        <v>0</v>
      </c>
      <c r="AG161" s="65" t="n">
        <f aca="false">IF(AG$98=1,Inputs!$C$34,0)</f>
        <v>0</v>
      </c>
      <c r="AH161" s="65" t="n">
        <f aca="false">IF(AH$98=1,Inputs!$C$34,0)</f>
        <v>0</v>
      </c>
      <c r="AI161" s="65" t="n">
        <f aca="false">IF(AI$98=1,Inputs!$C$34,0)</f>
        <v>0</v>
      </c>
      <c r="AJ161" s="65" t="n">
        <f aca="false">IF(AJ$98=1,Inputs!$C$34,0)</f>
        <v>0</v>
      </c>
      <c r="AK161" s="65" t="n">
        <f aca="false">IF(AK$98=1,Inputs!$C$34,0)</f>
        <v>0</v>
      </c>
      <c r="AL161" s="65" t="n">
        <f aca="false">IF(AL$98=1,Inputs!$C$34,0)</f>
        <v>0</v>
      </c>
      <c r="AM161" s="65" t="n">
        <f aca="false">IF(AM$98=1,Inputs!$C$34,0)</f>
        <v>0</v>
      </c>
      <c r="AN161" s="65" t="n">
        <f aca="false">IF(AN$98=1,Inputs!$C$34,0)</f>
        <v>0</v>
      </c>
      <c r="AO161" s="65" t="n">
        <f aca="false">IF(AO$98=1,Inputs!$C$34,0)</f>
        <v>0</v>
      </c>
      <c r="AP161" s="65" t="n">
        <f aca="false">IF(AP$98=1,Inputs!$C$34,0)</f>
        <v>0</v>
      </c>
      <c r="AQ161" s="65" t="n">
        <f aca="false">IF(AQ$98=1,Inputs!$C$34,0)</f>
        <v>0</v>
      </c>
      <c r="AR161" s="65" t="n">
        <f aca="false">IF(AR$98=1,Inputs!$C$34,0)</f>
        <v>0</v>
      </c>
      <c r="AS161" s="65" t="n">
        <f aca="false">IF(AS$98=1,Inputs!$C$34,0)</f>
        <v>0</v>
      </c>
      <c r="AT161" s="65" t="n">
        <f aca="false">IF(AT$98=1,Inputs!$C$34,0)</f>
        <v>0</v>
      </c>
      <c r="AU161" s="65" t="n">
        <f aca="false">IF(AU$98=1,Inputs!$C$34,0)</f>
        <v>0</v>
      </c>
      <c r="AV161" s="65" t="n">
        <f aca="false">IF(AV$98=1,Inputs!$C$34,0)</f>
        <v>0</v>
      </c>
      <c r="AW161" s="65" t="n">
        <f aca="false">IF(AW$98=1,Inputs!$C$34,0)</f>
        <v>0</v>
      </c>
      <c r="AX161" s="65" t="n">
        <f aca="false">IF(AX$98=1,Inputs!$C$34,0)</f>
        <v>0</v>
      </c>
      <c r="AY161" s="65" t="n">
        <f aca="false">IF(AY$98=1,Inputs!$C$34,0)</f>
        <v>0</v>
      </c>
      <c r="AZ161" s="65" t="n">
        <f aca="false">IF(AZ$98=1,Inputs!$C$34,0)</f>
        <v>0</v>
      </c>
      <c r="BA161" s="65" t="n">
        <f aca="false">IF(BA$98=1,Inputs!$C$34,0)</f>
        <v>0</v>
      </c>
      <c r="BB161" s="65" t="n">
        <f aca="false">IF(BB$98=1,Inputs!$C$34,0)</f>
        <v>0</v>
      </c>
      <c r="BC161" s="65" t="n">
        <f aca="false">IF(BC$98=1,Inputs!$C$34,0)</f>
        <v>0</v>
      </c>
      <c r="BD161" s="65" t="n">
        <f aca="false">IF(BD$98=1,Inputs!$C$34,0)</f>
        <v>0</v>
      </c>
      <c r="BE161" s="65" t="n">
        <f aca="false">IF(BE$98=1,Inputs!$C$34,0)</f>
        <v>0</v>
      </c>
      <c r="BF161" s="65" t="n">
        <f aca="false">IF(BF$98=1,Inputs!$C$34,0)</f>
        <v>0</v>
      </c>
      <c r="BG161" s="65" t="n">
        <f aca="false">IF(BG$98=1,Inputs!$C$34,0)</f>
        <v>0</v>
      </c>
      <c r="BH161" s="65" t="n">
        <f aca="false">IF(BH$98=1,Inputs!$C$34,0)</f>
        <v>0</v>
      </c>
      <c r="BI161" s="65" t="n">
        <f aca="false">IF(BI$98=1,Inputs!$C$34,0)</f>
        <v>0</v>
      </c>
      <c r="BJ161" s="65" t="n">
        <f aca="false">IF(BJ$98=1,Inputs!$C$34,0)</f>
        <v>0</v>
      </c>
    </row>
    <row r="162" customFormat="false" ht="15" hidden="false" customHeight="false" outlineLevel="0" collapsed="false">
      <c r="A162" s="6" t="s">
        <v>55</v>
      </c>
      <c r="C162" s="65" t="n">
        <f aca="false">C161+C144+C146</f>
        <v>1958915.18371808</v>
      </c>
      <c r="D162" s="65" t="n">
        <f aca="false">D161+D144+D146</f>
        <v>-1090.69237010927</v>
      </c>
      <c r="E162" s="65" t="n">
        <f aca="false">E161+E144+E146</f>
        <v>-1096.60028711403</v>
      </c>
      <c r="F162" s="65" t="n">
        <f aca="false">F161+F144+F146</f>
        <v>-1102.5402053359</v>
      </c>
      <c r="G162" s="65" t="n">
        <f aca="false">G161+G144+G146</f>
        <v>-1108.5122981148</v>
      </c>
      <c r="H162" s="65" t="n">
        <f aca="false">H161+H144+H146</f>
        <v>-1114.51673972959</v>
      </c>
      <c r="I162" s="65" t="n">
        <f aca="false">I161+I144+I146</f>
        <v>-1120.55370540313</v>
      </c>
      <c r="J162" s="65" t="n">
        <f aca="false">J161+J144+J146</f>
        <v>-1126.62337130739</v>
      </c>
      <c r="K162" s="65" t="n">
        <f aca="false">K161+K144+K146</f>
        <v>-1132.72591456864</v>
      </c>
      <c r="L162" s="65" t="n">
        <f aca="false">L161+L144+L146</f>
        <v>-1138.86151327256</v>
      </c>
      <c r="M162" s="65" t="n">
        <f aca="false">M161+M144+M146</f>
        <v>-1145.03034646945</v>
      </c>
      <c r="N162" s="65" t="n">
        <f aca="false">N161+N144+N146</f>
        <v>-1151.23259417949</v>
      </c>
      <c r="O162" s="65" t="n">
        <f aca="false">O161+O144+O146</f>
        <v>-1157.46843739797</v>
      </c>
      <c r="P162" s="65" t="n">
        <f aca="false">P161+P144+P146</f>
        <v>-1163.73805810054</v>
      </c>
      <c r="Q162" s="65" t="n">
        <f aca="false">Q161+Q144+Q146</f>
        <v>-1170.04163924858</v>
      </c>
      <c r="R162" s="65" t="n">
        <f aca="false">R161+R144+R146</f>
        <v>-1176.37936479451</v>
      </c>
      <c r="S162" s="65" t="n">
        <f aca="false">S161+S144+S146</f>
        <v>-1182.75141968715</v>
      </c>
      <c r="T162" s="65" t="n">
        <f aca="false">T161+T144+T146</f>
        <v>-1189.15798987712</v>
      </c>
      <c r="U162" s="65" t="n">
        <f aca="false">U161+U144+U146</f>
        <v>-1195.59926232229</v>
      </c>
      <c r="V162" s="65" t="n">
        <f aca="false">V161+V144+V146</f>
        <v>-1202.0754249932</v>
      </c>
      <c r="W162" s="65" t="n">
        <f aca="false">W161+W144+W146</f>
        <v>-1208.58666687858</v>
      </c>
      <c r="X162" s="65" t="n">
        <f aca="false">X161+X144+X146</f>
        <v>-1215.13317799084</v>
      </c>
      <c r="Y162" s="65" t="n">
        <f aca="false">Y161+Y144+Y146</f>
        <v>-1221.71514937162</v>
      </c>
      <c r="Z162" s="65" t="n">
        <f aca="false">Z161+Z144+Z146</f>
        <v>-1228.33277309739</v>
      </c>
      <c r="AA162" s="65" t="n">
        <f aca="false">AA161+AA144+AA146</f>
        <v>-1234.986242285</v>
      </c>
      <c r="AB162" s="65" t="n">
        <f aca="false">AB161+AB144+AB146</f>
        <v>-1241.67575109737</v>
      </c>
      <c r="AC162" s="65" t="n">
        <f aca="false">AC161+AC144+AC146</f>
        <v>-1248.40149474915</v>
      </c>
      <c r="AD162" s="65" t="n">
        <f aca="false">AD161+AD144+AD146</f>
        <v>-1255.16366951237</v>
      </c>
      <c r="AE162" s="65" t="n">
        <f aca="false">AE161+AE144+AE146</f>
        <v>-1261.96247272223</v>
      </c>
      <c r="AF162" s="65" t="n">
        <f aca="false">AF161+AF144+AF146</f>
        <v>-1268.79810278281</v>
      </c>
      <c r="AG162" s="65" t="n">
        <f aca="false">AG161+AG144+AG146</f>
        <v>-1275.67075917288</v>
      </c>
      <c r="AH162" s="65" t="n">
        <f aca="false">AH161+AH144+AH146</f>
        <v>-1282.58064245174</v>
      </c>
      <c r="AI162" s="65" t="n">
        <f aca="false">AI161+AI144+AI146</f>
        <v>-1289.52795426502</v>
      </c>
      <c r="AJ162" s="65" t="n">
        <f aca="false">AJ161+AJ144+AJ146</f>
        <v>-1296.51289735062</v>
      </c>
      <c r="AK162" s="65" t="n">
        <f aca="false">AK161+AK144+AK146</f>
        <v>-1303.5356755446</v>
      </c>
      <c r="AL162" s="65" t="n">
        <f aca="false">AL161+AL144+AL146</f>
        <v>-1310.59649378714</v>
      </c>
      <c r="AM162" s="65" t="n">
        <f aca="false">AM161+AM144+AM146</f>
        <v>-1317.69555812848</v>
      </c>
      <c r="AN162" s="65" t="n">
        <f aca="false">AN161+AN144+AN146</f>
        <v>-1324.83307573501</v>
      </c>
      <c r="AO162" s="65" t="n">
        <f aca="false">AO161+AO144+AO146</f>
        <v>-1332.00925489524</v>
      </c>
      <c r="AP162" s="65" t="n">
        <f aca="false">AP161+AP144+AP146</f>
        <v>-1339.22430502593</v>
      </c>
      <c r="AQ162" s="65" t="n">
        <f aca="false">AQ161+AQ144+AQ146</f>
        <v>-1346.47843667815</v>
      </c>
      <c r="AR162" s="65" t="n">
        <f aca="false">AR161+AR144+AR146</f>
        <v>-1353.77186154349</v>
      </c>
      <c r="AS162" s="65" t="n">
        <f aca="false">AS161+AS144+AS146</f>
        <v>-1361.10479246018</v>
      </c>
      <c r="AT162" s="65" t="n">
        <f aca="false">AT161+AT144+AT146</f>
        <v>-1368.47744341934</v>
      </c>
      <c r="AU162" s="65" t="n">
        <f aca="false">AU161+AU144+AU146</f>
        <v>-1375.8900295712</v>
      </c>
      <c r="AV162" s="65" t="n">
        <f aca="false">AV161+AV144+AV146</f>
        <v>-1383.34276723137</v>
      </c>
      <c r="AW162" s="65" t="n">
        <f aca="false">AW161+AW144+AW146</f>
        <v>-1390.83587388721</v>
      </c>
      <c r="AX162" s="65" t="n">
        <f aca="false">AX161+AX144+AX146</f>
        <v>-1398.3695682041</v>
      </c>
      <c r="AY162" s="65" t="n">
        <f aca="false">AY161+AY144+AY146</f>
        <v>-1405.94407003187</v>
      </c>
      <c r="AZ162" s="65" t="n">
        <f aca="false">AZ161+AZ144+AZ146</f>
        <v>-1413.55960041121</v>
      </c>
      <c r="BA162" s="65" t="n">
        <f aca="false">BA161+BA144+BA146</f>
        <v>-1421.21638158011</v>
      </c>
      <c r="BB162" s="65" t="n">
        <f aca="false">BB161+BB144+BB146</f>
        <v>-1428.91463698033</v>
      </c>
      <c r="BC162" s="65" t="n">
        <f aca="false">BC161+BC144+BC146</f>
        <v>-1436.65459126397</v>
      </c>
      <c r="BD162" s="65" t="n">
        <f aca="false">BD161+BD144+BD146</f>
        <v>-1444.43647029999</v>
      </c>
      <c r="BE162" s="65" t="n">
        <f aca="false">BE161+BE144+BE146</f>
        <v>-1452.26050118078</v>
      </c>
      <c r="BF162" s="65" t="n">
        <f aca="false">BF161+BF144+BF146</f>
        <v>-1460.12691222884</v>
      </c>
      <c r="BG162" s="65" t="n">
        <f aca="false">BG161+BG144+BG146</f>
        <v>-1468.03593300341</v>
      </c>
      <c r="BH162" s="65" t="n">
        <f aca="false">BH161+BH144+BH146</f>
        <v>-1475.98779430718</v>
      </c>
      <c r="BI162" s="65" t="n">
        <f aca="false">BI161+BI144+BI146</f>
        <v>-1483.98272819301</v>
      </c>
      <c r="BJ162" s="65" t="n">
        <f aca="false">BJ161+BJ144+BJ146</f>
        <v>-1492.02096797073</v>
      </c>
    </row>
    <row r="163" customFormat="false" ht="15" hidden="false" customHeight="false" outlineLevel="0" collapsed="false">
      <c r="A163" s="108" t="s">
        <v>438</v>
      </c>
      <c r="C163" s="66" t="n">
        <f aca="false">C159+C160+C162</f>
        <v>58003.0170514176</v>
      </c>
      <c r="D163" s="66" t="n">
        <f aca="false">D159+D160+D162</f>
        <v>2568.51705141777</v>
      </c>
      <c r="E163" s="66" t="n">
        <f aca="false">E159+E160+E162</f>
        <v>2568.51705141777</v>
      </c>
      <c r="F163" s="66" t="n">
        <f aca="false">F159+F160+F162</f>
        <v>2568.51705141777</v>
      </c>
      <c r="G163" s="66" t="n">
        <f aca="false">G159+G160+G162</f>
        <v>2568.51705141777</v>
      </c>
      <c r="H163" s="66" t="n">
        <f aca="false">H159+H160+H162</f>
        <v>2568.51705141777</v>
      </c>
      <c r="I163" s="66" t="n">
        <f aca="false">I159+I160+I162</f>
        <v>2568.51705141777</v>
      </c>
      <c r="J163" s="66" t="n">
        <f aca="false">J159+J160+J162</f>
        <v>2568.51705141777</v>
      </c>
      <c r="K163" s="66" t="n">
        <f aca="false">K159+K160+K162</f>
        <v>2568.51705141777</v>
      </c>
      <c r="L163" s="66" t="n">
        <f aca="false">L159+L160+L162</f>
        <v>2568.51705141777</v>
      </c>
      <c r="M163" s="66" t="n">
        <f aca="false">M159+M160+M162</f>
        <v>2568.51705141777</v>
      </c>
      <c r="N163" s="66" t="n">
        <f aca="false">N159+N160+N162</f>
        <v>2568.51705141777</v>
      </c>
      <c r="O163" s="66" t="n">
        <f aca="false">O159+O160+O162</f>
        <v>2901.15205141777</v>
      </c>
      <c r="P163" s="66" t="n">
        <f aca="false">P159+P160+P162</f>
        <v>2873.11705141777</v>
      </c>
      <c r="Q163" s="66" t="n">
        <f aca="false">Q159+Q160+Q162</f>
        <v>2873.11705141777</v>
      </c>
      <c r="R163" s="66" t="n">
        <f aca="false">R159+R160+R162</f>
        <v>2873.11705141777</v>
      </c>
      <c r="S163" s="66" t="n">
        <f aca="false">S159+S160+S162</f>
        <v>2873.11705141777</v>
      </c>
      <c r="T163" s="66" t="n">
        <f aca="false">T159+T160+T162</f>
        <v>2873.11705141777</v>
      </c>
      <c r="U163" s="66" t="n">
        <f aca="false">U159+U160+U162</f>
        <v>2873.11705141777</v>
      </c>
      <c r="V163" s="66" t="n">
        <f aca="false">V159+V160+V162</f>
        <v>2873.11705141777</v>
      </c>
      <c r="W163" s="66" t="n">
        <f aca="false">W159+W160+W162</f>
        <v>2873.11705141777</v>
      </c>
      <c r="X163" s="66" t="n">
        <f aca="false">X159+X160+X162</f>
        <v>2873.11705141777</v>
      </c>
      <c r="Y163" s="66" t="n">
        <f aca="false">Y159+Y160+Y162</f>
        <v>2873.11705141777</v>
      </c>
      <c r="Z163" s="66" t="n">
        <f aca="false">Z159+Z160+Z162</f>
        <v>2873.11705141777</v>
      </c>
      <c r="AA163" s="66" t="n">
        <f aca="false">AA159+AA160+AA162</f>
        <v>3215.73110141777</v>
      </c>
      <c r="AB163" s="66" t="n">
        <f aca="false">AB159+AB160+AB162</f>
        <v>3186.85505141777</v>
      </c>
      <c r="AC163" s="66" t="n">
        <f aca="false">AC159+AC160+AC162</f>
        <v>3186.85505141777</v>
      </c>
      <c r="AD163" s="66" t="n">
        <f aca="false">AD159+AD160+AD162</f>
        <v>3186.85505141777</v>
      </c>
      <c r="AE163" s="66" t="n">
        <f aca="false">AE159+AE160+AE162</f>
        <v>3186.85505141777</v>
      </c>
      <c r="AF163" s="66" t="n">
        <f aca="false">AF159+AF160+AF162</f>
        <v>3186.85505141777</v>
      </c>
      <c r="AG163" s="66" t="n">
        <f aca="false">AG159+AG160+AG162</f>
        <v>3186.85505141777</v>
      </c>
      <c r="AH163" s="66" t="n">
        <f aca="false">AH159+AH160+AH162</f>
        <v>3186.85505141777</v>
      </c>
      <c r="AI163" s="66" t="n">
        <f aca="false">AI159+AI160+AI162</f>
        <v>3186.85505141777</v>
      </c>
      <c r="AJ163" s="66" t="n">
        <f aca="false">AJ159+AJ160+AJ162</f>
        <v>3186.85505141777</v>
      </c>
      <c r="AK163" s="66" t="n">
        <f aca="false">AK159+AK160+AK162</f>
        <v>3186.85505141777</v>
      </c>
      <c r="AL163" s="66" t="n">
        <f aca="false">AL159+AL160+AL162</f>
        <v>3186.85505141777</v>
      </c>
      <c r="AM163" s="66" t="n">
        <f aca="false">AM159+AM160+AM162</f>
        <v>3539.74752291777</v>
      </c>
      <c r="AN163" s="66" t="n">
        <f aca="false">AN159+AN160+AN162</f>
        <v>3510.00519141777</v>
      </c>
      <c r="AO163" s="66" t="n">
        <f aca="false">AO159+AO160+AO162</f>
        <v>3510.00519141777</v>
      </c>
      <c r="AP163" s="66" t="n">
        <f aca="false">AP159+AP160+AP162</f>
        <v>3510.00519141777</v>
      </c>
      <c r="AQ163" s="66" t="n">
        <f aca="false">AQ159+AQ160+AQ162</f>
        <v>3510.00519141777</v>
      </c>
      <c r="AR163" s="66" t="n">
        <f aca="false">AR159+AR160+AR162</f>
        <v>3510.00519141777</v>
      </c>
      <c r="AS163" s="66" t="n">
        <f aca="false">AS159+AS160+AS162</f>
        <v>3510.00519141777</v>
      </c>
      <c r="AT163" s="66" t="n">
        <f aca="false">AT159+AT160+AT162</f>
        <v>3510.00519141777</v>
      </c>
      <c r="AU163" s="66" t="n">
        <f aca="false">AU159+AU160+AU162</f>
        <v>3510.00519141777</v>
      </c>
      <c r="AV163" s="66" t="n">
        <f aca="false">AV159+AV160+AV162</f>
        <v>3510.00519141777</v>
      </c>
      <c r="AW163" s="66" t="n">
        <f aca="false">AW159+AW160+AW162</f>
        <v>3510.00519141777</v>
      </c>
      <c r="AX163" s="66" t="n">
        <f aca="false">AX159+AX160+AX162</f>
        <v>3510.00519141777</v>
      </c>
      <c r="AY163" s="66" t="n">
        <f aca="false">AY159+AY160+AY162</f>
        <v>3873.48443706277</v>
      </c>
      <c r="AZ163" s="66" t="n">
        <f aca="false">AZ159+AZ160+AZ162</f>
        <v>3842.84983561777</v>
      </c>
      <c r="BA163" s="66" t="n">
        <f aca="false">BA159+BA160+BA162</f>
        <v>3842.84983561777</v>
      </c>
      <c r="BB163" s="66" t="n">
        <f aca="false">BB159+BB160+BB162</f>
        <v>3842.84983561777</v>
      </c>
      <c r="BC163" s="66" t="n">
        <f aca="false">BC159+BC160+BC162</f>
        <v>3842.84983561777</v>
      </c>
      <c r="BD163" s="66" t="n">
        <f aca="false">BD159+BD160+BD162</f>
        <v>3842.84983561777</v>
      </c>
      <c r="BE163" s="66" t="n">
        <f aca="false">BE159+BE160+BE162</f>
        <v>3842.84983561777</v>
      </c>
      <c r="BF163" s="66" t="n">
        <f aca="false">BF159+BF160+BF162</f>
        <v>3842.84983561777</v>
      </c>
      <c r="BG163" s="66" t="n">
        <f aca="false">BG159+BG160+BG162</f>
        <v>3842.84983561777</v>
      </c>
      <c r="BH163" s="66" t="n">
        <f aca="false">BH159+BH160+BH162</f>
        <v>3842.84983561777</v>
      </c>
      <c r="BI163" s="66" t="n">
        <f aca="false">BI159+BI160+BI162</f>
        <v>3821.98194678641</v>
      </c>
      <c r="BJ163" s="66" t="n">
        <f aca="false">BJ159+BJ160+BJ162</f>
        <v>3660.86490663549</v>
      </c>
    </row>
    <row r="164" customFormat="false" ht="15" hidden="false" customHeight="false" outlineLevel="0" collapsed="false">
      <c r="A164" s="6" t="s">
        <v>349</v>
      </c>
      <c r="C164" s="65" t="n">
        <f aca="false">0</f>
        <v>0</v>
      </c>
      <c r="D164" s="65" t="n">
        <f aca="false">C165</f>
        <v>58003.0170514176</v>
      </c>
      <c r="E164" s="65" t="n">
        <f aca="false">D165</f>
        <v>60571.5341028354</v>
      </c>
      <c r="F164" s="65" t="n">
        <f aca="false">E165</f>
        <v>63140.0511542531</v>
      </c>
      <c r="G164" s="65" t="n">
        <f aca="false">F165</f>
        <v>65708.5682056709</v>
      </c>
      <c r="H164" s="65" t="n">
        <f aca="false">G165</f>
        <v>68277.0852570887</v>
      </c>
      <c r="I164" s="65" t="n">
        <f aca="false">H165</f>
        <v>70845.6023085065</v>
      </c>
      <c r="J164" s="65" t="n">
        <f aca="false">I165</f>
        <v>73414.1193599242</v>
      </c>
      <c r="K164" s="65" t="n">
        <f aca="false">J165</f>
        <v>75982.636411342</v>
      </c>
      <c r="L164" s="65" t="n">
        <f aca="false">K165</f>
        <v>78551.1534627598</v>
      </c>
      <c r="M164" s="65" t="n">
        <f aca="false">L165</f>
        <v>81119.6705141776</v>
      </c>
      <c r="N164" s="65" t="n">
        <f aca="false">M165</f>
        <v>83688.1875655953</v>
      </c>
      <c r="O164" s="65" t="n">
        <f aca="false">N165</f>
        <v>86256.7046170131</v>
      </c>
      <c r="P164" s="65" t="n">
        <f aca="false">O165</f>
        <v>89157.8566684309</v>
      </c>
      <c r="Q164" s="65" t="n">
        <f aca="false">P165</f>
        <v>92030.9737198486</v>
      </c>
      <c r="R164" s="65" t="n">
        <f aca="false">Q165</f>
        <v>94904.0907712664</v>
      </c>
      <c r="S164" s="65" t="n">
        <f aca="false">R165</f>
        <v>97777.2078226842</v>
      </c>
      <c r="T164" s="65" t="n">
        <f aca="false">S165</f>
        <v>100650.324874102</v>
      </c>
      <c r="U164" s="65" t="n">
        <f aca="false">T165</f>
        <v>103523.44192552</v>
      </c>
      <c r="V164" s="65" t="n">
        <f aca="false">U165</f>
        <v>106396.558976937</v>
      </c>
      <c r="W164" s="65" t="n">
        <f aca="false">V165</f>
        <v>109269.676028355</v>
      </c>
      <c r="X164" s="65" t="n">
        <f aca="false">W165</f>
        <v>112142.793079773</v>
      </c>
      <c r="Y164" s="65" t="n">
        <f aca="false">X165</f>
        <v>115015.910131191</v>
      </c>
      <c r="Z164" s="65" t="n">
        <f aca="false">Y165</f>
        <v>117889.027182609</v>
      </c>
      <c r="AA164" s="65" t="n">
        <f aca="false">Z165</f>
        <v>120762.144234026</v>
      </c>
      <c r="AB164" s="65" t="n">
        <f aca="false">AA165</f>
        <v>123977.875335444</v>
      </c>
      <c r="AC164" s="65" t="n">
        <f aca="false">AB165</f>
        <v>127164.730386862</v>
      </c>
      <c r="AD164" s="65" t="n">
        <f aca="false">AC165</f>
        <v>130351.58543828</v>
      </c>
      <c r="AE164" s="65" t="n">
        <f aca="false">AD165</f>
        <v>133538.440489697</v>
      </c>
      <c r="AF164" s="65" t="n">
        <f aca="false">AE165</f>
        <v>136725.295541115</v>
      </c>
      <c r="AG164" s="65" t="n">
        <f aca="false">AF165</f>
        <v>139912.150592533</v>
      </c>
      <c r="AH164" s="65" t="n">
        <f aca="false">AG165</f>
        <v>143099.005643951</v>
      </c>
      <c r="AI164" s="65" t="n">
        <f aca="false">AH165</f>
        <v>146285.860695368</v>
      </c>
      <c r="AJ164" s="65" t="n">
        <f aca="false">AI165</f>
        <v>149472.715746786</v>
      </c>
      <c r="AK164" s="65" t="n">
        <f aca="false">AJ165</f>
        <v>152659.570798204</v>
      </c>
      <c r="AL164" s="65" t="n">
        <f aca="false">AK165</f>
        <v>155846.425849622</v>
      </c>
      <c r="AM164" s="65" t="n">
        <f aca="false">AL165</f>
        <v>159033.28090104</v>
      </c>
      <c r="AN164" s="65" t="n">
        <f aca="false">AM165</f>
        <v>162573.028423957</v>
      </c>
      <c r="AO164" s="65" t="n">
        <f aca="false">AN165</f>
        <v>166083.033615375</v>
      </c>
      <c r="AP164" s="65" t="n">
        <f aca="false">AO165</f>
        <v>169593.038806793</v>
      </c>
      <c r="AQ164" s="65" t="n">
        <f aca="false">AP165</f>
        <v>173103.043998211</v>
      </c>
      <c r="AR164" s="65" t="n">
        <f aca="false">AQ165</f>
        <v>176613.049189628</v>
      </c>
      <c r="AS164" s="65" t="n">
        <f aca="false">AR165</f>
        <v>180123.054381046</v>
      </c>
      <c r="AT164" s="65" t="n">
        <f aca="false">AS165</f>
        <v>183633.059572464</v>
      </c>
      <c r="AU164" s="65" t="n">
        <f aca="false">AT165</f>
        <v>187143.064763882</v>
      </c>
      <c r="AV164" s="65" t="n">
        <f aca="false">AU165</f>
        <v>190653.069955299</v>
      </c>
      <c r="AW164" s="65" t="n">
        <f aca="false">AV165</f>
        <v>194163.075146717</v>
      </c>
      <c r="AX164" s="65" t="n">
        <f aca="false">AW165</f>
        <v>197673.080338135</v>
      </c>
      <c r="AY164" s="65" t="n">
        <f aca="false">AX165</f>
        <v>201183.085529553</v>
      </c>
      <c r="AZ164" s="65" t="n">
        <f aca="false">AY165</f>
        <v>205056.569966616</v>
      </c>
      <c r="BA164" s="65" t="n">
        <f aca="false">AZ165</f>
        <v>208899.419802233</v>
      </c>
      <c r="BB164" s="65" t="n">
        <f aca="false">BA165</f>
        <v>212742.269637851</v>
      </c>
      <c r="BC164" s="65" t="n">
        <f aca="false">BB165</f>
        <v>216585.119473469</v>
      </c>
      <c r="BD164" s="65" t="n">
        <f aca="false">BC165</f>
        <v>220427.969309087</v>
      </c>
      <c r="BE164" s="65" t="n">
        <f aca="false">BD165</f>
        <v>224270.819144704</v>
      </c>
      <c r="BF164" s="65" t="n">
        <f aca="false">BE165</f>
        <v>228113.668980322</v>
      </c>
      <c r="BG164" s="65" t="n">
        <f aca="false">BF165</f>
        <v>231956.51881594</v>
      </c>
      <c r="BH164" s="65" t="n">
        <f aca="false">BG165</f>
        <v>235799.368651558</v>
      </c>
      <c r="BI164" s="65" t="n">
        <f aca="false">BH165</f>
        <v>239642.218487175</v>
      </c>
      <c r="BJ164" s="65" t="n">
        <f aca="false">BI165</f>
        <v>243464.200433962</v>
      </c>
    </row>
    <row r="165" customFormat="false" ht="15" hidden="false" customHeight="false" outlineLevel="0" collapsed="false">
      <c r="A165" s="108" t="s">
        <v>87</v>
      </c>
      <c r="C165" s="66" t="n">
        <f aca="false">C164+C163</f>
        <v>58003.0170514176</v>
      </c>
      <c r="D165" s="66" t="n">
        <f aca="false">D164+D163</f>
        <v>60571.5341028354</v>
      </c>
      <c r="E165" s="66" t="n">
        <f aca="false">E164+E163</f>
        <v>63140.0511542531</v>
      </c>
      <c r="F165" s="66" t="n">
        <f aca="false">F164+F163</f>
        <v>65708.5682056709</v>
      </c>
      <c r="G165" s="66" t="n">
        <f aca="false">G164+G163</f>
        <v>68277.0852570887</v>
      </c>
      <c r="H165" s="66" t="n">
        <f aca="false">H164+H163</f>
        <v>70845.6023085065</v>
      </c>
      <c r="I165" s="66" t="n">
        <f aca="false">I164+I163</f>
        <v>73414.1193599242</v>
      </c>
      <c r="J165" s="66" t="n">
        <f aca="false">J164+J163</f>
        <v>75982.636411342</v>
      </c>
      <c r="K165" s="66" t="n">
        <f aca="false">K164+K163</f>
        <v>78551.1534627598</v>
      </c>
      <c r="L165" s="66" t="n">
        <f aca="false">L164+L163</f>
        <v>81119.6705141776</v>
      </c>
      <c r="M165" s="66" t="n">
        <f aca="false">M164+M163</f>
        <v>83688.1875655953</v>
      </c>
      <c r="N165" s="66" t="n">
        <f aca="false">N164+N163</f>
        <v>86256.7046170131</v>
      </c>
      <c r="O165" s="66" t="n">
        <f aca="false">O164+O163</f>
        <v>89157.8566684309</v>
      </c>
      <c r="P165" s="66" t="n">
        <f aca="false">P164+P163</f>
        <v>92030.9737198486</v>
      </c>
      <c r="Q165" s="66" t="n">
        <f aca="false">Q164+Q163</f>
        <v>94904.0907712664</v>
      </c>
      <c r="R165" s="66" t="n">
        <f aca="false">R164+R163</f>
        <v>97777.2078226842</v>
      </c>
      <c r="S165" s="66" t="n">
        <f aca="false">S164+S163</f>
        <v>100650.324874102</v>
      </c>
      <c r="T165" s="66" t="n">
        <f aca="false">T164+T163</f>
        <v>103523.44192552</v>
      </c>
      <c r="U165" s="66" t="n">
        <f aca="false">U164+U163</f>
        <v>106396.558976937</v>
      </c>
      <c r="V165" s="66" t="n">
        <f aca="false">V164+V163</f>
        <v>109269.676028355</v>
      </c>
      <c r="W165" s="66" t="n">
        <f aca="false">W164+W163</f>
        <v>112142.793079773</v>
      </c>
      <c r="X165" s="66" t="n">
        <f aca="false">X164+X163</f>
        <v>115015.910131191</v>
      </c>
      <c r="Y165" s="66" t="n">
        <f aca="false">Y164+Y163</f>
        <v>117889.027182609</v>
      </c>
      <c r="Z165" s="66" t="n">
        <f aca="false">Z164+Z163</f>
        <v>120762.144234026</v>
      </c>
      <c r="AA165" s="66" t="n">
        <f aca="false">AA164+AA163</f>
        <v>123977.875335444</v>
      </c>
      <c r="AB165" s="66" t="n">
        <f aca="false">AB164+AB163</f>
        <v>127164.730386862</v>
      </c>
      <c r="AC165" s="66" t="n">
        <f aca="false">AC164+AC163</f>
        <v>130351.58543828</v>
      </c>
      <c r="AD165" s="66" t="n">
        <f aca="false">AD164+AD163</f>
        <v>133538.440489697</v>
      </c>
      <c r="AE165" s="66" t="n">
        <f aca="false">AE164+AE163</f>
        <v>136725.295541115</v>
      </c>
      <c r="AF165" s="66" t="n">
        <f aca="false">AF164+AF163</f>
        <v>139912.150592533</v>
      </c>
      <c r="AG165" s="66" t="n">
        <f aca="false">AG164+AG163</f>
        <v>143099.005643951</v>
      </c>
      <c r="AH165" s="66" t="n">
        <f aca="false">AH164+AH163</f>
        <v>146285.860695368</v>
      </c>
      <c r="AI165" s="66" t="n">
        <f aca="false">AI164+AI163</f>
        <v>149472.715746786</v>
      </c>
      <c r="AJ165" s="66" t="n">
        <f aca="false">AJ164+AJ163</f>
        <v>152659.570798204</v>
      </c>
      <c r="AK165" s="66" t="n">
        <f aca="false">AK164+AK163</f>
        <v>155846.425849622</v>
      </c>
      <c r="AL165" s="66" t="n">
        <f aca="false">AL164+AL163</f>
        <v>159033.28090104</v>
      </c>
      <c r="AM165" s="66" t="n">
        <f aca="false">AM164+AM163</f>
        <v>162573.028423957</v>
      </c>
      <c r="AN165" s="66" t="n">
        <f aca="false">AN164+AN163</f>
        <v>166083.033615375</v>
      </c>
      <c r="AO165" s="66" t="n">
        <f aca="false">AO164+AO163</f>
        <v>169593.038806793</v>
      </c>
      <c r="AP165" s="66" t="n">
        <f aca="false">AP164+AP163</f>
        <v>173103.043998211</v>
      </c>
      <c r="AQ165" s="66" t="n">
        <f aca="false">AQ164+AQ163</f>
        <v>176613.049189628</v>
      </c>
      <c r="AR165" s="66" t="n">
        <f aca="false">AR164+AR163</f>
        <v>180123.054381046</v>
      </c>
      <c r="AS165" s="66" t="n">
        <f aca="false">AS164+AS163</f>
        <v>183633.059572464</v>
      </c>
      <c r="AT165" s="66" t="n">
        <f aca="false">AT164+AT163</f>
        <v>187143.064763882</v>
      </c>
      <c r="AU165" s="66" t="n">
        <f aca="false">AU164+AU163</f>
        <v>190653.069955299</v>
      </c>
      <c r="AV165" s="66" t="n">
        <f aca="false">AV164+AV163</f>
        <v>194163.075146717</v>
      </c>
      <c r="AW165" s="66" t="n">
        <f aca="false">AW164+AW163</f>
        <v>197673.080338135</v>
      </c>
      <c r="AX165" s="66" t="n">
        <f aca="false">AX164+AX163</f>
        <v>201183.085529553</v>
      </c>
      <c r="AY165" s="66" t="n">
        <f aca="false">AY164+AY163</f>
        <v>205056.569966616</v>
      </c>
      <c r="AZ165" s="66" t="n">
        <f aca="false">AZ164+AZ163</f>
        <v>208899.419802233</v>
      </c>
      <c r="BA165" s="66" t="n">
        <f aca="false">BA164+BA163</f>
        <v>212742.269637851</v>
      </c>
      <c r="BB165" s="66" t="n">
        <f aca="false">BB164+BB163</f>
        <v>216585.119473469</v>
      </c>
      <c r="BC165" s="66" t="n">
        <f aca="false">BC164+BC163</f>
        <v>220427.969309087</v>
      </c>
      <c r="BD165" s="66" t="n">
        <f aca="false">BD164+BD163</f>
        <v>224270.819144704</v>
      </c>
      <c r="BE165" s="66" t="n">
        <f aca="false">BE164+BE163</f>
        <v>228113.668980322</v>
      </c>
      <c r="BF165" s="66" t="n">
        <f aca="false">BF164+BF163</f>
        <v>231956.51881594</v>
      </c>
      <c r="BG165" s="66" t="n">
        <f aca="false">BG164+BG163</f>
        <v>235799.368651558</v>
      </c>
      <c r="BH165" s="66" t="n">
        <f aca="false">BH164+BH163</f>
        <v>239642.218487175</v>
      </c>
      <c r="BI165" s="66" t="n">
        <f aca="false">BI164+BI163</f>
        <v>243464.200433962</v>
      </c>
      <c r="BJ165" s="66" t="n">
        <f aca="false">BJ164+BJ163</f>
        <v>247125.065340597</v>
      </c>
    </row>
    <row r="166" customFormat="false" ht="15" hidden="false" customHeight="false" outlineLevel="0" collapsed="false">
      <c r="A166" s="112" t="s">
        <v>439</v>
      </c>
      <c r="C166" s="113" t="n">
        <f aca="false">IF(C120&gt;0,1,0)</f>
        <v>1</v>
      </c>
      <c r="D166" s="113" t="n">
        <f aca="false">IF(D120&gt;0,1,0)</f>
        <v>1</v>
      </c>
      <c r="E166" s="113" t="n">
        <f aca="false">IF(E120&gt;0,1,0)</f>
        <v>1</v>
      </c>
      <c r="F166" s="113" t="n">
        <f aca="false">IF(F120&gt;0,1,0)</f>
        <v>1</v>
      </c>
      <c r="G166" s="113" t="n">
        <f aca="false">IF(G120&gt;0,1,0)</f>
        <v>1</v>
      </c>
      <c r="H166" s="113" t="n">
        <f aca="false">IF(H120&gt;0,1,0)</f>
        <v>1</v>
      </c>
      <c r="I166" s="113" t="n">
        <f aca="false">IF(I120&gt;0,1,0)</f>
        <v>1</v>
      </c>
      <c r="J166" s="113" t="n">
        <f aca="false">IF(J120&gt;0,1,0)</f>
        <v>1</v>
      </c>
      <c r="K166" s="113" t="n">
        <f aca="false">IF(K120&gt;0,1,0)</f>
        <v>1</v>
      </c>
      <c r="L166" s="113" t="n">
        <f aca="false">IF(L120&gt;0,1,0)</f>
        <v>1</v>
      </c>
      <c r="M166" s="113" t="n">
        <f aca="false">IF(M120&gt;0,1,0)</f>
        <v>1</v>
      </c>
      <c r="N166" s="113" t="n">
        <f aca="false">IF(N120&gt;0,1,0)</f>
        <v>1</v>
      </c>
      <c r="O166" s="113" t="n">
        <f aca="false">IF(O120&gt;0,1,0)</f>
        <v>1</v>
      </c>
      <c r="P166" s="113" t="n">
        <f aca="false">IF(P120&gt;0,1,0)</f>
        <v>1</v>
      </c>
      <c r="Q166" s="113" t="n">
        <f aca="false">IF(Q120&gt;0,1,0)</f>
        <v>1</v>
      </c>
      <c r="R166" s="113" t="n">
        <f aca="false">IF(R120&gt;0,1,0)</f>
        <v>1</v>
      </c>
      <c r="S166" s="113" t="n">
        <f aca="false">IF(S120&gt;0,1,0)</f>
        <v>1</v>
      </c>
      <c r="T166" s="113" t="n">
        <f aca="false">IF(T120&gt;0,1,0)</f>
        <v>1</v>
      </c>
      <c r="U166" s="113" t="n">
        <f aca="false">IF(U120&gt;0,1,0)</f>
        <v>1</v>
      </c>
      <c r="V166" s="113" t="n">
        <f aca="false">IF(V120&gt;0,1,0)</f>
        <v>1</v>
      </c>
      <c r="W166" s="113" t="n">
        <f aca="false">IF(W120&gt;0,1,0)</f>
        <v>1</v>
      </c>
      <c r="X166" s="113" t="n">
        <f aca="false">IF(X120&gt;0,1,0)</f>
        <v>1</v>
      </c>
      <c r="Y166" s="113" t="n">
        <f aca="false">IF(Y120&gt;0,1,0)</f>
        <v>1</v>
      </c>
      <c r="Z166" s="113" t="n">
        <f aca="false">IF(Z120&gt;0,1,0)</f>
        <v>1</v>
      </c>
      <c r="AA166" s="113" t="n">
        <f aca="false">IF(AA120&gt;0,1,0)</f>
        <v>1</v>
      </c>
      <c r="AB166" s="113" t="n">
        <f aca="false">IF(AB120&gt;0,1,0)</f>
        <v>1</v>
      </c>
      <c r="AC166" s="113" t="n">
        <f aca="false">IF(AC120&gt;0,1,0)</f>
        <v>1</v>
      </c>
      <c r="AD166" s="113" t="n">
        <f aca="false">IF(AD120&gt;0,1,0)</f>
        <v>1</v>
      </c>
      <c r="AE166" s="113" t="n">
        <f aca="false">IF(AE120&gt;0,1,0)</f>
        <v>1</v>
      </c>
      <c r="AF166" s="113" t="n">
        <f aca="false">IF(AF120&gt;0,1,0)</f>
        <v>1</v>
      </c>
      <c r="AG166" s="113" t="n">
        <f aca="false">IF(AG120&gt;0,1,0)</f>
        <v>1</v>
      </c>
      <c r="AH166" s="113" t="n">
        <f aca="false">IF(AH120&gt;0,1,0)</f>
        <v>1</v>
      </c>
      <c r="AI166" s="113" t="n">
        <f aca="false">IF(AI120&gt;0,1,0)</f>
        <v>1</v>
      </c>
      <c r="AJ166" s="113" t="n">
        <f aca="false">IF(AJ120&gt;0,1,0)</f>
        <v>1</v>
      </c>
      <c r="AK166" s="113" t="n">
        <f aca="false">IF(AK120&gt;0,1,0)</f>
        <v>1</v>
      </c>
      <c r="AL166" s="113" t="n">
        <f aca="false">IF(AL120&gt;0,1,0)</f>
        <v>1</v>
      </c>
      <c r="AM166" s="113" t="n">
        <f aca="false">IF(AM120&gt;0,1,0)</f>
        <v>1</v>
      </c>
      <c r="AN166" s="113" t="n">
        <f aca="false">IF(AN120&gt;0,1,0)</f>
        <v>1</v>
      </c>
      <c r="AO166" s="113" t="n">
        <f aca="false">IF(AO120&gt;0,1,0)</f>
        <v>1</v>
      </c>
      <c r="AP166" s="113" t="n">
        <f aca="false">IF(AP120&gt;0,1,0)</f>
        <v>1</v>
      </c>
      <c r="AQ166" s="113" t="n">
        <f aca="false">IF(AQ120&gt;0,1,0)</f>
        <v>1</v>
      </c>
      <c r="AR166" s="113" t="n">
        <f aca="false">IF(AR120&gt;0,1,0)</f>
        <v>1</v>
      </c>
      <c r="AS166" s="113" t="n">
        <f aca="false">IF(AS120&gt;0,1,0)</f>
        <v>1</v>
      </c>
      <c r="AT166" s="113" t="n">
        <f aca="false">IF(AT120&gt;0,1,0)</f>
        <v>1</v>
      </c>
      <c r="AU166" s="113" t="n">
        <f aca="false">IF(AU120&gt;0,1,0)</f>
        <v>1</v>
      </c>
      <c r="AV166" s="113" t="n">
        <f aca="false">IF(AV120&gt;0,1,0)</f>
        <v>1</v>
      </c>
      <c r="AW166" s="113" t="n">
        <f aca="false">IF(AW120&gt;0,1,0)</f>
        <v>1</v>
      </c>
      <c r="AX166" s="113" t="n">
        <f aca="false">IF(AX120&gt;0,1,0)</f>
        <v>1</v>
      </c>
      <c r="AY166" s="113" t="n">
        <f aca="false">IF(AY120&gt;0,1,0)</f>
        <v>1</v>
      </c>
      <c r="AZ166" s="113" t="n">
        <f aca="false">IF(AZ120&gt;0,1,0)</f>
        <v>1</v>
      </c>
      <c r="BA166" s="113" t="n">
        <f aca="false">IF(BA120&gt;0,1,0)</f>
        <v>1</v>
      </c>
      <c r="BB166" s="113" t="n">
        <f aca="false">IF(BB120&gt;0,1,0)</f>
        <v>1</v>
      </c>
      <c r="BC166" s="113" t="n">
        <f aca="false">IF(BC120&gt;0,1,0)</f>
        <v>1</v>
      </c>
      <c r="BD166" s="113" t="n">
        <f aca="false">IF(BD120&gt;0,1,0)</f>
        <v>1</v>
      </c>
      <c r="BE166" s="113" t="n">
        <f aca="false">IF(BE120&gt;0,1,0)</f>
        <v>1</v>
      </c>
      <c r="BF166" s="113" t="n">
        <f aca="false">IF(BF120&gt;0,1,0)</f>
        <v>1</v>
      </c>
      <c r="BG166" s="113" t="n">
        <f aca="false">IF(BG120&gt;0,1,0)</f>
        <v>1</v>
      </c>
      <c r="BH166" s="113" t="n">
        <f aca="false">IF(BH120&gt;0,1,0)</f>
        <v>1</v>
      </c>
      <c r="BI166" s="113" t="n">
        <f aca="false">IF(BI120&gt;0,1,0)</f>
        <v>1</v>
      </c>
      <c r="BJ166" s="113" t="n">
        <f aca="false">IF(BJ120&gt;0,1,0)</f>
        <v>1</v>
      </c>
    </row>
    <row r="168" customFormat="false" ht="15.75" hidden="false" customHeight="true" outlineLevel="0" collapsed="false">
      <c r="A168" s="7" t="s">
        <v>440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customFormat="false" ht="15" hidden="false" customHeight="false" outlineLevel="0" collapsed="false">
      <c r="A169" s="112" t="s">
        <v>441</v>
      </c>
      <c r="C169" s="113" t="n">
        <f aca="false">IF(C129&gt;0,1,0)</f>
        <v>0</v>
      </c>
      <c r="D169" s="113" t="n">
        <f aca="false">IF(D129&gt;0,1,0)</f>
        <v>0</v>
      </c>
      <c r="E169" s="113" t="n">
        <f aca="false">IF(E129&gt;0,1,0)</f>
        <v>0</v>
      </c>
      <c r="F169" s="113" t="n">
        <f aca="false">IF(F129&gt;0,1,0)</f>
        <v>0</v>
      </c>
      <c r="G169" s="113" t="n">
        <f aca="false">IF(G129&gt;0,1,0)</f>
        <v>0</v>
      </c>
      <c r="H169" s="113" t="n">
        <f aca="false">IF(H129&gt;0,1,0)</f>
        <v>0</v>
      </c>
      <c r="I169" s="113" t="n">
        <f aca="false">IF(I129&gt;0,1,0)</f>
        <v>0</v>
      </c>
      <c r="J169" s="113" t="n">
        <f aca="false">IF(J129&gt;0,1,0)</f>
        <v>0</v>
      </c>
      <c r="K169" s="113" t="n">
        <f aca="false">IF(K129&gt;0,1,0)</f>
        <v>0</v>
      </c>
      <c r="L169" s="113" t="n">
        <f aca="false">IF(L129&gt;0,1,0)</f>
        <v>0</v>
      </c>
      <c r="M169" s="113" t="n">
        <f aca="false">IF(M129&gt;0,1,0)</f>
        <v>0</v>
      </c>
      <c r="N169" s="113" t="n">
        <f aca="false">IF(N129&gt;0,1,0)</f>
        <v>0</v>
      </c>
      <c r="O169" s="113" t="n">
        <f aca="false">IF(O129&gt;0,1,0)</f>
        <v>0</v>
      </c>
      <c r="P169" s="113" t="n">
        <f aca="false">IF(P129&gt;0,1,0)</f>
        <v>0</v>
      </c>
      <c r="Q169" s="113" t="n">
        <f aca="false">IF(Q129&gt;0,1,0)</f>
        <v>0</v>
      </c>
      <c r="R169" s="113" t="n">
        <f aca="false">IF(R129&gt;0,1,0)</f>
        <v>0</v>
      </c>
      <c r="S169" s="113" t="n">
        <f aca="false">IF(S129&gt;0,1,0)</f>
        <v>0</v>
      </c>
      <c r="T169" s="113" t="n">
        <f aca="false">IF(T129&gt;0,1,0)</f>
        <v>0</v>
      </c>
      <c r="U169" s="113" t="n">
        <f aca="false">IF(U129&gt;0,1,0)</f>
        <v>0</v>
      </c>
      <c r="V169" s="113" t="n">
        <f aca="false">IF(V129&gt;0,1,0)</f>
        <v>0</v>
      </c>
      <c r="W169" s="113" t="n">
        <f aca="false">IF(W129&gt;0,1,0)</f>
        <v>0</v>
      </c>
      <c r="X169" s="113" t="n">
        <f aca="false">IF(X129&gt;0,1,0)</f>
        <v>0</v>
      </c>
      <c r="Y169" s="113" t="n">
        <f aca="false">IF(Y129&gt;0,1,0)</f>
        <v>0</v>
      </c>
      <c r="Z169" s="113" t="n">
        <f aca="false">IF(Z129&gt;0,1,0)</f>
        <v>0</v>
      </c>
      <c r="AA169" s="113" t="n">
        <f aca="false">IF(AA129&gt;0,1,0)</f>
        <v>0</v>
      </c>
      <c r="AB169" s="113" t="n">
        <f aca="false">IF(AB129&gt;0,1,0)</f>
        <v>0</v>
      </c>
      <c r="AC169" s="113" t="n">
        <f aca="false">IF(AC129&gt;0,1,0)</f>
        <v>0</v>
      </c>
      <c r="AD169" s="113" t="n">
        <f aca="false">IF(AD129&gt;0,1,0)</f>
        <v>0</v>
      </c>
      <c r="AE169" s="113" t="n">
        <f aca="false">IF(AE129&gt;0,1,0)</f>
        <v>0</v>
      </c>
      <c r="AF169" s="113" t="n">
        <f aca="false">IF(AF129&gt;0,1,0)</f>
        <v>0</v>
      </c>
      <c r="AG169" s="113" t="n">
        <f aca="false">IF(AG129&gt;0,1,0)</f>
        <v>1</v>
      </c>
      <c r="AH169" s="113" t="n">
        <f aca="false">IF(AH129&gt;0,1,0)</f>
        <v>1</v>
      </c>
      <c r="AI169" s="113" t="n">
        <f aca="false">IF(AI129&gt;0,1,0)</f>
        <v>1</v>
      </c>
      <c r="AJ169" s="113" t="n">
        <f aca="false">IF(AJ129&gt;0,1,0)</f>
        <v>1</v>
      </c>
      <c r="AK169" s="113" t="n">
        <f aca="false">IF(AK129&gt;0,1,0)</f>
        <v>1</v>
      </c>
      <c r="AL169" s="113" t="n">
        <f aca="false">IF(AL129&gt;0,1,0)</f>
        <v>1</v>
      </c>
      <c r="AM169" s="113" t="n">
        <f aca="false">IF(AM129&gt;0,1,0)</f>
        <v>1</v>
      </c>
      <c r="AN169" s="113" t="n">
        <f aca="false">IF(AN129&gt;0,1,0)</f>
        <v>1</v>
      </c>
      <c r="AO169" s="113" t="n">
        <f aca="false">IF(AO129&gt;0,1,0)</f>
        <v>1</v>
      </c>
      <c r="AP169" s="113" t="n">
        <f aca="false">IF(AP129&gt;0,1,0)</f>
        <v>1</v>
      </c>
      <c r="AQ169" s="113" t="n">
        <f aca="false">IF(AQ129&gt;0,1,0)</f>
        <v>1</v>
      </c>
      <c r="AR169" s="113" t="n">
        <f aca="false">IF(AR129&gt;0,1,0)</f>
        <v>1</v>
      </c>
      <c r="AS169" s="113" t="n">
        <f aca="false">IF(AS129&gt;0,1,0)</f>
        <v>1</v>
      </c>
      <c r="AT169" s="113" t="n">
        <f aca="false">IF(AT129&gt;0,1,0)</f>
        <v>1</v>
      </c>
      <c r="AU169" s="113" t="n">
        <f aca="false">IF(AU129&gt;0,1,0)</f>
        <v>1</v>
      </c>
      <c r="AV169" s="113" t="n">
        <f aca="false">IF(AV129&gt;0,1,0)</f>
        <v>1</v>
      </c>
      <c r="AW169" s="113" t="n">
        <f aca="false">IF(AW129&gt;0,1,0)</f>
        <v>1</v>
      </c>
      <c r="AX169" s="113" t="n">
        <f aca="false">IF(AX129&gt;0,1,0)</f>
        <v>1</v>
      </c>
      <c r="AY169" s="113" t="n">
        <f aca="false">IF(AY129&gt;0,1,0)</f>
        <v>1</v>
      </c>
      <c r="AZ169" s="113" t="n">
        <f aca="false">IF(AZ129&gt;0,1,0)</f>
        <v>1</v>
      </c>
      <c r="BA169" s="113" t="n">
        <f aca="false">IF(BA129&gt;0,1,0)</f>
        <v>1</v>
      </c>
      <c r="BB169" s="113" t="n">
        <f aca="false">IF(BB129&gt;0,1,0)</f>
        <v>1</v>
      </c>
      <c r="BC169" s="113" t="n">
        <f aca="false">IF(BC129&gt;0,1,0)</f>
        <v>1</v>
      </c>
      <c r="BD169" s="113" t="n">
        <f aca="false">IF(BD129&gt;0,1,0)</f>
        <v>1</v>
      </c>
      <c r="BE169" s="113" t="n">
        <f aca="false">IF(BE129&gt;0,1,0)</f>
        <v>1</v>
      </c>
      <c r="BF169" s="113" t="n">
        <f aca="false">IF(BF129&gt;0,1,0)</f>
        <v>1</v>
      </c>
      <c r="BG169" s="113" t="n">
        <f aca="false">IF(BG129&gt;0,1,0)</f>
        <v>1</v>
      </c>
      <c r="BH169" s="113" t="n">
        <f aca="false">IF(BH129&gt;0,1,0)</f>
        <v>1</v>
      </c>
      <c r="BI169" s="113" t="n">
        <f aca="false">IF(BI129&gt;0,1,0)</f>
        <v>1</v>
      </c>
      <c r="BJ169" s="113" t="n">
        <f aca="false">IF(BJ129&gt;0,1,0)</f>
        <v>1</v>
      </c>
    </row>
    <row r="170" customFormat="false" ht="15" hidden="false" customHeight="false" outlineLevel="0" collapsed="false">
      <c r="A170" s="6" t="s">
        <v>442</v>
      </c>
      <c r="C170" s="65" t="n">
        <f aca="false">C159+C160</f>
        <v>-1900912.16666667</v>
      </c>
      <c r="D170" s="65" t="n">
        <f aca="false">D159+D160</f>
        <v>3659.20942152704</v>
      </c>
      <c r="E170" s="65" t="n">
        <f aca="false">E159+E160</f>
        <v>3665.1173385318</v>
      </c>
      <c r="F170" s="65" t="n">
        <f aca="false">F159+F160</f>
        <v>3671.05725675367</v>
      </c>
      <c r="G170" s="65" t="n">
        <f aca="false">G159+G160</f>
        <v>3677.02934953257</v>
      </c>
      <c r="H170" s="65" t="n">
        <f aca="false">H159+H160</f>
        <v>3683.03379114736</v>
      </c>
      <c r="I170" s="65" t="n">
        <f aca="false">I159+I160</f>
        <v>3689.0707568209</v>
      </c>
      <c r="J170" s="65" t="n">
        <f aca="false">J159+J160</f>
        <v>3695.14042272516</v>
      </c>
      <c r="K170" s="65" t="n">
        <f aca="false">K159+K160</f>
        <v>3701.24296598641</v>
      </c>
      <c r="L170" s="65" t="n">
        <f aca="false">L159+L160</f>
        <v>3707.37856469032</v>
      </c>
      <c r="M170" s="65" t="n">
        <f aca="false">M159+M160</f>
        <v>3713.54739788722</v>
      </c>
      <c r="N170" s="65" t="n">
        <f aca="false">N159+N160</f>
        <v>3719.74964559726</v>
      </c>
      <c r="O170" s="65" t="n">
        <f aca="false">O159+O160</f>
        <v>4058.62048881573</v>
      </c>
      <c r="P170" s="65" t="n">
        <f aca="false">P159+P160</f>
        <v>4036.85510951831</v>
      </c>
      <c r="Q170" s="65" t="n">
        <f aca="false">Q159+Q160</f>
        <v>4043.15869066635</v>
      </c>
      <c r="R170" s="65" t="n">
        <f aca="false">R159+R160</f>
        <v>4049.49641621228</v>
      </c>
      <c r="S170" s="65" t="n">
        <f aca="false">S159+S160</f>
        <v>4055.86847110492</v>
      </c>
      <c r="T170" s="65" t="n">
        <f aca="false">T159+T160</f>
        <v>4062.27504129489</v>
      </c>
      <c r="U170" s="65" t="n">
        <f aca="false">U159+U160</f>
        <v>4068.71631374006</v>
      </c>
      <c r="V170" s="65" t="n">
        <f aca="false">V159+V160</f>
        <v>4075.19247641097</v>
      </c>
      <c r="W170" s="65" t="n">
        <f aca="false">W159+W160</f>
        <v>4081.70371829635</v>
      </c>
      <c r="X170" s="65" t="n">
        <f aca="false">X159+X160</f>
        <v>4088.25022940861</v>
      </c>
      <c r="Y170" s="65" t="n">
        <f aca="false">Y159+Y160</f>
        <v>4094.83220078939</v>
      </c>
      <c r="Z170" s="65" t="n">
        <f aca="false">Z159+Z160</f>
        <v>4101.44982451515</v>
      </c>
      <c r="AA170" s="65" t="n">
        <f aca="false">AA159+AA160</f>
        <v>4450.71734370277</v>
      </c>
      <c r="AB170" s="65" t="n">
        <f aca="false">AB159+AB160</f>
        <v>4428.53080251514</v>
      </c>
      <c r="AC170" s="65" t="n">
        <f aca="false">AC159+AC160</f>
        <v>4435.25654616692</v>
      </c>
      <c r="AD170" s="65" t="n">
        <f aca="false">AD159+AD160</f>
        <v>4442.01872093014</v>
      </c>
      <c r="AE170" s="65" t="n">
        <f aca="false">AE159+AE160</f>
        <v>4448.81752414</v>
      </c>
      <c r="AF170" s="65" t="n">
        <f aca="false">AF159+AF160</f>
        <v>4455.65315420058</v>
      </c>
      <c r="AG170" s="65" t="n">
        <f aca="false">AG159+AG160</f>
        <v>4462.52581059065</v>
      </c>
      <c r="AH170" s="65" t="n">
        <f aca="false">AH159+AH160</f>
        <v>4469.43569386951</v>
      </c>
      <c r="AI170" s="65" t="n">
        <f aca="false">AI159+AI160</f>
        <v>4476.38300568279</v>
      </c>
      <c r="AJ170" s="65" t="n">
        <f aca="false">AJ159+AJ160</f>
        <v>4483.36794876839</v>
      </c>
      <c r="AK170" s="65" t="n">
        <f aca="false">AK159+AK160</f>
        <v>4490.39072696237</v>
      </c>
      <c r="AL170" s="65" t="n">
        <f aca="false">AL159+AL160</f>
        <v>4497.4515452049</v>
      </c>
      <c r="AM170" s="65" t="n">
        <f aca="false">AM159+AM160</f>
        <v>4857.44308104625</v>
      </c>
      <c r="AN170" s="65" t="n">
        <f aca="false">AN159+AN160</f>
        <v>4834.83826715278</v>
      </c>
      <c r="AO170" s="65" t="n">
        <f aca="false">AO159+AO160</f>
        <v>4842.01444631301</v>
      </c>
      <c r="AP170" s="65" t="n">
        <f aca="false">AP159+AP160</f>
        <v>4849.22949644369</v>
      </c>
      <c r="AQ170" s="65" t="n">
        <f aca="false">AQ159+AQ160</f>
        <v>4856.48362809592</v>
      </c>
      <c r="AR170" s="65" t="n">
        <f aca="false">AR159+AR160</f>
        <v>4863.77705296126</v>
      </c>
      <c r="AS170" s="65" t="n">
        <f aca="false">AS159+AS160</f>
        <v>4871.10998387795</v>
      </c>
      <c r="AT170" s="65" t="n">
        <f aca="false">AT159+AT160</f>
        <v>4878.48263483711</v>
      </c>
      <c r="AU170" s="65" t="n">
        <f aca="false">AU159+AU160</f>
        <v>4885.89522098896</v>
      </c>
      <c r="AV170" s="65" t="n">
        <f aca="false">AV159+AV160</f>
        <v>4893.34795864914</v>
      </c>
      <c r="AW170" s="65" t="n">
        <f aca="false">AW159+AW160</f>
        <v>4900.84106530498</v>
      </c>
      <c r="AX170" s="65" t="n">
        <f aca="false">AX159+AX160</f>
        <v>4908.37475962187</v>
      </c>
      <c r="AY170" s="65" t="n">
        <f aca="false">AY159+AY160</f>
        <v>5279.42850709464</v>
      </c>
      <c r="AZ170" s="65" t="n">
        <f aca="false">AZ159+AZ160</f>
        <v>5256.40943602898</v>
      </c>
      <c r="BA170" s="65" t="n">
        <f aca="false">BA159+BA160</f>
        <v>5264.06621719788</v>
      </c>
      <c r="BB170" s="65" t="n">
        <f aca="false">BB159+BB160</f>
        <v>5271.7644725981</v>
      </c>
      <c r="BC170" s="65" t="n">
        <f aca="false">BC159+BC160</f>
        <v>5279.50442688175</v>
      </c>
      <c r="BD170" s="65" t="n">
        <f aca="false">BD159+BD160</f>
        <v>5287.28630591776</v>
      </c>
      <c r="BE170" s="65" t="n">
        <f aca="false">BE159+BE160</f>
        <v>5295.11033679855</v>
      </c>
      <c r="BF170" s="65" t="n">
        <f aca="false">BF159+BF160</f>
        <v>5302.97674784661</v>
      </c>
      <c r="BG170" s="65" t="n">
        <f aca="false">BG159+BG160</f>
        <v>5310.88576862119</v>
      </c>
      <c r="BH170" s="65" t="n">
        <f aca="false">BH159+BH160</f>
        <v>5318.83762992496</v>
      </c>
      <c r="BI170" s="65" t="n">
        <f aca="false">BI159+BI160</f>
        <v>5305.96467497943</v>
      </c>
      <c r="BJ170" s="65" t="n">
        <f aca="false">BJ159+BJ160</f>
        <v>5152.88587460621</v>
      </c>
    </row>
    <row r="171" customFormat="false" ht="15" hidden="false" customHeight="false" outlineLevel="0" collapsed="false">
      <c r="A171" s="6" t="s">
        <v>443</v>
      </c>
      <c r="C171" s="65" t="n">
        <f aca="false">C170</f>
        <v>-1900912.16666667</v>
      </c>
      <c r="D171" s="65" t="n">
        <f aca="false">C171+D170</f>
        <v>-1897252.95724514</v>
      </c>
      <c r="E171" s="65" t="n">
        <f aca="false">D171+E170</f>
        <v>-1893587.83990661</v>
      </c>
      <c r="F171" s="65" t="n">
        <f aca="false">E171+F170</f>
        <v>-1889916.78264985</v>
      </c>
      <c r="G171" s="65" t="n">
        <f aca="false">F171+G170</f>
        <v>-1886239.75330032</v>
      </c>
      <c r="H171" s="65" t="n">
        <f aca="false">G171+H170</f>
        <v>-1882556.71950917</v>
      </c>
      <c r="I171" s="65" t="n">
        <f aca="false">H171+I170</f>
        <v>-1878867.64875235</v>
      </c>
      <c r="J171" s="65" t="n">
        <f aca="false">I171+J170</f>
        <v>-1875172.50832963</v>
      </c>
      <c r="K171" s="65" t="n">
        <f aca="false">J171+K170</f>
        <v>-1871471.26536364</v>
      </c>
      <c r="L171" s="65" t="n">
        <f aca="false">K171+L170</f>
        <v>-1867763.88679895</v>
      </c>
      <c r="M171" s="65" t="n">
        <f aca="false">L171+M170</f>
        <v>-1864050.33940106</v>
      </c>
      <c r="N171" s="65" t="n">
        <f aca="false">M171+N170</f>
        <v>-1860330.58975547</v>
      </c>
      <c r="O171" s="65" t="n">
        <f aca="false">N171+O170</f>
        <v>-1856271.96926665</v>
      </c>
      <c r="P171" s="65" t="n">
        <f aca="false">O171+P170</f>
        <v>-1852235.11415713</v>
      </c>
      <c r="Q171" s="65" t="n">
        <f aca="false">P171+Q170</f>
        <v>-1848191.95546647</v>
      </c>
      <c r="R171" s="65" t="n">
        <f aca="false">Q171+R170</f>
        <v>-1844142.45905025</v>
      </c>
      <c r="S171" s="65" t="n">
        <f aca="false">R171+S170</f>
        <v>-1840086.59057915</v>
      </c>
      <c r="T171" s="65" t="n">
        <f aca="false">S171+T170</f>
        <v>-1836024.31553785</v>
      </c>
      <c r="U171" s="65" t="n">
        <f aca="false">T171+U170</f>
        <v>-1831955.59922411</v>
      </c>
      <c r="V171" s="65" t="n">
        <f aca="false">U171+V170</f>
        <v>-1827880.4067477</v>
      </c>
      <c r="W171" s="65" t="n">
        <f aca="false">V171+W170</f>
        <v>-1823798.70302941</v>
      </c>
      <c r="X171" s="65" t="n">
        <f aca="false">W171+X170</f>
        <v>-1819710.4528</v>
      </c>
      <c r="Y171" s="65" t="n">
        <f aca="false">X171+Y170</f>
        <v>-1815615.62059921</v>
      </c>
      <c r="Z171" s="65" t="n">
        <f aca="false">Y171+Z170</f>
        <v>-1811514.17077469</v>
      </c>
      <c r="AA171" s="65" t="n">
        <f aca="false">Z171+AA170</f>
        <v>-1807063.45343099</v>
      </c>
      <c r="AB171" s="65" t="n">
        <f aca="false">AA171+AB170</f>
        <v>-1802634.92262848</v>
      </c>
      <c r="AC171" s="65" t="n">
        <f aca="false">AB171+AC170</f>
        <v>-1798199.66608231</v>
      </c>
      <c r="AD171" s="65" t="n">
        <f aca="false">AC171+AD170</f>
        <v>-1793757.64736138</v>
      </c>
      <c r="AE171" s="65" t="n">
        <f aca="false">AD171+AE170</f>
        <v>-1789308.82983724</v>
      </c>
      <c r="AF171" s="65" t="n">
        <f aca="false">AE171+AF170</f>
        <v>-1784853.17668304</v>
      </c>
      <c r="AG171" s="65" t="n">
        <f aca="false">AF171+AG170</f>
        <v>-1780390.65087245</v>
      </c>
      <c r="AH171" s="65" t="n">
        <f aca="false">AG171+AH170</f>
        <v>-1775921.21517858</v>
      </c>
      <c r="AI171" s="65" t="n">
        <f aca="false">AH171+AI170</f>
        <v>-1771444.8321729</v>
      </c>
      <c r="AJ171" s="65" t="n">
        <f aca="false">AI171+AJ170</f>
        <v>-1766961.46422413</v>
      </c>
      <c r="AK171" s="65" t="n">
        <f aca="false">AJ171+AK170</f>
        <v>-1762471.07349716</v>
      </c>
      <c r="AL171" s="65" t="n">
        <f aca="false">AK171+AL170</f>
        <v>-1757973.62195196</v>
      </c>
      <c r="AM171" s="65" t="n">
        <f aca="false">AL171+AM170</f>
        <v>-1753116.17887091</v>
      </c>
      <c r="AN171" s="65" t="n">
        <f aca="false">AM171+AN170</f>
        <v>-1748281.34060376</v>
      </c>
      <c r="AO171" s="65" t="n">
        <f aca="false">AN171+AO170</f>
        <v>-1743439.32615745</v>
      </c>
      <c r="AP171" s="65" t="n">
        <f aca="false">AO171+AP170</f>
        <v>-1738590.096661</v>
      </c>
      <c r="AQ171" s="65" t="n">
        <f aca="false">AP171+AQ170</f>
        <v>-1733733.61303291</v>
      </c>
      <c r="AR171" s="65" t="n">
        <f aca="false">AQ171+AR170</f>
        <v>-1728869.83597995</v>
      </c>
      <c r="AS171" s="65" t="n">
        <f aca="false">AR171+AS170</f>
        <v>-1723998.72599607</v>
      </c>
      <c r="AT171" s="65" t="n">
        <f aca="false">AS171+AT170</f>
        <v>-1719120.24336123</v>
      </c>
      <c r="AU171" s="65" t="n">
        <f aca="false">AT171+AU170</f>
        <v>-1714234.34814024</v>
      </c>
      <c r="AV171" s="65" t="n">
        <f aca="false">AU171+AV170</f>
        <v>-1709341.00018159</v>
      </c>
      <c r="AW171" s="65" t="n">
        <f aca="false">AV171+AW170</f>
        <v>-1704440.15911629</v>
      </c>
      <c r="AX171" s="65" t="n">
        <f aca="false">AW171+AX170</f>
        <v>-1699531.78435667</v>
      </c>
      <c r="AY171" s="65" t="n">
        <f aca="false">AX171+AY170</f>
        <v>-1694252.35584957</v>
      </c>
      <c r="AZ171" s="65" t="n">
        <f aca="false">AY171+AZ170</f>
        <v>-1688995.94641354</v>
      </c>
      <c r="BA171" s="65" t="n">
        <f aca="false">AZ171+BA170</f>
        <v>-1683731.88019635</v>
      </c>
      <c r="BB171" s="65" t="n">
        <f aca="false">BA171+BB170</f>
        <v>-1678460.11572375</v>
      </c>
      <c r="BC171" s="65" t="n">
        <f aca="false">BB171+BC170</f>
        <v>-1673180.61129687</v>
      </c>
      <c r="BD171" s="65" t="n">
        <f aca="false">BC171+BD170</f>
        <v>-1667893.32499095</v>
      </c>
      <c r="BE171" s="65" t="n">
        <f aca="false">BD171+BE170</f>
        <v>-1662598.21465415</v>
      </c>
      <c r="BF171" s="65" t="n">
        <f aca="false">BE171+BF170</f>
        <v>-1657295.2379063</v>
      </c>
      <c r="BG171" s="65" t="n">
        <f aca="false">BF171+BG170</f>
        <v>-1651984.35213768</v>
      </c>
      <c r="BH171" s="65" t="n">
        <f aca="false">BG171+BH170</f>
        <v>-1646665.51450776</v>
      </c>
      <c r="BI171" s="65" t="n">
        <f aca="false">BH171+BI170</f>
        <v>-1641359.54983278</v>
      </c>
      <c r="BJ171" s="65" t="n">
        <f aca="false">BI171+BJ170</f>
        <v>-1636206.66395817</v>
      </c>
    </row>
    <row r="172" customFormat="false" ht="15" hidden="false" customHeight="false" outlineLevel="0" collapsed="false">
      <c r="A172" s="112" t="s">
        <v>444</v>
      </c>
      <c r="C172" s="65" t="n">
        <f aca="false">C171</f>
        <v>-1900912.16666667</v>
      </c>
      <c r="D172" s="65" t="n">
        <f aca="false">MIN(C172,D171)</f>
        <v>-1900912.16666667</v>
      </c>
      <c r="E172" s="65" t="n">
        <f aca="false">MIN(D172,E171)</f>
        <v>-1900912.16666667</v>
      </c>
      <c r="F172" s="65" t="n">
        <f aca="false">MIN(E172,F171)</f>
        <v>-1900912.16666667</v>
      </c>
      <c r="G172" s="65" t="n">
        <f aca="false">MIN(F172,G171)</f>
        <v>-1900912.16666667</v>
      </c>
      <c r="H172" s="65" t="n">
        <f aca="false">MIN(G172,H171)</f>
        <v>-1900912.16666667</v>
      </c>
      <c r="I172" s="65" t="n">
        <f aca="false">MIN(H172,I171)</f>
        <v>-1900912.16666667</v>
      </c>
      <c r="J172" s="65" t="n">
        <f aca="false">MIN(I172,J171)</f>
        <v>-1900912.16666667</v>
      </c>
      <c r="K172" s="65" t="n">
        <f aca="false">MIN(J172,K171)</f>
        <v>-1900912.16666667</v>
      </c>
      <c r="L172" s="65" t="n">
        <f aca="false">MIN(K172,L171)</f>
        <v>-1900912.16666667</v>
      </c>
      <c r="M172" s="65" t="n">
        <f aca="false">MIN(L172,M171)</f>
        <v>-1900912.16666667</v>
      </c>
      <c r="N172" s="65" t="n">
        <f aca="false">MIN(M172,N171)</f>
        <v>-1900912.16666667</v>
      </c>
      <c r="O172" s="65" t="n">
        <f aca="false">MIN(N172,O171)</f>
        <v>-1900912.16666667</v>
      </c>
      <c r="P172" s="65" t="n">
        <f aca="false">MIN(O172,P171)</f>
        <v>-1900912.16666667</v>
      </c>
      <c r="Q172" s="65" t="n">
        <f aca="false">MIN(P172,Q171)</f>
        <v>-1900912.16666667</v>
      </c>
      <c r="R172" s="65" t="n">
        <f aca="false">MIN(Q172,R171)</f>
        <v>-1900912.16666667</v>
      </c>
      <c r="S172" s="65" t="n">
        <f aca="false">MIN(R172,S171)</f>
        <v>-1900912.16666667</v>
      </c>
      <c r="T172" s="65" t="n">
        <f aca="false">MIN(S172,T171)</f>
        <v>-1900912.16666667</v>
      </c>
      <c r="U172" s="65" t="n">
        <f aca="false">MIN(T172,U171)</f>
        <v>-1900912.16666667</v>
      </c>
      <c r="V172" s="65" t="n">
        <f aca="false">MIN(U172,V171)</f>
        <v>-1900912.16666667</v>
      </c>
      <c r="W172" s="65" t="n">
        <f aca="false">MIN(V172,W171)</f>
        <v>-1900912.16666667</v>
      </c>
      <c r="X172" s="65" t="n">
        <f aca="false">MIN(W172,X171)</f>
        <v>-1900912.16666667</v>
      </c>
      <c r="Y172" s="65" t="n">
        <f aca="false">MIN(X172,Y171)</f>
        <v>-1900912.16666667</v>
      </c>
      <c r="Z172" s="65" t="n">
        <f aca="false">MIN(Y172,Z171)</f>
        <v>-1900912.16666667</v>
      </c>
      <c r="AA172" s="65" t="n">
        <f aca="false">MIN(Z172,AA171)</f>
        <v>-1900912.16666667</v>
      </c>
      <c r="AB172" s="65" t="n">
        <f aca="false">MIN(AA172,AB171)</f>
        <v>-1900912.16666667</v>
      </c>
      <c r="AC172" s="65" t="n">
        <f aca="false">MIN(AB172,AC171)</f>
        <v>-1900912.16666667</v>
      </c>
      <c r="AD172" s="65" t="n">
        <f aca="false">MIN(AC172,AD171)</f>
        <v>-1900912.16666667</v>
      </c>
      <c r="AE172" s="65" t="n">
        <f aca="false">MIN(AD172,AE171)</f>
        <v>-1900912.16666667</v>
      </c>
      <c r="AF172" s="65" t="n">
        <f aca="false">MIN(AE172,AF171)</f>
        <v>-1900912.16666667</v>
      </c>
      <c r="AG172" s="65" t="n">
        <f aca="false">MIN(AF172,AG171)</f>
        <v>-1900912.16666667</v>
      </c>
      <c r="AH172" s="65" t="n">
        <f aca="false">MIN(AG172,AH171)</f>
        <v>-1900912.16666667</v>
      </c>
      <c r="AI172" s="65" t="n">
        <f aca="false">MIN(AH172,AI171)</f>
        <v>-1900912.16666667</v>
      </c>
      <c r="AJ172" s="65" t="n">
        <f aca="false">MIN(AI172,AJ171)</f>
        <v>-1900912.16666667</v>
      </c>
      <c r="AK172" s="65" t="n">
        <f aca="false">MIN(AJ172,AK171)</f>
        <v>-1900912.16666667</v>
      </c>
      <c r="AL172" s="65" t="n">
        <f aca="false">MIN(AK172,AL171)</f>
        <v>-1900912.16666667</v>
      </c>
      <c r="AM172" s="65" t="n">
        <f aca="false">MIN(AL172,AM171)</f>
        <v>-1900912.16666667</v>
      </c>
      <c r="AN172" s="65" t="n">
        <f aca="false">MIN(AM172,AN171)</f>
        <v>-1900912.16666667</v>
      </c>
      <c r="AO172" s="65" t="n">
        <f aca="false">MIN(AN172,AO171)</f>
        <v>-1900912.16666667</v>
      </c>
      <c r="AP172" s="65" t="n">
        <f aca="false">MIN(AO172,AP171)</f>
        <v>-1900912.16666667</v>
      </c>
      <c r="AQ172" s="65" t="n">
        <f aca="false">MIN(AP172,AQ171)</f>
        <v>-1900912.16666667</v>
      </c>
      <c r="AR172" s="65" t="n">
        <f aca="false">MIN(AQ172,AR171)</f>
        <v>-1900912.16666667</v>
      </c>
      <c r="AS172" s="65" t="n">
        <f aca="false">MIN(AR172,AS171)</f>
        <v>-1900912.16666667</v>
      </c>
      <c r="AT172" s="65" t="n">
        <f aca="false">MIN(AS172,AT171)</f>
        <v>-1900912.16666667</v>
      </c>
      <c r="AU172" s="65" t="n">
        <f aca="false">MIN(AT172,AU171)</f>
        <v>-1900912.16666667</v>
      </c>
      <c r="AV172" s="65" t="n">
        <f aca="false">MIN(AU172,AV171)</f>
        <v>-1900912.16666667</v>
      </c>
      <c r="AW172" s="65" t="n">
        <f aca="false">MIN(AV172,AW171)</f>
        <v>-1900912.16666667</v>
      </c>
      <c r="AX172" s="65" t="n">
        <f aca="false">MIN(AW172,AX171)</f>
        <v>-1900912.16666667</v>
      </c>
      <c r="AY172" s="65" t="n">
        <f aca="false">MIN(AX172,AY171)</f>
        <v>-1900912.16666667</v>
      </c>
      <c r="AZ172" s="65" t="n">
        <f aca="false">MIN(AY172,AZ171)</f>
        <v>-1900912.16666667</v>
      </c>
      <c r="BA172" s="65" t="n">
        <f aca="false">MIN(AZ172,BA171)</f>
        <v>-1900912.16666667</v>
      </c>
      <c r="BB172" s="65" t="n">
        <f aca="false">MIN(BA172,BB171)</f>
        <v>-1900912.16666667</v>
      </c>
      <c r="BC172" s="65" t="n">
        <f aca="false">MIN(BB172,BC171)</f>
        <v>-1900912.16666667</v>
      </c>
      <c r="BD172" s="65" t="n">
        <f aca="false">MIN(BC172,BD171)</f>
        <v>-1900912.16666667</v>
      </c>
      <c r="BE172" s="65" t="n">
        <f aca="false">MIN(BD172,BE171)</f>
        <v>-1900912.16666667</v>
      </c>
      <c r="BF172" s="65" t="n">
        <f aca="false">MIN(BE172,BF171)</f>
        <v>-1900912.16666667</v>
      </c>
      <c r="BG172" s="65" t="n">
        <f aca="false">MIN(BF172,BG171)</f>
        <v>-1900912.16666667</v>
      </c>
      <c r="BH172" s="65" t="n">
        <f aca="false">MIN(BG172,BH171)</f>
        <v>-1900912.16666667</v>
      </c>
      <c r="BI172" s="65" t="n">
        <f aca="false">MIN(BH172,BI171)</f>
        <v>-1900912.16666667</v>
      </c>
      <c r="BJ172" s="65" t="n">
        <f aca="false">MIN(BI172,BJ171)</f>
        <v>-1900912.16666667</v>
      </c>
    </row>
    <row r="173" customFormat="false" ht="15" hidden="false" customHeight="false" outlineLevel="0" collapsed="false">
      <c r="A173" s="112" t="s">
        <v>445</v>
      </c>
      <c r="C173" s="113" t="n">
        <f aca="false">IF(AND(C171&gt;=0,C172&lt;0),1,0)</f>
        <v>0</v>
      </c>
      <c r="D173" s="113" t="n">
        <f aca="false">IF(AND(D171&gt;=0,D172&lt;0),1,0)</f>
        <v>0</v>
      </c>
      <c r="E173" s="113" t="n">
        <f aca="false">IF(AND(E171&gt;=0,E172&lt;0),1,0)</f>
        <v>0</v>
      </c>
      <c r="F173" s="113" t="n">
        <f aca="false">IF(AND(F171&gt;=0,F172&lt;0),1,0)</f>
        <v>0</v>
      </c>
      <c r="G173" s="113" t="n">
        <f aca="false">IF(AND(G171&gt;=0,G172&lt;0),1,0)</f>
        <v>0</v>
      </c>
      <c r="H173" s="113" t="n">
        <f aca="false">IF(AND(H171&gt;=0,H172&lt;0),1,0)</f>
        <v>0</v>
      </c>
      <c r="I173" s="113" t="n">
        <f aca="false">IF(AND(I171&gt;=0,I172&lt;0),1,0)</f>
        <v>0</v>
      </c>
      <c r="J173" s="113" t="n">
        <f aca="false">IF(AND(J171&gt;=0,J172&lt;0),1,0)</f>
        <v>0</v>
      </c>
      <c r="K173" s="113" t="n">
        <f aca="false">IF(AND(K171&gt;=0,K172&lt;0),1,0)</f>
        <v>0</v>
      </c>
      <c r="L173" s="113" t="n">
        <f aca="false">IF(AND(L171&gt;=0,L172&lt;0),1,0)</f>
        <v>0</v>
      </c>
      <c r="M173" s="113" t="n">
        <f aca="false">IF(AND(M171&gt;=0,M172&lt;0),1,0)</f>
        <v>0</v>
      </c>
      <c r="N173" s="113" t="n">
        <f aca="false">IF(AND(N171&gt;=0,N172&lt;0),1,0)</f>
        <v>0</v>
      </c>
      <c r="O173" s="113" t="n">
        <f aca="false">IF(AND(O171&gt;=0,O172&lt;0),1,0)</f>
        <v>0</v>
      </c>
      <c r="P173" s="113" t="n">
        <f aca="false">IF(AND(P171&gt;=0,P172&lt;0),1,0)</f>
        <v>0</v>
      </c>
      <c r="Q173" s="113" t="n">
        <f aca="false">IF(AND(Q171&gt;=0,Q172&lt;0),1,0)</f>
        <v>0</v>
      </c>
      <c r="R173" s="113" t="n">
        <f aca="false">IF(AND(R171&gt;=0,R172&lt;0),1,0)</f>
        <v>0</v>
      </c>
      <c r="S173" s="113" t="n">
        <f aca="false">IF(AND(S171&gt;=0,S172&lt;0),1,0)</f>
        <v>0</v>
      </c>
      <c r="T173" s="113" t="n">
        <f aca="false">IF(AND(T171&gt;=0,T172&lt;0),1,0)</f>
        <v>0</v>
      </c>
      <c r="U173" s="113" t="n">
        <f aca="false">IF(AND(U171&gt;=0,U172&lt;0),1,0)</f>
        <v>0</v>
      </c>
      <c r="V173" s="113" t="n">
        <f aca="false">IF(AND(V171&gt;=0,V172&lt;0),1,0)</f>
        <v>0</v>
      </c>
      <c r="W173" s="113" t="n">
        <f aca="false">IF(AND(W171&gt;=0,W172&lt;0),1,0)</f>
        <v>0</v>
      </c>
      <c r="X173" s="113" t="n">
        <f aca="false">IF(AND(X171&gt;=0,X172&lt;0),1,0)</f>
        <v>0</v>
      </c>
      <c r="Y173" s="113" t="n">
        <f aca="false">IF(AND(Y171&gt;=0,Y172&lt;0),1,0)</f>
        <v>0</v>
      </c>
      <c r="Z173" s="113" t="n">
        <f aca="false">IF(AND(Z171&gt;=0,Z172&lt;0),1,0)</f>
        <v>0</v>
      </c>
      <c r="AA173" s="113" t="n">
        <f aca="false">IF(AND(AA171&gt;=0,AA172&lt;0),1,0)</f>
        <v>0</v>
      </c>
      <c r="AB173" s="113" t="n">
        <f aca="false">IF(AND(AB171&gt;=0,AB172&lt;0),1,0)</f>
        <v>0</v>
      </c>
      <c r="AC173" s="113" t="n">
        <f aca="false">IF(AND(AC171&gt;=0,AC172&lt;0),1,0)</f>
        <v>0</v>
      </c>
      <c r="AD173" s="113" t="n">
        <f aca="false">IF(AND(AD171&gt;=0,AD172&lt;0),1,0)</f>
        <v>0</v>
      </c>
      <c r="AE173" s="113" t="n">
        <f aca="false">IF(AND(AE171&gt;=0,AE172&lt;0),1,0)</f>
        <v>0</v>
      </c>
      <c r="AF173" s="113" t="n">
        <f aca="false">IF(AND(AF171&gt;=0,AF172&lt;0),1,0)</f>
        <v>0</v>
      </c>
      <c r="AG173" s="113" t="n">
        <f aca="false">IF(AND(AG171&gt;=0,AG172&lt;0),1,0)</f>
        <v>0</v>
      </c>
      <c r="AH173" s="113" t="n">
        <f aca="false">IF(AND(AH171&gt;=0,AH172&lt;0),1,0)</f>
        <v>0</v>
      </c>
      <c r="AI173" s="113" t="n">
        <f aca="false">IF(AND(AI171&gt;=0,AI172&lt;0),1,0)</f>
        <v>0</v>
      </c>
      <c r="AJ173" s="113" t="n">
        <f aca="false">IF(AND(AJ171&gt;=0,AJ172&lt;0),1,0)</f>
        <v>0</v>
      </c>
      <c r="AK173" s="113" t="n">
        <f aca="false">IF(AND(AK171&gt;=0,AK172&lt;0),1,0)</f>
        <v>0</v>
      </c>
      <c r="AL173" s="113" t="n">
        <f aca="false">IF(AND(AL171&gt;=0,AL172&lt;0),1,0)</f>
        <v>0</v>
      </c>
      <c r="AM173" s="113" t="n">
        <f aca="false">IF(AND(AM171&gt;=0,AM172&lt;0),1,0)</f>
        <v>0</v>
      </c>
      <c r="AN173" s="113" t="n">
        <f aca="false">IF(AND(AN171&gt;=0,AN172&lt;0),1,0)</f>
        <v>0</v>
      </c>
      <c r="AO173" s="113" t="n">
        <f aca="false">IF(AND(AO171&gt;=0,AO172&lt;0),1,0)</f>
        <v>0</v>
      </c>
      <c r="AP173" s="113" t="n">
        <f aca="false">IF(AND(AP171&gt;=0,AP172&lt;0),1,0)</f>
        <v>0</v>
      </c>
      <c r="AQ173" s="113" t="n">
        <f aca="false">IF(AND(AQ171&gt;=0,AQ172&lt;0),1,0)</f>
        <v>0</v>
      </c>
      <c r="AR173" s="113" t="n">
        <f aca="false">IF(AND(AR171&gt;=0,AR172&lt;0),1,0)</f>
        <v>0</v>
      </c>
      <c r="AS173" s="113" t="n">
        <f aca="false">IF(AND(AS171&gt;=0,AS172&lt;0),1,0)</f>
        <v>0</v>
      </c>
      <c r="AT173" s="113" t="n">
        <f aca="false">IF(AND(AT171&gt;=0,AT172&lt;0),1,0)</f>
        <v>0</v>
      </c>
      <c r="AU173" s="113" t="n">
        <f aca="false">IF(AND(AU171&gt;=0,AU172&lt;0),1,0)</f>
        <v>0</v>
      </c>
      <c r="AV173" s="113" t="n">
        <f aca="false">IF(AND(AV171&gt;=0,AV172&lt;0),1,0)</f>
        <v>0</v>
      </c>
      <c r="AW173" s="113" t="n">
        <f aca="false">IF(AND(AW171&gt;=0,AW172&lt;0),1,0)</f>
        <v>0</v>
      </c>
      <c r="AX173" s="113" t="n">
        <f aca="false">IF(AND(AX171&gt;=0,AX172&lt;0),1,0)</f>
        <v>0</v>
      </c>
      <c r="AY173" s="113" t="n">
        <f aca="false">IF(AND(AY171&gt;=0,AY172&lt;0),1,0)</f>
        <v>0</v>
      </c>
      <c r="AZ173" s="113" t="n">
        <f aca="false">IF(AND(AZ171&gt;=0,AZ172&lt;0),1,0)</f>
        <v>0</v>
      </c>
      <c r="BA173" s="113" t="n">
        <f aca="false">IF(AND(BA171&gt;=0,BA172&lt;0),1,0)</f>
        <v>0</v>
      </c>
      <c r="BB173" s="113" t="n">
        <f aca="false">IF(AND(BB171&gt;=0,BB172&lt;0),1,0)</f>
        <v>0</v>
      </c>
      <c r="BC173" s="113" t="n">
        <f aca="false">IF(AND(BC171&gt;=0,BC172&lt;0),1,0)</f>
        <v>0</v>
      </c>
      <c r="BD173" s="113" t="n">
        <f aca="false">IF(AND(BD171&gt;=0,BD172&lt;0),1,0)</f>
        <v>0</v>
      </c>
      <c r="BE173" s="113" t="n">
        <f aca="false">IF(AND(BE171&gt;=0,BE172&lt;0),1,0)</f>
        <v>0</v>
      </c>
      <c r="BF173" s="113" t="n">
        <f aca="false">IF(AND(BF171&gt;=0,BF172&lt;0),1,0)</f>
        <v>0</v>
      </c>
      <c r="BG173" s="113" t="n">
        <f aca="false">IF(AND(BG171&gt;=0,BG172&lt;0),1,0)</f>
        <v>0</v>
      </c>
      <c r="BH173" s="113" t="n">
        <f aca="false">IF(AND(BH171&gt;=0,BH172&lt;0),1,0)</f>
        <v>0</v>
      </c>
      <c r="BI173" s="113" t="n">
        <f aca="false">IF(AND(BI171&gt;=0,BI172&lt;0),1,0)</f>
        <v>0</v>
      </c>
      <c r="BJ173" s="113" t="n">
        <f aca="false">IF(AND(BJ171&gt;=0,BJ172&lt;0),1,0)</f>
        <v>0</v>
      </c>
    </row>
    <row r="174" customFormat="false" ht="15" hidden="false" customHeight="false" outlineLevel="0" collapsed="false">
      <c r="A174" s="6" t="s">
        <v>446</v>
      </c>
      <c r="C174" s="65" t="n">
        <f aca="false">C159-C124*(1-Inputs!$C$46)+C160</f>
        <v>-1895777.16666667</v>
      </c>
      <c r="D174" s="65" t="n">
        <f aca="false">D159-D124*(1-Inputs!$C$46)+D160</f>
        <v>8789.56731185401</v>
      </c>
      <c r="E174" s="65" t="n">
        <f aca="false">E159-E124*(1-Inputs!$C$46)+E160</f>
        <v>8790.80797442501</v>
      </c>
      <c r="F174" s="65" t="n">
        <f aca="false">F159-F124*(1-Inputs!$C$46)+F160</f>
        <v>8792.05535725161</v>
      </c>
      <c r="G174" s="65" t="n">
        <f aca="false">G159-G124*(1-Inputs!$C$46)+G160</f>
        <v>8793.30949673517</v>
      </c>
      <c r="H174" s="65" t="n">
        <f aca="false">H159-H124*(1-Inputs!$C$46)+H160</f>
        <v>8794.57042947428</v>
      </c>
      <c r="I174" s="65" t="n">
        <f aca="false">I159-I124*(1-Inputs!$C$46)+I160</f>
        <v>8795.83819226572</v>
      </c>
      <c r="J174" s="65" t="n">
        <f aca="false">J159-J124*(1-Inputs!$C$46)+J160</f>
        <v>8797.11282210562</v>
      </c>
      <c r="K174" s="65" t="n">
        <f aca="false">K159-K124*(1-Inputs!$C$46)+K160</f>
        <v>8798.39435619048</v>
      </c>
      <c r="L174" s="65" t="n">
        <f aca="false">L159-L124*(1-Inputs!$C$46)+L160</f>
        <v>8799.6828319183</v>
      </c>
      <c r="M174" s="65" t="n">
        <f aca="false">M159-M124*(1-Inputs!$C$46)+M160</f>
        <v>8800.97828688965</v>
      </c>
      <c r="N174" s="65" t="n">
        <f aca="false">N159-N124*(1-Inputs!$C$46)+N160</f>
        <v>8802.28075890876</v>
      </c>
      <c r="O174" s="65" t="n">
        <f aca="false">O159-O124*(1-Inputs!$C$46)+O160</f>
        <v>9136.22528598464</v>
      </c>
      <c r="P174" s="65" t="n">
        <f aca="false">P159-P124*(1-Inputs!$C$46)+P160</f>
        <v>9109.50690633218</v>
      </c>
      <c r="Q174" s="65" t="n">
        <f aca="false">Q159-Q124*(1-Inputs!$C$46)+Q160</f>
        <v>9110.83065837327</v>
      </c>
      <c r="R174" s="65" t="n">
        <f aca="false">R159-R124*(1-Inputs!$C$46)+R160</f>
        <v>9112.16158073791</v>
      </c>
      <c r="S174" s="65" t="n">
        <f aca="false">S159-S124*(1-Inputs!$C$46)+S160</f>
        <v>9113.49971226537</v>
      </c>
      <c r="T174" s="65" t="n">
        <f aca="false">T159-T124*(1-Inputs!$C$46)+T160</f>
        <v>9114.84509200526</v>
      </c>
      <c r="U174" s="65" t="n">
        <f aca="false">U159-U124*(1-Inputs!$C$46)+U160</f>
        <v>9116.19775921875</v>
      </c>
      <c r="V174" s="65" t="n">
        <f aca="false">V159-V124*(1-Inputs!$C$46)+V160</f>
        <v>9117.55775337964</v>
      </c>
      <c r="W174" s="65" t="n">
        <f aca="false">W159-W124*(1-Inputs!$C$46)+W160</f>
        <v>9118.92511417557</v>
      </c>
      <c r="X174" s="65" t="n">
        <f aca="false">X159-X124*(1-Inputs!$C$46)+X160</f>
        <v>9120.29988150914</v>
      </c>
      <c r="Y174" s="65" t="n">
        <f aca="false">Y159-Y124*(1-Inputs!$C$46)+Y160</f>
        <v>9121.68209549911</v>
      </c>
      <c r="Z174" s="65" t="n">
        <f aca="false">Z159-Z124*(1-Inputs!$C$46)+Z160</f>
        <v>9123.07179648152</v>
      </c>
      <c r="AA174" s="65" t="n">
        <f aca="false">AA159-AA124*(1-Inputs!$C$46)+AA160</f>
        <v>9467.08307501091</v>
      </c>
      <c r="AB174" s="65" t="n">
        <f aca="false">AB159-AB124*(1-Inputs!$C$46)+AB160</f>
        <v>9439.61182186151</v>
      </c>
      <c r="AC174" s="65" t="n">
        <f aca="false">AC159-AC124*(1-Inputs!$C$46)+AC160</f>
        <v>9441.02422802839</v>
      </c>
      <c r="AD174" s="65" t="n">
        <f aca="false">AD159-AD124*(1-Inputs!$C$46)+AD160</f>
        <v>9442.44428472867</v>
      </c>
      <c r="AE174" s="65" t="n">
        <f aca="false">AE159-AE124*(1-Inputs!$C$46)+AE160</f>
        <v>9443.87203340273</v>
      </c>
      <c r="AF174" s="65" t="n">
        <f aca="false">AF159-AF124*(1-Inputs!$C$46)+AF160</f>
        <v>9445.30751571545</v>
      </c>
      <c r="AG174" s="65" t="n">
        <f aca="false">AG159-AG124*(1-Inputs!$C$46)+AG160</f>
        <v>9446.75077355737</v>
      </c>
      <c r="AH174" s="65" t="n">
        <f aca="false">AH159-AH124*(1-Inputs!$C$46)+AH160</f>
        <v>9448.20184904593</v>
      </c>
      <c r="AI174" s="65" t="n">
        <f aca="false">AI159-AI124*(1-Inputs!$C$46)+AI160</f>
        <v>9449.66078452672</v>
      </c>
      <c r="AJ174" s="65" t="n">
        <f aca="false">AJ159-AJ124*(1-Inputs!$C$46)+AJ160</f>
        <v>9451.1276225747</v>
      </c>
      <c r="AK174" s="65" t="n">
        <f aca="false">AK159-AK124*(1-Inputs!$C$46)+AK160</f>
        <v>9452.60240599543</v>
      </c>
      <c r="AL174" s="65" t="n">
        <f aca="false">AL159-AL124*(1-Inputs!$C$46)+AL160</f>
        <v>9454.08517782636</v>
      </c>
      <c r="AM174" s="65" t="n">
        <f aca="false">AM159-AM124*(1-Inputs!$C$46)+AM160</f>
        <v>9808.46845283805</v>
      </c>
      <c r="AN174" s="65" t="n">
        <f aca="false">AN159-AN124*(1-Inputs!$C$46)+AN160</f>
        <v>9780.22500003542</v>
      </c>
      <c r="AO174" s="65" t="n">
        <f aca="false">AO159-AO124*(1-Inputs!$C$46)+AO160</f>
        <v>9781.73199765907</v>
      </c>
      <c r="AP174" s="65" t="n">
        <f aca="false">AP159-AP124*(1-Inputs!$C$46)+AP160</f>
        <v>9783.24715818651</v>
      </c>
      <c r="AQ174" s="65" t="n">
        <f aca="false">AQ159-AQ124*(1-Inputs!$C$46)+AQ160</f>
        <v>9784.77052583348</v>
      </c>
      <c r="AR174" s="65" t="n">
        <f aca="false">AR159-AR124*(1-Inputs!$C$46)+AR160</f>
        <v>9786.3021450552</v>
      </c>
      <c r="AS174" s="65" t="n">
        <f aca="false">AS159-AS124*(1-Inputs!$C$46)+AS160</f>
        <v>9787.8420605477</v>
      </c>
      <c r="AT174" s="65" t="n">
        <f aca="false">AT159-AT124*(1-Inputs!$C$46)+AT160</f>
        <v>9789.39031724913</v>
      </c>
      <c r="AU174" s="65" t="n">
        <f aca="false">AU159-AU124*(1-Inputs!$C$46)+AU160</f>
        <v>9790.94696034101</v>
      </c>
      <c r="AV174" s="65" t="n">
        <f aca="false">AV159-AV124*(1-Inputs!$C$46)+AV160</f>
        <v>9792.51203524965</v>
      </c>
      <c r="AW174" s="65" t="n">
        <f aca="false">AW159-AW124*(1-Inputs!$C$46)+AW160</f>
        <v>9794.08558764738</v>
      </c>
      <c r="AX174" s="65" t="n">
        <f aca="false">AX159-AX124*(1-Inputs!$C$46)+AX160</f>
        <v>9795.66766345393</v>
      </c>
      <c r="AY174" s="65" t="n">
        <f aca="false">AY159-AY124*(1-Inputs!$C$46)+AY160</f>
        <v>10160.7375544828</v>
      </c>
      <c r="AZ174" s="65" t="n">
        <f aca="false">AZ159-AZ124*(1-Inputs!$C$46)+AZ160</f>
        <v>10131.7022144174</v>
      </c>
      <c r="BA174" s="65" t="n">
        <f aca="false">BA159-BA124*(1-Inputs!$C$46)+BA160</f>
        <v>10133.3101384629</v>
      </c>
      <c r="BB174" s="65" t="n">
        <f aca="false">BB159-BB124*(1-Inputs!$C$46)+BB160</f>
        <v>10134.9267720969</v>
      </c>
      <c r="BC174" s="65" t="n">
        <f aca="false">BC159-BC124*(1-Inputs!$C$46)+BC160</f>
        <v>10136.5521624965</v>
      </c>
      <c r="BD174" s="65" t="n">
        <f aca="false">BD159-BD124*(1-Inputs!$C$46)+BD160</f>
        <v>10138.1863570941</v>
      </c>
      <c r="BE174" s="65" t="n">
        <f aca="false">BE159-BE124*(1-Inputs!$C$46)+BE160</f>
        <v>10139.829403579</v>
      </c>
      <c r="BF174" s="65" t="n">
        <f aca="false">BF159-BF124*(1-Inputs!$C$46)+BF160</f>
        <v>10141.4813498991</v>
      </c>
      <c r="BG174" s="65" t="n">
        <f aca="false">BG159-BG124*(1-Inputs!$C$46)+BG160</f>
        <v>10143.1422442618</v>
      </c>
      <c r="BH174" s="65" t="n">
        <f aca="false">BH159-BH124*(1-Inputs!$C$46)+BH160</f>
        <v>10144.8121351356</v>
      </c>
      <c r="BI174" s="65" t="n">
        <f aca="false">BI159-BI124*(1-Inputs!$C$46)+BI160</f>
        <v>10125.6231824202</v>
      </c>
      <c r="BJ174" s="65" t="n">
        <f aca="false">BJ159-BJ124*(1-Inputs!$C$46)+BJ160</f>
        <v>9966.19417262263</v>
      </c>
    </row>
    <row r="176" customFormat="false" ht="15.75" hidden="false" customHeight="true" outlineLevel="0" collapsed="false">
      <c r="A176" s="7" t="s">
        <v>447</v>
      </c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</row>
    <row r="177" customFormat="false" ht="15" hidden="false" customHeight="false" outlineLevel="0" collapsed="false">
      <c r="A177" s="6" t="s">
        <v>97</v>
      </c>
      <c r="C177" s="65" t="n">
        <f aca="false">C161</f>
        <v>760000</v>
      </c>
      <c r="D177" s="65" t="n">
        <f aca="false">C177+D161</f>
        <v>760000</v>
      </c>
      <c r="E177" s="65" t="n">
        <f aca="false">D177+E161</f>
        <v>760000</v>
      </c>
      <c r="F177" s="65" t="n">
        <f aca="false">E177+F161</f>
        <v>760000</v>
      </c>
      <c r="G177" s="65" t="n">
        <f aca="false">F177+G161</f>
        <v>760000</v>
      </c>
      <c r="H177" s="65" t="n">
        <f aca="false">G177+H161</f>
        <v>760000</v>
      </c>
      <c r="I177" s="65" t="n">
        <f aca="false">H177+I161</f>
        <v>760000</v>
      </c>
      <c r="J177" s="65" t="n">
        <f aca="false">I177+J161</f>
        <v>760000</v>
      </c>
      <c r="K177" s="65" t="n">
        <f aca="false">J177+K161</f>
        <v>760000</v>
      </c>
      <c r="L177" s="65" t="n">
        <f aca="false">K177+L161</f>
        <v>760000</v>
      </c>
      <c r="M177" s="65" t="n">
        <f aca="false">L177+M161</f>
        <v>760000</v>
      </c>
      <c r="N177" s="65" t="n">
        <f aca="false">M177+N161</f>
        <v>760000</v>
      </c>
      <c r="O177" s="65" t="n">
        <f aca="false">N177+O161</f>
        <v>760000</v>
      </c>
      <c r="P177" s="65" t="n">
        <f aca="false">O177+P161</f>
        <v>760000</v>
      </c>
      <c r="Q177" s="65" t="n">
        <f aca="false">P177+Q161</f>
        <v>760000</v>
      </c>
      <c r="R177" s="65" t="n">
        <f aca="false">Q177+R161</f>
        <v>760000</v>
      </c>
      <c r="S177" s="65" t="n">
        <f aca="false">R177+S161</f>
        <v>760000</v>
      </c>
      <c r="T177" s="65" t="n">
        <f aca="false">S177+T161</f>
        <v>760000</v>
      </c>
      <c r="U177" s="65" t="n">
        <f aca="false">T177+U161</f>
        <v>760000</v>
      </c>
      <c r="V177" s="65" t="n">
        <f aca="false">U177+V161</f>
        <v>760000</v>
      </c>
      <c r="W177" s="65" t="n">
        <f aca="false">V177+W161</f>
        <v>760000</v>
      </c>
      <c r="X177" s="65" t="n">
        <f aca="false">W177+X161</f>
        <v>760000</v>
      </c>
      <c r="Y177" s="65" t="n">
        <f aca="false">X177+Y161</f>
        <v>760000</v>
      </c>
      <c r="Z177" s="65" t="n">
        <f aca="false">Y177+Z161</f>
        <v>760000</v>
      </c>
      <c r="AA177" s="65" t="n">
        <f aca="false">Z177+AA161</f>
        <v>760000</v>
      </c>
      <c r="AB177" s="65" t="n">
        <f aca="false">AA177+AB161</f>
        <v>760000</v>
      </c>
      <c r="AC177" s="65" t="n">
        <f aca="false">AB177+AC161</f>
        <v>760000</v>
      </c>
      <c r="AD177" s="65" t="n">
        <f aca="false">AC177+AD161</f>
        <v>760000</v>
      </c>
      <c r="AE177" s="65" t="n">
        <f aca="false">AD177+AE161</f>
        <v>760000</v>
      </c>
      <c r="AF177" s="65" t="n">
        <f aca="false">AE177+AF161</f>
        <v>760000</v>
      </c>
      <c r="AG177" s="65" t="n">
        <f aca="false">AF177+AG161</f>
        <v>760000</v>
      </c>
      <c r="AH177" s="65" t="n">
        <f aca="false">AG177+AH161</f>
        <v>760000</v>
      </c>
      <c r="AI177" s="65" t="n">
        <f aca="false">AH177+AI161</f>
        <v>760000</v>
      </c>
      <c r="AJ177" s="65" t="n">
        <f aca="false">AI177+AJ161</f>
        <v>760000</v>
      </c>
      <c r="AK177" s="65" t="n">
        <f aca="false">AJ177+AK161</f>
        <v>760000</v>
      </c>
      <c r="AL177" s="65" t="n">
        <f aca="false">AK177+AL161</f>
        <v>760000</v>
      </c>
      <c r="AM177" s="65" t="n">
        <f aca="false">AL177+AM161</f>
        <v>760000</v>
      </c>
      <c r="AN177" s="65" t="n">
        <f aca="false">AM177+AN161</f>
        <v>760000</v>
      </c>
      <c r="AO177" s="65" t="n">
        <f aca="false">AN177+AO161</f>
        <v>760000</v>
      </c>
      <c r="AP177" s="65" t="n">
        <f aca="false">AO177+AP161</f>
        <v>760000</v>
      </c>
      <c r="AQ177" s="65" t="n">
        <f aca="false">AP177+AQ161</f>
        <v>760000</v>
      </c>
      <c r="AR177" s="65" t="n">
        <f aca="false">AQ177+AR161</f>
        <v>760000</v>
      </c>
      <c r="AS177" s="65" t="n">
        <f aca="false">AR177+AS161</f>
        <v>760000</v>
      </c>
      <c r="AT177" s="65" t="n">
        <f aca="false">AS177+AT161</f>
        <v>760000</v>
      </c>
      <c r="AU177" s="65" t="n">
        <f aca="false">AT177+AU161</f>
        <v>760000</v>
      </c>
      <c r="AV177" s="65" t="n">
        <f aca="false">AU177+AV161</f>
        <v>760000</v>
      </c>
      <c r="AW177" s="65" t="n">
        <f aca="false">AV177+AW161</f>
        <v>760000</v>
      </c>
      <c r="AX177" s="65" t="n">
        <f aca="false">AW177+AX161</f>
        <v>760000</v>
      </c>
      <c r="AY177" s="65" t="n">
        <f aca="false">AX177+AY161</f>
        <v>760000</v>
      </c>
      <c r="AZ177" s="65" t="n">
        <f aca="false">AY177+AZ161</f>
        <v>760000</v>
      </c>
      <c r="BA177" s="65" t="n">
        <f aca="false">AZ177+BA161</f>
        <v>760000</v>
      </c>
      <c r="BB177" s="65" t="n">
        <f aca="false">BA177+BB161</f>
        <v>760000</v>
      </c>
      <c r="BC177" s="65" t="n">
        <f aca="false">BB177+BC161</f>
        <v>760000</v>
      </c>
      <c r="BD177" s="65" t="n">
        <f aca="false">BC177+BD161</f>
        <v>760000</v>
      </c>
      <c r="BE177" s="65" t="n">
        <f aca="false">BD177+BE161</f>
        <v>760000</v>
      </c>
      <c r="BF177" s="65" t="n">
        <f aca="false">BE177+BF161</f>
        <v>760000</v>
      </c>
      <c r="BG177" s="65" t="n">
        <f aca="false">BF177+BG161</f>
        <v>760000</v>
      </c>
      <c r="BH177" s="65" t="n">
        <f aca="false">BG177+BH161</f>
        <v>760000</v>
      </c>
      <c r="BI177" s="65" t="n">
        <f aca="false">BH177+BI161</f>
        <v>760000</v>
      </c>
      <c r="BJ177" s="65" t="n">
        <f aca="false">BI177+BJ161</f>
        <v>760000</v>
      </c>
    </row>
    <row r="178" customFormat="false" ht="15" hidden="false" customHeight="false" outlineLevel="0" collapsed="false">
      <c r="A178" s="6" t="s">
        <v>98</v>
      </c>
      <c r="C178" s="65" t="n">
        <f aca="false">C129</f>
        <v>-795.097736625515</v>
      </c>
      <c r="D178" s="65" t="n">
        <f aca="false">C178+D129</f>
        <v>-1585.21959081864</v>
      </c>
      <c r="E178" s="65" t="n">
        <f aca="false">D178+E129</f>
        <v>-2370.33373376832</v>
      </c>
      <c r="F178" s="65" t="n">
        <f aca="false">E178+F129</f>
        <v>-3150.40816425745</v>
      </c>
      <c r="G178" s="65" t="n">
        <f aca="false">F178+G129</f>
        <v>-3925.41070772899</v>
      </c>
      <c r="H178" s="65" t="n">
        <f aca="false">G178+H129</f>
        <v>-4695.30901534706</v>
      </c>
      <c r="I178" s="65" t="n">
        <f aca="false">H178+I129</f>
        <v>-5460.07056305292</v>
      </c>
      <c r="J178" s="65" t="n">
        <f aca="false">I178+J129</f>
        <v>-6219.66265061582</v>
      </c>
      <c r="K178" s="65" t="n">
        <f aca="false">J178+K129</f>
        <v>-6974.0524006788</v>
      </c>
      <c r="L178" s="65" t="n">
        <f aca="false">K178+L129</f>
        <v>-7723.20675779918</v>
      </c>
      <c r="M178" s="65" t="n">
        <f aca="false">L178+M129</f>
        <v>-8467.09248748398</v>
      </c>
      <c r="N178" s="65" t="n">
        <f aca="false">M178+N129</f>
        <v>-9205.67617522005</v>
      </c>
      <c r="O178" s="65" t="n">
        <f aca="false">N178+O129</f>
        <v>-9625.60123167181</v>
      </c>
      <c r="P178" s="65" t="n">
        <f aca="false">O178+P129</f>
        <v>-10040.1838793552</v>
      </c>
      <c r="Q178" s="65" t="n">
        <f aca="false">P178+Q129</f>
        <v>-10449.3901578246</v>
      </c>
      <c r="R178" s="65" t="n">
        <f aca="false">Q178+R129</f>
        <v>-10853.1859226823</v>
      </c>
      <c r="S178" s="65" t="n">
        <f aca="false">R178+S129</f>
        <v>-11251.5368445815</v>
      </c>
      <c r="T178" s="65" t="n">
        <f aca="false">S178+T129</f>
        <v>-11644.4084082249</v>
      </c>
      <c r="U178" s="65" t="n">
        <f aca="false">T178+U129</f>
        <v>-12031.7659113573</v>
      </c>
      <c r="V178" s="65" t="n">
        <f aca="false">U178+V129</f>
        <v>-12413.5744637529</v>
      </c>
      <c r="W178" s="65" t="n">
        <f aca="false">V178+W129</f>
        <v>-12789.7989861973</v>
      </c>
      <c r="X178" s="65" t="n">
        <f aca="false">W178+X129</f>
        <v>-13160.4042094636</v>
      </c>
      <c r="Y178" s="65" t="n">
        <f aca="false">X178+Y129</f>
        <v>-13525.3546732832</v>
      </c>
      <c r="Z178" s="65" t="n">
        <f aca="false">Y178+Z129</f>
        <v>-13884.6147253113</v>
      </c>
      <c r="AA178" s="65" t="n">
        <f aca="false">Z178+AA129</f>
        <v>-13915.4258364439</v>
      </c>
      <c r="AB178" s="65" t="n">
        <f aca="false">AA178+AB129</f>
        <v>-13940.5024670564</v>
      </c>
      <c r="AC178" s="65" t="n">
        <f aca="false">AB178+AC129</f>
        <v>-13959.8083823092</v>
      </c>
      <c r="AD178" s="65" t="n">
        <f aca="false">AC178+AD129</f>
        <v>-13973.307151091</v>
      </c>
      <c r="AE178" s="65" t="n">
        <f aca="false">AD178+AE129</f>
        <v>-13980.9621449551</v>
      </c>
      <c r="AF178" s="65" t="n">
        <f aca="false">AE178+AF129</f>
        <v>-13982.7365370508</v>
      </c>
      <c r="AG178" s="65" t="n">
        <f aca="false">AF178+AG129</f>
        <v>-13978.5933010487</v>
      </c>
      <c r="AH178" s="65" t="n">
        <f aca="false">AG178+AH129</f>
        <v>-13968.4952100598</v>
      </c>
      <c r="AI178" s="65" t="n">
        <f aca="false">AH178+AI129</f>
        <v>-13952.4048355499</v>
      </c>
      <c r="AJ178" s="65" t="n">
        <f aca="false">AI178+AJ129</f>
        <v>-13930.2845462465</v>
      </c>
      <c r="AK178" s="65" t="n">
        <f aca="false">AJ178+AK129</f>
        <v>-13902.0965070414</v>
      </c>
      <c r="AL178" s="65" t="n">
        <f aca="false">AK178+AL129</f>
        <v>-13867.8026778858</v>
      </c>
      <c r="AM178" s="65" t="n">
        <f aca="false">AL178+AM129</f>
        <v>-13494.9604485299</v>
      </c>
      <c r="AN178" s="65" t="n">
        <f aca="false">AM178+AN129</f>
        <v>-13115.9643807084</v>
      </c>
      <c r="AO178" s="65" t="n">
        <f aca="false">AN178+AO129</f>
        <v>-12730.7758128677</v>
      </c>
      <c r="AP178" s="65" t="n">
        <f aca="false">AO178+AP129</f>
        <v>-12339.3558740371</v>
      </c>
      <c r="AQ178" s="65" t="n">
        <f aca="false">AP178+AQ129</f>
        <v>-11941.6654826953</v>
      </c>
      <c r="AR178" s="65" t="n">
        <f aca="false">AQ178+AR129</f>
        <v>-11537.6653456292</v>
      </c>
      <c r="AS178" s="65" t="n">
        <f aca="false">AR178+AS129</f>
        <v>-11127.3159567872</v>
      </c>
      <c r="AT178" s="65" t="n">
        <f aca="false">AS178+AT129</f>
        <v>-10710.5775961271</v>
      </c>
      <c r="AU178" s="65" t="n">
        <f aca="false">AT178+AU129</f>
        <v>-10287.410328456</v>
      </c>
      <c r="AV178" s="65" t="n">
        <f aca="false">AU178+AV129</f>
        <v>-9857.77400226574</v>
      </c>
      <c r="AW178" s="65" t="n">
        <f aca="false">AV178+AW129</f>
        <v>-9421.62824856056</v>
      </c>
      <c r="AX178" s="65" t="n">
        <f aca="false">AW178+AX129</f>
        <v>-8978.93247967945</v>
      </c>
      <c r="AY178" s="65" t="n">
        <f aca="false">AX178+AY129</f>
        <v>-8187.26939303573</v>
      </c>
      <c r="AZ178" s="65" t="n">
        <f aca="false">AY178+AZ129</f>
        <v>-7389.00396552785</v>
      </c>
      <c r="BA178" s="65" t="n">
        <f aca="false">AZ178+BA129</f>
        <v>-6584.09494636624</v>
      </c>
      <c r="BB178" s="65" t="n">
        <f aca="false">BA178+BB129</f>
        <v>-5772.50086131959</v>
      </c>
      <c r="BC178" s="65" t="n">
        <f aca="false">BB178+BC129</f>
        <v>-4954.18001150447</v>
      </c>
      <c r="BD178" s="65" t="n">
        <f aca="false">BC178+BD129</f>
        <v>-4129.09047216851</v>
      </c>
      <c r="BE178" s="65" t="n">
        <f aca="false">BD178+BE129</f>
        <v>-3297.19009146694</v>
      </c>
      <c r="BF178" s="65" t="n">
        <f aca="false">BE178+BF129</f>
        <v>-2458.43648923248</v>
      </c>
      <c r="BG178" s="65" t="n">
        <f aca="false">BF178+BG129</f>
        <v>-1612.78705573862</v>
      </c>
      <c r="BH178" s="65" t="n">
        <f aca="false">BG178+BH129</f>
        <v>-760.198950456162</v>
      </c>
      <c r="BI178" s="65" t="n">
        <f aca="false">BH178+BI129</f>
        <v>78.5030103655888</v>
      </c>
      <c r="BJ178" s="65" t="n">
        <f aca="false">BI178+BJ129</f>
        <v>763.112981298949</v>
      </c>
    </row>
    <row r="179" customFormat="false" ht="15" hidden="false" customHeight="false" outlineLevel="0" collapsed="false">
      <c r="A179" s="4" t="s">
        <v>93</v>
      </c>
      <c r="C179" s="71" t="n">
        <f aca="false">C165+C151+C152+C140</f>
        <v>1959054.58598146</v>
      </c>
      <c r="D179" s="71" t="n">
        <f aca="false">D165+D151+D152+D140</f>
        <v>1957173.77175716</v>
      </c>
      <c r="E179" s="71" t="n">
        <f aca="false">E165+E151+E152+E140</f>
        <v>1955292.05732709</v>
      </c>
      <c r="F179" s="71" t="n">
        <f aca="false">F165+F151+F152+F140</f>
        <v>1953409.44269127</v>
      </c>
      <c r="G179" s="71" t="n">
        <f aca="false">G165+G151+G152+G140</f>
        <v>1951525.92784968</v>
      </c>
      <c r="H179" s="71" t="n">
        <f aca="false">H165+H151+H152+H140</f>
        <v>1949641.51280233</v>
      </c>
      <c r="I179" s="71" t="n">
        <f aca="false">I165+I151+I152+I140</f>
        <v>1947756.19754923</v>
      </c>
      <c r="J179" s="71" t="n">
        <f aca="false">J165+J151+J152+J140</f>
        <v>1945869.98209036</v>
      </c>
      <c r="K179" s="71" t="n">
        <f aca="false">K165+K151+K152+K140</f>
        <v>1943982.86642572</v>
      </c>
      <c r="L179" s="71" t="n">
        <f aca="false">L165+L151+L152+L140</f>
        <v>1942094.85055533</v>
      </c>
      <c r="M179" s="71" t="n">
        <f aca="false">M165+M151+M152+M140</f>
        <v>1940205.93447918</v>
      </c>
      <c r="N179" s="71" t="n">
        <f aca="false">N165+N151+N152+N140</f>
        <v>1938316.11819726</v>
      </c>
      <c r="O179" s="71" t="n">
        <f aca="false">O165+O151+O152+O140</f>
        <v>1936766.75970341</v>
      </c>
      <c r="P179" s="71" t="n">
        <f aca="false">P165+P151+P152+P140</f>
        <v>1935188.43899763</v>
      </c>
      <c r="Q179" s="71" t="n">
        <f aca="false">Q165+Q151+Q152+Q140</f>
        <v>1933609.19107991</v>
      </c>
      <c r="R179" s="71" t="n">
        <f aca="false">R165+R151+R152+R140</f>
        <v>1932029.01595026</v>
      </c>
      <c r="S179" s="71" t="n">
        <f aca="false">S165+S151+S152+S140</f>
        <v>1930447.91360867</v>
      </c>
      <c r="T179" s="71" t="n">
        <f aca="false">T165+T151+T152+T140</f>
        <v>1928865.88405515</v>
      </c>
      <c r="U179" s="71" t="n">
        <f aca="false">U165+U151+U152+U140</f>
        <v>1927282.9272897</v>
      </c>
      <c r="V179" s="71" t="n">
        <f aca="false">V165+V151+V152+V140</f>
        <v>1925699.04331231</v>
      </c>
      <c r="W179" s="71" t="n">
        <f aca="false">W165+W151+W152+W140</f>
        <v>1924114.23212298</v>
      </c>
      <c r="X179" s="71" t="n">
        <f aca="false">X165+X151+X152+X140</f>
        <v>1922528.49372173</v>
      </c>
      <c r="Y179" s="71" t="n">
        <f aca="false">Y165+Y151+Y152+Y140</f>
        <v>1920941.82810854</v>
      </c>
      <c r="Z179" s="71" t="n">
        <f aca="false">Z165+Z151+Z152+Z140</f>
        <v>1919354.23528341</v>
      </c>
      <c r="AA179" s="71" t="n">
        <f aca="false">AA165+AA151+AA152+AA140</f>
        <v>1918117.31397999</v>
      </c>
      <c r="AB179" s="71" t="n">
        <f aca="false">AB165+AB151+AB152+AB140</f>
        <v>1916850.56159828</v>
      </c>
      <c r="AC179" s="71" t="n">
        <f aca="false">AC165+AC151+AC152+AC140</f>
        <v>1915582.85418828</v>
      </c>
      <c r="AD179" s="71" t="n">
        <f aca="false">AD165+AD151+AD152+AD140</f>
        <v>1914314.19174999</v>
      </c>
      <c r="AE179" s="71" t="n">
        <f aca="false">AE165+AE151+AE152+AE140</f>
        <v>1913044.5742834</v>
      </c>
      <c r="AF179" s="71" t="n">
        <f aca="false">AF165+AF151+AF152+AF140</f>
        <v>1911774.00178852</v>
      </c>
      <c r="AG179" s="71" t="n">
        <f aca="false">AG165+AG151+AG152+AG140</f>
        <v>1910502.47426535</v>
      </c>
      <c r="AH179" s="71" t="n">
        <f aca="false">AH165+AH151+AH152+AH140</f>
        <v>1909229.99171389</v>
      </c>
      <c r="AI179" s="71" t="n">
        <f aca="false">AI165+AI151+AI152+AI140</f>
        <v>1907956.55413413</v>
      </c>
      <c r="AJ179" s="71" t="n">
        <f aca="false">AJ165+AJ151+AJ152+AJ140</f>
        <v>1906682.16152609</v>
      </c>
      <c r="AK179" s="71" t="n">
        <f aca="false">AK165+AK151+AK152+AK140</f>
        <v>1905406.81388975</v>
      </c>
      <c r="AL179" s="71" t="n">
        <f aca="false">AL165+AL151+AL152+AL140</f>
        <v>1904130.51122512</v>
      </c>
      <c r="AM179" s="71" t="n">
        <f aca="false">AM165+AM151+AM152+AM140</f>
        <v>1903215.40022784</v>
      </c>
      <c r="AN179" s="71" t="n">
        <f aca="false">AN165+AN151+AN152+AN140</f>
        <v>1902269.56321993</v>
      </c>
      <c r="AO179" s="71" t="n">
        <f aca="false">AO165+AO151+AO152+AO140</f>
        <v>1901322.74253288</v>
      </c>
      <c r="AP179" s="71" t="n">
        <f aca="false">AP165+AP151+AP152+AP140</f>
        <v>1900374.93816668</v>
      </c>
      <c r="AQ179" s="71" t="n">
        <f aca="false">AQ165+AQ151+AQ152+AQ140</f>
        <v>1899426.15012134</v>
      </c>
      <c r="AR179" s="71" t="n">
        <f aca="false">AR165+AR151+AR152+AR140</f>
        <v>1898476.37839687</v>
      </c>
      <c r="AS179" s="71" t="n">
        <f aca="false">AS165+AS151+AS152+AS140</f>
        <v>1897525.62299325</v>
      </c>
      <c r="AT179" s="71" t="n">
        <f aca="false">AT165+AT151+AT152+AT140</f>
        <v>1896573.88391049</v>
      </c>
      <c r="AU179" s="71" t="n">
        <f aca="false">AU165+AU151+AU152+AU140</f>
        <v>1895621.16114859</v>
      </c>
      <c r="AV179" s="71" t="n">
        <f aca="false">AV165+AV151+AV152+AV140</f>
        <v>1894667.45470755</v>
      </c>
      <c r="AW179" s="71" t="n">
        <f aca="false">AW165+AW151+AW152+AW140</f>
        <v>1893712.76458737</v>
      </c>
      <c r="AX179" s="71" t="n">
        <f aca="false">AX165+AX151+AX152+AX140</f>
        <v>1892757.09078804</v>
      </c>
      <c r="AY179" s="71" t="n">
        <f aca="false">AY165+AY151+AY152+AY140</f>
        <v>1892173.4444061</v>
      </c>
      <c r="AZ179" s="71" t="n">
        <f aca="false">AZ165+AZ151+AZ152+AZ140</f>
        <v>1891558.1502332</v>
      </c>
      <c r="BA179" s="71" t="n">
        <f aca="false">BA165+BA151+BA152+BA140</f>
        <v>1890941.84287078</v>
      </c>
      <c r="BB179" s="71" t="n">
        <f aca="false">BB165+BB151+BB152+BB140</f>
        <v>1890324.52231885</v>
      </c>
      <c r="BC179" s="71" t="n">
        <f aca="false">BC165+BC151+BC152+BC140</f>
        <v>1889706.1885774</v>
      </c>
      <c r="BD179" s="71" t="n">
        <f aca="false">BD165+BD151+BD152+BD140</f>
        <v>1889086.84164643</v>
      </c>
      <c r="BE179" s="71" t="n">
        <f aca="false">BE165+BE151+BE152+BE140</f>
        <v>1888466.48152595</v>
      </c>
      <c r="BF179" s="71" t="n">
        <f aca="false">BF165+BF151+BF152+BF140</f>
        <v>1887845.10821596</v>
      </c>
      <c r="BG179" s="71" t="n">
        <f aca="false">BG165+BG151+BG152+BG140</f>
        <v>1887222.72171645</v>
      </c>
      <c r="BH179" s="71" t="n">
        <f aca="false">BH165+BH151+BH152+BH140</f>
        <v>1886599.32202742</v>
      </c>
      <c r="BI179" s="71" t="n">
        <f aca="false">BI165+BI151+BI152+BI140</f>
        <v>1885954.04126005</v>
      </c>
      <c r="BJ179" s="71" t="n">
        <f aca="false">BJ165+BJ151+BJ152+BJ140</f>
        <v>1885146.63026302</v>
      </c>
    </row>
    <row r="180" customFormat="false" ht="15" hidden="false" customHeight="false" outlineLevel="0" collapsed="false">
      <c r="A180" s="6" t="s">
        <v>96</v>
      </c>
      <c r="C180" s="65" t="n">
        <f aca="false">C153+C148</f>
        <v>1199849.68371808</v>
      </c>
      <c r="D180" s="65" t="n">
        <f aca="false">D153+D148</f>
        <v>1198758.99134798</v>
      </c>
      <c r="E180" s="65" t="n">
        <f aca="false">E153+E148</f>
        <v>1197662.39106086</v>
      </c>
      <c r="F180" s="65" t="n">
        <f aca="false">F153+F148</f>
        <v>1196559.85085553</v>
      </c>
      <c r="G180" s="65" t="n">
        <f aca="false">G153+G148</f>
        <v>1195451.33855741</v>
      </c>
      <c r="H180" s="65" t="n">
        <f aca="false">H153+H148</f>
        <v>1194336.82181768</v>
      </c>
      <c r="I180" s="65" t="n">
        <f aca="false">I153+I148</f>
        <v>1193216.26811228</v>
      </c>
      <c r="J180" s="65" t="n">
        <f aca="false">J153+J148</f>
        <v>1192089.64474097</v>
      </c>
      <c r="K180" s="65" t="n">
        <f aca="false">K153+K148</f>
        <v>1190956.9188264</v>
      </c>
      <c r="L180" s="65" t="n">
        <f aca="false">L153+L148</f>
        <v>1189818.05731313</v>
      </c>
      <c r="M180" s="65" t="n">
        <f aca="false">M153+M148</f>
        <v>1188673.02696666</v>
      </c>
      <c r="N180" s="65" t="n">
        <f aca="false">N153+N148</f>
        <v>1187521.79437248</v>
      </c>
      <c r="O180" s="65" t="n">
        <f aca="false">O153+O148</f>
        <v>1186392.36093508</v>
      </c>
      <c r="P180" s="65" t="n">
        <f aca="false">P153+P148</f>
        <v>1185228.62287698</v>
      </c>
      <c r="Q180" s="65" t="n">
        <f aca="false">Q153+Q148</f>
        <v>1184058.58123773</v>
      </c>
      <c r="R180" s="65" t="n">
        <f aca="false">R153+R148</f>
        <v>1182882.20187294</v>
      </c>
      <c r="S180" s="65" t="n">
        <f aca="false">S153+S148</f>
        <v>1181699.45045325</v>
      </c>
      <c r="T180" s="65" t="n">
        <f aca="false">T153+T148</f>
        <v>1180510.29246337</v>
      </c>
      <c r="U180" s="65" t="n">
        <f aca="false">U153+U148</f>
        <v>1179314.69320105</v>
      </c>
      <c r="V180" s="65" t="n">
        <f aca="false">V153+V148</f>
        <v>1178112.61777606</v>
      </c>
      <c r="W180" s="65" t="n">
        <f aca="false">W153+W148</f>
        <v>1176904.03110918</v>
      </c>
      <c r="X180" s="65" t="n">
        <f aca="false">X153+X148</f>
        <v>1175688.89793119</v>
      </c>
      <c r="Y180" s="65" t="n">
        <f aca="false">Y153+Y148</f>
        <v>1174467.18278182</v>
      </c>
      <c r="Z180" s="65" t="n">
        <f aca="false">Z153+Z148</f>
        <v>1173238.85000872</v>
      </c>
      <c r="AA180" s="65" t="n">
        <f aca="false">AA153+AA148</f>
        <v>1172032.73981644</v>
      </c>
      <c r="AB180" s="65" t="n">
        <f aca="false">AB153+AB148</f>
        <v>1170791.06406534</v>
      </c>
      <c r="AC180" s="65" t="n">
        <f aca="false">AC153+AC148</f>
        <v>1169542.66257059</v>
      </c>
      <c r="AD180" s="65" t="n">
        <f aca="false">AD153+AD148</f>
        <v>1168287.49890108</v>
      </c>
      <c r="AE180" s="65" t="n">
        <f aca="false">AE153+AE148</f>
        <v>1167025.53642835</v>
      </c>
      <c r="AF180" s="65" t="n">
        <f aca="false">AF153+AF148</f>
        <v>1165756.73832557</v>
      </c>
      <c r="AG180" s="65" t="n">
        <f aca="false">AG153+AG148</f>
        <v>1164481.0675664</v>
      </c>
      <c r="AH180" s="65" t="n">
        <f aca="false">AH153+AH148</f>
        <v>1163198.48692395</v>
      </c>
      <c r="AI180" s="65" t="n">
        <f aca="false">AI153+AI148</f>
        <v>1161908.95896968</v>
      </c>
      <c r="AJ180" s="65" t="n">
        <f aca="false">AJ153+AJ148</f>
        <v>1160612.44607233</v>
      </c>
      <c r="AK180" s="65" t="n">
        <f aca="false">AK153+AK148</f>
        <v>1159308.91039679</v>
      </c>
      <c r="AL180" s="65" t="n">
        <f aca="false">AL153+AL148</f>
        <v>1157998.313903</v>
      </c>
      <c r="AM180" s="65" t="n">
        <f aca="false">AM153+AM148</f>
        <v>1156710.36067637</v>
      </c>
      <c r="AN180" s="65" t="n">
        <f aca="false">AN153+AN148</f>
        <v>1155385.52760064</v>
      </c>
      <c r="AO180" s="65" t="n">
        <f aca="false">AO153+AO148</f>
        <v>1154053.51834574</v>
      </c>
      <c r="AP180" s="65" t="n">
        <f aca="false">AP153+AP148</f>
        <v>1152714.29404072</v>
      </c>
      <c r="AQ180" s="65" t="n">
        <f aca="false">AQ153+AQ148</f>
        <v>1151367.81560404</v>
      </c>
      <c r="AR180" s="65" t="n">
        <f aca="false">AR153+AR148</f>
        <v>1150014.04374249</v>
      </c>
      <c r="AS180" s="65" t="n">
        <f aca="false">AS153+AS148</f>
        <v>1148652.93895003</v>
      </c>
      <c r="AT180" s="65" t="n">
        <f aca="false">AT153+AT148</f>
        <v>1147284.46150661</v>
      </c>
      <c r="AU180" s="65" t="n">
        <f aca="false">AU153+AU148</f>
        <v>1145908.57147704</v>
      </c>
      <c r="AV180" s="65" t="n">
        <f aca="false">AV153+AV148</f>
        <v>1144525.22870981</v>
      </c>
      <c r="AW180" s="65" t="n">
        <f aca="false">AW153+AW148</f>
        <v>1143134.39283592</v>
      </c>
      <c r="AX180" s="65" t="n">
        <f aca="false">AX153+AX148</f>
        <v>1141736.02326772</v>
      </c>
      <c r="AY180" s="65" t="n">
        <f aca="false">AY153+AY148</f>
        <v>1140360.71379913</v>
      </c>
      <c r="AZ180" s="65" t="n">
        <f aca="false">AZ153+AZ148</f>
        <v>1138947.15419872</v>
      </c>
      <c r="BA180" s="65" t="n">
        <f aca="false">BA153+BA148</f>
        <v>1137525.93781714</v>
      </c>
      <c r="BB180" s="65" t="n">
        <f aca="false">BB153+BB148</f>
        <v>1136097.02318016</v>
      </c>
      <c r="BC180" s="65" t="n">
        <f aca="false">BC153+BC148</f>
        <v>1134660.3685889</v>
      </c>
      <c r="BD180" s="65" t="n">
        <f aca="false">BD153+BD148</f>
        <v>1133215.9321186</v>
      </c>
      <c r="BE180" s="65" t="n">
        <f aca="false">BE153+BE148</f>
        <v>1131763.67161742</v>
      </c>
      <c r="BF180" s="65" t="n">
        <f aca="false">BF153+BF148</f>
        <v>1130303.54470519</v>
      </c>
      <c r="BG180" s="65" t="n">
        <f aca="false">BG153+BG148</f>
        <v>1128835.50877218</v>
      </c>
      <c r="BH180" s="65" t="n">
        <f aca="false">BH153+BH148</f>
        <v>1127359.52097788</v>
      </c>
      <c r="BI180" s="65" t="n">
        <f aca="false">BI153+BI148</f>
        <v>1125875.53824968</v>
      </c>
      <c r="BJ180" s="65" t="n">
        <f aca="false">BJ153+BJ148</f>
        <v>1124383.51728171</v>
      </c>
    </row>
    <row r="181" customFormat="false" ht="15" hidden="false" customHeight="false" outlineLevel="0" collapsed="false">
      <c r="A181" s="6" t="s">
        <v>99</v>
      </c>
      <c r="C181" s="65" t="n">
        <f aca="false">C177+C178</f>
        <v>759204.902263375</v>
      </c>
      <c r="D181" s="65" t="n">
        <f aca="false">D177+D178</f>
        <v>758414.780409181</v>
      </c>
      <c r="E181" s="65" t="n">
        <f aca="false">E177+E178</f>
        <v>757629.666266232</v>
      </c>
      <c r="F181" s="65" t="n">
        <f aca="false">F177+F178</f>
        <v>756849.591835743</v>
      </c>
      <c r="G181" s="65" t="n">
        <f aca="false">G177+G178</f>
        <v>756074.589292271</v>
      </c>
      <c r="H181" s="65" t="n">
        <f aca="false">H177+H178</f>
        <v>755304.690984653</v>
      </c>
      <c r="I181" s="65" t="n">
        <f aca="false">I177+I178</f>
        <v>754539.929436947</v>
      </c>
      <c r="J181" s="65" t="n">
        <f aca="false">J177+J178</f>
        <v>753780.337349384</v>
      </c>
      <c r="K181" s="65" t="n">
        <f aca="false">K177+K178</f>
        <v>753025.947599321</v>
      </c>
      <c r="L181" s="65" t="n">
        <f aca="false">L177+L178</f>
        <v>752276.793242201</v>
      </c>
      <c r="M181" s="65" t="n">
        <f aca="false">M177+M178</f>
        <v>751532.907512516</v>
      </c>
      <c r="N181" s="65" t="n">
        <f aca="false">N177+N178</f>
        <v>750794.32382478</v>
      </c>
      <c r="O181" s="65" t="n">
        <f aca="false">O177+O178</f>
        <v>750374.398768328</v>
      </c>
      <c r="P181" s="65" t="n">
        <f aca="false">P177+P178</f>
        <v>749959.816120645</v>
      </c>
      <c r="Q181" s="65" t="n">
        <f aca="false">Q177+Q178</f>
        <v>749550.609842175</v>
      </c>
      <c r="R181" s="65" t="n">
        <f aca="false">R177+R178</f>
        <v>749146.814077318</v>
      </c>
      <c r="S181" s="65" t="n">
        <f aca="false">S177+S178</f>
        <v>748748.463155419</v>
      </c>
      <c r="T181" s="65" t="n">
        <f aca="false">T177+T178</f>
        <v>748355.591591775</v>
      </c>
      <c r="U181" s="65" t="n">
        <f aca="false">U177+U178</f>
        <v>747968.234088643</v>
      </c>
      <c r="V181" s="65" t="n">
        <f aca="false">V177+V178</f>
        <v>747586.425536247</v>
      </c>
      <c r="W181" s="65" t="n">
        <f aca="false">W177+W178</f>
        <v>747210.201013803</v>
      </c>
      <c r="X181" s="65" t="n">
        <f aca="false">X177+X178</f>
        <v>746839.595790536</v>
      </c>
      <c r="Y181" s="65" t="n">
        <f aca="false">Y177+Y178</f>
        <v>746474.645326717</v>
      </c>
      <c r="Z181" s="65" t="n">
        <f aca="false">Z177+Z178</f>
        <v>746115.385274689</v>
      </c>
      <c r="AA181" s="65" t="n">
        <f aca="false">AA177+AA178</f>
        <v>746084.574163556</v>
      </c>
      <c r="AB181" s="65" t="n">
        <f aca="false">AB177+AB178</f>
        <v>746059.497532944</v>
      </c>
      <c r="AC181" s="65" t="n">
        <f aca="false">AC177+AC178</f>
        <v>746040.191617691</v>
      </c>
      <c r="AD181" s="65" t="n">
        <f aca="false">AD177+AD178</f>
        <v>746026.692848909</v>
      </c>
      <c r="AE181" s="65" t="n">
        <f aca="false">AE177+AE178</f>
        <v>746019.037855045</v>
      </c>
      <c r="AF181" s="65" t="n">
        <f aca="false">AF177+AF178</f>
        <v>746017.263462949</v>
      </c>
      <c r="AG181" s="65" t="n">
        <f aca="false">AG177+AG178</f>
        <v>746021.406698951</v>
      </c>
      <c r="AH181" s="65" t="n">
        <f aca="false">AH177+AH178</f>
        <v>746031.50478994</v>
      </c>
      <c r="AI181" s="65" t="n">
        <f aca="false">AI177+AI178</f>
        <v>746047.59516445</v>
      </c>
      <c r="AJ181" s="65" t="n">
        <f aca="false">AJ177+AJ178</f>
        <v>746069.715453754</v>
      </c>
      <c r="AK181" s="65" t="n">
        <f aca="false">AK177+AK178</f>
        <v>746097.903492959</v>
      </c>
      <c r="AL181" s="65" t="n">
        <f aca="false">AL177+AL178</f>
        <v>746132.197322114</v>
      </c>
      <c r="AM181" s="65" t="n">
        <f aca="false">AM177+AM178</f>
        <v>746505.03955147</v>
      </c>
      <c r="AN181" s="65" t="n">
        <f aca="false">AN177+AN178</f>
        <v>746884.035619292</v>
      </c>
      <c r="AO181" s="65" t="n">
        <f aca="false">AO177+AO178</f>
        <v>747269.224187132</v>
      </c>
      <c r="AP181" s="65" t="n">
        <f aca="false">AP177+AP178</f>
        <v>747660.644125963</v>
      </c>
      <c r="AQ181" s="65" t="n">
        <f aca="false">AQ177+AQ178</f>
        <v>748058.334517305</v>
      </c>
      <c r="AR181" s="65" t="n">
        <f aca="false">AR177+AR178</f>
        <v>748462.334654371</v>
      </c>
      <c r="AS181" s="65" t="n">
        <f aca="false">AS177+AS178</f>
        <v>748872.684043213</v>
      </c>
      <c r="AT181" s="65" t="n">
        <f aca="false">AT177+AT178</f>
        <v>749289.422403873</v>
      </c>
      <c r="AU181" s="65" t="n">
        <f aca="false">AU177+AU178</f>
        <v>749712.589671544</v>
      </c>
      <c r="AV181" s="65" t="n">
        <f aca="false">AV177+AV178</f>
        <v>750142.225997734</v>
      </c>
      <c r="AW181" s="65" t="n">
        <f aca="false">AW177+AW178</f>
        <v>750578.371751439</v>
      </c>
      <c r="AX181" s="65" t="n">
        <f aca="false">AX177+AX178</f>
        <v>751021.067520321</v>
      </c>
      <c r="AY181" s="65" t="n">
        <f aca="false">AY177+AY178</f>
        <v>751812.730606964</v>
      </c>
      <c r="AZ181" s="65" t="n">
        <f aca="false">AZ177+AZ178</f>
        <v>752610.996034472</v>
      </c>
      <c r="BA181" s="65" t="n">
        <f aca="false">BA177+BA178</f>
        <v>753415.905053634</v>
      </c>
      <c r="BB181" s="65" t="n">
        <f aca="false">BB177+BB178</f>
        <v>754227.49913868</v>
      </c>
      <c r="BC181" s="65" t="n">
        <f aca="false">BC177+BC178</f>
        <v>755045.819988496</v>
      </c>
      <c r="BD181" s="65" t="n">
        <f aca="false">BD177+BD178</f>
        <v>755870.909527832</v>
      </c>
      <c r="BE181" s="65" t="n">
        <f aca="false">BE177+BE178</f>
        <v>756702.809908533</v>
      </c>
      <c r="BF181" s="65" t="n">
        <f aca="false">BF177+BF178</f>
        <v>757541.563510768</v>
      </c>
      <c r="BG181" s="65" t="n">
        <f aca="false">BG177+BG178</f>
        <v>758387.212944261</v>
      </c>
      <c r="BH181" s="65" t="n">
        <f aca="false">BH177+BH178</f>
        <v>759239.801049544</v>
      </c>
      <c r="BI181" s="65" t="n">
        <f aca="false">BI177+BI178</f>
        <v>760078.503010366</v>
      </c>
      <c r="BJ181" s="65" t="n">
        <f aca="false">BJ177+BJ178</f>
        <v>760763.112981299</v>
      </c>
    </row>
    <row r="182" customFormat="false" ht="15" hidden="false" customHeight="false" outlineLevel="0" collapsed="false">
      <c r="A182" s="4" t="s">
        <v>100</v>
      </c>
      <c r="C182" s="71" t="n">
        <f aca="false">C180+C181</f>
        <v>1959054.58598146</v>
      </c>
      <c r="D182" s="71" t="n">
        <f aca="false">D180+D181</f>
        <v>1957173.77175716</v>
      </c>
      <c r="E182" s="71" t="n">
        <f aca="false">E180+E181</f>
        <v>1955292.05732709</v>
      </c>
      <c r="F182" s="71" t="n">
        <f aca="false">F180+F181</f>
        <v>1953409.44269127</v>
      </c>
      <c r="G182" s="71" t="n">
        <f aca="false">G180+G181</f>
        <v>1951525.92784968</v>
      </c>
      <c r="H182" s="71" t="n">
        <f aca="false">H180+H181</f>
        <v>1949641.51280233</v>
      </c>
      <c r="I182" s="71" t="n">
        <f aca="false">I180+I181</f>
        <v>1947756.19754922</v>
      </c>
      <c r="J182" s="71" t="n">
        <f aca="false">J180+J181</f>
        <v>1945869.98209035</v>
      </c>
      <c r="K182" s="71" t="n">
        <f aca="false">K180+K181</f>
        <v>1943982.86642572</v>
      </c>
      <c r="L182" s="71" t="n">
        <f aca="false">L180+L181</f>
        <v>1942094.85055533</v>
      </c>
      <c r="M182" s="71" t="n">
        <f aca="false">M180+M181</f>
        <v>1940205.93447918</v>
      </c>
      <c r="N182" s="71" t="n">
        <f aca="false">N180+N181</f>
        <v>1938316.11819726</v>
      </c>
      <c r="O182" s="71" t="n">
        <f aca="false">O180+O181</f>
        <v>1936766.75970341</v>
      </c>
      <c r="P182" s="71" t="n">
        <f aca="false">P180+P181</f>
        <v>1935188.43899763</v>
      </c>
      <c r="Q182" s="71" t="n">
        <f aca="false">Q180+Q181</f>
        <v>1933609.19107991</v>
      </c>
      <c r="R182" s="71" t="n">
        <f aca="false">R180+R181</f>
        <v>1932029.01595026</v>
      </c>
      <c r="S182" s="71" t="n">
        <f aca="false">S180+S181</f>
        <v>1930447.91360867</v>
      </c>
      <c r="T182" s="71" t="n">
        <f aca="false">T180+T181</f>
        <v>1928865.88405515</v>
      </c>
      <c r="U182" s="71" t="n">
        <f aca="false">U180+U181</f>
        <v>1927282.92728969</v>
      </c>
      <c r="V182" s="71" t="n">
        <f aca="false">V180+V181</f>
        <v>1925699.04331231</v>
      </c>
      <c r="W182" s="71" t="n">
        <f aca="false">W180+W181</f>
        <v>1924114.23212298</v>
      </c>
      <c r="X182" s="71" t="n">
        <f aca="false">X180+X181</f>
        <v>1922528.49372173</v>
      </c>
      <c r="Y182" s="71" t="n">
        <f aca="false">Y180+Y181</f>
        <v>1920941.82810853</v>
      </c>
      <c r="Z182" s="71" t="n">
        <f aca="false">Z180+Z181</f>
        <v>1919354.23528341</v>
      </c>
      <c r="AA182" s="71" t="n">
        <f aca="false">AA180+AA181</f>
        <v>1918117.31397999</v>
      </c>
      <c r="AB182" s="71" t="n">
        <f aca="false">AB180+AB181</f>
        <v>1916850.56159828</v>
      </c>
      <c r="AC182" s="71" t="n">
        <f aca="false">AC180+AC181</f>
        <v>1915582.85418828</v>
      </c>
      <c r="AD182" s="71" t="n">
        <f aca="false">AD180+AD181</f>
        <v>1914314.19174999</v>
      </c>
      <c r="AE182" s="71" t="n">
        <f aca="false">AE180+AE181</f>
        <v>1913044.5742834</v>
      </c>
      <c r="AF182" s="71" t="n">
        <f aca="false">AF180+AF181</f>
        <v>1911774.00178852</v>
      </c>
      <c r="AG182" s="71" t="n">
        <f aca="false">AG180+AG181</f>
        <v>1910502.47426535</v>
      </c>
      <c r="AH182" s="71" t="n">
        <f aca="false">AH180+AH181</f>
        <v>1909229.99171389</v>
      </c>
      <c r="AI182" s="71" t="n">
        <f aca="false">AI180+AI181</f>
        <v>1907956.55413413</v>
      </c>
      <c r="AJ182" s="71" t="n">
        <f aca="false">AJ180+AJ181</f>
        <v>1906682.16152608</v>
      </c>
      <c r="AK182" s="71" t="n">
        <f aca="false">AK180+AK181</f>
        <v>1905406.81388975</v>
      </c>
      <c r="AL182" s="71" t="n">
        <f aca="false">AL180+AL181</f>
        <v>1904130.51122511</v>
      </c>
      <c r="AM182" s="71" t="n">
        <f aca="false">AM180+AM181</f>
        <v>1903215.40022784</v>
      </c>
      <c r="AN182" s="71" t="n">
        <f aca="false">AN180+AN181</f>
        <v>1902269.56321993</v>
      </c>
      <c r="AO182" s="71" t="n">
        <f aca="false">AO180+AO181</f>
        <v>1901322.74253287</v>
      </c>
      <c r="AP182" s="71" t="n">
        <f aca="false">AP180+AP181</f>
        <v>1900374.93816668</v>
      </c>
      <c r="AQ182" s="71" t="n">
        <f aca="false">AQ180+AQ181</f>
        <v>1899426.15012134</v>
      </c>
      <c r="AR182" s="71" t="n">
        <f aca="false">AR180+AR181</f>
        <v>1898476.37839686</v>
      </c>
      <c r="AS182" s="71" t="n">
        <f aca="false">AS180+AS181</f>
        <v>1897525.62299325</v>
      </c>
      <c r="AT182" s="71" t="n">
        <f aca="false">AT180+AT181</f>
        <v>1896573.88391049</v>
      </c>
      <c r="AU182" s="71" t="n">
        <f aca="false">AU180+AU181</f>
        <v>1895621.16114859</v>
      </c>
      <c r="AV182" s="71" t="n">
        <f aca="false">AV180+AV181</f>
        <v>1894667.45470755</v>
      </c>
      <c r="AW182" s="71" t="n">
        <f aca="false">AW180+AW181</f>
        <v>1893712.76458736</v>
      </c>
      <c r="AX182" s="71" t="n">
        <f aca="false">AX180+AX181</f>
        <v>1892757.09078804</v>
      </c>
      <c r="AY182" s="71" t="n">
        <f aca="false">AY180+AY181</f>
        <v>1892173.4444061</v>
      </c>
      <c r="AZ182" s="71" t="n">
        <f aca="false">AZ180+AZ181</f>
        <v>1891558.15023319</v>
      </c>
      <c r="BA182" s="71" t="n">
        <f aca="false">BA180+BA181</f>
        <v>1890941.84287078</v>
      </c>
      <c r="BB182" s="71" t="n">
        <f aca="false">BB180+BB181</f>
        <v>1890324.52231884</v>
      </c>
      <c r="BC182" s="71" t="n">
        <f aca="false">BC180+BC181</f>
        <v>1889706.18857739</v>
      </c>
      <c r="BD182" s="71" t="n">
        <f aca="false">BD180+BD181</f>
        <v>1889086.84164643</v>
      </c>
      <c r="BE182" s="71" t="n">
        <f aca="false">BE180+BE181</f>
        <v>1888466.48152595</v>
      </c>
      <c r="BF182" s="71" t="n">
        <f aca="false">BF180+BF181</f>
        <v>1887845.10821596</v>
      </c>
      <c r="BG182" s="71" t="n">
        <f aca="false">BG180+BG181</f>
        <v>1887222.72171645</v>
      </c>
      <c r="BH182" s="71" t="n">
        <f aca="false">BH180+BH181</f>
        <v>1886599.32202742</v>
      </c>
      <c r="BI182" s="71" t="n">
        <f aca="false">BI180+BI181</f>
        <v>1885954.04126005</v>
      </c>
      <c r="BJ182" s="71" t="n">
        <f aca="false">BJ180+BJ181</f>
        <v>1885146.63026301</v>
      </c>
    </row>
    <row r="183" customFormat="false" ht="15" hidden="false" customHeight="false" outlineLevel="0" collapsed="false">
      <c r="A183" s="6" t="s">
        <v>448</v>
      </c>
      <c r="C183" s="65" t="n">
        <f aca="false">C179-C182</f>
        <v>0</v>
      </c>
      <c r="D183" s="65" t="n">
        <f aca="false">D179-D182</f>
        <v>0</v>
      </c>
      <c r="E183" s="65" t="n">
        <f aca="false">E179-E182</f>
        <v>0</v>
      </c>
      <c r="F183" s="65" t="n">
        <f aca="false">F179-F182</f>
        <v>0</v>
      </c>
      <c r="G183" s="65" t="n">
        <f aca="false">G179-G182</f>
        <v>0</v>
      </c>
      <c r="H183" s="65" t="n">
        <f aca="false">H179-H182</f>
        <v>0</v>
      </c>
      <c r="I183" s="65" t="n">
        <f aca="false">I179-I182</f>
        <v>0</v>
      </c>
      <c r="J183" s="65" t="n">
        <f aca="false">J179-J182</f>
        <v>0</v>
      </c>
      <c r="K183" s="65" t="n">
        <f aca="false">K179-K182</f>
        <v>0</v>
      </c>
      <c r="L183" s="65" t="n">
        <f aca="false">L179-L182</f>
        <v>0</v>
      </c>
      <c r="M183" s="65" t="n">
        <f aca="false">M179-M182</f>
        <v>0</v>
      </c>
      <c r="N183" s="65" t="n">
        <f aca="false">N179-N182</f>
        <v>0</v>
      </c>
      <c r="O183" s="65" t="n">
        <f aca="false">O179-O182</f>
        <v>0</v>
      </c>
      <c r="P183" s="65" t="n">
        <f aca="false">P179-P182</f>
        <v>0</v>
      </c>
      <c r="Q183" s="65" t="n">
        <f aca="false">Q179-Q182</f>
        <v>0</v>
      </c>
      <c r="R183" s="65" t="n">
        <f aca="false">R179-R182</f>
        <v>0</v>
      </c>
      <c r="S183" s="65" t="n">
        <f aca="false">S179-S182</f>
        <v>0</v>
      </c>
      <c r="T183" s="65" t="n">
        <f aca="false">T179-T182</f>
        <v>0</v>
      </c>
      <c r="U183" s="65" t="n">
        <f aca="false">U179-U182</f>
        <v>0</v>
      </c>
      <c r="V183" s="65" t="n">
        <f aca="false">V179-V182</f>
        <v>0</v>
      </c>
      <c r="W183" s="65" t="n">
        <f aca="false">W179-W182</f>
        <v>0</v>
      </c>
      <c r="X183" s="65" t="n">
        <f aca="false">X179-X182</f>
        <v>0</v>
      </c>
      <c r="Y183" s="65" t="n">
        <f aca="false">Y179-Y182</f>
        <v>0</v>
      </c>
      <c r="Z183" s="65" t="n">
        <f aca="false">Z179-Z182</f>
        <v>0</v>
      </c>
      <c r="AA183" s="65" t="n">
        <f aca="false">AA179-AA182</f>
        <v>0</v>
      </c>
      <c r="AB183" s="65" t="n">
        <f aca="false">AB179-AB182</f>
        <v>0</v>
      </c>
      <c r="AC183" s="65" t="n">
        <f aca="false">AC179-AC182</f>
        <v>0</v>
      </c>
      <c r="AD183" s="65" t="n">
        <f aca="false">AD179-AD182</f>
        <v>0</v>
      </c>
      <c r="AE183" s="65" t="n">
        <f aca="false">AE179-AE182</f>
        <v>0</v>
      </c>
      <c r="AF183" s="65" t="n">
        <f aca="false">AF179-AF182</f>
        <v>0</v>
      </c>
      <c r="AG183" s="65" t="n">
        <f aca="false">AG179-AG182</f>
        <v>0</v>
      </c>
      <c r="AH183" s="65" t="n">
        <f aca="false">AH179-AH182</f>
        <v>0</v>
      </c>
      <c r="AI183" s="65" t="n">
        <f aca="false">AI179-AI182</f>
        <v>0</v>
      </c>
      <c r="AJ183" s="65" t="n">
        <f aca="false">AJ179-AJ182</f>
        <v>0</v>
      </c>
      <c r="AK183" s="65" t="n">
        <f aca="false">AK179-AK182</f>
        <v>0</v>
      </c>
      <c r="AL183" s="65" t="n">
        <f aca="false">AL179-AL182</f>
        <v>0</v>
      </c>
      <c r="AM183" s="65" t="n">
        <f aca="false">AM179-AM182</f>
        <v>0</v>
      </c>
      <c r="AN183" s="65" t="n">
        <f aca="false">AN179-AN182</f>
        <v>0</v>
      </c>
      <c r="AO183" s="65" t="n">
        <f aca="false">AO179-AO182</f>
        <v>0</v>
      </c>
      <c r="AP183" s="65" t="n">
        <f aca="false">AP179-AP182</f>
        <v>0</v>
      </c>
      <c r="AQ183" s="65" t="n">
        <f aca="false">AQ179-AQ182</f>
        <v>0</v>
      </c>
      <c r="AR183" s="65" t="n">
        <f aca="false">AR179-AR182</f>
        <v>0</v>
      </c>
      <c r="AS183" s="65" t="n">
        <f aca="false">AS179-AS182</f>
        <v>0</v>
      </c>
      <c r="AT183" s="65" t="n">
        <f aca="false">AT179-AT182</f>
        <v>0</v>
      </c>
      <c r="AU183" s="65" t="n">
        <f aca="false">AU179-AU182</f>
        <v>0</v>
      </c>
      <c r="AV183" s="65" t="n">
        <f aca="false">AV179-AV182</f>
        <v>0</v>
      </c>
      <c r="AW183" s="65" t="n">
        <f aca="false">AW179-AW182</f>
        <v>0</v>
      </c>
      <c r="AX183" s="65" t="n">
        <f aca="false">AX179-AX182</f>
        <v>0</v>
      </c>
      <c r="AY183" s="65" t="n">
        <f aca="false">AY179-AY182</f>
        <v>0</v>
      </c>
      <c r="AZ183" s="65" t="n">
        <f aca="false">AZ179-AZ182</f>
        <v>0</v>
      </c>
      <c r="BA183" s="65" t="n">
        <f aca="false">BA179-BA182</f>
        <v>0</v>
      </c>
      <c r="BB183" s="65" t="n">
        <f aca="false">BB179-BB182</f>
        <v>0</v>
      </c>
      <c r="BC183" s="65" t="n">
        <f aca="false">BC179-BC182</f>
        <v>0</v>
      </c>
      <c r="BD183" s="65" t="n">
        <f aca="false">BD179-BD182</f>
        <v>0</v>
      </c>
      <c r="BE183" s="65" t="n">
        <f aca="false">BE179-BE182</f>
        <v>0</v>
      </c>
      <c r="BF183" s="65" t="n">
        <f aca="false">BF179-BF182</f>
        <v>0</v>
      </c>
      <c r="BG183" s="65" t="n">
        <f aca="false">BG179-BG182</f>
        <v>0</v>
      </c>
      <c r="BH183" s="65" t="n">
        <f aca="false">BH179-BH182</f>
        <v>0</v>
      </c>
      <c r="BI183" s="65" t="n">
        <f aca="false">BI179-BI182</f>
        <v>0</v>
      </c>
      <c r="BJ183" s="65" t="n">
        <f aca="false">BJ179-BJ182</f>
        <v>0</v>
      </c>
    </row>
    <row r="184" customFormat="false" ht="15" hidden="false" customHeight="false" outlineLevel="0" collapsed="false">
      <c r="A184" s="108" t="s">
        <v>450</v>
      </c>
      <c r="C184" s="114" t="n">
        <f aca="false">0</f>
        <v>0</v>
      </c>
      <c r="D184" s="114" t="n">
        <f aca="false">0</f>
        <v>0</v>
      </c>
      <c r="E184" s="114" t="n">
        <f aca="false">0</f>
        <v>0</v>
      </c>
      <c r="F184" s="114" t="n">
        <f aca="false">0</f>
        <v>0</v>
      </c>
      <c r="G184" s="114" t="n">
        <f aca="false">0</f>
        <v>0</v>
      </c>
      <c r="H184" s="114" t="n">
        <f aca="false">0</f>
        <v>0</v>
      </c>
      <c r="I184" s="114" t="n">
        <f aca="false">0</f>
        <v>0</v>
      </c>
      <c r="J184" s="114" t="n">
        <f aca="false">0</f>
        <v>0</v>
      </c>
      <c r="K184" s="114" t="n">
        <f aca="false">0</f>
        <v>0</v>
      </c>
      <c r="L184" s="114" t="n">
        <f aca="false">0</f>
        <v>0</v>
      </c>
      <c r="M184" s="114" t="n">
        <f aca="false">0</f>
        <v>0</v>
      </c>
      <c r="N184" s="114" t="n">
        <f aca="false">0</f>
        <v>0</v>
      </c>
      <c r="O184" s="114" t="n">
        <f aca="false">0</f>
        <v>0</v>
      </c>
      <c r="P184" s="114" t="n">
        <f aca="false">0</f>
        <v>0</v>
      </c>
      <c r="Q184" s="114" t="n">
        <f aca="false">0</f>
        <v>0</v>
      </c>
      <c r="R184" s="114" t="n">
        <f aca="false">0</f>
        <v>0</v>
      </c>
      <c r="S184" s="114" t="n">
        <f aca="false">0</f>
        <v>0</v>
      </c>
      <c r="T184" s="114" t="n">
        <f aca="false">0</f>
        <v>0</v>
      </c>
      <c r="U184" s="114" t="n">
        <f aca="false">0</f>
        <v>0</v>
      </c>
      <c r="V184" s="114" t="n">
        <f aca="false">0</f>
        <v>0</v>
      </c>
      <c r="W184" s="114" t="n">
        <f aca="false">0</f>
        <v>0</v>
      </c>
      <c r="X184" s="114" t="n">
        <f aca="false">0</f>
        <v>0</v>
      </c>
      <c r="Y184" s="114" t="n">
        <f aca="false">0</f>
        <v>0</v>
      </c>
      <c r="Z184" s="114" t="n">
        <f aca="false">0</f>
        <v>0</v>
      </c>
      <c r="AA184" s="114" t="n">
        <f aca="false">0</f>
        <v>0</v>
      </c>
      <c r="AB184" s="114" t="n">
        <f aca="false">0</f>
        <v>0</v>
      </c>
      <c r="AC184" s="114" t="n">
        <f aca="false">0</f>
        <v>0</v>
      </c>
      <c r="AD184" s="114" t="n">
        <f aca="false">0</f>
        <v>0</v>
      </c>
      <c r="AE184" s="114" t="n">
        <f aca="false">0</f>
        <v>0</v>
      </c>
      <c r="AF184" s="114" t="n">
        <f aca="false">0</f>
        <v>0</v>
      </c>
      <c r="AG184" s="114" t="n">
        <f aca="false">0</f>
        <v>0</v>
      </c>
      <c r="AH184" s="114" t="n">
        <f aca="false">0</f>
        <v>0</v>
      </c>
      <c r="AI184" s="114" t="n">
        <f aca="false">0</f>
        <v>0</v>
      </c>
      <c r="AJ184" s="114" t="n">
        <f aca="false">0</f>
        <v>0</v>
      </c>
      <c r="AK184" s="114" t="n">
        <f aca="false">0</f>
        <v>0</v>
      </c>
      <c r="AL184" s="114" t="n">
        <f aca="false">0</f>
        <v>0</v>
      </c>
      <c r="AM184" s="114" t="n">
        <f aca="false">0</f>
        <v>0</v>
      </c>
      <c r="AN184" s="114" t="n">
        <f aca="false">0</f>
        <v>0</v>
      </c>
      <c r="AO184" s="114" t="n">
        <f aca="false">0</f>
        <v>0</v>
      </c>
      <c r="AP184" s="114" t="n">
        <f aca="false">0</f>
        <v>0</v>
      </c>
      <c r="AQ184" s="114" t="n">
        <f aca="false">0</f>
        <v>0</v>
      </c>
      <c r="AR184" s="114" t="n">
        <f aca="false">0</f>
        <v>0</v>
      </c>
      <c r="AS184" s="114" t="n">
        <f aca="false">0</f>
        <v>0</v>
      </c>
      <c r="AT184" s="114" t="n">
        <f aca="false">0</f>
        <v>0</v>
      </c>
      <c r="AU184" s="114" t="n">
        <f aca="false">0</f>
        <v>0</v>
      </c>
      <c r="AV184" s="114" t="n">
        <f aca="false">0</f>
        <v>0</v>
      </c>
      <c r="AW184" s="114" t="n">
        <f aca="false">0</f>
        <v>0</v>
      </c>
      <c r="AX184" s="114" t="n">
        <f aca="false">0</f>
        <v>0</v>
      </c>
      <c r="AY184" s="114" t="n">
        <f aca="false">0</f>
        <v>0</v>
      </c>
      <c r="AZ184" s="114" t="n">
        <f aca="false">0</f>
        <v>0</v>
      </c>
      <c r="BA184" s="114" t="n">
        <f aca="false">0</f>
        <v>0</v>
      </c>
      <c r="BB184" s="114" t="n">
        <f aca="false">0</f>
        <v>0</v>
      </c>
      <c r="BC184" s="114" t="n">
        <f aca="false">0</f>
        <v>0</v>
      </c>
      <c r="BD184" s="114" t="n">
        <f aca="false">0</f>
        <v>0</v>
      </c>
      <c r="BE184" s="114" t="n">
        <f aca="false">0</f>
        <v>0</v>
      </c>
      <c r="BF184" s="114" t="n">
        <f aca="false">0</f>
        <v>0</v>
      </c>
      <c r="BG184" s="114" t="n">
        <f aca="false">0</f>
        <v>0</v>
      </c>
      <c r="BH184" s="114" t="n">
        <f aca="false">0</f>
        <v>0</v>
      </c>
      <c r="BI184" s="114" t="n">
        <f aca="false">0</f>
        <v>0</v>
      </c>
      <c r="BJ184" s="114" t="n">
        <f aca="false">0</f>
        <v>0</v>
      </c>
    </row>
    <row r="185" customFormat="false" ht="15" hidden="false" customHeight="false" outlineLevel="0" collapsed="false">
      <c r="A185" s="108" t="s">
        <v>451</v>
      </c>
      <c r="C185" s="66" t="n">
        <f aca="false">0</f>
        <v>0</v>
      </c>
      <c r="D185" s="66" t="n">
        <f aca="false">0</f>
        <v>0</v>
      </c>
      <c r="E185" s="66" t="n">
        <f aca="false">0</f>
        <v>0</v>
      </c>
      <c r="F185" s="66" t="n">
        <f aca="false">0</f>
        <v>0</v>
      </c>
      <c r="G185" s="66" t="n">
        <f aca="false">0</f>
        <v>0</v>
      </c>
      <c r="H185" s="66" t="n">
        <f aca="false">0</f>
        <v>0</v>
      </c>
      <c r="I185" s="66" t="n">
        <f aca="false">0</f>
        <v>0</v>
      </c>
      <c r="J185" s="66" t="n">
        <f aca="false">0</f>
        <v>0</v>
      </c>
      <c r="K185" s="66" t="n">
        <f aca="false">0</f>
        <v>0</v>
      </c>
      <c r="L185" s="66" t="n">
        <f aca="false">0</f>
        <v>0</v>
      </c>
      <c r="M185" s="66" t="n">
        <f aca="false">0</f>
        <v>0</v>
      </c>
      <c r="N185" s="66" t="n">
        <f aca="false">0</f>
        <v>0</v>
      </c>
      <c r="O185" s="66" t="n">
        <f aca="false">0</f>
        <v>0</v>
      </c>
      <c r="P185" s="66" t="n">
        <f aca="false">0</f>
        <v>0</v>
      </c>
      <c r="Q185" s="66" t="n">
        <f aca="false">0</f>
        <v>0</v>
      </c>
      <c r="R185" s="66" t="n">
        <f aca="false">0</f>
        <v>0</v>
      </c>
      <c r="S185" s="66" t="n">
        <f aca="false">0</f>
        <v>0</v>
      </c>
      <c r="T185" s="66" t="n">
        <f aca="false">0</f>
        <v>0</v>
      </c>
      <c r="U185" s="66" t="n">
        <f aca="false">0</f>
        <v>0</v>
      </c>
      <c r="V185" s="66" t="n">
        <f aca="false">0</f>
        <v>0</v>
      </c>
      <c r="W185" s="66" t="n">
        <f aca="false">0</f>
        <v>0</v>
      </c>
      <c r="X185" s="66" t="n">
        <f aca="false">0</f>
        <v>0</v>
      </c>
      <c r="Y185" s="66" t="n">
        <f aca="false">0</f>
        <v>0</v>
      </c>
      <c r="Z185" s="66" t="n">
        <f aca="false">0</f>
        <v>0</v>
      </c>
      <c r="AA185" s="66" t="n">
        <f aca="false">0</f>
        <v>0</v>
      </c>
      <c r="AB185" s="66" t="n">
        <f aca="false">0</f>
        <v>0</v>
      </c>
      <c r="AC185" s="66" t="n">
        <f aca="false">0</f>
        <v>0</v>
      </c>
      <c r="AD185" s="66" t="n">
        <f aca="false">0</f>
        <v>0</v>
      </c>
      <c r="AE185" s="66" t="n">
        <f aca="false">0</f>
        <v>0</v>
      </c>
      <c r="AF185" s="66" t="n">
        <f aca="false">0</f>
        <v>0</v>
      </c>
      <c r="AG185" s="66" t="n">
        <f aca="false">0</f>
        <v>0</v>
      </c>
      <c r="AH185" s="66" t="n">
        <f aca="false">0</f>
        <v>0</v>
      </c>
      <c r="AI185" s="66" t="n">
        <f aca="false">0</f>
        <v>0</v>
      </c>
      <c r="AJ185" s="66" t="n">
        <f aca="false">0</f>
        <v>0</v>
      </c>
      <c r="AK185" s="66" t="n">
        <f aca="false">0</f>
        <v>0</v>
      </c>
      <c r="AL185" s="66" t="n">
        <f aca="false">0</f>
        <v>0</v>
      </c>
      <c r="AM185" s="66" t="n">
        <f aca="false">0</f>
        <v>0</v>
      </c>
      <c r="AN185" s="66" t="n">
        <f aca="false">0</f>
        <v>0</v>
      </c>
      <c r="AO185" s="66" t="n">
        <f aca="false">0</f>
        <v>0</v>
      </c>
      <c r="AP185" s="66" t="n">
        <f aca="false">0</f>
        <v>0</v>
      </c>
      <c r="AQ185" s="66" t="n">
        <f aca="false">0</f>
        <v>0</v>
      </c>
      <c r="AR185" s="66" t="n">
        <f aca="false">0</f>
        <v>0</v>
      </c>
      <c r="AS185" s="66" t="n">
        <f aca="false">0</f>
        <v>0</v>
      </c>
      <c r="AT185" s="66" t="n">
        <f aca="false">0</f>
        <v>0</v>
      </c>
      <c r="AU185" s="66" t="n">
        <f aca="false">0</f>
        <v>0</v>
      </c>
      <c r="AV185" s="66" t="n">
        <f aca="false">0</f>
        <v>0</v>
      </c>
      <c r="AW185" s="66" t="n">
        <f aca="false">0</f>
        <v>0</v>
      </c>
      <c r="AX185" s="66" t="n">
        <f aca="false">0</f>
        <v>0</v>
      </c>
      <c r="AY185" s="66" t="n">
        <f aca="false">0</f>
        <v>0</v>
      </c>
      <c r="AZ185" s="66" t="n">
        <f aca="false">0</f>
        <v>0</v>
      </c>
      <c r="BA185" s="66" t="n">
        <f aca="false">0</f>
        <v>0</v>
      </c>
      <c r="BB185" s="66" t="n">
        <f aca="false">0</f>
        <v>0</v>
      </c>
      <c r="BC185" s="66" t="n">
        <f aca="false">0</f>
        <v>0</v>
      </c>
      <c r="BD185" s="66" t="n">
        <f aca="false">0</f>
        <v>0</v>
      </c>
      <c r="BE185" s="66" t="n">
        <f aca="false">0</f>
        <v>0</v>
      </c>
      <c r="BF185" s="66" t="n">
        <f aca="false">0</f>
        <v>0</v>
      </c>
      <c r="BG185" s="66" t="n">
        <f aca="false">0</f>
        <v>0</v>
      </c>
      <c r="BH185" s="66" t="n">
        <f aca="false">0</f>
        <v>0</v>
      </c>
      <c r="BI185" s="66" t="n">
        <f aca="false">0</f>
        <v>0</v>
      </c>
      <c r="BJ185" s="66" t="n">
        <f aca="false">0</f>
        <v>0</v>
      </c>
    </row>
    <row r="188" customFormat="false" ht="15.75" hidden="false" customHeight="true" outlineLevel="0" collapsed="false">
      <c r="A188" s="7" t="s">
        <v>456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33" t="s">
        <v>353</v>
      </c>
      <c r="C189" s="50" t="s">
        <v>354</v>
      </c>
      <c r="D189" s="50" t="s">
        <v>355</v>
      </c>
      <c r="E189" s="50" t="s">
        <v>356</v>
      </c>
      <c r="F189" s="50" t="s">
        <v>357</v>
      </c>
      <c r="G189" s="50" t="s">
        <v>358</v>
      </c>
      <c r="H189" s="50" t="s">
        <v>359</v>
      </c>
      <c r="I189" s="50" t="s">
        <v>360</v>
      </c>
      <c r="J189" s="50" t="s">
        <v>361</v>
      </c>
      <c r="K189" s="50" t="s">
        <v>362</v>
      </c>
      <c r="L189" s="50" t="s">
        <v>363</v>
      </c>
      <c r="M189" s="50" t="s">
        <v>364</v>
      </c>
      <c r="N189" s="50" t="s">
        <v>365</v>
      </c>
      <c r="O189" s="50" t="s">
        <v>366</v>
      </c>
      <c r="P189" s="50" t="s">
        <v>367</v>
      </c>
      <c r="Q189" s="50" t="s">
        <v>368</v>
      </c>
      <c r="R189" s="50" t="s">
        <v>369</v>
      </c>
      <c r="S189" s="50" t="s">
        <v>370</v>
      </c>
      <c r="T189" s="50" t="s">
        <v>371</v>
      </c>
      <c r="U189" s="50" t="s">
        <v>372</v>
      </c>
      <c r="V189" s="50" t="s">
        <v>373</v>
      </c>
      <c r="W189" s="50" t="s">
        <v>374</v>
      </c>
      <c r="X189" s="50" t="s">
        <v>375</v>
      </c>
      <c r="Y189" s="50" t="s">
        <v>376</v>
      </c>
      <c r="Z189" s="50" t="s">
        <v>377</v>
      </c>
      <c r="AA189" s="50" t="s">
        <v>378</v>
      </c>
      <c r="AB189" s="50" t="s">
        <v>379</v>
      </c>
      <c r="AC189" s="50" t="s">
        <v>380</v>
      </c>
      <c r="AD189" s="50" t="s">
        <v>381</v>
      </c>
      <c r="AE189" s="50" t="s">
        <v>382</v>
      </c>
      <c r="AF189" s="50" t="s">
        <v>383</v>
      </c>
      <c r="AG189" s="50" t="s">
        <v>384</v>
      </c>
      <c r="AH189" s="50" t="s">
        <v>385</v>
      </c>
      <c r="AI189" s="50" t="s">
        <v>386</v>
      </c>
      <c r="AJ189" s="50" t="s">
        <v>387</v>
      </c>
      <c r="AK189" s="50" t="s">
        <v>388</v>
      </c>
      <c r="AL189" s="50" t="s">
        <v>389</v>
      </c>
      <c r="AM189" s="50" t="s">
        <v>390</v>
      </c>
      <c r="AN189" s="50" t="s">
        <v>391</v>
      </c>
      <c r="AO189" s="50" t="s">
        <v>392</v>
      </c>
      <c r="AP189" s="50" t="s">
        <v>393</v>
      </c>
      <c r="AQ189" s="50" t="s">
        <v>394</v>
      </c>
      <c r="AR189" s="50" t="s">
        <v>395</v>
      </c>
      <c r="AS189" s="50" t="s">
        <v>396</v>
      </c>
      <c r="AT189" s="50" t="s">
        <v>397</v>
      </c>
      <c r="AU189" s="50" t="s">
        <v>398</v>
      </c>
      <c r="AV189" s="50" t="s">
        <v>399</v>
      </c>
      <c r="AW189" s="50" t="s">
        <v>400</v>
      </c>
      <c r="AX189" s="50" t="s">
        <v>401</v>
      </c>
      <c r="AY189" s="50" t="s">
        <v>402</v>
      </c>
      <c r="AZ189" s="50" t="s">
        <v>403</v>
      </c>
      <c r="BA189" s="50" t="s">
        <v>404</v>
      </c>
      <c r="BB189" s="50" t="s">
        <v>405</v>
      </c>
      <c r="BC189" s="50" t="s">
        <v>406</v>
      </c>
      <c r="BD189" s="50" t="s">
        <v>407</v>
      </c>
      <c r="BE189" s="50" t="s">
        <v>408</v>
      </c>
      <c r="BF189" s="50" t="s">
        <v>409</v>
      </c>
      <c r="BG189" s="50" t="s">
        <v>410</v>
      </c>
      <c r="BH189" s="50" t="s">
        <v>411</v>
      </c>
      <c r="BI189" s="50" t="s">
        <v>412</v>
      </c>
      <c r="BJ189" s="50" t="s">
        <v>413</v>
      </c>
    </row>
    <row r="190" customFormat="false" ht="15" hidden="false" customHeight="false" outlineLevel="0" collapsed="false">
      <c r="A190" s="70" t="s">
        <v>414</v>
      </c>
      <c r="C190" s="70" t="n">
        <v>1</v>
      </c>
      <c r="D190" s="70" t="n">
        <v>2</v>
      </c>
      <c r="E190" s="70" t="n">
        <v>3</v>
      </c>
      <c r="F190" s="70" t="n">
        <v>4</v>
      </c>
      <c r="G190" s="70" t="n">
        <v>5</v>
      </c>
      <c r="H190" s="70" t="n">
        <v>6</v>
      </c>
      <c r="I190" s="70" t="n">
        <v>7</v>
      </c>
      <c r="J190" s="70" t="n">
        <v>8</v>
      </c>
      <c r="K190" s="70" t="n">
        <v>9</v>
      </c>
      <c r="L190" s="70" t="n">
        <v>10</v>
      </c>
      <c r="M190" s="70" t="n">
        <v>11</v>
      </c>
      <c r="N190" s="70" t="n">
        <v>12</v>
      </c>
      <c r="O190" s="70" t="n">
        <v>13</v>
      </c>
      <c r="P190" s="70" t="n">
        <v>14</v>
      </c>
      <c r="Q190" s="70" t="n">
        <v>15</v>
      </c>
      <c r="R190" s="70" t="n">
        <v>16</v>
      </c>
      <c r="S190" s="70" t="n">
        <v>17</v>
      </c>
      <c r="T190" s="70" t="n">
        <v>18</v>
      </c>
      <c r="U190" s="70" t="n">
        <v>19</v>
      </c>
      <c r="V190" s="70" t="n">
        <v>20</v>
      </c>
      <c r="W190" s="70" t="n">
        <v>21</v>
      </c>
      <c r="X190" s="70" t="n">
        <v>22</v>
      </c>
      <c r="Y190" s="70" t="n">
        <v>23</v>
      </c>
      <c r="Z190" s="70" t="n">
        <v>24</v>
      </c>
      <c r="AA190" s="70" t="n">
        <v>25</v>
      </c>
      <c r="AB190" s="70" t="n">
        <v>26</v>
      </c>
      <c r="AC190" s="70" t="n">
        <v>27</v>
      </c>
      <c r="AD190" s="70" t="n">
        <v>28</v>
      </c>
      <c r="AE190" s="70" t="n">
        <v>29</v>
      </c>
      <c r="AF190" s="70" t="n">
        <v>30</v>
      </c>
      <c r="AG190" s="70" t="n">
        <v>31</v>
      </c>
      <c r="AH190" s="70" t="n">
        <v>32</v>
      </c>
      <c r="AI190" s="70" t="n">
        <v>33</v>
      </c>
      <c r="AJ190" s="70" t="n">
        <v>34</v>
      </c>
      <c r="AK190" s="70" t="n">
        <v>35</v>
      </c>
      <c r="AL190" s="70" t="n">
        <v>36</v>
      </c>
      <c r="AM190" s="70" t="n">
        <v>37</v>
      </c>
      <c r="AN190" s="70" t="n">
        <v>38</v>
      </c>
      <c r="AO190" s="70" t="n">
        <v>39</v>
      </c>
      <c r="AP190" s="70" t="n">
        <v>40</v>
      </c>
      <c r="AQ190" s="70" t="n">
        <v>41</v>
      </c>
      <c r="AR190" s="70" t="n">
        <v>42</v>
      </c>
      <c r="AS190" s="70" t="n">
        <v>43</v>
      </c>
      <c r="AT190" s="70" t="n">
        <v>44</v>
      </c>
      <c r="AU190" s="70" t="n">
        <v>45</v>
      </c>
      <c r="AV190" s="70" t="n">
        <v>46</v>
      </c>
      <c r="AW190" s="70" t="n">
        <v>47</v>
      </c>
      <c r="AX190" s="70" t="n">
        <v>48</v>
      </c>
      <c r="AY190" s="70" t="n">
        <v>49</v>
      </c>
      <c r="AZ190" s="70" t="n">
        <v>50</v>
      </c>
      <c r="BA190" s="70" t="n">
        <v>51</v>
      </c>
      <c r="BB190" s="70" t="n">
        <v>52</v>
      </c>
      <c r="BC190" s="70" t="n">
        <v>53</v>
      </c>
      <c r="BD190" s="70" t="n">
        <v>54</v>
      </c>
      <c r="BE190" s="70" t="n">
        <v>55</v>
      </c>
      <c r="BF190" s="70" t="n">
        <v>56</v>
      </c>
      <c r="BG190" s="70" t="n">
        <v>57</v>
      </c>
      <c r="BH190" s="70" t="n">
        <v>58</v>
      </c>
      <c r="BI190" s="70" t="n">
        <v>59</v>
      </c>
      <c r="BJ190" s="70" t="n">
        <v>60</v>
      </c>
    </row>
    <row r="191" customFormat="false" ht="15" hidden="false" customHeight="false" outlineLevel="0" collapsed="false">
      <c r="A191" s="70" t="s">
        <v>155</v>
      </c>
      <c r="C191" s="70" t="n">
        <f aca="false">ROUNDUP(C190*1/12,0)</f>
        <v>1</v>
      </c>
      <c r="D191" s="70" t="n">
        <f aca="false">ROUNDUP(D190*1/12,0)</f>
        <v>1</v>
      </c>
      <c r="E191" s="70" t="n">
        <f aca="false">ROUNDUP(E190*1/12,0)</f>
        <v>1</v>
      </c>
      <c r="F191" s="70" t="n">
        <f aca="false">ROUNDUP(F190*1/12,0)</f>
        <v>1</v>
      </c>
      <c r="G191" s="70" t="n">
        <f aca="false">ROUNDUP(G190*1/12,0)</f>
        <v>1</v>
      </c>
      <c r="H191" s="70" t="n">
        <f aca="false">ROUNDUP(H190*1/12,0)</f>
        <v>1</v>
      </c>
      <c r="I191" s="70" t="n">
        <f aca="false">ROUNDUP(I190*1/12,0)</f>
        <v>1</v>
      </c>
      <c r="J191" s="70" t="n">
        <f aca="false">ROUNDUP(J190*1/12,0)</f>
        <v>1</v>
      </c>
      <c r="K191" s="70" t="n">
        <f aca="false">ROUNDUP(K190*1/12,0)</f>
        <v>1</v>
      </c>
      <c r="L191" s="70" t="n">
        <f aca="false">ROUNDUP(L190*1/12,0)</f>
        <v>1</v>
      </c>
      <c r="M191" s="70" t="n">
        <f aca="false">ROUNDUP(M190*1/12,0)</f>
        <v>1</v>
      </c>
      <c r="N191" s="70" t="n">
        <f aca="false">ROUNDUP(N190*1/12,0)</f>
        <v>1</v>
      </c>
      <c r="O191" s="70" t="n">
        <f aca="false">ROUNDUP(O190*1/12,0)</f>
        <v>2</v>
      </c>
      <c r="P191" s="70" t="n">
        <f aca="false">ROUNDUP(P190*1/12,0)</f>
        <v>2</v>
      </c>
      <c r="Q191" s="70" t="n">
        <f aca="false">ROUNDUP(Q190*1/12,0)</f>
        <v>2</v>
      </c>
      <c r="R191" s="70" t="n">
        <f aca="false">ROUNDUP(R190*1/12,0)</f>
        <v>2</v>
      </c>
      <c r="S191" s="70" t="n">
        <f aca="false">ROUNDUP(S190*1/12,0)</f>
        <v>2</v>
      </c>
      <c r="T191" s="70" t="n">
        <f aca="false">ROUNDUP(T190*1/12,0)</f>
        <v>2</v>
      </c>
      <c r="U191" s="70" t="n">
        <f aca="false">ROUNDUP(U190*1/12,0)</f>
        <v>2</v>
      </c>
      <c r="V191" s="70" t="n">
        <f aca="false">ROUNDUP(V190*1/12,0)</f>
        <v>2</v>
      </c>
      <c r="W191" s="70" t="n">
        <f aca="false">ROUNDUP(W190*1/12,0)</f>
        <v>2</v>
      </c>
      <c r="X191" s="70" t="n">
        <f aca="false">ROUNDUP(X190*1/12,0)</f>
        <v>2</v>
      </c>
      <c r="Y191" s="70" t="n">
        <f aca="false">ROUNDUP(Y190*1/12,0)</f>
        <v>2</v>
      </c>
      <c r="Z191" s="70" t="n">
        <f aca="false">ROUNDUP(Z190*1/12,0)</f>
        <v>2</v>
      </c>
      <c r="AA191" s="70" t="n">
        <f aca="false">ROUNDUP(AA190*1/12,0)</f>
        <v>3</v>
      </c>
      <c r="AB191" s="70" t="n">
        <f aca="false">ROUNDUP(AB190*1/12,0)</f>
        <v>3</v>
      </c>
      <c r="AC191" s="70" t="n">
        <f aca="false">ROUNDUP(AC190*1/12,0)</f>
        <v>3</v>
      </c>
      <c r="AD191" s="70" t="n">
        <f aca="false">ROUNDUP(AD190*1/12,0)</f>
        <v>3</v>
      </c>
      <c r="AE191" s="70" t="n">
        <f aca="false">ROUNDUP(AE190*1/12,0)</f>
        <v>3</v>
      </c>
      <c r="AF191" s="70" t="n">
        <f aca="false">ROUNDUP(AF190*1/12,0)</f>
        <v>3</v>
      </c>
      <c r="AG191" s="70" t="n">
        <f aca="false">ROUNDUP(AG190*1/12,0)</f>
        <v>3</v>
      </c>
      <c r="AH191" s="70" t="n">
        <f aca="false">ROUNDUP(AH190*1/12,0)</f>
        <v>3</v>
      </c>
      <c r="AI191" s="70" t="n">
        <f aca="false">ROUNDUP(AI190*1/12,0)</f>
        <v>3</v>
      </c>
      <c r="AJ191" s="70" t="n">
        <f aca="false">ROUNDUP(AJ190*1/12,0)</f>
        <v>3</v>
      </c>
      <c r="AK191" s="70" t="n">
        <f aca="false">ROUNDUP(AK190*1/12,0)</f>
        <v>3</v>
      </c>
      <c r="AL191" s="70" t="n">
        <f aca="false">ROUNDUP(AL190*1/12,0)</f>
        <v>3</v>
      </c>
      <c r="AM191" s="70" t="n">
        <f aca="false">ROUNDUP(AM190*1/12,0)</f>
        <v>4</v>
      </c>
      <c r="AN191" s="70" t="n">
        <f aca="false">ROUNDUP(AN190*1/12,0)</f>
        <v>4</v>
      </c>
      <c r="AO191" s="70" t="n">
        <f aca="false">ROUNDUP(AO190*1/12,0)</f>
        <v>4</v>
      </c>
      <c r="AP191" s="70" t="n">
        <f aca="false">ROUNDUP(AP190*1/12,0)</f>
        <v>4</v>
      </c>
      <c r="AQ191" s="70" t="n">
        <f aca="false">ROUNDUP(AQ190*1/12,0)</f>
        <v>4</v>
      </c>
      <c r="AR191" s="70" t="n">
        <f aca="false">ROUNDUP(AR190*1/12,0)</f>
        <v>4</v>
      </c>
      <c r="AS191" s="70" t="n">
        <f aca="false">ROUNDUP(AS190*1/12,0)</f>
        <v>4</v>
      </c>
      <c r="AT191" s="70" t="n">
        <f aca="false">ROUNDUP(AT190*1/12,0)</f>
        <v>4</v>
      </c>
      <c r="AU191" s="70" t="n">
        <f aca="false">ROUNDUP(AU190*1/12,0)</f>
        <v>4</v>
      </c>
      <c r="AV191" s="70" t="n">
        <f aca="false">ROUNDUP(AV190*1/12,0)</f>
        <v>4</v>
      </c>
      <c r="AW191" s="70" t="n">
        <f aca="false">ROUNDUP(AW190*1/12,0)</f>
        <v>4</v>
      </c>
      <c r="AX191" s="70" t="n">
        <f aca="false">ROUNDUP(AX190*1/12,0)</f>
        <v>4</v>
      </c>
      <c r="AY191" s="70" t="n">
        <f aca="false">ROUNDUP(AY190*1/12,0)</f>
        <v>5</v>
      </c>
      <c r="AZ191" s="70" t="n">
        <f aca="false">ROUNDUP(AZ190*1/12,0)</f>
        <v>5</v>
      </c>
      <c r="BA191" s="70" t="n">
        <f aca="false">ROUNDUP(BA190*1/12,0)</f>
        <v>5</v>
      </c>
      <c r="BB191" s="70" t="n">
        <f aca="false">ROUNDUP(BB190*1/12,0)</f>
        <v>5</v>
      </c>
      <c r="BC191" s="70" t="n">
        <f aca="false">ROUNDUP(BC190*1/12,0)</f>
        <v>5</v>
      </c>
      <c r="BD191" s="70" t="n">
        <f aca="false">ROUNDUP(BD190*1/12,0)</f>
        <v>5</v>
      </c>
      <c r="BE191" s="70" t="n">
        <f aca="false">ROUNDUP(BE190*1/12,0)</f>
        <v>5</v>
      </c>
      <c r="BF191" s="70" t="n">
        <f aca="false">ROUNDUP(BF190*1/12,0)</f>
        <v>5</v>
      </c>
      <c r="BG191" s="70" t="n">
        <f aca="false">ROUNDUP(BG190*1/12,0)</f>
        <v>5</v>
      </c>
      <c r="BH191" s="70" t="n">
        <f aca="false">ROUNDUP(BH190*1/12,0)</f>
        <v>5</v>
      </c>
      <c r="BI191" s="70" t="n">
        <f aca="false">ROUNDUP(BI190*1/12,0)</f>
        <v>5</v>
      </c>
      <c r="BJ191" s="70" t="n">
        <f aca="false">ROUNDUP(BJ190*1/12,0)</f>
        <v>5</v>
      </c>
    </row>
    <row r="193" customFormat="false" ht="15.75" hidden="false" customHeight="true" outlineLevel="0" collapsed="false">
      <c r="A193" s="7" t="s">
        <v>299</v>
      </c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</row>
    <row r="194" customFormat="false" ht="15" hidden="false" customHeight="false" outlineLevel="0" collapsed="false">
      <c r="A194" s="6" t="s">
        <v>415</v>
      </c>
      <c r="C194" s="111" t="n">
        <f aca="false">Inputs!$D$13*(1+Inputs!$D$14)^(C$191-1)</f>
        <v>1800</v>
      </c>
      <c r="D194" s="111" t="n">
        <f aca="false">Inputs!$D$13*(1+Inputs!$D$14)^(D$191-1)</f>
        <v>1800</v>
      </c>
      <c r="E194" s="111" t="n">
        <f aca="false">Inputs!$D$13*(1+Inputs!$D$14)^(E$191-1)</f>
        <v>1800</v>
      </c>
      <c r="F194" s="111" t="n">
        <f aca="false">Inputs!$D$13*(1+Inputs!$D$14)^(F$191-1)</f>
        <v>1800</v>
      </c>
      <c r="G194" s="111" t="n">
        <f aca="false">Inputs!$D$13*(1+Inputs!$D$14)^(G$191-1)</f>
        <v>1800</v>
      </c>
      <c r="H194" s="111" t="n">
        <f aca="false">Inputs!$D$13*(1+Inputs!$D$14)^(H$191-1)</f>
        <v>1800</v>
      </c>
      <c r="I194" s="111" t="n">
        <f aca="false">Inputs!$D$13*(1+Inputs!$D$14)^(I$191-1)</f>
        <v>1800</v>
      </c>
      <c r="J194" s="111" t="n">
        <f aca="false">Inputs!$D$13*(1+Inputs!$D$14)^(J$191-1)</f>
        <v>1800</v>
      </c>
      <c r="K194" s="111" t="n">
        <f aca="false">Inputs!$D$13*(1+Inputs!$D$14)^(K$191-1)</f>
        <v>1800</v>
      </c>
      <c r="L194" s="111" t="n">
        <f aca="false">Inputs!$D$13*(1+Inputs!$D$14)^(L$191-1)</f>
        <v>1800</v>
      </c>
      <c r="M194" s="111" t="n">
        <f aca="false">Inputs!$D$13*(1+Inputs!$D$14)^(M$191-1)</f>
        <v>1800</v>
      </c>
      <c r="N194" s="111" t="n">
        <f aca="false">Inputs!$D$13*(1+Inputs!$D$14)^(N$191-1)</f>
        <v>1800</v>
      </c>
      <c r="O194" s="111" t="n">
        <f aca="false">Inputs!$D$13*(1+Inputs!$D$14)^(O$191-1)</f>
        <v>1872</v>
      </c>
      <c r="P194" s="111" t="n">
        <f aca="false">Inputs!$D$13*(1+Inputs!$D$14)^(P$191-1)</f>
        <v>1872</v>
      </c>
      <c r="Q194" s="111" t="n">
        <f aca="false">Inputs!$D$13*(1+Inputs!$D$14)^(Q$191-1)</f>
        <v>1872</v>
      </c>
      <c r="R194" s="111" t="n">
        <f aca="false">Inputs!$D$13*(1+Inputs!$D$14)^(R$191-1)</f>
        <v>1872</v>
      </c>
      <c r="S194" s="111" t="n">
        <f aca="false">Inputs!$D$13*(1+Inputs!$D$14)^(S$191-1)</f>
        <v>1872</v>
      </c>
      <c r="T194" s="111" t="n">
        <f aca="false">Inputs!$D$13*(1+Inputs!$D$14)^(T$191-1)</f>
        <v>1872</v>
      </c>
      <c r="U194" s="111" t="n">
        <f aca="false">Inputs!$D$13*(1+Inputs!$D$14)^(U$191-1)</f>
        <v>1872</v>
      </c>
      <c r="V194" s="111" t="n">
        <f aca="false">Inputs!$D$13*(1+Inputs!$D$14)^(V$191-1)</f>
        <v>1872</v>
      </c>
      <c r="W194" s="111" t="n">
        <f aca="false">Inputs!$D$13*(1+Inputs!$D$14)^(W$191-1)</f>
        <v>1872</v>
      </c>
      <c r="X194" s="111" t="n">
        <f aca="false">Inputs!$D$13*(1+Inputs!$D$14)^(X$191-1)</f>
        <v>1872</v>
      </c>
      <c r="Y194" s="111" t="n">
        <f aca="false">Inputs!$D$13*(1+Inputs!$D$14)^(Y$191-1)</f>
        <v>1872</v>
      </c>
      <c r="Z194" s="111" t="n">
        <f aca="false">Inputs!$D$13*(1+Inputs!$D$14)^(Z$191-1)</f>
        <v>1872</v>
      </c>
      <c r="AA194" s="111" t="n">
        <f aca="false">Inputs!$D$13*(1+Inputs!$D$14)^(AA$191-1)</f>
        <v>1946.88</v>
      </c>
      <c r="AB194" s="111" t="n">
        <f aca="false">Inputs!$D$13*(1+Inputs!$D$14)^(AB$191-1)</f>
        <v>1946.88</v>
      </c>
      <c r="AC194" s="111" t="n">
        <f aca="false">Inputs!$D$13*(1+Inputs!$D$14)^(AC$191-1)</f>
        <v>1946.88</v>
      </c>
      <c r="AD194" s="111" t="n">
        <f aca="false">Inputs!$D$13*(1+Inputs!$D$14)^(AD$191-1)</f>
        <v>1946.88</v>
      </c>
      <c r="AE194" s="111" t="n">
        <f aca="false">Inputs!$D$13*(1+Inputs!$D$14)^(AE$191-1)</f>
        <v>1946.88</v>
      </c>
      <c r="AF194" s="111" t="n">
        <f aca="false">Inputs!$D$13*(1+Inputs!$D$14)^(AF$191-1)</f>
        <v>1946.88</v>
      </c>
      <c r="AG194" s="111" t="n">
        <f aca="false">Inputs!$D$13*(1+Inputs!$D$14)^(AG$191-1)</f>
        <v>1946.88</v>
      </c>
      <c r="AH194" s="111" t="n">
        <f aca="false">Inputs!$D$13*(1+Inputs!$D$14)^(AH$191-1)</f>
        <v>1946.88</v>
      </c>
      <c r="AI194" s="111" t="n">
        <f aca="false">Inputs!$D$13*(1+Inputs!$D$14)^(AI$191-1)</f>
        <v>1946.88</v>
      </c>
      <c r="AJ194" s="111" t="n">
        <f aca="false">Inputs!$D$13*(1+Inputs!$D$14)^(AJ$191-1)</f>
        <v>1946.88</v>
      </c>
      <c r="AK194" s="111" t="n">
        <f aca="false">Inputs!$D$13*(1+Inputs!$D$14)^(AK$191-1)</f>
        <v>1946.88</v>
      </c>
      <c r="AL194" s="111" t="n">
        <f aca="false">Inputs!$D$13*(1+Inputs!$D$14)^(AL$191-1)</f>
        <v>1946.88</v>
      </c>
      <c r="AM194" s="111" t="n">
        <f aca="false">Inputs!$D$13*(1+Inputs!$D$14)^(AM$191-1)</f>
        <v>2024.7552</v>
      </c>
      <c r="AN194" s="111" t="n">
        <f aca="false">Inputs!$D$13*(1+Inputs!$D$14)^(AN$191-1)</f>
        <v>2024.7552</v>
      </c>
      <c r="AO194" s="111" t="n">
        <f aca="false">Inputs!$D$13*(1+Inputs!$D$14)^(AO$191-1)</f>
        <v>2024.7552</v>
      </c>
      <c r="AP194" s="111" t="n">
        <f aca="false">Inputs!$D$13*(1+Inputs!$D$14)^(AP$191-1)</f>
        <v>2024.7552</v>
      </c>
      <c r="AQ194" s="111" t="n">
        <f aca="false">Inputs!$D$13*(1+Inputs!$D$14)^(AQ$191-1)</f>
        <v>2024.7552</v>
      </c>
      <c r="AR194" s="111" t="n">
        <f aca="false">Inputs!$D$13*(1+Inputs!$D$14)^(AR$191-1)</f>
        <v>2024.7552</v>
      </c>
      <c r="AS194" s="111" t="n">
        <f aca="false">Inputs!$D$13*(1+Inputs!$D$14)^(AS$191-1)</f>
        <v>2024.7552</v>
      </c>
      <c r="AT194" s="111" t="n">
        <f aca="false">Inputs!$D$13*(1+Inputs!$D$14)^(AT$191-1)</f>
        <v>2024.7552</v>
      </c>
      <c r="AU194" s="111" t="n">
        <f aca="false">Inputs!$D$13*(1+Inputs!$D$14)^(AU$191-1)</f>
        <v>2024.7552</v>
      </c>
      <c r="AV194" s="111" t="n">
        <f aca="false">Inputs!$D$13*(1+Inputs!$D$14)^(AV$191-1)</f>
        <v>2024.7552</v>
      </c>
      <c r="AW194" s="111" t="n">
        <f aca="false">Inputs!$D$13*(1+Inputs!$D$14)^(AW$191-1)</f>
        <v>2024.7552</v>
      </c>
      <c r="AX194" s="111" t="n">
        <f aca="false">Inputs!$D$13*(1+Inputs!$D$14)^(AX$191-1)</f>
        <v>2024.7552</v>
      </c>
      <c r="AY194" s="111" t="n">
        <f aca="false">Inputs!$D$13*(1+Inputs!$D$14)^(AY$191-1)</f>
        <v>2105.745408</v>
      </c>
      <c r="AZ194" s="111" t="n">
        <f aca="false">Inputs!$D$13*(1+Inputs!$D$14)^(AZ$191-1)</f>
        <v>2105.745408</v>
      </c>
      <c r="BA194" s="111" t="n">
        <f aca="false">Inputs!$D$13*(1+Inputs!$D$14)^(BA$191-1)</f>
        <v>2105.745408</v>
      </c>
      <c r="BB194" s="111" t="n">
        <f aca="false">Inputs!$D$13*(1+Inputs!$D$14)^(BB$191-1)</f>
        <v>2105.745408</v>
      </c>
      <c r="BC194" s="111" t="n">
        <f aca="false">Inputs!$D$13*(1+Inputs!$D$14)^(BC$191-1)</f>
        <v>2105.745408</v>
      </c>
      <c r="BD194" s="111" t="n">
        <f aca="false">Inputs!$D$13*(1+Inputs!$D$14)^(BD$191-1)</f>
        <v>2105.745408</v>
      </c>
      <c r="BE194" s="111" t="n">
        <f aca="false">Inputs!$D$13*(1+Inputs!$D$14)^(BE$191-1)</f>
        <v>2105.745408</v>
      </c>
      <c r="BF194" s="111" t="n">
        <f aca="false">Inputs!$D$13*(1+Inputs!$D$14)^(BF$191-1)</f>
        <v>2105.745408</v>
      </c>
      <c r="BG194" s="111" t="n">
        <f aca="false">Inputs!$D$13*(1+Inputs!$D$14)^(BG$191-1)</f>
        <v>2105.745408</v>
      </c>
      <c r="BH194" s="111" t="n">
        <f aca="false">Inputs!$D$13*(1+Inputs!$D$14)^(BH$191-1)</f>
        <v>2105.745408</v>
      </c>
      <c r="BI194" s="111" t="n">
        <f aca="false">Inputs!$D$13*(1+Inputs!$D$14)^(BI$191-1)</f>
        <v>2105.745408</v>
      </c>
      <c r="BJ194" s="111" t="n">
        <f aca="false">Inputs!$D$13*(1+Inputs!$D$14)^(BJ$191-1)</f>
        <v>2105.745408</v>
      </c>
    </row>
    <row r="195" customFormat="false" ht="15" hidden="false" customHeight="false" outlineLevel="0" collapsed="false">
      <c r="A195" s="6" t="s">
        <v>416</v>
      </c>
      <c r="C195" s="65" t="n">
        <f aca="false">Inputs!$D$10*C194*1</f>
        <v>18000</v>
      </c>
      <c r="D195" s="65" t="n">
        <f aca="false">Inputs!$D$10*D194*1</f>
        <v>18000</v>
      </c>
      <c r="E195" s="65" t="n">
        <f aca="false">Inputs!$D$10*E194*1</f>
        <v>18000</v>
      </c>
      <c r="F195" s="65" t="n">
        <f aca="false">Inputs!$D$10*F194*1</f>
        <v>18000</v>
      </c>
      <c r="G195" s="65" t="n">
        <f aca="false">Inputs!$D$10*G194*1</f>
        <v>18000</v>
      </c>
      <c r="H195" s="65" t="n">
        <f aca="false">Inputs!$D$10*H194*1</f>
        <v>18000</v>
      </c>
      <c r="I195" s="65" t="n">
        <f aca="false">Inputs!$D$10*I194*1</f>
        <v>18000</v>
      </c>
      <c r="J195" s="65" t="n">
        <f aca="false">Inputs!$D$10*J194*1</f>
        <v>18000</v>
      </c>
      <c r="K195" s="65" t="n">
        <f aca="false">Inputs!$D$10*K194*1</f>
        <v>18000</v>
      </c>
      <c r="L195" s="65" t="n">
        <f aca="false">Inputs!$D$10*L194*1</f>
        <v>18000</v>
      </c>
      <c r="M195" s="65" t="n">
        <f aca="false">Inputs!$D$10*M194*1</f>
        <v>18000</v>
      </c>
      <c r="N195" s="65" t="n">
        <f aca="false">Inputs!$D$10*N194*1</f>
        <v>18000</v>
      </c>
      <c r="O195" s="65" t="n">
        <f aca="false">Inputs!$D$10*O194*1</f>
        <v>18720</v>
      </c>
      <c r="P195" s="65" t="n">
        <f aca="false">Inputs!$D$10*P194*1</f>
        <v>18720</v>
      </c>
      <c r="Q195" s="65" t="n">
        <f aca="false">Inputs!$D$10*Q194*1</f>
        <v>18720</v>
      </c>
      <c r="R195" s="65" t="n">
        <f aca="false">Inputs!$D$10*R194*1</f>
        <v>18720</v>
      </c>
      <c r="S195" s="65" t="n">
        <f aca="false">Inputs!$D$10*S194*1</f>
        <v>18720</v>
      </c>
      <c r="T195" s="65" t="n">
        <f aca="false">Inputs!$D$10*T194*1</f>
        <v>18720</v>
      </c>
      <c r="U195" s="65" t="n">
        <f aca="false">Inputs!$D$10*U194*1</f>
        <v>18720</v>
      </c>
      <c r="V195" s="65" t="n">
        <f aca="false">Inputs!$D$10*V194*1</f>
        <v>18720</v>
      </c>
      <c r="W195" s="65" t="n">
        <f aca="false">Inputs!$D$10*W194*1</f>
        <v>18720</v>
      </c>
      <c r="X195" s="65" t="n">
        <f aca="false">Inputs!$D$10*X194*1</f>
        <v>18720</v>
      </c>
      <c r="Y195" s="65" t="n">
        <f aca="false">Inputs!$D$10*Y194*1</f>
        <v>18720</v>
      </c>
      <c r="Z195" s="65" t="n">
        <f aca="false">Inputs!$D$10*Z194*1</f>
        <v>18720</v>
      </c>
      <c r="AA195" s="65" t="n">
        <f aca="false">Inputs!$D$10*AA194*1</f>
        <v>19468.8</v>
      </c>
      <c r="AB195" s="65" t="n">
        <f aca="false">Inputs!$D$10*AB194*1</f>
        <v>19468.8</v>
      </c>
      <c r="AC195" s="65" t="n">
        <f aca="false">Inputs!$D$10*AC194*1</f>
        <v>19468.8</v>
      </c>
      <c r="AD195" s="65" t="n">
        <f aca="false">Inputs!$D$10*AD194*1</f>
        <v>19468.8</v>
      </c>
      <c r="AE195" s="65" t="n">
        <f aca="false">Inputs!$D$10*AE194*1</f>
        <v>19468.8</v>
      </c>
      <c r="AF195" s="65" t="n">
        <f aca="false">Inputs!$D$10*AF194*1</f>
        <v>19468.8</v>
      </c>
      <c r="AG195" s="65" t="n">
        <f aca="false">Inputs!$D$10*AG194*1</f>
        <v>19468.8</v>
      </c>
      <c r="AH195" s="65" t="n">
        <f aca="false">Inputs!$D$10*AH194*1</f>
        <v>19468.8</v>
      </c>
      <c r="AI195" s="65" t="n">
        <f aca="false">Inputs!$D$10*AI194*1</f>
        <v>19468.8</v>
      </c>
      <c r="AJ195" s="65" t="n">
        <f aca="false">Inputs!$D$10*AJ194*1</f>
        <v>19468.8</v>
      </c>
      <c r="AK195" s="65" t="n">
        <f aca="false">Inputs!$D$10*AK194*1</f>
        <v>19468.8</v>
      </c>
      <c r="AL195" s="65" t="n">
        <f aca="false">Inputs!$D$10*AL194*1</f>
        <v>19468.8</v>
      </c>
      <c r="AM195" s="65" t="n">
        <f aca="false">Inputs!$D$10*AM194*1</f>
        <v>20247.552</v>
      </c>
      <c r="AN195" s="65" t="n">
        <f aca="false">Inputs!$D$10*AN194*1</f>
        <v>20247.552</v>
      </c>
      <c r="AO195" s="65" t="n">
        <f aca="false">Inputs!$D$10*AO194*1</f>
        <v>20247.552</v>
      </c>
      <c r="AP195" s="65" t="n">
        <f aca="false">Inputs!$D$10*AP194*1</f>
        <v>20247.552</v>
      </c>
      <c r="AQ195" s="65" t="n">
        <f aca="false">Inputs!$D$10*AQ194*1</f>
        <v>20247.552</v>
      </c>
      <c r="AR195" s="65" t="n">
        <f aca="false">Inputs!$D$10*AR194*1</f>
        <v>20247.552</v>
      </c>
      <c r="AS195" s="65" t="n">
        <f aca="false">Inputs!$D$10*AS194*1</f>
        <v>20247.552</v>
      </c>
      <c r="AT195" s="65" t="n">
        <f aca="false">Inputs!$D$10*AT194*1</f>
        <v>20247.552</v>
      </c>
      <c r="AU195" s="65" t="n">
        <f aca="false">Inputs!$D$10*AU194*1</f>
        <v>20247.552</v>
      </c>
      <c r="AV195" s="65" t="n">
        <f aca="false">Inputs!$D$10*AV194*1</f>
        <v>20247.552</v>
      </c>
      <c r="AW195" s="65" t="n">
        <f aca="false">Inputs!$D$10*AW194*1</f>
        <v>20247.552</v>
      </c>
      <c r="AX195" s="65" t="n">
        <f aca="false">Inputs!$D$10*AX194*1</f>
        <v>20247.552</v>
      </c>
      <c r="AY195" s="65" t="n">
        <f aca="false">Inputs!$D$10*AY194*1</f>
        <v>21057.45408</v>
      </c>
      <c r="AZ195" s="65" t="n">
        <f aca="false">Inputs!$D$10*AZ194*1</f>
        <v>21057.45408</v>
      </c>
      <c r="BA195" s="65" t="n">
        <f aca="false">Inputs!$D$10*BA194*1</f>
        <v>21057.45408</v>
      </c>
      <c r="BB195" s="65" t="n">
        <f aca="false">Inputs!$D$10*BB194*1</f>
        <v>21057.45408</v>
      </c>
      <c r="BC195" s="65" t="n">
        <f aca="false">Inputs!$D$10*BC194*1</f>
        <v>21057.45408</v>
      </c>
      <c r="BD195" s="65" t="n">
        <f aca="false">Inputs!$D$10*BD194*1</f>
        <v>21057.45408</v>
      </c>
      <c r="BE195" s="65" t="n">
        <f aca="false">Inputs!$D$10*BE194*1</f>
        <v>21057.45408</v>
      </c>
      <c r="BF195" s="65" t="n">
        <f aca="false">Inputs!$D$10*BF194*1</f>
        <v>21057.45408</v>
      </c>
      <c r="BG195" s="65" t="n">
        <f aca="false">Inputs!$D$10*BG194*1</f>
        <v>21057.45408</v>
      </c>
      <c r="BH195" s="65" t="n">
        <f aca="false">Inputs!$D$10*BH194*1</f>
        <v>21057.45408</v>
      </c>
      <c r="BI195" s="65" t="n">
        <f aca="false">Inputs!$D$10*BI194*1</f>
        <v>21057.45408</v>
      </c>
      <c r="BJ195" s="65" t="n">
        <f aca="false">Inputs!$D$10*BJ194*1</f>
        <v>21057.45408</v>
      </c>
    </row>
    <row r="196" customFormat="false" ht="15" hidden="false" customHeight="false" outlineLevel="0" collapsed="false">
      <c r="A196" s="6" t="s">
        <v>235</v>
      </c>
      <c r="C196" s="65" t="n">
        <f aca="false">-C195*Inputs!$D$15</f>
        <v>-720</v>
      </c>
      <c r="D196" s="65" t="n">
        <f aca="false">-D195*Inputs!$D$15</f>
        <v>-720</v>
      </c>
      <c r="E196" s="65" t="n">
        <f aca="false">-E195*Inputs!$D$15</f>
        <v>-720</v>
      </c>
      <c r="F196" s="65" t="n">
        <f aca="false">-F195*Inputs!$D$15</f>
        <v>-720</v>
      </c>
      <c r="G196" s="65" t="n">
        <f aca="false">-G195*Inputs!$D$15</f>
        <v>-720</v>
      </c>
      <c r="H196" s="65" t="n">
        <f aca="false">-H195*Inputs!$D$15</f>
        <v>-720</v>
      </c>
      <c r="I196" s="65" t="n">
        <f aca="false">-I195*Inputs!$D$15</f>
        <v>-720</v>
      </c>
      <c r="J196" s="65" t="n">
        <f aca="false">-J195*Inputs!$D$15</f>
        <v>-720</v>
      </c>
      <c r="K196" s="65" t="n">
        <f aca="false">-K195*Inputs!$D$15</f>
        <v>-720</v>
      </c>
      <c r="L196" s="65" t="n">
        <f aca="false">-L195*Inputs!$D$15</f>
        <v>-720</v>
      </c>
      <c r="M196" s="65" t="n">
        <f aca="false">-M195*Inputs!$D$15</f>
        <v>-720</v>
      </c>
      <c r="N196" s="65" t="n">
        <f aca="false">-N195*Inputs!$D$15</f>
        <v>-720</v>
      </c>
      <c r="O196" s="65" t="n">
        <f aca="false">-O195*Inputs!$D$15</f>
        <v>-748.8</v>
      </c>
      <c r="P196" s="65" t="n">
        <f aca="false">-P195*Inputs!$D$15</f>
        <v>-748.8</v>
      </c>
      <c r="Q196" s="65" t="n">
        <f aca="false">-Q195*Inputs!$D$15</f>
        <v>-748.8</v>
      </c>
      <c r="R196" s="65" t="n">
        <f aca="false">-R195*Inputs!$D$15</f>
        <v>-748.8</v>
      </c>
      <c r="S196" s="65" t="n">
        <f aca="false">-S195*Inputs!$D$15</f>
        <v>-748.8</v>
      </c>
      <c r="T196" s="65" t="n">
        <f aca="false">-T195*Inputs!$D$15</f>
        <v>-748.8</v>
      </c>
      <c r="U196" s="65" t="n">
        <f aca="false">-U195*Inputs!$D$15</f>
        <v>-748.8</v>
      </c>
      <c r="V196" s="65" t="n">
        <f aca="false">-V195*Inputs!$D$15</f>
        <v>-748.8</v>
      </c>
      <c r="W196" s="65" t="n">
        <f aca="false">-W195*Inputs!$D$15</f>
        <v>-748.8</v>
      </c>
      <c r="X196" s="65" t="n">
        <f aca="false">-X195*Inputs!$D$15</f>
        <v>-748.8</v>
      </c>
      <c r="Y196" s="65" t="n">
        <f aca="false">-Y195*Inputs!$D$15</f>
        <v>-748.8</v>
      </c>
      <c r="Z196" s="65" t="n">
        <f aca="false">-Z195*Inputs!$D$15</f>
        <v>-748.8</v>
      </c>
      <c r="AA196" s="65" t="n">
        <f aca="false">-AA195*Inputs!$D$15</f>
        <v>-778.752</v>
      </c>
      <c r="AB196" s="65" t="n">
        <f aca="false">-AB195*Inputs!$D$15</f>
        <v>-778.752</v>
      </c>
      <c r="AC196" s="65" t="n">
        <f aca="false">-AC195*Inputs!$D$15</f>
        <v>-778.752</v>
      </c>
      <c r="AD196" s="65" t="n">
        <f aca="false">-AD195*Inputs!$D$15</f>
        <v>-778.752</v>
      </c>
      <c r="AE196" s="65" t="n">
        <f aca="false">-AE195*Inputs!$D$15</f>
        <v>-778.752</v>
      </c>
      <c r="AF196" s="65" t="n">
        <f aca="false">-AF195*Inputs!$D$15</f>
        <v>-778.752</v>
      </c>
      <c r="AG196" s="65" t="n">
        <f aca="false">-AG195*Inputs!$D$15</f>
        <v>-778.752</v>
      </c>
      <c r="AH196" s="65" t="n">
        <f aca="false">-AH195*Inputs!$D$15</f>
        <v>-778.752</v>
      </c>
      <c r="AI196" s="65" t="n">
        <f aca="false">-AI195*Inputs!$D$15</f>
        <v>-778.752</v>
      </c>
      <c r="AJ196" s="65" t="n">
        <f aca="false">-AJ195*Inputs!$D$15</f>
        <v>-778.752</v>
      </c>
      <c r="AK196" s="65" t="n">
        <f aca="false">-AK195*Inputs!$D$15</f>
        <v>-778.752</v>
      </c>
      <c r="AL196" s="65" t="n">
        <f aca="false">-AL195*Inputs!$D$15</f>
        <v>-778.752</v>
      </c>
      <c r="AM196" s="65" t="n">
        <f aca="false">-AM195*Inputs!$D$15</f>
        <v>-809.90208</v>
      </c>
      <c r="AN196" s="65" t="n">
        <f aca="false">-AN195*Inputs!$D$15</f>
        <v>-809.90208</v>
      </c>
      <c r="AO196" s="65" t="n">
        <f aca="false">-AO195*Inputs!$D$15</f>
        <v>-809.90208</v>
      </c>
      <c r="AP196" s="65" t="n">
        <f aca="false">-AP195*Inputs!$D$15</f>
        <v>-809.90208</v>
      </c>
      <c r="AQ196" s="65" t="n">
        <f aca="false">-AQ195*Inputs!$D$15</f>
        <v>-809.90208</v>
      </c>
      <c r="AR196" s="65" t="n">
        <f aca="false">-AR195*Inputs!$D$15</f>
        <v>-809.90208</v>
      </c>
      <c r="AS196" s="65" t="n">
        <f aca="false">-AS195*Inputs!$D$15</f>
        <v>-809.90208</v>
      </c>
      <c r="AT196" s="65" t="n">
        <f aca="false">-AT195*Inputs!$D$15</f>
        <v>-809.90208</v>
      </c>
      <c r="AU196" s="65" t="n">
        <f aca="false">-AU195*Inputs!$D$15</f>
        <v>-809.90208</v>
      </c>
      <c r="AV196" s="65" t="n">
        <f aca="false">-AV195*Inputs!$D$15</f>
        <v>-809.90208</v>
      </c>
      <c r="AW196" s="65" t="n">
        <f aca="false">-AW195*Inputs!$D$15</f>
        <v>-809.90208</v>
      </c>
      <c r="AX196" s="65" t="n">
        <f aca="false">-AX195*Inputs!$D$15</f>
        <v>-809.90208</v>
      </c>
      <c r="AY196" s="65" t="n">
        <f aca="false">-AY195*Inputs!$D$15</f>
        <v>-842.2981632</v>
      </c>
      <c r="AZ196" s="65" t="n">
        <f aca="false">-AZ195*Inputs!$D$15</f>
        <v>-842.2981632</v>
      </c>
      <c r="BA196" s="65" t="n">
        <f aca="false">-BA195*Inputs!$D$15</f>
        <v>-842.2981632</v>
      </c>
      <c r="BB196" s="65" t="n">
        <f aca="false">-BB195*Inputs!$D$15</f>
        <v>-842.2981632</v>
      </c>
      <c r="BC196" s="65" t="n">
        <f aca="false">-BC195*Inputs!$D$15</f>
        <v>-842.2981632</v>
      </c>
      <c r="BD196" s="65" t="n">
        <f aca="false">-BD195*Inputs!$D$15</f>
        <v>-842.2981632</v>
      </c>
      <c r="BE196" s="65" t="n">
        <f aca="false">-BE195*Inputs!$D$15</f>
        <v>-842.2981632</v>
      </c>
      <c r="BF196" s="65" t="n">
        <f aca="false">-BF195*Inputs!$D$15</f>
        <v>-842.2981632</v>
      </c>
      <c r="BG196" s="65" t="n">
        <f aca="false">-BG195*Inputs!$D$15</f>
        <v>-842.2981632</v>
      </c>
      <c r="BH196" s="65" t="n">
        <f aca="false">-BH195*Inputs!$D$15</f>
        <v>-842.2981632</v>
      </c>
      <c r="BI196" s="65" t="n">
        <f aca="false">-BI195*Inputs!$D$15</f>
        <v>-842.2981632</v>
      </c>
      <c r="BJ196" s="65" t="n">
        <f aca="false">-BJ195*Inputs!$D$15</f>
        <v>-842.2981632</v>
      </c>
    </row>
    <row r="197" customFormat="false" ht="15" hidden="false" customHeight="false" outlineLevel="0" collapsed="false">
      <c r="A197" s="6" t="s">
        <v>417</v>
      </c>
      <c r="C197" s="65" t="n">
        <f aca="false">Inputs!$D$10*Inputs!$D$16*(1+Inputs!$D$14)^(C$191-1)*(1-Inputs!$D$15)*1</f>
        <v>288</v>
      </c>
      <c r="D197" s="65" t="n">
        <f aca="false">Inputs!$D$10*Inputs!$D$16*(1+Inputs!$D$14)^(D$191-1)*(1-Inputs!$D$15)*1</f>
        <v>288</v>
      </c>
      <c r="E197" s="65" t="n">
        <f aca="false">Inputs!$D$10*Inputs!$D$16*(1+Inputs!$D$14)^(E$191-1)*(1-Inputs!$D$15)*1</f>
        <v>288</v>
      </c>
      <c r="F197" s="65" t="n">
        <f aca="false">Inputs!$D$10*Inputs!$D$16*(1+Inputs!$D$14)^(F$191-1)*(1-Inputs!$D$15)*1</f>
        <v>288</v>
      </c>
      <c r="G197" s="65" t="n">
        <f aca="false">Inputs!$D$10*Inputs!$D$16*(1+Inputs!$D$14)^(G$191-1)*(1-Inputs!$D$15)*1</f>
        <v>288</v>
      </c>
      <c r="H197" s="65" t="n">
        <f aca="false">Inputs!$D$10*Inputs!$D$16*(1+Inputs!$D$14)^(H$191-1)*(1-Inputs!$D$15)*1</f>
        <v>288</v>
      </c>
      <c r="I197" s="65" t="n">
        <f aca="false">Inputs!$D$10*Inputs!$D$16*(1+Inputs!$D$14)^(I$191-1)*(1-Inputs!$D$15)*1</f>
        <v>288</v>
      </c>
      <c r="J197" s="65" t="n">
        <f aca="false">Inputs!$D$10*Inputs!$D$16*(1+Inputs!$D$14)^(J$191-1)*(1-Inputs!$D$15)*1</f>
        <v>288</v>
      </c>
      <c r="K197" s="65" t="n">
        <f aca="false">Inputs!$D$10*Inputs!$D$16*(1+Inputs!$D$14)^(K$191-1)*(1-Inputs!$D$15)*1</f>
        <v>288</v>
      </c>
      <c r="L197" s="65" t="n">
        <f aca="false">Inputs!$D$10*Inputs!$D$16*(1+Inputs!$D$14)^(L$191-1)*(1-Inputs!$D$15)*1</f>
        <v>288</v>
      </c>
      <c r="M197" s="65" t="n">
        <f aca="false">Inputs!$D$10*Inputs!$D$16*(1+Inputs!$D$14)^(M$191-1)*(1-Inputs!$D$15)*1</f>
        <v>288</v>
      </c>
      <c r="N197" s="65" t="n">
        <f aca="false">Inputs!$D$10*Inputs!$D$16*(1+Inputs!$D$14)^(N$191-1)*(1-Inputs!$D$15)*1</f>
        <v>288</v>
      </c>
      <c r="O197" s="65" t="n">
        <f aca="false">Inputs!$D$10*Inputs!$D$16*(1+Inputs!$D$14)^(O$191-1)*(1-Inputs!$D$15)*1</f>
        <v>299.52</v>
      </c>
      <c r="P197" s="65" t="n">
        <f aca="false">Inputs!$D$10*Inputs!$D$16*(1+Inputs!$D$14)^(P$191-1)*(1-Inputs!$D$15)*1</f>
        <v>299.52</v>
      </c>
      <c r="Q197" s="65" t="n">
        <f aca="false">Inputs!$D$10*Inputs!$D$16*(1+Inputs!$D$14)^(Q$191-1)*(1-Inputs!$D$15)*1</f>
        <v>299.52</v>
      </c>
      <c r="R197" s="65" t="n">
        <f aca="false">Inputs!$D$10*Inputs!$D$16*(1+Inputs!$D$14)^(R$191-1)*(1-Inputs!$D$15)*1</f>
        <v>299.52</v>
      </c>
      <c r="S197" s="65" t="n">
        <f aca="false">Inputs!$D$10*Inputs!$D$16*(1+Inputs!$D$14)^(S$191-1)*(1-Inputs!$D$15)*1</f>
        <v>299.52</v>
      </c>
      <c r="T197" s="65" t="n">
        <f aca="false">Inputs!$D$10*Inputs!$D$16*(1+Inputs!$D$14)^(T$191-1)*(1-Inputs!$D$15)*1</f>
        <v>299.52</v>
      </c>
      <c r="U197" s="65" t="n">
        <f aca="false">Inputs!$D$10*Inputs!$D$16*(1+Inputs!$D$14)^(U$191-1)*(1-Inputs!$D$15)*1</f>
        <v>299.52</v>
      </c>
      <c r="V197" s="65" t="n">
        <f aca="false">Inputs!$D$10*Inputs!$D$16*(1+Inputs!$D$14)^(V$191-1)*(1-Inputs!$D$15)*1</f>
        <v>299.52</v>
      </c>
      <c r="W197" s="65" t="n">
        <f aca="false">Inputs!$D$10*Inputs!$D$16*(1+Inputs!$D$14)^(W$191-1)*(1-Inputs!$D$15)*1</f>
        <v>299.52</v>
      </c>
      <c r="X197" s="65" t="n">
        <f aca="false">Inputs!$D$10*Inputs!$D$16*(1+Inputs!$D$14)^(X$191-1)*(1-Inputs!$D$15)*1</f>
        <v>299.52</v>
      </c>
      <c r="Y197" s="65" t="n">
        <f aca="false">Inputs!$D$10*Inputs!$D$16*(1+Inputs!$D$14)^(Y$191-1)*(1-Inputs!$D$15)*1</f>
        <v>299.52</v>
      </c>
      <c r="Z197" s="65" t="n">
        <f aca="false">Inputs!$D$10*Inputs!$D$16*(1+Inputs!$D$14)^(Z$191-1)*(1-Inputs!$D$15)*1</f>
        <v>299.52</v>
      </c>
      <c r="AA197" s="65" t="n">
        <f aca="false">Inputs!$D$10*Inputs!$D$16*(1+Inputs!$D$14)^(AA$191-1)*(1-Inputs!$D$15)*1</f>
        <v>311.5008</v>
      </c>
      <c r="AB197" s="65" t="n">
        <f aca="false">Inputs!$D$10*Inputs!$D$16*(1+Inputs!$D$14)^(AB$191-1)*(1-Inputs!$D$15)*1</f>
        <v>311.5008</v>
      </c>
      <c r="AC197" s="65" t="n">
        <f aca="false">Inputs!$D$10*Inputs!$D$16*(1+Inputs!$D$14)^(AC$191-1)*(1-Inputs!$D$15)*1</f>
        <v>311.5008</v>
      </c>
      <c r="AD197" s="65" t="n">
        <f aca="false">Inputs!$D$10*Inputs!$D$16*(1+Inputs!$D$14)^(AD$191-1)*(1-Inputs!$D$15)*1</f>
        <v>311.5008</v>
      </c>
      <c r="AE197" s="65" t="n">
        <f aca="false">Inputs!$D$10*Inputs!$D$16*(1+Inputs!$D$14)^(AE$191-1)*(1-Inputs!$D$15)*1</f>
        <v>311.5008</v>
      </c>
      <c r="AF197" s="65" t="n">
        <f aca="false">Inputs!$D$10*Inputs!$D$16*(1+Inputs!$D$14)^(AF$191-1)*(1-Inputs!$D$15)*1</f>
        <v>311.5008</v>
      </c>
      <c r="AG197" s="65" t="n">
        <f aca="false">Inputs!$D$10*Inputs!$D$16*(1+Inputs!$D$14)^(AG$191-1)*(1-Inputs!$D$15)*1</f>
        <v>311.5008</v>
      </c>
      <c r="AH197" s="65" t="n">
        <f aca="false">Inputs!$D$10*Inputs!$D$16*(1+Inputs!$D$14)^(AH$191-1)*(1-Inputs!$D$15)*1</f>
        <v>311.5008</v>
      </c>
      <c r="AI197" s="65" t="n">
        <f aca="false">Inputs!$D$10*Inputs!$D$16*(1+Inputs!$D$14)^(AI$191-1)*(1-Inputs!$D$15)*1</f>
        <v>311.5008</v>
      </c>
      <c r="AJ197" s="65" t="n">
        <f aca="false">Inputs!$D$10*Inputs!$D$16*(1+Inputs!$D$14)^(AJ$191-1)*(1-Inputs!$D$15)*1</f>
        <v>311.5008</v>
      </c>
      <c r="AK197" s="65" t="n">
        <f aca="false">Inputs!$D$10*Inputs!$D$16*(1+Inputs!$D$14)^(AK$191-1)*(1-Inputs!$D$15)*1</f>
        <v>311.5008</v>
      </c>
      <c r="AL197" s="65" t="n">
        <f aca="false">Inputs!$D$10*Inputs!$D$16*(1+Inputs!$D$14)^(AL$191-1)*(1-Inputs!$D$15)*1</f>
        <v>311.5008</v>
      </c>
      <c r="AM197" s="65" t="n">
        <f aca="false">Inputs!$D$10*Inputs!$D$16*(1+Inputs!$D$14)^(AM$191-1)*(1-Inputs!$D$15)*1</f>
        <v>323.960832</v>
      </c>
      <c r="AN197" s="65" t="n">
        <f aca="false">Inputs!$D$10*Inputs!$D$16*(1+Inputs!$D$14)^(AN$191-1)*(1-Inputs!$D$15)*1</f>
        <v>323.960832</v>
      </c>
      <c r="AO197" s="65" t="n">
        <f aca="false">Inputs!$D$10*Inputs!$D$16*(1+Inputs!$D$14)^(AO$191-1)*(1-Inputs!$D$15)*1</f>
        <v>323.960832</v>
      </c>
      <c r="AP197" s="65" t="n">
        <f aca="false">Inputs!$D$10*Inputs!$D$16*(1+Inputs!$D$14)^(AP$191-1)*(1-Inputs!$D$15)*1</f>
        <v>323.960832</v>
      </c>
      <c r="AQ197" s="65" t="n">
        <f aca="false">Inputs!$D$10*Inputs!$D$16*(1+Inputs!$D$14)^(AQ$191-1)*(1-Inputs!$D$15)*1</f>
        <v>323.960832</v>
      </c>
      <c r="AR197" s="65" t="n">
        <f aca="false">Inputs!$D$10*Inputs!$D$16*(1+Inputs!$D$14)^(AR$191-1)*(1-Inputs!$D$15)*1</f>
        <v>323.960832</v>
      </c>
      <c r="AS197" s="65" t="n">
        <f aca="false">Inputs!$D$10*Inputs!$D$16*(1+Inputs!$D$14)^(AS$191-1)*(1-Inputs!$D$15)*1</f>
        <v>323.960832</v>
      </c>
      <c r="AT197" s="65" t="n">
        <f aca="false">Inputs!$D$10*Inputs!$D$16*(1+Inputs!$D$14)^(AT$191-1)*(1-Inputs!$D$15)*1</f>
        <v>323.960832</v>
      </c>
      <c r="AU197" s="65" t="n">
        <f aca="false">Inputs!$D$10*Inputs!$D$16*(1+Inputs!$D$14)^(AU$191-1)*(1-Inputs!$D$15)*1</f>
        <v>323.960832</v>
      </c>
      <c r="AV197" s="65" t="n">
        <f aca="false">Inputs!$D$10*Inputs!$D$16*(1+Inputs!$D$14)^(AV$191-1)*(1-Inputs!$D$15)*1</f>
        <v>323.960832</v>
      </c>
      <c r="AW197" s="65" t="n">
        <f aca="false">Inputs!$D$10*Inputs!$D$16*(1+Inputs!$D$14)^(AW$191-1)*(1-Inputs!$D$15)*1</f>
        <v>323.960832</v>
      </c>
      <c r="AX197" s="65" t="n">
        <f aca="false">Inputs!$D$10*Inputs!$D$16*(1+Inputs!$D$14)^(AX$191-1)*(1-Inputs!$D$15)*1</f>
        <v>323.960832</v>
      </c>
      <c r="AY197" s="65" t="n">
        <f aca="false">Inputs!$D$10*Inputs!$D$16*(1+Inputs!$D$14)^(AY$191-1)*(1-Inputs!$D$15)*1</f>
        <v>336.91926528</v>
      </c>
      <c r="AZ197" s="65" t="n">
        <f aca="false">Inputs!$D$10*Inputs!$D$16*(1+Inputs!$D$14)^(AZ$191-1)*(1-Inputs!$D$15)*1</f>
        <v>336.91926528</v>
      </c>
      <c r="BA197" s="65" t="n">
        <f aca="false">Inputs!$D$10*Inputs!$D$16*(1+Inputs!$D$14)^(BA$191-1)*(1-Inputs!$D$15)*1</f>
        <v>336.91926528</v>
      </c>
      <c r="BB197" s="65" t="n">
        <f aca="false">Inputs!$D$10*Inputs!$D$16*(1+Inputs!$D$14)^(BB$191-1)*(1-Inputs!$D$15)*1</f>
        <v>336.91926528</v>
      </c>
      <c r="BC197" s="65" t="n">
        <f aca="false">Inputs!$D$10*Inputs!$D$16*(1+Inputs!$D$14)^(BC$191-1)*(1-Inputs!$D$15)*1</f>
        <v>336.91926528</v>
      </c>
      <c r="BD197" s="65" t="n">
        <f aca="false">Inputs!$D$10*Inputs!$D$16*(1+Inputs!$D$14)^(BD$191-1)*(1-Inputs!$D$15)*1</f>
        <v>336.91926528</v>
      </c>
      <c r="BE197" s="65" t="n">
        <f aca="false">Inputs!$D$10*Inputs!$D$16*(1+Inputs!$D$14)^(BE$191-1)*(1-Inputs!$D$15)*1</f>
        <v>336.91926528</v>
      </c>
      <c r="BF197" s="65" t="n">
        <f aca="false">Inputs!$D$10*Inputs!$D$16*(1+Inputs!$D$14)^(BF$191-1)*(1-Inputs!$D$15)*1</f>
        <v>336.91926528</v>
      </c>
      <c r="BG197" s="65" t="n">
        <f aca="false">Inputs!$D$10*Inputs!$D$16*(1+Inputs!$D$14)^(BG$191-1)*(1-Inputs!$D$15)*1</f>
        <v>336.91926528</v>
      </c>
      <c r="BH197" s="65" t="n">
        <f aca="false">Inputs!$D$10*Inputs!$D$16*(1+Inputs!$D$14)^(BH$191-1)*(1-Inputs!$D$15)*1</f>
        <v>336.91926528</v>
      </c>
      <c r="BI197" s="65" t="n">
        <f aca="false">Inputs!$D$10*Inputs!$D$16*(1+Inputs!$D$14)^(BI$191-1)*(1-Inputs!$D$15)*1</f>
        <v>336.91926528</v>
      </c>
      <c r="BJ197" s="65" t="n">
        <f aca="false">Inputs!$D$10*Inputs!$D$16*(1+Inputs!$D$14)^(BJ$191-1)*(1-Inputs!$D$15)*1</f>
        <v>336.91926528</v>
      </c>
    </row>
    <row r="198" customFormat="false" ht="15" hidden="false" customHeight="false" outlineLevel="0" collapsed="false">
      <c r="A198" s="108" t="s">
        <v>237</v>
      </c>
      <c r="C198" s="66" t="n">
        <f aca="false">C195+C196+C197</f>
        <v>17568</v>
      </c>
      <c r="D198" s="66" t="n">
        <f aca="false">D195+D196+D197</f>
        <v>17568</v>
      </c>
      <c r="E198" s="66" t="n">
        <f aca="false">E195+E196+E197</f>
        <v>17568</v>
      </c>
      <c r="F198" s="66" t="n">
        <f aca="false">F195+F196+F197</f>
        <v>17568</v>
      </c>
      <c r="G198" s="66" t="n">
        <f aca="false">G195+G196+G197</f>
        <v>17568</v>
      </c>
      <c r="H198" s="66" t="n">
        <f aca="false">H195+H196+H197</f>
        <v>17568</v>
      </c>
      <c r="I198" s="66" t="n">
        <f aca="false">I195+I196+I197</f>
        <v>17568</v>
      </c>
      <c r="J198" s="66" t="n">
        <f aca="false">J195+J196+J197</f>
        <v>17568</v>
      </c>
      <c r="K198" s="66" t="n">
        <f aca="false">K195+K196+K197</f>
        <v>17568</v>
      </c>
      <c r="L198" s="66" t="n">
        <f aca="false">L195+L196+L197</f>
        <v>17568</v>
      </c>
      <c r="M198" s="66" t="n">
        <f aca="false">M195+M196+M197</f>
        <v>17568</v>
      </c>
      <c r="N198" s="66" t="n">
        <f aca="false">N195+N196+N197</f>
        <v>17568</v>
      </c>
      <c r="O198" s="66" t="n">
        <f aca="false">O195+O196+O197</f>
        <v>18270.72</v>
      </c>
      <c r="P198" s="66" t="n">
        <f aca="false">P195+P196+P197</f>
        <v>18270.72</v>
      </c>
      <c r="Q198" s="66" t="n">
        <f aca="false">Q195+Q196+Q197</f>
        <v>18270.72</v>
      </c>
      <c r="R198" s="66" t="n">
        <f aca="false">R195+R196+R197</f>
        <v>18270.72</v>
      </c>
      <c r="S198" s="66" t="n">
        <f aca="false">S195+S196+S197</f>
        <v>18270.72</v>
      </c>
      <c r="T198" s="66" t="n">
        <f aca="false">T195+T196+T197</f>
        <v>18270.72</v>
      </c>
      <c r="U198" s="66" t="n">
        <f aca="false">U195+U196+U197</f>
        <v>18270.72</v>
      </c>
      <c r="V198" s="66" t="n">
        <f aca="false">V195+V196+V197</f>
        <v>18270.72</v>
      </c>
      <c r="W198" s="66" t="n">
        <f aca="false">W195+W196+W197</f>
        <v>18270.72</v>
      </c>
      <c r="X198" s="66" t="n">
        <f aca="false">X195+X196+X197</f>
        <v>18270.72</v>
      </c>
      <c r="Y198" s="66" t="n">
        <f aca="false">Y195+Y196+Y197</f>
        <v>18270.72</v>
      </c>
      <c r="Z198" s="66" t="n">
        <f aca="false">Z195+Z196+Z197</f>
        <v>18270.72</v>
      </c>
      <c r="AA198" s="66" t="n">
        <f aca="false">AA195+AA196+AA197</f>
        <v>19001.5488</v>
      </c>
      <c r="AB198" s="66" t="n">
        <f aca="false">AB195+AB196+AB197</f>
        <v>19001.5488</v>
      </c>
      <c r="AC198" s="66" t="n">
        <f aca="false">AC195+AC196+AC197</f>
        <v>19001.5488</v>
      </c>
      <c r="AD198" s="66" t="n">
        <f aca="false">AD195+AD196+AD197</f>
        <v>19001.5488</v>
      </c>
      <c r="AE198" s="66" t="n">
        <f aca="false">AE195+AE196+AE197</f>
        <v>19001.5488</v>
      </c>
      <c r="AF198" s="66" t="n">
        <f aca="false">AF195+AF196+AF197</f>
        <v>19001.5488</v>
      </c>
      <c r="AG198" s="66" t="n">
        <f aca="false">AG195+AG196+AG197</f>
        <v>19001.5488</v>
      </c>
      <c r="AH198" s="66" t="n">
        <f aca="false">AH195+AH196+AH197</f>
        <v>19001.5488</v>
      </c>
      <c r="AI198" s="66" t="n">
        <f aca="false">AI195+AI196+AI197</f>
        <v>19001.5488</v>
      </c>
      <c r="AJ198" s="66" t="n">
        <f aca="false">AJ195+AJ196+AJ197</f>
        <v>19001.5488</v>
      </c>
      <c r="AK198" s="66" t="n">
        <f aca="false">AK195+AK196+AK197</f>
        <v>19001.5488</v>
      </c>
      <c r="AL198" s="66" t="n">
        <f aca="false">AL195+AL196+AL197</f>
        <v>19001.5488</v>
      </c>
      <c r="AM198" s="66" t="n">
        <f aca="false">AM195+AM196+AM197</f>
        <v>19761.610752</v>
      </c>
      <c r="AN198" s="66" t="n">
        <f aca="false">AN195+AN196+AN197</f>
        <v>19761.610752</v>
      </c>
      <c r="AO198" s="66" t="n">
        <f aca="false">AO195+AO196+AO197</f>
        <v>19761.610752</v>
      </c>
      <c r="AP198" s="66" t="n">
        <f aca="false">AP195+AP196+AP197</f>
        <v>19761.610752</v>
      </c>
      <c r="AQ198" s="66" t="n">
        <f aca="false">AQ195+AQ196+AQ197</f>
        <v>19761.610752</v>
      </c>
      <c r="AR198" s="66" t="n">
        <f aca="false">AR195+AR196+AR197</f>
        <v>19761.610752</v>
      </c>
      <c r="AS198" s="66" t="n">
        <f aca="false">AS195+AS196+AS197</f>
        <v>19761.610752</v>
      </c>
      <c r="AT198" s="66" t="n">
        <f aca="false">AT195+AT196+AT197</f>
        <v>19761.610752</v>
      </c>
      <c r="AU198" s="66" t="n">
        <f aca="false">AU195+AU196+AU197</f>
        <v>19761.610752</v>
      </c>
      <c r="AV198" s="66" t="n">
        <f aca="false">AV195+AV196+AV197</f>
        <v>19761.610752</v>
      </c>
      <c r="AW198" s="66" t="n">
        <f aca="false">AW195+AW196+AW197</f>
        <v>19761.610752</v>
      </c>
      <c r="AX198" s="66" t="n">
        <f aca="false">AX195+AX196+AX197</f>
        <v>19761.610752</v>
      </c>
      <c r="AY198" s="66" t="n">
        <f aca="false">AY195+AY196+AY197</f>
        <v>20552.07518208</v>
      </c>
      <c r="AZ198" s="66" t="n">
        <f aca="false">AZ195+AZ196+AZ197</f>
        <v>20552.07518208</v>
      </c>
      <c r="BA198" s="66" t="n">
        <f aca="false">BA195+BA196+BA197</f>
        <v>20552.07518208</v>
      </c>
      <c r="BB198" s="66" t="n">
        <f aca="false">BB195+BB196+BB197</f>
        <v>20552.07518208</v>
      </c>
      <c r="BC198" s="66" t="n">
        <f aca="false">BC195+BC196+BC197</f>
        <v>20552.07518208</v>
      </c>
      <c r="BD198" s="66" t="n">
        <f aca="false">BD195+BD196+BD197</f>
        <v>20552.07518208</v>
      </c>
      <c r="BE198" s="66" t="n">
        <f aca="false">BE195+BE196+BE197</f>
        <v>20552.07518208</v>
      </c>
      <c r="BF198" s="66" t="n">
        <f aca="false">BF195+BF196+BF197</f>
        <v>20552.07518208</v>
      </c>
      <c r="BG198" s="66" t="n">
        <f aca="false">BG195+BG196+BG197</f>
        <v>20552.07518208</v>
      </c>
      <c r="BH198" s="66" t="n">
        <f aca="false">BH195+BH196+BH197</f>
        <v>20552.07518208</v>
      </c>
      <c r="BI198" s="66" t="n">
        <f aca="false">BI195+BI196+BI197</f>
        <v>20552.07518208</v>
      </c>
      <c r="BJ198" s="66" t="n">
        <f aca="false">BJ195+BJ196+BJ197</f>
        <v>20552.07518208</v>
      </c>
    </row>
    <row r="200" customFormat="false" ht="15.75" hidden="false" customHeight="true" outlineLevel="0" collapsed="false">
      <c r="A200" s="7" t="s">
        <v>76</v>
      </c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customFormat="false" ht="15" hidden="false" customHeight="false" outlineLevel="0" collapsed="false">
      <c r="A201" s="6" t="s">
        <v>418</v>
      </c>
      <c r="C201" s="65" t="n">
        <f aca="false">-(C195+C196)*Inputs!$D$19</f>
        <v>-864</v>
      </c>
      <c r="D201" s="65" t="n">
        <f aca="false">-(D195+D196)*Inputs!$D$19</f>
        <v>-864</v>
      </c>
      <c r="E201" s="65" t="n">
        <f aca="false">-(E195+E196)*Inputs!$D$19</f>
        <v>-864</v>
      </c>
      <c r="F201" s="65" t="n">
        <f aca="false">-(F195+F196)*Inputs!$D$19</f>
        <v>-864</v>
      </c>
      <c r="G201" s="65" t="n">
        <f aca="false">-(G195+G196)*Inputs!$D$19</f>
        <v>-864</v>
      </c>
      <c r="H201" s="65" t="n">
        <f aca="false">-(H195+H196)*Inputs!$D$19</f>
        <v>-864</v>
      </c>
      <c r="I201" s="65" t="n">
        <f aca="false">-(I195+I196)*Inputs!$D$19</f>
        <v>-864</v>
      </c>
      <c r="J201" s="65" t="n">
        <f aca="false">-(J195+J196)*Inputs!$D$19</f>
        <v>-864</v>
      </c>
      <c r="K201" s="65" t="n">
        <f aca="false">-(K195+K196)*Inputs!$D$19</f>
        <v>-864</v>
      </c>
      <c r="L201" s="65" t="n">
        <f aca="false">-(L195+L196)*Inputs!$D$19</f>
        <v>-864</v>
      </c>
      <c r="M201" s="65" t="n">
        <f aca="false">-(M195+M196)*Inputs!$D$19</f>
        <v>-864</v>
      </c>
      <c r="N201" s="65" t="n">
        <f aca="false">-(N195+N196)*Inputs!$D$19</f>
        <v>-864</v>
      </c>
      <c r="O201" s="65" t="n">
        <f aca="false">-(O195+O196)*Inputs!$D$19</f>
        <v>-898.56</v>
      </c>
      <c r="P201" s="65" t="n">
        <f aca="false">-(P195+P196)*Inputs!$D$19</f>
        <v>-898.56</v>
      </c>
      <c r="Q201" s="65" t="n">
        <f aca="false">-(Q195+Q196)*Inputs!$D$19</f>
        <v>-898.56</v>
      </c>
      <c r="R201" s="65" t="n">
        <f aca="false">-(R195+R196)*Inputs!$D$19</f>
        <v>-898.56</v>
      </c>
      <c r="S201" s="65" t="n">
        <f aca="false">-(S195+S196)*Inputs!$D$19</f>
        <v>-898.56</v>
      </c>
      <c r="T201" s="65" t="n">
        <f aca="false">-(T195+T196)*Inputs!$D$19</f>
        <v>-898.56</v>
      </c>
      <c r="U201" s="65" t="n">
        <f aca="false">-(U195+U196)*Inputs!$D$19</f>
        <v>-898.56</v>
      </c>
      <c r="V201" s="65" t="n">
        <f aca="false">-(V195+V196)*Inputs!$D$19</f>
        <v>-898.56</v>
      </c>
      <c r="W201" s="65" t="n">
        <f aca="false">-(W195+W196)*Inputs!$D$19</f>
        <v>-898.56</v>
      </c>
      <c r="X201" s="65" t="n">
        <f aca="false">-(X195+X196)*Inputs!$D$19</f>
        <v>-898.56</v>
      </c>
      <c r="Y201" s="65" t="n">
        <f aca="false">-(Y195+Y196)*Inputs!$D$19</f>
        <v>-898.56</v>
      </c>
      <c r="Z201" s="65" t="n">
        <f aca="false">-(Z195+Z196)*Inputs!$D$19</f>
        <v>-898.56</v>
      </c>
      <c r="AA201" s="65" t="n">
        <f aca="false">-(AA195+AA196)*Inputs!$D$19</f>
        <v>-934.5024</v>
      </c>
      <c r="AB201" s="65" t="n">
        <f aca="false">-(AB195+AB196)*Inputs!$D$19</f>
        <v>-934.5024</v>
      </c>
      <c r="AC201" s="65" t="n">
        <f aca="false">-(AC195+AC196)*Inputs!$D$19</f>
        <v>-934.5024</v>
      </c>
      <c r="AD201" s="65" t="n">
        <f aca="false">-(AD195+AD196)*Inputs!$D$19</f>
        <v>-934.5024</v>
      </c>
      <c r="AE201" s="65" t="n">
        <f aca="false">-(AE195+AE196)*Inputs!$D$19</f>
        <v>-934.5024</v>
      </c>
      <c r="AF201" s="65" t="n">
        <f aca="false">-(AF195+AF196)*Inputs!$D$19</f>
        <v>-934.5024</v>
      </c>
      <c r="AG201" s="65" t="n">
        <f aca="false">-(AG195+AG196)*Inputs!$D$19</f>
        <v>-934.5024</v>
      </c>
      <c r="AH201" s="65" t="n">
        <f aca="false">-(AH195+AH196)*Inputs!$D$19</f>
        <v>-934.5024</v>
      </c>
      <c r="AI201" s="65" t="n">
        <f aca="false">-(AI195+AI196)*Inputs!$D$19</f>
        <v>-934.5024</v>
      </c>
      <c r="AJ201" s="65" t="n">
        <f aca="false">-(AJ195+AJ196)*Inputs!$D$19</f>
        <v>-934.5024</v>
      </c>
      <c r="AK201" s="65" t="n">
        <f aca="false">-(AK195+AK196)*Inputs!$D$19</f>
        <v>-934.5024</v>
      </c>
      <c r="AL201" s="65" t="n">
        <f aca="false">-(AL195+AL196)*Inputs!$D$19</f>
        <v>-934.5024</v>
      </c>
      <c r="AM201" s="65" t="n">
        <f aca="false">-(AM195+AM196)*Inputs!$D$19</f>
        <v>-971.882496</v>
      </c>
      <c r="AN201" s="65" t="n">
        <f aca="false">-(AN195+AN196)*Inputs!$D$19</f>
        <v>-971.882496</v>
      </c>
      <c r="AO201" s="65" t="n">
        <f aca="false">-(AO195+AO196)*Inputs!$D$19</f>
        <v>-971.882496</v>
      </c>
      <c r="AP201" s="65" t="n">
        <f aca="false">-(AP195+AP196)*Inputs!$D$19</f>
        <v>-971.882496</v>
      </c>
      <c r="AQ201" s="65" t="n">
        <f aca="false">-(AQ195+AQ196)*Inputs!$D$19</f>
        <v>-971.882496</v>
      </c>
      <c r="AR201" s="65" t="n">
        <f aca="false">-(AR195+AR196)*Inputs!$D$19</f>
        <v>-971.882496</v>
      </c>
      <c r="AS201" s="65" t="n">
        <f aca="false">-(AS195+AS196)*Inputs!$D$19</f>
        <v>-971.882496</v>
      </c>
      <c r="AT201" s="65" t="n">
        <f aca="false">-(AT195+AT196)*Inputs!$D$19</f>
        <v>-971.882496</v>
      </c>
      <c r="AU201" s="65" t="n">
        <f aca="false">-(AU195+AU196)*Inputs!$D$19</f>
        <v>-971.882496</v>
      </c>
      <c r="AV201" s="65" t="n">
        <f aca="false">-(AV195+AV196)*Inputs!$D$19</f>
        <v>-971.882496</v>
      </c>
      <c r="AW201" s="65" t="n">
        <f aca="false">-(AW195+AW196)*Inputs!$D$19</f>
        <v>-971.882496</v>
      </c>
      <c r="AX201" s="65" t="n">
        <f aca="false">-(AX195+AX196)*Inputs!$D$19</f>
        <v>-971.882496</v>
      </c>
      <c r="AY201" s="65" t="n">
        <f aca="false">-(AY195+AY196)*Inputs!$D$19</f>
        <v>-1010.75779584</v>
      </c>
      <c r="AZ201" s="65" t="n">
        <f aca="false">-(AZ195+AZ196)*Inputs!$D$19</f>
        <v>-1010.75779584</v>
      </c>
      <c r="BA201" s="65" t="n">
        <f aca="false">-(BA195+BA196)*Inputs!$D$19</f>
        <v>-1010.75779584</v>
      </c>
      <c r="BB201" s="65" t="n">
        <f aca="false">-(BB195+BB196)*Inputs!$D$19</f>
        <v>-1010.75779584</v>
      </c>
      <c r="BC201" s="65" t="n">
        <f aca="false">-(BC195+BC196)*Inputs!$D$19</f>
        <v>-1010.75779584</v>
      </c>
      <c r="BD201" s="65" t="n">
        <f aca="false">-(BD195+BD196)*Inputs!$D$19</f>
        <v>-1010.75779584</v>
      </c>
      <c r="BE201" s="65" t="n">
        <f aca="false">-(BE195+BE196)*Inputs!$D$19</f>
        <v>-1010.75779584</v>
      </c>
      <c r="BF201" s="65" t="n">
        <f aca="false">-(BF195+BF196)*Inputs!$D$19</f>
        <v>-1010.75779584</v>
      </c>
      <c r="BG201" s="65" t="n">
        <f aca="false">-(BG195+BG196)*Inputs!$D$19</f>
        <v>-1010.75779584</v>
      </c>
      <c r="BH201" s="65" t="n">
        <f aca="false">-(BH195+BH196)*Inputs!$D$19</f>
        <v>-1010.75779584</v>
      </c>
      <c r="BI201" s="65" t="n">
        <f aca="false">-(BI195+BI196)*Inputs!$D$19</f>
        <v>-1010.75779584</v>
      </c>
      <c r="BJ201" s="65" t="n">
        <f aca="false">-(BJ195+BJ196)*Inputs!$D$19</f>
        <v>-1010.75779584</v>
      </c>
    </row>
    <row r="202" customFormat="false" ht="15" hidden="false" customHeight="false" outlineLevel="0" collapsed="false">
      <c r="A202" s="6" t="s">
        <v>419</v>
      </c>
      <c r="C202" s="65" t="n">
        <f aca="false">-Inputs!$D$20*(1+Inputs!$D$25)^(C$191-1)*1</f>
        <v>-900</v>
      </c>
      <c r="D202" s="65" t="n">
        <f aca="false">-Inputs!$D$20*(1+Inputs!$D$25)^(D$191-1)*1</f>
        <v>-900</v>
      </c>
      <c r="E202" s="65" t="n">
        <f aca="false">-Inputs!$D$20*(1+Inputs!$D$25)^(E$191-1)*1</f>
        <v>-900</v>
      </c>
      <c r="F202" s="65" t="n">
        <f aca="false">-Inputs!$D$20*(1+Inputs!$D$25)^(F$191-1)*1</f>
        <v>-900</v>
      </c>
      <c r="G202" s="65" t="n">
        <f aca="false">-Inputs!$D$20*(1+Inputs!$D$25)^(G$191-1)*1</f>
        <v>-900</v>
      </c>
      <c r="H202" s="65" t="n">
        <f aca="false">-Inputs!$D$20*(1+Inputs!$D$25)^(H$191-1)*1</f>
        <v>-900</v>
      </c>
      <c r="I202" s="65" t="n">
        <f aca="false">-Inputs!$D$20*(1+Inputs!$D$25)^(I$191-1)*1</f>
        <v>-900</v>
      </c>
      <c r="J202" s="65" t="n">
        <f aca="false">-Inputs!$D$20*(1+Inputs!$D$25)^(J$191-1)*1</f>
        <v>-900</v>
      </c>
      <c r="K202" s="65" t="n">
        <f aca="false">-Inputs!$D$20*(1+Inputs!$D$25)^(K$191-1)*1</f>
        <v>-900</v>
      </c>
      <c r="L202" s="65" t="n">
        <f aca="false">-Inputs!$D$20*(1+Inputs!$D$25)^(L$191-1)*1</f>
        <v>-900</v>
      </c>
      <c r="M202" s="65" t="n">
        <f aca="false">-Inputs!$D$20*(1+Inputs!$D$25)^(M$191-1)*1</f>
        <v>-900</v>
      </c>
      <c r="N202" s="65" t="n">
        <f aca="false">-Inputs!$D$20*(1+Inputs!$D$25)^(N$191-1)*1</f>
        <v>-900</v>
      </c>
      <c r="O202" s="65" t="n">
        <f aca="false">-Inputs!$D$20*(1+Inputs!$D$25)^(O$191-1)*1</f>
        <v>-922.5</v>
      </c>
      <c r="P202" s="65" t="n">
        <f aca="false">-Inputs!$D$20*(1+Inputs!$D$25)^(P$191-1)*1</f>
        <v>-922.5</v>
      </c>
      <c r="Q202" s="65" t="n">
        <f aca="false">-Inputs!$D$20*(1+Inputs!$D$25)^(Q$191-1)*1</f>
        <v>-922.5</v>
      </c>
      <c r="R202" s="65" t="n">
        <f aca="false">-Inputs!$D$20*(1+Inputs!$D$25)^(R$191-1)*1</f>
        <v>-922.5</v>
      </c>
      <c r="S202" s="65" t="n">
        <f aca="false">-Inputs!$D$20*(1+Inputs!$D$25)^(S$191-1)*1</f>
        <v>-922.5</v>
      </c>
      <c r="T202" s="65" t="n">
        <f aca="false">-Inputs!$D$20*(1+Inputs!$D$25)^(T$191-1)*1</f>
        <v>-922.5</v>
      </c>
      <c r="U202" s="65" t="n">
        <f aca="false">-Inputs!$D$20*(1+Inputs!$D$25)^(U$191-1)*1</f>
        <v>-922.5</v>
      </c>
      <c r="V202" s="65" t="n">
        <f aca="false">-Inputs!$D$20*(1+Inputs!$D$25)^(V$191-1)*1</f>
        <v>-922.5</v>
      </c>
      <c r="W202" s="65" t="n">
        <f aca="false">-Inputs!$D$20*(1+Inputs!$D$25)^(W$191-1)*1</f>
        <v>-922.5</v>
      </c>
      <c r="X202" s="65" t="n">
        <f aca="false">-Inputs!$D$20*(1+Inputs!$D$25)^(X$191-1)*1</f>
        <v>-922.5</v>
      </c>
      <c r="Y202" s="65" t="n">
        <f aca="false">-Inputs!$D$20*(1+Inputs!$D$25)^(Y$191-1)*1</f>
        <v>-922.5</v>
      </c>
      <c r="Z202" s="65" t="n">
        <f aca="false">-Inputs!$D$20*(1+Inputs!$D$25)^(Z$191-1)*1</f>
        <v>-922.5</v>
      </c>
      <c r="AA202" s="65" t="n">
        <f aca="false">-Inputs!$D$20*(1+Inputs!$D$25)^(AA$191-1)*1</f>
        <v>-945.5625</v>
      </c>
      <c r="AB202" s="65" t="n">
        <f aca="false">-Inputs!$D$20*(1+Inputs!$D$25)^(AB$191-1)*1</f>
        <v>-945.5625</v>
      </c>
      <c r="AC202" s="65" t="n">
        <f aca="false">-Inputs!$D$20*(1+Inputs!$D$25)^(AC$191-1)*1</f>
        <v>-945.5625</v>
      </c>
      <c r="AD202" s="65" t="n">
        <f aca="false">-Inputs!$D$20*(1+Inputs!$D$25)^(AD$191-1)*1</f>
        <v>-945.5625</v>
      </c>
      <c r="AE202" s="65" t="n">
        <f aca="false">-Inputs!$D$20*(1+Inputs!$D$25)^(AE$191-1)*1</f>
        <v>-945.5625</v>
      </c>
      <c r="AF202" s="65" t="n">
        <f aca="false">-Inputs!$D$20*(1+Inputs!$D$25)^(AF$191-1)*1</f>
        <v>-945.5625</v>
      </c>
      <c r="AG202" s="65" t="n">
        <f aca="false">-Inputs!$D$20*(1+Inputs!$D$25)^(AG$191-1)*1</f>
        <v>-945.5625</v>
      </c>
      <c r="AH202" s="65" t="n">
        <f aca="false">-Inputs!$D$20*(1+Inputs!$D$25)^(AH$191-1)*1</f>
        <v>-945.5625</v>
      </c>
      <c r="AI202" s="65" t="n">
        <f aca="false">-Inputs!$D$20*(1+Inputs!$D$25)^(AI$191-1)*1</f>
        <v>-945.5625</v>
      </c>
      <c r="AJ202" s="65" t="n">
        <f aca="false">-Inputs!$D$20*(1+Inputs!$D$25)^(AJ$191-1)*1</f>
        <v>-945.5625</v>
      </c>
      <c r="AK202" s="65" t="n">
        <f aca="false">-Inputs!$D$20*(1+Inputs!$D$25)^(AK$191-1)*1</f>
        <v>-945.5625</v>
      </c>
      <c r="AL202" s="65" t="n">
        <f aca="false">-Inputs!$D$20*(1+Inputs!$D$25)^(AL$191-1)*1</f>
        <v>-945.5625</v>
      </c>
      <c r="AM202" s="65" t="n">
        <f aca="false">-Inputs!$D$20*(1+Inputs!$D$25)^(AM$191-1)*1</f>
        <v>-969.2015625</v>
      </c>
      <c r="AN202" s="65" t="n">
        <f aca="false">-Inputs!$D$20*(1+Inputs!$D$25)^(AN$191-1)*1</f>
        <v>-969.2015625</v>
      </c>
      <c r="AO202" s="65" t="n">
        <f aca="false">-Inputs!$D$20*(1+Inputs!$D$25)^(AO$191-1)*1</f>
        <v>-969.2015625</v>
      </c>
      <c r="AP202" s="65" t="n">
        <f aca="false">-Inputs!$D$20*(1+Inputs!$D$25)^(AP$191-1)*1</f>
        <v>-969.2015625</v>
      </c>
      <c r="AQ202" s="65" t="n">
        <f aca="false">-Inputs!$D$20*(1+Inputs!$D$25)^(AQ$191-1)*1</f>
        <v>-969.2015625</v>
      </c>
      <c r="AR202" s="65" t="n">
        <f aca="false">-Inputs!$D$20*(1+Inputs!$D$25)^(AR$191-1)*1</f>
        <v>-969.2015625</v>
      </c>
      <c r="AS202" s="65" t="n">
        <f aca="false">-Inputs!$D$20*(1+Inputs!$D$25)^(AS$191-1)*1</f>
        <v>-969.2015625</v>
      </c>
      <c r="AT202" s="65" t="n">
        <f aca="false">-Inputs!$D$20*(1+Inputs!$D$25)^(AT$191-1)*1</f>
        <v>-969.2015625</v>
      </c>
      <c r="AU202" s="65" t="n">
        <f aca="false">-Inputs!$D$20*(1+Inputs!$D$25)^(AU$191-1)*1</f>
        <v>-969.2015625</v>
      </c>
      <c r="AV202" s="65" t="n">
        <f aca="false">-Inputs!$D$20*(1+Inputs!$D$25)^(AV$191-1)*1</f>
        <v>-969.2015625</v>
      </c>
      <c r="AW202" s="65" t="n">
        <f aca="false">-Inputs!$D$20*(1+Inputs!$D$25)^(AW$191-1)*1</f>
        <v>-969.2015625</v>
      </c>
      <c r="AX202" s="65" t="n">
        <f aca="false">-Inputs!$D$20*(1+Inputs!$D$25)^(AX$191-1)*1</f>
        <v>-969.2015625</v>
      </c>
      <c r="AY202" s="65" t="n">
        <f aca="false">-Inputs!$D$20*(1+Inputs!$D$25)^(AY$191-1)*1</f>
        <v>-993.4316015625</v>
      </c>
      <c r="AZ202" s="65" t="n">
        <f aca="false">-Inputs!$D$20*(1+Inputs!$D$25)^(AZ$191-1)*1</f>
        <v>-993.4316015625</v>
      </c>
      <c r="BA202" s="65" t="n">
        <f aca="false">-Inputs!$D$20*(1+Inputs!$D$25)^(BA$191-1)*1</f>
        <v>-993.4316015625</v>
      </c>
      <c r="BB202" s="65" t="n">
        <f aca="false">-Inputs!$D$20*(1+Inputs!$D$25)^(BB$191-1)*1</f>
        <v>-993.4316015625</v>
      </c>
      <c r="BC202" s="65" t="n">
        <f aca="false">-Inputs!$D$20*(1+Inputs!$D$25)^(BC$191-1)*1</f>
        <v>-993.4316015625</v>
      </c>
      <c r="BD202" s="65" t="n">
        <f aca="false">-Inputs!$D$20*(1+Inputs!$D$25)^(BD$191-1)*1</f>
        <v>-993.4316015625</v>
      </c>
      <c r="BE202" s="65" t="n">
        <f aca="false">-Inputs!$D$20*(1+Inputs!$D$25)^(BE$191-1)*1</f>
        <v>-993.4316015625</v>
      </c>
      <c r="BF202" s="65" t="n">
        <f aca="false">-Inputs!$D$20*(1+Inputs!$D$25)^(BF$191-1)*1</f>
        <v>-993.4316015625</v>
      </c>
      <c r="BG202" s="65" t="n">
        <f aca="false">-Inputs!$D$20*(1+Inputs!$D$25)^(BG$191-1)*1</f>
        <v>-993.4316015625</v>
      </c>
      <c r="BH202" s="65" t="n">
        <f aca="false">-Inputs!$D$20*(1+Inputs!$D$25)^(BH$191-1)*1</f>
        <v>-993.4316015625</v>
      </c>
      <c r="BI202" s="65" t="n">
        <f aca="false">-Inputs!$D$20*(1+Inputs!$D$25)^(BI$191-1)*1</f>
        <v>-993.4316015625</v>
      </c>
      <c r="BJ202" s="65" t="n">
        <f aca="false">-Inputs!$D$20*(1+Inputs!$D$25)^(BJ$191-1)*1</f>
        <v>-993.4316015625</v>
      </c>
    </row>
    <row r="203" customFormat="false" ht="15" hidden="false" customHeight="false" outlineLevel="0" collapsed="false">
      <c r="A203" s="4" t="s">
        <v>76</v>
      </c>
      <c r="C203" s="71" t="n">
        <f aca="false">C201+C202</f>
        <v>-1764</v>
      </c>
      <c r="D203" s="71" t="n">
        <f aca="false">D201+D202</f>
        <v>-1764</v>
      </c>
      <c r="E203" s="71" t="n">
        <f aca="false">E201+E202</f>
        <v>-1764</v>
      </c>
      <c r="F203" s="71" t="n">
        <f aca="false">F201+F202</f>
        <v>-1764</v>
      </c>
      <c r="G203" s="71" t="n">
        <f aca="false">G201+G202</f>
        <v>-1764</v>
      </c>
      <c r="H203" s="71" t="n">
        <f aca="false">H201+H202</f>
        <v>-1764</v>
      </c>
      <c r="I203" s="71" t="n">
        <f aca="false">I201+I202</f>
        <v>-1764</v>
      </c>
      <c r="J203" s="71" t="n">
        <f aca="false">J201+J202</f>
        <v>-1764</v>
      </c>
      <c r="K203" s="71" t="n">
        <f aca="false">K201+K202</f>
        <v>-1764</v>
      </c>
      <c r="L203" s="71" t="n">
        <f aca="false">L201+L202</f>
        <v>-1764</v>
      </c>
      <c r="M203" s="71" t="n">
        <f aca="false">M201+M202</f>
        <v>-1764</v>
      </c>
      <c r="N203" s="71" t="n">
        <f aca="false">N201+N202</f>
        <v>-1764</v>
      </c>
      <c r="O203" s="71" t="n">
        <f aca="false">O201+O202</f>
        <v>-1821.06</v>
      </c>
      <c r="P203" s="71" t="n">
        <f aca="false">P201+P202</f>
        <v>-1821.06</v>
      </c>
      <c r="Q203" s="71" t="n">
        <f aca="false">Q201+Q202</f>
        <v>-1821.06</v>
      </c>
      <c r="R203" s="71" t="n">
        <f aca="false">R201+R202</f>
        <v>-1821.06</v>
      </c>
      <c r="S203" s="71" t="n">
        <f aca="false">S201+S202</f>
        <v>-1821.06</v>
      </c>
      <c r="T203" s="71" t="n">
        <f aca="false">T201+T202</f>
        <v>-1821.06</v>
      </c>
      <c r="U203" s="71" t="n">
        <f aca="false">U201+U202</f>
        <v>-1821.06</v>
      </c>
      <c r="V203" s="71" t="n">
        <f aca="false">V201+V202</f>
        <v>-1821.06</v>
      </c>
      <c r="W203" s="71" t="n">
        <f aca="false">W201+W202</f>
        <v>-1821.06</v>
      </c>
      <c r="X203" s="71" t="n">
        <f aca="false">X201+X202</f>
        <v>-1821.06</v>
      </c>
      <c r="Y203" s="71" t="n">
        <f aca="false">Y201+Y202</f>
        <v>-1821.06</v>
      </c>
      <c r="Z203" s="71" t="n">
        <f aca="false">Z201+Z202</f>
        <v>-1821.06</v>
      </c>
      <c r="AA203" s="71" t="n">
        <f aca="false">AA201+AA202</f>
        <v>-1880.0649</v>
      </c>
      <c r="AB203" s="71" t="n">
        <f aca="false">AB201+AB202</f>
        <v>-1880.0649</v>
      </c>
      <c r="AC203" s="71" t="n">
        <f aca="false">AC201+AC202</f>
        <v>-1880.0649</v>
      </c>
      <c r="AD203" s="71" t="n">
        <f aca="false">AD201+AD202</f>
        <v>-1880.0649</v>
      </c>
      <c r="AE203" s="71" t="n">
        <f aca="false">AE201+AE202</f>
        <v>-1880.0649</v>
      </c>
      <c r="AF203" s="71" t="n">
        <f aca="false">AF201+AF202</f>
        <v>-1880.0649</v>
      </c>
      <c r="AG203" s="71" t="n">
        <f aca="false">AG201+AG202</f>
        <v>-1880.0649</v>
      </c>
      <c r="AH203" s="71" t="n">
        <f aca="false">AH201+AH202</f>
        <v>-1880.0649</v>
      </c>
      <c r="AI203" s="71" t="n">
        <f aca="false">AI201+AI202</f>
        <v>-1880.0649</v>
      </c>
      <c r="AJ203" s="71" t="n">
        <f aca="false">AJ201+AJ202</f>
        <v>-1880.0649</v>
      </c>
      <c r="AK203" s="71" t="n">
        <f aca="false">AK201+AK202</f>
        <v>-1880.0649</v>
      </c>
      <c r="AL203" s="71" t="n">
        <f aca="false">AL201+AL202</f>
        <v>-1880.0649</v>
      </c>
      <c r="AM203" s="71" t="n">
        <f aca="false">AM201+AM202</f>
        <v>-1941.0840585</v>
      </c>
      <c r="AN203" s="71" t="n">
        <f aca="false">AN201+AN202</f>
        <v>-1941.0840585</v>
      </c>
      <c r="AO203" s="71" t="n">
        <f aca="false">AO201+AO202</f>
        <v>-1941.0840585</v>
      </c>
      <c r="AP203" s="71" t="n">
        <f aca="false">AP201+AP202</f>
        <v>-1941.0840585</v>
      </c>
      <c r="AQ203" s="71" t="n">
        <f aca="false">AQ201+AQ202</f>
        <v>-1941.0840585</v>
      </c>
      <c r="AR203" s="71" t="n">
        <f aca="false">AR201+AR202</f>
        <v>-1941.0840585</v>
      </c>
      <c r="AS203" s="71" t="n">
        <f aca="false">AS201+AS202</f>
        <v>-1941.0840585</v>
      </c>
      <c r="AT203" s="71" t="n">
        <f aca="false">AT201+AT202</f>
        <v>-1941.0840585</v>
      </c>
      <c r="AU203" s="71" t="n">
        <f aca="false">AU201+AU202</f>
        <v>-1941.0840585</v>
      </c>
      <c r="AV203" s="71" t="n">
        <f aca="false">AV201+AV202</f>
        <v>-1941.0840585</v>
      </c>
      <c r="AW203" s="71" t="n">
        <f aca="false">AW201+AW202</f>
        <v>-1941.0840585</v>
      </c>
      <c r="AX203" s="71" t="n">
        <f aca="false">AX201+AX202</f>
        <v>-1941.0840585</v>
      </c>
      <c r="AY203" s="71" t="n">
        <f aca="false">AY201+AY202</f>
        <v>-2004.1893974025</v>
      </c>
      <c r="AZ203" s="71" t="n">
        <f aca="false">AZ201+AZ202</f>
        <v>-2004.1893974025</v>
      </c>
      <c r="BA203" s="71" t="n">
        <f aca="false">BA201+BA202</f>
        <v>-2004.1893974025</v>
      </c>
      <c r="BB203" s="71" t="n">
        <f aca="false">BB201+BB202</f>
        <v>-2004.1893974025</v>
      </c>
      <c r="BC203" s="71" t="n">
        <f aca="false">BC201+BC202</f>
        <v>-2004.1893974025</v>
      </c>
      <c r="BD203" s="71" t="n">
        <f aca="false">BD201+BD202</f>
        <v>-2004.1893974025</v>
      </c>
      <c r="BE203" s="71" t="n">
        <f aca="false">BE201+BE202</f>
        <v>-2004.1893974025</v>
      </c>
      <c r="BF203" s="71" t="n">
        <f aca="false">BF201+BF202</f>
        <v>-2004.1893974025</v>
      </c>
      <c r="BG203" s="71" t="n">
        <f aca="false">BG201+BG202</f>
        <v>-2004.1893974025</v>
      </c>
      <c r="BH203" s="71" t="n">
        <f aca="false">BH201+BH202</f>
        <v>-2004.1893974025</v>
      </c>
      <c r="BI203" s="71" t="n">
        <f aca="false">BI201+BI202</f>
        <v>-2004.1893974025</v>
      </c>
      <c r="BJ203" s="71" t="n">
        <f aca="false">BJ201+BJ202</f>
        <v>-2004.1893974025</v>
      </c>
    </row>
    <row r="204" customFormat="false" ht="15" hidden="false" customHeight="false" outlineLevel="0" collapsed="false">
      <c r="A204" s="108" t="s">
        <v>46</v>
      </c>
      <c r="C204" s="66" t="n">
        <f aca="false">C198+C203</f>
        <v>15804</v>
      </c>
      <c r="D204" s="66" t="n">
        <f aca="false">D198+D203</f>
        <v>15804</v>
      </c>
      <c r="E204" s="66" t="n">
        <f aca="false">E198+E203</f>
        <v>15804</v>
      </c>
      <c r="F204" s="66" t="n">
        <f aca="false">F198+F203</f>
        <v>15804</v>
      </c>
      <c r="G204" s="66" t="n">
        <f aca="false">G198+G203</f>
        <v>15804</v>
      </c>
      <c r="H204" s="66" t="n">
        <f aca="false">H198+H203</f>
        <v>15804</v>
      </c>
      <c r="I204" s="66" t="n">
        <f aca="false">I198+I203</f>
        <v>15804</v>
      </c>
      <c r="J204" s="66" t="n">
        <f aca="false">J198+J203</f>
        <v>15804</v>
      </c>
      <c r="K204" s="66" t="n">
        <f aca="false">K198+K203</f>
        <v>15804</v>
      </c>
      <c r="L204" s="66" t="n">
        <f aca="false">L198+L203</f>
        <v>15804</v>
      </c>
      <c r="M204" s="66" t="n">
        <f aca="false">M198+M203</f>
        <v>15804</v>
      </c>
      <c r="N204" s="66" t="n">
        <f aca="false">N198+N203</f>
        <v>15804</v>
      </c>
      <c r="O204" s="66" t="n">
        <f aca="false">O198+O203</f>
        <v>16449.66</v>
      </c>
      <c r="P204" s="66" t="n">
        <f aca="false">P198+P203</f>
        <v>16449.66</v>
      </c>
      <c r="Q204" s="66" t="n">
        <f aca="false">Q198+Q203</f>
        <v>16449.66</v>
      </c>
      <c r="R204" s="66" t="n">
        <f aca="false">R198+R203</f>
        <v>16449.66</v>
      </c>
      <c r="S204" s="66" t="n">
        <f aca="false">S198+S203</f>
        <v>16449.66</v>
      </c>
      <c r="T204" s="66" t="n">
        <f aca="false">T198+T203</f>
        <v>16449.66</v>
      </c>
      <c r="U204" s="66" t="n">
        <f aca="false">U198+U203</f>
        <v>16449.66</v>
      </c>
      <c r="V204" s="66" t="n">
        <f aca="false">V198+V203</f>
        <v>16449.66</v>
      </c>
      <c r="W204" s="66" t="n">
        <f aca="false">W198+W203</f>
        <v>16449.66</v>
      </c>
      <c r="X204" s="66" t="n">
        <f aca="false">X198+X203</f>
        <v>16449.66</v>
      </c>
      <c r="Y204" s="66" t="n">
        <f aca="false">Y198+Y203</f>
        <v>16449.66</v>
      </c>
      <c r="Z204" s="66" t="n">
        <f aca="false">Z198+Z203</f>
        <v>16449.66</v>
      </c>
      <c r="AA204" s="66" t="n">
        <f aca="false">AA198+AA203</f>
        <v>17121.4839</v>
      </c>
      <c r="AB204" s="66" t="n">
        <f aca="false">AB198+AB203</f>
        <v>17121.4839</v>
      </c>
      <c r="AC204" s="66" t="n">
        <f aca="false">AC198+AC203</f>
        <v>17121.4839</v>
      </c>
      <c r="AD204" s="66" t="n">
        <f aca="false">AD198+AD203</f>
        <v>17121.4839</v>
      </c>
      <c r="AE204" s="66" t="n">
        <f aca="false">AE198+AE203</f>
        <v>17121.4839</v>
      </c>
      <c r="AF204" s="66" t="n">
        <f aca="false">AF198+AF203</f>
        <v>17121.4839</v>
      </c>
      <c r="AG204" s="66" t="n">
        <f aca="false">AG198+AG203</f>
        <v>17121.4839</v>
      </c>
      <c r="AH204" s="66" t="n">
        <f aca="false">AH198+AH203</f>
        <v>17121.4839</v>
      </c>
      <c r="AI204" s="66" t="n">
        <f aca="false">AI198+AI203</f>
        <v>17121.4839</v>
      </c>
      <c r="AJ204" s="66" t="n">
        <f aca="false">AJ198+AJ203</f>
        <v>17121.4839</v>
      </c>
      <c r="AK204" s="66" t="n">
        <f aca="false">AK198+AK203</f>
        <v>17121.4839</v>
      </c>
      <c r="AL204" s="66" t="n">
        <f aca="false">AL198+AL203</f>
        <v>17121.4839</v>
      </c>
      <c r="AM204" s="66" t="n">
        <f aca="false">AM198+AM203</f>
        <v>17820.5266935</v>
      </c>
      <c r="AN204" s="66" t="n">
        <f aca="false">AN198+AN203</f>
        <v>17820.5266935</v>
      </c>
      <c r="AO204" s="66" t="n">
        <f aca="false">AO198+AO203</f>
        <v>17820.5266935</v>
      </c>
      <c r="AP204" s="66" t="n">
        <f aca="false">AP198+AP203</f>
        <v>17820.5266935</v>
      </c>
      <c r="AQ204" s="66" t="n">
        <f aca="false">AQ198+AQ203</f>
        <v>17820.5266935</v>
      </c>
      <c r="AR204" s="66" t="n">
        <f aca="false">AR198+AR203</f>
        <v>17820.5266935</v>
      </c>
      <c r="AS204" s="66" t="n">
        <f aca="false">AS198+AS203</f>
        <v>17820.5266935</v>
      </c>
      <c r="AT204" s="66" t="n">
        <f aca="false">AT198+AT203</f>
        <v>17820.5266935</v>
      </c>
      <c r="AU204" s="66" t="n">
        <f aca="false">AU198+AU203</f>
        <v>17820.5266935</v>
      </c>
      <c r="AV204" s="66" t="n">
        <f aca="false">AV198+AV203</f>
        <v>17820.5266935</v>
      </c>
      <c r="AW204" s="66" t="n">
        <f aca="false">AW198+AW203</f>
        <v>17820.5266935</v>
      </c>
      <c r="AX204" s="66" t="n">
        <f aca="false">AX198+AX203</f>
        <v>17820.5266935</v>
      </c>
      <c r="AY204" s="66" t="n">
        <f aca="false">AY198+AY203</f>
        <v>18547.8857846775</v>
      </c>
      <c r="AZ204" s="66" t="n">
        <f aca="false">AZ198+AZ203</f>
        <v>18547.8857846775</v>
      </c>
      <c r="BA204" s="66" t="n">
        <f aca="false">BA198+BA203</f>
        <v>18547.8857846775</v>
      </c>
      <c r="BB204" s="66" t="n">
        <f aca="false">BB198+BB203</f>
        <v>18547.8857846775</v>
      </c>
      <c r="BC204" s="66" t="n">
        <f aca="false">BC198+BC203</f>
        <v>18547.8857846775</v>
      </c>
      <c r="BD204" s="66" t="n">
        <f aca="false">BD198+BD203</f>
        <v>18547.8857846775</v>
      </c>
      <c r="BE204" s="66" t="n">
        <f aca="false">BE198+BE203</f>
        <v>18547.8857846775</v>
      </c>
      <c r="BF204" s="66" t="n">
        <f aca="false">BF198+BF203</f>
        <v>18547.8857846775</v>
      </c>
      <c r="BG204" s="66" t="n">
        <f aca="false">BG198+BG203</f>
        <v>18547.8857846775</v>
      </c>
      <c r="BH204" s="66" t="n">
        <f aca="false">BH198+BH203</f>
        <v>18547.8857846775</v>
      </c>
      <c r="BI204" s="66" t="n">
        <f aca="false">BI198+BI203</f>
        <v>18547.8857846775</v>
      </c>
      <c r="BJ204" s="66" t="n">
        <f aca="false">BJ198+BJ203</f>
        <v>18547.8857846775</v>
      </c>
    </row>
    <row r="206" customFormat="false" ht="15.75" hidden="false" customHeight="true" outlineLevel="0" collapsed="false">
      <c r="A206" s="7" t="s">
        <v>48</v>
      </c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customFormat="false" ht="15" hidden="false" customHeight="false" outlineLevel="0" collapsed="false">
      <c r="A207" s="6" t="s">
        <v>341</v>
      </c>
      <c r="C207" s="65" t="n">
        <f aca="false">-Inputs!$D$7*Inputs!$D$21/12*(1+Inputs!$D$25)^(C$191-1)*1</f>
        <v>-1695.83333333333</v>
      </c>
      <c r="D207" s="65" t="n">
        <f aca="false">-Inputs!$D$7*Inputs!$D$21/12*(1+Inputs!$D$25)^(D$191-1)*1</f>
        <v>-1695.83333333333</v>
      </c>
      <c r="E207" s="65" t="n">
        <f aca="false">-Inputs!$D$7*Inputs!$D$21/12*(1+Inputs!$D$25)^(E$191-1)*1</f>
        <v>-1695.83333333333</v>
      </c>
      <c r="F207" s="65" t="n">
        <f aca="false">-Inputs!$D$7*Inputs!$D$21/12*(1+Inputs!$D$25)^(F$191-1)*1</f>
        <v>-1695.83333333333</v>
      </c>
      <c r="G207" s="65" t="n">
        <f aca="false">-Inputs!$D$7*Inputs!$D$21/12*(1+Inputs!$D$25)^(G$191-1)*1</f>
        <v>-1695.83333333333</v>
      </c>
      <c r="H207" s="65" t="n">
        <f aca="false">-Inputs!$D$7*Inputs!$D$21/12*(1+Inputs!$D$25)^(H$191-1)*1</f>
        <v>-1695.83333333333</v>
      </c>
      <c r="I207" s="65" t="n">
        <f aca="false">-Inputs!$D$7*Inputs!$D$21/12*(1+Inputs!$D$25)^(I$191-1)*1</f>
        <v>-1695.83333333333</v>
      </c>
      <c r="J207" s="65" t="n">
        <f aca="false">-Inputs!$D$7*Inputs!$D$21/12*(1+Inputs!$D$25)^(J$191-1)*1</f>
        <v>-1695.83333333333</v>
      </c>
      <c r="K207" s="65" t="n">
        <f aca="false">-Inputs!$D$7*Inputs!$D$21/12*(1+Inputs!$D$25)^(K$191-1)*1</f>
        <v>-1695.83333333333</v>
      </c>
      <c r="L207" s="65" t="n">
        <f aca="false">-Inputs!$D$7*Inputs!$D$21/12*(1+Inputs!$D$25)^(L$191-1)*1</f>
        <v>-1695.83333333333</v>
      </c>
      <c r="M207" s="65" t="n">
        <f aca="false">-Inputs!$D$7*Inputs!$D$21/12*(1+Inputs!$D$25)^(M$191-1)*1</f>
        <v>-1695.83333333333</v>
      </c>
      <c r="N207" s="65" t="n">
        <f aca="false">-Inputs!$D$7*Inputs!$D$21/12*(1+Inputs!$D$25)^(N$191-1)*1</f>
        <v>-1695.83333333333</v>
      </c>
      <c r="O207" s="65" t="n">
        <f aca="false">-Inputs!$D$7*Inputs!$D$21/12*(1+Inputs!$D$25)^(O$191-1)*1</f>
        <v>-1738.22916666667</v>
      </c>
      <c r="P207" s="65" t="n">
        <f aca="false">-Inputs!$D$7*Inputs!$D$21/12*(1+Inputs!$D$25)^(P$191-1)*1</f>
        <v>-1738.22916666667</v>
      </c>
      <c r="Q207" s="65" t="n">
        <f aca="false">-Inputs!$D$7*Inputs!$D$21/12*(1+Inputs!$D$25)^(Q$191-1)*1</f>
        <v>-1738.22916666667</v>
      </c>
      <c r="R207" s="65" t="n">
        <f aca="false">-Inputs!$D$7*Inputs!$D$21/12*(1+Inputs!$D$25)^(R$191-1)*1</f>
        <v>-1738.22916666667</v>
      </c>
      <c r="S207" s="65" t="n">
        <f aca="false">-Inputs!$D$7*Inputs!$D$21/12*(1+Inputs!$D$25)^(S$191-1)*1</f>
        <v>-1738.22916666667</v>
      </c>
      <c r="T207" s="65" t="n">
        <f aca="false">-Inputs!$D$7*Inputs!$D$21/12*(1+Inputs!$D$25)^(T$191-1)*1</f>
        <v>-1738.22916666667</v>
      </c>
      <c r="U207" s="65" t="n">
        <f aca="false">-Inputs!$D$7*Inputs!$D$21/12*(1+Inputs!$D$25)^(U$191-1)*1</f>
        <v>-1738.22916666667</v>
      </c>
      <c r="V207" s="65" t="n">
        <f aca="false">-Inputs!$D$7*Inputs!$D$21/12*(1+Inputs!$D$25)^(V$191-1)*1</f>
        <v>-1738.22916666667</v>
      </c>
      <c r="W207" s="65" t="n">
        <f aca="false">-Inputs!$D$7*Inputs!$D$21/12*(1+Inputs!$D$25)^(W$191-1)*1</f>
        <v>-1738.22916666667</v>
      </c>
      <c r="X207" s="65" t="n">
        <f aca="false">-Inputs!$D$7*Inputs!$D$21/12*(1+Inputs!$D$25)^(X$191-1)*1</f>
        <v>-1738.22916666667</v>
      </c>
      <c r="Y207" s="65" t="n">
        <f aca="false">-Inputs!$D$7*Inputs!$D$21/12*(1+Inputs!$D$25)^(Y$191-1)*1</f>
        <v>-1738.22916666667</v>
      </c>
      <c r="Z207" s="65" t="n">
        <f aca="false">-Inputs!$D$7*Inputs!$D$21/12*(1+Inputs!$D$25)^(Z$191-1)*1</f>
        <v>-1738.22916666667</v>
      </c>
      <c r="AA207" s="65" t="n">
        <f aca="false">-Inputs!$D$7*Inputs!$D$21/12*(1+Inputs!$D$25)^(AA$191-1)*1</f>
        <v>-1781.68489583333</v>
      </c>
      <c r="AB207" s="65" t="n">
        <f aca="false">-Inputs!$D$7*Inputs!$D$21/12*(1+Inputs!$D$25)^(AB$191-1)*1</f>
        <v>-1781.68489583333</v>
      </c>
      <c r="AC207" s="65" t="n">
        <f aca="false">-Inputs!$D$7*Inputs!$D$21/12*(1+Inputs!$D$25)^(AC$191-1)*1</f>
        <v>-1781.68489583333</v>
      </c>
      <c r="AD207" s="65" t="n">
        <f aca="false">-Inputs!$D$7*Inputs!$D$21/12*(1+Inputs!$D$25)^(AD$191-1)*1</f>
        <v>-1781.68489583333</v>
      </c>
      <c r="AE207" s="65" t="n">
        <f aca="false">-Inputs!$D$7*Inputs!$D$21/12*(1+Inputs!$D$25)^(AE$191-1)*1</f>
        <v>-1781.68489583333</v>
      </c>
      <c r="AF207" s="65" t="n">
        <f aca="false">-Inputs!$D$7*Inputs!$D$21/12*(1+Inputs!$D$25)^(AF$191-1)*1</f>
        <v>-1781.68489583333</v>
      </c>
      <c r="AG207" s="65" t="n">
        <f aca="false">-Inputs!$D$7*Inputs!$D$21/12*(1+Inputs!$D$25)^(AG$191-1)*1</f>
        <v>-1781.68489583333</v>
      </c>
      <c r="AH207" s="65" t="n">
        <f aca="false">-Inputs!$D$7*Inputs!$D$21/12*(1+Inputs!$D$25)^(AH$191-1)*1</f>
        <v>-1781.68489583333</v>
      </c>
      <c r="AI207" s="65" t="n">
        <f aca="false">-Inputs!$D$7*Inputs!$D$21/12*(1+Inputs!$D$25)^(AI$191-1)*1</f>
        <v>-1781.68489583333</v>
      </c>
      <c r="AJ207" s="65" t="n">
        <f aca="false">-Inputs!$D$7*Inputs!$D$21/12*(1+Inputs!$D$25)^(AJ$191-1)*1</f>
        <v>-1781.68489583333</v>
      </c>
      <c r="AK207" s="65" t="n">
        <f aca="false">-Inputs!$D$7*Inputs!$D$21/12*(1+Inputs!$D$25)^(AK$191-1)*1</f>
        <v>-1781.68489583333</v>
      </c>
      <c r="AL207" s="65" t="n">
        <f aca="false">-Inputs!$D$7*Inputs!$D$21/12*(1+Inputs!$D$25)^(AL$191-1)*1</f>
        <v>-1781.68489583333</v>
      </c>
      <c r="AM207" s="65" t="n">
        <f aca="false">-Inputs!$D$7*Inputs!$D$21/12*(1+Inputs!$D$25)^(AM$191-1)*1</f>
        <v>-1826.22701822917</v>
      </c>
      <c r="AN207" s="65" t="n">
        <f aca="false">-Inputs!$D$7*Inputs!$D$21/12*(1+Inputs!$D$25)^(AN$191-1)*1</f>
        <v>-1826.22701822917</v>
      </c>
      <c r="AO207" s="65" t="n">
        <f aca="false">-Inputs!$D$7*Inputs!$D$21/12*(1+Inputs!$D$25)^(AO$191-1)*1</f>
        <v>-1826.22701822917</v>
      </c>
      <c r="AP207" s="65" t="n">
        <f aca="false">-Inputs!$D$7*Inputs!$D$21/12*(1+Inputs!$D$25)^(AP$191-1)*1</f>
        <v>-1826.22701822917</v>
      </c>
      <c r="AQ207" s="65" t="n">
        <f aca="false">-Inputs!$D$7*Inputs!$D$21/12*(1+Inputs!$D$25)^(AQ$191-1)*1</f>
        <v>-1826.22701822917</v>
      </c>
      <c r="AR207" s="65" t="n">
        <f aca="false">-Inputs!$D$7*Inputs!$D$21/12*(1+Inputs!$D$25)^(AR$191-1)*1</f>
        <v>-1826.22701822917</v>
      </c>
      <c r="AS207" s="65" t="n">
        <f aca="false">-Inputs!$D$7*Inputs!$D$21/12*(1+Inputs!$D$25)^(AS$191-1)*1</f>
        <v>-1826.22701822917</v>
      </c>
      <c r="AT207" s="65" t="n">
        <f aca="false">-Inputs!$D$7*Inputs!$D$21/12*(1+Inputs!$D$25)^(AT$191-1)*1</f>
        <v>-1826.22701822917</v>
      </c>
      <c r="AU207" s="65" t="n">
        <f aca="false">-Inputs!$D$7*Inputs!$D$21/12*(1+Inputs!$D$25)^(AU$191-1)*1</f>
        <v>-1826.22701822917</v>
      </c>
      <c r="AV207" s="65" t="n">
        <f aca="false">-Inputs!$D$7*Inputs!$D$21/12*(1+Inputs!$D$25)^(AV$191-1)*1</f>
        <v>-1826.22701822917</v>
      </c>
      <c r="AW207" s="65" t="n">
        <f aca="false">-Inputs!$D$7*Inputs!$D$21/12*(1+Inputs!$D$25)^(AW$191-1)*1</f>
        <v>-1826.22701822917</v>
      </c>
      <c r="AX207" s="65" t="n">
        <f aca="false">-Inputs!$D$7*Inputs!$D$21/12*(1+Inputs!$D$25)^(AX$191-1)*1</f>
        <v>-1826.22701822917</v>
      </c>
      <c r="AY207" s="65" t="n">
        <f aca="false">-Inputs!$D$7*Inputs!$D$21/12*(1+Inputs!$D$25)^(AY$191-1)*1</f>
        <v>-1871.8826936849</v>
      </c>
      <c r="AZ207" s="65" t="n">
        <f aca="false">-Inputs!$D$7*Inputs!$D$21/12*(1+Inputs!$D$25)^(AZ$191-1)*1</f>
        <v>-1871.8826936849</v>
      </c>
      <c r="BA207" s="65" t="n">
        <f aca="false">-Inputs!$D$7*Inputs!$D$21/12*(1+Inputs!$D$25)^(BA$191-1)*1</f>
        <v>-1871.8826936849</v>
      </c>
      <c r="BB207" s="65" t="n">
        <f aca="false">-Inputs!$D$7*Inputs!$D$21/12*(1+Inputs!$D$25)^(BB$191-1)*1</f>
        <v>-1871.8826936849</v>
      </c>
      <c r="BC207" s="65" t="n">
        <f aca="false">-Inputs!$D$7*Inputs!$D$21/12*(1+Inputs!$D$25)^(BC$191-1)*1</f>
        <v>-1871.8826936849</v>
      </c>
      <c r="BD207" s="65" t="n">
        <f aca="false">-Inputs!$D$7*Inputs!$D$21/12*(1+Inputs!$D$25)^(BD$191-1)*1</f>
        <v>-1871.8826936849</v>
      </c>
      <c r="BE207" s="65" t="n">
        <f aca="false">-Inputs!$D$7*Inputs!$D$21/12*(1+Inputs!$D$25)^(BE$191-1)*1</f>
        <v>-1871.8826936849</v>
      </c>
      <c r="BF207" s="65" t="n">
        <f aca="false">-Inputs!$D$7*Inputs!$D$21/12*(1+Inputs!$D$25)^(BF$191-1)*1</f>
        <v>-1871.8826936849</v>
      </c>
      <c r="BG207" s="65" t="n">
        <f aca="false">-Inputs!$D$7*Inputs!$D$21/12*(1+Inputs!$D$25)^(BG$191-1)*1</f>
        <v>-1871.8826936849</v>
      </c>
      <c r="BH207" s="65" t="n">
        <f aca="false">-Inputs!$D$7*Inputs!$D$21/12*(1+Inputs!$D$25)^(BH$191-1)*1</f>
        <v>-1871.8826936849</v>
      </c>
      <c r="BI207" s="65" t="n">
        <f aca="false">-Inputs!$D$7*Inputs!$D$21/12*(1+Inputs!$D$25)^(BI$191-1)*1</f>
        <v>-1871.8826936849</v>
      </c>
      <c r="BJ207" s="65" t="n">
        <f aca="false">-Inputs!$D$7*Inputs!$D$21/12*(1+Inputs!$D$25)^(BJ$191-1)*1</f>
        <v>-1871.8826936849</v>
      </c>
    </row>
    <row r="208" customFormat="false" ht="15" hidden="false" customHeight="false" outlineLevel="0" collapsed="false">
      <c r="A208" s="6" t="s">
        <v>342</v>
      </c>
      <c r="C208" s="65" t="n">
        <f aca="false">-Inputs!$D$10*Inputs!$D$22/12*(1+Inputs!$D$25)^(C$191-1)*1</f>
        <v>-666.666666666667</v>
      </c>
      <c r="D208" s="65" t="n">
        <f aca="false">-Inputs!$D$10*Inputs!$D$22/12*(1+Inputs!$D$25)^(D$191-1)*1</f>
        <v>-666.666666666667</v>
      </c>
      <c r="E208" s="65" t="n">
        <f aca="false">-Inputs!$D$10*Inputs!$D$22/12*(1+Inputs!$D$25)^(E$191-1)*1</f>
        <v>-666.666666666667</v>
      </c>
      <c r="F208" s="65" t="n">
        <f aca="false">-Inputs!$D$10*Inputs!$D$22/12*(1+Inputs!$D$25)^(F$191-1)*1</f>
        <v>-666.666666666667</v>
      </c>
      <c r="G208" s="65" t="n">
        <f aca="false">-Inputs!$D$10*Inputs!$D$22/12*(1+Inputs!$D$25)^(G$191-1)*1</f>
        <v>-666.666666666667</v>
      </c>
      <c r="H208" s="65" t="n">
        <f aca="false">-Inputs!$D$10*Inputs!$D$22/12*(1+Inputs!$D$25)^(H$191-1)*1</f>
        <v>-666.666666666667</v>
      </c>
      <c r="I208" s="65" t="n">
        <f aca="false">-Inputs!$D$10*Inputs!$D$22/12*(1+Inputs!$D$25)^(I$191-1)*1</f>
        <v>-666.666666666667</v>
      </c>
      <c r="J208" s="65" t="n">
        <f aca="false">-Inputs!$D$10*Inputs!$D$22/12*(1+Inputs!$D$25)^(J$191-1)*1</f>
        <v>-666.666666666667</v>
      </c>
      <c r="K208" s="65" t="n">
        <f aca="false">-Inputs!$D$10*Inputs!$D$22/12*(1+Inputs!$D$25)^(K$191-1)*1</f>
        <v>-666.666666666667</v>
      </c>
      <c r="L208" s="65" t="n">
        <f aca="false">-Inputs!$D$10*Inputs!$D$22/12*(1+Inputs!$D$25)^(L$191-1)*1</f>
        <v>-666.666666666667</v>
      </c>
      <c r="M208" s="65" t="n">
        <f aca="false">-Inputs!$D$10*Inputs!$D$22/12*(1+Inputs!$D$25)^(M$191-1)*1</f>
        <v>-666.666666666667</v>
      </c>
      <c r="N208" s="65" t="n">
        <f aca="false">-Inputs!$D$10*Inputs!$D$22/12*(1+Inputs!$D$25)^(N$191-1)*1</f>
        <v>-666.666666666667</v>
      </c>
      <c r="O208" s="65" t="n">
        <f aca="false">-Inputs!$D$10*Inputs!$D$22/12*(1+Inputs!$D$25)^(O$191-1)*1</f>
        <v>-683.333333333333</v>
      </c>
      <c r="P208" s="65" t="n">
        <f aca="false">-Inputs!$D$10*Inputs!$D$22/12*(1+Inputs!$D$25)^(P$191-1)*1</f>
        <v>-683.333333333333</v>
      </c>
      <c r="Q208" s="65" t="n">
        <f aca="false">-Inputs!$D$10*Inputs!$D$22/12*(1+Inputs!$D$25)^(Q$191-1)*1</f>
        <v>-683.333333333333</v>
      </c>
      <c r="R208" s="65" t="n">
        <f aca="false">-Inputs!$D$10*Inputs!$D$22/12*(1+Inputs!$D$25)^(R$191-1)*1</f>
        <v>-683.333333333333</v>
      </c>
      <c r="S208" s="65" t="n">
        <f aca="false">-Inputs!$D$10*Inputs!$D$22/12*(1+Inputs!$D$25)^(S$191-1)*1</f>
        <v>-683.333333333333</v>
      </c>
      <c r="T208" s="65" t="n">
        <f aca="false">-Inputs!$D$10*Inputs!$D$22/12*(1+Inputs!$D$25)^(T$191-1)*1</f>
        <v>-683.333333333333</v>
      </c>
      <c r="U208" s="65" t="n">
        <f aca="false">-Inputs!$D$10*Inputs!$D$22/12*(1+Inputs!$D$25)^(U$191-1)*1</f>
        <v>-683.333333333333</v>
      </c>
      <c r="V208" s="65" t="n">
        <f aca="false">-Inputs!$D$10*Inputs!$D$22/12*(1+Inputs!$D$25)^(V$191-1)*1</f>
        <v>-683.333333333333</v>
      </c>
      <c r="W208" s="65" t="n">
        <f aca="false">-Inputs!$D$10*Inputs!$D$22/12*(1+Inputs!$D$25)^(W$191-1)*1</f>
        <v>-683.333333333333</v>
      </c>
      <c r="X208" s="65" t="n">
        <f aca="false">-Inputs!$D$10*Inputs!$D$22/12*(1+Inputs!$D$25)^(X$191-1)*1</f>
        <v>-683.333333333333</v>
      </c>
      <c r="Y208" s="65" t="n">
        <f aca="false">-Inputs!$D$10*Inputs!$D$22/12*(1+Inputs!$D$25)^(Y$191-1)*1</f>
        <v>-683.333333333333</v>
      </c>
      <c r="Z208" s="65" t="n">
        <f aca="false">-Inputs!$D$10*Inputs!$D$22/12*(1+Inputs!$D$25)^(Z$191-1)*1</f>
        <v>-683.333333333333</v>
      </c>
      <c r="AA208" s="65" t="n">
        <f aca="false">-Inputs!$D$10*Inputs!$D$22/12*(1+Inputs!$D$25)^(AA$191-1)*1</f>
        <v>-700.416666666667</v>
      </c>
      <c r="AB208" s="65" t="n">
        <f aca="false">-Inputs!$D$10*Inputs!$D$22/12*(1+Inputs!$D$25)^(AB$191-1)*1</f>
        <v>-700.416666666667</v>
      </c>
      <c r="AC208" s="65" t="n">
        <f aca="false">-Inputs!$D$10*Inputs!$D$22/12*(1+Inputs!$D$25)^(AC$191-1)*1</f>
        <v>-700.416666666667</v>
      </c>
      <c r="AD208" s="65" t="n">
        <f aca="false">-Inputs!$D$10*Inputs!$D$22/12*(1+Inputs!$D$25)^(AD$191-1)*1</f>
        <v>-700.416666666667</v>
      </c>
      <c r="AE208" s="65" t="n">
        <f aca="false">-Inputs!$D$10*Inputs!$D$22/12*(1+Inputs!$D$25)^(AE$191-1)*1</f>
        <v>-700.416666666667</v>
      </c>
      <c r="AF208" s="65" t="n">
        <f aca="false">-Inputs!$D$10*Inputs!$D$22/12*(1+Inputs!$D$25)^(AF$191-1)*1</f>
        <v>-700.416666666667</v>
      </c>
      <c r="AG208" s="65" t="n">
        <f aca="false">-Inputs!$D$10*Inputs!$D$22/12*(1+Inputs!$D$25)^(AG$191-1)*1</f>
        <v>-700.416666666667</v>
      </c>
      <c r="AH208" s="65" t="n">
        <f aca="false">-Inputs!$D$10*Inputs!$D$22/12*(1+Inputs!$D$25)^(AH$191-1)*1</f>
        <v>-700.416666666667</v>
      </c>
      <c r="AI208" s="65" t="n">
        <f aca="false">-Inputs!$D$10*Inputs!$D$22/12*(1+Inputs!$D$25)^(AI$191-1)*1</f>
        <v>-700.416666666667</v>
      </c>
      <c r="AJ208" s="65" t="n">
        <f aca="false">-Inputs!$D$10*Inputs!$D$22/12*(1+Inputs!$D$25)^(AJ$191-1)*1</f>
        <v>-700.416666666667</v>
      </c>
      <c r="AK208" s="65" t="n">
        <f aca="false">-Inputs!$D$10*Inputs!$D$22/12*(1+Inputs!$D$25)^(AK$191-1)*1</f>
        <v>-700.416666666667</v>
      </c>
      <c r="AL208" s="65" t="n">
        <f aca="false">-Inputs!$D$10*Inputs!$D$22/12*(1+Inputs!$D$25)^(AL$191-1)*1</f>
        <v>-700.416666666667</v>
      </c>
      <c r="AM208" s="65" t="n">
        <f aca="false">-Inputs!$D$10*Inputs!$D$22/12*(1+Inputs!$D$25)^(AM$191-1)*1</f>
        <v>-717.927083333333</v>
      </c>
      <c r="AN208" s="65" t="n">
        <f aca="false">-Inputs!$D$10*Inputs!$D$22/12*(1+Inputs!$D$25)^(AN$191-1)*1</f>
        <v>-717.927083333333</v>
      </c>
      <c r="AO208" s="65" t="n">
        <f aca="false">-Inputs!$D$10*Inputs!$D$22/12*(1+Inputs!$D$25)^(AO$191-1)*1</f>
        <v>-717.927083333333</v>
      </c>
      <c r="AP208" s="65" t="n">
        <f aca="false">-Inputs!$D$10*Inputs!$D$22/12*(1+Inputs!$D$25)^(AP$191-1)*1</f>
        <v>-717.927083333333</v>
      </c>
      <c r="AQ208" s="65" t="n">
        <f aca="false">-Inputs!$D$10*Inputs!$D$22/12*(1+Inputs!$D$25)^(AQ$191-1)*1</f>
        <v>-717.927083333333</v>
      </c>
      <c r="AR208" s="65" t="n">
        <f aca="false">-Inputs!$D$10*Inputs!$D$22/12*(1+Inputs!$D$25)^(AR$191-1)*1</f>
        <v>-717.927083333333</v>
      </c>
      <c r="AS208" s="65" t="n">
        <f aca="false">-Inputs!$D$10*Inputs!$D$22/12*(1+Inputs!$D$25)^(AS$191-1)*1</f>
        <v>-717.927083333333</v>
      </c>
      <c r="AT208" s="65" t="n">
        <f aca="false">-Inputs!$D$10*Inputs!$D$22/12*(1+Inputs!$D$25)^(AT$191-1)*1</f>
        <v>-717.927083333333</v>
      </c>
      <c r="AU208" s="65" t="n">
        <f aca="false">-Inputs!$D$10*Inputs!$D$22/12*(1+Inputs!$D$25)^(AU$191-1)*1</f>
        <v>-717.927083333333</v>
      </c>
      <c r="AV208" s="65" t="n">
        <f aca="false">-Inputs!$D$10*Inputs!$D$22/12*(1+Inputs!$D$25)^(AV$191-1)*1</f>
        <v>-717.927083333333</v>
      </c>
      <c r="AW208" s="65" t="n">
        <f aca="false">-Inputs!$D$10*Inputs!$D$22/12*(1+Inputs!$D$25)^(AW$191-1)*1</f>
        <v>-717.927083333333</v>
      </c>
      <c r="AX208" s="65" t="n">
        <f aca="false">-Inputs!$D$10*Inputs!$D$22/12*(1+Inputs!$D$25)^(AX$191-1)*1</f>
        <v>-717.927083333333</v>
      </c>
      <c r="AY208" s="65" t="n">
        <f aca="false">-Inputs!$D$10*Inputs!$D$22/12*(1+Inputs!$D$25)^(AY$191-1)*1</f>
        <v>-735.875260416666</v>
      </c>
      <c r="AZ208" s="65" t="n">
        <f aca="false">-Inputs!$D$10*Inputs!$D$22/12*(1+Inputs!$D$25)^(AZ$191-1)*1</f>
        <v>-735.875260416666</v>
      </c>
      <c r="BA208" s="65" t="n">
        <f aca="false">-Inputs!$D$10*Inputs!$D$22/12*(1+Inputs!$D$25)^(BA$191-1)*1</f>
        <v>-735.875260416666</v>
      </c>
      <c r="BB208" s="65" t="n">
        <f aca="false">-Inputs!$D$10*Inputs!$D$22/12*(1+Inputs!$D$25)^(BB$191-1)*1</f>
        <v>-735.875260416666</v>
      </c>
      <c r="BC208" s="65" t="n">
        <f aca="false">-Inputs!$D$10*Inputs!$D$22/12*(1+Inputs!$D$25)^(BC$191-1)*1</f>
        <v>-735.875260416666</v>
      </c>
      <c r="BD208" s="65" t="n">
        <f aca="false">-Inputs!$D$10*Inputs!$D$22/12*(1+Inputs!$D$25)^(BD$191-1)*1</f>
        <v>-735.875260416666</v>
      </c>
      <c r="BE208" s="65" t="n">
        <f aca="false">-Inputs!$D$10*Inputs!$D$22/12*(1+Inputs!$D$25)^(BE$191-1)*1</f>
        <v>-735.875260416666</v>
      </c>
      <c r="BF208" s="65" t="n">
        <f aca="false">-Inputs!$D$10*Inputs!$D$22/12*(1+Inputs!$D$25)^(BF$191-1)*1</f>
        <v>-735.875260416666</v>
      </c>
      <c r="BG208" s="65" t="n">
        <f aca="false">-Inputs!$D$10*Inputs!$D$22/12*(1+Inputs!$D$25)^(BG$191-1)*1</f>
        <v>-735.875260416666</v>
      </c>
      <c r="BH208" s="65" t="n">
        <f aca="false">-Inputs!$D$10*Inputs!$D$22/12*(1+Inputs!$D$25)^(BH$191-1)*1</f>
        <v>-735.875260416666</v>
      </c>
      <c r="BI208" s="65" t="n">
        <f aca="false">-Inputs!$D$10*Inputs!$D$22/12*(1+Inputs!$D$25)^(BI$191-1)*1</f>
        <v>-735.875260416666</v>
      </c>
      <c r="BJ208" s="65" t="n">
        <f aca="false">-Inputs!$D$10*Inputs!$D$22/12*(1+Inputs!$D$25)^(BJ$191-1)*1</f>
        <v>-735.875260416666</v>
      </c>
    </row>
    <row r="209" customFormat="false" ht="15" hidden="false" customHeight="false" outlineLevel="0" collapsed="false">
      <c r="A209" s="6" t="s">
        <v>343</v>
      </c>
      <c r="C209" s="65" t="n">
        <f aca="false">-C198*Inputs!$D$23</f>
        <v>-1405.44</v>
      </c>
      <c r="D209" s="65" t="n">
        <f aca="false">-D198*Inputs!$D$23</f>
        <v>-1405.44</v>
      </c>
      <c r="E209" s="65" t="n">
        <f aca="false">-E198*Inputs!$D$23</f>
        <v>-1405.44</v>
      </c>
      <c r="F209" s="65" t="n">
        <f aca="false">-F198*Inputs!$D$23</f>
        <v>-1405.44</v>
      </c>
      <c r="G209" s="65" t="n">
        <f aca="false">-G198*Inputs!$D$23</f>
        <v>-1405.44</v>
      </c>
      <c r="H209" s="65" t="n">
        <f aca="false">-H198*Inputs!$D$23</f>
        <v>-1405.44</v>
      </c>
      <c r="I209" s="65" t="n">
        <f aca="false">-I198*Inputs!$D$23</f>
        <v>-1405.44</v>
      </c>
      <c r="J209" s="65" t="n">
        <f aca="false">-J198*Inputs!$D$23</f>
        <v>-1405.44</v>
      </c>
      <c r="K209" s="65" t="n">
        <f aca="false">-K198*Inputs!$D$23</f>
        <v>-1405.44</v>
      </c>
      <c r="L209" s="65" t="n">
        <f aca="false">-L198*Inputs!$D$23</f>
        <v>-1405.44</v>
      </c>
      <c r="M209" s="65" t="n">
        <f aca="false">-M198*Inputs!$D$23</f>
        <v>-1405.44</v>
      </c>
      <c r="N209" s="65" t="n">
        <f aca="false">-N198*Inputs!$D$23</f>
        <v>-1405.44</v>
      </c>
      <c r="O209" s="65" t="n">
        <f aca="false">-O198*Inputs!$D$23</f>
        <v>-1461.6576</v>
      </c>
      <c r="P209" s="65" t="n">
        <f aca="false">-P198*Inputs!$D$23</f>
        <v>-1461.6576</v>
      </c>
      <c r="Q209" s="65" t="n">
        <f aca="false">-Q198*Inputs!$D$23</f>
        <v>-1461.6576</v>
      </c>
      <c r="R209" s="65" t="n">
        <f aca="false">-R198*Inputs!$D$23</f>
        <v>-1461.6576</v>
      </c>
      <c r="S209" s="65" t="n">
        <f aca="false">-S198*Inputs!$D$23</f>
        <v>-1461.6576</v>
      </c>
      <c r="T209" s="65" t="n">
        <f aca="false">-T198*Inputs!$D$23</f>
        <v>-1461.6576</v>
      </c>
      <c r="U209" s="65" t="n">
        <f aca="false">-U198*Inputs!$D$23</f>
        <v>-1461.6576</v>
      </c>
      <c r="V209" s="65" t="n">
        <f aca="false">-V198*Inputs!$D$23</f>
        <v>-1461.6576</v>
      </c>
      <c r="W209" s="65" t="n">
        <f aca="false">-W198*Inputs!$D$23</f>
        <v>-1461.6576</v>
      </c>
      <c r="X209" s="65" t="n">
        <f aca="false">-X198*Inputs!$D$23</f>
        <v>-1461.6576</v>
      </c>
      <c r="Y209" s="65" t="n">
        <f aca="false">-Y198*Inputs!$D$23</f>
        <v>-1461.6576</v>
      </c>
      <c r="Z209" s="65" t="n">
        <f aca="false">-Z198*Inputs!$D$23</f>
        <v>-1461.6576</v>
      </c>
      <c r="AA209" s="65" t="n">
        <f aca="false">-AA198*Inputs!$D$23</f>
        <v>-1520.123904</v>
      </c>
      <c r="AB209" s="65" t="n">
        <f aca="false">-AB198*Inputs!$D$23</f>
        <v>-1520.123904</v>
      </c>
      <c r="AC209" s="65" t="n">
        <f aca="false">-AC198*Inputs!$D$23</f>
        <v>-1520.123904</v>
      </c>
      <c r="AD209" s="65" t="n">
        <f aca="false">-AD198*Inputs!$D$23</f>
        <v>-1520.123904</v>
      </c>
      <c r="AE209" s="65" t="n">
        <f aca="false">-AE198*Inputs!$D$23</f>
        <v>-1520.123904</v>
      </c>
      <c r="AF209" s="65" t="n">
        <f aca="false">-AF198*Inputs!$D$23</f>
        <v>-1520.123904</v>
      </c>
      <c r="AG209" s="65" t="n">
        <f aca="false">-AG198*Inputs!$D$23</f>
        <v>-1520.123904</v>
      </c>
      <c r="AH209" s="65" t="n">
        <f aca="false">-AH198*Inputs!$D$23</f>
        <v>-1520.123904</v>
      </c>
      <c r="AI209" s="65" t="n">
        <f aca="false">-AI198*Inputs!$D$23</f>
        <v>-1520.123904</v>
      </c>
      <c r="AJ209" s="65" t="n">
        <f aca="false">-AJ198*Inputs!$D$23</f>
        <v>-1520.123904</v>
      </c>
      <c r="AK209" s="65" t="n">
        <f aca="false">-AK198*Inputs!$D$23</f>
        <v>-1520.123904</v>
      </c>
      <c r="AL209" s="65" t="n">
        <f aca="false">-AL198*Inputs!$D$23</f>
        <v>-1520.123904</v>
      </c>
      <c r="AM209" s="65" t="n">
        <f aca="false">-AM198*Inputs!$D$23</f>
        <v>-1580.92886016</v>
      </c>
      <c r="AN209" s="65" t="n">
        <f aca="false">-AN198*Inputs!$D$23</f>
        <v>-1580.92886016</v>
      </c>
      <c r="AO209" s="65" t="n">
        <f aca="false">-AO198*Inputs!$D$23</f>
        <v>-1580.92886016</v>
      </c>
      <c r="AP209" s="65" t="n">
        <f aca="false">-AP198*Inputs!$D$23</f>
        <v>-1580.92886016</v>
      </c>
      <c r="AQ209" s="65" t="n">
        <f aca="false">-AQ198*Inputs!$D$23</f>
        <v>-1580.92886016</v>
      </c>
      <c r="AR209" s="65" t="n">
        <f aca="false">-AR198*Inputs!$D$23</f>
        <v>-1580.92886016</v>
      </c>
      <c r="AS209" s="65" t="n">
        <f aca="false">-AS198*Inputs!$D$23</f>
        <v>-1580.92886016</v>
      </c>
      <c r="AT209" s="65" t="n">
        <f aca="false">-AT198*Inputs!$D$23</f>
        <v>-1580.92886016</v>
      </c>
      <c r="AU209" s="65" t="n">
        <f aca="false">-AU198*Inputs!$D$23</f>
        <v>-1580.92886016</v>
      </c>
      <c r="AV209" s="65" t="n">
        <f aca="false">-AV198*Inputs!$D$23</f>
        <v>-1580.92886016</v>
      </c>
      <c r="AW209" s="65" t="n">
        <f aca="false">-AW198*Inputs!$D$23</f>
        <v>-1580.92886016</v>
      </c>
      <c r="AX209" s="65" t="n">
        <f aca="false">-AX198*Inputs!$D$23</f>
        <v>-1580.92886016</v>
      </c>
      <c r="AY209" s="65" t="n">
        <f aca="false">-AY198*Inputs!$D$23</f>
        <v>-1644.1660145664</v>
      </c>
      <c r="AZ209" s="65" t="n">
        <f aca="false">-AZ198*Inputs!$D$23</f>
        <v>-1644.1660145664</v>
      </c>
      <c r="BA209" s="65" t="n">
        <f aca="false">-BA198*Inputs!$D$23</f>
        <v>-1644.1660145664</v>
      </c>
      <c r="BB209" s="65" t="n">
        <f aca="false">-BB198*Inputs!$D$23</f>
        <v>-1644.1660145664</v>
      </c>
      <c r="BC209" s="65" t="n">
        <f aca="false">-BC198*Inputs!$D$23</f>
        <v>-1644.1660145664</v>
      </c>
      <c r="BD209" s="65" t="n">
        <f aca="false">-BD198*Inputs!$D$23</f>
        <v>-1644.1660145664</v>
      </c>
      <c r="BE209" s="65" t="n">
        <f aca="false">-BE198*Inputs!$D$23</f>
        <v>-1644.1660145664</v>
      </c>
      <c r="BF209" s="65" t="n">
        <f aca="false">-BF198*Inputs!$D$23</f>
        <v>-1644.1660145664</v>
      </c>
      <c r="BG209" s="65" t="n">
        <f aca="false">-BG198*Inputs!$D$23</f>
        <v>-1644.1660145664</v>
      </c>
      <c r="BH209" s="65" t="n">
        <f aca="false">-BH198*Inputs!$D$23</f>
        <v>-1644.1660145664</v>
      </c>
      <c r="BI209" s="65" t="n">
        <f aca="false">-BI198*Inputs!$D$23</f>
        <v>-1644.1660145664</v>
      </c>
      <c r="BJ209" s="65" t="n">
        <f aca="false">-BJ198*Inputs!$D$23</f>
        <v>-1644.1660145664</v>
      </c>
    </row>
    <row r="210" customFormat="false" ht="15" hidden="false" customHeight="false" outlineLevel="0" collapsed="false">
      <c r="A210" s="6" t="s">
        <v>344</v>
      </c>
      <c r="C210" s="65" t="n">
        <f aca="false">-Inputs!$D$24*(1+Inputs!$D$25)^(C$191-1)*1</f>
        <v>-400</v>
      </c>
      <c r="D210" s="65" t="n">
        <f aca="false">-Inputs!$D$24*(1+Inputs!$D$25)^(D$191-1)*1</f>
        <v>-400</v>
      </c>
      <c r="E210" s="65" t="n">
        <f aca="false">-Inputs!$D$24*(1+Inputs!$D$25)^(E$191-1)*1</f>
        <v>-400</v>
      </c>
      <c r="F210" s="65" t="n">
        <f aca="false">-Inputs!$D$24*(1+Inputs!$D$25)^(F$191-1)*1</f>
        <v>-400</v>
      </c>
      <c r="G210" s="65" t="n">
        <f aca="false">-Inputs!$D$24*(1+Inputs!$D$25)^(G$191-1)*1</f>
        <v>-400</v>
      </c>
      <c r="H210" s="65" t="n">
        <f aca="false">-Inputs!$D$24*(1+Inputs!$D$25)^(H$191-1)*1</f>
        <v>-400</v>
      </c>
      <c r="I210" s="65" t="n">
        <f aca="false">-Inputs!$D$24*(1+Inputs!$D$25)^(I$191-1)*1</f>
        <v>-400</v>
      </c>
      <c r="J210" s="65" t="n">
        <f aca="false">-Inputs!$D$24*(1+Inputs!$D$25)^(J$191-1)*1</f>
        <v>-400</v>
      </c>
      <c r="K210" s="65" t="n">
        <f aca="false">-Inputs!$D$24*(1+Inputs!$D$25)^(K$191-1)*1</f>
        <v>-400</v>
      </c>
      <c r="L210" s="65" t="n">
        <f aca="false">-Inputs!$D$24*(1+Inputs!$D$25)^(L$191-1)*1</f>
        <v>-400</v>
      </c>
      <c r="M210" s="65" t="n">
        <f aca="false">-Inputs!$D$24*(1+Inputs!$D$25)^(M$191-1)*1</f>
        <v>-400</v>
      </c>
      <c r="N210" s="65" t="n">
        <f aca="false">-Inputs!$D$24*(1+Inputs!$D$25)^(N$191-1)*1</f>
        <v>-400</v>
      </c>
      <c r="O210" s="65" t="n">
        <f aca="false">-Inputs!$D$24*(1+Inputs!$D$25)^(O$191-1)*1</f>
        <v>-410</v>
      </c>
      <c r="P210" s="65" t="n">
        <f aca="false">-Inputs!$D$24*(1+Inputs!$D$25)^(P$191-1)*1</f>
        <v>-410</v>
      </c>
      <c r="Q210" s="65" t="n">
        <f aca="false">-Inputs!$D$24*(1+Inputs!$D$25)^(Q$191-1)*1</f>
        <v>-410</v>
      </c>
      <c r="R210" s="65" t="n">
        <f aca="false">-Inputs!$D$24*(1+Inputs!$D$25)^(R$191-1)*1</f>
        <v>-410</v>
      </c>
      <c r="S210" s="65" t="n">
        <f aca="false">-Inputs!$D$24*(1+Inputs!$D$25)^(S$191-1)*1</f>
        <v>-410</v>
      </c>
      <c r="T210" s="65" t="n">
        <f aca="false">-Inputs!$D$24*(1+Inputs!$D$25)^(T$191-1)*1</f>
        <v>-410</v>
      </c>
      <c r="U210" s="65" t="n">
        <f aca="false">-Inputs!$D$24*(1+Inputs!$D$25)^(U$191-1)*1</f>
        <v>-410</v>
      </c>
      <c r="V210" s="65" t="n">
        <f aca="false">-Inputs!$D$24*(1+Inputs!$D$25)^(V$191-1)*1</f>
        <v>-410</v>
      </c>
      <c r="W210" s="65" t="n">
        <f aca="false">-Inputs!$D$24*(1+Inputs!$D$25)^(W$191-1)*1</f>
        <v>-410</v>
      </c>
      <c r="X210" s="65" t="n">
        <f aca="false">-Inputs!$D$24*(1+Inputs!$D$25)^(X$191-1)*1</f>
        <v>-410</v>
      </c>
      <c r="Y210" s="65" t="n">
        <f aca="false">-Inputs!$D$24*(1+Inputs!$D$25)^(Y$191-1)*1</f>
        <v>-410</v>
      </c>
      <c r="Z210" s="65" t="n">
        <f aca="false">-Inputs!$D$24*(1+Inputs!$D$25)^(Z$191-1)*1</f>
        <v>-410</v>
      </c>
      <c r="AA210" s="65" t="n">
        <f aca="false">-Inputs!$D$24*(1+Inputs!$D$25)^(AA$191-1)*1</f>
        <v>-420.25</v>
      </c>
      <c r="AB210" s="65" t="n">
        <f aca="false">-Inputs!$D$24*(1+Inputs!$D$25)^(AB$191-1)*1</f>
        <v>-420.25</v>
      </c>
      <c r="AC210" s="65" t="n">
        <f aca="false">-Inputs!$D$24*(1+Inputs!$D$25)^(AC$191-1)*1</f>
        <v>-420.25</v>
      </c>
      <c r="AD210" s="65" t="n">
        <f aca="false">-Inputs!$D$24*(1+Inputs!$D$25)^(AD$191-1)*1</f>
        <v>-420.25</v>
      </c>
      <c r="AE210" s="65" t="n">
        <f aca="false">-Inputs!$D$24*(1+Inputs!$D$25)^(AE$191-1)*1</f>
        <v>-420.25</v>
      </c>
      <c r="AF210" s="65" t="n">
        <f aca="false">-Inputs!$D$24*(1+Inputs!$D$25)^(AF$191-1)*1</f>
        <v>-420.25</v>
      </c>
      <c r="AG210" s="65" t="n">
        <f aca="false">-Inputs!$D$24*(1+Inputs!$D$25)^(AG$191-1)*1</f>
        <v>-420.25</v>
      </c>
      <c r="AH210" s="65" t="n">
        <f aca="false">-Inputs!$D$24*(1+Inputs!$D$25)^(AH$191-1)*1</f>
        <v>-420.25</v>
      </c>
      <c r="AI210" s="65" t="n">
        <f aca="false">-Inputs!$D$24*(1+Inputs!$D$25)^(AI$191-1)*1</f>
        <v>-420.25</v>
      </c>
      <c r="AJ210" s="65" t="n">
        <f aca="false">-Inputs!$D$24*(1+Inputs!$D$25)^(AJ$191-1)*1</f>
        <v>-420.25</v>
      </c>
      <c r="AK210" s="65" t="n">
        <f aca="false">-Inputs!$D$24*(1+Inputs!$D$25)^(AK$191-1)*1</f>
        <v>-420.25</v>
      </c>
      <c r="AL210" s="65" t="n">
        <f aca="false">-Inputs!$D$24*(1+Inputs!$D$25)^(AL$191-1)*1</f>
        <v>-420.25</v>
      </c>
      <c r="AM210" s="65" t="n">
        <f aca="false">-Inputs!$D$24*(1+Inputs!$D$25)^(AM$191-1)*1</f>
        <v>-430.75625</v>
      </c>
      <c r="AN210" s="65" t="n">
        <f aca="false">-Inputs!$D$24*(1+Inputs!$D$25)^(AN$191-1)*1</f>
        <v>-430.75625</v>
      </c>
      <c r="AO210" s="65" t="n">
        <f aca="false">-Inputs!$D$24*(1+Inputs!$D$25)^(AO$191-1)*1</f>
        <v>-430.75625</v>
      </c>
      <c r="AP210" s="65" t="n">
        <f aca="false">-Inputs!$D$24*(1+Inputs!$D$25)^(AP$191-1)*1</f>
        <v>-430.75625</v>
      </c>
      <c r="AQ210" s="65" t="n">
        <f aca="false">-Inputs!$D$24*(1+Inputs!$D$25)^(AQ$191-1)*1</f>
        <v>-430.75625</v>
      </c>
      <c r="AR210" s="65" t="n">
        <f aca="false">-Inputs!$D$24*(1+Inputs!$D$25)^(AR$191-1)*1</f>
        <v>-430.75625</v>
      </c>
      <c r="AS210" s="65" t="n">
        <f aca="false">-Inputs!$D$24*(1+Inputs!$D$25)^(AS$191-1)*1</f>
        <v>-430.75625</v>
      </c>
      <c r="AT210" s="65" t="n">
        <f aca="false">-Inputs!$D$24*(1+Inputs!$D$25)^(AT$191-1)*1</f>
        <v>-430.75625</v>
      </c>
      <c r="AU210" s="65" t="n">
        <f aca="false">-Inputs!$D$24*(1+Inputs!$D$25)^(AU$191-1)*1</f>
        <v>-430.75625</v>
      </c>
      <c r="AV210" s="65" t="n">
        <f aca="false">-Inputs!$D$24*(1+Inputs!$D$25)^(AV$191-1)*1</f>
        <v>-430.75625</v>
      </c>
      <c r="AW210" s="65" t="n">
        <f aca="false">-Inputs!$D$24*(1+Inputs!$D$25)^(AW$191-1)*1</f>
        <v>-430.75625</v>
      </c>
      <c r="AX210" s="65" t="n">
        <f aca="false">-Inputs!$D$24*(1+Inputs!$D$25)^(AX$191-1)*1</f>
        <v>-430.75625</v>
      </c>
      <c r="AY210" s="65" t="n">
        <f aca="false">-Inputs!$D$24*(1+Inputs!$D$25)^(AY$191-1)*1</f>
        <v>-441.52515625</v>
      </c>
      <c r="AZ210" s="65" t="n">
        <f aca="false">-Inputs!$D$24*(1+Inputs!$D$25)^(AZ$191-1)*1</f>
        <v>-441.52515625</v>
      </c>
      <c r="BA210" s="65" t="n">
        <f aca="false">-Inputs!$D$24*(1+Inputs!$D$25)^(BA$191-1)*1</f>
        <v>-441.52515625</v>
      </c>
      <c r="BB210" s="65" t="n">
        <f aca="false">-Inputs!$D$24*(1+Inputs!$D$25)^(BB$191-1)*1</f>
        <v>-441.52515625</v>
      </c>
      <c r="BC210" s="65" t="n">
        <f aca="false">-Inputs!$D$24*(1+Inputs!$D$25)^(BC$191-1)*1</f>
        <v>-441.52515625</v>
      </c>
      <c r="BD210" s="65" t="n">
        <f aca="false">-Inputs!$D$24*(1+Inputs!$D$25)^(BD$191-1)*1</f>
        <v>-441.52515625</v>
      </c>
      <c r="BE210" s="65" t="n">
        <f aca="false">-Inputs!$D$24*(1+Inputs!$D$25)^(BE$191-1)*1</f>
        <v>-441.52515625</v>
      </c>
      <c r="BF210" s="65" t="n">
        <f aca="false">-Inputs!$D$24*(1+Inputs!$D$25)^(BF$191-1)*1</f>
        <v>-441.52515625</v>
      </c>
      <c r="BG210" s="65" t="n">
        <f aca="false">-Inputs!$D$24*(1+Inputs!$D$25)^(BG$191-1)*1</f>
        <v>-441.52515625</v>
      </c>
      <c r="BH210" s="65" t="n">
        <f aca="false">-Inputs!$D$24*(1+Inputs!$D$25)^(BH$191-1)*1</f>
        <v>-441.52515625</v>
      </c>
      <c r="BI210" s="65" t="n">
        <f aca="false">-Inputs!$D$24*(1+Inputs!$D$25)^(BI$191-1)*1</f>
        <v>-441.52515625</v>
      </c>
      <c r="BJ210" s="65" t="n">
        <f aca="false">-Inputs!$D$24*(1+Inputs!$D$25)^(BJ$191-1)*1</f>
        <v>-441.52515625</v>
      </c>
    </row>
    <row r="211" customFormat="false" ht="15" hidden="false" customHeight="false" outlineLevel="0" collapsed="false">
      <c r="A211" s="108" t="s">
        <v>77</v>
      </c>
      <c r="C211" s="66" t="n">
        <f aca="false">C207+C208+C209+C210</f>
        <v>-4167.94</v>
      </c>
      <c r="D211" s="66" t="n">
        <f aca="false">D207+D208+D209+D210</f>
        <v>-4167.94</v>
      </c>
      <c r="E211" s="66" t="n">
        <f aca="false">E207+E208+E209+E210</f>
        <v>-4167.94</v>
      </c>
      <c r="F211" s="66" t="n">
        <f aca="false">F207+F208+F209+F210</f>
        <v>-4167.94</v>
      </c>
      <c r="G211" s="66" t="n">
        <f aca="false">G207+G208+G209+G210</f>
        <v>-4167.94</v>
      </c>
      <c r="H211" s="66" t="n">
        <f aca="false">H207+H208+H209+H210</f>
        <v>-4167.94</v>
      </c>
      <c r="I211" s="66" t="n">
        <f aca="false">I207+I208+I209+I210</f>
        <v>-4167.94</v>
      </c>
      <c r="J211" s="66" t="n">
        <f aca="false">J207+J208+J209+J210</f>
        <v>-4167.94</v>
      </c>
      <c r="K211" s="66" t="n">
        <f aca="false">K207+K208+K209+K210</f>
        <v>-4167.94</v>
      </c>
      <c r="L211" s="66" t="n">
        <f aca="false">L207+L208+L209+L210</f>
        <v>-4167.94</v>
      </c>
      <c r="M211" s="66" t="n">
        <f aca="false">M207+M208+M209+M210</f>
        <v>-4167.94</v>
      </c>
      <c r="N211" s="66" t="n">
        <f aca="false">N207+N208+N209+N210</f>
        <v>-4167.94</v>
      </c>
      <c r="O211" s="66" t="n">
        <f aca="false">O207+O208+O209+O210</f>
        <v>-4293.2201</v>
      </c>
      <c r="P211" s="66" t="n">
        <f aca="false">P207+P208+P209+P210</f>
        <v>-4293.2201</v>
      </c>
      <c r="Q211" s="66" t="n">
        <f aca="false">Q207+Q208+Q209+Q210</f>
        <v>-4293.2201</v>
      </c>
      <c r="R211" s="66" t="n">
        <f aca="false">R207+R208+R209+R210</f>
        <v>-4293.2201</v>
      </c>
      <c r="S211" s="66" t="n">
        <f aca="false">S207+S208+S209+S210</f>
        <v>-4293.2201</v>
      </c>
      <c r="T211" s="66" t="n">
        <f aca="false">T207+T208+T209+T210</f>
        <v>-4293.2201</v>
      </c>
      <c r="U211" s="66" t="n">
        <f aca="false">U207+U208+U209+U210</f>
        <v>-4293.2201</v>
      </c>
      <c r="V211" s="66" t="n">
        <f aca="false">V207+V208+V209+V210</f>
        <v>-4293.2201</v>
      </c>
      <c r="W211" s="66" t="n">
        <f aca="false">W207+W208+W209+W210</f>
        <v>-4293.2201</v>
      </c>
      <c r="X211" s="66" t="n">
        <f aca="false">X207+X208+X209+X210</f>
        <v>-4293.2201</v>
      </c>
      <c r="Y211" s="66" t="n">
        <f aca="false">Y207+Y208+Y209+Y210</f>
        <v>-4293.2201</v>
      </c>
      <c r="Z211" s="66" t="n">
        <f aca="false">Z207+Z208+Z209+Z210</f>
        <v>-4293.2201</v>
      </c>
      <c r="AA211" s="66" t="n">
        <f aca="false">AA207+AA208+AA209+AA210</f>
        <v>-4422.4754665</v>
      </c>
      <c r="AB211" s="66" t="n">
        <f aca="false">AB207+AB208+AB209+AB210</f>
        <v>-4422.4754665</v>
      </c>
      <c r="AC211" s="66" t="n">
        <f aca="false">AC207+AC208+AC209+AC210</f>
        <v>-4422.4754665</v>
      </c>
      <c r="AD211" s="66" t="n">
        <f aca="false">AD207+AD208+AD209+AD210</f>
        <v>-4422.4754665</v>
      </c>
      <c r="AE211" s="66" t="n">
        <f aca="false">AE207+AE208+AE209+AE210</f>
        <v>-4422.4754665</v>
      </c>
      <c r="AF211" s="66" t="n">
        <f aca="false">AF207+AF208+AF209+AF210</f>
        <v>-4422.4754665</v>
      </c>
      <c r="AG211" s="66" t="n">
        <f aca="false">AG207+AG208+AG209+AG210</f>
        <v>-4422.4754665</v>
      </c>
      <c r="AH211" s="66" t="n">
        <f aca="false">AH207+AH208+AH209+AH210</f>
        <v>-4422.4754665</v>
      </c>
      <c r="AI211" s="66" t="n">
        <f aca="false">AI207+AI208+AI209+AI210</f>
        <v>-4422.4754665</v>
      </c>
      <c r="AJ211" s="66" t="n">
        <f aca="false">AJ207+AJ208+AJ209+AJ210</f>
        <v>-4422.4754665</v>
      </c>
      <c r="AK211" s="66" t="n">
        <f aca="false">AK207+AK208+AK209+AK210</f>
        <v>-4422.4754665</v>
      </c>
      <c r="AL211" s="66" t="n">
        <f aca="false">AL207+AL208+AL209+AL210</f>
        <v>-4422.4754665</v>
      </c>
      <c r="AM211" s="66" t="n">
        <f aca="false">AM207+AM208+AM209+AM210</f>
        <v>-4555.8392117225</v>
      </c>
      <c r="AN211" s="66" t="n">
        <f aca="false">AN207+AN208+AN209+AN210</f>
        <v>-4555.8392117225</v>
      </c>
      <c r="AO211" s="66" t="n">
        <f aca="false">AO207+AO208+AO209+AO210</f>
        <v>-4555.8392117225</v>
      </c>
      <c r="AP211" s="66" t="n">
        <f aca="false">AP207+AP208+AP209+AP210</f>
        <v>-4555.8392117225</v>
      </c>
      <c r="AQ211" s="66" t="n">
        <f aca="false">AQ207+AQ208+AQ209+AQ210</f>
        <v>-4555.8392117225</v>
      </c>
      <c r="AR211" s="66" t="n">
        <f aca="false">AR207+AR208+AR209+AR210</f>
        <v>-4555.8392117225</v>
      </c>
      <c r="AS211" s="66" t="n">
        <f aca="false">AS207+AS208+AS209+AS210</f>
        <v>-4555.8392117225</v>
      </c>
      <c r="AT211" s="66" t="n">
        <f aca="false">AT207+AT208+AT209+AT210</f>
        <v>-4555.8392117225</v>
      </c>
      <c r="AU211" s="66" t="n">
        <f aca="false">AU207+AU208+AU209+AU210</f>
        <v>-4555.8392117225</v>
      </c>
      <c r="AV211" s="66" t="n">
        <f aca="false">AV207+AV208+AV209+AV210</f>
        <v>-4555.8392117225</v>
      </c>
      <c r="AW211" s="66" t="n">
        <f aca="false">AW207+AW208+AW209+AW210</f>
        <v>-4555.8392117225</v>
      </c>
      <c r="AX211" s="66" t="n">
        <f aca="false">AX207+AX208+AX209+AX210</f>
        <v>-4555.8392117225</v>
      </c>
      <c r="AY211" s="66" t="n">
        <f aca="false">AY207+AY208+AY209+AY210</f>
        <v>-4693.44912491796</v>
      </c>
      <c r="AZ211" s="66" t="n">
        <f aca="false">AZ207+AZ208+AZ209+AZ210</f>
        <v>-4693.44912491796</v>
      </c>
      <c r="BA211" s="66" t="n">
        <f aca="false">BA207+BA208+BA209+BA210</f>
        <v>-4693.44912491796</v>
      </c>
      <c r="BB211" s="66" t="n">
        <f aca="false">BB207+BB208+BB209+BB210</f>
        <v>-4693.44912491796</v>
      </c>
      <c r="BC211" s="66" t="n">
        <f aca="false">BC207+BC208+BC209+BC210</f>
        <v>-4693.44912491796</v>
      </c>
      <c r="BD211" s="66" t="n">
        <f aca="false">BD207+BD208+BD209+BD210</f>
        <v>-4693.44912491796</v>
      </c>
      <c r="BE211" s="66" t="n">
        <f aca="false">BE207+BE208+BE209+BE210</f>
        <v>-4693.44912491796</v>
      </c>
      <c r="BF211" s="66" t="n">
        <f aca="false">BF207+BF208+BF209+BF210</f>
        <v>-4693.44912491796</v>
      </c>
      <c r="BG211" s="66" t="n">
        <f aca="false">BG207+BG208+BG209+BG210</f>
        <v>-4693.44912491796</v>
      </c>
      <c r="BH211" s="66" t="n">
        <f aca="false">BH207+BH208+BH209+BH210</f>
        <v>-4693.44912491796</v>
      </c>
      <c r="BI211" s="66" t="n">
        <f aca="false">BI207+BI208+BI209+BI210</f>
        <v>-4693.44912491796</v>
      </c>
      <c r="BJ211" s="66" t="n">
        <f aca="false">BJ207+BJ208+BJ209+BJ210</f>
        <v>-4693.44912491796</v>
      </c>
    </row>
    <row r="212" customFormat="false" ht="15" hidden="false" customHeight="false" outlineLevel="0" collapsed="false">
      <c r="A212" s="108" t="s">
        <v>49</v>
      </c>
      <c r="C212" s="66" t="n">
        <f aca="false">C204+C211</f>
        <v>11636.06</v>
      </c>
      <c r="D212" s="66" t="n">
        <f aca="false">D204+D211</f>
        <v>11636.06</v>
      </c>
      <c r="E212" s="66" t="n">
        <f aca="false">E204+E211</f>
        <v>11636.06</v>
      </c>
      <c r="F212" s="66" t="n">
        <f aca="false">F204+F211</f>
        <v>11636.06</v>
      </c>
      <c r="G212" s="66" t="n">
        <f aca="false">G204+G211</f>
        <v>11636.06</v>
      </c>
      <c r="H212" s="66" t="n">
        <f aca="false">H204+H211</f>
        <v>11636.06</v>
      </c>
      <c r="I212" s="66" t="n">
        <f aca="false">I204+I211</f>
        <v>11636.06</v>
      </c>
      <c r="J212" s="66" t="n">
        <f aca="false">J204+J211</f>
        <v>11636.06</v>
      </c>
      <c r="K212" s="66" t="n">
        <f aca="false">K204+K211</f>
        <v>11636.06</v>
      </c>
      <c r="L212" s="66" t="n">
        <f aca="false">L204+L211</f>
        <v>11636.06</v>
      </c>
      <c r="M212" s="66" t="n">
        <f aca="false">M204+M211</f>
        <v>11636.06</v>
      </c>
      <c r="N212" s="66" t="n">
        <f aca="false">N204+N211</f>
        <v>11636.06</v>
      </c>
      <c r="O212" s="66" t="n">
        <f aca="false">O204+O211</f>
        <v>12156.4399</v>
      </c>
      <c r="P212" s="66" t="n">
        <f aca="false">P204+P211</f>
        <v>12156.4399</v>
      </c>
      <c r="Q212" s="66" t="n">
        <f aca="false">Q204+Q211</f>
        <v>12156.4399</v>
      </c>
      <c r="R212" s="66" t="n">
        <f aca="false">R204+R211</f>
        <v>12156.4399</v>
      </c>
      <c r="S212" s="66" t="n">
        <f aca="false">S204+S211</f>
        <v>12156.4399</v>
      </c>
      <c r="T212" s="66" t="n">
        <f aca="false">T204+T211</f>
        <v>12156.4399</v>
      </c>
      <c r="U212" s="66" t="n">
        <f aca="false">U204+U211</f>
        <v>12156.4399</v>
      </c>
      <c r="V212" s="66" t="n">
        <f aca="false">V204+V211</f>
        <v>12156.4399</v>
      </c>
      <c r="W212" s="66" t="n">
        <f aca="false">W204+W211</f>
        <v>12156.4399</v>
      </c>
      <c r="X212" s="66" t="n">
        <f aca="false">X204+X211</f>
        <v>12156.4399</v>
      </c>
      <c r="Y212" s="66" t="n">
        <f aca="false">Y204+Y211</f>
        <v>12156.4399</v>
      </c>
      <c r="Z212" s="66" t="n">
        <f aca="false">Z204+Z211</f>
        <v>12156.4399</v>
      </c>
      <c r="AA212" s="66" t="n">
        <f aca="false">AA204+AA211</f>
        <v>12699.0084335</v>
      </c>
      <c r="AB212" s="66" t="n">
        <f aca="false">AB204+AB211</f>
        <v>12699.0084335</v>
      </c>
      <c r="AC212" s="66" t="n">
        <f aca="false">AC204+AC211</f>
        <v>12699.0084335</v>
      </c>
      <c r="AD212" s="66" t="n">
        <f aca="false">AD204+AD211</f>
        <v>12699.0084335</v>
      </c>
      <c r="AE212" s="66" t="n">
        <f aca="false">AE204+AE211</f>
        <v>12699.0084335</v>
      </c>
      <c r="AF212" s="66" t="n">
        <f aca="false">AF204+AF211</f>
        <v>12699.0084335</v>
      </c>
      <c r="AG212" s="66" t="n">
        <f aca="false">AG204+AG211</f>
        <v>12699.0084335</v>
      </c>
      <c r="AH212" s="66" t="n">
        <f aca="false">AH204+AH211</f>
        <v>12699.0084335</v>
      </c>
      <c r="AI212" s="66" t="n">
        <f aca="false">AI204+AI211</f>
        <v>12699.0084335</v>
      </c>
      <c r="AJ212" s="66" t="n">
        <f aca="false">AJ204+AJ211</f>
        <v>12699.0084335</v>
      </c>
      <c r="AK212" s="66" t="n">
        <f aca="false">AK204+AK211</f>
        <v>12699.0084335</v>
      </c>
      <c r="AL212" s="66" t="n">
        <f aca="false">AL204+AL211</f>
        <v>12699.0084335</v>
      </c>
      <c r="AM212" s="66" t="n">
        <f aca="false">AM204+AM211</f>
        <v>13264.6874817775</v>
      </c>
      <c r="AN212" s="66" t="n">
        <f aca="false">AN204+AN211</f>
        <v>13264.6874817775</v>
      </c>
      <c r="AO212" s="66" t="n">
        <f aca="false">AO204+AO211</f>
        <v>13264.6874817775</v>
      </c>
      <c r="AP212" s="66" t="n">
        <f aca="false">AP204+AP211</f>
        <v>13264.6874817775</v>
      </c>
      <c r="AQ212" s="66" t="n">
        <f aca="false">AQ204+AQ211</f>
        <v>13264.6874817775</v>
      </c>
      <c r="AR212" s="66" t="n">
        <f aca="false">AR204+AR211</f>
        <v>13264.6874817775</v>
      </c>
      <c r="AS212" s="66" t="n">
        <f aca="false">AS204+AS211</f>
        <v>13264.6874817775</v>
      </c>
      <c r="AT212" s="66" t="n">
        <f aca="false">AT204+AT211</f>
        <v>13264.6874817775</v>
      </c>
      <c r="AU212" s="66" t="n">
        <f aca="false">AU204+AU211</f>
        <v>13264.6874817775</v>
      </c>
      <c r="AV212" s="66" t="n">
        <f aca="false">AV204+AV211</f>
        <v>13264.6874817775</v>
      </c>
      <c r="AW212" s="66" t="n">
        <f aca="false">AW204+AW211</f>
        <v>13264.6874817775</v>
      </c>
      <c r="AX212" s="66" t="n">
        <f aca="false">AX204+AX211</f>
        <v>13264.6874817775</v>
      </c>
      <c r="AY212" s="66" t="n">
        <f aca="false">AY204+AY211</f>
        <v>13854.4366597595</v>
      </c>
      <c r="AZ212" s="66" t="n">
        <f aca="false">AZ204+AZ211</f>
        <v>13854.4366597595</v>
      </c>
      <c r="BA212" s="66" t="n">
        <f aca="false">BA204+BA211</f>
        <v>13854.4366597595</v>
      </c>
      <c r="BB212" s="66" t="n">
        <f aca="false">BB204+BB211</f>
        <v>13854.4366597595</v>
      </c>
      <c r="BC212" s="66" t="n">
        <f aca="false">BC204+BC211</f>
        <v>13854.4366597595</v>
      </c>
      <c r="BD212" s="66" t="n">
        <f aca="false">BD204+BD211</f>
        <v>13854.4366597595</v>
      </c>
      <c r="BE212" s="66" t="n">
        <f aca="false">BE204+BE211</f>
        <v>13854.4366597595</v>
      </c>
      <c r="BF212" s="66" t="n">
        <f aca="false">BF204+BF211</f>
        <v>13854.4366597595</v>
      </c>
      <c r="BG212" s="66" t="n">
        <f aca="false">BG204+BG211</f>
        <v>13854.4366597595</v>
      </c>
      <c r="BH212" s="66" t="n">
        <f aca="false">BH204+BH211</f>
        <v>13854.4366597595</v>
      </c>
      <c r="BI212" s="66" t="n">
        <f aca="false">BI204+BI211</f>
        <v>13854.4366597595</v>
      </c>
      <c r="BJ212" s="66" t="n">
        <f aca="false">BJ204+BJ211</f>
        <v>13854.4366597595</v>
      </c>
    </row>
    <row r="214" customFormat="false" ht="15.75" hidden="false" customHeight="true" outlineLevel="0" collapsed="false">
      <c r="A214" s="7" t="s">
        <v>420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4" t="s">
        <v>79</v>
      </c>
      <c r="C215" s="71" t="n">
        <f aca="false">C212+C230</f>
        <v>6895.96226337449</v>
      </c>
      <c r="D215" s="71" t="n">
        <f aca="false">D212+D230</f>
        <v>6895.06205761317</v>
      </c>
      <c r="E215" s="71" t="n">
        <f aca="false">E212+E230</f>
        <v>6894.16185185185</v>
      </c>
      <c r="F215" s="71" t="n">
        <f aca="false">F212+F230</f>
        <v>6893.26164609053</v>
      </c>
      <c r="G215" s="71" t="n">
        <f aca="false">G212+G230</f>
        <v>6892.36144032922</v>
      </c>
      <c r="H215" s="71" t="n">
        <f aca="false">H212+H230</f>
        <v>6891.4612345679</v>
      </c>
      <c r="I215" s="71" t="n">
        <f aca="false">I212+I230</f>
        <v>6890.56102880658</v>
      </c>
      <c r="J215" s="71" t="n">
        <f aca="false">J212+J230</f>
        <v>6889.66082304527</v>
      </c>
      <c r="K215" s="71" t="n">
        <f aca="false">K212+K230</f>
        <v>6888.76061728395</v>
      </c>
      <c r="L215" s="71" t="n">
        <f aca="false">L212+L230</f>
        <v>6887.86041152263</v>
      </c>
      <c r="M215" s="71" t="n">
        <f aca="false">M212+M230</f>
        <v>6886.96020576131</v>
      </c>
      <c r="N215" s="71" t="n">
        <f aca="false">N212+N230</f>
        <v>6886.06</v>
      </c>
      <c r="O215" s="71" t="n">
        <f aca="false">O212+O230</f>
        <v>7405.51718909465</v>
      </c>
      <c r="P215" s="71" t="n">
        <f aca="false">P212+P230</f>
        <v>7404.5944781893</v>
      </c>
      <c r="Q215" s="71" t="n">
        <f aca="false">Q212+Q230</f>
        <v>7403.67176728395</v>
      </c>
      <c r="R215" s="71" t="n">
        <f aca="false">R212+R230</f>
        <v>7402.7490563786</v>
      </c>
      <c r="S215" s="71" t="n">
        <f aca="false">S212+S230</f>
        <v>7401.82634547325</v>
      </c>
      <c r="T215" s="71" t="n">
        <f aca="false">T212+T230</f>
        <v>7400.9036345679</v>
      </c>
      <c r="U215" s="71" t="n">
        <f aca="false">U212+U230</f>
        <v>7399.98092366255</v>
      </c>
      <c r="V215" s="71" t="n">
        <f aca="false">V212+V230</f>
        <v>7399.0582127572</v>
      </c>
      <c r="W215" s="71" t="n">
        <f aca="false">W212+W230</f>
        <v>7398.13550185185</v>
      </c>
      <c r="X215" s="71" t="n">
        <f aca="false">X212+X230</f>
        <v>7397.2127909465</v>
      </c>
      <c r="Y215" s="71" t="n">
        <f aca="false">Y212+Y230</f>
        <v>7396.29008004115</v>
      </c>
      <c r="Z215" s="71" t="n">
        <f aca="false">Z212+Z230</f>
        <v>7395.3673691358</v>
      </c>
      <c r="AA215" s="71" t="n">
        <f aca="false">AA212+AA230</f>
        <v>7936.99012395782</v>
      </c>
      <c r="AB215" s="71" t="n">
        <f aca="false">AB212+AB230</f>
        <v>7936.04434527984</v>
      </c>
      <c r="AC215" s="71" t="n">
        <f aca="false">AC212+AC230</f>
        <v>7935.09856660185</v>
      </c>
      <c r="AD215" s="71" t="n">
        <f aca="false">AD212+AD230</f>
        <v>7934.15278792387</v>
      </c>
      <c r="AE215" s="71" t="n">
        <f aca="false">AE212+AE230</f>
        <v>7933.20700924589</v>
      </c>
      <c r="AF215" s="71" t="n">
        <f aca="false">AF212+AF230</f>
        <v>7932.2612305679</v>
      </c>
      <c r="AG215" s="71" t="n">
        <f aca="false">AG212+AG230</f>
        <v>7931.31545188992</v>
      </c>
      <c r="AH215" s="71" t="n">
        <f aca="false">AH212+AH230</f>
        <v>7930.36967321194</v>
      </c>
      <c r="AI215" s="71" t="n">
        <f aca="false">AI212+AI230</f>
        <v>7929.42389453395</v>
      </c>
      <c r="AJ215" s="71" t="n">
        <f aca="false">AJ212+AJ230</f>
        <v>7928.47811585597</v>
      </c>
      <c r="AK215" s="71" t="n">
        <f aca="false">AK212+AK230</f>
        <v>7927.53233717798</v>
      </c>
      <c r="AL215" s="71" t="n">
        <f aca="false">AL212+AL230</f>
        <v>7926.5865585</v>
      </c>
      <c r="AM215" s="71" t="n">
        <f aca="false">AM212+AM230</f>
        <v>8491.29618363257</v>
      </c>
      <c r="AN215" s="71" t="n">
        <f aca="false">AN212+AN230</f>
        <v>8490.32676048764</v>
      </c>
      <c r="AO215" s="71" t="n">
        <f aca="false">AO212+AO230</f>
        <v>8489.3573373427</v>
      </c>
      <c r="AP215" s="71" t="n">
        <f aca="false">AP212+AP230</f>
        <v>8488.38791419777</v>
      </c>
      <c r="AQ215" s="71" t="n">
        <f aca="false">AQ212+AQ230</f>
        <v>8487.41849105284</v>
      </c>
      <c r="AR215" s="71" t="n">
        <f aca="false">AR212+AR230</f>
        <v>8486.4490679079</v>
      </c>
      <c r="AS215" s="71" t="n">
        <f aca="false">AS212+AS230</f>
        <v>8485.47964476297</v>
      </c>
      <c r="AT215" s="71" t="n">
        <f aca="false">AT212+AT230</f>
        <v>8484.51022161804</v>
      </c>
      <c r="AU215" s="71" t="n">
        <f aca="false">AU212+AU230</f>
        <v>8483.5407984731</v>
      </c>
      <c r="AV215" s="71" t="n">
        <f aca="false">AV212+AV230</f>
        <v>8482.57137532817</v>
      </c>
      <c r="AW215" s="71" t="n">
        <f aca="false">AW212+AW230</f>
        <v>8481.60195218324</v>
      </c>
      <c r="AX215" s="71" t="n">
        <f aca="false">AX212+AX230</f>
        <v>8480.63252903831</v>
      </c>
      <c r="AY215" s="71" t="n">
        <f aca="false">AY212+AY230</f>
        <v>9069.38804829679</v>
      </c>
      <c r="AZ215" s="71" t="n">
        <f aca="false">AZ212+AZ230</f>
        <v>9068.39438957323</v>
      </c>
      <c r="BA215" s="71" t="n">
        <f aca="false">BA212+BA230</f>
        <v>9067.40073084968</v>
      </c>
      <c r="BB215" s="71" t="n">
        <f aca="false">BB212+BB230</f>
        <v>9066.40707212612</v>
      </c>
      <c r="BC215" s="71" t="n">
        <f aca="false">BC212+BC230</f>
        <v>9065.41341340256</v>
      </c>
      <c r="BD215" s="71" t="n">
        <f aca="false">BD212+BD230</f>
        <v>9064.41975467901</v>
      </c>
      <c r="BE215" s="71" t="n">
        <f aca="false">BE212+BE230</f>
        <v>9063.42609595545</v>
      </c>
      <c r="BF215" s="71" t="n">
        <f aca="false">BF212+BF230</f>
        <v>9062.4324372319</v>
      </c>
      <c r="BG215" s="71" t="n">
        <f aca="false">BG212+BG230</f>
        <v>9061.43877850834</v>
      </c>
      <c r="BH215" s="71" t="n">
        <f aca="false">BH212+BH230</f>
        <v>9060.44511978478</v>
      </c>
      <c r="BI215" s="71" t="n">
        <f aca="false">BI212+BI230</f>
        <v>9059.45146106123</v>
      </c>
      <c r="BJ215" s="71" t="n">
        <f aca="false">BJ212+BJ230</f>
        <v>9058.45780233767</v>
      </c>
    </row>
    <row r="216" customFormat="false" ht="15" hidden="false" customHeight="false" outlineLevel="0" collapsed="false">
      <c r="A216" s="6" t="s">
        <v>421</v>
      </c>
      <c r="C216" s="65" t="n">
        <f aca="false">-(C235+C236)*Inputs!$D$36/12</f>
        <v>-6500</v>
      </c>
      <c r="D216" s="65" t="n">
        <f aca="false">-(D235+D236)*Inputs!$D$36/12</f>
        <v>-6494.12391180629</v>
      </c>
      <c r="E216" s="65" t="n">
        <f aca="false">-(E235+E236)*Inputs!$D$36/12</f>
        <v>-6488.21599480153</v>
      </c>
      <c r="F216" s="65" t="n">
        <f aca="false">-(F235+F236)*Inputs!$D$36/12</f>
        <v>-6482.27607657966</v>
      </c>
      <c r="G216" s="65" t="n">
        <f aca="false">-(G235+G236)*Inputs!$D$36/12</f>
        <v>-6476.30398380076</v>
      </c>
      <c r="H216" s="65" t="n">
        <f aca="false">-(H235+H236)*Inputs!$D$36/12</f>
        <v>-6470.29954218597</v>
      </c>
      <c r="I216" s="65" t="n">
        <f aca="false">-(I235+I236)*Inputs!$D$36/12</f>
        <v>-6464.26257651244</v>
      </c>
      <c r="J216" s="65" t="n">
        <f aca="false">-(J235+J236)*Inputs!$D$36/12</f>
        <v>-6458.19291060817</v>
      </c>
      <c r="K216" s="65" t="n">
        <f aca="false">-(K235+K236)*Inputs!$D$36/12</f>
        <v>-6452.09036734692</v>
      </c>
      <c r="L216" s="65" t="n">
        <f aca="false">-(L235+L236)*Inputs!$D$36/12</f>
        <v>-6445.95476864301</v>
      </c>
      <c r="M216" s="65" t="n">
        <f aca="false">-(M235+M236)*Inputs!$D$36/12</f>
        <v>-6439.78593544611</v>
      </c>
      <c r="N216" s="65" t="n">
        <f aca="false">-(N235+N236)*Inputs!$D$36/12</f>
        <v>-6433.58368773607</v>
      </c>
      <c r="O216" s="65" t="n">
        <f aca="false">-(O235+O236)*Inputs!$D$36/12</f>
        <v>-6427.3478445176</v>
      </c>
      <c r="P216" s="65" t="n">
        <f aca="false">-(P235+P236)*Inputs!$D$36/12</f>
        <v>-6421.07822381503</v>
      </c>
      <c r="Q216" s="65" t="n">
        <f aca="false">-(Q235+Q236)*Inputs!$D$36/12</f>
        <v>-6414.77464266698</v>
      </c>
      <c r="R216" s="65" t="n">
        <f aca="false">-(R235+R236)*Inputs!$D$36/12</f>
        <v>-6408.43691712105</v>
      </c>
      <c r="S216" s="65" t="n">
        <f aca="false">-(S235+S236)*Inputs!$D$36/12</f>
        <v>-6402.06486222842</v>
      </c>
      <c r="T216" s="65" t="n">
        <f aca="false">-(T235+T236)*Inputs!$D$36/12</f>
        <v>-6395.65829203844</v>
      </c>
      <c r="U216" s="65" t="n">
        <f aca="false">-(U235+U236)*Inputs!$D$36/12</f>
        <v>-6389.21701959328</v>
      </c>
      <c r="V216" s="65" t="n">
        <f aca="false">-(V235+V236)*Inputs!$D$36/12</f>
        <v>-6382.74085692237</v>
      </c>
      <c r="W216" s="65" t="n">
        <f aca="false">-(W235+W236)*Inputs!$D$36/12</f>
        <v>-6376.22961503699</v>
      </c>
      <c r="X216" s="65" t="n">
        <f aca="false">-(X235+X236)*Inputs!$D$36/12</f>
        <v>-6369.68310392473</v>
      </c>
      <c r="Y216" s="65" t="n">
        <f aca="false">-(Y235+Y236)*Inputs!$D$36/12</f>
        <v>-6363.10113254394</v>
      </c>
      <c r="Z216" s="65" t="n">
        <f aca="false">-(Z235+Z236)*Inputs!$D$36/12</f>
        <v>-6356.48350881818</v>
      </c>
      <c r="AA216" s="65" t="n">
        <f aca="false">-(AA235+AA236)*Inputs!$D$36/12</f>
        <v>-6349.83003963057</v>
      </c>
      <c r="AB216" s="65" t="n">
        <f aca="false">-(AB235+AB236)*Inputs!$D$36/12</f>
        <v>-6343.14053081819</v>
      </c>
      <c r="AC216" s="65" t="n">
        <f aca="false">-(AC235+AC236)*Inputs!$D$36/12</f>
        <v>-6336.41478716641</v>
      </c>
      <c r="AD216" s="65" t="n">
        <f aca="false">-(AD235+AD236)*Inputs!$D$36/12</f>
        <v>-6329.65261240319</v>
      </c>
      <c r="AE216" s="65" t="n">
        <f aca="false">-(AE235+AE236)*Inputs!$D$36/12</f>
        <v>-6322.85380919333</v>
      </c>
      <c r="AF216" s="65" t="n">
        <f aca="false">-(AF235+AF236)*Inputs!$D$36/12</f>
        <v>-6316.01817913275</v>
      </c>
      <c r="AG216" s="65" t="n">
        <f aca="false">-(AG235+AG236)*Inputs!$D$36/12</f>
        <v>-6309.14552274268</v>
      </c>
      <c r="AH216" s="65" t="n">
        <f aca="false">-(AH235+AH236)*Inputs!$D$36/12</f>
        <v>-6302.23563946383</v>
      </c>
      <c r="AI216" s="65" t="n">
        <f aca="false">-(AI235+AI236)*Inputs!$D$36/12</f>
        <v>-6295.28832765055</v>
      </c>
      <c r="AJ216" s="65" t="n">
        <f aca="false">-(AJ235+AJ236)*Inputs!$D$36/12</f>
        <v>-6288.30338456494</v>
      </c>
      <c r="AK216" s="65" t="n">
        <f aca="false">-(AK235+AK236)*Inputs!$D$36/12</f>
        <v>-6281.28060637096</v>
      </c>
      <c r="AL216" s="65" t="n">
        <f aca="false">-(AL235+AL236)*Inputs!$D$36/12</f>
        <v>-6274.21978812843</v>
      </c>
      <c r="AM216" s="65" t="n">
        <f aca="false">-(AM235+AM236)*Inputs!$D$36/12</f>
        <v>-6267.12072378708</v>
      </c>
      <c r="AN216" s="65" t="n">
        <f aca="false">-(AN235+AN236)*Inputs!$D$36/12</f>
        <v>-6259.98320618055</v>
      </c>
      <c r="AO216" s="65" t="n">
        <f aca="false">-(AO235+AO236)*Inputs!$D$36/12</f>
        <v>-6252.80702702032</v>
      </c>
      <c r="AP216" s="65" t="n">
        <f aca="false">-(AP235+AP236)*Inputs!$D$36/12</f>
        <v>-6245.59197688964</v>
      </c>
      <c r="AQ216" s="65" t="n">
        <f aca="false">-(AQ235+AQ236)*Inputs!$D$36/12</f>
        <v>-6238.33784523742</v>
      </c>
      <c r="AR216" s="65" t="n">
        <f aca="false">-(AR235+AR236)*Inputs!$D$36/12</f>
        <v>-6231.04442037208</v>
      </c>
      <c r="AS216" s="65" t="n">
        <f aca="false">-(AS235+AS236)*Inputs!$D$36/12</f>
        <v>-6223.71148945538</v>
      </c>
      <c r="AT216" s="65" t="n">
        <f aca="false">-(AT235+AT236)*Inputs!$D$36/12</f>
        <v>-6216.33883849622</v>
      </c>
      <c r="AU216" s="65" t="n">
        <f aca="false">-(AU235+AU236)*Inputs!$D$36/12</f>
        <v>-6208.92625234437</v>
      </c>
      <c r="AV216" s="65" t="n">
        <f aca="false">-(AV235+AV236)*Inputs!$D$36/12</f>
        <v>-6201.47351468419</v>
      </c>
      <c r="AW216" s="65" t="n">
        <f aca="false">-(AW235+AW236)*Inputs!$D$36/12</f>
        <v>-6193.98040802835</v>
      </c>
      <c r="AX216" s="65" t="n">
        <f aca="false">-(AX235+AX236)*Inputs!$D$36/12</f>
        <v>-6186.44671371147</v>
      </c>
      <c r="AY216" s="65" t="n">
        <f aca="false">-(AY235+AY236)*Inputs!$D$36/12</f>
        <v>-6178.87221188369</v>
      </c>
      <c r="AZ216" s="65" t="n">
        <f aca="false">-(AZ235+AZ236)*Inputs!$D$36/12</f>
        <v>-6171.25668150435</v>
      </c>
      <c r="BA216" s="65" t="n">
        <f aca="false">-(BA235+BA236)*Inputs!$D$36/12</f>
        <v>-6163.59990033546</v>
      </c>
      <c r="BB216" s="65" t="n">
        <f aca="false">-(BB235+BB236)*Inputs!$D$36/12</f>
        <v>-6155.90164493523</v>
      </c>
      <c r="BC216" s="65" t="n">
        <f aca="false">-(BC235+BC236)*Inputs!$D$36/12</f>
        <v>-6148.16169065159</v>
      </c>
      <c r="BD216" s="65" t="n">
        <f aca="false">-(BD235+BD236)*Inputs!$D$36/12</f>
        <v>-6140.37981161558</v>
      </c>
      <c r="BE216" s="65" t="n">
        <f aca="false">-(BE235+BE236)*Inputs!$D$36/12</f>
        <v>-6132.55578073479</v>
      </c>
      <c r="BF216" s="65" t="n">
        <f aca="false">-(BF235+BF236)*Inputs!$D$36/12</f>
        <v>-6124.68936968672</v>
      </c>
      <c r="BG216" s="65" t="n">
        <f aca="false">-(BG235+BG236)*Inputs!$D$36/12</f>
        <v>-6116.78034891215</v>
      </c>
      <c r="BH216" s="65" t="n">
        <f aca="false">-(BH235+BH236)*Inputs!$D$36/12</f>
        <v>-6108.82848760838</v>
      </c>
      <c r="BI216" s="65" t="n">
        <f aca="false">-(BI235+BI236)*Inputs!$D$36/12</f>
        <v>-6100.83355372255</v>
      </c>
      <c r="BJ216" s="65" t="n">
        <f aca="false">-(BJ235+BJ236)*Inputs!$D$36/12</f>
        <v>-6092.79531394484</v>
      </c>
    </row>
    <row r="217" customFormat="false" ht="15" hidden="false" customHeight="false" outlineLevel="0" collapsed="false">
      <c r="A217" s="108" t="s">
        <v>81</v>
      </c>
      <c r="C217" s="66" t="n">
        <f aca="false">C215+C216</f>
        <v>395.962263374485</v>
      </c>
      <c r="D217" s="66" t="n">
        <f aca="false">D215+D216</f>
        <v>400.938145806877</v>
      </c>
      <c r="E217" s="66" t="n">
        <f aca="false">E215+E216</f>
        <v>405.945857050318</v>
      </c>
      <c r="F217" s="66" t="n">
        <f aca="false">F215+F216</f>
        <v>410.98556951087</v>
      </c>
      <c r="G217" s="66" t="n">
        <f aca="false">G215+G216</f>
        <v>416.057456528456</v>
      </c>
      <c r="H217" s="66" t="n">
        <f aca="false">H215+H216</f>
        <v>421.161692381927</v>
      </c>
      <c r="I217" s="66" t="n">
        <f aca="false">I215+I216</f>
        <v>426.298452294145</v>
      </c>
      <c r="J217" s="66" t="n">
        <f aca="false">J215+J216</f>
        <v>431.467912437094</v>
      </c>
      <c r="K217" s="66" t="n">
        <f aca="false">K215+K216</f>
        <v>436.670249937026</v>
      </c>
      <c r="L217" s="66" t="n">
        <f aca="false">L215+L216</f>
        <v>441.905642879622</v>
      </c>
      <c r="M217" s="66" t="n">
        <f aca="false">M215+M216</f>
        <v>447.174270315199</v>
      </c>
      <c r="N217" s="66" t="n">
        <f aca="false">N215+N216</f>
        <v>452.476312263925</v>
      </c>
      <c r="O217" s="66" t="n">
        <f aca="false">O215+O216</f>
        <v>978.169344577047</v>
      </c>
      <c r="P217" s="66" t="n">
        <f aca="false">P215+P216</f>
        <v>983.51625437427</v>
      </c>
      <c r="Q217" s="66" t="n">
        <f aca="false">Q215+Q216</f>
        <v>988.897124616964</v>
      </c>
      <c r="R217" s="66" t="n">
        <f aca="false">R215+R216</f>
        <v>994.312139257545</v>
      </c>
      <c r="S217" s="66" t="n">
        <f aca="false">S215+S216</f>
        <v>999.761483244832</v>
      </c>
      <c r="T217" s="66" t="n">
        <f aca="false">T215+T216</f>
        <v>1005.24534252946</v>
      </c>
      <c r="U217" s="66" t="n">
        <f aca="false">U215+U216</f>
        <v>1010.76390406927</v>
      </c>
      <c r="V217" s="66" t="n">
        <f aca="false">V215+V216</f>
        <v>1016.31735583483</v>
      </c>
      <c r="W217" s="66" t="n">
        <f aca="false">W215+W216</f>
        <v>1021.90588681487</v>
      </c>
      <c r="X217" s="66" t="n">
        <f aca="false">X215+X216</f>
        <v>1027.52968702177</v>
      </c>
      <c r="Y217" s="66" t="n">
        <f aca="false">Y215+Y216</f>
        <v>1033.18894749721</v>
      </c>
      <c r="Z217" s="66" t="n">
        <f aca="false">Z215+Z216</f>
        <v>1038.88386031762</v>
      </c>
      <c r="AA217" s="66" t="n">
        <f aca="false">AA215+AA216</f>
        <v>1587.16008432725</v>
      </c>
      <c r="AB217" s="66" t="n">
        <f aca="false">AB215+AB216</f>
        <v>1592.90381446165</v>
      </c>
      <c r="AC217" s="66" t="n">
        <f aca="false">AC215+AC216</f>
        <v>1598.68377943544</v>
      </c>
      <c r="AD217" s="66" t="n">
        <f aca="false">AD215+AD216</f>
        <v>1604.50017552068</v>
      </c>
      <c r="AE217" s="66" t="n">
        <f aca="false">AE215+AE216</f>
        <v>1610.35320005255</v>
      </c>
      <c r="AF217" s="66" t="n">
        <f aca="false">AF215+AF216</f>
        <v>1616.24305143515</v>
      </c>
      <c r="AG217" s="66" t="n">
        <f aca="false">AG215+AG216</f>
        <v>1622.16992914724</v>
      </c>
      <c r="AH217" s="66" t="n">
        <f aca="false">AH215+AH216</f>
        <v>1628.13403374811</v>
      </c>
      <c r="AI217" s="66" t="n">
        <f aca="false">AI215+AI216</f>
        <v>1634.1355668834</v>
      </c>
      <c r="AJ217" s="66" t="n">
        <f aca="false">AJ215+AJ216</f>
        <v>1640.17473129102</v>
      </c>
      <c r="AK217" s="66" t="n">
        <f aca="false">AK215+AK216</f>
        <v>1646.25173080702</v>
      </c>
      <c r="AL217" s="66" t="n">
        <f aca="false">AL215+AL216</f>
        <v>1652.36677037157</v>
      </c>
      <c r="AM217" s="66" t="n">
        <f aca="false">AM215+AM216</f>
        <v>2224.17545984549</v>
      </c>
      <c r="AN217" s="66" t="n">
        <f aca="false">AN215+AN216</f>
        <v>2230.34355430708</v>
      </c>
      <c r="AO217" s="66" t="n">
        <f aca="false">AO215+AO216</f>
        <v>2236.55031032238</v>
      </c>
      <c r="AP217" s="66" t="n">
        <f aca="false">AP215+AP216</f>
        <v>2242.79593730813</v>
      </c>
      <c r="AQ217" s="66" t="n">
        <f aca="false">AQ215+AQ216</f>
        <v>2249.08064581542</v>
      </c>
      <c r="AR217" s="66" t="n">
        <f aca="false">AR215+AR216</f>
        <v>2255.40464753583</v>
      </c>
      <c r="AS217" s="66" t="n">
        <f aca="false">AS215+AS216</f>
        <v>2261.76815530759</v>
      </c>
      <c r="AT217" s="66" t="n">
        <f aca="false">AT215+AT216</f>
        <v>2268.17138312181</v>
      </c>
      <c r="AU217" s="66" t="n">
        <f aca="false">AU215+AU216</f>
        <v>2274.61454612873</v>
      </c>
      <c r="AV217" s="66" t="n">
        <f aca="false">AV215+AV216</f>
        <v>2281.09786064398</v>
      </c>
      <c r="AW217" s="66" t="n">
        <f aca="false">AW215+AW216</f>
        <v>2287.62154415488</v>
      </c>
      <c r="AX217" s="66" t="n">
        <f aca="false">AX215+AX216</f>
        <v>2294.18581532684</v>
      </c>
      <c r="AY217" s="66" t="n">
        <f aca="false">AY215+AY216</f>
        <v>2890.51583641309</v>
      </c>
      <c r="AZ217" s="66" t="n">
        <f aca="false">AZ215+AZ216</f>
        <v>2897.13770806888</v>
      </c>
      <c r="BA217" s="66" t="n">
        <f aca="false">BA215+BA216</f>
        <v>2903.80083051422</v>
      </c>
      <c r="BB217" s="66" t="n">
        <f aca="false">BB215+BB216</f>
        <v>2910.50542719089</v>
      </c>
      <c r="BC217" s="66" t="n">
        <f aca="false">BC215+BC216</f>
        <v>2917.25172275097</v>
      </c>
      <c r="BD217" s="66" t="n">
        <f aca="false">BD215+BD216</f>
        <v>2924.03994306343</v>
      </c>
      <c r="BE217" s="66" t="n">
        <f aca="false">BE215+BE216</f>
        <v>2930.87031522067</v>
      </c>
      <c r="BF217" s="66" t="n">
        <f aca="false">BF215+BF216</f>
        <v>2937.74306754517</v>
      </c>
      <c r="BG217" s="66" t="n">
        <f aca="false">BG215+BG216</f>
        <v>2944.65842959619</v>
      </c>
      <c r="BH217" s="66" t="n">
        <f aca="false">BH215+BH216</f>
        <v>2951.6166321764</v>
      </c>
      <c r="BI217" s="66" t="n">
        <f aca="false">BI215+BI216</f>
        <v>2958.61790733868</v>
      </c>
      <c r="BJ217" s="66" t="n">
        <f aca="false">BJ215+BJ216</f>
        <v>2965.66248839283</v>
      </c>
    </row>
    <row r="218" customFormat="false" ht="15" hidden="false" customHeight="false" outlineLevel="0" collapsed="false">
      <c r="A218" s="112" t="s">
        <v>422</v>
      </c>
      <c r="C218" s="65" t="n">
        <f aca="false">C217</f>
        <v>395.962263374485</v>
      </c>
      <c r="D218" s="65" t="n">
        <f aca="false">C218+D217</f>
        <v>796.900409181362</v>
      </c>
      <c r="E218" s="65" t="n">
        <f aca="false">D218+E217</f>
        <v>1202.84626623168</v>
      </c>
      <c r="F218" s="65" t="n">
        <f aca="false">E218+F217</f>
        <v>1613.83183574255</v>
      </c>
      <c r="G218" s="65" t="n">
        <f aca="false">F218+G217</f>
        <v>2029.88929227101</v>
      </c>
      <c r="H218" s="65" t="n">
        <f aca="false">G218+H217</f>
        <v>2451.05098465293</v>
      </c>
      <c r="I218" s="65" t="n">
        <f aca="false">H218+I217</f>
        <v>2877.34943694708</v>
      </c>
      <c r="J218" s="65" t="n">
        <f aca="false">I218+J217</f>
        <v>3308.81734938417</v>
      </c>
      <c r="K218" s="65" t="n">
        <f aca="false">J218+K217</f>
        <v>3745.4875993212</v>
      </c>
      <c r="L218" s="65" t="n">
        <f aca="false">K218+L217</f>
        <v>4187.39324220082</v>
      </c>
      <c r="M218" s="65" t="n">
        <f aca="false">L218+M217</f>
        <v>4634.56751251602</v>
      </c>
      <c r="N218" s="65" t="n">
        <f aca="false">M218+N217</f>
        <v>5087.04382477995</v>
      </c>
      <c r="O218" s="65" t="n">
        <f aca="false">N218+O217</f>
        <v>6065.21316935699</v>
      </c>
      <c r="P218" s="65" t="n">
        <f aca="false">O218+P217</f>
        <v>7048.72942373126</v>
      </c>
      <c r="Q218" s="65" t="n">
        <f aca="false">P218+Q217</f>
        <v>8037.62654834823</v>
      </c>
      <c r="R218" s="65" t="n">
        <f aca="false">Q218+R217</f>
        <v>9031.93868760577</v>
      </c>
      <c r="S218" s="65" t="n">
        <f aca="false">R218+S217</f>
        <v>10031.7001708506</v>
      </c>
      <c r="T218" s="65" t="n">
        <f aca="false">S218+T217</f>
        <v>11036.9455133801</v>
      </c>
      <c r="U218" s="65" t="n">
        <f aca="false">T218+U217</f>
        <v>12047.7094174493</v>
      </c>
      <c r="V218" s="65" t="n">
        <f aca="false">U218+V217</f>
        <v>13064.0267732842</v>
      </c>
      <c r="W218" s="65" t="n">
        <f aca="false">V218+W217</f>
        <v>14085.932660099</v>
      </c>
      <c r="X218" s="65" t="n">
        <f aca="false">W218+X217</f>
        <v>15113.4623471208</v>
      </c>
      <c r="Y218" s="65" t="n">
        <f aca="false">X218+Y217</f>
        <v>16146.651294618</v>
      </c>
      <c r="Z218" s="65" t="n">
        <f aca="false">Y218+Z217</f>
        <v>17185.5351549356</v>
      </c>
      <c r="AA218" s="65" t="n">
        <f aca="false">Z218+AA217</f>
        <v>18772.6952392629</v>
      </c>
      <c r="AB218" s="65" t="n">
        <f aca="false">AA218+AB217</f>
        <v>20365.5990537245</v>
      </c>
      <c r="AC218" s="65" t="n">
        <f aca="false">AB218+AC217</f>
        <v>21964.28283316</v>
      </c>
      <c r="AD218" s="65" t="n">
        <f aca="false">AC218+AD217</f>
        <v>23568.7830086807</v>
      </c>
      <c r="AE218" s="65" t="n">
        <f aca="false">AD218+AE217</f>
        <v>25179.1362087332</v>
      </c>
      <c r="AF218" s="65" t="n">
        <f aca="false">AE218+AF217</f>
        <v>26795.3792601684</v>
      </c>
      <c r="AG218" s="65" t="n">
        <f aca="false">AF218+AG217</f>
        <v>28417.5491893156</v>
      </c>
      <c r="AH218" s="65" t="n">
        <f aca="false">AG218+AH217</f>
        <v>30045.6832230637</v>
      </c>
      <c r="AI218" s="65" t="n">
        <f aca="false">AH218+AI217</f>
        <v>31679.8187899471</v>
      </c>
      <c r="AJ218" s="65" t="n">
        <f aca="false">AI218+AJ217</f>
        <v>33319.9935212381</v>
      </c>
      <c r="AK218" s="65" t="n">
        <f aca="false">AJ218+AK217</f>
        <v>34966.2452520452</v>
      </c>
      <c r="AL218" s="65" t="n">
        <f aca="false">AK218+AL217</f>
        <v>36618.6120224167</v>
      </c>
      <c r="AM218" s="65" t="n">
        <f aca="false">AL218+AM217</f>
        <v>38842.7874822622</v>
      </c>
      <c r="AN218" s="65" t="n">
        <f aca="false">AM218+AN217</f>
        <v>41073.1310365693</v>
      </c>
      <c r="AO218" s="65" t="n">
        <f aca="false">AN218+AO217</f>
        <v>43309.6813468917</v>
      </c>
      <c r="AP218" s="65" t="n">
        <f aca="false">AO218+AP217</f>
        <v>45552.4772841998</v>
      </c>
      <c r="AQ218" s="65" t="n">
        <f aca="false">AP218+AQ217</f>
        <v>47801.5579300152</v>
      </c>
      <c r="AR218" s="65" t="n">
        <f aca="false">AQ218+AR217</f>
        <v>50056.9625775511</v>
      </c>
      <c r="AS218" s="65" t="n">
        <f aca="false">AR218+AS217</f>
        <v>52318.7307328586</v>
      </c>
      <c r="AT218" s="65" t="n">
        <f aca="false">AS218+AT217</f>
        <v>54586.9021159805</v>
      </c>
      <c r="AU218" s="65" t="n">
        <f aca="false">AT218+AU217</f>
        <v>56861.5166621092</v>
      </c>
      <c r="AV218" s="65" t="n">
        <f aca="false">AU218+AV217</f>
        <v>59142.6145227532</v>
      </c>
      <c r="AW218" s="65" t="n">
        <f aca="false">AV218+AW217</f>
        <v>61430.2360669081</v>
      </c>
      <c r="AX218" s="65" t="n">
        <f aca="false">AW218+AX217</f>
        <v>63724.4218822349</v>
      </c>
      <c r="AY218" s="65" t="n">
        <f aca="false">AX218+AY217</f>
        <v>66614.937718648</v>
      </c>
      <c r="AZ218" s="65" t="n">
        <f aca="false">AY218+AZ217</f>
        <v>69512.0754267169</v>
      </c>
      <c r="BA218" s="65" t="n">
        <f aca="false">AZ218+BA217</f>
        <v>72415.8762572311</v>
      </c>
      <c r="BB218" s="65" t="n">
        <f aca="false">BA218+BB217</f>
        <v>75326.381684422</v>
      </c>
      <c r="BC218" s="65" t="n">
        <f aca="false">BB218+BC217</f>
        <v>78243.633407173</v>
      </c>
      <c r="BD218" s="65" t="n">
        <f aca="false">BC218+BD217</f>
        <v>81167.6733502364</v>
      </c>
      <c r="BE218" s="65" t="n">
        <f aca="false">BD218+BE217</f>
        <v>84098.5436654571</v>
      </c>
      <c r="BF218" s="65" t="n">
        <f aca="false">BE218+BF217</f>
        <v>87036.2867330022</v>
      </c>
      <c r="BG218" s="65" t="n">
        <f aca="false">BF218+BG217</f>
        <v>89980.9451625984</v>
      </c>
      <c r="BH218" s="65" t="n">
        <f aca="false">BG218+BH217</f>
        <v>92932.5617947748</v>
      </c>
      <c r="BI218" s="65" t="n">
        <f aca="false">BH218+BI217</f>
        <v>95891.1797021135</v>
      </c>
      <c r="BJ218" s="65" t="n">
        <f aca="false">BI218+BJ217</f>
        <v>98856.8421905063</v>
      </c>
    </row>
    <row r="219" customFormat="false" ht="15" hidden="false" customHeight="false" outlineLevel="0" collapsed="false">
      <c r="A219" s="112" t="s">
        <v>423</v>
      </c>
      <c r="C219" s="65" t="n">
        <f aca="false">MAX(0,C218)</f>
        <v>395.962263374485</v>
      </c>
      <c r="D219" s="65" t="n">
        <f aca="false">MAX(C219,D218)</f>
        <v>796.900409181362</v>
      </c>
      <c r="E219" s="65" t="n">
        <f aca="false">MAX(D219,E218)</f>
        <v>1202.84626623168</v>
      </c>
      <c r="F219" s="65" t="n">
        <f aca="false">MAX(E219,F218)</f>
        <v>1613.83183574255</v>
      </c>
      <c r="G219" s="65" t="n">
        <f aca="false">MAX(F219,G218)</f>
        <v>2029.88929227101</v>
      </c>
      <c r="H219" s="65" t="n">
        <f aca="false">MAX(G219,H218)</f>
        <v>2451.05098465293</v>
      </c>
      <c r="I219" s="65" t="n">
        <f aca="false">MAX(H219,I218)</f>
        <v>2877.34943694708</v>
      </c>
      <c r="J219" s="65" t="n">
        <f aca="false">MAX(I219,J218)</f>
        <v>3308.81734938417</v>
      </c>
      <c r="K219" s="65" t="n">
        <f aca="false">MAX(J219,K218)</f>
        <v>3745.4875993212</v>
      </c>
      <c r="L219" s="65" t="n">
        <f aca="false">MAX(K219,L218)</f>
        <v>4187.39324220082</v>
      </c>
      <c r="M219" s="65" t="n">
        <f aca="false">MAX(L219,M218)</f>
        <v>4634.56751251602</v>
      </c>
      <c r="N219" s="65" t="n">
        <f aca="false">MAX(M219,N218)</f>
        <v>5087.04382477995</v>
      </c>
      <c r="O219" s="65" t="n">
        <f aca="false">MAX(N219,O218)</f>
        <v>6065.21316935699</v>
      </c>
      <c r="P219" s="65" t="n">
        <f aca="false">MAX(O219,P218)</f>
        <v>7048.72942373126</v>
      </c>
      <c r="Q219" s="65" t="n">
        <f aca="false">MAX(P219,Q218)</f>
        <v>8037.62654834823</v>
      </c>
      <c r="R219" s="65" t="n">
        <f aca="false">MAX(Q219,R218)</f>
        <v>9031.93868760577</v>
      </c>
      <c r="S219" s="65" t="n">
        <f aca="false">MAX(R219,S218)</f>
        <v>10031.7001708506</v>
      </c>
      <c r="T219" s="65" t="n">
        <f aca="false">MAX(S219,T218)</f>
        <v>11036.9455133801</v>
      </c>
      <c r="U219" s="65" t="n">
        <f aca="false">MAX(T219,U218)</f>
        <v>12047.7094174493</v>
      </c>
      <c r="V219" s="65" t="n">
        <f aca="false">MAX(U219,V218)</f>
        <v>13064.0267732842</v>
      </c>
      <c r="W219" s="65" t="n">
        <f aca="false">MAX(V219,W218)</f>
        <v>14085.932660099</v>
      </c>
      <c r="X219" s="65" t="n">
        <f aca="false">MAX(W219,X218)</f>
        <v>15113.4623471208</v>
      </c>
      <c r="Y219" s="65" t="n">
        <f aca="false">MAX(X219,Y218)</f>
        <v>16146.651294618</v>
      </c>
      <c r="Z219" s="65" t="n">
        <f aca="false">MAX(Y219,Z218)</f>
        <v>17185.5351549356</v>
      </c>
      <c r="AA219" s="65" t="n">
        <f aca="false">MAX(Z219,AA218)</f>
        <v>18772.6952392629</v>
      </c>
      <c r="AB219" s="65" t="n">
        <f aca="false">MAX(AA219,AB218)</f>
        <v>20365.5990537245</v>
      </c>
      <c r="AC219" s="65" t="n">
        <f aca="false">MAX(AB219,AC218)</f>
        <v>21964.28283316</v>
      </c>
      <c r="AD219" s="65" t="n">
        <f aca="false">MAX(AC219,AD218)</f>
        <v>23568.7830086807</v>
      </c>
      <c r="AE219" s="65" t="n">
        <f aca="false">MAX(AD219,AE218)</f>
        <v>25179.1362087332</v>
      </c>
      <c r="AF219" s="65" t="n">
        <f aca="false">MAX(AE219,AF218)</f>
        <v>26795.3792601684</v>
      </c>
      <c r="AG219" s="65" t="n">
        <f aca="false">MAX(AF219,AG218)</f>
        <v>28417.5491893156</v>
      </c>
      <c r="AH219" s="65" t="n">
        <f aca="false">MAX(AG219,AH218)</f>
        <v>30045.6832230637</v>
      </c>
      <c r="AI219" s="65" t="n">
        <f aca="false">MAX(AH219,AI218)</f>
        <v>31679.8187899471</v>
      </c>
      <c r="AJ219" s="65" t="n">
        <f aca="false">MAX(AI219,AJ218)</f>
        <v>33319.9935212381</v>
      </c>
      <c r="AK219" s="65" t="n">
        <f aca="false">MAX(AJ219,AK218)</f>
        <v>34966.2452520452</v>
      </c>
      <c r="AL219" s="65" t="n">
        <f aca="false">MAX(AK219,AL218)</f>
        <v>36618.6120224167</v>
      </c>
      <c r="AM219" s="65" t="n">
        <f aca="false">MAX(AL219,AM218)</f>
        <v>38842.7874822622</v>
      </c>
      <c r="AN219" s="65" t="n">
        <f aca="false">MAX(AM219,AN218)</f>
        <v>41073.1310365693</v>
      </c>
      <c r="AO219" s="65" t="n">
        <f aca="false">MAX(AN219,AO218)</f>
        <v>43309.6813468917</v>
      </c>
      <c r="AP219" s="65" t="n">
        <f aca="false">MAX(AO219,AP218)</f>
        <v>45552.4772841998</v>
      </c>
      <c r="AQ219" s="65" t="n">
        <f aca="false">MAX(AP219,AQ218)</f>
        <v>47801.5579300152</v>
      </c>
      <c r="AR219" s="65" t="n">
        <f aca="false">MAX(AQ219,AR218)</f>
        <v>50056.9625775511</v>
      </c>
      <c r="AS219" s="65" t="n">
        <f aca="false">MAX(AR219,AS218)</f>
        <v>52318.7307328586</v>
      </c>
      <c r="AT219" s="65" t="n">
        <f aca="false">MAX(AS219,AT218)</f>
        <v>54586.9021159805</v>
      </c>
      <c r="AU219" s="65" t="n">
        <f aca="false">MAX(AT219,AU218)</f>
        <v>56861.5166621092</v>
      </c>
      <c r="AV219" s="65" t="n">
        <f aca="false">MAX(AU219,AV218)</f>
        <v>59142.6145227532</v>
      </c>
      <c r="AW219" s="65" t="n">
        <f aca="false">MAX(AV219,AW218)</f>
        <v>61430.2360669081</v>
      </c>
      <c r="AX219" s="65" t="n">
        <f aca="false">MAX(AW219,AX218)</f>
        <v>63724.4218822349</v>
      </c>
      <c r="AY219" s="65" t="n">
        <f aca="false">MAX(AX219,AY218)</f>
        <v>66614.937718648</v>
      </c>
      <c r="AZ219" s="65" t="n">
        <f aca="false">MAX(AY219,AZ218)</f>
        <v>69512.0754267169</v>
      </c>
      <c r="BA219" s="65" t="n">
        <f aca="false">MAX(AZ219,BA218)</f>
        <v>72415.8762572311</v>
      </c>
      <c r="BB219" s="65" t="n">
        <f aca="false">MAX(BA219,BB218)</f>
        <v>75326.381684422</v>
      </c>
      <c r="BC219" s="65" t="n">
        <f aca="false">MAX(BB219,BC218)</f>
        <v>78243.633407173</v>
      </c>
      <c r="BD219" s="65" t="n">
        <f aca="false">MAX(BC219,BD218)</f>
        <v>81167.6733502364</v>
      </c>
      <c r="BE219" s="65" t="n">
        <f aca="false">MAX(BD219,BE218)</f>
        <v>84098.5436654571</v>
      </c>
      <c r="BF219" s="65" t="n">
        <f aca="false">MAX(BE219,BF218)</f>
        <v>87036.2867330022</v>
      </c>
      <c r="BG219" s="65" t="n">
        <f aca="false">MAX(BF219,BG218)</f>
        <v>89980.9451625984</v>
      </c>
      <c r="BH219" s="65" t="n">
        <f aca="false">MAX(BG219,BH218)</f>
        <v>92932.5617947748</v>
      </c>
      <c r="BI219" s="65" t="n">
        <f aca="false">MAX(BH219,BI218)</f>
        <v>95891.1797021135</v>
      </c>
      <c r="BJ219" s="65" t="n">
        <f aca="false">MAX(BI219,BJ218)</f>
        <v>98856.8421905063</v>
      </c>
    </row>
    <row r="220" customFormat="false" ht="15" hidden="false" customHeight="false" outlineLevel="0" collapsed="false">
      <c r="A220" s="6" t="s">
        <v>82</v>
      </c>
      <c r="C220" s="65" t="n">
        <f aca="false">-C219*Inputs!$D$46</f>
        <v>-83.1520753086418</v>
      </c>
      <c r="D220" s="65" t="n">
        <f aca="false">-(D219-C219)*Inputs!$D$46</f>
        <v>-84.1970106194443</v>
      </c>
      <c r="E220" s="65" t="n">
        <f aca="false">-(E219-D219)*Inputs!$D$46</f>
        <v>-85.2486299805669</v>
      </c>
      <c r="F220" s="65" t="n">
        <f aca="false">-(F219-E219)*Inputs!$D$46</f>
        <v>-86.3069695972827</v>
      </c>
      <c r="G220" s="65" t="n">
        <f aca="false">-(G219-F219)*Inputs!$D$46</f>
        <v>-87.3720658709758</v>
      </c>
      <c r="H220" s="65" t="n">
        <f aca="false">-(H219-G219)*Inputs!$D$46</f>
        <v>-88.4439554002046</v>
      </c>
      <c r="I220" s="65" t="n">
        <f aca="false">-(I219-H219)*Inputs!$D$46</f>
        <v>-89.5226749817705</v>
      </c>
      <c r="J220" s="65" t="n">
        <f aca="false">-(J219-I219)*Inputs!$D$46</f>
        <v>-90.6082616117898</v>
      </c>
      <c r="K220" s="65" t="n">
        <f aca="false">-(K219-J219)*Inputs!$D$46</f>
        <v>-91.7007524867754</v>
      </c>
      <c r="L220" s="65" t="n">
        <f aca="false">-(L219-K219)*Inputs!$D$46</f>
        <v>-92.8001850047206</v>
      </c>
      <c r="M220" s="65" t="n">
        <f aca="false">-(M219-L219)*Inputs!$D$46</f>
        <v>-93.9065967661919</v>
      </c>
      <c r="N220" s="65" t="n">
        <f aca="false">-(N219-M219)*Inputs!$D$46</f>
        <v>-95.0200255754243</v>
      </c>
      <c r="O220" s="65" t="n">
        <f aca="false">-(O219-N219)*Inputs!$D$46</f>
        <v>-205.41556236118</v>
      </c>
      <c r="P220" s="65" t="n">
        <f aca="false">-(P219-O219)*Inputs!$D$46</f>
        <v>-206.538413418597</v>
      </c>
      <c r="Q220" s="65" t="n">
        <f aca="false">-(Q219-P219)*Inputs!$D$46</f>
        <v>-207.668396169562</v>
      </c>
      <c r="R220" s="65" t="n">
        <f aca="false">-(R219-Q219)*Inputs!$D$46</f>
        <v>-208.805549244084</v>
      </c>
      <c r="S220" s="65" t="n">
        <f aca="false">-(S219-R219)*Inputs!$D$46</f>
        <v>-209.949911481415</v>
      </c>
      <c r="T220" s="65" t="n">
        <f aca="false">-(T219-S219)*Inputs!$D$46</f>
        <v>-211.101521931186</v>
      </c>
      <c r="U220" s="65" t="n">
        <f aca="false">-(U219-T219)*Inputs!$D$46</f>
        <v>-212.260419854548</v>
      </c>
      <c r="V220" s="65" t="n">
        <f aca="false">-(V219-U219)*Inputs!$D$46</f>
        <v>-213.426644725315</v>
      </c>
      <c r="W220" s="65" t="n">
        <f aca="false">-(W219-V219)*Inputs!$D$46</f>
        <v>-214.600236231122</v>
      </c>
      <c r="X220" s="65" t="n">
        <f aca="false">-(X219-W219)*Inputs!$D$46</f>
        <v>-215.781234274572</v>
      </c>
      <c r="Y220" s="65" t="n">
        <f aca="false">-(Y219-X219)*Inputs!$D$46</f>
        <v>-216.969678974414</v>
      </c>
      <c r="Z220" s="65" t="n">
        <f aca="false">-(Z219-Y219)*Inputs!$D$46</f>
        <v>-218.165610666701</v>
      </c>
      <c r="AA220" s="65" t="n">
        <f aca="false">-(AA219-Z219)*Inputs!$D$46</f>
        <v>-333.303617708723</v>
      </c>
      <c r="AB220" s="65" t="n">
        <f aca="false">-(AB219-AA219)*Inputs!$D$46</f>
        <v>-334.509801036946</v>
      </c>
      <c r="AC220" s="65" t="n">
        <f aca="false">-(AC219-AB219)*Inputs!$D$46</f>
        <v>-335.723593681442</v>
      </c>
      <c r="AD220" s="65" t="n">
        <f aca="false">-(AD219-AC219)*Inputs!$D$46</f>
        <v>-336.945036859343</v>
      </c>
      <c r="AE220" s="65" t="n">
        <f aca="false">-(AE219-AD219)*Inputs!$D$46</f>
        <v>-338.174172011036</v>
      </c>
      <c r="AF220" s="65" t="n">
        <f aca="false">-(AF219-AE219)*Inputs!$D$46</f>
        <v>-339.411040801382</v>
      </c>
      <c r="AG220" s="65" t="n">
        <f aca="false">-(AG219-AF219)*Inputs!$D$46</f>
        <v>-340.65568512092</v>
      </c>
      <c r="AH220" s="65" t="n">
        <f aca="false">-(AH219-AG219)*Inputs!$D$46</f>
        <v>-341.908147087103</v>
      </c>
      <c r="AI220" s="65" t="n">
        <f aca="false">-(AI219-AH219)*Inputs!$D$46</f>
        <v>-343.168469045515</v>
      </c>
      <c r="AJ220" s="65" t="n">
        <f aca="false">-(AJ219-AI219)*Inputs!$D$46</f>
        <v>-344.436693571116</v>
      </c>
      <c r="AK220" s="65" t="n">
        <f aca="false">-(AK219-AJ219)*Inputs!$D$46</f>
        <v>-345.712863469475</v>
      </c>
      <c r="AL220" s="65" t="n">
        <f aca="false">-(AL219-AK219)*Inputs!$D$46</f>
        <v>-346.99702177803</v>
      </c>
      <c r="AM220" s="65" t="n">
        <f aca="false">-(AM219-AL219)*Inputs!$D$46</f>
        <v>-467.076846567552</v>
      </c>
      <c r="AN220" s="65" t="n">
        <f aca="false">-(AN219-AM219)*Inputs!$D$46</f>
        <v>-468.372146404487</v>
      </c>
      <c r="AO220" s="65" t="n">
        <f aca="false">-(AO219-AN219)*Inputs!$D$46</f>
        <v>-469.6755651677</v>
      </c>
      <c r="AP220" s="65" t="n">
        <f aca="false">-(AP219-AO219)*Inputs!$D$46</f>
        <v>-470.987146834706</v>
      </c>
      <c r="AQ220" s="65" t="n">
        <f aca="false">-(AQ219-AP219)*Inputs!$D$46</f>
        <v>-472.306935621238</v>
      </c>
      <c r="AR220" s="65" t="n">
        <f aca="false">-(AR219-AQ219)*Inputs!$D$46</f>
        <v>-473.634975982524</v>
      </c>
      <c r="AS220" s="65" t="n">
        <f aca="false">-(AS219-AR219)*Inputs!$D$46</f>
        <v>-474.971312614594</v>
      </c>
      <c r="AT220" s="65" t="n">
        <f aca="false">-(AT219-AS219)*Inputs!$D$46</f>
        <v>-476.315990455581</v>
      </c>
      <c r="AU220" s="65" t="n">
        <f aca="false">-(AU219-AT219)*Inputs!$D$46</f>
        <v>-477.669054687035</v>
      </c>
      <c r="AV220" s="65" t="n">
        <f aca="false">-(AV219-AU219)*Inputs!$D$46</f>
        <v>-479.030550735236</v>
      </c>
      <c r="AW220" s="65" t="n">
        <f aca="false">-(AW219-AV219)*Inputs!$D$46</f>
        <v>-480.400524272526</v>
      </c>
      <c r="AX220" s="65" t="n">
        <f aca="false">-(AX219-AW219)*Inputs!$D$46</f>
        <v>-481.779021218636</v>
      </c>
      <c r="AY220" s="65" t="n">
        <f aca="false">-(AY219-AX219)*Inputs!$D$46</f>
        <v>-607.008325646751</v>
      </c>
      <c r="AZ220" s="65" t="n">
        <f aca="false">-(AZ219-AY219)*Inputs!$D$46</f>
        <v>-608.398918694466</v>
      </c>
      <c r="BA220" s="65" t="n">
        <f aca="false">-(BA219-AZ219)*Inputs!$D$46</f>
        <v>-609.798174407985</v>
      </c>
      <c r="BB220" s="65" t="n">
        <f aca="false">-(BB219-BA219)*Inputs!$D$46</f>
        <v>-611.206139710087</v>
      </c>
      <c r="BC220" s="65" t="n">
        <f aca="false">-(BC219-BB219)*Inputs!$D$46</f>
        <v>-612.622861777703</v>
      </c>
      <c r="BD220" s="65" t="n">
        <f aca="false">-(BD219-BC219)*Inputs!$D$46</f>
        <v>-614.04838804332</v>
      </c>
      <c r="BE220" s="65" t="n">
        <f aca="false">-(BE219-BD219)*Inputs!$D$46</f>
        <v>-615.482766196341</v>
      </c>
      <c r="BF220" s="65" t="n">
        <f aca="false">-(BF219-BE219)*Inputs!$D$46</f>
        <v>-616.926044184487</v>
      </c>
      <c r="BG220" s="65" t="n">
        <f aca="false">-(BG219-BF219)*Inputs!$D$46</f>
        <v>-618.378270215201</v>
      </c>
      <c r="BH220" s="65" t="n">
        <f aca="false">-(BH219-BG219)*Inputs!$D$46</f>
        <v>-619.839492757045</v>
      </c>
      <c r="BI220" s="65" t="n">
        <f aca="false">-(BI219-BH219)*Inputs!$D$46</f>
        <v>-621.309760541122</v>
      </c>
      <c r="BJ220" s="65" t="n">
        <f aca="false">-(BJ219-BI219)*Inputs!$D$46</f>
        <v>-622.789122562494</v>
      </c>
    </row>
    <row r="221" customFormat="false" ht="15" hidden="false" customHeight="false" outlineLevel="0" collapsed="false">
      <c r="A221" s="108" t="s">
        <v>51</v>
      </c>
      <c r="C221" s="66" t="n">
        <f aca="false">C217+C220</f>
        <v>312.810188065843</v>
      </c>
      <c r="D221" s="66" t="n">
        <f aca="false">D217+D220</f>
        <v>316.741135187433</v>
      </c>
      <c r="E221" s="66" t="n">
        <f aca="false">E217+E220</f>
        <v>320.697227069752</v>
      </c>
      <c r="F221" s="66" t="n">
        <f aca="false">F217+F220</f>
        <v>324.678599913587</v>
      </c>
      <c r="G221" s="66" t="n">
        <f aca="false">G217+G220</f>
        <v>328.68539065748</v>
      </c>
      <c r="H221" s="66" t="n">
        <f aca="false">H217+H220</f>
        <v>332.717736981722</v>
      </c>
      <c r="I221" s="66" t="n">
        <f aca="false">I217+I220</f>
        <v>336.775777312375</v>
      </c>
      <c r="J221" s="66" t="n">
        <f aca="false">J217+J220</f>
        <v>340.859650825304</v>
      </c>
      <c r="K221" s="66" t="n">
        <f aca="false">K217+K220</f>
        <v>344.96949745025</v>
      </c>
      <c r="L221" s="66" t="n">
        <f aca="false">L217+L220</f>
        <v>349.105457874901</v>
      </c>
      <c r="M221" s="66" t="n">
        <f aca="false">M217+M220</f>
        <v>353.267673549008</v>
      </c>
      <c r="N221" s="66" t="n">
        <f aca="false">N217+N220</f>
        <v>357.456286688501</v>
      </c>
      <c r="O221" s="66" t="n">
        <f aca="false">O217+O220</f>
        <v>772.753782215867</v>
      </c>
      <c r="P221" s="66" t="n">
        <f aca="false">P217+P220</f>
        <v>776.977840955673</v>
      </c>
      <c r="Q221" s="66" t="n">
        <f aca="false">Q217+Q220</f>
        <v>781.228728447402</v>
      </c>
      <c r="R221" s="66" t="n">
        <f aca="false">R217+R220</f>
        <v>785.506590013461</v>
      </c>
      <c r="S221" s="66" t="n">
        <f aca="false">S217+S220</f>
        <v>789.811571763417</v>
      </c>
      <c r="T221" s="66" t="n">
        <f aca="false">T217+T220</f>
        <v>794.143820598271</v>
      </c>
      <c r="U221" s="66" t="n">
        <f aca="false">U217+U220</f>
        <v>798.503484214725</v>
      </c>
      <c r="V221" s="66" t="n">
        <f aca="false">V217+V220</f>
        <v>802.890711109519</v>
      </c>
      <c r="W221" s="66" t="n">
        <f aca="false">W217+W220</f>
        <v>807.305650583744</v>
      </c>
      <c r="X221" s="66" t="n">
        <f aca="false">X217+X220</f>
        <v>811.748452747202</v>
      </c>
      <c r="Y221" s="66" t="n">
        <f aca="false">Y217+Y220</f>
        <v>816.219268522795</v>
      </c>
      <c r="Z221" s="66" t="n">
        <f aca="false">Z217+Z220</f>
        <v>820.718249650922</v>
      </c>
      <c r="AA221" s="66" t="n">
        <f aca="false">AA217+AA220</f>
        <v>1253.85646661853</v>
      </c>
      <c r="AB221" s="66" t="n">
        <f aca="false">AB217+AB220</f>
        <v>1258.3940134247</v>
      </c>
      <c r="AC221" s="66" t="n">
        <f aca="false">AC217+AC220</f>
        <v>1262.960185754</v>
      </c>
      <c r="AD221" s="66" t="n">
        <f aca="false">AD217+AD220</f>
        <v>1267.55513866134</v>
      </c>
      <c r="AE221" s="66" t="n">
        <f aca="false">AE217+AE220</f>
        <v>1272.17902804152</v>
      </c>
      <c r="AF221" s="66" t="n">
        <f aca="false">AF217+AF220</f>
        <v>1276.83201063377</v>
      </c>
      <c r="AG221" s="66" t="n">
        <f aca="false">AG217+AG220</f>
        <v>1281.51424402632</v>
      </c>
      <c r="AH221" s="66" t="n">
        <f aca="false">AH217+AH220</f>
        <v>1286.22588666101</v>
      </c>
      <c r="AI221" s="66" t="n">
        <f aca="false">AI217+AI220</f>
        <v>1290.96709783789</v>
      </c>
      <c r="AJ221" s="66" t="n">
        <f aca="false">AJ217+AJ220</f>
        <v>1295.73803771991</v>
      </c>
      <c r="AK221" s="66" t="n">
        <f aca="false">AK217+AK220</f>
        <v>1300.53886733755</v>
      </c>
      <c r="AL221" s="66" t="n">
        <f aca="false">AL217+AL220</f>
        <v>1305.36974859354</v>
      </c>
      <c r="AM221" s="66" t="n">
        <f aca="false">AM217+AM220</f>
        <v>1757.09861327793</v>
      </c>
      <c r="AN221" s="66" t="n">
        <f aca="false">AN217+AN220</f>
        <v>1761.97140790259</v>
      </c>
      <c r="AO221" s="66" t="n">
        <f aca="false">AO217+AO220</f>
        <v>1766.87474515468</v>
      </c>
      <c r="AP221" s="66" t="n">
        <f aca="false">AP217+AP220</f>
        <v>1771.80879047342</v>
      </c>
      <c r="AQ221" s="66" t="n">
        <f aca="false">AQ217+AQ220</f>
        <v>1776.77371019418</v>
      </c>
      <c r="AR221" s="66" t="n">
        <f aca="false">AR217+AR220</f>
        <v>1781.7696715533</v>
      </c>
      <c r="AS221" s="66" t="n">
        <f aca="false">AS217+AS220</f>
        <v>1786.796842693</v>
      </c>
      <c r="AT221" s="66" t="n">
        <f aca="false">AT217+AT220</f>
        <v>1791.85539266623</v>
      </c>
      <c r="AU221" s="66" t="n">
        <f aca="false">AU217+AU220</f>
        <v>1796.9454914417</v>
      </c>
      <c r="AV221" s="66" t="n">
        <f aca="false">AV217+AV220</f>
        <v>1802.06730990874</v>
      </c>
      <c r="AW221" s="66" t="n">
        <f aca="false">AW217+AW220</f>
        <v>1807.22101988236</v>
      </c>
      <c r="AX221" s="66" t="n">
        <f aca="false">AX217+AX220</f>
        <v>1812.4067941082</v>
      </c>
      <c r="AY221" s="66" t="n">
        <f aca="false">AY217+AY220</f>
        <v>2283.50751076634</v>
      </c>
      <c r="AZ221" s="66" t="n">
        <f aca="false">AZ217+AZ220</f>
        <v>2288.73878937441</v>
      </c>
      <c r="BA221" s="66" t="n">
        <f aca="false">BA217+BA220</f>
        <v>2294.00265610623</v>
      </c>
      <c r="BB221" s="66" t="n">
        <f aca="false">BB217+BB220</f>
        <v>2299.2992874808</v>
      </c>
      <c r="BC221" s="66" t="n">
        <f aca="false">BC217+BC220</f>
        <v>2304.62886097327</v>
      </c>
      <c r="BD221" s="66" t="n">
        <f aca="false">BD217+BD220</f>
        <v>2309.99155502011</v>
      </c>
      <c r="BE221" s="66" t="n">
        <f aca="false">BE217+BE220</f>
        <v>2315.38754902432</v>
      </c>
      <c r="BF221" s="66" t="n">
        <f aca="false">BF217+BF220</f>
        <v>2320.81702336068</v>
      </c>
      <c r="BG221" s="66" t="n">
        <f aca="false">BG217+BG220</f>
        <v>2326.28015938099</v>
      </c>
      <c r="BH221" s="66" t="n">
        <f aca="false">BH217+BH220</f>
        <v>2331.77713941936</v>
      </c>
      <c r="BI221" s="66" t="n">
        <f aca="false">BI217+BI220</f>
        <v>2337.30814679756</v>
      </c>
      <c r="BJ221" s="66" t="n">
        <f aca="false">BJ217+BJ220</f>
        <v>2342.87336583034</v>
      </c>
    </row>
    <row r="223" customFormat="false" ht="15.75" hidden="false" customHeight="true" outlineLevel="0" collapsed="false">
      <c r="A223" s="7" t="s">
        <v>424</v>
      </c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</row>
    <row r="224" customFormat="false" ht="15" hidden="false" customHeight="false" outlineLevel="0" collapsed="false">
      <c r="A224" s="6" t="s">
        <v>425</v>
      </c>
      <c r="C224" s="65" t="n">
        <f aca="false">IF(C$190=1,Inputs!$D$7*(1+Inputs!$D$9),0)</f>
        <v>1905500</v>
      </c>
      <c r="D224" s="65" t="n">
        <f aca="false">IF(D$190=1,Inputs!$D$7*(1+Inputs!$D$9),0)</f>
        <v>0</v>
      </c>
      <c r="E224" s="65" t="n">
        <f aca="false">IF(E$190=1,Inputs!$D$7*(1+Inputs!$D$9),0)</f>
        <v>0</v>
      </c>
      <c r="F224" s="65" t="n">
        <f aca="false">IF(F$190=1,Inputs!$D$7*(1+Inputs!$D$9),0)</f>
        <v>0</v>
      </c>
      <c r="G224" s="65" t="n">
        <f aca="false">IF(G$190=1,Inputs!$D$7*(1+Inputs!$D$9),0)</f>
        <v>0</v>
      </c>
      <c r="H224" s="65" t="n">
        <f aca="false">IF(H$190=1,Inputs!$D$7*(1+Inputs!$D$9),0)</f>
        <v>0</v>
      </c>
      <c r="I224" s="65" t="n">
        <f aca="false">IF(I$190=1,Inputs!$D$7*(1+Inputs!$D$9),0)</f>
        <v>0</v>
      </c>
      <c r="J224" s="65" t="n">
        <f aca="false">IF(J$190=1,Inputs!$D$7*(1+Inputs!$D$9),0)</f>
        <v>0</v>
      </c>
      <c r="K224" s="65" t="n">
        <f aca="false">IF(K$190=1,Inputs!$D$7*(1+Inputs!$D$9),0)</f>
        <v>0</v>
      </c>
      <c r="L224" s="65" t="n">
        <f aca="false">IF(L$190=1,Inputs!$D$7*(1+Inputs!$D$9),0)</f>
        <v>0</v>
      </c>
      <c r="M224" s="65" t="n">
        <f aca="false">IF(M$190=1,Inputs!$D$7*(1+Inputs!$D$9),0)</f>
        <v>0</v>
      </c>
      <c r="N224" s="65" t="n">
        <f aca="false">IF(N$190=1,Inputs!$D$7*(1+Inputs!$D$9),0)</f>
        <v>0</v>
      </c>
      <c r="O224" s="65" t="n">
        <f aca="false">IF(O$190=1,Inputs!$D$7*(1+Inputs!$D$9),0)</f>
        <v>0</v>
      </c>
      <c r="P224" s="65" t="n">
        <f aca="false">IF(P$190=1,Inputs!$D$7*(1+Inputs!$D$9),0)</f>
        <v>0</v>
      </c>
      <c r="Q224" s="65" t="n">
        <f aca="false">IF(Q$190=1,Inputs!$D$7*(1+Inputs!$D$9),0)</f>
        <v>0</v>
      </c>
      <c r="R224" s="65" t="n">
        <f aca="false">IF(R$190=1,Inputs!$D$7*(1+Inputs!$D$9),0)</f>
        <v>0</v>
      </c>
      <c r="S224" s="65" t="n">
        <f aca="false">IF(S$190=1,Inputs!$D$7*(1+Inputs!$D$9),0)</f>
        <v>0</v>
      </c>
      <c r="T224" s="65" t="n">
        <f aca="false">IF(T$190=1,Inputs!$D$7*(1+Inputs!$D$9),0)</f>
        <v>0</v>
      </c>
      <c r="U224" s="65" t="n">
        <f aca="false">IF(U$190=1,Inputs!$D$7*(1+Inputs!$D$9),0)</f>
        <v>0</v>
      </c>
      <c r="V224" s="65" t="n">
        <f aca="false">IF(V$190=1,Inputs!$D$7*(1+Inputs!$D$9),0)</f>
        <v>0</v>
      </c>
      <c r="W224" s="65" t="n">
        <f aca="false">IF(W$190=1,Inputs!$D$7*(1+Inputs!$D$9),0)</f>
        <v>0</v>
      </c>
      <c r="X224" s="65" t="n">
        <f aca="false">IF(X$190=1,Inputs!$D$7*(1+Inputs!$D$9),0)</f>
        <v>0</v>
      </c>
      <c r="Y224" s="65" t="n">
        <f aca="false">IF(Y$190=1,Inputs!$D$7*(1+Inputs!$D$9),0)</f>
        <v>0</v>
      </c>
      <c r="Z224" s="65" t="n">
        <f aca="false">IF(Z$190=1,Inputs!$D$7*(1+Inputs!$D$9),0)</f>
        <v>0</v>
      </c>
      <c r="AA224" s="65" t="n">
        <f aca="false">IF(AA$190=1,Inputs!$D$7*(1+Inputs!$D$9),0)</f>
        <v>0</v>
      </c>
      <c r="AB224" s="65" t="n">
        <f aca="false">IF(AB$190=1,Inputs!$D$7*(1+Inputs!$D$9),0)</f>
        <v>0</v>
      </c>
      <c r="AC224" s="65" t="n">
        <f aca="false">IF(AC$190=1,Inputs!$D$7*(1+Inputs!$D$9),0)</f>
        <v>0</v>
      </c>
      <c r="AD224" s="65" t="n">
        <f aca="false">IF(AD$190=1,Inputs!$D$7*(1+Inputs!$D$9),0)</f>
        <v>0</v>
      </c>
      <c r="AE224" s="65" t="n">
        <f aca="false">IF(AE$190=1,Inputs!$D$7*(1+Inputs!$D$9),0)</f>
        <v>0</v>
      </c>
      <c r="AF224" s="65" t="n">
        <f aca="false">IF(AF$190=1,Inputs!$D$7*(1+Inputs!$D$9),0)</f>
        <v>0</v>
      </c>
      <c r="AG224" s="65" t="n">
        <f aca="false">IF(AG$190=1,Inputs!$D$7*(1+Inputs!$D$9),0)</f>
        <v>0</v>
      </c>
      <c r="AH224" s="65" t="n">
        <f aca="false">IF(AH$190=1,Inputs!$D$7*(1+Inputs!$D$9),0)</f>
        <v>0</v>
      </c>
      <c r="AI224" s="65" t="n">
        <f aca="false">IF(AI$190=1,Inputs!$D$7*(1+Inputs!$D$9),0)</f>
        <v>0</v>
      </c>
      <c r="AJ224" s="65" t="n">
        <f aca="false">IF(AJ$190=1,Inputs!$D$7*(1+Inputs!$D$9),0)</f>
        <v>0</v>
      </c>
      <c r="AK224" s="65" t="n">
        <f aca="false">IF(AK$190=1,Inputs!$D$7*(1+Inputs!$D$9),0)</f>
        <v>0</v>
      </c>
      <c r="AL224" s="65" t="n">
        <f aca="false">IF(AL$190=1,Inputs!$D$7*(1+Inputs!$D$9),0)</f>
        <v>0</v>
      </c>
      <c r="AM224" s="65" t="n">
        <f aca="false">IF(AM$190=1,Inputs!$D$7*(1+Inputs!$D$9),0)</f>
        <v>0</v>
      </c>
      <c r="AN224" s="65" t="n">
        <f aca="false">IF(AN$190=1,Inputs!$D$7*(1+Inputs!$D$9),0)</f>
        <v>0</v>
      </c>
      <c r="AO224" s="65" t="n">
        <f aca="false">IF(AO$190=1,Inputs!$D$7*(1+Inputs!$D$9),0)</f>
        <v>0</v>
      </c>
      <c r="AP224" s="65" t="n">
        <f aca="false">IF(AP$190=1,Inputs!$D$7*(1+Inputs!$D$9),0)</f>
        <v>0</v>
      </c>
      <c r="AQ224" s="65" t="n">
        <f aca="false">IF(AQ$190=1,Inputs!$D$7*(1+Inputs!$D$9),0)</f>
        <v>0</v>
      </c>
      <c r="AR224" s="65" t="n">
        <f aca="false">IF(AR$190=1,Inputs!$D$7*(1+Inputs!$D$9),0)</f>
        <v>0</v>
      </c>
      <c r="AS224" s="65" t="n">
        <f aca="false">IF(AS$190=1,Inputs!$D$7*(1+Inputs!$D$9),0)</f>
        <v>0</v>
      </c>
      <c r="AT224" s="65" t="n">
        <f aca="false">IF(AT$190=1,Inputs!$D$7*(1+Inputs!$D$9),0)</f>
        <v>0</v>
      </c>
      <c r="AU224" s="65" t="n">
        <f aca="false">IF(AU$190=1,Inputs!$D$7*(1+Inputs!$D$9),0)</f>
        <v>0</v>
      </c>
      <c r="AV224" s="65" t="n">
        <f aca="false">IF(AV$190=1,Inputs!$D$7*(1+Inputs!$D$9),0)</f>
        <v>0</v>
      </c>
      <c r="AW224" s="65" t="n">
        <f aca="false">IF(AW$190=1,Inputs!$D$7*(1+Inputs!$D$9),0)</f>
        <v>0</v>
      </c>
      <c r="AX224" s="65" t="n">
        <f aca="false">IF(AX$190=1,Inputs!$D$7*(1+Inputs!$D$9),0)</f>
        <v>0</v>
      </c>
      <c r="AY224" s="65" t="n">
        <f aca="false">IF(AY$190=1,Inputs!$D$7*(1+Inputs!$D$9),0)</f>
        <v>0</v>
      </c>
      <c r="AZ224" s="65" t="n">
        <f aca="false">IF(AZ$190=1,Inputs!$D$7*(1+Inputs!$D$9),0)</f>
        <v>0</v>
      </c>
      <c r="BA224" s="65" t="n">
        <f aca="false">IF(BA$190=1,Inputs!$D$7*(1+Inputs!$D$9),0)</f>
        <v>0</v>
      </c>
      <c r="BB224" s="65" t="n">
        <f aca="false">IF(BB$190=1,Inputs!$D$7*(1+Inputs!$D$9),0)</f>
        <v>0</v>
      </c>
      <c r="BC224" s="65" t="n">
        <f aca="false">IF(BC$190=1,Inputs!$D$7*(1+Inputs!$D$9),0)</f>
        <v>0</v>
      </c>
      <c r="BD224" s="65" t="n">
        <f aca="false">IF(BD$190=1,Inputs!$D$7*(1+Inputs!$D$9),0)</f>
        <v>0</v>
      </c>
      <c r="BE224" s="65" t="n">
        <f aca="false">IF(BE$190=1,Inputs!$D$7*(1+Inputs!$D$9),0)</f>
        <v>0</v>
      </c>
      <c r="BF224" s="65" t="n">
        <f aca="false">IF(BF$190=1,Inputs!$D$7*(1+Inputs!$D$9),0)</f>
        <v>0</v>
      </c>
      <c r="BG224" s="65" t="n">
        <f aca="false">IF(BG$190=1,Inputs!$D$7*(1+Inputs!$D$9),0)</f>
        <v>0</v>
      </c>
      <c r="BH224" s="65" t="n">
        <f aca="false">IF(BH$190=1,Inputs!$D$7*(1+Inputs!$D$9),0)</f>
        <v>0</v>
      </c>
      <c r="BI224" s="65" t="n">
        <f aca="false">IF(BI$190=1,Inputs!$D$7*(1+Inputs!$D$9),0)</f>
        <v>0</v>
      </c>
      <c r="BJ224" s="65" t="n">
        <f aca="false">IF(BJ$190=1,Inputs!$D$7*(1+Inputs!$D$9),0)</f>
        <v>0</v>
      </c>
    </row>
    <row r="225" customFormat="false" ht="15" hidden="false" customHeight="false" outlineLevel="0" collapsed="false">
      <c r="A225" s="6" t="s">
        <v>426</v>
      </c>
      <c r="C225" s="65" t="n">
        <f aca="false">IF(C$190=1,Inputs!$D$7*Inputs!$D$8,0)</f>
        <v>370000</v>
      </c>
      <c r="D225" s="65" t="n">
        <f aca="false">IF(D$190=1,Inputs!$D$7*Inputs!$D$8,0)</f>
        <v>0</v>
      </c>
      <c r="E225" s="65" t="n">
        <f aca="false">IF(E$190=1,Inputs!$D$7*Inputs!$D$8,0)</f>
        <v>0</v>
      </c>
      <c r="F225" s="65" t="n">
        <f aca="false">IF(F$190=1,Inputs!$D$7*Inputs!$D$8,0)</f>
        <v>0</v>
      </c>
      <c r="G225" s="65" t="n">
        <f aca="false">IF(G$190=1,Inputs!$D$7*Inputs!$D$8,0)</f>
        <v>0</v>
      </c>
      <c r="H225" s="65" t="n">
        <f aca="false">IF(H$190=1,Inputs!$D$7*Inputs!$D$8,0)</f>
        <v>0</v>
      </c>
      <c r="I225" s="65" t="n">
        <f aca="false">IF(I$190=1,Inputs!$D$7*Inputs!$D$8,0)</f>
        <v>0</v>
      </c>
      <c r="J225" s="65" t="n">
        <f aca="false">IF(J$190=1,Inputs!$D$7*Inputs!$D$8,0)</f>
        <v>0</v>
      </c>
      <c r="K225" s="65" t="n">
        <f aca="false">IF(K$190=1,Inputs!$D$7*Inputs!$D$8,0)</f>
        <v>0</v>
      </c>
      <c r="L225" s="65" t="n">
        <f aca="false">IF(L$190=1,Inputs!$D$7*Inputs!$D$8,0)</f>
        <v>0</v>
      </c>
      <c r="M225" s="65" t="n">
        <f aca="false">IF(M$190=1,Inputs!$D$7*Inputs!$D$8,0)</f>
        <v>0</v>
      </c>
      <c r="N225" s="65" t="n">
        <f aca="false">IF(N$190=1,Inputs!$D$7*Inputs!$D$8,0)</f>
        <v>0</v>
      </c>
      <c r="O225" s="65" t="n">
        <f aca="false">IF(O$190=1,Inputs!$D$7*Inputs!$D$8,0)</f>
        <v>0</v>
      </c>
      <c r="P225" s="65" t="n">
        <f aca="false">IF(P$190=1,Inputs!$D$7*Inputs!$D$8,0)</f>
        <v>0</v>
      </c>
      <c r="Q225" s="65" t="n">
        <f aca="false">IF(Q$190=1,Inputs!$D$7*Inputs!$D$8,0)</f>
        <v>0</v>
      </c>
      <c r="R225" s="65" t="n">
        <f aca="false">IF(R$190=1,Inputs!$D$7*Inputs!$D$8,0)</f>
        <v>0</v>
      </c>
      <c r="S225" s="65" t="n">
        <f aca="false">IF(S$190=1,Inputs!$D$7*Inputs!$D$8,0)</f>
        <v>0</v>
      </c>
      <c r="T225" s="65" t="n">
        <f aca="false">IF(T$190=1,Inputs!$D$7*Inputs!$D$8,0)</f>
        <v>0</v>
      </c>
      <c r="U225" s="65" t="n">
        <f aca="false">IF(U$190=1,Inputs!$D$7*Inputs!$D$8,0)</f>
        <v>0</v>
      </c>
      <c r="V225" s="65" t="n">
        <f aca="false">IF(V$190=1,Inputs!$D$7*Inputs!$D$8,0)</f>
        <v>0</v>
      </c>
      <c r="W225" s="65" t="n">
        <f aca="false">IF(W$190=1,Inputs!$D$7*Inputs!$D$8,0)</f>
        <v>0</v>
      </c>
      <c r="X225" s="65" t="n">
        <f aca="false">IF(X$190=1,Inputs!$D$7*Inputs!$D$8,0)</f>
        <v>0</v>
      </c>
      <c r="Y225" s="65" t="n">
        <f aca="false">IF(Y$190=1,Inputs!$D$7*Inputs!$D$8,0)</f>
        <v>0</v>
      </c>
      <c r="Z225" s="65" t="n">
        <f aca="false">IF(Z$190=1,Inputs!$D$7*Inputs!$D$8,0)</f>
        <v>0</v>
      </c>
      <c r="AA225" s="65" t="n">
        <f aca="false">IF(AA$190=1,Inputs!$D$7*Inputs!$D$8,0)</f>
        <v>0</v>
      </c>
      <c r="AB225" s="65" t="n">
        <f aca="false">IF(AB$190=1,Inputs!$D$7*Inputs!$D$8,0)</f>
        <v>0</v>
      </c>
      <c r="AC225" s="65" t="n">
        <f aca="false">IF(AC$190=1,Inputs!$D$7*Inputs!$D$8,0)</f>
        <v>0</v>
      </c>
      <c r="AD225" s="65" t="n">
        <f aca="false">IF(AD$190=1,Inputs!$D$7*Inputs!$D$8,0)</f>
        <v>0</v>
      </c>
      <c r="AE225" s="65" t="n">
        <f aca="false">IF(AE$190=1,Inputs!$D$7*Inputs!$D$8,0)</f>
        <v>0</v>
      </c>
      <c r="AF225" s="65" t="n">
        <f aca="false">IF(AF$190=1,Inputs!$D$7*Inputs!$D$8,0)</f>
        <v>0</v>
      </c>
      <c r="AG225" s="65" t="n">
        <f aca="false">IF(AG$190=1,Inputs!$D$7*Inputs!$D$8,0)</f>
        <v>0</v>
      </c>
      <c r="AH225" s="65" t="n">
        <f aca="false">IF(AH$190=1,Inputs!$D$7*Inputs!$D$8,0)</f>
        <v>0</v>
      </c>
      <c r="AI225" s="65" t="n">
        <f aca="false">IF(AI$190=1,Inputs!$D$7*Inputs!$D$8,0)</f>
        <v>0</v>
      </c>
      <c r="AJ225" s="65" t="n">
        <f aca="false">IF(AJ$190=1,Inputs!$D$7*Inputs!$D$8,0)</f>
        <v>0</v>
      </c>
      <c r="AK225" s="65" t="n">
        <f aca="false">IF(AK$190=1,Inputs!$D$7*Inputs!$D$8,0)</f>
        <v>0</v>
      </c>
      <c r="AL225" s="65" t="n">
        <f aca="false">IF(AL$190=1,Inputs!$D$7*Inputs!$D$8,0)</f>
        <v>0</v>
      </c>
      <c r="AM225" s="65" t="n">
        <f aca="false">IF(AM$190=1,Inputs!$D$7*Inputs!$D$8,0)</f>
        <v>0</v>
      </c>
      <c r="AN225" s="65" t="n">
        <f aca="false">IF(AN$190=1,Inputs!$D$7*Inputs!$D$8,0)</f>
        <v>0</v>
      </c>
      <c r="AO225" s="65" t="n">
        <f aca="false">IF(AO$190=1,Inputs!$D$7*Inputs!$D$8,0)</f>
        <v>0</v>
      </c>
      <c r="AP225" s="65" t="n">
        <f aca="false">IF(AP$190=1,Inputs!$D$7*Inputs!$D$8,0)</f>
        <v>0</v>
      </c>
      <c r="AQ225" s="65" t="n">
        <f aca="false">IF(AQ$190=1,Inputs!$D$7*Inputs!$D$8,0)</f>
        <v>0</v>
      </c>
      <c r="AR225" s="65" t="n">
        <f aca="false">IF(AR$190=1,Inputs!$D$7*Inputs!$D$8,0)</f>
        <v>0</v>
      </c>
      <c r="AS225" s="65" t="n">
        <f aca="false">IF(AS$190=1,Inputs!$D$7*Inputs!$D$8,0)</f>
        <v>0</v>
      </c>
      <c r="AT225" s="65" t="n">
        <f aca="false">IF(AT$190=1,Inputs!$D$7*Inputs!$D$8,0)</f>
        <v>0</v>
      </c>
      <c r="AU225" s="65" t="n">
        <f aca="false">IF(AU$190=1,Inputs!$D$7*Inputs!$D$8,0)</f>
        <v>0</v>
      </c>
      <c r="AV225" s="65" t="n">
        <f aca="false">IF(AV$190=1,Inputs!$D$7*Inputs!$D$8,0)</f>
        <v>0</v>
      </c>
      <c r="AW225" s="65" t="n">
        <f aca="false">IF(AW$190=1,Inputs!$D$7*Inputs!$D$8,0)</f>
        <v>0</v>
      </c>
      <c r="AX225" s="65" t="n">
        <f aca="false">IF(AX$190=1,Inputs!$D$7*Inputs!$D$8,0)</f>
        <v>0</v>
      </c>
      <c r="AY225" s="65" t="n">
        <f aca="false">IF(AY$190=1,Inputs!$D$7*Inputs!$D$8,0)</f>
        <v>0</v>
      </c>
      <c r="AZ225" s="65" t="n">
        <f aca="false">IF(AZ$190=1,Inputs!$D$7*Inputs!$D$8,0)</f>
        <v>0</v>
      </c>
      <c r="BA225" s="65" t="n">
        <f aca="false">IF(BA$190=1,Inputs!$D$7*Inputs!$D$8,0)</f>
        <v>0</v>
      </c>
      <c r="BB225" s="65" t="n">
        <f aca="false">IF(BB$190=1,Inputs!$D$7*Inputs!$D$8,0)</f>
        <v>0</v>
      </c>
      <c r="BC225" s="65" t="n">
        <f aca="false">IF(BC$190=1,Inputs!$D$7*Inputs!$D$8,0)</f>
        <v>0</v>
      </c>
      <c r="BD225" s="65" t="n">
        <f aca="false">IF(BD$190=1,Inputs!$D$7*Inputs!$D$8,0)</f>
        <v>0</v>
      </c>
      <c r="BE225" s="65" t="n">
        <f aca="false">IF(BE$190=1,Inputs!$D$7*Inputs!$D$8,0)</f>
        <v>0</v>
      </c>
      <c r="BF225" s="65" t="n">
        <f aca="false">IF(BF$190=1,Inputs!$D$7*Inputs!$D$8,0)</f>
        <v>0</v>
      </c>
      <c r="BG225" s="65" t="n">
        <f aca="false">IF(BG$190=1,Inputs!$D$7*Inputs!$D$8,0)</f>
        <v>0</v>
      </c>
      <c r="BH225" s="65" t="n">
        <f aca="false">IF(BH$190=1,Inputs!$D$7*Inputs!$D$8,0)</f>
        <v>0</v>
      </c>
      <c r="BI225" s="65" t="n">
        <f aca="false">IF(BI$190=1,Inputs!$D$7*Inputs!$D$8,0)</f>
        <v>0</v>
      </c>
      <c r="BJ225" s="65" t="n">
        <f aca="false">IF(BJ$190=1,Inputs!$D$7*Inputs!$D$8,0)</f>
        <v>0</v>
      </c>
    </row>
    <row r="226" customFormat="false" ht="15" hidden="false" customHeight="false" outlineLevel="0" collapsed="false">
      <c r="A226" s="6" t="s">
        <v>427</v>
      </c>
      <c r="C226" s="65" t="n">
        <f aca="false">Inputs!$D$10*Inputs!$D$26/12*(1+Inputs!$D$25)^(C$191-1)*1</f>
        <v>291.666666666667</v>
      </c>
      <c r="D226" s="65" t="n">
        <f aca="false">Inputs!$D$10*Inputs!$D$26/12*(1+Inputs!$D$25)^(D$191-1)*1</f>
        <v>291.666666666667</v>
      </c>
      <c r="E226" s="65" t="n">
        <f aca="false">Inputs!$D$10*Inputs!$D$26/12*(1+Inputs!$D$25)^(E$191-1)*1</f>
        <v>291.666666666667</v>
      </c>
      <c r="F226" s="65" t="n">
        <f aca="false">Inputs!$D$10*Inputs!$D$26/12*(1+Inputs!$D$25)^(F$191-1)*1</f>
        <v>291.666666666667</v>
      </c>
      <c r="G226" s="65" t="n">
        <f aca="false">Inputs!$D$10*Inputs!$D$26/12*(1+Inputs!$D$25)^(G$191-1)*1</f>
        <v>291.666666666667</v>
      </c>
      <c r="H226" s="65" t="n">
        <f aca="false">Inputs!$D$10*Inputs!$D$26/12*(1+Inputs!$D$25)^(H$191-1)*1</f>
        <v>291.666666666667</v>
      </c>
      <c r="I226" s="65" t="n">
        <f aca="false">Inputs!$D$10*Inputs!$D$26/12*(1+Inputs!$D$25)^(I$191-1)*1</f>
        <v>291.666666666667</v>
      </c>
      <c r="J226" s="65" t="n">
        <f aca="false">Inputs!$D$10*Inputs!$D$26/12*(1+Inputs!$D$25)^(J$191-1)*1</f>
        <v>291.666666666667</v>
      </c>
      <c r="K226" s="65" t="n">
        <f aca="false">Inputs!$D$10*Inputs!$D$26/12*(1+Inputs!$D$25)^(K$191-1)*1</f>
        <v>291.666666666667</v>
      </c>
      <c r="L226" s="65" t="n">
        <f aca="false">Inputs!$D$10*Inputs!$D$26/12*(1+Inputs!$D$25)^(L$191-1)*1</f>
        <v>291.666666666667</v>
      </c>
      <c r="M226" s="65" t="n">
        <f aca="false">Inputs!$D$10*Inputs!$D$26/12*(1+Inputs!$D$25)^(M$191-1)*1</f>
        <v>291.666666666667</v>
      </c>
      <c r="N226" s="65" t="n">
        <f aca="false">Inputs!$D$10*Inputs!$D$26/12*(1+Inputs!$D$25)^(N$191-1)*1</f>
        <v>291.666666666667</v>
      </c>
      <c r="O226" s="65" t="n">
        <f aca="false">Inputs!$D$10*Inputs!$D$26/12*(1+Inputs!$D$25)^(O$191-1)*1</f>
        <v>298.958333333333</v>
      </c>
      <c r="P226" s="65" t="n">
        <f aca="false">Inputs!$D$10*Inputs!$D$26/12*(1+Inputs!$D$25)^(P$191-1)*1</f>
        <v>298.958333333333</v>
      </c>
      <c r="Q226" s="65" t="n">
        <f aca="false">Inputs!$D$10*Inputs!$D$26/12*(1+Inputs!$D$25)^(Q$191-1)*1</f>
        <v>298.958333333333</v>
      </c>
      <c r="R226" s="65" t="n">
        <f aca="false">Inputs!$D$10*Inputs!$D$26/12*(1+Inputs!$D$25)^(R$191-1)*1</f>
        <v>298.958333333333</v>
      </c>
      <c r="S226" s="65" t="n">
        <f aca="false">Inputs!$D$10*Inputs!$D$26/12*(1+Inputs!$D$25)^(S$191-1)*1</f>
        <v>298.958333333333</v>
      </c>
      <c r="T226" s="65" t="n">
        <f aca="false">Inputs!$D$10*Inputs!$D$26/12*(1+Inputs!$D$25)^(T$191-1)*1</f>
        <v>298.958333333333</v>
      </c>
      <c r="U226" s="65" t="n">
        <f aca="false">Inputs!$D$10*Inputs!$D$26/12*(1+Inputs!$D$25)^(U$191-1)*1</f>
        <v>298.958333333333</v>
      </c>
      <c r="V226" s="65" t="n">
        <f aca="false">Inputs!$D$10*Inputs!$D$26/12*(1+Inputs!$D$25)^(V$191-1)*1</f>
        <v>298.958333333333</v>
      </c>
      <c r="W226" s="65" t="n">
        <f aca="false">Inputs!$D$10*Inputs!$D$26/12*(1+Inputs!$D$25)^(W$191-1)*1</f>
        <v>298.958333333333</v>
      </c>
      <c r="X226" s="65" t="n">
        <f aca="false">Inputs!$D$10*Inputs!$D$26/12*(1+Inputs!$D$25)^(X$191-1)*1</f>
        <v>298.958333333333</v>
      </c>
      <c r="Y226" s="65" t="n">
        <f aca="false">Inputs!$D$10*Inputs!$D$26/12*(1+Inputs!$D$25)^(Y$191-1)*1</f>
        <v>298.958333333333</v>
      </c>
      <c r="Z226" s="65" t="n">
        <f aca="false">Inputs!$D$10*Inputs!$D$26/12*(1+Inputs!$D$25)^(Z$191-1)*1</f>
        <v>298.958333333333</v>
      </c>
      <c r="AA226" s="65" t="n">
        <f aca="false">Inputs!$D$10*Inputs!$D$26/12*(1+Inputs!$D$25)^(AA$191-1)*1</f>
        <v>306.432291666667</v>
      </c>
      <c r="AB226" s="65" t="n">
        <f aca="false">Inputs!$D$10*Inputs!$D$26/12*(1+Inputs!$D$25)^(AB$191-1)*1</f>
        <v>306.432291666667</v>
      </c>
      <c r="AC226" s="65" t="n">
        <f aca="false">Inputs!$D$10*Inputs!$D$26/12*(1+Inputs!$D$25)^(AC$191-1)*1</f>
        <v>306.432291666667</v>
      </c>
      <c r="AD226" s="65" t="n">
        <f aca="false">Inputs!$D$10*Inputs!$D$26/12*(1+Inputs!$D$25)^(AD$191-1)*1</f>
        <v>306.432291666667</v>
      </c>
      <c r="AE226" s="65" t="n">
        <f aca="false">Inputs!$D$10*Inputs!$D$26/12*(1+Inputs!$D$25)^(AE$191-1)*1</f>
        <v>306.432291666667</v>
      </c>
      <c r="AF226" s="65" t="n">
        <f aca="false">Inputs!$D$10*Inputs!$D$26/12*(1+Inputs!$D$25)^(AF$191-1)*1</f>
        <v>306.432291666667</v>
      </c>
      <c r="AG226" s="65" t="n">
        <f aca="false">Inputs!$D$10*Inputs!$D$26/12*(1+Inputs!$D$25)^(AG$191-1)*1</f>
        <v>306.432291666667</v>
      </c>
      <c r="AH226" s="65" t="n">
        <f aca="false">Inputs!$D$10*Inputs!$D$26/12*(1+Inputs!$D$25)^(AH$191-1)*1</f>
        <v>306.432291666667</v>
      </c>
      <c r="AI226" s="65" t="n">
        <f aca="false">Inputs!$D$10*Inputs!$D$26/12*(1+Inputs!$D$25)^(AI$191-1)*1</f>
        <v>306.432291666667</v>
      </c>
      <c r="AJ226" s="65" t="n">
        <f aca="false">Inputs!$D$10*Inputs!$D$26/12*(1+Inputs!$D$25)^(AJ$191-1)*1</f>
        <v>306.432291666667</v>
      </c>
      <c r="AK226" s="65" t="n">
        <f aca="false">Inputs!$D$10*Inputs!$D$26/12*(1+Inputs!$D$25)^(AK$191-1)*1</f>
        <v>306.432291666667</v>
      </c>
      <c r="AL226" s="65" t="n">
        <f aca="false">Inputs!$D$10*Inputs!$D$26/12*(1+Inputs!$D$25)^(AL$191-1)*1</f>
        <v>306.432291666667</v>
      </c>
      <c r="AM226" s="65" t="n">
        <f aca="false">Inputs!$D$10*Inputs!$D$26/12*(1+Inputs!$D$25)^(AM$191-1)*1</f>
        <v>314.093098958333</v>
      </c>
      <c r="AN226" s="65" t="n">
        <f aca="false">Inputs!$D$10*Inputs!$D$26/12*(1+Inputs!$D$25)^(AN$191-1)*1</f>
        <v>314.093098958333</v>
      </c>
      <c r="AO226" s="65" t="n">
        <f aca="false">Inputs!$D$10*Inputs!$D$26/12*(1+Inputs!$D$25)^(AO$191-1)*1</f>
        <v>314.093098958333</v>
      </c>
      <c r="AP226" s="65" t="n">
        <f aca="false">Inputs!$D$10*Inputs!$D$26/12*(1+Inputs!$D$25)^(AP$191-1)*1</f>
        <v>314.093098958333</v>
      </c>
      <c r="AQ226" s="65" t="n">
        <f aca="false">Inputs!$D$10*Inputs!$D$26/12*(1+Inputs!$D$25)^(AQ$191-1)*1</f>
        <v>314.093098958333</v>
      </c>
      <c r="AR226" s="65" t="n">
        <f aca="false">Inputs!$D$10*Inputs!$D$26/12*(1+Inputs!$D$25)^(AR$191-1)*1</f>
        <v>314.093098958333</v>
      </c>
      <c r="AS226" s="65" t="n">
        <f aca="false">Inputs!$D$10*Inputs!$D$26/12*(1+Inputs!$D$25)^(AS$191-1)*1</f>
        <v>314.093098958333</v>
      </c>
      <c r="AT226" s="65" t="n">
        <f aca="false">Inputs!$D$10*Inputs!$D$26/12*(1+Inputs!$D$25)^(AT$191-1)*1</f>
        <v>314.093098958333</v>
      </c>
      <c r="AU226" s="65" t="n">
        <f aca="false">Inputs!$D$10*Inputs!$D$26/12*(1+Inputs!$D$25)^(AU$191-1)*1</f>
        <v>314.093098958333</v>
      </c>
      <c r="AV226" s="65" t="n">
        <f aca="false">Inputs!$D$10*Inputs!$D$26/12*(1+Inputs!$D$25)^(AV$191-1)*1</f>
        <v>314.093098958333</v>
      </c>
      <c r="AW226" s="65" t="n">
        <f aca="false">Inputs!$D$10*Inputs!$D$26/12*(1+Inputs!$D$25)^(AW$191-1)*1</f>
        <v>314.093098958333</v>
      </c>
      <c r="AX226" s="65" t="n">
        <f aca="false">Inputs!$D$10*Inputs!$D$26/12*(1+Inputs!$D$25)^(AX$191-1)*1</f>
        <v>314.093098958333</v>
      </c>
      <c r="AY226" s="65" t="n">
        <f aca="false">Inputs!$D$10*Inputs!$D$26/12*(1+Inputs!$D$25)^(AY$191-1)*1</f>
        <v>321.945426432292</v>
      </c>
      <c r="AZ226" s="65" t="n">
        <f aca="false">Inputs!$D$10*Inputs!$D$26/12*(1+Inputs!$D$25)^(AZ$191-1)*1</f>
        <v>321.945426432292</v>
      </c>
      <c r="BA226" s="65" t="n">
        <f aca="false">Inputs!$D$10*Inputs!$D$26/12*(1+Inputs!$D$25)^(BA$191-1)*1</f>
        <v>321.945426432292</v>
      </c>
      <c r="BB226" s="65" t="n">
        <f aca="false">Inputs!$D$10*Inputs!$D$26/12*(1+Inputs!$D$25)^(BB$191-1)*1</f>
        <v>321.945426432292</v>
      </c>
      <c r="BC226" s="65" t="n">
        <f aca="false">Inputs!$D$10*Inputs!$D$26/12*(1+Inputs!$D$25)^(BC$191-1)*1</f>
        <v>321.945426432292</v>
      </c>
      <c r="BD226" s="65" t="n">
        <f aca="false">Inputs!$D$10*Inputs!$D$26/12*(1+Inputs!$D$25)^(BD$191-1)*1</f>
        <v>321.945426432292</v>
      </c>
      <c r="BE226" s="65" t="n">
        <f aca="false">Inputs!$D$10*Inputs!$D$26/12*(1+Inputs!$D$25)^(BE$191-1)*1</f>
        <v>321.945426432292</v>
      </c>
      <c r="BF226" s="65" t="n">
        <f aca="false">Inputs!$D$10*Inputs!$D$26/12*(1+Inputs!$D$25)^(BF$191-1)*1</f>
        <v>321.945426432292</v>
      </c>
      <c r="BG226" s="65" t="n">
        <f aca="false">Inputs!$D$10*Inputs!$D$26/12*(1+Inputs!$D$25)^(BG$191-1)*1</f>
        <v>321.945426432292</v>
      </c>
      <c r="BH226" s="65" t="n">
        <f aca="false">Inputs!$D$10*Inputs!$D$26/12*(1+Inputs!$D$25)^(BH$191-1)*1</f>
        <v>321.945426432292</v>
      </c>
      <c r="BI226" s="65" t="n">
        <f aca="false">Inputs!$D$10*Inputs!$D$26/12*(1+Inputs!$D$25)^(BI$191-1)*1</f>
        <v>321.945426432292</v>
      </c>
      <c r="BJ226" s="65" t="n">
        <f aca="false">Inputs!$D$10*Inputs!$D$26/12*(1+Inputs!$D$25)^(BJ$191-1)*1</f>
        <v>321.945426432292</v>
      </c>
    </row>
    <row r="227" customFormat="false" ht="15" hidden="false" customHeight="false" outlineLevel="0" collapsed="false">
      <c r="A227" s="4" t="s">
        <v>84</v>
      </c>
      <c r="C227" s="71" t="n">
        <f aca="false">C224+C226</f>
        <v>1905791.66666667</v>
      </c>
      <c r="D227" s="71" t="n">
        <f aca="false">D224+D226</f>
        <v>291.666666666667</v>
      </c>
      <c r="E227" s="71" t="n">
        <f aca="false">E224+E226</f>
        <v>291.666666666667</v>
      </c>
      <c r="F227" s="71" t="n">
        <f aca="false">F224+F226</f>
        <v>291.666666666667</v>
      </c>
      <c r="G227" s="71" t="n">
        <f aca="false">G224+G226</f>
        <v>291.666666666667</v>
      </c>
      <c r="H227" s="71" t="n">
        <f aca="false">H224+H226</f>
        <v>291.666666666667</v>
      </c>
      <c r="I227" s="71" t="n">
        <f aca="false">I224+I226</f>
        <v>291.666666666667</v>
      </c>
      <c r="J227" s="71" t="n">
        <f aca="false">J224+J226</f>
        <v>291.666666666667</v>
      </c>
      <c r="K227" s="71" t="n">
        <f aca="false">K224+K226</f>
        <v>291.666666666667</v>
      </c>
      <c r="L227" s="71" t="n">
        <f aca="false">L224+L226</f>
        <v>291.666666666667</v>
      </c>
      <c r="M227" s="71" t="n">
        <f aca="false">M224+M226</f>
        <v>291.666666666667</v>
      </c>
      <c r="N227" s="71" t="n">
        <f aca="false">N224+N226</f>
        <v>291.666666666667</v>
      </c>
      <c r="O227" s="71" t="n">
        <f aca="false">O224+O226</f>
        <v>298.958333333333</v>
      </c>
      <c r="P227" s="71" t="n">
        <f aca="false">P224+P226</f>
        <v>298.958333333333</v>
      </c>
      <c r="Q227" s="71" t="n">
        <f aca="false">Q224+Q226</f>
        <v>298.958333333333</v>
      </c>
      <c r="R227" s="71" t="n">
        <f aca="false">R224+R226</f>
        <v>298.958333333333</v>
      </c>
      <c r="S227" s="71" t="n">
        <f aca="false">S224+S226</f>
        <v>298.958333333333</v>
      </c>
      <c r="T227" s="71" t="n">
        <f aca="false">T224+T226</f>
        <v>298.958333333333</v>
      </c>
      <c r="U227" s="71" t="n">
        <f aca="false">U224+U226</f>
        <v>298.958333333333</v>
      </c>
      <c r="V227" s="71" t="n">
        <f aca="false">V224+V226</f>
        <v>298.958333333333</v>
      </c>
      <c r="W227" s="71" t="n">
        <f aca="false">W224+W226</f>
        <v>298.958333333333</v>
      </c>
      <c r="X227" s="71" t="n">
        <f aca="false">X224+X226</f>
        <v>298.958333333333</v>
      </c>
      <c r="Y227" s="71" t="n">
        <f aca="false">Y224+Y226</f>
        <v>298.958333333333</v>
      </c>
      <c r="Z227" s="71" t="n">
        <f aca="false">Z224+Z226</f>
        <v>298.958333333333</v>
      </c>
      <c r="AA227" s="71" t="n">
        <f aca="false">AA224+AA226</f>
        <v>306.432291666667</v>
      </c>
      <c r="AB227" s="71" t="n">
        <f aca="false">AB224+AB226</f>
        <v>306.432291666667</v>
      </c>
      <c r="AC227" s="71" t="n">
        <f aca="false">AC224+AC226</f>
        <v>306.432291666667</v>
      </c>
      <c r="AD227" s="71" t="n">
        <f aca="false">AD224+AD226</f>
        <v>306.432291666667</v>
      </c>
      <c r="AE227" s="71" t="n">
        <f aca="false">AE224+AE226</f>
        <v>306.432291666667</v>
      </c>
      <c r="AF227" s="71" t="n">
        <f aca="false">AF224+AF226</f>
        <v>306.432291666667</v>
      </c>
      <c r="AG227" s="71" t="n">
        <f aca="false">AG224+AG226</f>
        <v>306.432291666667</v>
      </c>
      <c r="AH227" s="71" t="n">
        <f aca="false">AH224+AH226</f>
        <v>306.432291666667</v>
      </c>
      <c r="AI227" s="71" t="n">
        <f aca="false">AI224+AI226</f>
        <v>306.432291666667</v>
      </c>
      <c r="AJ227" s="71" t="n">
        <f aca="false">AJ224+AJ226</f>
        <v>306.432291666667</v>
      </c>
      <c r="AK227" s="71" t="n">
        <f aca="false">AK224+AK226</f>
        <v>306.432291666667</v>
      </c>
      <c r="AL227" s="71" t="n">
        <f aca="false">AL224+AL226</f>
        <v>306.432291666667</v>
      </c>
      <c r="AM227" s="71" t="n">
        <f aca="false">AM224+AM226</f>
        <v>314.093098958333</v>
      </c>
      <c r="AN227" s="71" t="n">
        <f aca="false">AN224+AN226</f>
        <v>314.093098958333</v>
      </c>
      <c r="AO227" s="71" t="n">
        <f aca="false">AO224+AO226</f>
        <v>314.093098958333</v>
      </c>
      <c r="AP227" s="71" t="n">
        <f aca="false">AP224+AP226</f>
        <v>314.093098958333</v>
      </c>
      <c r="AQ227" s="71" t="n">
        <f aca="false">AQ224+AQ226</f>
        <v>314.093098958333</v>
      </c>
      <c r="AR227" s="71" t="n">
        <f aca="false">AR224+AR226</f>
        <v>314.093098958333</v>
      </c>
      <c r="AS227" s="71" t="n">
        <f aca="false">AS224+AS226</f>
        <v>314.093098958333</v>
      </c>
      <c r="AT227" s="71" t="n">
        <f aca="false">AT224+AT226</f>
        <v>314.093098958333</v>
      </c>
      <c r="AU227" s="71" t="n">
        <f aca="false">AU224+AU226</f>
        <v>314.093098958333</v>
      </c>
      <c r="AV227" s="71" t="n">
        <f aca="false">AV224+AV226</f>
        <v>314.093098958333</v>
      </c>
      <c r="AW227" s="71" t="n">
        <f aca="false">AW224+AW226</f>
        <v>314.093098958333</v>
      </c>
      <c r="AX227" s="71" t="n">
        <f aca="false">AX224+AX226</f>
        <v>314.093098958333</v>
      </c>
      <c r="AY227" s="71" t="n">
        <f aca="false">AY224+AY226</f>
        <v>321.945426432292</v>
      </c>
      <c r="AZ227" s="71" t="n">
        <f aca="false">AZ224+AZ226</f>
        <v>321.945426432292</v>
      </c>
      <c r="BA227" s="71" t="n">
        <f aca="false">BA224+BA226</f>
        <v>321.945426432292</v>
      </c>
      <c r="BB227" s="71" t="n">
        <f aca="false">BB224+BB226</f>
        <v>321.945426432292</v>
      </c>
      <c r="BC227" s="71" t="n">
        <f aca="false">BC224+BC226</f>
        <v>321.945426432292</v>
      </c>
      <c r="BD227" s="71" t="n">
        <f aca="false">BD224+BD226</f>
        <v>321.945426432292</v>
      </c>
      <c r="BE227" s="71" t="n">
        <f aca="false">BE224+BE226</f>
        <v>321.945426432292</v>
      </c>
      <c r="BF227" s="71" t="n">
        <f aca="false">BF224+BF226</f>
        <v>321.945426432292</v>
      </c>
      <c r="BG227" s="71" t="n">
        <f aca="false">BG224+BG226</f>
        <v>321.945426432292</v>
      </c>
      <c r="BH227" s="71" t="n">
        <f aca="false">BH224+BH226</f>
        <v>321.945426432292</v>
      </c>
      <c r="BI227" s="71" t="n">
        <f aca="false">BI224+BI226</f>
        <v>321.945426432292</v>
      </c>
      <c r="BJ227" s="71" t="n">
        <f aca="false">BJ224+BJ226</f>
        <v>321.945426432292</v>
      </c>
    </row>
    <row r="228" customFormat="false" ht="15" hidden="false" customHeight="false" outlineLevel="0" collapsed="false">
      <c r="A228" s="6" t="s">
        <v>428</v>
      </c>
      <c r="C228" s="65" t="n">
        <f aca="false">C227</f>
        <v>1905791.66666667</v>
      </c>
      <c r="D228" s="65" t="n">
        <f aca="false">C228+D227</f>
        <v>1906083.33333333</v>
      </c>
      <c r="E228" s="65" t="n">
        <f aca="false">D228+E227</f>
        <v>1906375</v>
      </c>
      <c r="F228" s="65" t="n">
        <f aca="false">E228+F227</f>
        <v>1906666.66666667</v>
      </c>
      <c r="G228" s="65" t="n">
        <f aca="false">F228+G227</f>
        <v>1906958.33333333</v>
      </c>
      <c r="H228" s="65" t="n">
        <f aca="false">G228+H227</f>
        <v>1907250</v>
      </c>
      <c r="I228" s="65" t="n">
        <f aca="false">H228+I227</f>
        <v>1907541.66666667</v>
      </c>
      <c r="J228" s="65" t="n">
        <f aca="false">I228+J227</f>
        <v>1907833.33333333</v>
      </c>
      <c r="K228" s="65" t="n">
        <f aca="false">J228+K227</f>
        <v>1908125</v>
      </c>
      <c r="L228" s="65" t="n">
        <f aca="false">K228+L227</f>
        <v>1908416.66666667</v>
      </c>
      <c r="M228" s="65" t="n">
        <f aca="false">L228+M227</f>
        <v>1908708.33333333</v>
      </c>
      <c r="N228" s="65" t="n">
        <f aca="false">M228+N227</f>
        <v>1909000</v>
      </c>
      <c r="O228" s="65" t="n">
        <f aca="false">N228+O227</f>
        <v>1909298.95833333</v>
      </c>
      <c r="P228" s="65" t="n">
        <f aca="false">O228+P227</f>
        <v>1909597.91666667</v>
      </c>
      <c r="Q228" s="65" t="n">
        <f aca="false">P228+Q227</f>
        <v>1909896.875</v>
      </c>
      <c r="R228" s="65" t="n">
        <f aca="false">Q228+R227</f>
        <v>1910195.83333333</v>
      </c>
      <c r="S228" s="65" t="n">
        <f aca="false">R228+S227</f>
        <v>1910494.79166667</v>
      </c>
      <c r="T228" s="65" t="n">
        <f aca="false">S228+T227</f>
        <v>1910793.75</v>
      </c>
      <c r="U228" s="65" t="n">
        <f aca="false">T228+U227</f>
        <v>1911092.70833333</v>
      </c>
      <c r="V228" s="65" t="n">
        <f aca="false">U228+V227</f>
        <v>1911391.66666667</v>
      </c>
      <c r="W228" s="65" t="n">
        <f aca="false">V228+W227</f>
        <v>1911690.625</v>
      </c>
      <c r="X228" s="65" t="n">
        <f aca="false">W228+X227</f>
        <v>1911989.58333333</v>
      </c>
      <c r="Y228" s="65" t="n">
        <f aca="false">X228+Y227</f>
        <v>1912288.54166667</v>
      </c>
      <c r="Z228" s="65" t="n">
        <f aca="false">Y228+Z227</f>
        <v>1912587.5</v>
      </c>
      <c r="AA228" s="65" t="n">
        <f aca="false">Z228+AA227</f>
        <v>1912893.93229167</v>
      </c>
      <c r="AB228" s="65" t="n">
        <f aca="false">AA228+AB227</f>
        <v>1913200.36458333</v>
      </c>
      <c r="AC228" s="65" t="n">
        <f aca="false">AB228+AC227</f>
        <v>1913506.796875</v>
      </c>
      <c r="AD228" s="65" t="n">
        <f aca="false">AC228+AD227</f>
        <v>1913813.22916667</v>
      </c>
      <c r="AE228" s="65" t="n">
        <f aca="false">AD228+AE227</f>
        <v>1914119.66145833</v>
      </c>
      <c r="AF228" s="65" t="n">
        <f aca="false">AE228+AF227</f>
        <v>1914426.09375</v>
      </c>
      <c r="AG228" s="65" t="n">
        <f aca="false">AF228+AG227</f>
        <v>1914732.52604167</v>
      </c>
      <c r="AH228" s="65" t="n">
        <f aca="false">AG228+AH227</f>
        <v>1915038.95833333</v>
      </c>
      <c r="AI228" s="65" t="n">
        <f aca="false">AH228+AI227</f>
        <v>1915345.390625</v>
      </c>
      <c r="AJ228" s="65" t="n">
        <f aca="false">AI228+AJ227</f>
        <v>1915651.82291667</v>
      </c>
      <c r="AK228" s="65" t="n">
        <f aca="false">AJ228+AK227</f>
        <v>1915958.25520833</v>
      </c>
      <c r="AL228" s="65" t="n">
        <f aca="false">AK228+AL227</f>
        <v>1916264.6875</v>
      </c>
      <c r="AM228" s="65" t="n">
        <f aca="false">AL228+AM227</f>
        <v>1916578.78059896</v>
      </c>
      <c r="AN228" s="65" t="n">
        <f aca="false">AM228+AN227</f>
        <v>1916892.87369792</v>
      </c>
      <c r="AO228" s="65" t="n">
        <f aca="false">AN228+AO227</f>
        <v>1917206.96679688</v>
      </c>
      <c r="AP228" s="65" t="n">
        <f aca="false">AO228+AP227</f>
        <v>1917521.05989583</v>
      </c>
      <c r="AQ228" s="65" t="n">
        <f aca="false">AP228+AQ227</f>
        <v>1917835.15299479</v>
      </c>
      <c r="AR228" s="65" t="n">
        <f aca="false">AQ228+AR227</f>
        <v>1918149.24609375</v>
      </c>
      <c r="AS228" s="65" t="n">
        <f aca="false">AR228+AS227</f>
        <v>1918463.33919271</v>
      </c>
      <c r="AT228" s="65" t="n">
        <f aca="false">AS228+AT227</f>
        <v>1918777.43229167</v>
      </c>
      <c r="AU228" s="65" t="n">
        <f aca="false">AT228+AU227</f>
        <v>1919091.52539063</v>
      </c>
      <c r="AV228" s="65" t="n">
        <f aca="false">AU228+AV227</f>
        <v>1919405.61848958</v>
      </c>
      <c r="AW228" s="65" t="n">
        <f aca="false">AV228+AW227</f>
        <v>1919719.71158854</v>
      </c>
      <c r="AX228" s="65" t="n">
        <f aca="false">AW228+AX227</f>
        <v>1920033.8046875</v>
      </c>
      <c r="AY228" s="65" t="n">
        <f aca="false">AX228+AY227</f>
        <v>1920355.75011393</v>
      </c>
      <c r="AZ228" s="65" t="n">
        <f aca="false">AY228+AZ227</f>
        <v>1920677.69554036</v>
      </c>
      <c r="BA228" s="65" t="n">
        <f aca="false">AZ228+BA227</f>
        <v>1920999.6409668</v>
      </c>
      <c r="BB228" s="65" t="n">
        <f aca="false">BA228+BB227</f>
        <v>1921321.58639323</v>
      </c>
      <c r="BC228" s="65" t="n">
        <f aca="false">BB228+BC227</f>
        <v>1921643.53181966</v>
      </c>
      <c r="BD228" s="65" t="n">
        <f aca="false">BC228+BD227</f>
        <v>1921965.47724609</v>
      </c>
      <c r="BE228" s="65" t="n">
        <f aca="false">BD228+BE227</f>
        <v>1922287.42267253</v>
      </c>
      <c r="BF228" s="65" t="n">
        <f aca="false">BE228+BF227</f>
        <v>1922609.36809896</v>
      </c>
      <c r="BG228" s="65" t="n">
        <f aca="false">BF228+BG227</f>
        <v>1922931.31352539</v>
      </c>
      <c r="BH228" s="65" t="n">
        <f aca="false">BG228+BH227</f>
        <v>1923253.25895182</v>
      </c>
      <c r="BI228" s="65" t="n">
        <f aca="false">BH228+BI227</f>
        <v>1923575.20437825</v>
      </c>
      <c r="BJ228" s="65" t="n">
        <f aca="false">BI228+BJ227</f>
        <v>1923897.14980469</v>
      </c>
    </row>
    <row r="229" customFormat="false" ht="15" hidden="false" customHeight="false" outlineLevel="0" collapsed="false">
      <c r="A229" s="6" t="s">
        <v>429</v>
      </c>
      <c r="C229" s="65" t="n">
        <f aca="false">C225</f>
        <v>370000</v>
      </c>
      <c r="D229" s="65" t="n">
        <f aca="false">C229+D225</f>
        <v>370000</v>
      </c>
      <c r="E229" s="65" t="n">
        <f aca="false">D229+E225</f>
        <v>370000</v>
      </c>
      <c r="F229" s="65" t="n">
        <f aca="false">E229+F225</f>
        <v>370000</v>
      </c>
      <c r="G229" s="65" t="n">
        <f aca="false">F229+G225</f>
        <v>370000</v>
      </c>
      <c r="H229" s="65" t="n">
        <f aca="false">G229+H225</f>
        <v>370000</v>
      </c>
      <c r="I229" s="65" t="n">
        <f aca="false">H229+I225</f>
        <v>370000</v>
      </c>
      <c r="J229" s="65" t="n">
        <f aca="false">I229+J225</f>
        <v>370000</v>
      </c>
      <c r="K229" s="65" t="n">
        <f aca="false">J229+K225</f>
        <v>370000</v>
      </c>
      <c r="L229" s="65" t="n">
        <f aca="false">K229+L225</f>
        <v>370000</v>
      </c>
      <c r="M229" s="65" t="n">
        <f aca="false">L229+M225</f>
        <v>370000</v>
      </c>
      <c r="N229" s="65" t="n">
        <f aca="false">M229+N225</f>
        <v>370000</v>
      </c>
      <c r="O229" s="65" t="n">
        <f aca="false">N229+O225</f>
        <v>370000</v>
      </c>
      <c r="P229" s="65" t="n">
        <f aca="false">O229+P225</f>
        <v>370000</v>
      </c>
      <c r="Q229" s="65" t="n">
        <f aca="false">P229+Q225</f>
        <v>370000</v>
      </c>
      <c r="R229" s="65" t="n">
        <f aca="false">Q229+R225</f>
        <v>370000</v>
      </c>
      <c r="S229" s="65" t="n">
        <f aca="false">R229+S225</f>
        <v>370000</v>
      </c>
      <c r="T229" s="65" t="n">
        <f aca="false">S229+T225</f>
        <v>370000</v>
      </c>
      <c r="U229" s="65" t="n">
        <f aca="false">T229+U225</f>
        <v>370000</v>
      </c>
      <c r="V229" s="65" t="n">
        <f aca="false">U229+V225</f>
        <v>370000</v>
      </c>
      <c r="W229" s="65" t="n">
        <f aca="false">V229+W225</f>
        <v>370000</v>
      </c>
      <c r="X229" s="65" t="n">
        <f aca="false">W229+X225</f>
        <v>370000</v>
      </c>
      <c r="Y229" s="65" t="n">
        <f aca="false">X229+Y225</f>
        <v>370000</v>
      </c>
      <c r="Z229" s="65" t="n">
        <f aca="false">Y229+Z225</f>
        <v>370000</v>
      </c>
      <c r="AA229" s="65" t="n">
        <f aca="false">Z229+AA225</f>
        <v>370000</v>
      </c>
      <c r="AB229" s="65" t="n">
        <f aca="false">AA229+AB225</f>
        <v>370000</v>
      </c>
      <c r="AC229" s="65" t="n">
        <f aca="false">AB229+AC225</f>
        <v>370000</v>
      </c>
      <c r="AD229" s="65" t="n">
        <f aca="false">AC229+AD225</f>
        <v>370000</v>
      </c>
      <c r="AE229" s="65" t="n">
        <f aca="false">AD229+AE225</f>
        <v>370000</v>
      </c>
      <c r="AF229" s="65" t="n">
        <f aca="false">AE229+AF225</f>
        <v>370000</v>
      </c>
      <c r="AG229" s="65" t="n">
        <f aca="false">AF229+AG225</f>
        <v>370000</v>
      </c>
      <c r="AH229" s="65" t="n">
        <f aca="false">AG229+AH225</f>
        <v>370000</v>
      </c>
      <c r="AI229" s="65" t="n">
        <f aca="false">AH229+AI225</f>
        <v>370000</v>
      </c>
      <c r="AJ229" s="65" t="n">
        <f aca="false">AI229+AJ225</f>
        <v>370000</v>
      </c>
      <c r="AK229" s="65" t="n">
        <f aca="false">AJ229+AK225</f>
        <v>370000</v>
      </c>
      <c r="AL229" s="65" t="n">
        <f aca="false">AK229+AL225</f>
        <v>370000</v>
      </c>
      <c r="AM229" s="65" t="n">
        <f aca="false">AL229+AM225</f>
        <v>370000</v>
      </c>
      <c r="AN229" s="65" t="n">
        <f aca="false">AM229+AN225</f>
        <v>370000</v>
      </c>
      <c r="AO229" s="65" t="n">
        <f aca="false">AN229+AO225</f>
        <v>370000</v>
      </c>
      <c r="AP229" s="65" t="n">
        <f aca="false">AO229+AP225</f>
        <v>370000</v>
      </c>
      <c r="AQ229" s="65" t="n">
        <f aca="false">AP229+AQ225</f>
        <v>370000</v>
      </c>
      <c r="AR229" s="65" t="n">
        <f aca="false">AQ229+AR225</f>
        <v>370000</v>
      </c>
      <c r="AS229" s="65" t="n">
        <f aca="false">AR229+AS225</f>
        <v>370000</v>
      </c>
      <c r="AT229" s="65" t="n">
        <f aca="false">AS229+AT225</f>
        <v>370000</v>
      </c>
      <c r="AU229" s="65" t="n">
        <f aca="false">AT229+AU225</f>
        <v>370000</v>
      </c>
      <c r="AV229" s="65" t="n">
        <f aca="false">AU229+AV225</f>
        <v>370000</v>
      </c>
      <c r="AW229" s="65" t="n">
        <f aca="false">AV229+AW225</f>
        <v>370000</v>
      </c>
      <c r="AX229" s="65" t="n">
        <f aca="false">AW229+AX225</f>
        <v>370000</v>
      </c>
      <c r="AY229" s="65" t="n">
        <f aca="false">AX229+AY225</f>
        <v>370000</v>
      </c>
      <c r="AZ229" s="65" t="n">
        <f aca="false">AY229+AZ225</f>
        <v>370000</v>
      </c>
      <c r="BA229" s="65" t="n">
        <f aca="false">AZ229+BA225</f>
        <v>370000</v>
      </c>
      <c r="BB229" s="65" t="n">
        <f aca="false">BA229+BB225</f>
        <v>370000</v>
      </c>
      <c r="BC229" s="65" t="n">
        <f aca="false">BB229+BC225</f>
        <v>370000</v>
      </c>
      <c r="BD229" s="65" t="n">
        <f aca="false">BC229+BD225</f>
        <v>370000</v>
      </c>
      <c r="BE229" s="65" t="n">
        <f aca="false">BD229+BE225</f>
        <v>370000</v>
      </c>
      <c r="BF229" s="65" t="n">
        <f aca="false">BE229+BF225</f>
        <v>370000</v>
      </c>
      <c r="BG229" s="65" t="n">
        <f aca="false">BF229+BG225</f>
        <v>370000</v>
      </c>
      <c r="BH229" s="65" t="n">
        <f aca="false">BG229+BH225</f>
        <v>370000</v>
      </c>
      <c r="BI229" s="65" t="n">
        <f aca="false">BH229+BI225</f>
        <v>370000</v>
      </c>
      <c r="BJ229" s="65" t="n">
        <f aca="false">BI229+BJ225</f>
        <v>370000</v>
      </c>
    </row>
    <row r="230" customFormat="false" ht="15" hidden="false" customHeight="false" outlineLevel="0" collapsed="false">
      <c r="A230" s="6" t="s">
        <v>78</v>
      </c>
      <c r="C230" s="65" t="n">
        <f aca="false">-MIN((C228-C229)/MAX(1,Inputs!$D$45*12),C227-C229)</f>
        <v>-4740.09773662552</v>
      </c>
      <c r="D230" s="65" t="n">
        <f aca="false">-MIN((D228-D229)/MAX(1,Inputs!$D$45*12),C232+D227-D229)</f>
        <v>-4740.99794238683</v>
      </c>
      <c r="E230" s="65" t="n">
        <f aca="false">-MIN((E228-E229)/MAX(1,Inputs!$D$45*12),D232+E227-E229)</f>
        <v>-4741.89814814815</v>
      </c>
      <c r="F230" s="65" t="n">
        <f aca="false">-MIN((F228-F229)/MAX(1,Inputs!$D$45*12),E232+F227-F229)</f>
        <v>-4742.79835390947</v>
      </c>
      <c r="G230" s="65" t="n">
        <f aca="false">-MIN((G228-G229)/MAX(1,Inputs!$D$45*12),F232+G227-G229)</f>
        <v>-4743.69855967078</v>
      </c>
      <c r="H230" s="65" t="n">
        <f aca="false">-MIN((H228-H229)/MAX(1,Inputs!$D$45*12),G232+H227-H229)</f>
        <v>-4744.5987654321</v>
      </c>
      <c r="I230" s="65" t="n">
        <f aca="false">-MIN((I228-I229)/MAX(1,Inputs!$D$45*12),H232+I227-I229)</f>
        <v>-4745.49897119342</v>
      </c>
      <c r="J230" s="65" t="n">
        <f aca="false">-MIN((J228-J229)/MAX(1,Inputs!$D$45*12),I232+J227-J229)</f>
        <v>-4746.39917695474</v>
      </c>
      <c r="K230" s="65" t="n">
        <f aca="false">-MIN((K228-K229)/MAX(1,Inputs!$D$45*12),J232+K227-K229)</f>
        <v>-4747.29938271605</v>
      </c>
      <c r="L230" s="65" t="n">
        <f aca="false">-MIN((L228-L229)/MAX(1,Inputs!$D$45*12),K232+L227-L229)</f>
        <v>-4748.19958847737</v>
      </c>
      <c r="M230" s="65" t="n">
        <f aca="false">-MIN((M228-M229)/MAX(1,Inputs!$D$45*12),L232+M227-M229)</f>
        <v>-4749.09979423869</v>
      </c>
      <c r="N230" s="65" t="n">
        <f aca="false">-MIN((N228-N229)/MAX(1,Inputs!$D$45*12),M232+N227-N229)</f>
        <v>-4750</v>
      </c>
      <c r="O230" s="65" t="n">
        <f aca="false">-MIN((O228-O229)/MAX(1,Inputs!$D$45*12),N232+O227-O229)</f>
        <v>-4750.92271090535</v>
      </c>
      <c r="P230" s="65" t="n">
        <f aca="false">-MIN((P228-P229)/MAX(1,Inputs!$D$45*12),O232+P227-P229)</f>
        <v>-4751.8454218107</v>
      </c>
      <c r="Q230" s="65" t="n">
        <f aca="false">-MIN((Q228-Q229)/MAX(1,Inputs!$D$45*12),P232+Q227-Q229)</f>
        <v>-4752.76813271605</v>
      </c>
      <c r="R230" s="65" t="n">
        <f aca="false">-MIN((R228-R229)/MAX(1,Inputs!$D$45*12),Q232+R227-R229)</f>
        <v>-4753.6908436214</v>
      </c>
      <c r="S230" s="65" t="n">
        <f aca="false">-MIN((S228-S229)/MAX(1,Inputs!$D$45*12),R232+S227-S229)</f>
        <v>-4754.61355452675</v>
      </c>
      <c r="T230" s="65" t="n">
        <f aca="false">-MIN((T228-T229)/MAX(1,Inputs!$D$45*12),S232+T227-T229)</f>
        <v>-4755.5362654321</v>
      </c>
      <c r="U230" s="65" t="n">
        <f aca="false">-MIN((U228-U229)/MAX(1,Inputs!$D$45*12),T232+U227-U229)</f>
        <v>-4756.45897633745</v>
      </c>
      <c r="V230" s="65" t="n">
        <f aca="false">-MIN((V228-V229)/MAX(1,Inputs!$D$45*12),U232+V227-V229)</f>
        <v>-4757.3816872428</v>
      </c>
      <c r="W230" s="65" t="n">
        <f aca="false">-MIN((W228-W229)/MAX(1,Inputs!$D$45*12),V232+W227-W229)</f>
        <v>-4758.30439814815</v>
      </c>
      <c r="X230" s="65" t="n">
        <f aca="false">-MIN((X228-X229)/MAX(1,Inputs!$D$45*12),W232+X227-X229)</f>
        <v>-4759.2271090535</v>
      </c>
      <c r="Y230" s="65" t="n">
        <f aca="false">-MIN((Y228-Y229)/MAX(1,Inputs!$D$45*12),X232+Y227-Y229)</f>
        <v>-4760.14981995885</v>
      </c>
      <c r="Z230" s="65" t="n">
        <f aca="false">-MIN((Z228-Z229)/MAX(1,Inputs!$D$45*12),Y232+Z227-Z229)</f>
        <v>-4761.0725308642</v>
      </c>
      <c r="AA230" s="65" t="n">
        <f aca="false">-MIN((AA228-AA229)/MAX(1,Inputs!$D$45*12),Z232+AA227-AA229)</f>
        <v>-4762.01830954218</v>
      </c>
      <c r="AB230" s="65" t="n">
        <f aca="false">-MIN((AB228-AB229)/MAX(1,Inputs!$D$45*12),AA232+AB227-AB229)</f>
        <v>-4762.96408822017</v>
      </c>
      <c r="AC230" s="65" t="n">
        <f aca="false">-MIN((AC228-AC229)/MAX(1,Inputs!$D$45*12),AB232+AC227-AC229)</f>
        <v>-4763.90986689815</v>
      </c>
      <c r="AD230" s="65" t="n">
        <f aca="false">-MIN((AD228-AD229)/MAX(1,Inputs!$D$45*12),AC232+AD227-AD229)</f>
        <v>-4764.85564557613</v>
      </c>
      <c r="AE230" s="65" t="n">
        <f aca="false">-MIN((AE228-AE229)/MAX(1,Inputs!$D$45*12),AD232+AE227-AE229)</f>
        <v>-4765.80142425412</v>
      </c>
      <c r="AF230" s="65" t="n">
        <f aca="false">-MIN((AF228-AF229)/MAX(1,Inputs!$D$45*12),AE232+AF227-AF229)</f>
        <v>-4766.7472029321</v>
      </c>
      <c r="AG230" s="65" t="n">
        <f aca="false">-MIN((AG228-AG229)/MAX(1,Inputs!$D$45*12),AF232+AG227-AG229)</f>
        <v>-4767.69298161008</v>
      </c>
      <c r="AH230" s="65" t="n">
        <f aca="false">-MIN((AH228-AH229)/MAX(1,Inputs!$D$45*12),AG232+AH227-AH229)</f>
        <v>-4768.63876028807</v>
      </c>
      <c r="AI230" s="65" t="n">
        <f aca="false">-MIN((AI228-AI229)/MAX(1,Inputs!$D$45*12),AH232+AI227-AI229)</f>
        <v>-4769.58453896605</v>
      </c>
      <c r="AJ230" s="65" t="n">
        <f aca="false">-MIN((AJ228-AJ229)/MAX(1,Inputs!$D$45*12),AI232+AJ227-AJ229)</f>
        <v>-4770.53031764404</v>
      </c>
      <c r="AK230" s="65" t="n">
        <f aca="false">-MIN((AK228-AK229)/MAX(1,Inputs!$D$45*12),AJ232+AK227-AK229)</f>
        <v>-4771.47609632202</v>
      </c>
      <c r="AL230" s="65" t="n">
        <f aca="false">-MIN((AL228-AL229)/MAX(1,Inputs!$D$45*12),AK232+AL227-AL229)</f>
        <v>-4772.421875</v>
      </c>
      <c r="AM230" s="65" t="n">
        <f aca="false">-MIN((AM228-AM229)/MAX(1,Inputs!$D$45*12),AL232+AM227-AM229)</f>
        <v>-4773.39129814494</v>
      </c>
      <c r="AN230" s="65" t="n">
        <f aca="false">-MIN((AN228-AN229)/MAX(1,Inputs!$D$45*12),AM232+AN227-AN229)</f>
        <v>-4774.36072128987</v>
      </c>
      <c r="AO230" s="65" t="n">
        <f aca="false">-MIN((AO228-AO229)/MAX(1,Inputs!$D$45*12),AN232+AO227-AO229)</f>
        <v>-4775.3301444348</v>
      </c>
      <c r="AP230" s="65" t="n">
        <f aca="false">-MIN((AP228-AP229)/MAX(1,Inputs!$D$45*12),AO232+AP227-AP229)</f>
        <v>-4776.29956757974</v>
      </c>
      <c r="AQ230" s="65" t="n">
        <f aca="false">-MIN((AQ228-AQ229)/MAX(1,Inputs!$D$45*12),AP232+AQ227-AQ229)</f>
        <v>-4777.26899072467</v>
      </c>
      <c r="AR230" s="65" t="n">
        <f aca="false">-MIN((AR228-AR229)/MAX(1,Inputs!$D$45*12),AQ232+AR227-AR229)</f>
        <v>-4778.2384138696</v>
      </c>
      <c r="AS230" s="65" t="n">
        <f aca="false">-MIN((AS228-AS229)/MAX(1,Inputs!$D$45*12),AR232+AS227-AS229)</f>
        <v>-4779.20783701453</v>
      </c>
      <c r="AT230" s="65" t="n">
        <f aca="false">-MIN((AT228-AT229)/MAX(1,Inputs!$D$45*12),AS232+AT227-AT229)</f>
        <v>-4780.17726015947</v>
      </c>
      <c r="AU230" s="65" t="n">
        <f aca="false">-MIN((AU228-AU229)/MAX(1,Inputs!$D$45*12),AT232+AU227-AU229)</f>
        <v>-4781.1466833044</v>
      </c>
      <c r="AV230" s="65" t="n">
        <f aca="false">-MIN((AV228-AV229)/MAX(1,Inputs!$D$45*12),AU232+AV227-AV229)</f>
        <v>-4782.11610644933</v>
      </c>
      <c r="AW230" s="65" t="n">
        <f aca="false">-MIN((AW228-AW229)/MAX(1,Inputs!$D$45*12),AV232+AW227-AW229)</f>
        <v>-4783.08552959427</v>
      </c>
      <c r="AX230" s="65" t="n">
        <f aca="false">-MIN((AX228-AX229)/MAX(1,Inputs!$D$45*12),AW232+AX227-AX229)</f>
        <v>-4784.0549527392</v>
      </c>
      <c r="AY230" s="65" t="n">
        <f aca="false">-MIN((AY228-AY229)/MAX(1,Inputs!$D$45*12),AX232+AY227-AY229)</f>
        <v>-4785.04861146275</v>
      </c>
      <c r="AZ230" s="65" t="n">
        <f aca="false">-MIN((AZ228-AZ229)/MAX(1,Inputs!$D$45*12),AY232+AZ227-AZ229)</f>
        <v>-4786.04227018631</v>
      </c>
      <c r="BA230" s="65" t="n">
        <f aca="false">-MIN((BA228-BA229)/MAX(1,Inputs!$D$45*12),AZ232+BA227-BA229)</f>
        <v>-4787.03592890987</v>
      </c>
      <c r="BB230" s="65" t="n">
        <f aca="false">-MIN((BB228-BB229)/MAX(1,Inputs!$D$45*12),BA232+BB227-BB229)</f>
        <v>-4788.02958763342</v>
      </c>
      <c r="BC230" s="65" t="n">
        <f aca="false">-MIN((BC228-BC229)/MAX(1,Inputs!$D$45*12),BB232+BC227-BC229)</f>
        <v>-4789.02324635698</v>
      </c>
      <c r="BD230" s="65" t="n">
        <f aca="false">-MIN((BD228-BD229)/MAX(1,Inputs!$D$45*12),BC232+BD227-BD229)</f>
        <v>-4790.01690508053</v>
      </c>
      <c r="BE230" s="65" t="n">
        <f aca="false">-MIN((BE228-BE229)/MAX(1,Inputs!$D$45*12),BD232+BE227-BE229)</f>
        <v>-4791.01056380409</v>
      </c>
      <c r="BF230" s="65" t="n">
        <f aca="false">-MIN((BF228-BF229)/MAX(1,Inputs!$D$45*12),BE232+BF227-BF229)</f>
        <v>-4792.00422252765</v>
      </c>
      <c r="BG230" s="65" t="n">
        <f aca="false">-MIN((BG228-BG229)/MAX(1,Inputs!$D$45*12),BF232+BG227-BG229)</f>
        <v>-4792.9978812512</v>
      </c>
      <c r="BH230" s="65" t="n">
        <f aca="false">-MIN((BH228-BH229)/MAX(1,Inputs!$D$45*12),BG232+BH227-BH229)</f>
        <v>-4793.99153997476</v>
      </c>
      <c r="BI230" s="65" t="n">
        <f aca="false">-MIN((BI228-BI229)/MAX(1,Inputs!$D$45*12),BH232+BI227-BI229)</f>
        <v>-4794.98519869832</v>
      </c>
      <c r="BJ230" s="65" t="n">
        <f aca="false">-MIN((BJ228-BJ229)/MAX(1,Inputs!$D$45*12),BI232+BJ227-BJ229)</f>
        <v>-4795.97885742187</v>
      </c>
    </row>
    <row r="231" customFormat="false" ht="15" hidden="false" customHeight="false" outlineLevel="0" collapsed="false">
      <c r="A231" s="6" t="s">
        <v>430</v>
      </c>
      <c r="C231" s="65" t="n">
        <f aca="false">C230</f>
        <v>-4740.09773662552</v>
      </c>
      <c r="D231" s="65" t="n">
        <f aca="false">C231+D230</f>
        <v>-9481.09567901235</v>
      </c>
      <c r="E231" s="65" t="n">
        <f aca="false">D231+E230</f>
        <v>-14222.9938271605</v>
      </c>
      <c r="F231" s="65" t="n">
        <f aca="false">E231+F230</f>
        <v>-18965.79218107</v>
      </c>
      <c r="G231" s="65" t="n">
        <f aca="false">F231+G230</f>
        <v>-23709.4907407407</v>
      </c>
      <c r="H231" s="65" t="n">
        <f aca="false">G231+H230</f>
        <v>-28454.0895061728</v>
      </c>
      <c r="I231" s="65" t="n">
        <f aca="false">H231+I230</f>
        <v>-33199.5884773663</v>
      </c>
      <c r="J231" s="65" t="n">
        <f aca="false">I231+J230</f>
        <v>-37945.987654321</v>
      </c>
      <c r="K231" s="65" t="n">
        <f aca="false">J231+K230</f>
        <v>-42693.2870370371</v>
      </c>
      <c r="L231" s="65" t="n">
        <f aca="false">K231+L230</f>
        <v>-47441.4866255144</v>
      </c>
      <c r="M231" s="65" t="n">
        <f aca="false">L231+M230</f>
        <v>-52190.5864197531</v>
      </c>
      <c r="N231" s="65" t="n">
        <f aca="false">M231+N230</f>
        <v>-56940.5864197531</v>
      </c>
      <c r="O231" s="65" t="n">
        <f aca="false">N231+O230</f>
        <v>-61691.5091306585</v>
      </c>
      <c r="P231" s="65" t="n">
        <f aca="false">O231+P230</f>
        <v>-66443.3545524692</v>
      </c>
      <c r="Q231" s="65" t="n">
        <f aca="false">P231+Q230</f>
        <v>-71196.1226851852</v>
      </c>
      <c r="R231" s="65" t="n">
        <f aca="false">Q231+R230</f>
        <v>-75949.8135288066</v>
      </c>
      <c r="S231" s="65" t="n">
        <f aca="false">R231+S230</f>
        <v>-80704.4270833334</v>
      </c>
      <c r="T231" s="65" t="n">
        <f aca="false">S231+T230</f>
        <v>-85459.9633487655</v>
      </c>
      <c r="U231" s="65" t="n">
        <f aca="false">T231+U230</f>
        <v>-90216.4223251029</v>
      </c>
      <c r="V231" s="65" t="n">
        <f aca="false">U231+V230</f>
        <v>-94973.8040123457</v>
      </c>
      <c r="W231" s="65" t="n">
        <f aca="false">V231+W230</f>
        <v>-99732.1084104939</v>
      </c>
      <c r="X231" s="65" t="n">
        <f aca="false">W231+X230</f>
        <v>-104491.335519547</v>
      </c>
      <c r="Y231" s="65" t="n">
        <f aca="false">X231+Y230</f>
        <v>-109251.485339506</v>
      </c>
      <c r="Z231" s="65" t="n">
        <f aca="false">Y231+Z230</f>
        <v>-114012.55787037</v>
      </c>
      <c r="AA231" s="65" t="n">
        <f aca="false">Z231+AA230</f>
        <v>-118774.576179913</v>
      </c>
      <c r="AB231" s="65" t="n">
        <f aca="false">AA231+AB230</f>
        <v>-123537.540268133</v>
      </c>
      <c r="AC231" s="65" t="n">
        <f aca="false">AB231+AC230</f>
        <v>-128301.450135031</v>
      </c>
      <c r="AD231" s="65" t="n">
        <f aca="false">AC231+AD230</f>
        <v>-133066.305780607</v>
      </c>
      <c r="AE231" s="65" t="n">
        <f aca="false">AD231+AE230</f>
        <v>-137832.107204861</v>
      </c>
      <c r="AF231" s="65" t="n">
        <f aca="false">AE231+AF230</f>
        <v>-142598.854407793</v>
      </c>
      <c r="AG231" s="65" t="n">
        <f aca="false">AF231+AG230</f>
        <v>-147366.547389403</v>
      </c>
      <c r="AH231" s="65" t="n">
        <f aca="false">AG231+AH230</f>
        <v>-152135.186149691</v>
      </c>
      <c r="AI231" s="65" t="n">
        <f aca="false">AH231+AI230</f>
        <v>-156904.770688657</v>
      </c>
      <c r="AJ231" s="65" t="n">
        <f aca="false">AI231+AJ230</f>
        <v>-161675.301006301</v>
      </c>
      <c r="AK231" s="65" t="n">
        <f aca="false">AJ231+AK230</f>
        <v>-166446.777102623</v>
      </c>
      <c r="AL231" s="65" t="n">
        <f aca="false">AK231+AL230</f>
        <v>-171219.198977623</v>
      </c>
      <c r="AM231" s="65" t="n">
        <f aca="false">AL231+AM230</f>
        <v>-175992.590275768</v>
      </c>
      <c r="AN231" s="65" t="n">
        <f aca="false">AM231+AN230</f>
        <v>-180766.950997058</v>
      </c>
      <c r="AO231" s="65" t="n">
        <f aca="false">AN231+AO230</f>
        <v>-185542.281141493</v>
      </c>
      <c r="AP231" s="65" t="n">
        <f aca="false">AO231+AP230</f>
        <v>-190318.580709073</v>
      </c>
      <c r="AQ231" s="65" t="n">
        <f aca="false">AP231+AQ230</f>
        <v>-195095.849699798</v>
      </c>
      <c r="AR231" s="65" t="n">
        <f aca="false">AQ231+AR230</f>
        <v>-199874.088113667</v>
      </c>
      <c r="AS231" s="65" t="n">
        <f aca="false">AR231+AS230</f>
        <v>-204653.295950682</v>
      </c>
      <c r="AT231" s="65" t="n">
        <f aca="false">AS231+AT230</f>
        <v>-209433.473210841</v>
      </c>
      <c r="AU231" s="65" t="n">
        <f aca="false">AT231+AU230</f>
        <v>-214214.619894146</v>
      </c>
      <c r="AV231" s="65" t="n">
        <f aca="false">AU231+AV230</f>
        <v>-218996.736000595</v>
      </c>
      <c r="AW231" s="65" t="n">
        <f aca="false">AV231+AW230</f>
        <v>-223779.821530189</v>
      </c>
      <c r="AX231" s="65" t="n">
        <f aca="false">AW231+AX230</f>
        <v>-228563.876482928</v>
      </c>
      <c r="AY231" s="65" t="n">
        <f aca="false">AX231+AY230</f>
        <v>-233348.925094391</v>
      </c>
      <c r="AZ231" s="65" t="n">
        <f aca="false">AY231+AZ230</f>
        <v>-238134.967364577</v>
      </c>
      <c r="BA231" s="65" t="n">
        <f aca="false">AZ231+BA230</f>
        <v>-242922.003293487</v>
      </c>
      <c r="BB231" s="65" t="n">
        <f aca="false">BA231+BB230</f>
        <v>-247710.032881121</v>
      </c>
      <c r="BC231" s="65" t="n">
        <f aca="false">BB231+BC230</f>
        <v>-252499.056127478</v>
      </c>
      <c r="BD231" s="65" t="n">
        <f aca="false">BC231+BD230</f>
        <v>-257289.073032558</v>
      </c>
      <c r="BE231" s="65" t="n">
        <f aca="false">BD231+BE230</f>
        <v>-262080.083596362</v>
      </c>
      <c r="BF231" s="65" t="n">
        <f aca="false">BE231+BF230</f>
        <v>-266872.08781889</v>
      </c>
      <c r="BG231" s="65" t="n">
        <f aca="false">BF231+BG230</f>
        <v>-271665.085700141</v>
      </c>
      <c r="BH231" s="65" t="n">
        <f aca="false">BG231+BH230</f>
        <v>-276459.077240116</v>
      </c>
      <c r="BI231" s="65" t="n">
        <f aca="false">BH231+BI230</f>
        <v>-281254.062438814</v>
      </c>
      <c r="BJ231" s="65" t="n">
        <f aca="false">BI231+BJ230</f>
        <v>-286050.041296236</v>
      </c>
    </row>
    <row r="232" customFormat="false" ht="15" hidden="false" customHeight="false" outlineLevel="0" collapsed="false">
      <c r="A232" s="4" t="s">
        <v>92</v>
      </c>
      <c r="C232" s="71" t="n">
        <f aca="false">C228+C231</f>
        <v>1901051.56893004</v>
      </c>
      <c r="D232" s="71" t="n">
        <f aca="false">D228+D231</f>
        <v>1896602.23765432</v>
      </c>
      <c r="E232" s="71" t="n">
        <f aca="false">E228+E231</f>
        <v>1892152.00617284</v>
      </c>
      <c r="F232" s="71" t="n">
        <f aca="false">F228+F231</f>
        <v>1887700.8744856</v>
      </c>
      <c r="G232" s="71" t="n">
        <f aca="false">G228+G231</f>
        <v>1883248.84259259</v>
      </c>
      <c r="H232" s="71" t="n">
        <f aca="false">H228+H231</f>
        <v>1878795.91049383</v>
      </c>
      <c r="I232" s="71" t="n">
        <f aca="false">I228+I231</f>
        <v>1874342.0781893</v>
      </c>
      <c r="J232" s="71" t="n">
        <f aca="false">J228+J231</f>
        <v>1869887.34567901</v>
      </c>
      <c r="K232" s="71" t="n">
        <f aca="false">K228+K231</f>
        <v>1865431.71296296</v>
      </c>
      <c r="L232" s="71" t="n">
        <f aca="false">L228+L231</f>
        <v>1860975.18004115</v>
      </c>
      <c r="M232" s="71" t="n">
        <f aca="false">M228+M231</f>
        <v>1856517.74691358</v>
      </c>
      <c r="N232" s="71" t="n">
        <f aca="false">N228+N231</f>
        <v>1852059.41358025</v>
      </c>
      <c r="O232" s="71" t="n">
        <f aca="false">O228+O231</f>
        <v>1847607.44920268</v>
      </c>
      <c r="P232" s="71" t="n">
        <f aca="false">P228+P231</f>
        <v>1843154.5621142</v>
      </c>
      <c r="Q232" s="71" t="n">
        <f aca="false">Q228+Q231</f>
        <v>1838700.75231482</v>
      </c>
      <c r="R232" s="71" t="n">
        <f aca="false">R228+R231</f>
        <v>1834246.01980453</v>
      </c>
      <c r="S232" s="71" t="n">
        <f aca="false">S228+S231</f>
        <v>1829790.36458333</v>
      </c>
      <c r="T232" s="71" t="n">
        <f aca="false">T228+T231</f>
        <v>1825333.78665124</v>
      </c>
      <c r="U232" s="71" t="n">
        <f aca="false">U228+U231</f>
        <v>1820876.28600823</v>
      </c>
      <c r="V232" s="71" t="n">
        <f aca="false">V228+V231</f>
        <v>1816417.86265432</v>
      </c>
      <c r="W232" s="71" t="n">
        <f aca="false">W228+W231</f>
        <v>1811958.51658951</v>
      </c>
      <c r="X232" s="71" t="n">
        <f aca="false">X228+X231</f>
        <v>1807498.24781379</v>
      </c>
      <c r="Y232" s="71" t="n">
        <f aca="false">Y228+Y231</f>
        <v>1803037.05632716</v>
      </c>
      <c r="Z232" s="71" t="n">
        <f aca="false">Z228+Z231</f>
        <v>1798574.94212963</v>
      </c>
      <c r="AA232" s="71" t="n">
        <f aca="false">AA228+AA231</f>
        <v>1794119.35611175</v>
      </c>
      <c r="AB232" s="71" t="n">
        <f aca="false">AB228+AB231</f>
        <v>1789662.8243152</v>
      </c>
      <c r="AC232" s="71" t="n">
        <f aca="false">AC228+AC231</f>
        <v>1785205.34673997</v>
      </c>
      <c r="AD232" s="71" t="n">
        <f aca="false">AD228+AD231</f>
        <v>1780746.92338606</v>
      </c>
      <c r="AE232" s="71" t="n">
        <f aca="false">AE228+AE231</f>
        <v>1776287.55425347</v>
      </c>
      <c r="AF232" s="71" t="n">
        <f aca="false">AF228+AF231</f>
        <v>1771827.23934221</v>
      </c>
      <c r="AG232" s="71" t="n">
        <f aca="false">AG228+AG231</f>
        <v>1767365.97865226</v>
      </c>
      <c r="AH232" s="71" t="n">
        <f aca="false">AH228+AH231</f>
        <v>1762903.77218364</v>
      </c>
      <c r="AI232" s="71" t="n">
        <f aca="false">AI228+AI231</f>
        <v>1758440.61993634</v>
      </c>
      <c r="AJ232" s="71" t="n">
        <f aca="false">AJ228+AJ231</f>
        <v>1753976.52191037</v>
      </c>
      <c r="AK232" s="71" t="n">
        <f aca="false">AK228+AK231</f>
        <v>1749511.47810571</v>
      </c>
      <c r="AL232" s="71" t="n">
        <f aca="false">AL228+AL231</f>
        <v>1745045.48852238</v>
      </c>
      <c r="AM232" s="71" t="n">
        <f aca="false">AM228+AM231</f>
        <v>1740586.19032319</v>
      </c>
      <c r="AN232" s="71" t="n">
        <f aca="false">AN228+AN231</f>
        <v>1736125.92270086</v>
      </c>
      <c r="AO232" s="71" t="n">
        <f aca="false">AO228+AO231</f>
        <v>1731664.68565538</v>
      </c>
      <c r="AP232" s="71" t="n">
        <f aca="false">AP228+AP231</f>
        <v>1727202.47918676</v>
      </c>
      <c r="AQ232" s="71" t="n">
        <f aca="false">AQ228+AQ231</f>
        <v>1722739.30329499</v>
      </c>
      <c r="AR232" s="71" t="n">
        <f aca="false">AR228+AR231</f>
        <v>1718275.15798008</v>
      </c>
      <c r="AS232" s="71" t="n">
        <f aca="false">AS228+AS231</f>
        <v>1713810.04324203</v>
      </c>
      <c r="AT232" s="71" t="n">
        <f aca="false">AT228+AT231</f>
        <v>1709343.95908083</v>
      </c>
      <c r="AU232" s="71" t="n">
        <f aca="false">AU228+AU231</f>
        <v>1704876.90549648</v>
      </c>
      <c r="AV232" s="71" t="n">
        <f aca="false">AV228+AV231</f>
        <v>1700408.88248899</v>
      </c>
      <c r="AW232" s="71" t="n">
        <f aca="false">AW228+AW231</f>
        <v>1695939.89005835</v>
      </c>
      <c r="AX232" s="71" t="n">
        <f aca="false">AX228+AX231</f>
        <v>1691469.92820457</v>
      </c>
      <c r="AY232" s="71" t="n">
        <f aca="false">AY228+AY231</f>
        <v>1687006.82501954</v>
      </c>
      <c r="AZ232" s="71" t="n">
        <f aca="false">AZ228+AZ231</f>
        <v>1682542.72817579</v>
      </c>
      <c r="BA232" s="71" t="n">
        <f aca="false">BA228+BA231</f>
        <v>1678077.63767331</v>
      </c>
      <c r="BB232" s="71" t="n">
        <f aca="false">BB228+BB231</f>
        <v>1673611.55351211</v>
      </c>
      <c r="BC232" s="71" t="n">
        <f aca="false">BC228+BC231</f>
        <v>1669144.47569218</v>
      </c>
      <c r="BD232" s="71" t="n">
        <f aca="false">BD228+BD231</f>
        <v>1664676.40421354</v>
      </c>
      <c r="BE232" s="71" t="n">
        <f aca="false">BE228+BE231</f>
        <v>1660207.33907616</v>
      </c>
      <c r="BF232" s="71" t="n">
        <f aca="false">BF228+BF231</f>
        <v>1655737.28028007</v>
      </c>
      <c r="BG232" s="71" t="n">
        <f aca="false">BG228+BG231</f>
        <v>1651266.22782525</v>
      </c>
      <c r="BH232" s="71" t="n">
        <f aca="false">BH228+BH231</f>
        <v>1646794.18171171</v>
      </c>
      <c r="BI232" s="71" t="n">
        <f aca="false">BI228+BI231</f>
        <v>1642321.14193944</v>
      </c>
      <c r="BJ232" s="71" t="n">
        <f aca="false">BJ228+BJ231</f>
        <v>1637847.10850845</v>
      </c>
    </row>
    <row r="234" customFormat="false" ht="15.75" hidden="false" customHeight="true" outlineLevel="0" collapsed="false">
      <c r="A234" s="7" t="s">
        <v>431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6" t="s">
        <v>432</v>
      </c>
      <c r="C235" s="65" t="n">
        <f aca="false">0</f>
        <v>0</v>
      </c>
      <c r="D235" s="65" t="n">
        <f aca="false">C240</f>
        <v>1198915.18371808</v>
      </c>
      <c r="E235" s="65" t="n">
        <f aca="false">D240</f>
        <v>1197824.49134798</v>
      </c>
      <c r="F235" s="65" t="n">
        <f aca="false">E240</f>
        <v>1196727.89106086</v>
      </c>
      <c r="G235" s="65" t="n">
        <f aca="false">F240</f>
        <v>1195625.35085553</v>
      </c>
      <c r="H235" s="65" t="n">
        <f aca="false">G240</f>
        <v>1194516.83855741</v>
      </c>
      <c r="I235" s="65" t="n">
        <f aca="false">H240</f>
        <v>1193402.32181768</v>
      </c>
      <c r="J235" s="65" t="n">
        <f aca="false">I240</f>
        <v>1192281.76811228</v>
      </c>
      <c r="K235" s="65" t="n">
        <f aca="false">J240</f>
        <v>1191155.14474097</v>
      </c>
      <c r="L235" s="65" t="n">
        <f aca="false">K240</f>
        <v>1190022.4188264</v>
      </c>
      <c r="M235" s="65" t="n">
        <f aca="false">L240</f>
        <v>1188883.55731313</v>
      </c>
      <c r="N235" s="65" t="n">
        <f aca="false">M240</f>
        <v>1187738.52696666</v>
      </c>
      <c r="O235" s="65" t="n">
        <f aca="false">N240</f>
        <v>1186587.29437248</v>
      </c>
      <c r="P235" s="65" t="n">
        <f aca="false">O240</f>
        <v>1185429.82593508</v>
      </c>
      <c r="Q235" s="65" t="n">
        <f aca="false">P240</f>
        <v>1184266.08787698</v>
      </c>
      <c r="R235" s="65" t="n">
        <f aca="false">Q240</f>
        <v>1183096.04623773</v>
      </c>
      <c r="S235" s="65" t="n">
        <f aca="false">R240</f>
        <v>1181919.66687294</v>
      </c>
      <c r="T235" s="65" t="n">
        <f aca="false">S240</f>
        <v>1180736.91545325</v>
      </c>
      <c r="U235" s="65" t="n">
        <f aca="false">T240</f>
        <v>1179547.75746337</v>
      </c>
      <c r="V235" s="65" t="n">
        <f aca="false">U240</f>
        <v>1178352.15820105</v>
      </c>
      <c r="W235" s="65" t="n">
        <f aca="false">V240</f>
        <v>1177150.08277606</v>
      </c>
      <c r="X235" s="65" t="n">
        <f aca="false">W240</f>
        <v>1175941.49610918</v>
      </c>
      <c r="Y235" s="65" t="n">
        <f aca="false">X240</f>
        <v>1174726.36293119</v>
      </c>
      <c r="Z235" s="65" t="n">
        <f aca="false">Y240</f>
        <v>1173504.64778182</v>
      </c>
      <c r="AA235" s="65" t="n">
        <f aca="false">Z240</f>
        <v>1172276.31500872</v>
      </c>
      <c r="AB235" s="65" t="n">
        <f aca="false">AA240</f>
        <v>1171041.32876644</v>
      </c>
      <c r="AC235" s="65" t="n">
        <f aca="false">AB240</f>
        <v>1169799.65301534</v>
      </c>
      <c r="AD235" s="65" t="n">
        <f aca="false">AC240</f>
        <v>1168551.25152059</v>
      </c>
      <c r="AE235" s="65" t="n">
        <f aca="false">AD240</f>
        <v>1167296.08785108</v>
      </c>
      <c r="AF235" s="65" t="n">
        <f aca="false">AE240</f>
        <v>1166034.12537835</v>
      </c>
      <c r="AG235" s="65" t="n">
        <f aca="false">AF240</f>
        <v>1164765.32727557</v>
      </c>
      <c r="AH235" s="65" t="n">
        <f aca="false">AG240</f>
        <v>1163489.6565164</v>
      </c>
      <c r="AI235" s="65" t="n">
        <f aca="false">AH240</f>
        <v>1162207.07587395</v>
      </c>
      <c r="AJ235" s="65" t="n">
        <f aca="false">AI240</f>
        <v>1160917.54791968</v>
      </c>
      <c r="AK235" s="65" t="n">
        <f aca="false">AJ240</f>
        <v>1159621.03502233</v>
      </c>
      <c r="AL235" s="65" t="n">
        <f aca="false">AK240</f>
        <v>1158317.49934679</v>
      </c>
      <c r="AM235" s="65" t="n">
        <f aca="false">AL240</f>
        <v>1157006.902853</v>
      </c>
      <c r="AN235" s="65" t="n">
        <f aca="false">AM240</f>
        <v>1155689.20729487</v>
      </c>
      <c r="AO235" s="65" t="n">
        <f aca="false">AN240</f>
        <v>1154364.37421914</v>
      </c>
      <c r="AP235" s="65" t="n">
        <f aca="false">AO240</f>
        <v>1153032.36496424</v>
      </c>
      <c r="AQ235" s="65" t="n">
        <f aca="false">AP240</f>
        <v>1151693.14065922</v>
      </c>
      <c r="AR235" s="65" t="n">
        <f aca="false">AQ240</f>
        <v>1150346.66222254</v>
      </c>
      <c r="AS235" s="65" t="n">
        <f aca="false">AR240</f>
        <v>1148992.89036099</v>
      </c>
      <c r="AT235" s="65" t="n">
        <f aca="false">AS240</f>
        <v>1147631.78556853</v>
      </c>
      <c r="AU235" s="65" t="n">
        <f aca="false">AT240</f>
        <v>1146263.30812511</v>
      </c>
      <c r="AV235" s="65" t="n">
        <f aca="false">AU240</f>
        <v>1144887.41809554</v>
      </c>
      <c r="AW235" s="65" t="n">
        <f aca="false">AV240</f>
        <v>1143504.07532831</v>
      </c>
      <c r="AX235" s="65" t="n">
        <f aca="false">AW240</f>
        <v>1142113.23945442</v>
      </c>
      <c r="AY235" s="65" t="n">
        <f aca="false">AX240</f>
        <v>1140714.86988622</v>
      </c>
      <c r="AZ235" s="65" t="n">
        <f aca="false">AY240</f>
        <v>1139308.92581619</v>
      </c>
      <c r="BA235" s="65" t="n">
        <f aca="false">AZ240</f>
        <v>1137895.36621578</v>
      </c>
      <c r="BB235" s="65" t="n">
        <f aca="false">BA240</f>
        <v>1136474.1498342</v>
      </c>
      <c r="BC235" s="65" t="n">
        <f aca="false">BB240</f>
        <v>1135045.23519722</v>
      </c>
      <c r="BD235" s="65" t="n">
        <f aca="false">BC240</f>
        <v>1133608.58060595</v>
      </c>
      <c r="BE235" s="65" t="n">
        <f aca="false">BD240</f>
        <v>1132164.14413565</v>
      </c>
      <c r="BF235" s="65" t="n">
        <f aca="false">BE240</f>
        <v>1130711.88363447</v>
      </c>
      <c r="BG235" s="65" t="n">
        <f aca="false">BF240</f>
        <v>1129251.75672224</v>
      </c>
      <c r="BH235" s="65" t="n">
        <f aca="false">BG240</f>
        <v>1127783.72078924</v>
      </c>
      <c r="BI235" s="65" t="n">
        <f aca="false">BH240</f>
        <v>1126307.73299493</v>
      </c>
      <c r="BJ235" s="65" t="n">
        <f aca="false">BI240</f>
        <v>1124823.75026674</v>
      </c>
    </row>
    <row r="236" customFormat="false" ht="15" hidden="false" customHeight="false" outlineLevel="0" collapsed="false">
      <c r="A236" s="6" t="s">
        <v>85</v>
      </c>
      <c r="C236" s="65" t="n">
        <f aca="false">IF(C$190=1,Inputs!$D$35,0)</f>
        <v>1200000</v>
      </c>
      <c r="D236" s="65" t="n">
        <f aca="false">IF(D$190=1,Inputs!$D$35,0)</f>
        <v>0</v>
      </c>
      <c r="E236" s="65" t="n">
        <f aca="false">IF(E$190=1,Inputs!$D$35,0)</f>
        <v>0</v>
      </c>
      <c r="F236" s="65" t="n">
        <f aca="false">IF(F$190=1,Inputs!$D$35,0)</f>
        <v>0</v>
      </c>
      <c r="G236" s="65" t="n">
        <f aca="false">IF(G$190=1,Inputs!$D$35,0)</f>
        <v>0</v>
      </c>
      <c r="H236" s="65" t="n">
        <f aca="false">IF(H$190=1,Inputs!$D$35,0)</f>
        <v>0</v>
      </c>
      <c r="I236" s="65" t="n">
        <f aca="false">IF(I$190=1,Inputs!$D$35,0)</f>
        <v>0</v>
      </c>
      <c r="J236" s="65" t="n">
        <f aca="false">IF(J$190=1,Inputs!$D$35,0)</f>
        <v>0</v>
      </c>
      <c r="K236" s="65" t="n">
        <f aca="false">IF(K$190=1,Inputs!$D$35,0)</f>
        <v>0</v>
      </c>
      <c r="L236" s="65" t="n">
        <f aca="false">IF(L$190=1,Inputs!$D$35,0)</f>
        <v>0</v>
      </c>
      <c r="M236" s="65" t="n">
        <f aca="false">IF(M$190=1,Inputs!$D$35,0)</f>
        <v>0</v>
      </c>
      <c r="N236" s="65" t="n">
        <f aca="false">IF(N$190=1,Inputs!$D$35,0)</f>
        <v>0</v>
      </c>
      <c r="O236" s="65" t="n">
        <f aca="false">IF(O$190=1,Inputs!$D$35,0)</f>
        <v>0</v>
      </c>
      <c r="P236" s="65" t="n">
        <f aca="false">IF(P$190=1,Inputs!$D$35,0)</f>
        <v>0</v>
      </c>
      <c r="Q236" s="65" t="n">
        <f aca="false">IF(Q$190=1,Inputs!$D$35,0)</f>
        <v>0</v>
      </c>
      <c r="R236" s="65" t="n">
        <f aca="false">IF(R$190=1,Inputs!$D$35,0)</f>
        <v>0</v>
      </c>
      <c r="S236" s="65" t="n">
        <f aca="false">IF(S$190=1,Inputs!$D$35,0)</f>
        <v>0</v>
      </c>
      <c r="T236" s="65" t="n">
        <f aca="false">IF(T$190=1,Inputs!$D$35,0)</f>
        <v>0</v>
      </c>
      <c r="U236" s="65" t="n">
        <f aca="false">IF(U$190=1,Inputs!$D$35,0)</f>
        <v>0</v>
      </c>
      <c r="V236" s="65" t="n">
        <f aca="false">IF(V$190=1,Inputs!$D$35,0)</f>
        <v>0</v>
      </c>
      <c r="W236" s="65" t="n">
        <f aca="false">IF(W$190=1,Inputs!$D$35,0)</f>
        <v>0</v>
      </c>
      <c r="X236" s="65" t="n">
        <f aca="false">IF(X$190=1,Inputs!$D$35,0)</f>
        <v>0</v>
      </c>
      <c r="Y236" s="65" t="n">
        <f aca="false">IF(Y$190=1,Inputs!$D$35,0)</f>
        <v>0</v>
      </c>
      <c r="Z236" s="65" t="n">
        <f aca="false">IF(Z$190=1,Inputs!$D$35,0)</f>
        <v>0</v>
      </c>
      <c r="AA236" s="65" t="n">
        <f aca="false">IF(AA$190=1,Inputs!$D$35,0)</f>
        <v>0</v>
      </c>
      <c r="AB236" s="65" t="n">
        <f aca="false">IF(AB$190=1,Inputs!$D$35,0)</f>
        <v>0</v>
      </c>
      <c r="AC236" s="65" t="n">
        <f aca="false">IF(AC$190=1,Inputs!$D$35,0)</f>
        <v>0</v>
      </c>
      <c r="AD236" s="65" t="n">
        <f aca="false">IF(AD$190=1,Inputs!$D$35,0)</f>
        <v>0</v>
      </c>
      <c r="AE236" s="65" t="n">
        <f aca="false">IF(AE$190=1,Inputs!$D$35,0)</f>
        <v>0</v>
      </c>
      <c r="AF236" s="65" t="n">
        <f aca="false">IF(AF$190=1,Inputs!$D$35,0)</f>
        <v>0</v>
      </c>
      <c r="AG236" s="65" t="n">
        <f aca="false">IF(AG$190=1,Inputs!$D$35,0)</f>
        <v>0</v>
      </c>
      <c r="AH236" s="65" t="n">
        <f aca="false">IF(AH$190=1,Inputs!$D$35,0)</f>
        <v>0</v>
      </c>
      <c r="AI236" s="65" t="n">
        <f aca="false">IF(AI$190=1,Inputs!$D$35,0)</f>
        <v>0</v>
      </c>
      <c r="AJ236" s="65" t="n">
        <f aca="false">IF(AJ$190=1,Inputs!$D$35,0)</f>
        <v>0</v>
      </c>
      <c r="AK236" s="65" t="n">
        <f aca="false">IF(AK$190=1,Inputs!$D$35,0)</f>
        <v>0</v>
      </c>
      <c r="AL236" s="65" t="n">
        <f aca="false">IF(AL$190=1,Inputs!$D$35,0)</f>
        <v>0</v>
      </c>
      <c r="AM236" s="65" t="n">
        <f aca="false">IF(AM$190=1,Inputs!$D$35,0)</f>
        <v>0</v>
      </c>
      <c r="AN236" s="65" t="n">
        <f aca="false">IF(AN$190=1,Inputs!$D$35,0)</f>
        <v>0</v>
      </c>
      <c r="AO236" s="65" t="n">
        <f aca="false">IF(AO$190=1,Inputs!$D$35,0)</f>
        <v>0</v>
      </c>
      <c r="AP236" s="65" t="n">
        <f aca="false">IF(AP$190=1,Inputs!$D$35,0)</f>
        <v>0</v>
      </c>
      <c r="AQ236" s="65" t="n">
        <f aca="false">IF(AQ$190=1,Inputs!$D$35,0)</f>
        <v>0</v>
      </c>
      <c r="AR236" s="65" t="n">
        <f aca="false">IF(AR$190=1,Inputs!$D$35,0)</f>
        <v>0</v>
      </c>
      <c r="AS236" s="65" t="n">
        <f aca="false">IF(AS$190=1,Inputs!$D$35,0)</f>
        <v>0</v>
      </c>
      <c r="AT236" s="65" t="n">
        <f aca="false">IF(AT$190=1,Inputs!$D$35,0)</f>
        <v>0</v>
      </c>
      <c r="AU236" s="65" t="n">
        <f aca="false">IF(AU$190=1,Inputs!$D$35,0)</f>
        <v>0</v>
      </c>
      <c r="AV236" s="65" t="n">
        <f aca="false">IF(AV$190=1,Inputs!$D$35,0)</f>
        <v>0</v>
      </c>
      <c r="AW236" s="65" t="n">
        <f aca="false">IF(AW$190=1,Inputs!$D$35,0)</f>
        <v>0</v>
      </c>
      <c r="AX236" s="65" t="n">
        <f aca="false">IF(AX$190=1,Inputs!$D$35,0)</f>
        <v>0</v>
      </c>
      <c r="AY236" s="65" t="n">
        <f aca="false">IF(AY$190=1,Inputs!$D$35,0)</f>
        <v>0</v>
      </c>
      <c r="AZ236" s="65" t="n">
        <f aca="false">IF(AZ$190=1,Inputs!$D$35,0)</f>
        <v>0</v>
      </c>
      <c r="BA236" s="65" t="n">
        <f aca="false">IF(BA$190=1,Inputs!$D$35,0)</f>
        <v>0</v>
      </c>
      <c r="BB236" s="65" t="n">
        <f aca="false">IF(BB$190=1,Inputs!$D$35,0)</f>
        <v>0</v>
      </c>
      <c r="BC236" s="65" t="n">
        <f aca="false">IF(BC$190=1,Inputs!$D$35,0)</f>
        <v>0</v>
      </c>
      <c r="BD236" s="65" t="n">
        <f aca="false">IF(BD$190=1,Inputs!$D$35,0)</f>
        <v>0</v>
      </c>
      <c r="BE236" s="65" t="n">
        <f aca="false">IF(BE$190=1,Inputs!$D$35,0)</f>
        <v>0</v>
      </c>
      <c r="BF236" s="65" t="n">
        <f aca="false">IF(BF$190=1,Inputs!$D$35,0)</f>
        <v>0</v>
      </c>
      <c r="BG236" s="65" t="n">
        <f aca="false">IF(BG$190=1,Inputs!$D$35,0)</f>
        <v>0</v>
      </c>
      <c r="BH236" s="65" t="n">
        <f aca="false">IF(BH$190=1,Inputs!$D$35,0)</f>
        <v>0</v>
      </c>
      <c r="BI236" s="65" t="n">
        <f aca="false">IF(BI$190=1,Inputs!$D$35,0)</f>
        <v>0</v>
      </c>
      <c r="BJ236" s="65" t="n">
        <f aca="false">IF(BJ$190=1,Inputs!$D$35,0)</f>
        <v>0</v>
      </c>
    </row>
    <row r="237" customFormat="false" ht="15" hidden="false" customHeight="false" outlineLevel="0" collapsed="false">
      <c r="A237" s="6" t="s">
        <v>433</v>
      </c>
      <c r="C237" s="65" t="n">
        <f aca="false">-PMT(Inputs!$D$36/12,MAX(1,Inputs!$D$37*12),Inputs!$D$35)</f>
        <v>7584.81628191557</v>
      </c>
      <c r="D237" s="65" t="n">
        <f aca="false">-PMT(Inputs!$D$36/12,MAX(1,Inputs!$D$37*12),Inputs!$D$35)</f>
        <v>7584.81628191557</v>
      </c>
      <c r="E237" s="65" t="n">
        <f aca="false">-PMT(Inputs!$D$36/12,MAX(1,Inputs!$D$37*12),Inputs!$D$35)</f>
        <v>7584.81628191557</v>
      </c>
      <c r="F237" s="65" t="n">
        <f aca="false">-PMT(Inputs!$D$36/12,MAX(1,Inputs!$D$37*12),Inputs!$D$35)</f>
        <v>7584.81628191557</v>
      </c>
      <c r="G237" s="65" t="n">
        <f aca="false">-PMT(Inputs!$D$36/12,MAX(1,Inputs!$D$37*12),Inputs!$D$35)</f>
        <v>7584.81628191557</v>
      </c>
      <c r="H237" s="65" t="n">
        <f aca="false">-PMT(Inputs!$D$36/12,MAX(1,Inputs!$D$37*12),Inputs!$D$35)</f>
        <v>7584.81628191557</v>
      </c>
      <c r="I237" s="65" t="n">
        <f aca="false">-PMT(Inputs!$D$36/12,MAX(1,Inputs!$D$37*12),Inputs!$D$35)</f>
        <v>7584.81628191557</v>
      </c>
      <c r="J237" s="65" t="n">
        <f aca="false">-PMT(Inputs!$D$36/12,MAX(1,Inputs!$D$37*12),Inputs!$D$35)</f>
        <v>7584.81628191557</v>
      </c>
      <c r="K237" s="65" t="n">
        <f aca="false">-PMT(Inputs!$D$36/12,MAX(1,Inputs!$D$37*12),Inputs!$D$35)</f>
        <v>7584.81628191557</v>
      </c>
      <c r="L237" s="65" t="n">
        <f aca="false">-PMT(Inputs!$D$36/12,MAX(1,Inputs!$D$37*12),Inputs!$D$35)</f>
        <v>7584.81628191557</v>
      </c>
      <c r="M237" s="65" t="n">
        <f aca="false">-PMT(Inputs!$D$36/12,MAX(1,Inputs!$D$37*12),Inputs!$D$35)</f>
        <v>7584.81628191557</v>
      </c>
      <c r="N237" s="65" t="n">
        <f aca="false">-PMT(Inputs!$D$36/12,MAX(1,Inputs!$D$37*12),Inputs!$D$35)</f>
        <v>7584.81628191557</v>
      </c>
      <c r="O237" s="65" t="n">
        <f aca="false">-PMT(Inputs!$D$36/12,MAX(1,Inputs!$D$37*12),Inputs!$D$35)</f>
        <v>7584.81628191557</v>
      </c>
      <c r="P237" s="65" t="n">
        <f aca="false">-PMT(Inputs!$D$36/12,MAX(1,Inputs!$D$37*12),Inputs!$D$35)</f>
        <v>7584.81628191557</v>
      </c>
      <c r="Q237" s="65" t="n">
        <f aca="false">-PMT(Inputs!$D$36/12,MAX(1,Inputs!$D$37*12),Inputs!$D$35)</f>
        <v>7584.81628191557</v>
      </c>
      <c r="R237" s="65" t="n">
        <f aca="false">-PMT(Inputs!$D$36/12,MAX(1,Inputs!$D$37*12),Inputs!$D$35)</f>
        <v>7584.81628191557</v>
      </c>
      <c r="S237" s="65" t="n">
        <f aca="false">-PMT(Inputs!$D$36/12,MAX(1,Inputs!$D$37*12),Inputs!$D$35)</f>
        <v>7584.81628191557</v>
      </c>
      <c r="T237" s="65" t="n">
        <f aca="false">-PMT(Inputs!$D$36/12,MAX(1,Inputs!$D$37*12),Inputs!$D$35)</f>
        <v>7584.81628191557</v>
      </c>
      <c r="U237" s="65" t="n">
        <f aca="false">-PMT(Inputs!$D$36/12,MAX(1,Inputs!$D$37*12),Inputs!$D$35)</f>
        <v>7584.81628191557</v>
      </c>
      <c r="V237" s="65" t="n">
        <f aca="false">-PMT(Inputs!$D$36/12,MAX(1,Inputs!$D$37*12),Inputs!$D$35)</f>
        <v>7584.81628191557</v>
      </c>
      <c r="W237" s="65" t="n">
        <f aca="false">-PMT(Inputs!$D$36/12,MAX(1,Inputs!$D$37*12),Inputs!$D$35)</f>
        <v>7584.81628191557</v>
      </c>
      <c r="X237" s="65" t="n">
        <f aca="false">-PMT(Inputs!$D$36/12,MAX(1,Inputs!$D$37*12),Inputs!$D$35)</f>
        <v>7584.81628191557</v>
      </c>
      <c r="Y237" s="65" t="n">
        <f aca="false">-PMT(Inputs!$D$36/12,MAX(1,Inputs!$D$37*12),Inputs!$D$35)</f>
        <v>7584.81628191557</v>
      </c>
      <c r="Z237" s="65" t="n">
        <f aca="false">-PMT(Inputs!$D$36/12,MAX(1,Inputs!$D$37*12),Inputs!$D$35)</f>
        <v>7584.81628191557</v>
      </c>
      <c r="AA237" s="65" t="n">
        <f aca="false">-PMT(Inputs!$D$36/12,MAX(1,Inputs!$D$37*12),Inputs!$D$35)</f>
        <v>7584.81628191557</v>
      </c>
      <c r="AB237" s="65" t="n">
        <f aca="false">-PMT(Inputs!$D$36/12,MAX(1,Inputs!$D$37*12),Inputs!$D$35)</f>
        <v>7584.81628191557</v>
      </c>
      <c r="AC237" s="65" t="n">
        <f aca="false">-PMT(Inputs!$D$36/12,MAX(1,Inputs!$D$37*12),Inputs!$D$35)</f>
        <v>7584.81628191557</v>
      </c>
      <c r="AD237" s="65" t="n">
        <f aca="false">-PMT(Inputs!$D$36/12,MAX(1,Inputs!$D$37*12),Inputs!$D$35)</f>
        <v>7584.81628191557</v>
      </c>
      <c r="AE237" s="65" t="n">
        <f aca="false">-PMT(Inputs!$D$36/12,MAX(1,Inputs!$D$37*12),Inputs!$D$35)</f>
        <v>7584.81628191557</v>
      </c>
      <c r="AF237" s="65" t="n">
        <f aca="false">-PMT(Inputs!$D$36/12,MAX(1,Inputs!$D$37*12),Inputs!$D$35)</f>
        <v>7584.81628191557</v>
      </c>
      <c r="AG237" s="65" t="n">
        <f aca="false">-PMT(Inputs!$D$36/12,MAX(1,Inputs!$D$37*12),Inputs!$D$35)</f>
        <v>7584.81628191557</v>
      </c>
      <c r="AH237" s="65" t="n">
        <f aca="false">-PMT(Inputs!$D$36/12,MAX(1,Inputs!$D$37*12),Inputs!$D$35)</f>
        <v>7584.81628191557</v>
      </c>
      <c r="AI237" s="65" t="n">
        <f aca="false">-PMT(Inputs!$D$36/12,MAX(1,Inputs!$D$37*12),Inputs!$D$35)</f>
        <v>7584.81628191557</v>
      </c>
      <c r="AJ237" s="65" t="n">
        <f aca="false">-PMT(Inputs!$D$36/12,MAX(1,Inputs!$D$37*12),Inputs!$D$35)</f>
        <v>7584.81628191557</v>
      </c>
      <c r="AK237" s="65" t="n">
        <f aca="false">-PMT(Inputs!$D$36/12,MAX(1,Inputs!$D$37*12),Inputs!$D$35)</f>
        <v>7584.81628191557</v>
      </c>
      <c r="AL237" s="65" t="n">
        <f aca="false">-PMT(Inputs!$D$36/12,MAX(1,Inputs!$D$37*12),Inputs!$D$35)</f>
        <v>7584.81628191557</v>
      </c>
      <c r="AM237" s="65" t="n">
        <f aca="false">-PMT(Inputs!$D$36/12,MAX(1,Inputs!$D$37*12),Inputs!$D$35)</f>
        <v>7584.81628191557</v>
      </c>
      <c r="AN237" s="65" t="n">
        <f aca="false">-PMT(Inputs!$D$36/12,MAX(1,Inputs!$D$37*12),Inputs!$D$35)</f>
        <v>7584.81628191557</v>
      </c>
      <c r="AO237" s="65" t="n">
        <f aca="false">-PMT(Inputs!$D$36/12,MAX(1,Inputs!$D$37*12),Inputs!$D$35)</f>
        <v>7584.81628191557</v>
      </c>
      <c r="AP237" s="65" t="n">
        <f aca="false">-PMT(Inputs!$D$36/12,MAX(1,Inputs!$D$37*12),Inputs!$D$35)</f>
        <v>7584.81628191557</v>
      </c>
      <c r="AQ237" s="65" t="n">
        <f aca="false">-PMT(Inputs!$D$36/12,MAX(1,Inputs!$D$37*12),Inputs!$D$35)</f>
        <v>7584.81628191557</v>
      </c>
      <c r="AR237" s="65" t="n">
        <f aca="false">-PMT(Inputs!$D$36/12,MAX(1,Inputs!$D$37*12),Inputs!$D$35)</f>
        <v>7584.81628191557</v>
      </c>
      <c r="AS237" s="65" t="n">
        <f aca="false">-PMT(Inputs!$D$36/12,MAX(1,Inputs!$D$37*12),Inputs!$D$35)</f>
        <v>7584.81628191557</v>
      </c>
      <c r="AT237" s="65" t="n">
        <f aca="false">-PMT(Inputs!$D$36/12,MAX(1,Inputs!$D$37*12),Inputs!$D$35)</f>
        <v>7584.81628191557</v>
      </c>
      <c r="AU237" s="65" t="n">
        <f aca="false">-PMT(Inputs!$D$36/12,MAX(1,Inputs!$D$37*12),Inputs!$D$35)</f>
        <v>7584.81628191557</v>
      </c>
      <c r="AV237" s="65" t="n">
        <f aca="false">-PMT(Inputs!$D$36/12,MAX(1,Inputs!$D$37*12),Inputs!$D$35)</f>
        <v>7584.81628191557</v>
      </c>
      <c r="AW237" s="65" t="n">
        <f aca="false">-PMT(Inputs!$D$36/12,MAX(1,Inputs!$D$37*12),Inputs!$D$35)</f>
        <v>7584.81628191557</v>
      </c>
      <c r="AX237" s="65" t="n">
        <f aca="false">-PMT(Inputs!$D$36/12,MAX(1,Inputs!$D$37*12),Inputs!$D$35)</f>
        <v>7584.81628191557</v>
      </c>
      <c r="AY237" s="65" t="n">
        <f aca="false">-PMT(Inputs!$D$36/12,MAX(1,Inputs!$D$37*12),Inputs!$D$35)</f>
        <v>7584.81628191557</v>
      </c>
      <c r="AZ237" s="65" t="n">
        <f aca="false">-PMT(Inputs!$D$36/12,MAX(1,Inputs!$D$37*12),Inputs!$D$35)</f>
        <v>7584.81628191557</v>
      </c>
      <c r="BA237" s="65" t="n">
        <f aca="false">-PMT(Inputs!$D$36/12,MAX(1,Inputs!$D$37*12),Inputs!$D$35)</f>
        <v>7584.81628191557</v>
      </c>
      <c r="BB237" s="65" t="n">
        <f aca="false">-PMT(Inputs!$D$36/12,MAX(1,Inputs!$D$37*12),Inputs!$D$35)</f>
        <v>7584.81628191557</v>
      </c>
      <c r="BC237" s="65" t="n">
        <f aca="false">-PMT(Inputs!$D$36/12,MAX(1,Inputs!$D$37*12),Inputs!$D$35)</f>
        <v>7584.81628191557</v>
      </c>
      <c r="BD237" s="65" t="n">
        <f aca="false">-PMT(Inputs!$D$36/12,MAX(1,Inputs!$D$37*12),Inputs!$D$35)</f>
        <v>7584.81628191557</v>
      </c>
      <c r="BE237" s="65" t="n">
        <f aca="false">-PMT(Inputs!$D$36/12,MAX(1,Inputs!$D$37*12),Inputs!$D$35)</f>
        <v>7584.81628191557</v>
      </c>
      <c r="BF237" s="65" t="n">
        <f aca="false">-PMT(Inputs!$D$36/12,MAX(1,Inputs!$D$37*12),Inputs!$D$35)</f>
        <v>7584.81628191557</v>
      </c>
      <c r="BG237" s="65" t="n">
        <f aca="false">-PMT(Inputs!$D$36/12,MAX(1,Inputs!$D$37*12),Inputs!$D$35)</f>
        <v>7584.81628191557</v>
      </c>
      <c r="BH237" s="65" t="n">
        <f aca="false">-PMT(Inputs!$D$36/12,MAX(1,Inputs!$D$37*12),Inputs!$D$35)</f>
        <v>7584.81628191557</v>
      </c>
      <c r="BI237" s="65" t="n">
        <f aca="false">-PMT(Inputs!$D$36/12,MAX(1,Inputs!$D$37*12),Inputs!$D$35)</f>
        <v>7584.81628191557</v>
      </c>
      <c r="BJ237" s="65" t="n">
        <f aca="false">-PMT(Inputs!$D$36/12,MAX(1,Inputs!$D$37*12),Inputs!$D$35)</f>
        <v>7584.81628191557</v>
      </c>
    </row>
    <row r="238" customFormat="false" ht="15" hidden="false" customHeight="false" outlineLevel="0" collapsed="false">
      <c r="A238" s="6" t="s">
        <v>434</v>
      </c>
      <c r="C238" s="65" t="n">
        <f aca="false">-MIN(C235+C236,C237+C216)</f>
        <v>-1084.81628191557</v>
      </c>
      <c r="D238" s="65" t="n">
        <f aca="false">-MIN(D235+D236,D237+D216)</f>
        <v>-1090.69237010927</v>
      </c>
      <c r="E238" s="65" t="n">
        <f aca="false">-MIN(E235+E236,E237+E216)</f>
        <v>-1096.60028711403</v>
      </c>
      <c r="F238" s="65" t="n">
        <f aca="false">-MIN(F235+F236,F237+F216)</f>
        <v>-1102.5402053359</v>
      </c>
      <c r="G238" s="65" t="n">
        <f aca="false">-MIN(G235+G236,G237+G216)</f>
        <v>-1108.5122981148</v>
      </c>
      <c r="H238" s="65" t="n">
        <f aca="false">-MIN(H235+H236,H237+H216)</f>
        <v>-1114.51673972959</v>
      </c>
      <c r="I238" s="65" t="n">
        <f aca="false">-MIN(I235+I236,I237+I216)</f>
        <v>-1120.55370540313</v>
      </c>
      <c r="J238" s="65" t="n">
        <f aca="false">-MIN(J235+J236,J237+J216)</f>
        <v>-1126.62337130739</v>
      </c>
      <c r="K238" s="65" t="n">
        <f aca="false">-MIN(K235+K236,K237+K216)</f>
        <v>-1132.72591456864</v>
      </c>
      <c r="L238" s="65" t="n">
        <f aca="false">-MIN(L235+L236,L237+L216)</f>
        <v>-1138.86151327256</v>
      </c>
      <c r="M238" s="65" t="n">
        <f aca="false">-MIN(M235+M236,M237+M216)</f>
        <v>-1145.03034646945</v>
      </c>
      <c r="N238" s="65" t="n">
        <f aca="false">-MIN(N235+N236,N237+N216)</f>
        <v>-1151.23259417949</v>
      </c>
      <c r="O238" s="65" t="n">
        <f aca="false">-MIN(O235+O236,O237+O216)</f>
        <v>-1157.46843739797</v>
      </c>
      <c r="P238" s="65" t="n">
        <f aca="false">-MIN(P235+P236,P237+P216)</f>
        <v>-1163.73805810054</v>
      </c>
      <c r="Q238" s="65" t="n">
        <f aca="false">-MIN(Q235+Q236,Q237+Q216)</f>
        <v>-1170.04163924858</v>
      </c>
      <c r="R238" s="65" t="n">
        <f aca="false">-MIN(R235+R236,R237+R216)</f>
        <v>-1176.37936479451</v>
      </c>
      <c r="S238" s="65" t="n">
        <f aca="false">-MIN(S235+S236,S237+S216)</f>
        <v>-1182.75141968715</v>
      </c>
      <c r="T238" s="65" t="n">
        <f aca="false">-MIN(T235+T236,T237+T216)</f>
        <v>-1189.15798987712</v>
      </c>
      <c r="U238" s="65" t="n">
        <f aca="false">-MIN(U235+U236,U237+U216)</f>
        <v>-1195.59926232229</v>
      </c>
      <c r="V238" s="65" t="n">
        <f aca="false">-MIN(V235+V236,V237+V216)</f>
        <v>-1202.0754249932</v>
      </c>
      <c r="W238" s="65" t="n">
        <f aca="false">-MIN(W235+W236,W237+W216)</f>
        <v>-1208.58666687858</v>
      </c>
      <c r="X238" s="65" t="n">
        <f aca="false">-MIN(X235+X236,X237+X216)</f>
        <v>-1215.13317799084</v>
      </c>
      <c r="Y238" s="65" t="n">
        <f aca="false">-MIN(Y235+Y236,Y237+Y216)</f>
        <v>-1221.71514937162</v>
      </c>
      <c r="Z238" s="65" t="n">
        <f aca="false">-MIN(Z235+Z236,Z237+Z216)</f>
        <v>-1228.33277309739</v>
      </c>
      <c r="AA238" s="65" t="n">
        <f aca="false">-MIN(AA235+AA236,AA237+AA216)</f>
        <v>-1234.986242285</v>
      </c>
      <c r="AB238" s="65" t="n">
        <f aca="false">-MIN(AB235+AB236,AB237+AB216)</f>
        <v>-1241.67575109737</v>
      </c>
      <c r="AC238" s="65" t="n">
        <f aca="false">-MIN(AC235+AC236,AC237+AC216)</f>
        <v>-1248.40149474915</v>
      </c>
      <c r="AD238" s="65" t="n">
        <f aca="false">-MIN(AD235+AD236,AD237+AD216)</f>
        <v>-1255.16366951237</v>
      </c>
      <c r="AE238" s="65" t="n">
        <f aca="false">-MIN(AE235+AE236,AE237+AE216)</f>
        <v>-1261.96247272223</v>
      </c>
      <c r="AF238" s="65" t="n">
        <f aca="false">-MIN(AF235+AF236,AF237+AF216)</f>
        <v>-1268.79810278281</v>
      </c>
      <c r="AG238" s="65" t="n">
        <f aca="false">-MIN(AG235+AG236,AG237+AG216)</f>
        <v>-1275.67075917288</v>
      </c>
      <c r="AH238" s="65" t="n">
        <f aca="false">-MIN(AH235+AH236,AH237+AH216)</f>
        <v>-1282.58064245174</v>
      </c>
      <c r="AI238" s="65" t="n">
        <f aca="false">-MIN(AI235+AI236,AI237+AI216)</f>
        <v>-1289.52795426502</v>
      </c>
      <c r="AJ238" s="65" t="n">
        <f aca="false">-MIN(AJ235+AJ236,AJ237+AJ216)</f>
        <v>-1296.51289735062</v>
      </c>
      <c r="AK238" s="65" t="n">
        <f aca="false">-MIN(AK235+AK236,AK237+AK216)</f>
        <v>-1303.5356755446</v>
      </c>
      <c r="AL238" s="65" t="n">
        <f aca="false">-MIN(AL235+AL236,AL237+AL216)</f>
        <v>-1310.59649378714</v>
      </c>
      <c r="AM238" s="65" t="n">
        <f aca="false">-MIN(AM235+AM236,AM237+AM216)</f>
        <v>-1317.69555812848</v>
      </c>
      <c r="AN238" s="65" t="n">
        <f aca="false">-MIN(AN235+AN236,AN237+AN216)</f>
        <v>-1324.83307573501</v>
      </c>
      <c r="AO238" s="65" t="n">
        <f aca="false">-MIN(AO235+AO236,AO237+AO216)</f>
        <v>-1332.00925489524</v>
      </c>
      <c r="AP238" s="65" t="n">
        <f aca="false">-MIN(AP235+AP236,AP237+AP216)</f>
        <v>-1339.22430502593</v>
      </c>
      <c r="AQ238" s="65" t="n">
        <f aca="false">-MIN(AQ235+AQ236,AQ237+AQ216)</f>
        <v>-1346.47843667815</v>
      </c>
      <c r="AR238" s="65" t="n">
        <f aca="false">-MIN(AR235+AR236,AR237+AR216)</f>
        <v>-1353.77186154349</v>
      </c>
      <c r="AS238" s="65" t="n">
        <f aca="false">-MIN(AS235+AS236,AS237+AS216)</f>
        <v>-1361.10479246018</v>
      </c>
      <c r="AT238" s="65" t="n">
        <f aca="false">-MIN(AT235+AT236,AT237+AT216)</f>
        <v>-1368.47744341934</v>
      </c>
      <c r="AU238" s="65" t="n">
        <f aca="false">-MIN(AU235+AU236,AU237+AU216)</f>
        <v>-1375.8900295712</v>
      </c>
      <c r="AV238" s="65" t="n">
        <f aca="false">-MIN(AV235+AV236,AV237+AV216)</f>
        <v>-1383.34276723137</v>
      </c>
      <c r="AW238" s="65" t="n">
        <f aca="false">-MIN(AW235+AW236,AW237+AW216)</f>
        <v>-1390.83587388721</v>
      </c>
      <c r="AX238" s="65" t="n">
        <f aca="false">-MIN(AX235+AX236,AX237+AX216)</f>
        <v>-1398.3695682041</v>
      </c>
      <c r="AY238" s="65" t="n">
        <f aca="false">-MIN(AY235+AY236,AY237+AY216)</f>
        <v>-1405.94407003187</v>
      </c>
      <c r="AZ238" s="65" t="n">
        <f aca="false">-MIN(AZ235+AZ236,AZ237+AZ216)</f>
        <v>-1413.55960041121</v>
      </c>
      <c r="BA238" s="65" t="n">
        <f aca="false">-MIN(BA235+BA236,BA237+BA216)</f>
        <v>-1421.21638158011</v>
      </c>
      <c r="BB238" s="65" t="n">
        <f aca="false">-MIN(BB235+BB236,BB237+BB216)</f>
        <v>-1428.91463698033</v>
      </c>
      <c r="BC238" s="65" t="n">
        <f aca="false">-MIN(BC235+BC236,BC237+BC216)</f>
        <v>-1436.65459126397</v>
      </c>
      <c r="BD238" s="65" t="n">
        <f aca="false">-MIN(BD235+BD236,BD237+BD216)</f>
        <v>-1444.43647029999</v>
      </c>
      <c r="BE238" s="65" t="n">
        <f aca="false">-MIN(BE235+BE236,BE237+BE216)</f>
        <v>-1452.26050118078</v>
      </c>
      <c r="BF238" s="65" t="n">
        <f aca="false">-MIN(BF235+BF236,BF237+BF216)</f>
        <v>-1460.12691222884</v>
      </c>
      <c r="BG238" s="65" t="n">
        <f aca="false">-MIN(BG235+BG236,BG237+BG216)</f>
        <v>-1468.03593300341</v>
      </c>
      <c r="BH238" s="65" t="n">
        <f aca="false">-MIN(BH235+BH236,BH237+BH216)</f>
        <v>-1475.98779430718</v>
      </c>
      <c r="BI238" s="65" t="n">
        <f aca="false">-MIN(BI235+BI236,BI237+BI216)</f>
        <v>-1483.98272819301</v>
      </c>
      <c r="BJ238" s="65" t="n">
        <f aca="false">-MIN(BJ235+BJ236,BJ237+BJ216)</f>
        <v>-1492.02096797073</v>
      </c>
    </row>
    <row r="239" customFormat="false" ht="15" hidden="false" customHeight="false" outlineLevel="0" collapsed="false">
      <c r="A239" s="6" t="s">
        <v>61</v>
      </c>
      <c r="C239" s="65" t="n">
        <f aca="false">C216+C238</f>
        <v>-7584.81628191557</v>
      </c>
      <c r="D239" s="65" t="n">
        <f aca="false">D216+D238</f>
        <v>-7584.81628191557</v>
      </c>
      <c r="E239" s="65" t="n">
        <f aca="false">E216+E238</f>
        <v>-7584.81628191557</v>
      </c>
      <c r="F239" s="65" t="n">
        <f aca="false">F216+F238</f>
        <v>-7584.81628191557</v>
      </c>
      <c r="G239" s="65" t="n">
        <f aca="false">G216+G238</f>
        <v>-7584.81628191557</v>
      </c>
      <c r="H239" s="65" t="n">
        <f aca="false">H216+H238</f>
        <v>-7584.81628191557</v>
      </c>
      <c r="I239" s="65" t="n">
        <f aca="false">I216+I238</f>
        <v>-7584.81628191557</v>
      </c>
      <c r="J239" s="65" t="n">
        <f aca="false">J216+J238</f>
        <v>-7584.81628191557</v>
      </c>
      <c r="K239" s="65" t="n">
        <f aca="false">K216+K238</f>
        <v>-7584.81628191557</v>
      </c>
      <c r="L239" s="65" t="n">
        <f aca="false">L216+L238</f>
        <v>-7584.81628191557</v>
      </c>
      <c r="M239" s="65" t="n">
        <f aca="false">M216+M238</f>
        <v>-7584.81628191557</v>
      </c>
      <c r="N239" s="65" t="n">
        <f aca="false">N216+N238</f>
        <v>-7584.81628191557</v>
      </c>
      <c r="O239" s="65" t="n">
        <f aca="false">O216+O238</f>
        <v>-7584.81628191557</v>
      </c>
      <c r="P239" s="65" t="n">
        <f aca="false">P216+P238</f>
        <v>-7584.81628191557</v>
      </c>
      <c r="Q239" s="65" t="n">
        <f aca="false">Q216+Q238</f>
        <v>-7584.81628191557</v>
      </c>
      <c r="R239" s="65" t="n">
        <f aca="false">R216+R238</f>
        <v>-7584.81628191557</v>
      </c>
      <c r="S239" s="65" t="n">
        <f aca="false">S216+S238</f>
        <v>-7584.81628191557</v>
      </c>
      <c r="T239" s="65" t="n">
        <f aca="false">T216+T238</f>
        <v>-7584.81628191557</v>
      </c>
      <c r="U239" s="65" t="n">
        <f aca="false">U216+U238</f>
        <v>-7584.81628191557</v>
      </c>
      <c r="V239" s="65" t="n">
        <f aca="false">V216+V238</f>
        <v>-7584.81628191557</v>
      </c>
      <c r="W239" s="65" t="n">
        <f aca="false">W216+W238</f>
        <v>-7584.81628191557</v>
      </c>
      <c r="X239" s="65" t="n">
        <f aca="false">X216+X238</f>
        <v>-7584.81628191557</v>
      </c>
      <c r="Y239" s="65" t="n">
        <f aca="false">Y216+Y238</f>
        <v>-7584.81628191557</v>
      </c>
      <c r="Z239" s="65" t="n">
        <f aca="false">Z216+Z238</f>
        <v>-7584.81628191557</v>
      </c>
      <c r="AA239" s="65" t="n">
        <f aca="false">AA216+AA238</f>
        <v>-7584.81628191557</v>
      </c>
      <c r="AB239" s="65" t="n">
        <f aca="false">AB216+AB238</f>
        <v>-7584.81628191557</v>
      </c>
      <c r="AC239" s="65" t="n">
        <f aca="false">AC216+AC238</f>
        <v>-7584.81628191557</v>
      </c>
      <c r="AD239" s="65" t="n">
        <f aca="false">AD216+AD238</f>
        <v>-7584.81628191557</v>
      </c>
      <c r="AE239" s="65" t="n">
        <f aca="false">AE216+AE238</f>
        <v>-7584.81628191557</v>
      </c>
      <c r="AF239" s="65" t="n">
        <f aca="false">AF216+AF238</f>
        <v>-7584.81628191557</v>
      </c>
      <c r="AG239" s="65" t="n">
        <f aca="false">AG216+AG238</f>
        <v>-7584.81628191557</v>
      </c>
      <c r="AH239" s="65" t="n">
        <f aca="false">AH216+AH238</f>
        <v>-7584.81628191557</v>
      </c>
      <c r="AI239" s="65" t="n">
        <f aca="false">AI216+AI238</f>
        <v>-7584.81628191557</v>
      </c>
      <c r="AJ239" s="65" t="n">
        <f aca="false">AJ216+AJ238</f>
        <v>-7584.81628191557</v>
      </c>
      <c r="AK239" s="65" t="n">
        <f aca="false">AK216+AK238</f>
        <v>-7584.81628191557</v>
      </c>
      <c r="AL239" s="65" t="n">
        <f aca="false">AL216+AL238</f>
        <v>-7584.81628191557</v>
      </c>
      <c r="AM239" s="65" t="n">
        <f aca="false">AM216+AM238</f>
        <v>-7584.81628191557</v>
      </c>
      <c r="AN239" s="65" t="n">
        <f aca="false">AN216+AN238</f>
        <v>-7584.81628191557</v>
      </c>
      <c r="AO239" s="65" t="n">
        <f aca="false">AO216+AO238</f>
        <v>-7584.81628191557</v>
      </c>
      <c r="AP239" s="65" t="n">
        <f aca="false">AP216+AP238</f>
        <v>-7584.81628191557</v>
      </c>
      <c r="AQ239" s="65" t="n">
        <f aca="false">AQ216+AQ238</f>
        <v>-7584.81628191557</v>
      </c>
      <c r="AR239" s="65" t="n">
        <f aca="false">AR216+AR238</f>
        <v>-7584.81628191557</v>
      </c>
      <c r="AS239" s="65" t="n">
        <f aca="false">AS216+AS238</f>
        <v>-7584.81628191557</v>
      </c>
      <c r="AT239" s="65" t="n">
        <f aca="false">AT216+AT238</f>
        <v>-7584.81628191557</v>
      </c>
      <c r="AU239" s="65" t="n">
        <f aca="false">AU216+AU238</f>
        <v>-7584.81628191557</v>
      </c>
      <c r="AV239" s="65" t="n">
        <f aca="false">AV216+AV238</f>
        <v>-7584.81628191557</v>
      </c>
      <c r="AW239" s="65" t="n">
        <f aca="false">AW216+AW238</f>
        <v>-7584.81628191557</v>
      </c>
      <c r="AX239" s="65" t="n">
        <f aca="false">AX216+AX238</f>
        <v>-7584.81628191557</v>
      </c>
      <c r="AY239" s="65" t="n">
        <f aca="false">AY216+AY238</f>
        <v>-7584.81628191557</v>
      </c>
      <c r="AZ239" s="65" t="n">
        <f aca="false">AZ216+AZ238</f>
        <v>-7584.81628191557</v>
      </c>
      <c r="BA239" s="65" t="n">
        <f aca="false">BA216+BA238</f>
        <v>-7584.81628191557</v>
      </c>
      <c r="BB239" s="65" t="n">
        <f aca="false">BB216+BB238</f>
        <v>-7584.81628191557</v>
      </c>
      <c r="BC239" s="65" t="n">
        <f aca="false">BC216+BC238</f>
        <v>-7584.81628191557</v>
      </c>
      <c r="BD239" s="65" t="n">
        <f aca="false">BD216+BD238</f>
        <v>-7584.81628191557</v>
      </c>
      <c r="BE239" s="65" t="n">
        <f aca="false">BE216+BE238</f>
        <v>-7584.81628191557</v>
      </c>
      <c r="BF239" s="65" t="n">
        <f aca="false">BF216+BF238</f>
        <v>-7584.81628191557</v>
      </c>
      <c r="BG239" s="65" t="n">
        <f aca="false">BG216+BG238</f>
        <v>-7584.81628191557</v>
      </c>
      <c r="BH239" s="65" t="n">
        <f aca="false">BH216+BH238</f>
        <v>-7584.81628191557</v>
      </c>
      <c r="BI239" s="65" t="n">
        <f aca="false">BI216+BI238</f>
        <v>-7584.81628191557</v>
      </c>
      <c r="BJ239" s="65" t="n">
        <f aca="false">BJ216+BJ238</f>
        <v>-7584.81628191557</v>
      </c>
    </row>
    <row r="240" customFormat="false" ht="15" hidden="false" customHeight="false" outlineLevel="0" collapsed="false">
      <c r="A240" s="4" t="s">
        <v>435</v>
      </c>
      <c r="C240" s="71" t="n">
        <f aca="false">C235+C236+C238</f>
        <v>1198915.18371808</v>
      </c>
      <c r="D240" s="71" t="n">
        <f aca="false">D235+D236+D238</f>
        <v>1197824.49134798</v>
      </c>
      <c r="E240" s="71" t="n">
        <f aca="false">E235+E236+E238</f>
        <v>1196727.89106086</v>
      </c>
      <c r="F240" s="71" t="n">
        <f aca="false">F235+F236+F238</f>
        <v>1195625.35085553</v>
      </c>
      <c r="G240" s="71" t="n">
        <f aca="false">G235+G236+G238</f>
        <v>1194516.83855741</v>
      </c>
      <c r="H240" s="71" t="n">
        <f aca="false">H235+H236+H238</f>
        <v>1193402.32181768</v>
      </c>
      <c r="I240" s="71" t="n">
        <f aca="false">I235+I236+I238</f>
        <v>1192281.76811228</v>
      </c>
      <c r="J240" s="71" t="n">
        <f aca="false">J235+J236+J238</f>
        <v>1191155.14474097</v>
      </c>
      <c r="K240" s="71" t="n">
        <f aca="false">K235+K236+K238</f>
        <v>1190022.4188264</v>
      </c>
      <c r="L240" s="71" t="n">
        <f aca="false">L235+L236+L238</f>
        <v>1188883.55731313</v>
      </c>
      <c r="M240" s="71" t="n">
        <f aca="false">M235+M236+M238</f>
        <v>1187738.52696666</v>
      </c>
      <c r="N240" s="71" t="n">
        <f aca="false">N235+N236+N238</f>
        <v>1186587.29437248</v>
      </c>
      <c r="O240" s="71" t="n">
        <f aca="false">O235+O236+O238</f>
        <v>1185429.82593508</v>
      </c>
      <c r="P240" s="71" t="n">
        <f aca="false">P235+P236+P238</f>
        <v>1184266.08787698</v>
      </c>
      <c r="Q240" s="71" t="n">
        <f aca="false">Q235+Q236+Q238</f>
        <v>1183096.04623773</v>
      </c>
      <c r="R240" s="71" t="n">
        <f aca="false">R235+R236+R238</f>
        <v>1181919.66687294</v>
      </c>
      <c r="S240" s="71" t="n">
        <f aca="false">S235+S236+S238</f>
        <v>1180736.91545325</v>
      </c>
      <c r="T240" s="71" t="n">
        <f aca="false">T235+T236+T238</f>
        <v>1179547.75746337</v>
      </c>
      <c r="U240" s="71" t="n">
        <f aca="false">U235+U236+U238</f>
        <v>1178352.15820105</v>
      </c>
      <c r="V240" s="71" t="n">
        <f aca="false">V235+V236+V238</f>
        <v>1177150.08277606</v>
      </c>
      <c r="W240" s="71" t="n">
        <f aca="false">W235+W236+W238</f>
        <v>1175941.49610918</v>
      </c>
      <c r="X240" s="71" t="n">
        <f aca="false">X235+X236+X238</f>
        <v>1174726.36293119</v>
      </c>
      <c r="Y240" s="71" t="n">
        <f aca="false">Y235+Y236+Y238</f>
        <v>1173504.64778182</v>
      </c>
      <c r="Z240" s="71" t="n">
        <f aca="false">Z235+Z236+Z238</f>
        <v>1172276.31500872</v>
      </c>
      <c r="AA240" s="71" t="n">
        <f aca="false">AA235+AA236+AA238</f>
        <v>1171041.32876644</v>
      </c>
      <c r="AB240" s="71" t="n">
        <f aca="false">AB235+AB236+AB238</f>
        <v>1169799.65301534</v>
      </c>
      <c r="AC240" s="71" t="n">
        <f aca="false">AC235+AC236+AC238</f>
        <v>1168551.25152059</v>
      </c>
      <c r="AD240" s="71" t="n">
        <f aca="false">AD235+AD236+AD238</f>
        <v>1167296.08785108</v>
      </c>
      <c r="AE240" s="71" t="n">
        <f aca="false">AE235+AE236+AE238</f>
        <v>1166034.12537835</v>
      </c>
      <c r="AF240" s="71" t="n">
        <f aca="false">AF235+AF236+AF238</f>
        <v>1164765.32727557</v>
      </c>
      <c r="AG240" s="71" t="n">
        <f aca="false">AG235+AG236+AG238</f>
        <v>1163489.6565164</v>
      </c>
      <c r="AH240" s="71" t="n">
        <f aca="false">AH235+AH236+AH238</f>
        <v>1162207.07587395</v>
      </c>
      <c r="AI240" s="71" t="n">
        <f aca="false">AI235+AI236+AI238</f>
        <v>1160917.54791968</v>
      </c>
      <c r="AJ240" s="71" t="n">
        <f aca="false">AJ235+AJ236+AJ238</f>
        <v>1159621.03502233</v>
      </c>
      <c r="AK240" s="71" t="n">
        <f aca="false">AK235+AK236+AK238</f>
        <v>1158317.49934679</v>
      </c>
      <c r="AL240" s="71" t="n">
        <f aca="false">AL235+AL236+AL238</f>
        <v>1157006.902853</v>
      </c>
      <c r="AM240" s="71" t="n">
        <f aca="false">AM235+AM236+AM238</f>
        <v>1155689.20729487</v>
      </c>
      <c r="AN240" s="71" t="n">
        <f aca="false">AN235+AN236+AN238</f>
        <v>1154364.37421914</v>
      </c>
      <c r="AO240" s="71" t="n">
        <f aca="false">AO235+AO236+AO238</f>
        <v>1153032.36496424</v>
      </c>
      <c r="AP240" s="71" t="n">
        <f aca="false">AP235+AP236+AP238</f>
        <v>1151693.14065922</v>
      </c>
      <c r="AQ240" s="71" t="n">
        <f aca="false">AQ235+AQ236+AQ238</f>
        <v>1150346.66222254</v>
      </c>
      <c r="AR240" s="71" t="n">
        <f aca="false">AR235+AR236+AR238</f>
        <v>1148992.89036099</v>
      </c>
      <c r="AS240" s="71" t="n">
        <f aca="false">AS235+AS236+AS238</f>
        <v>1147631.78556853</v>
      </c>
      <c r="AT240" s="71" t="n">
        <f aca="false">AT235+AT236+AT238</f>
        <v>1146263.30812511</v>
      </c>
      <c r="AU240" s="71" t="n">
        <f aca="false">AU235+AU236+AU238</f>
        <v>1144887.41809554</v>
      </c>
      <c r="AV240" s="71" t="n">
        <f aca="false">AV235+AV236+AV238</f>
        <v>1143504.07532831</v>
      </c>
      <c r="AW240" s="71" t="n">
        <f aca="false">AW235+AW236+AW238</f>
        <v>1142113.23945442</v>
      </c>
      <c r="AX240" s="71" t="n">
        <f aca="false">AX235+AX236+AX238</f>
        <v>1140714.86988622</v>
      </c>
      <c r="AY240" s="71" t="n">
        <f aca="false">AY235+AY236+AY238</f>
        <v>1139308.92581619</v>
      </c>
      <c r="AZ240" s="71" t="n">
        <f aca="false">AZ235+AZ236+AZ238</f>
        <v>1137895.36621578</v>
      </c>
      <c r="BA240" s="71" t="n">
        <f aca="false">BA235+BA236+BA238</f>
        <v>1136474.1498342</v>
      </c>
      <c r="BB240" s="71" t="n">
        <f aca="false">BB235+BB236+BB238</f>
        <v>1135045.23519722</v>
      </c>
      <c r="BC240" s="71" t="n">
        <f aca="false">BC235+BC236+BC238</f>
        <v>1133608.58060595</v>
      </c>
      <c r="BD240" s="71" t="n">
        <f aca="false">BD235+BD236+BD238</f>
        <v>1132164.14413565</v>
      </c>
      <c r="BE240" s="71" t="n">
        <f aca="false">BE235+BE236+BE238</f>
        <v>1130711.88363447</v>
      </c>
      <c r="BF240" s="71" t="n">
        <f aca="false">BF235+BF236+BF238</f>
        <v>1129251.75672224</v>
      </c>
      <c r="BG240" s="71" t="n">
        <f aca="false">BG235+BG236+BG238</f>
        <v>1127783.72078924</v>
      </c>
      <c r="BH240" s="71" t="n">
        <f aca="false">BH235+BH236+BH238</f>
        <v>1126307.73299493</v>
      </c>
      <c r="BI240" s="71" t="n">
        <f aca="false">BI235+BI236+BI238</f>
        <v>1124823.75026674</v>
      </c>
      <c r="BJ240" s="71" t="n">
        <f aca="false">BJ235+BJ236+BJ238</f>
        <v>1123331.72929877</v>
      </c>
    </row>
    <row r="242" customFormat="false" ht="15.75" hidden="false" customHeight="true" outlineLevel="0" collapsed="false">
      <c r="A242" s="7" t="s">
        <v>324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customFormat="false" ht="15" hidden="false" customHeight="false" outlineLevel="0" collapsed="false">
      <c r="A243" s="6" t="s">
        <v>90</v>
      </c>
      <c r="C243" s="65" t="n">
        <f aca="false">C198*Inputs!$D$40/30</f>
        <v>0</v>
      </c>
      <c r="D243" s="65" t="n">
        <f aca="false">D198*Inputs!$D$40/30</f>
        <v>0</v>
      </c>
      <c r="E243" s="65" t="n">
        <f aca="false">E198*Inputs!$D$40/30</f>
        <v>0</v>
      </c>
      <c r="F243" s="65" t="n">
        <f aca="false">F198*Inputs!$D$40/30</f>
        <v>0</v>
      </c>
      <c r="G243" s="65" t="n">
        <f aca="false">G198*Inputs!$D$40/30</f>
        <v>0</v>
      </c>
      <c r="H243" s="65" t="n">
        <f aca="false">H198*Inputs!$D$40/30</f>
        <v>0</v>
      </c>
      <c r="I243" s="65" t="n">
        <f aca="false">I198*Inputs!$D$40/30</f>
        <v>0</v>
      </c>
      <c r="J243" s="65" t="n">
        <f aca="false">J198*Inputs!$D$40/30</f>
        <v>0</v>
      </c>
      <c r="K243" s="65" t="n">
        <f aca="false">K198*Inputs!$D$40/30</f>
        <v>0</v>
      </c>
      <c r="L243" s="65" t="n">
        <f aca="false">L198*Inputs!$D$40/30</f>
        <v>0</v>
      </c>
      <c r="M243" s="65" t="n">
        <f aca="false">M198*Inputs!$D$40/30</f>
        <v>0</v>
      </c>
      <c r="N243" s="65" t="n">
        <f aca="false">N198*Inputs!$D$40/30</f>
        <v>0</v>
      </c>
      <c r="O243" s="65" t="n">
        <f aca="false">O198*Inputs!$D$40/30</f>
        <v>0</v>
      </c>
      <c r="P243" s="65" t="n">
        <f aca="false">P198*Inputs!$D$40/30</f>
        <v>0</v>
      </c>
      <c r="Q243" s="65" t="n">
        <f aca="false">Q198*Inputs!$D$40/30</f>
        <v>0</v>
      </c>
      <c r="R243" s="65" t="n">
        <f aca="false">R198*Inputs!$D$40/30</f>
        <v>0</v>
      </c>
      <c r="S243" s="65" t="n">
        <f aca="false">S198*Inputs!$D$40/30</f>
        <v>0</v>
      </c>
      <c r="T243" s="65" t="n">
        <f aca="false">T198*Inputs!$D$40/30</f>
        <v>0</v>
      </c>
      <c r="U243" s="65" t="n">
        <f aca="false">U198*Inputs!$D$40/30</f>
        <v>0</v>
      </c>
      <c r="V243" s="65" t="n">
        <f aca="false">V198*Inputs!$D$40/30</f>
        <v>0</v>
      </c>
      <c r="W243" s="65" t="n">
        <f aca="false">W198*Inputs!$D$40/30</f>
        <v>0</v>
      </c>
      <c r="X243" s="65" t="n">
        <f aca="false">X198*Inputs!$D$40/30</f>
        <v>0</v>
      </c>
      <c r="Y243" s="65" t="n">
        <f aca="false">Y198*Inputs!$D$40/30</f>
        <v>0</v>
      </c>
      <c r="Z243" s="65" t="n">
        <f aca="false">Z198*Inputs!$D$40/30</f>
        <v>0</v>
      </c>
      <c r="AA243" s="65" t="n">
        <f aca="false">AA198*Inputs!$D$40/30</f>
        <v>0</v>
      </c>
      <c r="AB243" s="65" t="n">
        <f aca="false">AB198*Inputs!$D$40/30</f>
        <v>0</v>
      </c>
      <c r="AC243" s="65" t="n">
        <f aca="false">AC198*Inputs!$D$40/30</f>
        <v>0</v>
      </c>
      <c r="AD243" s="65" t="n">
        <f aca="false">AD198*Inputs!$D$40/30</f>
        <v>0</v>
      </c>
      <c r="AE243" s="65" t="n">
        <f aca="false">AE198*Inputs!$D$40/30</f>
        <v>0</v>
      </c>
      <c r="AF243" s="65" t="n">
        <f aca="false">AF198*Inputs!$D$40/30</f>
        <v>0</v>
      </c>
      <c r="AG243" s="65" t="n">
        <f aca="false">AG198*Inputs!$D$40/30</f>
        <v>0</v>
      </c>
      <c r="AH243" s="65" t="n">
        <f aca="false">AH198*Inputs!$D$40/30</f>
        <v>0</v>
      </c>
      <c r="AI243" s="65" t="n">
        <f aca="false">AI198*Inputs!$D$40/30</f>
        <v>0</v>
      </c>
      <c r="AJ243" s="65" t="n">
        <f aca="false">AJ198*Inputs!$D$40/30</f>
        <v>0</v>
      </c>
      <c r="AK243" s="65" t="n">
        <f aca="false">AK198*Inputs!$D$40/30</f>
        <v>0</v>
      </c>
      <c r="AL243" s="65" t="n">
        <f aca="false">AL198*Inputs!$D$40/30</f>
        <v>0</v>
      </c>
      <c r="AM243" s="65" t="n">
        <f aca="false">AM198*Inputs!$D$40/30</f>
        <v>0</v>
      </c>
      <c r="AN243" s="65" t="n">
        <f aca="false">AN198*Inputs!$D$40/30</f>
        <v>0</v>
      </c>
      <c r="AO243" s="65" t="n">
        <f aca="false">AO198*Inputs!$D$40/30</f>
        <v>0</v>
      </c>
      <c r="AP243" s="65" t="n">
        <f aca="false">AP198*Inputs!$D$40/30</f>
        <v>0</v>
      </c>
      <c r="AQ243" s="65" t="n">
        <f aca="false">AQ198*Inputs!$D$40/30</f>
        <v>0</v>
      </c>
      <c r="AR243" s="65" t="n">
        <f aca="false">AR198*Inputs!$D$40/30</f>
        <v>0</v>
      </c>
      <c r="AS243" s="65" t="n">
        <f aca="false">AS198*Inputs!$D$40/30</f>
        <v>0</v>
      </c>
      <c r="AT243" s="65" t="n">
        <f aca="false">AT198*Inputs!$D$40/30</f>
        <v>0</v>
      </c>
      <c r="AU243" s="65" t="n">
        <f aca="false">AU198*Inputs!$D$40/30</f>
        <v>0</v>
      </c>
      <c r="AV243" s="65" t="n">
        <f aca="false">AV198*Inputs!$D$40/30</f>
        <v>0</v>
      </c>
      <c r="AW243" s="65" t="n">
        <f aca="false">AW198*Inputs!$D$40/30</f>
        <v>0</v>
      </c>
      <c r="AX243" s="65" t="n">
        <f aca="false">AX198*Inputs!$D$40/30</f>
        <v>0</v>
      </c>
      <c r="AY243" s="65" t="n">
        <f aca="false">AY198*Inputs!$D$40/30</f>
        <v>0</v>
      </c>
      <c r="AZ243" s="65" t="n">
        <f aca="false">AZ198*Inputs!$D$40/30</f>
        <v>0</v>
      </c>
      <c r="BA243" s="65" t="n">
        <f aca="false">BA198*Inputs!$D$40/30</f>
        <v>0</v>
      </c>
      <c r="BB243" s="65" t="n">
        <f aca="false">BB198*Inputs!$D$40/30</f>
        <v>0</v>
      </c>
      <c r="BC243" s="65" t="n">
        <f aca="false">BC198*Inputs!$D$40/30</f>
        <v>0</v>
      </c>
      <c r="BD243" s="65" t="n">
        <f aca="false">BD198*Inputs!$D$40/30</f>
        <v>0</v>
      </c>
      <c r="BE243" s="65" t="n">
        <f aca="false">BE198*Inputs!$D$40/30</f>
        <v>0</v>
      </c>
      <c r="BF243" s="65" t="n">
        <f aca="false">BF198*Inputs!$D$40/30</f>
        <v>0</v>
      </c>
      <c r="BG243" s="65" t="n">
        <f aca="false">BG198*Inputs!$D$40/30</f>
        <v>0</v>
      </c>
      <c r="BH243" s="65" t="n">
        <f aca="false">BH198*Inputs!$D$40/30</f>
        <v>0</v>
      </c>
      <c r="BI243" s="65" t="n">
        <f aca="false">BI198*Inputs!$D$40/30</f>
        <v>0</v>
      </c>
      <c r="BJ243" s="65" t="n">
        <f aca="false">BJ198*Inputs!$D$40/30</f>
        <v>0</v>
      </c>
    </row>
    <row r="244" customFormat="false" ht="15" hidden="false" customHeight="false" outlineLevel="0" collapsed="false">
      <c r="A244" s="6" t="s">
        <v>91</v>
      </c>
      <c r="C244" s="65" t="n">
        <f aca="false">-C203*Inputs!$D$41/30</f>
        <v>0</v>
      </c>
      <c r="D244" s="65" t="n">
        <f aca="false">-D203*Inputs!$D$41/30</f>
        <v>0</v>
      </c>
      <c r="E244" s="65" t="n">
        <f aca="false">-E203*Inputs!$D$41/30</f>
        <v>0</v>
      </c>
      <c r="F244" s="65" t="n">
        <f aca="false">-F203*Inputs!$D$41/30</f>
        <v>0</v>
      </c>
      <c r="G244" s="65" t="n">
        <f aca="false">-G203*Inputs!$D$41/30</f>
        <v>0</v>
      </c>
      <c r="H244" s="65" t="n">
        <f aca="false">-H203*Inputs!$D$41/30</f>
        <v>0</v>
      </c>
      <c r="I244" s="65" t="n">
        <f aca="false">-I203*Inputs!$D$41/30</f>
        <v>0</v>
      </c>
      <c r="J244" s="65" t="n">
        <f aca="false">-J203*Inputs!$D$41/30</f>
        <v>0</v>
      </c>
      <c r="K244" s="65" t="n">
        <f aca="false">-K203*Inputs!$D$41/30</f>
        <v>0</v>
      </c>
      <c r="L244" s="65" t="n">
        <f aca="false">-L203*Inputs!$D$41/30</f>
        <v>0</v>
      </c>
      <c r="M244" s="65" t="n">
        <f aca="false">-M203*Inputs!$D$41/30</f>
        <v>0</v>
      </c>
      <c r="N244" s="65" t="n">
        <f aca="false">-N203*Inputs!$D$41/30</f>
        <v>0</v>
      </c>
      <c r="O244" s="65" t="n">
        <f aca="false">-O203*Inputs!$D$41/30</f>
        <v>0</v>
      </c>
      <c r="P244" s="65" t="n">
        <f aca="false">-P203*Inputs!$D$41/30</f>
        <v>0</v>
      </c>
      <c r="Q244" s="65" t="n">
        <f aca="false">-Q203*Inputs!$D$41/30</f>
        <v>0</v>
      </c>
      <c r="R244" s="65" t="n">
        <f aca="false">-R203*Inputs!$D$41/30</f>
        <v>0</v>
      </c>
      <c r="S244" s="65" t="n">
        <f aca="false">-S203*Inputs!$D$41/30</f>
        <v>0</v>
      </c>
      <c r="T244" s="65" t="n">
        <f aca="false">-T203*Inputs!$D$41/30</f>
        <v>0</v>
      </c>
      <c r="U244" s="65" t="n">
        <f aca="false">-U203*Inputs!$D$41/30</f>
        <v>0</v>
      </c>
      <c r="V244" s="65" t="n">
        <f aca="false">-V203*Inputs!$D$41/30</f>
        <v>0</v>
      </c>
      <c r="W244" s="65" t="n">
        <f aca="false">-W203*Inputs!$D$41/30</f>
        <v>0</v>
      </c>
      <c r="X244" s="65" t="n">
        <f aca="false">-X203*Inputs!$D$41/30</f>
        <v>0</v>
      </c>
      <c r="Y244" s="65" t="n">
        <f aca="false">-Y203*Inputs!$D$41/30</f>
        <v>0</v>
      </c>
      <c r="Z244" s="65" t="n">
        <f aca="false">-Z203*Inputs!$D$41/30</f>
        <v>0</v>
      </c>
      <c r="AA244" s="65" t="n">
        <f aca="false">-AA203*Inputs!$D$41/30</f>
        <v>0</v>
      </c>
      <c r="AB244" s="65" t="n">
        <f aca="false">-AB203*Inputs!$D$41/30</f>
        <v>0</v>
      </c>
      <c r="AC244" s="65" t="n">
        <f aca="false">-AC203*Inputs!$D$41/30</f>
        <v>0</v>
      </c>
      <c r="AD244" s="65" t="n">
        <f aca="false">-AD203*Inputs!$D$41/30</f>
        <v>0</v>
      </c>
      <c r="AE244" s="65" t="n">
        <f aca="false">-AE203*Inputs!$D$41/30</f>
        <v>0</v>
      </c>
      <c r="AF244" s="65" t="n">
        <f aca="false">-AF203*Inputs!$D$41/30</f>
        <v>0</v>
      </c>
      <c r="AG244" s="65" t="n">
        <f aca="false">-AG203*Inputs!$D$41/30</f>
        <v>0</v>
      </c>
      <c r="AH244" s="65" t="n">
        <f aca="false">-AH203*Inputs!$D$41/30</f>
        <v>0</v>
      </c>
      <c r="AI244" s="65" t="n">
        <f aca="false">-AI203*Inputs!$D$41/30</f>
        <v>0</v>
      </c>
      <c r="AJ244" s="65" t="n">
        <f aca="false">-AJ203*Inputs!$D$41/30</f>
        <v>0</v>
      </c>
      <c r="AK244" s="65" t="n">
        <f aca="false">-AK203*Inputs!$D$41/30</f>
        <v>0</v>
      </c>
      <c r="AL244" s="65" t="n">
        <f aca="false">-AL203*Inputs!$D$41/30</f>
        <v>0</v>
      </c>
      <c r="AM244" s="65" t="n">
        <f aca="false">-AM203*Inputs!$D$41/30</f>
        <v>0</v>
      </c>
      <c r="AN244" s="65" t="n">
        <f aca="false">-AN203*Inputs!$D$41/30</f>
        <v>0</v>
      </c>
      <c r="AO244" s="65" t="n">
        <f aca="false">-AO203*Inputs!$D$41/30</f>
        <v>0</v>
      </c>
      <c r="AP244" s="65" t="n">
        <f aca="false">-AP203*Inputs!$D$41/30</f>
        <v>0</v>
      </c>
      <c r="AQ244" s="65" t="n">
        <f aca="false">-AQ203*Inputs!$D$41/30</f>
        <v>0</v>
      </c>
      <c r="AR244" s="65" t="n">
        <f aca="false">-AR203*Inputs!$D$41/30</f>
        <v>0</v>
      </c>
      <c r="AS244" s="65" t="n">
        <f aca="false">-AS203*Inputs!$D$41/30</f>
        <v>0</v>
      </c>
      <c r="AT244" s="65" t="n">
        <f aca="false">-AT203*Inputs!$D$41/30</f>
        <v>0</v>
      </c>
      <c r="AU244" s="65" t="n">
        <f aca="false">-AU203*Inputs!$D$41/30</f>
        <v>0</v>
      </c>
      <c r="AV244" s="65" t="n">
        <f aca="false">-AV203*Inputs!$D$41/30</f>
        <v>0</v>
      </c>
      <c r="AW244" s="65" t="n">
        <f aca="false">-AW203*Inputs!$D$41/30</f>
        <v>0</v>
      </c>
      <c r="AX244" s="65" t="n">
        <f aca="false">-AX203*Inputs!$D$41/30</f>
        <v>0</v>
      </c>
      <c r="AY244" s="65" t="n">
        <f aca="false">-AY203*Inputs!$D$41/30</f>
        <v>0</v>
      </c>
      <c r="AZ244" s="65" t="n">
        <f aca="false">-AZ203*Inputs!$D$41/30</f>
        <v>0</v>
      </c>
      <c r="BA244" s="65" t="n">
        <f aca="false">-BA203*Inputs!$D$41/30</f>
        <v>0</v>
      </c>
      <c r="BB244" s="65" t="n">
        <f aca="false">-BB203*Inputs!$D$41/30</f>
        <v>0</v>
      </c>
      <c r="BC244" s="65" t="n">
        <f aca="false">-BC203*Inputs!$D$41/30</f>
        <v>0</v>
      </c>
      <c r="BD244" s="65" t="n">
        <f aca="false">-BD203*Inputs!$D$41/30</f>
        <v>0</v>
      </c>
      <c r="BE244" s="65" t="n">
        <f aca="false">-BE203*Inputs!$D$41/30</f>
        <v>0</v>
      </c>
      <c r="BF244" s="65" t="n">
        <f aca="false">-BF203*Inputs!$D$41/30</f>
        <v>0</v>
      </c>
      <c r="BG244" s="65" t="n">
        <f aca="false">-BG203*Inputs!$D$41/30</f>
        <v>0</v>
      </c>
      <c r="BH244" s="65" t="n">
        <f aca="false">-BH203*Inputs!$D$41/30</f>
        <v>0</v>
      </c>
      <c r="BI244" s="65" t="n">
        <f aca="false">-BI203*Inputs!$D$41/30</f>
        <v>0</v>
      </c>
      <c r="BJ244" s="65" t="n">
        <f aca="false">-BJ203*Inputs!$D$41/30</f>
        <v>0</v>
      </c>
    </row>
    <row r="245" customFormat="false" ht="15" hidden="false" customHeight="false" outlineLevel="0" collapsed="false">
      <c r="A245" s="6" t="s">
        <v>94</v>
      </c>
      <c r="C245" s="65" t="n">
        <f aca="false">-C203*Inputs!$D$42/30</f>
        <v>882</v>
      </c>
      <c r="D245" s="65" t="n">
        <f aca="false">-D203*Inputs!$D$42/30</f>
        <v>882</v>
      </c>
      <c r="E245" s="65" t="n">
        <f aca="false">-E203*Inputs!$D$42/30</f>
        <v>882</v>
      </c>
      <c r="F245" s="65" t="n">
        <f aca="false">-F203*Inputs!$D$42/30</f>
        <v>882</v>
      </c>
      <c r="G245" s="65" t="n">
        <f aca="false">-G203*Inputs!$D$42/30</f>
        <v>882</v>
      </c>
      <c r="H245" s="65" t="n">
        <f aca="false">-H203*Inputs!$D$42/30</f>
        <v>882</v>
      </c>
      <c r="I245" s="65" t="n">
        <f aca="false">-I203*Inputs!$D$42/30</f>
        <v>882</v>
      </c>
      <c r="J245" s="65" t="n">
        <f aca="false">-J203*Inputs!$D$42/30</f>
        <v>882</v>
      </c>
      <c r="K245" s="65" t="n">
        <f aca="false">-K203*Inputs!$D$42/30</f>
        <v>882</v>
      </c>
      <c r="L245" s="65" t="n">
        <f aca="false">-L203*Inputs!$D$42/30</f>
        <v>882</v>
      </c>
      <c r="M245" s="65" t="n">
        <f aca="false">-M203*Inputs!$D$42/30</f>
        <v>882</v>
      </c>
      <c r="N245" s="65" t="n">
        <f aca="false">-N203*Inputs!$D$42/30</f>
        <v>882</v>
      </c>
      <c r="O245" s="65" t="n">
        <f aca="false">-O203*Inputs!$D$42/30</f>
        <v>910.53</v>
      </c>
      <c r="P245" s="65" t="n">
        <f aca="false">-P203*Inputs!$D$42/30</f>
        <v>910.53</v>
      </c>
      <c r="Q245" s="65" t="n">
        <f aca="false">-Q203*Inputs!$D$42/30</f>
        <v>910.53</v>
      </c>
      <c r="R245" s="65" t="n">
        <f aca="false">-R203*Inputs!$D$42/30</f>
        <v>910.53</v>
      </c>
      <c r="S245" s="65" t="n">
        <f aca="false">-S203*Inputs!$D$42/30</f>
        <v>910.53</v>
      </c>
      <c r="T245" s="65" t="n">
        <f aca="false">-T203*Inputs!$D$42/30</f>
        <v>910.53</v>
      </c>
      <c r="U245" s="65" t="n">
        <f aca="false">-U203*Inputs!$D$42/30</f>
        <v>910.53</v>
      </c>
      <c r="V245" s="65" t="n">
        <f aca="false">-V203*Inputs!$D$42/30</f>
        <v>910.53</v>
      </c>
      <c r="W245" s="65" t="n">
        <f aca="false">-W203*Inputs!$D$42/30</f>
        <v>910.53</v>
      </c>
      <c r="X245" s="65" t="n">
        <f aca="false">-X203*Inputs!$D$42/30</f>
        <v>910.53</v>
      </c>
      <c r="Y245" s="65" t="n">
        <f aca="false">-Y203*Inputs!$D$42/30</f>
        <v>910.53</v>
      </c>
      <c r="Z245" s="65" t="n">
        <f aca="false">-Z203*Inputs!$D$42/30</f>
        <v>910.53</v>
      </c>
      <c r="AA245" s="65" t="n">
        <f aca="false">-AA203*Inputs!$D$42/30</f>
        <v>940.03245</v>
      </c>
      <c r="AB245" s="65" t="n">
        <f aca="false">-AB203*Inputs!$D$42/30</f>
        <v>940.03245</v>
      </c>
      <c r="AC245" s="65" t="n">
        <f aca="false">-AC203*Inputs!$D$42/30</f>
        <v>940.03245</v>
      </c>
      <c r="AD245" s="65" t="n">
        <f aca="false">-AD203*Inputs!$D$42/30</f>
        <v>940.03245</v>
      </c>
      <c r="AE245" s="65" t="n">
        <f aca="false">-AE203*Inputs!$D$42/30</f>
        <v>940.03245</v>
      </c>
      <c r="AF245" s="65" t="n">
        <f aca="false">-AF203*Inputs!$D$42/30</f>
        <v>940.03245</v>
      </c>
      <c r="AG245" s="65" t="n">
        <f aca="false">-AG203*Inputs!$D$42/30</f>
        <v>940.03245</v>
      </c>
      <c r="AH245" s="65" t="n">
        <f aca="false">-AH203*Inputs!$D$42/30</f>
        <v>940.03245</v>
      </c>
      <c r="AI245" s="65" t="n">
        <f aca="false">-AI203*Inputs!$D$42/30</f>
        <v>940.03245</v>
      </c>
      <c r="AJ245" s="65" t="n">
        <f aca="false">-AJ203*Inputs!$D$42/30</f>
        <v>940.03245</v>
      </c>
      <c r="AK245" s="65" t="n">
        <f aca="false">-AK203*Inputs!$D$42/30</f>
        <v>940.03245</v>
      </c>
      <c r="AL245" s="65" t="n">
        <f aca="false">-AL203*Inputs!$D$42/30</f>
        <v>940.03245</v>
      </c>
      <c r="AM245" s="65" t="n">
        <f aca="false">-AM203*Inputs!$D$42/30</f>
        <v>970.54202925</v>
      </c>
      <c r="AN245" s="65" t="n">
        <f aca="false">-AN203*Inputs!$D$42/30</f>
        <v>970.54202925</v>
      </c>
      <c r="AO245" s="65" t="n">
        <f aca="false">-AO203*Inputs!$D$42/30</f>
        <v>970.54202925</v>
      </c>
      <c r="AP245" s="65" t="n">
        <f aca="false">-AP203*Inputs!$D$42/30</f>
        <v>970.54202925</v>
      </c>
      <c r="AQ245" s="65" t="n">
        <f aca="false">-AQ203*Inputs!$D$42/30</f>
        <v>970.54202925</v>
      </c>
      <c r="AR245" s="65" t="n">
        <f aca="false">-AR203*Inputs!$D$42/30</f>
        <v>970.54202925</v>
      </c>
      <c r="AS245" s="65" t="n">
        <f aca="false">-AS203*Inputs!$D$42/30</f>
        <v>970.54202925</v>
      </c>
      <c r="AT245" s="65" t="n">
        <f aca="false">-AT203*Inputs!$D$42/30</f>
        <v>970.54202925</v>
      </c>
      <c r="AU245" s="65" t="n">
        <f aca="false">-AU203*Inputs!$D$42/30</f>
        <v>970.54202925</v>
      </c>
      <c r="AV245" s="65" t="n">
        <f aca="false">-AV203*Inputs!$D$42/30</f>
        <v>970.54202925</v>
      </c>
      <c r="AW245" s="65" t="n">
        <f aca="false">-AW203*Inputs!$D$42/30</f>
        <v>970.54202925</v>
      </c>
      <c r="AX245" s="65" t="n">
        <f aca="false">-AX203*Inputs!$D$42/30</f>
        <v>970.54202925</v>
      </c>
      <c r="AY245" s="65" t="n">
        <f aca="false">-AY203*Inputs!$D$42/30</f>
        <v>1002.09469870125</v>
      </c>
      <c r="AZ245" s="65" t="n">
        <f aca="false">-AZ203*Inputs!$D$42/30</f>
        <v>1002.09469870125</v>
      </c>
      <c r="BA245" s="65" t="n">
        <f aca="false">-BA203*Inputs!$D$42/30</f>
        <v>1002.09469870125</v>
      </c>
      <c r="BB245" s="65" t="n">
        <f aca="false">-BB203*Inputs!$D$42/30</f>
        <v>1002.09469870125</v>
      </c>
      <c r="BC245" s="65" t="n">
        <f aca="false">-BC203*Inputs!$D$42/30</f>
        <v>1002.09469870125</v>
      </c>
      <c r="BD245" s="65" t="n">
        <f aca="false">-BD203*Inputs!$D$42/30</f>
        <v>1002.09469870125</v>
      </c>
      <c r="BE245" s="65" t="n">
        <f aca="false">-BE203*Inputs!$D$42/30</f>
        <v>1002.09469870125</v>
      </c>
      <c r="BF245" s="65" t="n">
        <f aca="false">-BF203*Inputs!$D$42/30</f>
        <v>1002.09469870125</v>
      </c>
      <c r="BG245" s="65" t="n">
        <f aca="false">-BG203*Inputs!$D$42/30</f>
        <v>1002.09469870125</v>
      </c>
      <c r="BH245" s="65" t="n">
        <f aca="false">-BH203*Inputs!$D$42/30</f>
        <v>1002.09469870125</v>
      </c>
      <c r="BI245" s="65" t="n">
        <f aca="false">-BI203*Inputs!$D$42/30</f>
        <v>1002.09469870125</v>
      </c>
      <c r="BJ245" s="65" t="n">
        <f aca="false">-BJ203*Inputs!$D$42/30</f>
        <v>1002.09469870125</v>
      </c>
    </row>
    <row r="246" customFormat="false" ht="15" hidden="false" customHeight="false" outlineLevel="0" collapsed="false">
      <c r="A246" s="6" t="s">
        <v>346</v>
      </c>
      <c r="C246" s="65" t="n">
        <f aca="false">-C243</f>
        <v>-0</v>
      </c>
      <c r="D246" s="65" t="n">
        <f aca="false">C243-D243</f>
        <v>0</v>
      </c>
      <c r="E246" s="65" t="n">
        <f aca="false">D243-E243</f>
        <v>0</v>
      </c>
      <c r="F246" s="65" t="n">
        <f aca="false">E243-F243</f>
        <v>0</v>
      </c>
      <c r="G246" s="65" t="n">
        <f aca="false">F243-G243</f>
        <v>0</v>
      </c>
      <c r="H246" s="65" t="n">
        <f aca="false">G243-H243</f>
        <v>0</v>
      </c>
      <c r="I246" s="65" t="n">
        <f aca="false">H243-I243</f>
        <v>0</v>
      </c>
      <c r="J246" s="65" t="n">
        <f aca="false">I243-J243</f>
        <v>0</v>
      </c>
      <c r="K246" s="65" t="n">
        <f aca="false">J243-K243</f>
        <v>0</v>
      </c>
      <c r="L246" s="65" t="n">
        <f aca="false">K243-L243</f>
        <v>0</v>
      </c>
      <c r="M246" s="65" t="n">
        <f aca="false">L243-M243</f>
        <v>0</v>
      </c>
      <c r="N246" s="65" t="n">
        <f aca="false">M243-N243</f>
        <v>0</v>
      </c>
      <c r="O246" s="65" t="n">
        <f aca="false">N243-O243</f>
        <v>0</v>
      </c>
      <c r="P246" s="65" t="n">
        <f aca="false">O243-P243</f>
        <v>0</v>
      </c>
      <c r="Q246" s="65" t="n">
        <f aca="false">P243-Q243</f>
        <v>0</v>
      </c>
      <c r="R246" s="65" t="n">
        <f aca="false">Q243-R243</f>
        <v>0</v>
      </c>
      <c r="S246" s="65" t="n">
        <f aca="false">R243-S243</f>
        <v>0</v>
      </c>
      <c r="T246" s="65" t="n">
        <f aca="false">S243-T243</f>
        <v>0</v>
      </c>
      <c r="U246" s="65" t="n">
        <f aca="false">T243-U243</f>
        <v>0</v>
      </c>
      <c r="V246" s="65" t="n">
        <f aca="false">U243-V243</f>
        <v>0</v>
      </c>
      <c r="W246" s="65" t="n">
        <f aca="false">V243-W243</f>
        <v>0</v>
      </c>
      <c r="X246" s="65" t="n">
        <f aca="false">W243-X243</f>
        <v>0</v>
      </c>
      <c r="Y246" s="65" t="n">
        <f aca="false">X243-Y243</f>
        <v>0</v>
      </c>
      <c r="Z246" s="65" t="n">
        <f aca="false">Y243-Z243</f>
        <v>0</v>
      </c>
      <c r="AA246" s="65" t="n">
        <f aca="false">Z243-AA243</f>
        <v>0</v>
      </c>
      <c r="AB246" s="65" t="n">
        <f aca="false">AA243-AB243</f>
        <v>0</v>
      </c>
      <c r="AC246" s="65" t="n">
        <f aca="false">AB243-AC243</f>
        <v>0</v>
      </c>
      <c r="AD246" s="65" t="n">
        <f aca="false">AC243-AD243</f>
        <v>0</v>
      </c>
      <c r="AE246" s="65" t="n">
        <f aca="false">AD243-AE243</f>
        <v>0</v>
      </c>
      <c r="AF246" s="65" t="n">
        <f aca="false">AE243-AF243</f>
        <v>0</v>
      </c>
      <c r="AG246" s="65" t="n">
        <f aca="false">AF243-AG243</f>
        <v>0</v>
      </c>
      <c r="AH246" s="65" t="n">
        <f aca="false">AG243-AH243</f>
        <v>0</v>
      </c>
      <c r="AI246" s="65" t="n">
        <f aca="false">AH243-AI243</f>
        <v>0</v>
      </c>
      <c r="AJ246" s="65" t="n">
        <f aca="false">AI243-AJ243</f>
        <v>0</v>
      </c>
      <c r="AK246" s="65" t="n">
        <f aca="false">AJ243-AK243</f>
        <v>0</v>
      </c>
      <c r="AL246" s="65" t="n">
        <f aca="false">AK243-AL243</f>
        <v>0</v>
      </c>
      <c r="AM246" s="65" t="n">
        <f aca="false">AL243-AM243</f>
        <v>0</v>
      </c>
      <c r="AN246" s="65" t="n">
        <f aca="false">AM243-AN243</f>
        <v>0</v>
      </c>
      <c r="AO246" s="65" t="n">
        <f aca="false">AN243-AO243</f>
        <v>0</v>
      </c>
      <c r="AP246" s="65" t="n">
        <f aca="false">AO243-AP243</f>
        <v>0</v>
      </c>
      <c r="AQ246" s="65" t="n">
        <f aca="false">AP243-AQ243</f>
        <v>0</v>
      </c>
      <c r="AR246" s="65" t="n">
        <f aca="false">AQ243-AR243</f>
        <v>0</v>
      </c>
      <c r="AS246" s="65" t="n">
        <f aca="false">AR243-AS243</f>
        <v>0</v>
      </c>
      <c r="AT246" s="65" t="n">
        <f aca="false">AS243-AT243</f>
        <v>0</v>
      </c>
      <c r="AU246" s="65" t="n">
        <f aca="false">AT243-AU243</f>
        <v>0</v>
      </c>
      <c r="AV246" s="65" t="n">
        <f aca="false">AU243-AV243</f>
        <v>0</v>
      </c>
      <c r="AW246" s="65" t="n">
        <f aca="false">AV243-AW243</f>
        <v>0</v>
      </c>
      <c r="AX246" s="65" t="n">
        <f aca="false">AW243-AX243</f>
        <v>0</v>
      </c>
      <c r="AY246" s="65" t="n">
        <f aca="false">AX243-AY243</f>
        <v>0</v>
      </c>
      <c r="AZ246" s="65" t="n">
        <f aca="false">AY243-AZ243</f>
        <v>0</v>
      </c>
      <c r="BA246" s="65" t="n">
        <f aca="false">AZ243-BA243</f>
        <v>0</v>
      </c>
      <c r="BB246" s="65" t="n">
        <f aca="false">BA243-BB243</f>
        <v>0</v>
      </c>
      <c r="BC246" s="65" t="n">
        <f aca="false">BB243-BC243</f>
        <v>0</v>
      </c>
      <c r="BD246" s="65" t="n">
        <f aca="false">BC243-BD243</f>
        <v>0</v>
      </c>
      <c r="BE246" s="65" t="n">
        <f aca="false">BD243-BE243</f>
        <v>0</v>
      </c>
      <c r="BF246" s="65" t="n">
        <f aca="false">BE243-BF243</f>
        <v>0</v>
      </c>
      <c r="BG246" s="65" t="n">
        <f aca="false">BF243-BG243</f>
        <v>0</v>
      </c>
      <c r="BH246" s="65" t="n">
        <f aca="false">BG243-BH243</f>
        <v>0</v>
      </c>
      <c r="BI246" s="65" t="n">
        <f aca="false">BH243-BI243</f>
        <v>0</v>
      </c>
      <c r="BJ246" s="65" t="n">
        <f aca="false">BI243-BJ243</f>
        <v>0</v>
      </c>
    </row>
    <row r="247" customFormat="false" ht="15" hidden="false" customHeight="false" outlineLevel="0" collapsed="false">
      <c r="A247" s="6" t="s">
        <v>347</v>
      </c>
      <c r="C247" s="65" t="n">
        <f aca="false">-C244</f>
        <v>-0</v>
      </c>
      <c r="D247" s="65" t="n">
        <f aca="false">C244-D244</f>
        <v>0</v>
      </c>
      <c r="E247" s="65" t="n">
        <f aca="false">D244-E244</f>
        <v>0</v>
      </c>
      <c r="F247" s="65" t="n">
        <f aca="false">E244-F244</f>
        <v>0</v>
      </c>
      <c r="G247" s="65" t="n">
        <f aca="false">F244-G244</f>
        <v>0</v>
      </c>
      <c r="H247" s="65" t="n">
        <f aca="false">G244-H244</f>
        <v>0</v>
      </c>
      <c r="I247" s="65" t="n">
        <f aca="false">H244-I244</f>
        <v>0</v>
      </c>
      <c r="J247" s="65" t="n">
        <f aca="false">I244-J244</f>
        <v>0</v>
      </c>
      <c r="K247" s="65" t="n">
        <f aca="false">J244-K244</f>
        <v>0</v>
      </c>
      <c r="L247" s="65" t="n">
        <f aca="false">K244-L244</f>
        <v>0</v>
      </c>
      <c r="M247" s="65" t="n">
        <f aca="false">L244-M244</f>
        <v>0</v>
      </c>
      <c r="N247" s="65" t="n">
        <f aca="false">M244-N244</f>
        <v>0</v>
      </c>
      <c r="O247" s="65" t="n">
        <f aca="false">N244-O244</f>
        <v>0</v>
      </c>
      <c r="P247" s="65" t="n">
        <f aca="false">O244-P244</f>
        <v>0</v>
      </c>
      <c r="Q247" s="65" t="n">
        <f aca="false">P244-Q244</f>
        <v>0</v>
      </c>
      <c r="R247" s="65" t="n">
        <f aca="false">Q244-R244</f>
        <v>0</v>
      </c>
      <c r="S247" s="65" t="n">
        <f aca="false">R244-S244</f>
        <v>0</v>
      </c>
      <c r="T247" s="65" t="n">
        <f aca="false">S244-T244</f>
        <v>0</v>
      </c>
      <c r="U247" s="65" t="n">
        <f aca="false">T244-U244</f>
        <v>0</v>
      </c>
      <c r="V247" s="65" t="n">
        <f aca="false">U244-V244</f>
        <v>0</v>
      </c>
      <c r="W247" s="65" t="n">
        <f aca="false">V244-W244</f>
        <v>0</v>
      </c>
      <c r="X247" s="65" t="n">
        <f aca="false">W244-X244</f>
        <v>0</v>
      </c>
      <c r="Y247" s="65" t="n">
        <f aca="false">X244-Y244</f>
        <v>0</v>
      </c>
      <c r="Z247" s="65" t="n">
        <f aca="false">Y244-Z244</f>
        <v>0</v>
      </c>
      <c r="AA247" s="65" t="n">
        <f aca="false">Z244-AA244</f>
        <v>0</v>
      </c>
      <c r="AB247" s="65" t="n">
        <f aca="false">AA244-AB244</f>
        <v>0</v>
      </c>
      <c r="AC247" s="65" t="n">
        <f aca="false">AB244-AC244</f>
        <v>0</v>
      </c>
      <c r="AD247" s="65" t="n">
        <f aca="false">AC244-AD244</f>
        <v>0</v>
      </c>
      <c r="AE247" s="65" t="n">
        <f aca="false">AD244-AE244</f>
        <v>0</v>
      </c>
      <c r="AF247" s="65" t="n">
        <f aca="false">AE244-AF244</f>
        <v>0</v>
      </c>
      <c r="AG247" s="65" t="n">
        <f aca="false">AF244-AG244</f>
        <v>0</v>
      </c>
      <c r="AH247" s="65" t="n">
        <f aca="false">AG244-AH244</f>
        <v>0</v>
      </c>
      <c r="AI247" s="65" t="n">
        <f aca="false">AH244-AI244</f>
        <v>0</v>
      </c>
      <c r="AJ247" s="65" t="n">
        <f aca="false">AI244-AJ244</f>
        <v>0</v>
      </c>
      <c r="AK247" s="65" t="n">
        <f aca="false">AJ244-AK244</f>
        <v>0</v>
      </c>
      <c r="AL247" s="65" t="n">
        <f aca="false">AK244-AL244</f>
        <v>0</v>
      </c>
      <c r="AM247" s="65" t="n">
        <f aca="false">AL244-AM244</f>
        <v>0</v>
      </c>
      <c r="AN247" s="65" t="n">
        <f aca="false">AM244-AN244</f>
        <v>0</v>
      </c>
      <c r="AO247" s="65" t="n">
        <f aca="false">AN244-AO244</f>
        <v>0</v>
      </c>
      <c r="AP247" s="65" t="n">
        <f aca="false">AO244-AP244</f>
        <v>0</v>
      </c>
      <c r="AQ247" s="65" t="n">
        <f aca="false">AP244-AQ244</f>
        <v>0</v>
      </c>
      <c r="AR247" s="65" t="n">
        <f aca="false">AQ244-AR244</f>
        <v>0</v>
      </c>
      <c r="AS247" s="65" t="n">
        <f aca="false">AR244-AS244</f>
        <v>0</v>
      </c>
      <c r="AT247" s="65" t="n">
        <f aca="false">AS244-AT244</f>
        <v>0</v>
      </c>
      <c r="AU247" s="65" t="n">
        <f aca="false">AT244-AU244</f>
        <v>0</v>
      </c>
      <c r="AV247" s="65" t="n">
        <f aca="false">AU244-AV244</f>
        <v>0</v>
      </c>
      <c r="AW247" s="65" t="n">
        <f aca="false">AV244-AW244</f>
        <v>0</v>
      </c>
      <c r="AX247" s="65" t="n">
        <f aca="false">AW244-AX244</f>
        <v>0</v>
      </c>
      <c r="AY247" s="65" t="n">
        <f aca="false">AX244-AY244</f>
        <v>0</v>
      </c>
      <c r="AZ247" s="65" t="n">
        <f aca="false">AY244-AZ244</f>
        <v>0</v>
      </c>
      <c r="BA247" s="65" t="n">
        <f aca="false">AZ244-BA244</f>
        <v>0</v>
      </c>
      <c r="BB247" s="65" t="n">
        <f aca="false">BA244-BB244</f>
        <v>0</v>
      </c>
      <c r="BC247" s="65" t="n">
        <f aca="false">BB244-BC244</f>
        <v>0</v>
      </c>
      <c r="BD247" s="65" t="n">
        <f aca="false">BC244-BD244</f>
        <v>0</v>
      </c>
      <c r="BE247" s="65" t="n">
        <f aca="false">BD244-BE244</f>
        <v>0</v>
      </c>
      <c r="BF247" s="65" t="n">
        <f aca="false">BE244-BF244</f>
        <v>0</v>
      </c>
      <c r="BG247" s="65" t="n">
        <f aca="false">BF244-BG244</f>
        <v>0</v>
      </c>
      <c r="BH247" s="65" t="n">
        <f aca="false">BG244-BH244</f>
        <v>0</v>
      </c>
      <c r="BI247" s="65" t="n">
        <f aca="false">BH244-BI244</f>
        <v>0</v>
      </c>
      <c r="BJ247" s="65" t="n">
        <f aca="false">BI244-BJ244</f>
        <v>0</v>
      </c>
    </row>
    <row r="248" customFormat="false" ht="15" hidden="false" customHeight="false" outlineLevel="0" collapsed="false">
      <c r="A248" s="6" t="s">
        <v>348</v>
      </c>
      <c r="C248" s="65" t="n">
        <f aca="false">C245</f>
        <v>882</v>
      </c>
      <c r="D248" s="65" t="n">
        <f aca="false">D245-C245</f>
        <v>0</v>
      </c>
      <c r="E248" s="65" t="n">
        <f aca="false">E245-D245</f>
        <v>0</v>
      </c>
      <c r="F248" s="65" t="n">
        <f aca="false">F245-E245</f>
        <v>0</v>
      </c>
      <c r="G248" s="65" t="n">
        <f aca="false">G245-F245</f>
        <v>0</v>
      </c>
      <c r="H248" s="65" t="n">
        <f aca="false">H245-G245</f>
        <v>0</v>
      </c>
      <c r="I248" s="65" t="n">
        <f aca="false">I245-H245</f>
        <v>0</v>
      </c>
      <c r="J248" s="65" t="n">
        <f aca="false">J245-I245</f>
        <v>0</v>
      </c>
      <c r="K248" s="65" t="n">
        <f aca="false">K245-J245</f>
        <v>0</v>
      </c>
      <c r="L248" s="65" t="n">
        <f aca="false">L245-K245</f>
        <v>0</v>
      </c>
      <c r="M248" s="65" t="n">
        <f aca="false">M245-L245</f>
        <v>0</v>
      </c>
      <c r="N248" s="65" t="n">
        <f aca="false">N245-M245</f>
        <v>0</v>
      </c>
      <c r="O248" s="65" t="n">
        <f aca="false">O245-N245</f>
        <v>28.53</v>
      </c>
      <c r="P248" s="65" t="n">
        <f aca="false">P245-O245</f>
        <v>0</v>
      </c>
      <c r="Q248" s="65" t="n">
        <f aca="false">Q245-P245</f>
        <v>0</v>
      </c>
      <c r="R248" s="65" t="n">
        <f aca="false">R245-Q245</f>
        <v>0</v>
      </c>
      <c r="S248" s="65" t="n">
        <f aca="false">S245-R245</f>
        <v>0</v>
      </c>
      <c r="T248" s="65" t="n">
        <f aca="false">T245-S245</f>
        <v>0</v>
      </c>
      <c r="U248" s="65" t="n">
        <f aca="false">U245-T245</f>
        <v>0</v>
      </c>
      <c r="V248" s="65" t="n">
        <f aca="false">V245-U245</f>
        <v>0</v>
      </c>
      <c r="W248" s="65" t="n">
        <f aca="false">W245-V245</f>
        <v>0</v>
      </c>
      <c r="X248" s="65" t="n">
        <f aca="false">X245-W245</f>
        <v>0</v>
      </c>
      <c r="Y248" s="65" t="n">
        <f aca="false">Y245-X245</f>
        <v>0</v>
      </c>
      <c r="Z248" s="65" t="n">
        <f aca="false">Z245-Y245</f>
        <v>0</v>
      </c>
      <c r="AA248" s="65" t="n">
        <f aca="false">AA245-Z245</f>
        <v>29.5024500000001</v>
      </c>
      <c r="AB248" s="65" t="n">
        <f aca="false">AB245-AA245</f>
        <v>0</v>
      </c>
      <c r="AC248" s="65" t="n">
        <f aca="false">AC245-AB245</f>
        <v>0</v>
      </c>
      <c r="AD248" s="65" t="n">
        <f aca="false">AD245-AC245</f>
        <v>0</v>
      </c>
      <c r="AE248" s="65" t="n">
        <f aca="false">AE245-AD245</f>
        <v>0</v>
      </c>
      <c r="AF248" s="65" t="n">
        <f aca="false">AF245-AE245</f>
        <v>0</v>
      </c>
      <c r="AG248" s="65" t="n">
        <f aca="false">AG245-AF245</f>
        <v>0</v>
      </c>
      <c r="AH248" s="65" t="n">
        <f aca="false">AH245-AG245</f>
        <v>0</v>
      </c>
      <c r="AI248" s="65" t="n">
        <f aca="false">AI245-AH245</f>
        <v>0</v>
      </c>
      <c r="AJ248" s="65" t="n">
        <f aca="false">AJ245-AI245</f>
        <v>0</v>
      </c>
      <c r="AK248" s="65" t="n">
        <f aca="false">AK245-AJ245</f>
        <v>0</v>
      </c>
      <c r="AL248" s="65" t="n">
        <f aca="false">AL245-AK245</f>
        <v>0</v>
      </c>
      <c r="AM248" s="65" t="n">
        <f aca="false">AM245-AL245</f>
        <v>30.5095792499998</v>
      </c>
      <c r="AN248" s="65" t="n">
        <f aca="false">AN245-AM245</f>
        <v>0</v>
      </c>
      <c r="AO248" s="65" t="n">
        <f aca="false">AO245-AN245</f>
        <v>0</v>
      </c>
      <c r="AP248" s="65" t="n">
        <f aca="false">AP245-AO245</f>
        <v>0</v>
      </c>
      <c r="AQ248" s="65" t="n">
        <f aca="false">AQ245-AP245</f>
        <v>0</v>
      </c>
      <c r="AR248" s="65" t="n">
        <f aca="false">AR245-AQ245</f>
        <v>0</v>
      </c>
      <c r="AS248" s="65" t="n">
        <f aca="false">AS245-AR245</f>
        <v>0</v>
      </c>
      <c r="AT248" s="65" t="n">
        <f aca="false">AT245-AS245</f>
        <v>0</v>
      </c>
      <c r="AU248" s="65" t="n">
        <f aca="false">AU245-AT245</f>
        <v>0</v>
      </c>
      <c r="AV248" s="65" t="n">
        <f aca="false">AV245-AU245</f>
        <v>0</v>
      </c>
      <c r="AW248" s="65" t="n">
        <f aca="false">AW245-AV245</f>
        <v>0</v>
      </c>
      <c r="AX248" s="65" t="n">
        <f aca="false">AX245-AW245</f>
        <v>0</v>
      </c>
      <c r="AY248" s="65" t="n">
        <f aca="false">AY245-AX245</f>
        <v>31.55266945125</v>
      </c>
      <c r="AZ248" s="65" t="n">
        <f aca="false">AZ245-AY245</f>
        <v>0</v>
      </c>
      <c r="BA248" s="65" t="n">
        <f aca="false">BA245-AZ245</f>
        <v>0</v>
      </c>
      <c r="BB248" s="65" t="n">
        <f aca="false">BB245-BA245</f>
        <v>0</v>
      </c>
      <c r="BC248" s="65" t="n">
        <f aca="false">BC245-BB245</f>
        <v>0</v>
      </c>
      <c r="BD248" s="65" t="n">
        <f aca="false">BD245-BC245</f>
        <v>0</v>
      </c>
      <c r="BE248" s="65" t="n">
        <f aca="false">BE245-BD245</f>
        <v>0</v>
      </c>
      <c r="BF248" s="65" t="n">
        <f aca="false">BF245-BE245</f>
        <v>0</v>
      </c>
      <c r="BG248" s="65" t="n">
        <f aca="false">BG245-BF245</f>
        <v>0</v>
      </c>
      <c r="BH248" s="65" t="n">
        <f aca="false">BH245-BG245</f>
        <v>0</v>
      </c>
      <c r="BI248" s="65" t="n">
        <f aca="false">BI245-BH245</f>
        <v>0</v>
      </c>
      <c r="BJ248" s="65" t="n">
        <f aca="false">BJ245-BI245</f>
        <v>0</v>
      </c>
    </row>
    <row r="250" customFormat="false" ht="15.75" hidden="false" customHeight="true" outlineLevel="0" collapsed="false">
      <c r="A250" s="7" t="s">
        <v>436</v>
      </c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customFormat="false" ht="15" hidden="false" customHeight="false" outlineLevel="0" collapsed="false">
      <c r="A251" s="4" t="s">
        <v>53</v>
      </c>
      <c r="C251" s="71" t="n">
        <f aca="false">C221-C230+C246+C247+C248</f>
        <v>5934.90792469136</v>
      </c>
      <c r="D251" s="71" t="n">
        <f aca="false">D221-D230+D246+D247+D248</f>
        <v>5057.73907757427</v>
      </c>
      <c r="E251" s="71" t="n">
        <f aca="false">E221-E230+E246+E247+E248</f>
        <v>5062.5953752179</v>
      </c>
      <c r="F251" s="71" t="n">
        <f aca="false">F221-F230+F246+F247+F248</f>
        <v>5067.47695382305</v>
      </c>
      <c r="G251" s="71" t="n">
        <f aca="false">G221-G230+G246+G247+G248</f>
        <v>5072.38395032826</v>
      </c>
      <c r="H251" s="71" t="n">
        <f aca="false">H221-H230+H246+H247+H248</f>
        <v>5077.31650241382</v>
      </c>
      <c r="I251" s="71" t="n">
        <f aca="false">I221-I230+I246+I247+I248</f>
        <v>5082.27474850579</v>
      </c>
      <c r="J251" s="71" t="n">
        <f aca="false">J221-J230+J246+J247+J248</f>
        <v>5087.25882778004</v>
      </c>
      <c r="K251" s="71" t="n">
        <f aca="false">K221-K230+K246+K247+K248</f>
        <v>5092.2688801663</v>
      </c>
      <c r="L251" s="71" t="n">
        <f aca="false">L221-L230+L246+L247+L248</f>
        <v>5097.30504635227</v>
      </c>
      <c r="M251" s="71" t="n">
        <f aca="false">M221-M230+M246+M247+M248</f>
        <v>5102.36746778769</v>
      </c>
      <c r="N251" s="71" t="n">
        <f aca="false">N221-N230+N246+N247+N248</f>
        <v>5107.4562866885</v>
      </c>
      <c r="O251" s="71" t="n">
        <f aca="false">O221-O230+O246+O247+O248</f>
        <v>5552.20649312122</v>
      </c>
      <c r="P251" s="71" t="n">
        <f aca="false">P221-P230+P246+P247+P248</f>
        <v>5528.82326276638</v>
      </c>
      <c r="Q251" s="71" t="n">
        <f aca="false">Q221-Q230+Q246+Q247+Q248</f>
        <v>5533.99686116345</v>
      </c>
      <c r="R251" s="71" t="n">
        <f aca="false">R221-R230+R246+R247+R248</f>
        <v>5539.19743363486</v>
      </c>
      <c r="S251" s="71" t="n">
        <f aca="false">S221-S230+S246+S247+S248</f>
        <v>5544.42512629017</v>
      </c>
      <c r="T251" s="71" t="n">
        <f aca="false">T221-T230+T246+T247+T248</f>
        <v>5549.68008603037</v>
      </c>
      <c r="U251" s="71" t="n">
        <f aca="false">U221-U230+U246+U247+U248</f>
        <v>5554.96246055218</v>
      </c>
      <c r="V251" s="71" t="n">
        <f aca="false">V221-V230+V246+V247+V248</f>
        <v>5560.27239835232</v>
      </c>
      <c r="W251" s="71" t="n">
        <f aca="false">W221-W230+W246+W247+W248</f>
        <v>5565.61004873189</v>
      </c>
      <c r="X251" s="71" t="n">
        <f aca="false">X221-X230+X246+X247+X248</f>
        <v>5570.9755618007</v>
      </c>
      <c r="Y251" s="71" t="n">
        <f aca="false">Y221-Y230+Y246+Y247+Y248</f>
        <v>5576.36908848164</v>
      </c>
      <c r="Z251" s="71" t="n">
        <f aca="false">Z221-Z230+Z246+Z247+Z248</f>
        <v>5581.79078051512</v>
      </c>
      <c r="AA251" s="71" t="n">
        <f aca="false">AA221-AA230+AA246+AA247+AA248</f>
        <v>6045.37722616071</v>
      </c>
      <c r="AB251" s="71" t="n">
        <f aca="false">AB221-AB230+AB246+AB247+AB248</f>
        <v>6021.35810164487</v>
      </c>
      <c r="AC251" s="71" t="n">
        <f aca="false">AC221-AC230+AC246+AC247+AC248</f>
        <v>6026.87005265215</v>
      </c>
      <c r="AD251" s="71" t="n">
        <f aca="false">AD221-AD230+AD246+AD247+AD248</f>
        <v>6032.41078423747</v>
      </c>
      <c r="AE251" s="71" t="n">
        <f aca="false">AE221-AE230+AE246+AE247+AE248</f>
        <v>6037.98045229564</v>
      </c>
      <c r="AF251" s="71" t="n">
        <f aca="false">AF221-AF230+AF246+AF247+AF248</f>
        <v>6043.57921356587</v>
      </c>
      <c r="AG251" s="71" t="n">
        <f aca="false">AG221-AG230+AG246+AG247+AG248</f>
        <v>6049.2072256364</v>
      </c>
      <c r="AH251" s="71" t="n">
        <f aca="false">AH221-AH230+AH246+AH247+AH248</f>
        <v>6054.86464694907</v>
      </c>
      <c r="AI251" s="71" t="n">
        <f aca="false">AI221-AI230+AI246+AI247+AI248</f>
        <v>6060.55163680394</v>
      </c>
      <c r="AJ251" s="71" t="n">
        <f aca="false">AJ221-AJ230+AJ246+AJ247+AJ248</f>
        <v>6066.26835536394</v>
      </c>
      <c r="AK251" s="71" t="n">
        <f aca="false">AK221-AK230+AK246+AK247+AK248</f>
        <v>6072.01496365957</v>
      </c>
      <c r="AL251" s="71" t="n">
        <f aca="false">AL221-AL230+AL246+AL247+AL248</f>
        <v>6077.79162359354</v>
      </c>
      <c r="AM251" s="71" t="n">
        <f aca="false">AM221-AM230+AM246+AM247+AM248</f>
        <v>6560.99949067287</v>
      </c>
      <c r="AN251" s="71" t="n">
        <f aca="false">AN221-AN230+AN246+AN247+AN248</f>
        <v>6536.33212919246</v>
      </c>
      <c r="AO251" s="71" t="n">
        <f aca="false">AO221-AO230+AO246+AO247+AO248</f>
        <v>6542.20488958948</v>
      </c>
      <c r="AP251" s="71" t="n">
        <f aca="false">AP221-AP230+AP246+AP247+AP248</f>
        <v>6548.10835805316</v>
      </c>
      <c r="AQ251" s="71" t="n">
        <f aca="false">AQ221-AQ230+AQ246+AQ247+AQ248</f>
        <v>6554.04270091885</v>
      </c>
      <c r="AR251" s="71" t="n">
        <f aca="false">AR221-AR230+AR246+AR247+AR248</f>
        <v>6560.0080854229</v>
      </c>
      <c r="AS251" s="71" t="n">
        <f aca="false">AS221-AS230+AS246+AS247+AS248</f>
        <v>6566.00467970753</v>
      </c>
      <c r="AT251" s="71" t="n">
        <f aca="false">AT221-AT230+AT246+AT247+AT248</f>
        <v>6572.0326528257</v>
      </c>
      <c r="AU251" s="71" t="n">
        <f aca="false">AU221-AU230+AU246+AU247+AU248</f>
        <v>6578.0921747461</v>
      </c>
      <c r="AV251" s="71" t="n">
        <f aca="false">AV221-AV230+AV246+AV247+AV248</f>
        <v>6584.18341635808</v>
      </c>
      <c r="AW251" s="71" t="n">
        <f aca="false">AW221-AW230+AW246+AW247+AW248</f>
        <v>6590.30654947662</v>
      </c>
      <c r="AX251" s="71" t="n">
        <f aca="false">AX221-AX230+AX246+AX247+AX248</f>
        <v>6596.4617468474</v>
      </c>
      <c r="AY251" s="71" t="n">
        <f aca="false">AY221-AY230+AY246+AY247+AY248</f>
        <v>7100.10879168035</v>
      </c>
      <c r="AZ251" s="71" t="n">
        <f aca="false">AZ221-AZ230+AZ246+AZ247+AZ248</f>
        <v>7074.78105956072</v>
      </c>
      <c r="BA251" s="71" t="n">
        <f aca="false">BA221-BA230+BA246+BA247+BA248</f>
        <v>7081.0385850161</v>
      </c>
      <c r="BB251" s="71" t="n">
        <f aca="false">BB221-BB230+BB246+BB247+BB248</f>
        <v>7087.32887511422</v>
      </c>
      <c r="BC251" s="71" t="n">
        <f aca="false">BC221-BC230+BC246+BC247+BC248</f>
        <v>7093.65210733025</v>
      </c>
      <c r="BD251" s="71" t="n">
        <f aca="false">BD221-BD230+BD246+BD247+BD248</f>
        <v>7100.00846010064</v>
      </c>
      <c r="BE251" s="71" t="n">
        <f aca="false">BE221-BE230+BE246+BE247+BE248</f>
        <v>7106.39811282841</v>
      </c>
      <c r="BF251" s="71" t="n">
        <f aca="false">BF221-BF230+BF246+BF247+BF248</f>
        <v>7112.82124588833</v>
      </c>
      <c r="BG251" s="71" t="n">
        <f aca="false">BG221-BG230+BG246+BG247+BG248</f>
        <v>7119.27804063219</v>
      </c>
      <c r="BH251" s="71" t="n">
        <f aca="false">BH221-BH230+BH246+BH247+BH248</f>
        <v>7125.76867939412</v>
      </c>
      <c r="BI251" s="71" t="n">
        <f aca="false">BI221-BI230+BI246+BI247+BI248</f>
        <v>7132.29334549587</v>
      </c>
      <c r="BJ251" s="71" t="n">
        <f aca="false">BJ221-BJ230+BJ246+BJ247+BJ248</f>
        <v>7138.85222325221</v>
      </c>
    </row>
    <row r="252" customFormat="false" ht="15" hidden="false" customHeight="false" outlineLevel="0" collapsed="false">
      <c r="A252" s="6" t="s">
        <v>437</v>
      </c>
      <c r="C252" s="65" t="n">
        <f aca="false">-C227</f>
        <v>-1905791.66666667</v>
      </c>
      <c r="D252" s="65" t="n">
        <f aca="false">-D227</f>
        <v>-291.666666666667</v>
      </c>
      <c r="E252" s="65" t="n">
        <f aca="false">-E227</f>
        <v>-291.666666666667</v>
      </c>
      <c r="F252" s="65" t="n">
        <f aca="false">-F227</f>
        <v>-291.666666666667</v>
      </c>
      <c r="G252" s="65" t="n">
        <f aca="false">-G227</f>
        <v>-291.666666666667</v>
      </c>
      <c r="H252" s="65" t="n">
        <f aca="false">-H227</f>
        <v>-291.666666666667</v>
      </c>
      <c r="I252" s="65" t="n">
        <f aca="false">-I227</f>
        <v>-291.666666666667</v>
      </c>
      <c r="J252" s="65" t="n">
        <f aca="false">-J227</f>
        <v>-291.666666666667</v>
      </c>
      <c r="K252" s="65" t="n">
        <f aca="false">-K227</f>
        <v>-291.666666666667</v>
      </c>
      <c r="L252" s="65" t="n">
        <f aca="false">-L227</f>
        <v>-291.666666666667</v>
      </c>
      <c r="M252" s="65" t="n">
        <f aca="false">-M227</f>
        <v>-291.666666666667</v>
      </c>
      <c r="N252" s="65" t="n">
        <f aca="false">-N227</f>
        <v>-291.666666666667</v>
      </c>
      <c r="O252" s="65" t="n">
        <f aca="false">-O227</f>
        <v>-298.958333333333</v>
      </c>
      <c r="P252" s="65" t="n">
        <f aca="false">-P227</f>
        <v>-298.958333333333</v>
      </c>
      <c r="Q252" s="65" t="n">
        <f aca="false">-Q227</f>
        <v>-298.958333333333</v>
      </c>
      <c r="R252" s="65" t="n">
        <f aca="false">-R227</f>
        <v>-298.958333333333</v>
      </c>
      <c r="S252" s="65" t="n">
        <f aca="false">-S227</f>
        <v>-298.958333333333</v>
      </c>
      <c r="T252" s="65" t="n">
        <f aca="false">-T227</f>
        <v>-298.958333333333</v>
      </c>
      <c r="U252" s="65" t="n">
        <f aca="false">-U227</f>
        <v>-298.958333333333</v>
      </c>
      <c r="V252" s="65" t="n">
        <f aca="false">-V227</f>
        <v>-298.958333333333</v>
      </c>
      <c r="W252" s="65" t="n">
        <f aca="false">-W227</f>
        <v>-298.958333333333</v>
      </c>
      <c r="X252" s="65" t="n">
        <f aca="false">-X227</f>
        <v>-298.958333333333</v>
      </c>
      <c r="Y252" s="65" t="n">
        <f aca="false">-Y227</f>
        <v>-298.958333333333</v>
      </c>
      <c r="Z252" s="65" t="n">
        <f aca="false">-Z227</f>
        <v>-298.958333333333</v>
      </c>
      <c r="AA252" s="65" t="n">
        <f aca="false">-AA227</f>
        <v>-306.432291666667</v>
      </c>
      <c r="AB252" s="65" t="n">
        <f aca="false">-AB227</f>
        <v>-306.432291666667</v>
      </c>
      <c r="AC252" s="65" t="n">
        <f aca="false">-AC227</f>
        <v>-306.432291666667</v>
      </c>
      <c r="AD252" s="65" t="n">
        <f aca="false">-AD227</f>
        <v>-306.432291666667</v>
      </c>
      <c r="AE252" s="65" t="n">
        <f aca="false">-AE227</f>
        <v>-306.432291666667</v>
      </c>
      <c r="AF252" s="65" t="n">
        <f aca="false">-AF227</f>
        <v>-306.432291666667</v>
      </c>
      <c r="AG252" s="65" t="n">
        <f aca="false">-AG227</f>
        <v>-306.432291666667</v>
      </c>
      <c r="AH252" s="65" t="n">
        <f aca="false">-AH227</f>
        <v>-306.432291666667</v>
      </c>
      <c r="AI252" s="65" t="n">
        <f aca="false">-AI227</f>
        <v>-306.432291666667</v>
      </c>
      <c r="AJ252" s="65" t="n">
        <f aca="false">-AJ227</f>
        <v>-306.432291666667</v>
      </c>
      <c r="AK252" s="65" t="n">
        <f aca="false">-AK227</f>
        <v>-306.432291666667</v>
      </c>
      <c r="AL252" s="65" t="n">
        <f aca="false">-AL227</f>
        <v>-306.432291666667</v>
      </c>
      <c r="AM252" s="65" t="n">
        <f aca="false">-AM227</f>
        <v>-314.093098958333</v>
      </c>
      <c r="AN252" s="65" t="n">
        <f aca="false">-AN227</f>
        <v>-314.093098958333</v>
      </c>
      <c r="AO252" s="65" t="n">
        <f aca="false">-AO227</f>
        <v>-314.093098958333</v>
      </c>
      <c r="AP252" s="65" t="n">
        <f aca="false">-AP227</f>
        <v>-314.093098958333</v>
      </c>
      <c r="AQ252" s="65" t="n">
        <f aca="false">-AQ227</f>
        <v>-314.093098958333</v>
      </c>
      <c r="AR252" s="65" t="n">
        <f aca="false">-AR227</f>
        <v>-314.093098958333</v>
      </c>
      <c r="AS252" s="65" t="n">
        <f aca="false">-AS227</f>
        <v>-314.093098958333</v>
      </c>
      <c r="AT252" s="65" t="n">
        <f aca="false">-AT227</f>
        <v>-314.093098958333</v>
      </c>
      <c r="AU252" s="65" t="n">
        <f aca="false">-AU227</f>
        <v>-314.093098958333</v>
      </c>
      <c r="AV252" s="65" t="n">
        <f aca="false">-AV227</f>
        <v>-314.093098958333</v>
      </c>
      <c r="AW252" s="65" t="n">
        <f aca="false">-AW227</f>
        <v>-314.093098958333</v>
      </c>
      <c r="AX252" s="65" t="n">
        <f aca="false">-AX227</f>
        <v>-314.093098958333</v>
      </c>
      <c r="AY252" s="65" t="n">
        <f aca="false">-AY227</f>
        <v>-321.945426432292</v>
      </c>
      <c r="AZ252" s="65" t="n">
        <f aca="false">-AZ227</f>
        <v>-321.945426432292</v>
      </c>
      <c r="BA252" s="65" t="n">
        <f aca="false">-BA227</f>
        <v>-321.945426432292</v>
      </c>
      <c r="BB252" s="65" t="n">
        <f aca="false">-BB227</f>
        <v>-321.945426432292</v>
      </c>
      <c r="BC252" s="65" t="n">
        <f aca="false">-BC227</f>
        <v>-321.945426432292</v>
      </c>
      <c r="BD252" s="65" t="n">
        <f aca="false">-BD227</f>
        <v>-321.945426432292</v>
      </c>
      <c r="BE252" s="65" t="n">
        <f aca="false">-BE227</f>
        <v>-321.945426432292</v>
      </c>
      <c r="BF252" s="65" t="n">
        <f aca="false">-BF227</f>
        <v>-321.945426432292</v>
      </c>
      <c r="BG252" s="65" t="n">
        <f aca="false">-BG227</f>
        <v>-321.945426432292</v>
      </c>
      <c r="BH252" s="65" t="n">
        <f aca="false">-BH227</f>
        <v>-321.945426432292</v>
      </c>
      <c r="BI252" s="65" t="n">
        <f aca="false">-BI227</f>
        <v>-321.945426432292</v>
      </c>
      <c r="BJ252" s="65" t="n">
        <f aca="false">-BJ227</f>
        <v>-321.945426432292</v>
      </c>
    </row>
    <row r="253" customFormat="false" ht="15" hidden="false" customHeight="false" outlineLevel="0" collapsed="false">
      <c r="A253" s="6" t="s">
        <v>64</v>
      </c>
      <c r="C253" s="65" t="n">
        <f aca="false">IF(C$190=1,Inputs!$D$34,0)</f>
        <v>760000</v>
      </c>
      <c r="D253" s="65" t="n">
        <f aca="false">IF(D$190=1,Inputs!$D$34,0)</f>
        <v>0</v>
      </c>
      <c r="E253" s="65" t="n">
        <f aca="false">IF(E$190=1,Inputs!$D$34,0)</f>
        <v>0</v>
      </c>
      <c r="F253" s="65" t="n">
        <f aca="false">IF(F$190=1,Inputs!$D$34,0)</f>
        <v>0</v>
      </c>
      <c r="G253" s="65" t="n">
        <f aca="false">IF(G$190=1,Inputs!$D$34,0)</f>
        <v>0</v>
      </c>
      <c r="H253" s="65" t="n">
        <f aca="false">IF(H$190=1,Inputs!$D$34,0)</f>
        <v>0</v>
      </c>
      <c r="I253" s="65" t="n">
        <f aca="false">IF(I$190=1,Inputs!$D$34,0)</f>
        <v>0</v>
      </c>
      <c r="J253" s="65" t="n">
        <f aca="false">IF(J$190=1,Inputs!$D$34,0)</f>
        <v>0</v>
      </c>
      <c r="K253" s="65" t="n">
        <f aca="false">IF(K$190=1,Inputs!$D$34,0)</f>
        <v>0</v>
      </c>
      <c r="L253" s="65" t="n">
        <f aca="false">IF(L$190=1,Inputs!$D$34,0)</f>
        <v>0</v>
      </c>
      <c r="M253" s="65" t="n">
        <f aca="false">IF(M$190=1,Inputs!$D$34,0)</f>
        <v>0</v>
      </c>
      <c r="N253" s="65" t="n">
        <f aca="false">IF(N$190=1,Inputs!$D$34,0)</f>
        <v>0</v>
      </c>
      <c r="O253" s="65" t="n">
        <f aca="false">IF(O$190=1,Inputs!$D$34,0)</f>
        <v>0</v>
      </c>
      <c r="P253" s="65" t="n">
        <f aca="false">IF(P$190=1,Inputs!$D$34,0)</f>
        <v>0</v>
      </c>
      <c r="Q253" s="65" t="n">
        <f aca="false">IF(Q$190=1,Inputs!$D$34,0)</f>
        <v>0</v>
      </c>
      <c r="R253" s="65" t="n">
        <f aca="false">IF(R$190=1,Inputs!$D$34,0)</f>
        <v>0</v>
      </c>
      <c r="S253" s="65" t="n">
        <f aca="false">IF(S$190=1,Inputs!$D$34,0)</f>
        <v>0</v>
      </c>
      <c r="T253" s="65" t="n">
        <f aca="false">IF(T$190=1,Inputs!$D$34,0)</f>
        <v>0</v>
      </c>
      <c r="U253" s="65" t="n">
        <f aca="false">IF(U$190=1,Inputs!$D$34,0)</f>
        <v>0</v>
      </c>
      <c r="V253" s="65" t="n">
        <f aca="false">IF(V$190=1,Inputs!$D$34,0)</f>
        <v>0</v>
      </c>
      <c r="W253" s="65" t="n">
        <f aca="false">IF(W$190=1,Inputs!$D$34,0)</f>
        <v>0</v>
      </c>
      <c r="X253" s="65" t="n">
        <f aca="false">IF(X$190=1,Inputs!$D$34,0)</f>
        <v>0</v>
      </c>
      <c r="Y253" s="65" t="n">
        <f aca="false">IF(Y$190=1,Inputs!$D$34,0)</f>
        <v>0</v>
      </c>
      <c r="Z253" s="65" t="n">
        <f aca="false">IF(Z$190=1,Inputs!$D$34,0)</f>
        <v>0</v>
      </c>
      <c r="AA253" s="65" t="n">
        <f aca="false">IF(AA$190=1,Inputs!$D$34,0)</f>
        <v>0</v>
      </c>
      <c r="AB253" s="65" t="n">
        <f aca="false">IF(AB$190=1,Inputs!$D$34,0)</f>
        <v>0</v>
      </c>
      <c r="AC253" s="65" t="n">
        <f aca="false">IF(AC$190=1,Inputs!$D$34,0)</f>
        <v>0</v>
      </c>
      <c r="AD253" s="65" t="n">
        <f aca="false">IF(AD$190=1,Inputs!$D$34,0)</f>
        <v>0</v>
      </c>
      <c r="AE253" s="65" t="n">
        <f aca="false">IF(AE$190=1,Inputs!$D$34,0)</f>
        <v>0</v>
      </c>
      <c r="AF253" s="65" t="n">
        <f aca="false">IF(AF$190=1,Inputs!$D$34,0)</f>
        <v>0</v>
      </c>
      <c r="AG253" s="65" t="n">
        <f aca="false">IF(AG$190=1,Inputs!$D$34,0)</f>
        <v>0</v>
      </c>
      <c r="AH253" s="65" t="n">
        <f aca="false">IF(AH$190=1,Inputs!$D$34,0)</f>
        <v>0</v>
      </c>
      <c r="AI253" s="65" t="n">
        <f aca="false">IF(AI$190=1,Inputs!$D$34,0)</f>
        <v>0</v>
      </c>
      <c r="AJ253" s="65" t="n">
        <f aca="false">IF(AJ$190=1,Inputs!$D$34,0)</f>
        <v>0</v>
      </c>
      <c r="AK253" s="65" t="n">
        <f aca="false">IF(AK$190=1,Inputs!$D$34,0)</f>
        <v>0</v>
      </c>
      <c r="AL253" s="65" t="n">
        <f aca="false">IF(AL$190=1,Inputs!$D$34,0)</f>
        <v>0</v>
      </c>
      <c r="AM253" s="65" t="n">
        <f aca="false">IF(AM$190=1,Inputs!$D$34,0)</f>
        <v>0</v>
      </c>
      <c r="AN253" s="65" t="n">
        <f aca="false">IF(AN$190=1,Inputs!$D$34,0)</f>
        <v>0</v>
      </c>
      <c r="AO253" s="65" t="n">
        <f aca="false">IF(AO$190=1,Inputs!$D$34,0)</f>
        <v>0</v>
      </c>
      <c r="AP253" s="65" t="n">
        <f aca="false">IF(AP$190=1,Inputs!$D$34,0)</f>
        <v>0</v>
      </c>
      <c r="AQ253" s="65" t="n">
        <f aca="false">IF(AQ$190=1,Inputs!$D$34,0)</f>
        <v>0</v>
      </c>
      <c r="AR253" s="65" t="n">
        <f aca="false">IF(AR$190=1,Inputs!$D$34,0)</f>
        <v>0</v>
      </c>
      <c r="AS253" s="65" t="n">
        <f aca="false">IF(AS$190=1,Inputs!$D$34,0)</f>
        <v>0</v>
      </c>
      <c r="AT253" s="65" t="n">
        <f aca="false">IF(AT$190=1,Inputs!$D$34,0)</f>
        <v>0</v>
      </c>
      <c r="AU253" s="65" t="n">
        <f aca="false">IF(AU$190=1,Inputs!$D$34,0)</f>
        <v>0</v>
      </c>
      <c r="AV253" s="65" t="n">
        <f aca="false">IF(AV$190=1,Inputs!$D$34,0)</f>
        <v>0</v>
      </c>
      <c r="AW253" s="65" t="n">
        <f aca="false">IF(AW$190=1,Inputs!$D$34,0)</f>
        <v>0</v>
      </c>
      <c r="AX253" s="65" t="n">
        <f aca="false">IF(AX$190=1,Inputs!$D$34,0)</f>
        <v>0</v>
      </c>
      <c r="AY253" s="65" t="n">
        <f aca="false">IF(AY$190=1,Inputs!$D$34,0)</f>
        <v>0</v>
      </c>
      <c r="AZ253" s="65" t="n">
        <f aca="false">IF(AZ$190=1,Inputs!$D$34,0)</f>
        <v>0</v>
      </c>
      <c r="BA253" s="65" t="n">
        <f aca="false">IF(BA$190=1,Inputs!$D$34,0)</f>
        <v>0</v>
      </c>
      <c r="BB253" s="65" t="n">
        <f aca="false">IF(BB$190=1,Inputs!$D$34,0)</f>
        <v>0</v>
      </c>
      <c r="BC253" s="65" t="n">
        <f aca="false">IF(BC$190=1,Inputs!$D$34,0)</f>
        <v>0</v>
      </c>
      <c r="BD253" s="65" t="n">
        <f aca="false">IF(BD$190=1,Inputs!$D$34,0)</f>
        <v>0</v>
      </c>
      <c r="BE253" s="65" t="n">
        <f aca="false">IF(BE$190=1,Inputs!$D$34,0)</f>
        <v>0</v>
      </c>
      <c r="BF253" s="65" t="n">
        <f aca="false">IF(BF$190=1,Inputs!$D$34,0)</f>
        <v>0</v>
      </c>
      <c r="BG253" s="65" t="n">
        <f aca="false">IF(BG$190=1,Inputs!$D$34,0)</f>
        <v>0</v>
      </c>
      <c r="BH253" s="65" t="n">
        <f aca="false">IF(BH$190=1,Inputs!$D$34,0)</f>
        <v>0</v>
      </c>
      <c r="BI253" s="65" t="n">
        <f aca="false">IF(BI$190=1,Inputs!$D$34,0)</f>
        <v>0</v>
      </c>
      <c r="BJ253" s="65" t="n">
        <f aca="false">IF(BJ$190=1,Inputs!$D$34,0)</f>
        <v>0</v>
      </c>
    </row>
    <row r="254" customFormat="false" ht="15" hidden="false" customHeight="false" outlineLevel="0" collapsed="false">
      <c r="A254" s="6" t="s">
        <v>55</v>
      </c>
      <c r="C254" s="65" t="n">
        <f aca="false">C253+C236+C238</f>
        <v>1958915.18371808</v>
      </c>
      <c r="D254" s="65" t="n">
        <f aca="false">D253+D236+D238</f>
        <v>-1090.69237010927</v>
      </c>
      <c r="E254" s="65" t="n">
        <f aca="false">E253+E236+E238</f>
        <v>-1096.60028711403</v>
      </c>
      <c r="F254" s="65" t="n">
        <f aca="false">F253+F236+F238</f>
        <v>-1102.5402053359</v>
      </c>
      <c r="G254" s="65" t="n">
        <f aca="false">G253+G236+G238</f>
        <v>-1108.5122981148</v>
      </c>
      <c r="H254" s="65" t="n">
        <f aca="false">H253+H236+H238</f>
        <v>-1114.51673972959</v>
      </c>
      <c r="I254" s="65" t="n">
        <f aca="false">I253+I236+I238</f>
        <v>-1120.55370540313</v>
      </c>
      <c r="J254" s="65" t="n">
        <f aca="false">J253+J236+J238</f>
        <v>-1126.62337130739</v>
      </c>
      <c r="K254" s="65" t="n">
        <f aca="false">K253+K236+K238</f>
        <v>-1132.72591456864</v>
      </c>
      <c r="L254" s="65" t="n">
        <f aca="false">L253+L236+L238</f>
        <v>-1138.86151327256</v>
      </c>
      <c r="M254" s="65" t="n">
        <f aca="false">M253+M236+M238</f>
        <v>-1145.03034646945</v>
      </c>
      <c r="N254" s="65" t="n">
        <f aca="false">N253+N236+N238</f>
        <v>-1151.23259417949</v>
      </c>
      <c r="O254" s="65" t="n">
        <f aca="false">O253+O236+O238</f>
        <v>-1157.46843739797</v>
      </c>
      <c r="P254" s="65" t="n">
        <f aca="false">P253+P236+P238</f>
        <v>-1163.73805810054</v>
      </c>
      <c r="Q254" s="65" t="n">
        <f aca="false">Q253+Q236+Q238</f>
        <v>-1170.04163924858</v>
      </c>
      <c r="R254" s="65" t="n">
        <f aca="false">R253+R236+R238</f>
        <v>-1176.37936479451</v>
      </c>
      <c r="S254" s="65" t="n">
        <f aca="false">S253+S236+S238</f>
        <v>-1182.75141968715</v>
      </c>
      <c r="T254" s="65" t="n">
        <f aca="false">T253+T236+T238</f>
        <v>-1189.15798987712</v>
      </c>
      <c r="U254" s="65" t="n">
        <f aca="false">U253+U236+U238</f>
        <v>-1195.59926232229</v>
      </c>
      <c r="V254" s="65" t="n">
        <f aca="false">V253+V236+V238</f>
        <v>-1202.0754249932</v>
      </c>
      <c r="W254" s="65" t="n">
        <f aca="false">W253+W236+W238</f>
        <v>-1208.58666687858</v>
      </c>
      <c r="X254" s="65" t="n">
        <f aca="false">X253+X236+X238</f>
        <v>-1215.13317799084</v>
      </c>
      <c r="Y254" s="65" t="n">
        <f aca="false">Y253+Y236+Y238</f>
        <v>-1221.71514937162</v>
      </c>
      <c r="Z254" s="65" t="n">
        <f aca="false">Z253+Z236+Z238</f>
        <v>-1228.33277309739</v>
      </c>
      <c r="AA254" s="65" t="n">
        <f aca="false">AA253+AA236+AA238</f>
        <v>-1234.986242285</v>
      </c>
      <c r="AB254" s="65" t="n">
        <f aca="false">AB253+AB236+AB238</f>
        <v>-1241.67575109737</v>
      </c>
      <c r="AC254" s="65" t="n">
        <f aca="false">AC253+AC236+AC238</f>
        <v>-1248.40149474915</v>
      </c>
      <c r="AD254" s="65" t="n">
        <f aca="false">AD253+AD236+AD238</f>
        <v>-1255.16366951237</v>
      </c>
      <c r="AE254" s="65" t="n">
        <f aca="false">AE253+AE236+AE238</f>
        <v>-1261.96247272223</v>
      </c>
      <c r="AF254" s="65" t="n">
        <f aca="false">AF253+AF236+AF238</f>
        <v>-1268.79810278281</v>
      </c>
      <c r="AG254" s="65" t="n">
        <f aca="false">AG253+AG236+AG238</f>
        <v>-1275.67075917288</v>
      </c>
      <c r="AH254" s="65" t="n">
        <f aca="false">AH253+AH236+AH238</f>
        <v>-1282.58064245174</v>
      </c>
      <c r="AI254" s="65" t="n">
        <f aca="false">AI253+AI236+AI238</f>
        <v>-1289.52795426502</v>
      </c>
      <c r="AJ254" s="65" t="n">
        <f aca="false">AJ253+AJ236+AJ238</f>
        <v>-1296.51289735062</v>
      </c>
      <c r="AK254" s="65" t="n">
        <f aca="false">AK253+AK236+AK238</f>
        <v>-1303.5356755446</v>
      </c>
      <c r="AL254" s="65" t="n">
        <f aca="false">AL253+AL236+AL238</f>
        <v>-1310.59649378714</v>
      </c>
      <c r="AM254" s="65" t="n">
        <f aca="false">AM253+AM236+AM238</f>
        <v>-1317.69555812848</v>
      </c>
      <c r="AN254" s="65" t="n">
        <f aca="false">AN253+AN236+AN238</f>
        <v>-1324.83307573501</v>
      </c>
      <c r="AO254" s="65" t="n">
        <f aca="false">AO253+AO236+AO238</f>
        <v>-1332.00925489524</v>
      </c>
      <c r="AP254" s="65" t="n">
        <f aca="false">AP253+AP236+AP238</f>
        <v>-1339.22430502593</v>
      </c>
      <c r="AQ254" s="65" t="n">
        <f aca="false">AQ253+AQ236+AQ238</f>
        <v>-1346.47843667815</v>
      </c>
      <c r="AR254" s="65" t="n">
        <f aca="false">AR253+AR236+AR238</f>
        <v>-1353.77186154349</v>
      </c>
      <c r="AS254" s="65" t="n">
        <f aca="false">AS253+AS236+AS238</f>
        <v>-1361.10479246018</v>
      </c>
      <c r="AT254" s="65" t="n">
        <f aca="false">AT253+AT236+AT238</f>
        <v>-1368.47744341934</v>
      </c>
      <c r="AU254" s="65" t="n">
        <f aca="false">AU253+AU236+AU238</f>
        <v>-1375.8900295712</v>
      </c>
      <c r="AV254" s="65" t="n">
        <f aca="false">AV253+AV236+AV238</f>
        <v>-1383.34276723137</v>
      </c>
      <c r="AW254" s="65" t="n">
        <f aca="false">AW253+AW236+AW238</f>
        <v>-1390.83587388721</v>
      </c>
      <c r="AX254" s="65" t="n">
        <f aca="false">AX253+AX236+AX238</f>
        <v>-1398.3695682041</v>
      </c>
      <c r="AY254" s="65" t="n">
        <f aca="false">AY253+AY236+AY238</f>
        <v>-1405.94407003187</v>
      </c>
      <c r="AZ254" s="65" t="n">
        <f aca="false">AZ253+AZ236+AZ238</f>
        <v>-1413.55960041121</v>
      </c>
      <c r="BA254" s="65" t="n">
        <f aca="false">BA253+BA236+BA238</f>
        <v>-1421.21638158011</v>
      </c>
      <c r="BB254" s="65" t="n">
        <f aca="false">BB253+BB236+BB238</f>
        <v>-1428.91463698033</v>
      </c>
      <c r="BC254" s="65" t="n">
        <f aca="false">BC253+BC236+BC238</f>
        <v>-1436.65459126397</v>
      </c>
      <c r="BD254" s="65" t="n">
        <f aca="false">BD253+BD236+BD238</f>
        <v>-1444.43647029999</v>
      </c>
      <c r="BE254" s="65" t="n">
        <f aca="false">BE253+BE236+BE238</f>
        <v>-1452.26050118078</v>
      </c>
      <c r="BF254" s="65" t="n">
        <f aca="false">BF253+BF236+BF238</f>
        <v>-1460.12691222884</v>
      </c>
      <c r="BG254" s="65" t="n">
        <f aca="false">BG253+BG236+BG238</f>
        <v>-1468.03593300341</v>
      </c>
      <c r="BH254" s="65" t="n">
        <f aca="false">BH253+BH236+BH238</f>
        <v>-1475.98779430718</v>
      </c>
      <c r="BI254" s="65" t="n">
        <f aca="false">BI253+BI236+BI238</f>
        <v>-1483.98272819301</v>
      </c>
      <c r="BJ254" s="65" t="n">
        <f aca="false">BJ253+BJ236+BJ238</f>
        <v>-1492.02096797073</v>
      </c>
    </row>
    <row r="255" customFormat="false" ht="15" hidden="false" customHeight="false" outlineLevel="0" collapsed="false">
      <c r="A255" s="108" t="s">
        <v>438</v>
      </c>
      <c r="C255" s="66" t="n">
        <f aca="false">C251+C252+C254</f>
        <v>59058.4249761091</v>
      </c>
      <c r="D255" s="66" t="n">
        <f aca="false">D251+D252+D254</f>
        <v>3675.38004079832</v>
      </c>
      <c r="E255" s="66" t="n">
        <f aca="false">E251+E252+E254</f>
        <v>3674.3284214372</v>
      </c>
      <c r="F255" s="66" t="n">
        <f aca="false">F251+F252+F254</f>
        <v>3673.27008182049</v>
      </c>
      <c r="G255" s="66" t="n">
        <f aca="false">G251+G252+G254</f>
        <v>3672.20498554679</v>
      </c>
      <c r="H255" s="66" t="n">
        <f aca="false">H251+H252+H254</f>
        <v>3671.13309601756</v>
      </c>
      <c r="I255" s="66" t="n">
        <f aca="false">I251+I252+I254</f>
        <v>3670.054376436</v>
      </c>
      <c r="J255" s="66" t="n">
        <f aca="false">J251+J252+J254</f>
        <v>3668.96878980598</v>
      </c>
      <c r="K255" s="66" t="n">
        <f aca="false">K251+K252+K254</f>
        <v>3667.87629893099</v>
      </c>
      <c r="L255" s="66" t="n">
        <f aca="false">L251+L252+L254</f>
        <v>3666.77686641305</v>
      </c>
      <c r="M255" s="66" t="n">
        <f aca="false">M251+M252+M254</f>
        <v>3665.67045465158</v>
      </c>
      <c r="N255" s="66" t="n">
        <f aca="false">N251+N252+N254</f>
        <v>3664.55702584234</v>
      </c>
      <c r="O255" s="66" t="n">
        <f aca="false">O251+O252+O254</f>
        <v>4095.77972238992</v>
      </c>
      <c r="P255" s="66" t="n">
        <f aca="false">P251+P252+P254</f>
        <v>4066.1268713325</v>
      </c>
      <c r="Q255" s="66" t="n">
        <f aca="false">Q251+Q252+Q254</f>
        <v>4064.99688858154</v>
      </c>
      <c r="R255" s="66" t="n">
        <f aca="false">R251+R252+R254</f>
        <v>4063.85973550702</v>
      </c>
      <c r="S255" s="66" t="n">
        <f aca="false">S251+S252+S254</f>
        <v>4062.71537326969</v>
      </c>
      <c r="T255" s="66" t="n">
        <f aca="false">T251+T252+T254</f>
        <v>4061.56376281992</v>
      </c>
      <c r="U255" s="66" t="n">
        <f aca="false">U251+U252+U254</f>
        <v>4060.40486489655</v>
      </c>
      <c r="V255" s="66" t="n">
        <f aca="false">V251+V252+V254</f>
        <v>4059.23864002579</v>
      </c>
      <c r="W255" s="66" t="n">
        <f aca="false">W251+W252+W254</f>
        <v>4058.06504851998</v>
      </c>
      <c r="X255" s="66" t="n">
        <f aca="false">X251+X252+X254</f>
        <v>4056.88405047653</v>
      </c>
      <c r="Y255" s="66" t="n">
        <f aca="false">Y251+Y252+Y254</f>
        <v>4055.69560577669</v>
      </c>
      <c r="Z255" s="66" t="n">
        <f aca="false">Z251+Z252+Z254</f>
        <v>4054.4996740844</v>
      </c>
      <c r="AA255" s="66" t="n">
        <f aca="false">AA251+AA252+AA254</f>
        <v>4503.95869220905</v>
      </c>
      <c r="AB255" s="66" t="n">
        <f aca="false">AB251+AB252+AB254</f>
        <v>4473.25005888083</v>
      </c>
      <c r="AC255" s="66" t="n">
        <f aca="false">AC251+AC252+AC254</f>
        <v>4472.03626623633</v>
      </c>
      <c r="AD255" s="66" t="n">
        <f aca="false">AD251+AD252+AD254</f>
        <v>4470.81482305843</v>
      </c>
      <c r="AE255" s="66" t="n">
        <f aca="false">AE251+AE252+AE254</f>
        <v>4469.58568790674</v>
      </c>
      <c r="AF255" s="66" t="n">
        <f aca="false">AF251+AF252+AF254</f>
        <v>4468.34881911639</v>
      </c>
      <c r="AG255" s="66" t="n">
        <f aca="false">AG251+AG252+AG254</f>
        <v>4467.10417479685</v>
      </c>
      <c r="AH255" s="66" t="n">
        <f aca="false">AH251+AH252+AH254</f>
        <v>4465.85171283067</v>
      </c>
      <c r="AI255" s="66" t="n">
        <f aca="false">AI251+AI252+AI254</f>
        <v>4464.59139087226</v>
      </c>
      <c r="AJ255" s="66" t="n">
        <f aca="false">AJ251+AJ252+AJ254</f>
        <v>4463.32316634666</v>
      </c>
      <c r="AK255" s="66" t="n">
        <f aca="false">AK251+AK252+AK254</f>
        <v>4462.0469964483</v>
      </c>
      <c r="AL255" s="66" t="n">
        <f aca="false">AL251+AL252+AL254</f>
        <v>4460.76283813974</v>
      </c>
      <c r="AM255" s="66" t="n">
        <f aca="false">AM251+AM252+AM254</f>
        <v>4929.21083358605</v>
      </c>
      <c r="AN255" s="66" t="n">
        <f aca="false">AN251+AN252+AN254</f>
        <v>4897.40595449912</v>
      </c>
      <c r="AO255" s="66" t="n">
        <f aca="false">AO251+AO252+AO254</f>
        <v>4896.1025357359</v>
      </c>
      <c r="AP255" s="66" t="n">
        <f aca="false">AP251+AP252+AP254</f>
        <v>4894.7909540689</v>
      </c>
      <c r="AQ255" s="66" t="n">
        <f aca="false">AQ251+AQ252+AQ254</f>
        <v>4893.47116528237</v>
      </c>
      <c r="AR255" s="66" t="n">
        <f aca="false">AR251+AR252+AR254</f>
        <v>4892.14312492108</v>
      </c>
      <c r="AS255" s="66" t="n">
        <f aca="false">AS251+AS252+AS254</f>
        <v>4890.80678828901</v>
      </c>
      <c r="AT255" s="66" t="n">
        <f aca="false">AT251+AT252+AT254</f>
        <v>4889.46211044802</v>
      </c>
      <c r="AU255" s="66" t="n">
        <f aca="false">AU251+AU252+AU254</f>
        <v>4888.10904621657</v>
      </c>
      <c r="AV255" s="66" t="n">
        <f aca="false">AV251+AV252+AV254</f>
        <v>4886.74755016837</v>
      </c>
      <c r="AW255" s="66" t="n">
        <f aca="false">AW251+AW252+AW254</f>
        <v>4885.37757663108</v>
      </c>
      <c r="AX255" s="66" t="n">
        <f aca="false">AX251+AX252+AX254</f>
        <v>4883.99907968497</v>
      </c>
      <c r="AY255" s="66" t="n">
        <f aca="false">AY251+AY252+AY254</f>
        <v>5372.21929521618</v>
      </c>
      <c r="AZ255" s="66" t="n">
        <f aca="false">AZ251+AZ252+AZ254</f>
        <v>5339.27603271722</v>
      </c>
      <c r="BA255" s="66" t="n">
        <f aca="false">BA251+BA252+BA254</f>
        <v>5337.8767770037</v>
      </c>
      <c r="BB255" s="66" t="n">
        <f aca="false">BB251+BB252+BB254</f>
        <v>5336.4688117016</v>
      </c>
      <c r="BC255" s="66" t="n">
        <f aca="false">BC251+BC252+BC254</f>
        <v>5335.05208963398</v>
      </c>
      <c r="BD255" s="66" t="n">
        <f aca="false">BD251+BD252+BD254</f>
        <v>5333.62656336837</v>
      </c>
      <c r="BE255" s="66" t="n">
        <f aca="false">BE251+BE252+BE254</f>
        <v>5332.19218521535</v>
      </c>
      <c r="BF255" s="66" t="n">
        <f aca="false">BF251+BF252+BF254</f>
        <v>5330.7489072272</v>
      </c>
      <c r="BG255" s="66" t="n">
        <f aca="false">BG251+BG252+BG254</f>
        <v>5329.29668119648</v>
      </c>
      <c r="BH255" s="66" t="n">
        <f aca="false">BH251+BH252+BH254</f>
        <v>5327.83545865464</v>
      </c>
      <c r="BI255" s="66" t="n">
        <f aca="false">BI251+BI252+BI254</f>
        <v>5326.36519087057</v>
      </c>
      <c r="BJ255" s="66" t="n">
        <f aca="false">BJ251+BJ252+BJ254</f>
        <v>5324.88582884919</v>
      </c>
    </row>
    <row r="256" customFormat="false" ht="15" hidden="false" customHeight="false" outlineLevel="0" collapsed="false">
      <c r="A256" s="6" t="s">
        <v>349</v>
      </c>
      <c r="C256" s="65" t="n">
        <f aca="false">0</f>
        <v>0</v>
      </c>
      <c r="D256" s="65" t="n">
        <f aca="false">C257</f>
        <v>59058.4249761091</v>
      </c>
      <c r="E256" s="65" t="n">
        <f aca="false">D257</f>
        <v>62733.8050169074</v>
      </c>
      <c r="F256" s="65" t="n">
        <f aca="false">E257</f>
        <v>66408.1334383446</v>
      </c>
      <c r="G256" s="65" t="n">
        <f aca="false">F257</f>
        <v>70081.4035201651</v>
      </c>
      <c r="H256" s="65" t="n">
        <f aca="false">G257</f>
        <v>73753.6085057119</v>
      </c>
      <c r="I256" s="65" t="n">
        <f aca="false">H257</f>
        <v>77424.7416017294</v>
      </c>
      <c r="J256" s="65" t="n">
        <f aca="false">I257</f>
        <v>81094.7959781654</v>
      </c>
      <c r="K256" s="65" t="n">
        <f aca="false">J257</f>
        <v>84763.7647679714</v>
      </c>
      <c r="L256" s="65" t="n">
        <f aca="false">K257</f>
        <v>88431.6410669024</v>
      </c>
      <c r="M256" s="65" t="n">
        <f aca="false">L257</f>
        <v>92098.4179333155</v>
      </c>
      <c r="N256" s="65" t="n">
        <f aca="false">M257</f>
        <v>95764.088387967</v>
      </c>
      <c r="O256" s="65" t="n">
        <f aca="false">N257</f>
        <v>99428.6454138094</v>
      </c>
      <c r="P256" s="65" t="n">
        <f aca="false">O257</f>
        <v>103524.425136199</v>
      </c>
      <c r="Q256" s="65" t="n">
        <f aca="false">P257</f>
        <v>107590.552007532</v>
      </c>
      <c r="R256" s="65" t="n">
        <f aca="false">Q257</f>
        <v>111655.548896113</v>
      </c>
      <c r="S256" s="65" t="n">
        <f aca="false">R257</f>
        <v>115719.40863162</v>
      </c>
      <c r="T256" s="65" t="n">
        <f aca="false">S257</f>
        <v>119782.12400489</v>
      </c>
      <c r="U256" s="65" t="n">
        <f aca="false">T257</f>
        <v>123843.68776771</v>
      </c>
      <c r="V256" s="65" t="n">
        <f aca="false">U257</f>
        <v>127904.092632607</v>
      </c>
      <c r="W256" s="65" t="n">
        <f aca="false">V257</f>
        <v>131963.331272632</v>
      </c>
      <c r="X256" s="65" t="n">
        <f aca="false">W257</f>
        <v>136021.396321152</v>
      </c>
      <c r="Y256" s="65" t="n">
        <f aca="false">X257</f>
        <v>140078.280371629</v>
      </c>
      <c r="Z256" s="65" t="n">
        <f aca="false">Y257</f>
        <v>144133.975977406</v>
      </c>
      <c r="AA256" s="65" t="n">
        <f aca="false">Z257</f>
        <v>148188.47565149</v>
      </c>
      <c r="AB256" s="65" t="n">
        <f aca="false">AA257</f>
        <v>152692.434343699</v>
      </c>
      <c r="AC256" s="65" t="n">
        <f aca="false">AB257</f>
        <v>157165.68440258</v>
      </c>
      <c r="AD256" s="65" t="n">
        <f aca="false">AC257</f>
        <v>161637.720668816</v>
      </c>
      <c r="AE256" s="65" t="n">
        <f aca="false">AD257</f>
        <v>166108.535491875</v>
      </c>
      <c r="AF256" s="65" t="n">
        <f aca="false">AE257</f>
        <v>170578.121179781</v>
      </c>
      <c r="AG256" s="65" t="n">
        <f aca="false">AF257</f>
        <v>175046.469998898</v>
      </c>
      <c r="AH256" s="65" t="n">
        <f aca="false">AG257</f>
        <v>179513.574173695</v>
      </c>
      <c r="AI256" s="65" t="n">
        <f aca="false">AH257</f>
        <v>183979.425886525</v>
      </c>
      <c r="AJ256" s="65" t="n">
        <f aca="false">AI257</f>
        <v>188444.017277397</v>
      </c>
      <c r="AK256" s="65" t="n">
        <f aca="false">AJ257</f>
        <v>192907.340443744</v>
      </c>
      <c r="AL256" s="65" t="n">
        <f aca="false">AK257</f>
        <v>197369.387440192</v>
      </c>
      <c r="AM256" s="65" t="n">
        <f aca="false">AL257</f>
        <v>201830.150278332</v>
      </c>
      <c r="AN256" s="65" t="n">
        <f aca="false">AM257</f>
        <v>206759.361111918</v>
      </c>
      <c r="AO256" s="65" t="n">
        <f aca="false">AN257</f>
        <v>211656.767066417</v>
      </c>
      <c r="AP256" s="65" t="n">
        <f aca="false">AO257</f>
        <v>216552.869602153</v>
      </c>
      <c r="AQ256" s="65" t="n">
        <f aca="false">AP257</f>
        <v>221447.660556222</v>
      </c>
      <c r="AR256" s="65" t="n">
        <f aca="false">AQ257</f>
        <v>226341.131721504</v>
      </c>
      <c r="AS256" s="65" t="n">
        <f aca="false">AR257</f>
        <v>231233.274846426</v>
      </c>
      <c r="AT256" s="65" t="n">
        <f aca="false">AS257</f>
        <v>236124.081634715</v>
      </c>
      <c r="AU256" s="65" t="n">
        <f aca="false">AT257</f>
        <v>241013.543745163</v>
      </c>
      <c r="AV256" s="65" t="n">
        <f aca="false">AU257</f>
        <v>245901.652791379</v>
      </c>
      <c r="AW256" s="65" t="n">
        <f aca="false">AV257</f>
        <v>250788.400341548</v>
      </c>
      <c r="AX256" s="65" t="n">
        <f aca="false">AW257</f>
        <v>255673.777918179</v>
      </c>
      <c r="AY256" s="65" t="n">
        <f aca="false">AX257</f>
        <v>260557.776997864</v>
      </c>
      <c r="AZ256" s="65" t="n">
        <f aca="false">AY257</f>
        <v>265929.99629308</v>
      </c>
      <c r="BA256" s="65" t="n">
        <f aca="false">AZ257</f>
        <v>271269.272325797</v>
      </c>
      <c r="BB256" s="65" t="n">
        <f aca="false">BA257</f>
        <v>276607.149102801</v>
      </c>
      <c r="BC256" s="65" t="n">
        <f aca="false">BB257</f>
        <v>281943.617914502</v>
      </c>
      <c r="BD256" s="65" t="n">
        <f aca="false">BC257</f>
        <v>287278.670004136</v>
      </c>
      <c r="BE256" s="65" t="n">
        <f aca="false">BD257</f>
        <v>292612.296567505</v>
      </c>
      <c r="BF256" s="65" t="n">
        <f aca="false">BE257</f>
        <v>297944.48875272</v>
      </c>
      <c r="BG256" s="65" t="n">
        <f aca="false">BF257</f>
        <v>303275.237659947</v>
      </c>
      <c r="BH256" s="65" t="n">
        <f aca="false">BG257</f>
        <v>308604.534341144</v>
      </c>
      <c r="BI256" s="65" t="n">
        <f aca="false">BH257</f>
        <v>313932.369799798</v>
      </c>
      <c r="BJ256" s="65" t="n">
        <f aca="false">BI257</f>
        <v>319258.734990669</v>
      </c>
    </row>
    <row r="257" customFormat="false" ht="15" hidden="false" customHeight="false" outlineLevel="0" collapsed="false">
      <c r="A257" s="108" t="s">
        <v>87</v>
      </c>
      <c r="C257" s="66" t="n">
        <f aca="false">C256+C255</f>
        <v>59058.4249761091</v>
      </c>
      <c r="D257" s="66" t="n">
        <f aca="false">D256+D255</f>
        <v>62733.8050169074</v>
      </c>
      <c r="E257" s="66" t="n">
        <f aca="false">E256+E255</f>
        <v>66408.1334383446</v>
      </c>
      <c r="F257" s="66" t="n">
        <f aca="false">F256+F255</f>
        <v>70081.4035201651</v>
      </c>
      <c r="G257" s="66" t="n">
        <f aca="false">G256+G255</f>
        <v>73753.6085057119</v>
      </c>
      <c r="H257" s="66" t="n">
        <f aca="false">H256+H255</f>
        <v>77424.7416017294</v>
      </c>
      <c r="I257" s="66" t="n">
        <f aca="false">I256+I255</f>
        <v>81094.7959781654</v>
      </c>
      <c r="J257" s="66" t="n">
        <f aca="false">J256+J255</f>
        <v>84763.7647679714</v>
      </c>
      <c r="K257" s="66" t="n">
        <f aca="false">K256+K255</f>
        <v>88431.6410669024</v>
      </c>
      <c r="L257" s="66" t="n">
        <f aca="false">L256+L255</f>
        <v>92098.4179333155</v>
      </c>
      <c r="M257" s="66" t="n">
        <f aca="false">M256+M255</f>
        <v>95764.088387967</v>
      </c>
      <c r="N257" s="66" t="n">
        <f aca="false">N256+N255</f>
        <v>99428.6454138094</v>
      </c>
      <c r="O257" s="66" t="n">
        <f aca="false">O256+O255</f>
        <v>103524.425136199</v>
      </c>
      <c r="P257" s="66" t="n">
        <f aca="false">P256+P255</f>
        <v>107590.552007532</v>
      </c>
      <c r="Q257" s="66" t="n">
        <f aca="false">Q256+Q255</f>
        <v>111655.548896113</v>
      </c>
      <c r="R257" s="66" t="n">
        <f aca="false">R256+R255</f>
        <v>115719.40863162</v>
      </c>
      <c r="S257" s="66" t="n">
        <f aca="false">S256+S255</f>
        <v>119782.12400489</v>
      </c>
      <c r="T257" s="66" t="n">
        <f aca="false">T256+T255</f>
        <v>123843.68776771</v>
      </c>
      <c r="U257" s="66" t="n">
        <f aca="false">U256+U255</f>
        <v>127904.092632607</v>
      </c>
      <c r="V257" s="66" t="n">
        <f aca="false">V256+V255</f>
        <v>131963.331272632</v>
      </c>
      <c r="W257" s="66" t="n">
        <f aca="false">W256+W255</f>
        <v>136021.396321152</v>
      </c>
      <c r="X257" s="66" t="n">
        <f aca="false">X256+X255</f>
        <v>140078.280371629</v>
      </c>
      <c r="Y257" s="66" t="n">
        <f aca="false">Y256+Y255</f>
        <v>144133.975977406</v>
      </c>
      <c r="Z257" s="66" t="n">
        <f aca="false">Z256+Z255</f>
        <v>148188.47565149</v>
      </c>
      <c r="AA257" s="66" t="n">
        <f aca="false">AA256+AA255</f>
        <v>152692.434343699</v>
      </c>
      <c r="AB257" s="66" t="n">
        <f aca="false">AB256+AB255</f>
        <v>157165.68440258</v>
      </c>
      <c r="AC257" s="66" t="n">
        <f aca="false">AC256+AC255</f>
        <v>161637.720668816</v>
      </c>
      <c r="AD257" s="66" t="n">
        <f aca="false">AD256+AD255</f>
        <v>166108.535491875</v>
      </c>
      <c r="AE257" s="66" t="n">
        <f aca="false">AE256+AE255</f>
        <v>170578.121179781</v>
      </c>
      <c r="AF257" s="66" t="n">
        <f aca="false">AF256+AF255</f>
        <v>175046.469998898</v>
      </c>
      <c r="AG257" s="66" t="n">
        <f aca="false">AG256+AG255</f>
        <v>179513.574173695</v>
      </c>
      <c r="AH257" s="66" t="n">
        <f aca="false">AH256+AH255</f>
        <v>183979.425886525</v>
      </c>
      <c r="AI257" s="66" t="n">
        <f aca="false">AI256+AI255</f>
        <v>188444.017277397</v>
      </c>
      <c r="AJ257" s="66" t="n">
        <f aca="false">AJ256+AJ255</f>
        <v>192907.340443744</v>
      </c>
      <c r="AK257" s="66" t="n">
        <f aca="false">AK256+AK255</f>
        <v>197369.387440192</v>
      </c>
      <c r="AL257" s="66" t="n">
        <f aca="false">AL256+AL255</f>
        <v>201830.150278332</v>
      </c>
      <c r="AM257" s="66" t="n">
        <f aca="false">AM256+AM255</f>
        <v>206759.361111918</v>
      </c>
      <c r="AN257" s="66" t="n">
        <f aca="false">AN256+AN255</f>
        <v>211656.767066417</v>
      </c>
      <c r="AO257" s="66" t="n">
        <f aca="false">AO256+AO255</f>
        <v>216552.869602153</v>
      </c>
      <c r="AP257" s="66" t="n">
        <f aca="false">AP256+AP255</f>
        <v>221447.660556222</v>
      </c>
      <c r="AQ257" s="66" t="n">
        <f aca="false">AQ256+AQ255</f>
        <v>226341.131721504</v>
      </c>
      <c r="AR257" s="66" t="n">
        <f aca="false">AR256+AR255</f>
        <v>231233.274846426</v>
      </c>
      <c r="AS257" s="66" t="n">
        <f aca="false">AS256+AS255</f>
        <v>236124.081634715</v>
      </c>
      <c r="AT257" s="66" t="n">
        <f aca="false">AT256+AT255</f>
        <v>241013.543745163</v>
      </c>
      <c r="AU257" s="66" t="n">
        <f aca="false">AU256+AU255</f>
        <v>245901.652791379</v>
      </c>
      <c r="AV257" s="66" t="n">
        <f aca="false">AV256+AV255</f>
        <v>250788.400341548</v>
      </c>
      <c r="AW257" s="66" t="n">
        <f aca="false">AW256+AW255</f>
        <v>255673.777918179</v>
      </c>
      <c r="AX257" s="66" t="n">
        <f aca="false">AX256+AX255</f>
        <v>260557.776997864</v>
      </c>
      <c r="AY257" s="66" t="n">
        <f aca="false">AY256+AY255</f>
        <v>265929.99629308</v>
      </c>
      <c r="AZ257" s="66" t="n">
        <f aca="false">AZ256+AZ255</f>
        <v>271269.272325797</v>
      </c>
      <c r="BA257" s="66" t="n">
        <f aca="false">BA256+BA255</f>
        <v>276607.149102801</v>
      </c>
      <c r="BB257" s="66" t="n">
        <f aca="false">BB256+BB255</f>
        <v>281943.617914502</v>
      </c>
      <c r="BC257" s="66" t="n">
        <f aca="false">BC256+BC255</f>
        <v>287278.670004136</v>
      </c>
      <c r="BD257" s="66" t="n">
        <f aca="false">BD256+BD255</f>
        <v>292612.296567505</v>
      </c>
      <c r="BE257" s="66" t="n">
        <f aca="false">BE256+BE255</f>
        <v>297944.48875272</v>
      </c>
      <c r="BF257" s="66" t="n">
        <f aca="false">BF256+BF255</f>
        <v>303275.237659947</v>
      </c>
      <c r="BG257" s="66" t="n">
        <f aca="false">BG256+BG255</f>
        <v>308604.534341144</v>
      </c>
      <c r="BH257" s="66" t="n">
        <f aca="false">BH256+BH255</f>
        <v>313932.369799798</v>
      </c>
      <c r="BI257" s="66" t="n">
        <f aca="false">BI256+BI255</f>
        <v>319258.734990669</v>
      </c>
      <c r="BJ257" s="66" t="n">
        <f aca="false">BJ256+BJ255</f>
        <v>324583.620819518</v>
      </c>
    </row>
    <row r="258" customFormat="false" ht="15" hidden="false" customHeight="false" outlineLevel="0" collapsed="false">
      <c r="A258" s="112" t="s">
        <v>439</v>
      </c>
      <c r="C258" s="113" t="n">
        <f aca="false">IF(C212&gt;0,1,0)</f>
        <v>1</v>
      </c>
      <c r="D258" s="113" t="n">
        <f aca="false">IF(D212&gt;0,1,0)</f>
        <v>1</v>
      </c>
      <c r="E258" s="113" t="n">
        <f aca="false">IF(E212&gt;0,1,0)</f>
        <v>1</v>
      </c>
      <c r="F258" s="113" t="n">
        <f aca="false">IF(F212&gt;0,1,0)</f>
        <v>1</v>
      </c>
      <c r="G258" s="113" t="n">
        <f aca="false">IF(G212&gt;0,1,0)</f>
        <v>1</v>
      </c>
      <c r="H258" s="113" t="n">
        <f aca="false">IF(H212&gt;0,1,0)</f>
        <v>1</v>
      </c>
      <c r="I258" s="113" t="n">
        <f aca="false">IF(I212&gt;0,1,0)</f>
        <v>1</v>
      </c>
      <c r="J258" s="113" t="n">
        <f aca="false">IF(J212&gt;0,1,0)</f>
        <v>1</v>
      </c>
      <c r="K258" s="113" t="n">
        <f aca="false">IF(K212&gt;0,1,0)</f>
        <v>1</v>
      </c>
      <c r="L258" s="113" t="n">
        <f aca="false">IF(L212&gt;0,1,0)</f>
        <v>1</v>
      </c>
      <c r="M258" s="113" t="n">
        <f aca="false">IF(M212&gt;0,1,0)</f>
        <v>1</v>
      </c>
      <c r="N258" s="113" t="n">
        <f aca="false">IF(N212&gt;0,1,0)</f>
        <v>1</v>
      </c>
      <c r="O258" s="113" t="n">
        <f aca="false">IF(O212&gt;0,1,0)</f>
        <v>1</v>
      </c>
      <c r="P258" s="113" t="n">
        <f aca="false">IF(P212&gt;0,1,0)</f>
        <v>1</v>
      </c>
      <c r="Q258" s="113" t="n">
        <f aca="false">IF(Q212&gt;0,1,0)</f>
        <v>1</v>
      </c>
      <c r="R258" s="113" t="n">
        <f aca="false">IF(R212&gt;0,1,0)</f>
        <v>1</v>
      </c>
      <c r="S258" s="113" t="n">
        <f aca="false">IF(S212&gt;0,1,0)</f>
        <v>1</v>
      </c>
      <c r="T258" s="113" t="n">
        <f aca="false">IF(T212&gt;0,1,0)</f>
        <v>1</v>
      </c>
      <c r="U258" s="113" t="n">
        <f aca="false">IF(U212&gt;0,1,0)</f>
        <v>1</v>
      </c>
      <c r="V258" s="113" t="n">
        <f aca="false">IF(V212&gt;0,1,0)</f>
        <v>1</v>
      </c>
      <c r="W258" s="113" t="n">
        <f aca="false">IF(W212&gt;0,1,0)</f>
        <v>1</v>
      </c>
      <c r="X258" s="113" t="n">
        <f aca="false">IF(X212&gt;0,1,0)</f>
        <v>1</v>
      </c>
      <c r="Y258" s="113" t="n">
        <f aca="false">IF(Y212&gt;0,1,0)</f>
        <v>1</v>
      </c>
      <c r="Z258" s="113" t="n">
        <f aca="false">IF(Z212&gt;0,1,0)</f>
        <v>1</v>
      </c>
      <c r="AA258" s="113" t="n">
        <f aca="false">IF(AA212&gt;0,1,0)</f>
        <v>1</v>
      </c>
      <c r="AB258" s="113" t="n">
        <f aca="false">IF(AB212&gt;0,1,0)</f>
        <v>1</v>
      </c>
      <c r="AC258" s="113" t="n">
        <f aca="false">IF(AC212&gt;0,1,0)</f>
        <v>1</v>
      </c>
      <c r="AD258" s="113" t="n">
        <f aca="false">IF(AD212&gt;0,1,0)</f>
        <v>1</v>
      </c>
      <c r="AE258" s="113" t="n">
        <f aca="false">IF(AE212&gt;0,1,0)</f>
        <v>1</v>
      </c>
      <c r="AF258" s="113" t="n">
        <f aca="false">IF(AF212&gt;0,1,0)</f>
        <v>1</v>
      </c>
      <c r="AG258" s="113" t="n">
        <f aca="false">IF(AG212&gt;0,1,0)</f>
        <v>1</v>
      </c>
      <c r="AH258" s="113" t="n">
        <f aca="false">IF(AH212&gt;0,1,0)</f>
        <v>1</v>
      </c>
      <c r="AI258" s="113" t="n">
        <f aca="false">IF(AI212&gt;0,1,0)</f>
        <v>1</v>
      </c>
      <c r="AJ258" s="113" t="n">
        <f aca="false">IF(AJ212&gt;0,1,0)</f>
        <v>1</v>
      </c>
      <c r="AK258" s="113" t="n">
        <f aca="false">IF(AK212&gt;0,1,0)</f>
        <v>1</v>
      </c>
      <c r="AL258" s="113" t="n">
        <f aca="false">IF(AL212&gt;0,1,0)</f>
        <v>1</v>
      </c>
      <c r="AM258" s="113" t="n">
        <f aca="false">IF(AM212&gt;0,1,0)</f>
        <v>1</v>
      </c>
      <c r="AN258" s="113" t="n">
        <f aca="false">IF(AN212&gt;0,1,0)</f>
        <v>1</v>
      </c>
      <c r="AO258" s="113" t="n">
        <f aca="false">IF(AO212&gt;0,1,0)</f>
        <v>1</v>
      </c>
      <c r="AP258" s="113" t="n">
        <f aca="false">IF(AP212&gt;0,1,0)</f>
        <v>1</v>
      </c>
      <c r="AQ258" s="113" t="n">
        <f aca="false">IF(AQ212&gt;0,1,0)</f>
        <v>1</v>
      </c>
      <c r="AR258" s="113" t="n">
        <f aca="false">IF(AR212&gt;0,1,0)</f>
        <v>1</v>
      </c>
      <c r="AS258" s="113" t="n">
        <f aca="false">IF(AS212&gt;0,1,0)</f>
        <v>1</v>
      </c>
      <c r="AT258" s="113" t="n">
        <f aca="false">IF(AT212&gt;0,1,0)</f>
        <v>1</v>
      </c>
      <c r="AU258" s="113" t="n">
        <f aca="false">IF(AU212&gt;0,1,0)</f>
        <v>1</v>
      </c>
      <c r="AV258" s="113" t="n">
        <f aca="false">IF(AV212&gt;0,1,0)</f>
        <v>1</v>
      </c>
      <c r="AW258" s="113" t="n">
        <f aca="false">IF(AW212&gt;0,1,0)</f>
        <v>1</v>
      </c>
      <c r="AX258" s="113" t="n">
        <f aca="false">IF(AX212&gt;0,1,0)</f>
        <v>1</v>
      </c>
      <c r="AY258" s="113" t="n">
        <f aca="false">IF(AY212&gt;0,1,0)</f>
        <v>1</v>
      </c>
      <c r="AZ258" s="113" t="n">
        <f aca="false">IF(AZ212&gt;0,1,0)</f>
        <v>1</v>
      </c>
      <c r="BA258" s="113" t="n">
        <f aca="false">IF(BA212&gt;0,1,0)</f>
        <v>1</v>
      </c>
      <c r="BB258" s="113" t="n">
        <f aca="false">IF(BB212&gt;0,1,0)</f>
        <v>1</v>
      </c>
      <c r="BC258" s="113" t="n">
        <f aca="false">IF(BC212&gt;0,1,0)</f>
        <v>1</v>
      </c>
      <c r="BD258" s="113" t="n">
        <f aca="false">IF(BD212&gt;0,1,0)</f>
        <v>1</v>
      </c>
      <c r="BE258" s="113" t="n">
        <f aca="false">IF(BE212&gt;0,1,0)</f>
        <v>1</v>
      </c>
      <c r="BF258" s="113" t="n">
        <f aca="false">IF(BF212&gt;0,1,0)</f>
        <v>1</v>
      </c>
      <c r="BG258" s="113" t="n">
        <f aca="false">IF(BG212&gt;0,1,0)</f>
        <v>1</v>
      </c>
      <c r="BH258" s="113" t="n">
        <f aca="false">IF(BH212&gt;0,1,0)</f>
        <v>1</v>
      </c>
      <c r="BI258" s="113" t="n">
        <f aca="false">IF(BI212&gt;0,1,0)</f>
        <v>1</v>
      </c>
      <c r="BJ258" s="113" t="n">
        <f aca="false">IF(BJ212&gt;0,1,0)</f>
        <v>1</v>
      </c>
    </row>
    <row r="260" customFormat="false" ht="15.75" hidden="false" customHeight="true" outlineLevel="0" collapsed="false">
      <c r="A260" s="7" t="s">
        <v>440</v>
      </c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</row>
    <row r="261" customFormat="false" ht="15" hidden="false" customHeight="false" outlineLevel="0" collapsed="false">
      <c r="A261" s="112" t="s">
        <v>441</v>
      </c>
      <c r="C261" s="113" t="n">
        <f aca="false">IF(C221&gt;0,1,0)</f>
        <v>1</v>
      </c>
      <c r="D261" s="113" t="n">
        <f aca="false">IF(D221&gt;0,1,0)</f>
        <v>1</v>
      </c>
      <c r="E261" s="113" t="n">
        <f aca="false">IF(E221&gt;0,1,0)</f>
        <v>1</v>
      </c>
      <c r="F261" s="113" t="n">
        <f aca="false">IF(F221&gt;0,1,0)</f>
        <v>1</v>
      </c>
      <c r="G261" s="113" t="n">
        <f aca="false">IF(G221&gt;0,1,0)</f>
        <v>1</v>
      </c>
      <c r="H261" s="113" t="n">
        <f aca="false">IF(H221&gt;0,1,0)</f>
        <v>1</v>
      </c>
      <c r="I261" s="113" t="n">
        <f aca="false">IF(I221&gt;0,1,0)</f>
        <v>1</v>
      </c>
      <c r="J261" s="113" t="n">
        <f aca="false">IF(J221&gt;0,1,0)</f>
        <v>1</v>
      </c>
      <c r="K261" s="113" t="n">
        <f aca="false">IF(K221&gt;0,1,0)</f>
        <v>1</v>
      </c>
      <c r="L261" s="113" t="n">
        <f aca="false">IF(L221&gt;0,1,0)</f>
        <v>1</v>
      </c>
      <c r="M261" s="113" t="n">
        <f aca="false">IF(M221&gt;0,1,0)</f>
        <v>1</v>
      </c>
      <c r="N261" s="113" t="n">
        <f aca="false">IF(N221&gt;0,1,0)</f>
        <v>1</v>
      </c>
      <c r="O261" s="113" t="n">
        <f aca="false">IF(O221&gt;0,1,0)</f>
        <v>1</v>
      </c>
      <c r="P261" s="113" t="n">
        <f aca="false">IF(P221&gt;0,1,0)</f>
        <v>1</v>
      </c>
      <c r="Q261" s="113" t="n">
        <f aca="false">IF(Q221&gt;0,1,0)</f>
        <v>1</v>
      </c>
      <c r="R261" s="113" t="n">
        <f aca="false">IF(R221&gt;0,1,0)</f>
        <v>1</v>
      </c>
      <c r="S261" s="113" t="n">
        <f aca="false">IF(S221&gt;0,1,0)</f>
        <v>1</v>
      </c>
      <c r="T261" s="113" t="n">
        <f aca="false">IF(T221&gt;0,1,0)</f>
        <v>1</v>
      </c>
      <c r="U261" s="113" t="n">
        <f aca="false">IF(U221&gt;0,1,0)</f>
        <v>1</v>
      </c>
      <c r="V261" s="113" t="n">
        <f aca="false">IF(V221&gt;0,1,0)</f>
        <v>1</v>
      </c>
      <c r="W261" s="113" t="n">
        <f aca="false">IF(W221&gt;0,1,0)</f>
        <v>1</v>
      </c>
      <c r="X261" s="113" t="n">
        <f aca="false">IF(X221&gt;0,1,0)</f>
        <v>1</v>
      </c>
      <c r="Y261" s="113" t="n">
        <f aca="false">IF(Y221&gt;0,1,0)</f>
        <v>1</v>
      </c>
      <c r="Z261" s="113" t="n">
        <f aca="false">IF(Z221&gt;0,1,0)</f>
        <v>1</v>
      </c>
      <c r="AA261" s="113" t="n">
        <f aca="false">IF(AA221&gt;0,1,0)</f>
        <v>1</v>
      </c>
      <c r="AB261" s="113" t="n">
        <f aca="false">IF(AB221&gt;0,1,0)</f>
        <v>1</v>
      </c>
      <c r="AC261" s="113" t="n">
        <f aca="false">IF(AC221&gt;0,1,0)</f>
        <v>1</v>
      </c>
      <c r="AD261" s="113" t="n">
        <f aca="false">IF(AD221&gt;0,1,0)</f>
        <v>1</v>
      </c>
      <c r="AE261" s="113" t="n">
        <f aca="false">IF(AE221&gt;0,1,0)</f>
        <v>1</v>
      </c>
      <c r="AF261" s="113" t="n">
        <f aca="false">IF(AF221&gt;0,1,0)</f>
        <v>1</v>
      </c>
      <c r="AG261" s="113" t="n">
        <f aca="false">IF(AG221&gt;0,1,0)</f>
        <v>1</v>
      </c>
      <c r="AH261" s="113" t="n">
        <f aca="false">IF(AH221&gt;0,1,0)</f>
        <v>1</v>
      </c>
      <c r="AI261" s="113" t="n">
        <f aca="false">IF(AI221&gt;0,1,0)</f>
        <v>1</v>
      </c>
      <c r="AJ261" s="113" t="n">
        <f aca="false">IF(AJ221&gt;0,1,0)</f>
        <v>1</v>
      </c>
      <c r="AK261" s="113" t="n">
        <f aca="false">IF(AK221&gt;0,1,0)</f>
        <v>1</v>
      </c>
      <c r="AL261" s="113" t="n">
        <f aca="false">IF(AL221&gt;0,1,0)</f>
        <v>1</v>
      </c>
      <c r="AM261" s="113" t="n">
        <f aca="false">IF(AM221&gt;0,1,0)</f>
        <v>1</v>
      </c>
      <c r="AN261" s="113" t="n">
        <f aca="false">IF(AN221&gt;0,1,0)</f>
        <v>1</v>
      </c>
      <c r="AO261" s="113" t="n">
        <f aca="false">IF(AO221&gt;0,1,0)</f>
        <v>1</v>
      </c>
      <c r="AP261" s="113" t="n">
        <f aca="false">IF(AP221&gt;0,1,0)</f>
        <v>1</v>
      </c>
      <c r="AQ261" s="113" t="n">
        <f aca="false">IF(AQ221&gt;0,1,0)</f>
        <v>1</v>
      </c>
      <c r="AR261" s="113" t="n">
        <f aca="false">IF(AR221&gt;0,1,0)</f>
        <v>1</v>
      </c>
      <c r="AS261" s="113" t="n">
        <f aca="false">IF(AS221&gt;0,1,0)</f>
        <v>1</v>
      </c>
      <c r="AT261" s="113" t="n">
        <f aca="false">IF(AT221&gt;0,1,0)</f>
        <v>1</v>
      </c>
      <c r="AU261" s="113" t="n">
        <f aca="false">IF(AU221&gt;0,1,0)</f>
        <v>1</v>
      </c>
      <c r="AV261" s="113" t="n">
        <f aca="false">IF(AV221&gt;0,1,0)</f>
        <v>1</v>
      </c>
      <c r="AW261" s="113" t="n">
        <f aca="false">IF(AW221&gt;0,1,0)</f>
        <v>1</v>
      </c>
      <c r="AX261" s="113" t="n">
        <f aca="false">IF(AX221&gt;0,1,0)</f>
        <v>1</v>
      </c>
      <c r="AY261" s="113" t="n">
        <f aca="false">IF(AY221&gt;0,1,0)</f>
        <v>1</v>
      </c>
      <c r="AZ261" s="113" t="n">
        <f aca="false">IF(AZ221&gt;0,1,0)</f>
        <v>1</v>
      </c>
      <c r="BA261" s="113" t="n">
        <f aca="false">IF(BA221&gt;0,1,0)</f>
        <v>1</v>
      </c>
      <c r="BB261" s="113" t="n">
        <f aca="false">IF(BB221&gt;0,1,0)</f>
        <v>1</v>
      </c>
      <c r="BC261" s="113" t="n">
        <f aca="false">IF(BC221&gt;0,1,0)</f>
        <v>1</v>
      </c>
      <c r="BD261" s="113" t="n">
        <f aca="false">IF(BD221&gt;0,1,0)</f>
        <v>1</v>
      </c>
      <c r="BE261" s="113" t="n">
        <f aca="false">IF(BE221&gt;0,1,0)</f>
        <v>1</v>
      </c>
      <c r="BF261" s="113" t="n">
        <f aca="false">IF(BF221&gt;0,1,0)</f>
        <v>1</v>
      </c>
      <c r="BG261" s="113" t="n">
        <f aca="false">IF(BG221&gt;0,1,0)</f>
        <v>1</v>
      </c>
      <c r="BH261" s="113" t="n">
        <f aca="false">IF(BH221&gt;0,1,0)</f>
        <v>1</v>
      </c>
      <c r="BI261" s="113" t="n">
        <f aca="false">IF(BI221&gt;0,1,0)</f>
        <v>1</v>
      </c>
      <c r="BJ261" s="113" t="n">
        <f aca="false">IF(BJ221&gt;0,1,0)</f>
        <v>1</v>
      </c>
    </row>
    <row r="262" customFormat="false" ht="15" hidden="false" customHeight="false" outlineLevel="0" collapsed="false">
      <c r="A262" s="6" t="s">
        <v>442</v>
      </c>
      <c r="C262" s="65" t="n">
        <f aca="false">C251+C252</f>
        <v>-1899856.75874198</v>
      </c>
      <c r="D262" s="65" t="n">
        <f aca="false">D251+D252</f>
        <v>4766.0724109076</v>
      </c>
      <c r="E262" s="65" t="n">
        <f aca="false">E251+E252</f>
        <v>4770.92870855123</v>
      </c>
      <c r="F262" s="65" t="n">
        <f aca="false">F251+F252</f>
        <v>4775.81028715639</v>
      </c>
      <c r="G262" s="65" t="n">
        <f aca="false">G251+G252</f>
        <v>4780.7172836616</v>
      </c>
      <c r="H262" s="65" t="n">
        <f aca="false">H251+H252</f>
        <v>4785.64983574716</v>
      </c>
      <c r="I262" s="65" t="n">
        <f aca="false">I251+I252</f>
        <v>4790.60808183913</v>
      </c>
      <c r="J262" s="65" t="n">
        <f aca="false">J251+J252</f>
        <v>4795.59216111337</v>
      </c>
      <c r="K262" s="65" t="n">
        <f aca="false">K251+K252</f>
        <v>4800.60221349964</v>
      </c>
      <c r="L262" s="65" t="n">
        <f aca="false">L251+L252</f>
        <v>4805.6383796856</v>
      </c>
      <c r="M262" s="65" t="n">
        <f aca="false">M251+M252</f>
        <v>4810.70080112103</v>
      </c>
      <c r="N262" s="65" t="n">
        <f aca="false">N251+N252</f>
        <v>4815.78962002184</v>
      </c>
      <c r="O262" s="65" t="n">
        <f aca="false">O251+O252</f>
        <v>5253.24815978789</v>
      </c>
      <c r="P262" s="65" t="n">
        <f aca="false">P251+P252</f>
        <v>5229.86492943304</v>
      </c>
      <c r="Q262" s="65" t="n">
        <f aca="false">Q251+Q252</f>
        <v>5235.03852783012</v>
      </c>
      <c r="R262" s="65" t="n">
        <f aca="false">R251+R252</f>
        <v>5240.23910030153</v>
      </c>
      <c r="S262" s="65" t="n">
        <f aca="false">S251+S252</f>
        <v>5245.46679295683</v>
      </c>
      <c r="T262" s="65" t="n">
        <f aca="false">T251+T252</f>
        <v>5250.72175269704</v>
      </c>
      <c r="U262" s="65" t="n">
        <f aca="false">U251+U252</f>
        <v>5256.00412721884</v>
      </c>
      <c r="V262" s="65" t="n">
        <f aca="false">V251+V252</f>
        <v>5261.31406501899</v>
      </c>
      <c r="W262" s="65" t="n">
        <f aca="false">W251+W252</f>
        <v>5266.65171539856</v>
      </c>
      <c r="X262" s="65" t="n">
        <f aca="false">X251+X252</f>
        <v>5272.01722846737</v>
      </c>
      <c r="Y262" s="65" t="n">
        <f aca="false">Y251+Y252</f>
        <v>5277.41075514831</v>
      </c>
      <c r="Z262" s="65" t="n">
        <f aca="false">Z251+Z252</f>
        <v>5282.83244718179</v>
      </c>
      <c r="AA262" s="65" t="n">
        <f aca="false">AA251+AA252</f>
        <v>5738.94493449404</v>
      </c>
      <c r="AB262" s="65" t="n">
        <f aca="false">AB251+AB252</f>
        <v>5714.9258099782</v>
      </c>
      <c r="AC262" s="65" t="n">
        <f aca="false">AC251+AC252</f>
        <v>5720.43776098548</v>
      </c>
      <c r="AD262" s="65" t="n">
        <f aca="false">AD251+AD252</f>
        <v>5725.9784925708</v>
      </c>
      <c r="AE262" s="65" t="n">
        <f aca="false">AE251+AE252</f>
        <v>5731.54816062897</v>
      </c>
      <c r="AF262" s="65" t="n">
        <f aca="false">AF251+AF252</f>
        <v>5737.1469218992</v>
      </c>
      <c r="AG262" s="65" t="n">
        <f aca="false">AG251+AG252</f>
        <v>5742.77493396974</v>
      </c>
      <c r="AH262" s="65" t="n">
        <f aca="false">AH251+AH252</f>
        <v>5748.43235528241</v>
      </c>
      <c r="AI262" s="65" t="n">
        <f aca="false">AI251+AI252</f>
        <v>5754.11934513728</v>
      </c>
      <c r="AJ262" s="65" t="n">
        <f aca="false">AJ251+AJ252</f>
        <v>5759.83606369728</v>
      </c>
      <c r="AK262" s="65" t="n">
        <f aca="false">AK251+AK252</f>
        <v>5765.5826719929</v>
      </c>
      <c r="AL262" s="65" t="n">
        <f aca="false">AL251+AL252</f>
        <v>5771.35933192688</v>
      </c>
      <c r="AM262" s="65" t="n">
        <f aca="false">AM251+AM252</f>
        <v>6246.90639171454</v>
      </c>
      <c r="AN262" s="65" t="n">
        <f aca="false">AN251+AN252</f>
        <v>6222.23903023413</v>
      </c>
      <c r="AO262" s="65" t="n">
        <f aca="false">AO251+AO252</f>
        <v>6228.11179063115</v>
      </c>
      <c r="AP262" s="65" t="n">
        <f aca="false">AP251+AP252</f>
        <v>6234.01525909482</v>
      </c>
      <c r="AQ262" s="65" t="n">
        <f aca="false">AQ251+AQ252</f>
        <v>6239.94960196052</v>
      </c>
      <c r="AR262" s="65" t="n">
        <f aca="false">AR251+AR252</f>
        <v>6245.91498646457</v>
      </c>
      <c r="AS262" s="65" t="n">
        <f aca="false">AS251+AS252</f>
        <v>6251.9115807492</v>
      </c>
      <c r="AT262" s="65" t="n">
        <f aca="false">AT251+AT252</f>
        <v>6257.93955386736</v>
      </c>
      <c r="AU262" s="65" t="n">
        <f aca="false">AU251+AU252</f>
        <v>6263.99907578777</v>
      </c>
      <c r="AV262" s="65" t="n">
        <f aca="false">AV251+AV252</f>
        <v>6270.09031739974</v>
      </c>
      <c r="AW262" s="65" t="n">
        <f aca="false">AW251+AW252</f>
        <v>6276.21345051829</v>
      </c>
      <c r="AX262" s="65" t="n">
        <f aca="false">AX251+AX252</f>
        <v>6282.36864788907</v>
      </c>
      <c r="AY262" s="65" t="n">
        <f aca="false">AY251+AY252</f>
        <v>6778.16336524806</v>
      </c>
      <c r="AZ262" s="65" t="n">
        <f aca="false">AZ251+AZ252</f>
        <v>6752.83563312843</v>
      </c>
      <c r="BA262" s="65" t="n">
        <f aca="false">BA251+BA252</f>
        <v>6759.09315858381</v>
      </c>
      <c r="BB262" s="65" t="n">
        <f aca="false">BB251+BB252</f>
        <v>6765.38344868193</v>
      </c>
      <c r="BC262" s="65" t="n">
        <f aca="false">BC251+BC252</f>
        <v>6771.70668089796</v>
      </c>
      <c r="BD262" s="65" t="n">
        <f aca="false">BD251+BD252</f>
        <v>6778.06303366835</v>
      </c>
      <c r="BE262" s="65" t="n">
        <f aca="false">BE251+BE252</f>
        <v>6784.45268639612</v>
      </c>
      <c r="BF262" s="65" t="n">
        <f aca="false">BF251+BF252</f>
        <v>6790.87581945604</v>
      </c>
      <c r="BG262" s="65" t="n">
        <f aca="false">BG251+BG252</f>
        <v>6797.3326141999</v>
      </c>
      <c r="BH262" s="65" t="n">
        <f aca="false">BH251+BH252</f>
        <v>6803.82325296182</v>
      </c>
      <c r="BI262" s="65" t="n">
        <f aca="false">BI251+BI252</f>
        <v>6810.34791906358</v>
      </c>
      <c r="BJ262" s="65" t="n">
        <f aca="false">BJ251+BJ252</f>
        <v>6816.90679681992</v>
      </c>
    </row>
    <row r="263" customFormat="false" ht="15" hidden="false" customHeight="false" outlineLevel="0" collapsed="false">
      <c r="A263" s="6" t="s">
        <v>443</v>
      </c>
      <c r="C263" s="65" t="n">
        <f aca="false">C262</f>
        <v>-1899856.75874198</v>
      </c>
      <c r="D263" s="65" t="n">
        <f aca="false">C263+D262</f>
        <v>-1895090.68633107</v>
      </c>
      <c r="E263" s="65" t="n">
        <f aca="false">D263+E262</f>
        <v>-1890319.75762252</v>
      </c>
      <c r="F263" s="65" t="n">
        <f aca="false">E263+F262</f>
        <v>-1885543.94733536</v>
      </c>
      <c r="G263" s="65" t="n">
        <f aca="false">F263+G262</f>
        <v>-1880763.2300517</v>
      </c>
      <c r="H263" s="65" t="n">
        <f aca="false">G263+H262</f>
        <v>-1875977.58021595</v>
      </c>
      <c r="I263" s="65" t="n">
        <f aca="false">H263+I262</f>
        <v>-1871186.97213411</v>
      </c>
      <c r="J263" s="65" t="n">
        <f aca="false">I263+J262</f>
        <v>-1866391.379973</v>
      </c>
      <c r="K263" s="65" t="n">
        <f aca="false">J263+K262</f>
        <v>-1861590.7777595</v>
      </c>
      <c r="L263" s="65" t="n">
        <f aca="false">K263+L262</f>
        <v>-1856785.13937981</v>
      </c>
      <c r="M263" s="65" t="n">
        <f aca="false">L263+M262</f>
        <v>-1851974.43857869</v>
      </c>
      <c r="N263" s="65" t="n">
        <f aca="false">M263+N262</f>
        <v>-1847158.64895867</v>
      </c>
      <c r="O263" s="65" t="n">
        <f aca="false">N263+O262</f>
        <v>-1841905.40079888</v>
      </c>
      <c r="P263" s="65" t="n">
        <f aca="false">O263+P262</f>
        <v>-1836675.53586945</v>
      </c>
      <c r="Q263" s="65" t="n">
        <f aca="false">P263+Q262</f>
        <v>-1831440.49734162</v>
      </c>
      <c r="R263" s="65" t="n">
        <f aca="false">Q263+R262</f>
        <v>-1826200.25824132</v>
      </c>
      <c r="S263" s="65" t="n">
        <f aca="false">R263+S262</f>
        <v>-1820954.79144836</v>
      </c>
      <c r="T263" s="65" t="n">
        <f aca="false">S263+T262</f>
        <v>-1815704.06969566</v>
      </c>
      <c r="U263" s="65" t="n">
        <f aca="false">T263+U262</f>
        <v>-1810448.06556845</v>
      </c>
      <c r="V263" s="65" t="n">
        <f aca="false">U263+V262</f>
        <v>-1805186.75150343</v>
      </c>
      <c r="W263" s="65" t="n">
        <f aca="false">V263+W262</f>
        <v>-1799920.09978803</v>
      </c>
      <c r="X263" s="65" t="n">
        <f aca="false">W263+X262</f>
        <v>-1794648.08255956</v>
      </c>
      <c r="Y263" s="65" t="n">
        <f aca="false">X263+Y262</f>
        <v>-1789370.67180441</v>
      </c>
      <c r="Z263" s="65" t="n">
        <f aca="false">Y263+Z262</f>
        <v>-1784087.83935723</v>
      </c>
      <c r="AA263" s="65" t="n">
        <f aca="false">Z263+AA262</f>
        <v>-1778348.89442274</v>
      </c>
      <c r="AB263" s="65" t="n">
        <f aca="false">AA263+AB262</f>
        <v>-1772633.96861276</v>
      </c>
      <c r="AC263" s="65" t="n">
        <f aca="false">AB263+AC262</f>
        <v>-1766913.53085177</v>
      </c>
      <c r="AD263" s="65" t="n">
        <f aca="false">AC263+AD262</f>
        <v>-1761187.5523592</v>
      </c>
      <c r="AE263" s="65" t="n">
        <f aca="false">AD263+AE262</f>
        <v>-1755456.00419857</v>
      </c>
      <c r="AF263" s="65" t="n">
        <f aca="false">AE263+AF262</f>
        <v>-1749718.85727667</v>
      </c>
      <c r="AG263" s="65" t="n">
        <f aca="false">AF263+AG262</f>
        <v>-1743976.0823427</v>
      </c>
      <c r="AH263" s="65" t="n">
        <f aca="false">AG263+AH262</f>
        <v>-1738227.64998742</v>
      </c>
      <c r="AI263" s="65" t="n">
        <f aca="false">AH263+AI262</f>
        <v>-1732473.53064228</v>
      </c>
      <c r="AJ263" s="65" t="n">
        <f aca="false">AI263+AJ262</f>
        <v>-1726713.69457859</v>
      </c>
      <c r="AK263" s="65" t="n">
        <f aca="false">AJ263+AK262</f>
        <v>-1720948.11190659</v>
      </c>
      <c r="AL263" s="65" t="n">
        <f aca="false">AK263+AL262</f>
        <v>-1715176.75257467</v>
      </c>
      <c r="AM263" s="65" t="n">
        <f aca="false">AL263+AM262</f>
        <v>-1708929.84618295</v>
      </c>
      <c r="AN263" s="65" t="n">
        <f aca="false">AM263+AN262</f>
        <v>-1702707.60715272</v>
      </c>
      <c r="AO263" s="65" t="n">
        <f aca="false">AN263+AO262</f>
        <v>-1696479.49536209</v>
      </c>
      <c r="AP263" s="65" t="n">
        <f aca="false">AO263+AP262</f>
        <v>-1690245.48010299</v>
      </c>
      <c r="AQ263" s="65" t="n">
        <f aca="false">AP263+AQ262</f>
        <v>-1684005.53050103</v>
      </c>
      <c r="AR263" s="65" t="n">
        <f aca="false">AQ263+AR262</f>
        <v>-1677759.61551457</v>
      </c>
      <c r="AS263" s="65" t="n">
        <f aca="false">AR263+AS262</f>
        <v>-1671507.70393382</v>
      </c>
      <c r="AT263" s="65" t="n">
        <f aca="false">AS263+AT262</f>
        <v>-1665249.76437995</v>
      </c>
      <c r="AU263" s="65" t="n">
        <f aca="false">AT263+AU262</f>
        <v>-1658985.76530416</v>
      </c>
      <c r="AV263" s="65" t="n">
        <f aca="false">AU263+AV262</f>
        <v>-1652715.67498676</v>
      </c>
      <c r="AW263" s="65" t="n">
        <f aca="false">AV263+AW262</f>
        <v>-1646439.46153625</v>
      </c>
      <c r="AX263" s="65" t="n">
        <f aca="false">AW263+AX262</f>
        <v>-1640157.09288836</v>
      </c>
      <c r="AY263" s="65" t="n">
        <f aca="false">AX263+AY262</f>
        <v>-1633378.92952311</v>
      </c>
      <c r="AZ263" s="65" t="n">
        <f aca="false">AY263+AZ262</f>
        <v>-1626626.09388998</v>
      </c>
      <c r="BA263" s="65" t="n">
        <f aca="false">AZ263+BA262</f>
        <v>-1619867.0007314</v>
      </c>
      <c r="BB263" s="65" t="n">
        <f aca="false">BA263+BB262</f>
        <v>-1613101.61728271</v>
      </c>
      <c r="BC263" s="65" t="n">
        <f aca="false">BB263+BC262</f>
        <v>-1606329.91060182</v>
      </c>
      <c r="BD263" s="65" t="n">
        <f aca="false">BC263+BD262</f>
        <v>-1599551.84756815</v>
      </c>
      <c r="BE263" s="65" t="n">
        <f aca="false">BD263+BE262</f>
        <v>-1592767.39488175</v>
      </c>
      <c r="BF263" s="65" t="n">
        <f aca="false">BE263+BF262</f>
        <v>-1585976.5190623</v>
      </c>
      <c r="BG263" s="65" t="n">
        <f aca="false">BF263+BG262</f>
        <v>-1579179.1864481</v>
      </c>
      <c r="BH263" s="65" t="n">
        <f aca="false">BG263+BH262</f>
        <v>-1572375.36319513</v>
      </c>
      <c r="BI263" s="65" t="n">
        <f aca="false">BH263+BI262</f>
        <v>-1565565.01527607</v>
      </c>
      <c r="BJ263" s="65" t="n">
        <f aca="false">BI263+BJ262</f>
        <v>-1558748.10847925</v>
      </c>
    </row>
    <row r="264" customFormat="false" ht="15" hidden="false" customHeight="false" outlineLevel="0" collapsed="false">
      <c r="A264" s="112" t="s">
        <v>444</v>
      </c>
      <c r="C264" s="65" t="n">
        <f aca="false">C263</f>
        <v>-1899856.75874198</v>
      </c>
      <c r="D264" s="65" t="n">
        <f aca="false">MIN(C264,D263)</f>
        <v>-1899856.75874198</v>
      </c>
      <c r="E264" s="65" t="n">
        <f aca="false">MIN(D264,E263)</f>
        <v>-1899856.75874198</v>
      </c>
      <c r="F264" s="65" t="n">
        <f aca="false">MIN(E264,F263)</f>
        <v>-1899856.75874198</v>
      </c>
      <c r="G264" s="65" t="n">
        <f aca="false">MIN(F264,G263)</f>
        <v>-1899856.75874198</v>
      </c>
      <c r="H264" s="65" t="n">
        <f aca="false">MIN(G264,H263)</f>
        <v>-1899856.75874198</v>
      </c>
      <c r="I264" s="65" t="n">
        <f aca="false">MIN(H264,I263)</f>
        <v>-1899856.75874198</v>
      </c>
      <c r="J264" s="65" t="n">
        <f aca="false">MIN(I264,J263)</f>
        <v>-1899856.75874198</v>
      </c>
      <c r="K264" s="65" t="n">
        <f aca="false">MIN(J264,K263)</f>
        <v>-1899856.75874198</v>
      </c>
      <c r="L264" s="65" t="n">
        <f aca="false">MIN(K264,L263)</f>
        <v>-1899856.75874198</v>
      </c>
      <c r="M264" s="65" t="n">
        <f aca="false">MIN(L264,M263)</f>
        <v>-1899856.75874198</v>
      </c>
      <c r="N264" s="65" t="n">
        <f aca="false">MIN(M264,N263)</f>
        <v>-1899856.75874198</v>
      </c>
      <c r="O264" s="65" t="n">
        <f aca="false">MIN(N264,O263)</f>
        <v>-1899856.75874198</v>
      </c>
      <c r="P264" s="65" t="n">
        <f aca="false">MIN(O264,P263)</f>
        <v>-1899856.75874198</v>
      </c>
      <c r="Q264" s="65" t="n">
        <f aca="false">MIN(P264,Q263)</f>
        <v>-1899856.75874198</v>
      </c>
      <c r="R264" s="65" t="n">
        <f aca="false">MIN(Q264,R263)</f>
        <v>-1899856.75874198</v>
      </c>
      <c r="S264" s="65" t="n">
        <f aca="false">MIN(R264,S263)</f>
        <v>-1899856.75874198</v>
      </c>
      <c r="T264" s="65" t="n">
        <f aca="false">MIN(S264,T263)</f>
        <v>-1899856.75874198</v>
      </c>
      <c r="U264" s="65" t="n">
        <f aca="false">MIN(T264,U263)</f>
        <v>-1899856.75874198</v>
      </c>
      <c r="V264" s="65" t="n">
        <f aca="false">MIN(U264,V263)</f>
        <v>-1899856.75874198</v>
      </c>
      <c r="W264" s="65" t="n">
        <f aca="false">MIN(V264,W263)</f>
        <v>-1899856.75874198</v>
      </c>
      <c r="X264" s="65" t="n">
        <f aca="false">MIN(W264,X263)</f>
        <v>-1899856.75874198</v>
      </c>
      <c r="Y264" s="65" t="n">
        <f aca="false">MIN(X264,Y263)</f>
        <v>-1899856.75874198</v>
      </c>
      <c r="Z264" s="65" t="n">
        <f aca="false">MIN(Y264,Z263)</f>
        <v>-1899856.75874198</v>
      </c>
      <c r="AA264" s="65" t="n">
        <f aca="false">MIN(Z264,AA263)</f>
        <v>-1899856.75874198</v>
      </c>
      <c r="AB264" s="65" t="n">
        <f aca="false">MIN(AA264,AB263)</f>
        <v>-1899856.75874198</v>
      </c>
      <c r="AC264" s="65" t="n">
        <f aca="false">MIN(AB264,AC263)</f>
        <v>-1899856.75874198</v>
      </c>
      <c r="AD264" s="65" t="n">
        <f aca="false">MIN(AC264,AD263)</f>
        <v>-1899856.75874198</v>
      </c>
      <c r="AE264" s="65" t="n">
        <f aca="false">MIN(AD264,AE263)</f>
        <v>-1899856.75874198</v>
      </c>
      <c r="AF264" s="65" t="n">
        <f aca="false">MIN(AE264,AF263)</f>
        <v>-1899856.75874198</v>
      </c>
      <c r="AG264" s="65" t="n">
        <f aca="false">MIN(AF264,AG263)</f>
        <v>-1899856.75874198</v>
      </c>
      <c r="AH264" s="65" t="n">
        <f aca="false">MIN(AG264,AH263)</f>
        <v>-1899856.75874198</v>
      </c>
      <c r="AI264" s="65" t="n">
        <f aca="false">MIN(AH264,AI263)</f>
        <v>-1899856.75874198</v>
      </c>
      <c r="AJ264" s="65" t="n">
        <f aca="false">MIN(AI264,AJ263)</f>
        <v>-1899856.75874198</v>
      </c>
      <c r="AK264" s="65" t="n">
        <f aca="false">MIN(AJ264,AK263)</f>
        <v>-1899856.75874198</v>
      </c>
      <c r="AL264" s="65" t="n">
        <f aca="false">MIN(AK264,AL263)</f>
        <v>-1899856.75874198</v>
      </c>
      <c r="AM264" s="65" t="n">
        <f aca="false">MIN(AL264,AM263)</f>
        <v>-1899856.75874198</v>
      </c>
      <c r="AN264" s="65" t="n">
        <f aca="false">MIN(AM264,AN263)</f>
        <v>-1899856.75874198</v>
      </c>
      <c r="AO264" s="65" t="n">
        <f aca="false">MIN(AN264,AO263)</f>
        <v>-1899856.75874198</v>
      </c>
      <c r="AP264" s="65" t="n">
        <f aca="false">MIN(AO264,AP263)</f>
        <v>-1899856.75874198</v>
      </c>
      <c r="AQ264" s="65" t="n">
        <f aca="false">MIN(AP264,AQ263)</f>
        <v>-1899856.75874198</v>
      </c>
      <c r="AR264" s="65" t="n">
        <f aca="false">MIN(AQ264,AR263)</f>
        <v>-1899856.75874198</v>
      </c>
      <c r="AS264" s="65" t="n">
        <f aca="false">MIN(AR264,AS263)</f>
        <v>-1899856.75874198</v>
      </c>
      <c r="AT264" s="65" t="n">
        <f aca="false">MIN(AS264,AT263)</f>
        <v>-1899856.75874198</v>
      </c>
      <c r="AU264" s="65" t="n">
        <f aca="false">MIN(AT264,AU263)</f>
        <v>-1899856.75874198</v>
      </c>
      <c r="AV264" s="65" t="n">
        <f aca="false">MIN(AU264,AV263)</f>
        <v>-1899856.75874198</v>
      </c>
      <c r="AW264" s="65" t="n">
        <f aca="false">MIN(AV264,AW263)</f>
        <v>-1899856.75874198</v>
      </c>
      <c r="AX264" s="65" t="n">
        <f aca="false">MIN(AW264,AX263)</f>
        <v>-1899856.75874198</v>
      </c>
      <c r="AY264" s="65" t="n">
        <f aca="false">MIN(AX264,AY263)</f>
        <v>-1899856.75874198</v>
      </c>
      <c r="AZ264" s="65" t="n">
        <f aca="false">MIN(AY264,AZ263)</f>
        <v>-1899856.75874198</v>
      </c>
      <c r="BA264" s="65" t="n">
        <f aca="false">MIN(AZ264,BA263)</f>
        <v>-1899856.75874198</v>
      </c>
      <c r="BB264" s="65" t="n">
        <f aca="false">MIN(BA264,BB263)</f>
        <v>-1899856.75874198</v>
      </c>
      <c r="BC264" s="65" t="n">
        <f aca="false">MIN(BB264,BC263)</f>
        <v>-1899856.75874198</v>
      </c>
      <c r="BD264" s="65" t="n">
        <f aca="false">MIN(BC264,BD263)</f>
        <v>-1899856.75874198</v>
      </c>
      <c r="BE264" s="65" t="n">
        <f aca="false">MIN(BD264,BE263)</f>
        <v>-1899856.75874198</v>
      </c>
      <c r="BF264" s="65" t="n">
        <f aca="false">MIN(BE264,BF263)</f>
        <v>-1899856.75874198</v>
      </c>
      <c r="BG264" s="65" t="n">
        <f aca="false">MIN(BF264,BG263)</f>
        <v>-1899856.75874198</v>
      </c>
      <c r="BH264" s="65" t="n">
        <f aca="false">MIN(BG264,BH263)</f>
        <v>-1899856.75874198</v>
      </c>
      <c r="BI264" s="65" t="n">
        <f aca="false">MIN(BH264,BI263)</f>
        <v>-1899856.75874198</v>
      </c>
      <c r="BJ264" s="65" t="n">
        <f aca="false">MIN(BI264,BJ263)</f>
        <v>-1899856.75874198</v>
      </c>
    </row>
    <row r="265" customFormat="false" ht="15" hidden="false" customHeight="false" outlineLevel="0" collapsed="false">
      <c r="A265" s="112" t="s">
        <v>445</v>
      </c>
      <c r="C265" s="113" t="n">
        <f aca="false">IF(AND(C263&gt;=0,C264&lt;0),1,0)</f>
        <v>0</v>
      </c>
      <c r="D265" s="113" t="n">
        <f aca="false">IF(AND(D263&gt;=0,D264&lt;0),1,0)</f>
        <v>0</v>
      </c>
      <c r="E265" s="113" t="n">
        <f aca="false">IF(AND(E263&gt;=0,E264&lt;0),1,0)</f>
        <v>0</v>
      </c>
      <c r="F265" s="113" t="n">
        <f aca="false">IF(AND(F263&gt;=0,F264&lt;0),1,0)</f>
        <v>0</v>
      </c>
      <c r="G265" s="113" t="n">
        <f aca="false">IF(AND(G263&gt;=0,G264&lt;0),1,0)</f>
        <v>0</v>
      </c>
      <c r="H265" s="113" t="n">
        <f aca="false">IF(AND(H263&gt;=0,H264&lt;0),1,0)</f>
        <v>0</v>
      </c>
      <c r="I265" s="113" t="n">
        <f aca="false">IF(AND(I263&gt;=0,I264&lt;0),1,0)</f>
        <v>0</v>
      </c>
      <c r="J265" s="113" t="n">
        <f aca="false">IF(AND(J263&gt;=0,J264&lt;0),1,0)</f>
        <v>0</v>
      </c>
      <c r="K265" s="113" t="n">
        <f aca="false">IF(AND(K263&gt;=0,K264&lt;0),1,0)</f>
        <v>0</v>
      </c>
      <c r="L265" s="113" t="n">
        <f aca="false">IF(AND(L263&gt;=0,L264&lt;0),1,0)</f>
        <v>0</v>
      </c>
      <c r="M265" s="113" t="n">
        <f aca="false">IF(AND(M263&gt;=0,M264&lt;0),1,0)</f>
        <v>0</v>
      </c>
      <c r="N265" s="113" t="n">
        <f aca="false">IF(AND(N263&gt;=0,N264&lt;0),1,0)</f>
        <v>0</v>
      </c>
      <c r="O265" s="113" t="n">
        <f aca="false">IF(AND(O263&gt;=0,O264&lt;0),1,0)</f>
        <v>0</v>
      </c>
      <c r="P265" s="113" t="n">
        <f aca="false">IF(AND(P263&gt;=0,P264&lt;0),1,0)</f>
        <v>0</v>
      </c>
      <c r="Q265" s="113" t="n">
        <f aca="false">IF(AND(Q263&gt;=0,Q264&lt;0),1,0)</f>
        <v>0</v>
      </c>
      <c r="R265" s="113" t="n">
        <f aca="false">IF(AND(R263&gt;=0,R264&lt;0),1,0)</f>
        <v>0</v>
      </c>
      <c r="S265" s="113" t="n">
        <f aca="false">IF(AND(S263&gt;=0,S264&lt;0),1,0)</f>
        <v>0</v>
      </c>
      <c r="T265" s="113" t="n">
        <f aca="false">IF(AND(T263&gt;=0,T264&lt;0),1,0)</f>
        <v>0</v>
      </c>
      <c r="U265" s="113" t="n">
        <f aca="false">IF(AND(U263&gt;=0,U264&lt;0),1,0)</f>
        <v>0</v>
      </c>
      <c r="V265" s="113" t="n">
        <f aca="false">IF(AND(V263&gt;=0,V264&lt;0),1,0)</f>
        <v>0</v>
      </c>
      <c r="W265" s="113" t="n">
        <f aca="false">IF(AND(W263&gt;=0,W264&lt;0),1,0)</f>
        <v>0</v>
      </c>
      <c r="X265" s="113" t="n">
        <f aca="false">IF(AND(X263&gt;=0,X264&lt;0),1,0)</f>
        <v>0</v>
      </c>
      <c r="Y265" s="113" t="n">
        <f aca="false">IF(AND(Y263&gt;=0,Y264&lt;0),1,0)</f>
        <v>0</v>
      </c>
      <c r="Z265" s="113" t="n">
        <f aca="false">IF(AND(Z263&gt;=0,Z264&lt;0),1,0)</f>
        <v>0</v>
      </c>
      <c r="AA265" s="113" t="n">
        <f aca="false">IF(AND(AA263&gt;=0,AA264&lt;0),1,0)</f>
        <v>0</v>
      </c>
      <c r="AB265" s="113" t="n">
        <f aca="false">IF(AND(AB263&gt;=0,AB264&lt;0),1,0)</f>
        <v>0</v>
      </c>
      <c r="AC265" s="113" t="n">
        <f aca="false">IF(AND(AC263&gt;=0,AC264&lt;0),1,0)</f>
        <v>0</v>
      </c>
      <c r="AD265" s="113" t="n">
        <f aca="false">IF(AND(AD263&gt;=0,AD264&lt;0),1,0)</f>
        <v>0</v>
      </c>
      <c r="AE265" s="113" t="n">
        <f aca="false">IF(AND(AE263&gt;=0,AE264&lt;0),1,0)</f>
        <v>0</v>
      </c>
      <c r="AF265" s="113" t="n">
        <f aca="false">IF(AND(AF263&gt;=0,AF264&lt;0),1,0)</f>
        <v>0</v>
      </c>
      <c r="AG265" s="113" t="n">
        <f aca="false">IF(AND(AG263&gt;=0,AG264&lt;0),1,0)</f>
        <v>0</v>
      </c>
      <c r="AH265" s="113" t="n">
        <f aca="false">IF(AND(AH263&gt;=0,AH264&lt;0),1,0)</f>
        <v>0</v>
      </c>
      <c r="AI265" s="113" t="n">
        <f aca="false">IF(AND(AI263&gt;=0,AI264&lt;0),1,0)</f>
        <v>0</v>
      </c>
      <c r="AJ265" s="113" t="n">
        <f aca="false">IF(AND(AJ263&gt;=0,AJ264&lt;0),1,0)</f>
        <v>0</v>
      </c>
      <c r="AK265" s="113" t="n">
        <f aca="false">IF(AND(AK263&gt;=0,AK264&lt;0),1,0)</f>
        <v>0</v>
      </c>
      <c r="AL265" s="113" t="n">
        <f aca="false">IF(AND(AL263&gt;=0,AL264&lt;0),1,0)</f>
        <v>0</v>
      </c>
      <c r="AM265" s="113" t="n">
        <f aca="false">IF(AND(AM263&gt;=0,AM264&lt;0),1,0)</f>
        <v>0</v>
      </c>
      <c r="AN265" s="113" t="n">
        <f aca="false">IF(AND(AN263&gt;=0,AN264&lt;0),1,0)</f>
        <v>0</v>
      </c>
      <c r="AO265" s="113" t="n">
        <f aca="false">IF(AND(AO263&gt;=0,AO264&lt;0),1,0)</f>
        <v>0</v>
      </c>
      <c r="AP265" s="113" t="n">
        <f aca="false">IF(AND(AP263&gt;=0,AP264&lt;0),1,0)</f>
        <v>0</v>
      </c>
      <c r="AQ265" s="113" t="n">
        <f aca="false">IF(AND(AQ263&gt;=0,AQ264&lt;0),1,0)</f>
        <v>0</v>
      </c>
      <c r="AR265" s="113" t="n">
        <f aca="false">IF(AND(AR263&gt;=0,AR264&lt;0),1,0)</f>
        <v>0</v>
      </c>
      <c r="AS265" s="113" t="n">
        <f aca="false">IF(AND(AS263&gt;=0,AS264&lt;0),1,0)</f>
        <v>0</v>
      </c>
      <c r="AT265" s="113" t="n">
        <f aca="false">IF(AND(AT263&gt;=0,AT264&lt;0),1,0)</f>
        <v>0</v>
      </c>
      <c r="AU265" s="113" t="n">
        <f aca="false">IF(AND(AU263&gt;=0,AU264&lt;0),1,0)</f>
        <v>0</v>
      </c>
      <c r="AV265" s="113" t="n">
        <f aca="false">IF(AND(AV263&gt;=0,AV264&lt;0),1,0)</f>
        <v>0</v>
      </c>
      <c r="AW265" s="113" t="n">
        <f aca="false">IF(AND(AW263&gt;=0,AW264&lt;0),1,0)</f>
        <v>0</v>
      </c>
      <c r="AX265" s="113" t="n">
        <f aca="false">IF(AND(AX263&gt;=0,AX264&lt;0),1,0)</f>
        <v>0</v>
      </c>
      <c r="AY265" s="113" t="n">
        <f aca="false">IF(AND(AY263&gt;=0,AY264&lt;0),1,0)</f>
        <v>0</v>
      </c>
      <c r="AZ265" s="113" t="n">
        <f aca="false">IF(AND(AZ263&gt;=0,AZ264&lt;0),1,0)</f>
        <v>0</v>
      </c>
      <c r="BA265" s="113" t="n">
        <f aca="false">IF(AND(BA263&gt;=0,BA264&lt;0),1,0)</f>
        <v>0</v>
      </c>
      <c r="BB265" s="113" t="n">
        <f aca="false">IF(AND(BB263&gt;=0,BB264&lt;0),1,0)</f>
        <v>0</v>
      </c>
      <c r="BC265" s="113" t="n">
        <f aca="false">IF(AND(BC263&gt;=0,BC264&lt;0),1,0)</f>
        <v>0</v>
      </c>
      <c r="BD265" s="113" t="n">
        <f aca="false">IF(AND(BD263&gt;=0,BD264&lt;0),1,0)</f>
        <v>0</v>
      </c>
      <c r="BE265" s="113" t="n">
        <f aca="false">IF(AND(BE263&gt;=0,BE264&lt;0),1,0)</f>
        <v>0</v>
      </c>
      <c r="BF265" s="113" t="n">
        <f aca="false">IF(AND(BF263&gt;=0,BF264&lt;0),1,0)</f>
        <v>0</v>
      </c>
      <c r="BG265" s="113" t="n">
        <f aca="false">IF(AND(BG263&gt;=0,BG264&lt;0),1,0)</f>
        <v>0</v>
      </c>
      <c r="BH265" s="113" t="n">
        <f aca="false">IF(AND(BH263&gt;=0,BH264&lt;0),1,0)</f>
        <v>0</v>
      </c>
      <c r="BI265" s="113" t="n">
        <f aca="false">IF(AND(BI263&gt;=0,BI264&lt;0),1,0)</f>
        <v>0</v>
      </c>
      <c r="BJ265" s="113" t="n">
        <f aca="false">IF(AND(BJ263&gt;=0,BJ264&lt;0),1,0)</f>
        <v>0</v>
      </c>
    </row>
    <row r="266" customFormat="false" ht="15" hidden="false" customHeight="false" outlineLevel="0" collapsed="false">
      <c r="A266" s="6" t="s">
        <v>446</v>
      </c>
      <c r="C266" s="65" t="n">
        <f aca="false">C251-C216*(1-Inputs!$D$46)+C252</f>
        <v>-1894721.75874198</v>
      </c>
      <c r="D266" s="65" t="n">
        <f aca="false">D251-D216*(1-Inputs!$D$46)+D252</f>
        <v>9896.43030123457</v>
      </c>
      <c r="E266" s="65" t="n">
        <f aca="false">E251-E216*(1-Inputs!$D$46)+E252</f>
        <v>9896.61934444445</v>
      </c>
      <c r="F266" s="65" t="n">
        <f aca="false">F251-F216*(1-Inputs!$D$46)+F252</f>
        <v>9896.80838765432</v>
      </c>
      <c r="G266" s="65" t="n">
        <f aca="false">G251-G216*(1-Inputs!$D$46)+G252</f>
        <v>9896.9974308642</v>
      </c>
      <c r="H266" s="65" t="n">
        <f aca="false">H251-H216*(1-Inputs!$D$46)+H252</f>
        <v>9897.18647407408</v>
      </c>
      <c r="I266" s="65" t="n">
        <f aca="false">I251-I216*(1-Inputs!$D$46)+I252</f>
        <v>9897.37551728395</v>
      </c>
      <c r="J266" s="65" t="n">
        <f aca="false">J251-J216*(1-Inputs!$D$46)+J252</f>
        <v>9897.56456049383</v>
      </c>
      <c r="K266" s="65" t="n">
        <f aca="false">K251-K216*(1-Inputs!$D$46)+K252</f>
        <v>9897.7536037037</v>
      </c>
      <c r="L266" s="65" t="n">
        <f aca="false">L251-L216*(1-Inputs!$D$46)+L252</f>
        <v>9897.94264691358</v>
      </c>
      <c r="M266" s="65" t="n">
        <f aca="false">M251-M216*(1-Inputs!$D$46)+M252</f>
        <v>9898.13169012346</v>
      </c>
      <c r="N266" s="65" t="n">
        <f aca="false">N251-N216*(1-Inputs!$D$46)+N252</f>
        <v>9898.32073333333</v>
      </c>
      <c r="O266" s="65" t="n">
        <f aca="false">O251-O216*(1-Inputs!$D$46)+O252</f>
        <v>10330.8529569568</v>
      </c>
      <c r="P266" s="65" t="n">
        <f aca="false">P251-P216*(1-Inputs!$D$46)+P252</f>
        <v>10302.5167262469</v>
      </c>
      <c r="Q266" s="65" t="n">
        <f aca="false">Q251-Q216*(1-Inputs!$D$46)+Q252</f>
        <v>10302.710495537</v>
      </c>
      <c r="R266" s="65" t="n">
        <f aca="false">R251-R216*(1-Inputs!$D$46)+R252</f>
        <v>10302.9042648272</v>
      </c>
      <c r="S266" s="65" t="n">
        <f aca="false">S251-S216*(1-Inputs!$D$46)+S252</f>
        <v>10303.0980341173</v>
      </c>
      <c r="T266" s="65" t="n">
        <f aca="false">T251-T216*(1-Inputs!$D$46)+T252</f>
        <v>10303.2918034074</v>
      </c>
      <c r="U266" s="65" t="n">
        <f aca="false">U251-U216*(1-Inputs!$D$46)+U252</f>
        <v>10303.4855726975</v>
      </c>
      <c r="V266" s="65" t="n">
        <f aca="false">V251-V216*(1-Inputs!$D$46)+V252</f>
        <v>10303.6793419877</v>
      </c>
      <c r="W266" s="65" t="n">
        <f aca="false">W251-W216*(1-Inputs!$D$46)+W252</f>
        <v>10303.8731112778</v>
      </c>
      <c r="X266" s="65" t="n">
        <f aca="false">X251-X216*(1-Inputs!$D$46)+X252</f>
        <v>10304.0668805679</v>
      </c>
      <c r="Y266" s="65" t="n">
        <f aca="false">Y251-Y216*(1-Inputs!$D$46)+Y252</f>
        <v>10304.260649858</v>
      </c>
      <c r="Z266" s="65" t="n">
        <f aca="false">Z251-Z216*(1-Inputs!$D$46)+Z252</f>
        <v>10304.4544191481</v>
      </c>
      <c r="AA266" s="65" t="n">
        <f aca="false">AA251-AA216*(1-Inputs!$D$46)+AA252</f>
        <v>10755.3106658022</v>
      </c>
      <c r="AB266" s="65" t="n">
        <f aca="false">AB251-AB216*(1-Inputs!$D$46)+AB252</f>
        <v>10726.0068293246</v>
      </c>
      <c r="AC266" s="65" t="n">
        <f aca="false">AC251-AC216*(1-Inputs!$D$46)+AC252</f>
        <v>10726.2054428469</v>
      </c>
      <c r="AD266" s="65" t="n">
        <f aca="false">AD251-AD216*(1-Inputs!$D$46)+AD252</f>
        <v>10726.4040563693</v>
      </c>
      <c r="AE266" s="65" t="n">
        <f aca="false">AE251-AE216*(1-Inputs!$D$46)+AE252</f>
        <v>10726.6026698917</v>
      </c>
      <c r="AF266" s="65" t="n">
        <f aca="false">AF251-AF216*(1-Inputs!$D$46)+AF252</f>
        <v>10726.8012834141</v>
      </c>
      <c r="AG266" s="65" t="n">
        <f aca="false">AG251-AG216*(1-Inputs!$D$46)+AG252</f>
        <v>10726.9998969365</v>
      </c>
      <c r="AH266" s="65" t="n">
        <f aca="false">AH251-AH216*(1-Inputs!$D$46)+AH252</f>
        <v>10727.1985104588</v>
      </c>
      <c r="AI266" s="65" t="n">
        <f aca="false">AI251-AI216*(1-Inputs!$D$46)+AI252</f>
        <v>10727.3971239812</v>
      </c>
      <c r="AJ266" s="65" t="n">
        <f aca="false">AJ251-AJ216*(1-Inputs!$D$46)+AJ252</f>
        <v>10727.5957375036</v>
      </c>
      <c r="AK266" s="65" t="n">
        <f aca="false">AK251-AK216*(1-Inputs!$D$46)+AK252</f>
        <v>10727.794351026</v>
      </c>
      <c r="AL266" s="65" t="n">
        <f aca="false">AL251-AL216*(1-Inputs!$D$46)+AL252</f>
        <v>10727.9929645483</v>
      </c>
      <c r="AM266" s="65" t="n">
        <f aca="false">AM251-AM216*(1-Inputs!$D$46)+AM252</f>
        <v>11197.9317635063</v>
      </c>
      <c r="AN266" s="65" t="n">
        <f aca="false">AN251-AN216*(1-Inputs!$D$46)+AN252</f>
        <v>11167.6257631168</v>
      </c>
      <c r="AO266" s="65" t="n">
        <f aca="false">AO251-AO216*(1-Inputs!$D$46)+AO252</f>
        <v>11167.8293419772</v>
      </c>
      <c r="AP266" s="65" t="n">
        <f aca="false">AP251-AP216*(1-Inputs!$D$46)+AP252</f>
        <v>11168.0329208376</v>
      </c>
      <c r="AQ266" s="65" t="n">
        <f aca="false">AQ251-AQ216*(1-Inputs!$D$46)+AQ252</f>
        <v>11168.2364996981</v>
      </c>
      <c r="AR266" s="65" t="n">
        <f aca="false">AR251-AR216*(1-Inputs!$D$46)+AR252</f>
        <v>11168.4400785585</v>
      </c>
      <c r="AS266" s="65" t="n">
        <f aca="false">AS251-AS216*(1-Inputs!$D$46)+AS252</f>
        <v>11168.6436574189</v>
      </c>
      <c r="AT266" s="65" t="n">
        <f aca="false">AT251-AT216*(1-Inputs!$D$46)+AT252</f>
        <v>11168.8472362794</v>
      </c>
      <c r="AU266" s="65" t="n">
        <f aca="false">AU251-AU216*(1-Inputs!$D$46)+AU252</f>
        <v>11169.0508151398</v>
      </c>
      <c r="AV266" s="65" t="n">
        <f aca="false">AV251-AV216*(1-Inputs!$D$46)+AV252</f>
        <v>11169.2543940003</v>
      </c>
      <c r="AW266" s="65" t="n">
        <f aca="false">AW251-AW216*(1-Inputs!$D$46)+AW252</f>
        <v>11169.4579728607</v>
      </c>
      <c r="AX266" s="65" t="n">
        <f aca="false">AX251-AX216*(1-Inputs!$D$46)+AX252</f>
        <v>11169.6615517211</v>
      </c>
      <c r="AY266" s="65" t="n">
        <f aca="false">AY251-AY216*(1-Inputs!$D$46)+AY252</f>
        <v>11659.4724126362</v>
      </c>
      <c r="AZ266" s="65" t="n">
        <f aca="false">AZ251-AZ216*(1-Inputs!$D$46)+AZ252</f>
        <v>11628.1284115169</v>
      </c>
      <c r="BA266" s="65" t="n">
        <f aca="false">BA251-BA216*(1-Inputs!$D$46)+BA252</f>
        <v>11628.3370798488</v>
      </c>
      <c r="BB266" s="65" t="n">
        <f aca="false">BB251-BB216*(1-Inputs!$D$46)+BB252</f>
        <v>11628.5457481808</v>
      </c>
      <c r="BC266" s="65" t="n">
        <f aca="false">BC251-BC216*(1-Inputs!$D$46)+BC252</f>
        <v>11628.7544165127</v>
      </c>
      <c r="BD266" s="65" t="n">
        <f aca="false">BD251-BD216*(1-Inputs!$D$46)+BD252</f>
        <v>11628.9630848447</v>
      </c>
      <c r="BE266" s="65" t="n">
        <f aca="false">BE251-BE216*(1-Inputs!$D$46)+BE252</f>
        <v>11629.1717531766</v>
      </c>
      <c r="BF266" s="65" t="n">
        <f aca="false">BF251-BF216*(1-Inputs!$D$46)+BF252</f>
        <v>11629.3804215086</v>
      </c>
      <c r="BG266" s="65" t="n">
        <f aca="false">BG251-BG216*(1-Inputs!$D$46)+BG252</f>
        <v>11629.5890898405</v>
      </c>
      <c r="BH266" s="65" t="n">
        <f aca="false">BH251-BH216*(1-Inputs!$D$46)+BH252</f>
        <v>11629.7977581724</v>
      </c>
      <c r="BI266" s="65" t="n">
        <f aca="false">BI251-BI216*(1-Inputs!$D$46)+BI252</f>
        <v>11630.0064265044</v>
      </c>
      <c r="BJ266" s="65" t="n">
        <f aca="false">BJ251-BJ216*(1-Inputs!$D$46)+BJ252</f>
        <v>11630.2150948363</v>
      </c>
    </row>
    <row r="268" customFormat="false" ht="15.75" hidden="false" customHeight="true" outlineLevel="0" collapsed="false">
      <c r="A268" s="7" t="s">
        <v>447</v>
      </c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customFormat="false" ht="15" hidden="false" customHeight="false" outlineLevel="0" collapsed="false">
      <c r="A269" s="6" t="s">
        <v>97</v>
      </c>
      <c r="C269" s="65" t="n">
        <f aca="false">C253</f>
        <v>760000</v>
      </c>
      <c r="D269" s="65" t="n">
        <f aca="false">C269+D253</f>
        <v>760000</v>
      </c>
      <c r="E269" s="65" t="n">
        <f aca="false">D269+E253</f>
        <v>760000</v>
      </c>
      <c r="F269" s="65" t="n">
        <f aca="false">E269+F253</f>
        <v>760000</v>
      </c>
      <c r="G269" s="65" t="n">
        <f aca="false">F269+G253</f>
        <v>760000</v>
      </c>
      <c r="H269" s="65" t="n">
        <f aca="false">G269+H253</f>
        <v>760000</v>
      </c>
      <c r="I269" s="65" t="n">
        <f aca="false">H269+I253</f>
        <v>760000</v>
      </c>
      <c r="J269" s="65" t="n">
        <f aca="false">I269+J253</f>
        <v>760000</v>
      </c>
      <c r="K269" s="65" t="n">
        <f aca="false">J269+K253</f>
        <v>760000</v>
      </c>
      <c r="L269" s="65" t="n">
        <f aca="false">K269+L253</f>
        <v>760000</v>
      </c>
      <c r="M269" s="65" t="n">
        <f aca="false">L269+M253</f>
        <v>760000</v>
      </c>
      <c r="N269" s="65" t="n">
        <f aca="false">M269+N253</f>
        <v>760000</v>
      </c>
      <c r="O269" s="65" t="n">
        <f aca="false">N269+O253</f>
        <v>760000</v>
      </c>
      <c r="P269" s="65" t="n">
        <f aca="false">O269+P253</f>
        <v>760000</v>
      </c>
      <c r="Q269" s="65" t="n">
        <f aca="false">P269+Q253</f>
        <v>760000</v>
      </c>
      <c r="R269" s="65" t="n">
        <f aca="false">Q269+R253</f>
        <v>760000</v>
      </c>
      <c r="S269" s="65" t="n">
        <f aca="false">R269+S253</f>
        <v>760000</v>
      </c>
      <c r="T269" s="65" t="n">
        <f aca="false">S269+T253</f>
        <v>760000</v>
      </c>
      <c r="U269" s="65" t="n">
        <f aca="false">T269+U253</f>
        <v>760000</v>
      </c>
      <c r="V269" s="65" t="n">
        <f aca="false">U269+V253</f>
        <v>760000</v>
      </c>
      <c r="W269" s="65" t="n">
        <f aca="false">V269+W253</f>
        <v>760000</v>
      </c>
      <c r="X269" s="65" t="n">
        <f aca="false">W269+X253</f>
        <v>760000</v>
      </c>
      <c r="Y269" s="65" t="n">
        <f aca="false">X269+Y253</f>
        <v>760000</v>
      </c>
      <c r="Z269" s="65" t="n">
        <f aca="false">Y269+Z253</f>
        <v>760000</v>
      </c>
      <c r="AA269" s="65" t="n">
        <f aca="false">Z269+AA253</f>
        <v>760000</v>
      </c>
      <c r="AB269" s="65" t="n">
        <f aca="false">AA269+AB253</f>
        <v>760000</v>
      </c>
      <c r="AC269" s="65" t="n">
        <f aca="false">AB269+AC253</f>
        <v>760000</v>
      </c>
      <c r="AD269" s="65" t="n">
        <f aca="false">AC269+AD253</f>
        <v>760000</v>
      </c>
      <c r="AE269" s="65" t="n">
        <f aca="false">AD269+AE253</f>
        <v>760000</v>
      </c>
      <c r="AF269" s="65" t="n">
        <f aca="false">AE269+AF253</f>
        <v>760000</v>
      </c>
      <c r="AG269" s="65" t="n">
        <f aca="false">AF269+AG253</f>
        <v>760000</v>
      </c>
      <c r="AH269" s="65" t="n">
        <f aca="false">AG269+AH253</f>
        <v>760000</v>
      </c>
      <c r="AI269" s="65" t="n">
        <f aca="false">AH269+AI253</f>
        <v>760000</v>
      </c>
      <c r="AJ269" s="65" t="n">
        <f aca="false">AI269+AJ253</f>
        <v>760000</v>
      </c>
      <c r="AK269" s="65" t="n">
        <f aca="false">AJ269+AK253</f>
        <v>760000</v>
      </c>
      <c r="AL269" s="65" t="n">
        <f aca="false">AK269+AL253</f>
        <v>760000</v>
      </c>
      <c r="AM269" s="65" t="n">
        <f aca="false">AL269+AM253</f>
        <v>760000</v>
      </c>
      <c r="AN269" s="65" t="n">
        <f aca="false">AM269+AN253</f>
        <v>760000</v>
      </c>
      <c r="AO269" s="65" t="n">
        <f aca="false">AN269+AO253</f>
        <v>760000</v>
      </c>
      <c r="AP269" s="65" t="n">
        <f aca="false">AO269+AP253</f>
        <v>760000</v>
      </c>
      <c r="AQ269" s="65" t="n">
        <f aca="false">AP269+AQ253</f>
        <v>760000</v>
      </c>
      <c r="AR269" s="65" t="n">
        <f aca="false">AQ269+AR253</f>
        <v>760000</v>
      </c>
      <c r="AS269" s="65" t="n">
        <f aca="false">AR269+AS253</f>
        <v>760000</v>
      </c>
      <c r="AT269" s="65" t="n">
        <f aca="false">AS269+AT253</f>
        <v>760000</v>
      </c>
      <c r="AU269" s="65" t="n">
        <f aca="false">AT269+AU253</f>
        <v>760000</v>
      </c>
      <c r="AV269" s="65" t="n">
        <f aca="false">AU269+AV253</f>
        <v>760000</v>
      </c>
      <c r="AW269" s="65" t="n">
        <f aca="false">AV269+AW253</f>
        <v>760000</v>
      </c>
      <c r="AX269" s="65" t="n">
        <f aca="false">AW269+AX253</f>
        <v>760000</v>
      </c>
      <c r="AY269" s="65" t="n">
        <f aca="false">AX269+AY253</f>
        <v>760000</v>
      </c>
      <c r="AZ269" s="65" t="n">
        <f aca="false">AY269+AZ253</f>
        <v>760000</v>
      </c>
      <c r="BA269" s="65" t="n">
        <f aca="false">AZ269+BA253</f>
        <v>760000</v>
      </c>
      <c r="BB269" s="65" t="n">
        <f aca="false">BA269+BB253</f>
        <v>760000</v>
      </c>
      <c r="BC269" s="65" t="n">
        <f aca="false">BB269+BC253</f>
        <v>760000</v>
      </c>
      <c r="BD269" s="65" t="n">
        <f aca="false">BC269+BD253</f>
        <v>760000</v>
      </c>
      <c r="BE269" s="65" t="n">
        <f aca="false">BD269+BE253</f>
        <v>760000</v>
      </c>
      <c r="BF269" s="65" t="n">
        <f aca="false">BE269+BF253</f>
        <v>760000</v>
      </c>
      <c r="BG269" s="65" t="n">
        <f aca="false">BF269+BG253</f>
        <v>760000</v>
      </c>
      <c r="BH269" s="65" t="n">
        <f aca="false">BG269+BH253</f>
        <v>760000</v>
      </c>
      <c r="BI269" s="65" t="n">
        <f aca="false">BH269+BI253</f>
        <v>760000</v>
      </c>
      <c r="BJ269" s="65" t="n">
        <f aca="false">BI269+BJ253</f>
        <v>760000</v>
      </c>
    </row>
    <row r="270" customFormat="false" ht="15" hidden="false" customHeight="false" outlineLevel="0" collapsed="false">
      <c r="A270" s="6" t="s">
        <v>98</v>
      </c>
      <c r="C270" s="65" t="n">
        <f aca="false">C221</f>
        <v>312.810188065843</v>
      </c>
      <c r="D270" s="65" t="n">
        <f aca="false">C270+D221</f>
        <v>629.551323253276</v>
      </c>
      <c r="E270" s="65" t="n">
        <f aca="false">D270+E221</f>
        <v>950.248550323028</v>
      </c>
      <c r="F270" s="65" t="n">
        <f aca="false">E270+F221</f>
        <v>1274.92715023662</v>
      </c>
      <c r="G270" s="65" t="n">
        <f aca="false">F270+G221</f>
        <v>1603.6125408941</v>
      </c>
      <c r="H270" s="65" t="n">
        <f aca="false">G270+H221</f>
        <v>1936.33027787582</v>
      </c>
      <c r="I270" s="65" t="n">
        <f aca="false">H270+I221</f>
        <v>2273.10605518819</v>
      </c>
      <c r="J270" s="65" t="n">
        <f aca="false">I270+J221</f>
        <v>2613.9657060135</v>
      </c>
      <c r="K270" s="65" t="n">
        <f aca="false">J270+K221</f>
        <v>2958.93520346375</v>
      </c>
      <c r="L270" s="65" t="n">
        <f aca="false">K270+L221</f>
        <v>3308.04066133865</v>
      </c>
      <c r="M270" s="65" t="n">
        <f aca="false">L270+M221</f>
        <v>3661.30833488766</v>
      </c>
      <c r="N270" s="65" t="n">
        <f aca="false">M270+N221</f>
        <v>4018.76462157616</v>
      </c>
      <c r="O270" s="65" t="n">
        <f aca="false">N270+O221</f>
        <v>4791.51840379202</v>
      </c>
      <c r="P270" s="65" t="n">
        <f aca="false">O270+P221</f>
        <v>5568.4962447477</v>
      </c>
      <c r="Q270" s="65" t="n">
        <f aca="false">P270+Q221</f>
        <v>6349.7249731951</v>
      </c>
      <c r="R270" s="65" t="n">
        <f aca="false">Q270+R221</f>
        <v>7135.23156320856</v>
      </c>
      <c r="S270" s="65" t="n">
        <f aca="false">R270+S221</f>
        <v>7925.04313497198</v>
      </c>
      <c r="T270" s="65" t="n">
        <f aca="false">S270+T221</f>
        <v>8719.18695557025</v>
      </c>
      <c r="U270" s="65" t="n">
        <f aca="false">T270+U221</f>
        <v>9517.69043978497</v>
      </c>
      <c r="V270" s="65" t="n">
        <f aca="false">U270+V221</f>
        <v>10320.5811508945</v>
      </c>
      <c r="W270" s="65" t="n">
        <f aca="false">V270+W221</f>
        <v>11127.8868014782</v>
      </c>
      <c r="X270" s="65" t="n">
        <f aca="false">W270+X221</f>
        <v>11939.6352542254</v>
      </c>
      <c r="Y270" s="65" t="n">
        <f aca="false">X270+Y221</f>
        <v>12755.8545227482</v>
      </c>
      <c r="Z270" s="65" t="n">
        <f aca="false">Y270+Z221</f>
        <v>13576.5727723992</v>
      </c>
      <c r="AA270" s="65" t="n">
        <f aca="false">Z270+AA221</f>
        <v>14830.4292390177</v>
      </c>
      <c r="AB270" s="65" t="n">
        <f aca="false">AA270+AB221</f>
        <v>16088.8232524424</v>
      </c>
      <c r="AC270" s="65" t="n">
        <f aca="false">AB270+AC221</f>
        <v>17351.7834381964</v>
      </c>
      <c r="AD270" s="65" t="n">
        <f aca="false">AC270+AD221</f>
        <v>18619.3385768577</v>
      </c>
      <c r="AE270" s="65" t="n">
        <f aca="false">AD270+AE221</f>
        <v>19891.5176048992</v>
      </c>
      <c r="AF270" s="65" t="n">
        <f aca="false">AE270+AF221</f>
        <v>21168.349615533</v>
      </c>
      <c r="AG270" s="65" t="n">
        <f aca="false">AF270+AG221</f>
        <v>22449.8638595593</v>
      </c>
      <c r="AH270" s="65" t="n">
        <f aca="false">AG270+AH221</f>
        <v>23736.0897462203</v>
      </c>
      <c r="AI270" s="65" t="n">
        <f aca="false">AH270+AI221</f>
        <v>25027.0568440582</v>
      </c>
      <c r="AJ270" s="65" t="n">
        <f aca="false">AI270+AJ221</f>
        <v>26322.7948817781</v>
      </c>
      <c r="AK270" s="65" t="n">
        <f aca="false">AJ270+AK221</f>
        <v>27623.3337491157</v>
      </c>
      <c r="AL270" s="65" t="n">
        <f aca="false">AK270+AL221</f>
        <v>28928.7034977092</v>
      </c>
      <c r="AM270" s="65" t="n">
        <f aca="false">AL270+AM221</f>
        <v>30685.8021109871</v>
      </c>
      <c r="AN270" s="65" t="n">
        <f aca="false">AM270+AN221</f>
        <v>32447.7735188897</v>
      </c>
      <c r="AO270" s="65" t="n">
        <f aca="false">AN270+AO221</f>
        <v>34214.6482640444</v>
      </c>
      <c r="AP270" s="65" t="n">
        <f aca="false">AO270+AP221</f>
        <v>35986.4570545178</v>
      </c>
      <c r="AQ270" s="65" t="n">
        <f aca="false">AP270+AQ221</f>
        <v>37763.230764712</v>
      </c>
      <c r="AR270" s="65" t="n">
        <f aca="false">AQ270+AR221</f>
        <v>39545.0004362653</v>
      </c>
      <c r="AS270" s="65" t="n">
        <f aca="false">AR270+AS221</f>
        <v>41331.7972789583</v>
      </c>
      <c r="AT270" s="65" t="n">
        <f aca="false">AS270+AT221</f>
        <v>43123.6526716246</v>
      </c>
      <c r="AU270" s="65" t="n">
        <f aca="false">AT270+AU221</f>
        <v>44920.5981630663</v>
      </c>
      <c r="AV270" s="65" t="n">
        <f aca="false">AU270+AV221</f>
        <v>46722.665472975</v>
      </c>
      <c r="AW270" s="65" t="n">
        <f aca="false">AV270+AW221</f>
        <v>48529.8864928574</v>
      </c>
      <c r="AX270" s="65" t="n">
        <f aca="false">AW270+AX221</f>
        <v>50342.2932869656</v>
      </c>
      <c r="AY270" s="65" t="n">
        <f aca="false">AX270+AY221</f>
        <v>52625.8007977319</v>
      </c>
      <c r="AZ270" s="65" t="n">
        <f aca="false">AY270+AZ221</f>
        <v>54914.5395871063</v>
      </c>
      <c r="BA270" s="65" t="n">
        <f aca="false">AZ270+BA221</f>
        <v>57208.5422432125</v>
      </c>
      <c r="BB270" s="65" t="n">
        <f aca="false">BA270+BB221</f>
        <v>59507.8415306933</v>
      </c>
      <c r="BC270" s="65" t="n">
        <f aca="false">BB270+BC221</f>
        <v>61812.4703916666</v>
      </c>
      <c r="BD270" s="65" t="n">
        <f aca="false">BC270+BD221</f>
        <v>64122.4619466867</v>
      </c>
      <c r="BE270" s="65" t="n">
        <f aca="false">BD270+BE221</f>
        <v>66437.849495711</v>
      </c>
      <c r="BF270" s="65" t="n">
        <f aca="false">BE270+BF221</f>
        <v>68758.6665190717</v>
      </c>
      <c r="BG270" s="65" t="n">
        <f aca="false">BF270+BG221</f>
        <v>71084.9466784527</v>
      </c>
      <c r="BH270" s="65" t="n">
        <f aca="false">BG270+BH221</f>
        <v>73416.7238178721</v>
      </c>
      <c r="BI270" s="65" t="n">
        <f aca="false">BH270+BI221</f>
        <v>75754.0319646696</v>
      </c>
      <c r="BJ270" s="65" t="n">
        <f aca="false">BI270+BJ221</f>
        <v>78096.9053305</v>
      </c>
    </row>
    <row r="271" customFormat="false" ht="15" hidden="false" customHeight="false" outlineLevel="0" collapsed="false">
      <c r="A271" s="4" t="s">
        <v>93</v>
      </c>
      <c r="C271" s="71" t="n">
        <f aca="false">C257+C243+C244+C232</f>
        <v>1960109.99390615</v>
      </c>
      <c r="D271" s="71" t="n">
        <f aca="false">D257+D243+D244+D232</f>
        <v>1959336.04267123</v>
      </c>
      <c r="E271" s="71" t="n">
        <f aca="false">E257+E243+E244+E232</f>
        <v>1958560.13961118</v>
      </c>
      <c r="F271" s="71" t="n">
        <f aca="false">F257+F243+F244+F232</f>
        <v>1957782.27800576</v>
      </c>
      <c r="G271" s="71" t="n">
        <f aca="false">G257+G243+G244+G232</f>
        <v>1957002.45109831</v>
      </c>
      <c r="H271" s="71" t="n">
        <f aca="false">H257+H243+H244+H232</f>
        <v>1956220.65209556</v>
      </c>
      <c r="I271" s="71" t="n">
        <f aca="false">I257+I243+I244+I232</f>
        <v>1955436.87416747</v>
      </c>
      <c r="J271" s="71" t="n">
        <f aca="false">J257+J243+J244+J232</f>
        <v>1954651.11044698</v>
      </c>
      <c r="K271" s="71" t="n">
        <f aca="false">K257+K243+K244+K232</f>
        <v>1953863.35402987</v>
      </c>
      <c r="L271" s="71" t="n">
        <f aca="false">L257+L243+L244+L232</f>
        <v>1953073.59797447</v>
      </c>
      <c r="M271" s="71" t="n">
        <f aca="false">M257+M243+M244+M232</f>
        <v>1952281.83530155</v>
      </c>
      <c r="N271" s="71" t="n">
        <f aca="false">N257+N243+N244+N232</f>
        <v>1951488.05899406</v>
      </c>
      <c r="O271" s="71" t="n">
        <f aca="false">O257+O243+O244+O232</f>
        <v>1951131.87433888</v>
      </c>
      <c r="P271" s="71" t="n">
        <f aca="false">P257+P243+P244+P232</f>
        <v>1950745.11412173</v>
      </c>
      <c r="Q271" s="71" t="n">
        <f aca="false">Q257+Q243+Q244+Q232</f>
        <v>1950356.30121093</v>
      </c>
      <c r="R271" s="71" t="n">
        <f aca="false">R257+R243+R244+R232</f>
        <v>1949965.42843615</v>
      </c>
      <c r="S271" s="71" t="n">
        <f aca="false">S257+S243+S244+S232</f>
        <v>1949572.48858822</v>
      </c>
      <c r="T271" s="71" t="n">
        <f aca="false">T257+T243+T244+T232</f>
        <v>1949177.47441895</v>
      </c>
      <c r="U271" s="71" t="n">
        <f aca="false">U257+U243+U244+U232</f>
        <v>1948780.37864084</v>
      </c>
      <c r="V271" s="71" t="n">
        <f aca="false">V257+V243+V244+V232</f>
        <v>1948381.19392695</v>
      </c>
      <c r="W271" s="71" t="n">
        <f aca="false">W257+W243+W244+W232</f>
        <v>1947979.91291066</v>
      </c>
      <c r="X271" s="71" t="n">
        <f aca="false">X257+X243+X244+X232</f>
        <v>1947576.52818542</v>
      </c>
      <c r="Y271" s="71" t="n">
        <f aca="false">Y257+Y243+Y244+Y232</f>
        <v>1947171.03230457</v>
      </c>
      <c r="Z271" s="71" t="n">
        <f aca="false">Z257+Z243+Z244+Z232</f>
        <v>1946763.41778112</v>
      </c>
      <c r="AA271" s="71" t="n">
        <f aca="false">AA257+AA243+AA244+AA232</f>
        <v>1946811.79045545</v>
      </c>
      <c r="AB271" s="71" t="n">
        <f aca="false">AB257+AB243+AB244+AB232</f>
        <v>1946828.50871778</v>
      </c>
      <c r="AC271" s="71" t="n">
        <f aca="false">AC257+AC243+AC244+AC232</f>
        <v>1946843.06740879</v>
      </c>
      <c r="AD271" s="71" t="n">
        <f aca="false">AD257+AD243+AD244+AD232</f>
        <v>1946855.45887793</v>
      </c>
      <c r="AE271" s="71" t="n">
        <f aca="false">AE257+AE243+AE244+AE232</f>
        <v>1946865.67543325</v>
      </c>
      <c r="AF271" s="71" t="n">
        <f aca="false">AF257+AF243+AF244+AF232</f>
        <v>1946873.70934111</v>
      </c>
      <c r="AG271" s="71" t="n">
        <f aca="false">AG257+AG243+AG244+AG232</f>
        <v>1946879.55282596</v>
      </c>
      <c r="AH271" s="71" t="n">
        <f aca="false">AH257+AH243+AH244+AH232</f>
        <v>1946883.19807017</v>
      </c>
      <c r="AI271" s="71" t="n">
        <f aca="false">AI257+AI243+AI244+AI232</f>
        <v>1946884.63721374</v>
      </c>
      <c r="AJ271" s="71" t="n">
        <f aca="false">AJ257+AJ243+AJ244+AJ232</f>
        <v>1946883.86235411</v>
      </c>
      <c r="AK271" s="71" t="n">
        <f aca="false">AK257+AK243+AK244+AK232</f>
        <v>1946880.8655459</v>
      </c>
      <c r="AL271" s="71" t="n">
        <f aca="false">AL257+AL243+AL244+AL232</f>
        <v>1946875.63880071</v>
      </c>
      <c r="AM271" s="71" t="n">
        <f aca="false">AM257+AM243+AM244+AM232</f>
        <v>1947345.55143511</v>
      </c>
      <c r="AN271" s="71" t="n">
        <f aca="false">AN257+AN243+AN244+AN232</f>
        <v>1947782.68976728</v>
      </c>
      <c r="AO271" s="71" t="n">
        <f aca="false">AO257+AO243+AO244+AO232</f>
        <v>1948217.55525754</v>
      </c>
      <c r="AP271" s="71" t="n">
        <f aca="false">AP257+AP243+AP244+AP232</f>
        <v>1948650.13974298</v>
      </c>
      <c r="AQ271" s="71" t="n">
        <f aca="false">AQ257+AQ243+AQ244+AQ232</f>
        <v>1949080.4350165</v>
      </c>
      <c r="AR271" s="71" t="n">
        <f aca="false">AR257+AR243+AR244+AR232</f>
        <v>1949508.43282651</v>
      </c>
      <c r="AS271" s="71" t="n">
        <f aca="false">AS257+AS243+AS244+AS232</f>
        <v>1949934.12487674</v>
      </c>
      <c r="AT271" s="71" t="n">
        <f aca="false">AT257+AT243+AT244+AT232</f>
        <v>1950357.50282599</v>
      </c>
      <c r="AU271" s="71" t="n">
        <f aca="false">AU257+AU243+AU244+AU232</f>
        <v>1950778.55828786</v>
      </c>
      <c r="AV271" s="71" t="n">
        <f aca="false">AV257+AV243+AV244+AV232</f>
        <v>1951197.28283054</v>
      </c>
      <c r="AW271" s="71" t="n">
        <f aca="false">AW257+AW243+AW244+AW232</f>
        <v>1951613.66797653</v>
      </c>
      <c r="AX271" s="71" t="n">
        <f aca="false">AX257+AX243+AX244+AX232</f>
        <v>1952027.70520244</v>
      </c>
      <c r="AY271" s="71" t="n">
        <f aca="false">AY257+AY243+AY244+AY232</f>
        <v>1952936.82131262</v>
      </c>
      <c r="AZ271" s="71" t="n">
        <f aca="false">AZ257+AZ243+AZ244+AZ232</f>
        <v>1953812.00050158</v>
      </c>
      <c r="BA271" s="71" t="n">
        <f aca="false">BA257+BA243+BA244+BA232</f>
        <v>1954684.78677611</v>
      </c>
      <c r="BB271" s="71" t="n">
        <f aca="false">BB257+BB243+BB244+BB232</f>
        <v>1955555.17142661</v>
      </c>
      <c r="BC271" s="71" t="n">
        <f aca="false">BC257+BC243+BC244+BC232</f>
        <v>1956423.14569632</v>
      </c>
      <c r="BD271" s="71" t="n">
        <f aca="false">BD257+BD243+BD244+BD232</f>
        <v>1957288.70078104</v>
      </c>
      <c r="BE271" s="71" t="n">
        <f aca="false">BE257+BE243+BE244+BE232</f>
        <v>1958151.82782888</v>
      </c>
      <c r="BF271" s="71" t="n">
        <f aca="false">BF257+BF243+BF244+BF232</f>
        <v>1959012.51794001</v>
      </c>
      <c r="BG271" s="71" t="n">
        <f aca="false">BG257+BG243+BG244+BG232</f>
        <v>1959870.76216639</v>
      </c>
      <c r="BH271" s="71" t="n">
        <f aca="false">BH257+BH243+BH244+BH232</f>
        <v>1960726.5515115</v>
      </c>
      <c r="BI271" s="71" t="n">
        <f aca="false">BI257+BI243+BI244+BI232</f>
        <v>1961579.87693011</v>
      </c>
      <c r="BJ271" s="71" t="n">
        <f aca="false">BJ257+BJ243+BJ244+BJ232</f>
        <v>1962430.72932797</v>
      </c>
    </row>
    <row r="272" customFormat="false" ht="15" hidden="false" customHeight="false" outlineLevel="0" collapsed="false">
      <c r="A272" s="6" t="s">
        <v>96</v>
      </c>
      <c r="C272" s="65" t="n">
        <f aca="false">C245+C240</f>
        <v>1199797.18371808</v>
      </c>
      <c r="D272" s="65" t="n">
        <f aca="false">D245+D240</f>
        <v>1198706.49134798</v>
      </c>
      <c r="E272" s="65" t="n">
        <f aca="false">E245+E240</f>
        <v>1197609.89106086</v>
      </c>
      <c r="F272" s="65" t="n">
        <f aca="false">F245+F240</f>
        <v>1196507.35085553</v>
      </c>
      <c r="G272" s="65" t="n">
        <f aca="false">G245+G240</f>
        <v>1195398.83855741</v>
      </c>
      <c r="H272" s="65" t="n">
        <f aca="false">H245+H240</f>
        <v>1194284.32181768</v>
      </c>
      <c r="I272" s="65" t="n">
        <f aca="false">I245+I240</f>
        <v>1193163.76811228</v>
      </c>
      <c r="J272" s="65" t="n">
        <f aca="false">J245+J240</f>
        <v>1192037.14474097</v>
      </c>
      <c r="K272" s="65" t="n">
        <f aca="false">K245+K240</f>
        <v>1190904.4188264</v>
      </c>
      <c r="L272" s="65" t="n">
        <f aca="false">L245+L240</f>
        <v>1189765.55731313</v>
      </c>
      <c r="M272" s="65" t="n">
        <f aca="false">M245+M240</f>
        <v>1188620.52696666</v>
      </c>
      <c r="N272" s="65" t="n">
        <f aca="false">N245+N240</f>
        <v>1187469.29437248</v>
      </c>
      <c r="O272" s="65" t="n">
        <f aca="false">O245+O240</f>
        <v>1186340.35593508</v>
      </c>
      <c r="P272" s="65" t="n">
        <f aca="false">P245+P240</f>
        <v>1185176.61787698</v>
      </c>
      <c r="Q272" s="65" t="n">
        <f aca="false">Q245+Q240</f>
        <v>1184006.57623773</v>
      </c>
      <c r="R272" s="65" t="n">
        <f aca="false">R245+R240</f>
        <v>1182830.19687294</v>
      </c>
      <c r="S272" s="65" t="n">
        <f aca="false">S245+S240</f>
        <v>1181647.44545325</v>
      </c>
      <c r="T272" s="65" t="n">
        <f aca="false">T245+T240</f>
        <v>1180458.28746337</v>
      </c>
      <c r="U272" s="65" t="n">
        <f aca="false">U245+U240</f>
        <v>1179262.68820105</v>
      </c>
      <c r="V272" s="65" t="n">
        <f aca="false">V245+V240</f>
        <v>1178060.61277606</v>
      </c>
      <c r="W272" s="65" t="n">
        <f aca="false">W245+W240</f>
        <v>1176852.02610918</v>
      </c>
      <c r="X272" s="65" t="n">
        <f aca="false">X245+X240</f>
        <v>1175636.89293119</v>
      </c>
      <c r="Y272" s="65" t="n">
        <f aca="false">Y245+Y240</f>
        <v>1174415.17778182</v>
      </c>
      <c r="Z272" s="65" t="n">
        <f aca="false">Z245+Z240</f>
        <v>1173186.84500872</v>
      </c>
      <c r="AA272" s="65" t="n">
        <f aca="false">AA245+AA240</f>
        <v>1171981.36121644</v>
      </c>
      <c r="AB272" s="65" t="n">
        <f aca="false">AB245+AB240</f>
        <v>1170739.68546534</v>
      </c>
      <c r="AC272" s="65" t="n">
        <f aca="false">AC245+AC240</f>
        <v>1169491.28397059</v>
      </c>
      <c r="AD272" s="65" t="n">
        <f aca="false">AD245+AD240</f>
        <v>1168236.12030108</v>
      </c>
      <c r="AE272" s="65" t="n">
        <f aca="false">AE245+AE240</f>
        <v>1166974.15782835</v>
      </c>
      <c r="AF272" s="65" t="n">
        <f aca="false">AF245+AF240</f>
        <v>1165705.35972557</v>
      </c>
      <c r="AG272" s="65" t="n">
        <f aca="false">AG245+AG240</f>
        <v>1164429.6889664</v>
      </c>
      <c r="AH272" s="65" t="n">
        <f aca="false">AH245+AH240</f>
        <v>1163147.10832395</v>
      </c>
      <c r="AI272" s="65" t="n">
        <f aca="false">AI245+AI240</f>
        <v>1161857.58036968</v>
      </c>
      <c r="AJ272" s="65" t="n">
        <f aca="false">AJ245+AJ240</f>
        <v>1160561.06747233</v>
      </c>
      <c r="AK272" s="65" t="n">
        <f aca="false">AK245+AK240</f>
        <v>1159257.53179679</v>
      </c>
      <c r="AL272" s="65" t="n">
        <f aca="false">AL245+AL240</f>
        <v>1157946.935303</v>
      </c>
      <c r="AM272" s="65" t="n">
        <f aca="false">AM245+AM240</f>
        <v>1156659.74932412</v>
      </c>
      <c r="AN272" s="65" t="n">
        <f aca="false">AN245+AN240</f>
        <v>1155334.91624839</v>
      </c>
      <c r="AO272" s="65" t="n">
        <f aca="false">AO245+AO240</f>
        <v>1154002.90699349</v>
      </c>
      <c r="AP272" s="65" t="n">
        <f aca="false">AP245+AP240</f>
        <v>1152663.68268847</v>
      </c>
      <c r="AQ272" s="65" t="n">
        <f aca="false">AQ245+AQ240</f>
        <v>1151317.20425179</v>
      </c>
      <c r="AR272" s="65" t="n">
        <f aca="false">AR245+AR240</f>
        <v>1149963.43239024</v>
      </c>
      <c r="AS272" s="65" t="n">
        <f aca="false">AS245+AS240</f>
        <v>1148602.32759778</v>
      </c>
      <c r="AT272" s="65" t="n">
        <f aca="false">AT245+AT240</f>
        <v>1147233.85015436</v>
      </c>
      <c r="AU272" s="65" t="n">
        <f aca="false">AU245+AU240</f>
        <v>1145857.96012479</v>
      </c>
      <c r="AV272" s="65" t="n">
        <f aca="false">AV245+AV240</f>
        <v>1144474.61735756</v>
      </c>
      <c r="AW272" s="65" t="n">
        <f aca="false">AW245+AW240</f>
        <v>1143083.78148367</v>
      </c>
      <c r="AX272" s="65" t="n">
        <f aca="false">AX245+AX240</f>
        <v>1141685.41191547</v>
      </c>
      <c r="AY272" s="65" t="n">
        <f aca="false">AY245+AY240</f>
        <v>1140311.02051489</v>
      </c>
      <c r="AZ272" s="65" t="n">
        <f aca="false">AZ245+AZ240</f>
        <v>1138897.46091448</v>
      </c>
      <c r="BA272" s="65" t="n">
        <f aca="false">BA245+BA240</f>
        <v>1137476.2445329</v>
      </c>
      <c r="BB272" s="65" t="n">
        <f aca="false">BB245+BB240</f>
        <v>1136047.32989592</v>
      </c>
      <c r="BC272" s="65" t="n">
        <f aca="false">BC245+BC240</f>
        <v>1134610.67530465</v>
      </c>
      <c r="BD272" s="65" t="n">
        <f aca="false">BD245+BD240</f>
        <v>1133166.23883435</v>
      </c>
      <c r="BE272" s="65" t="n">
        <f aca="false">BE245+BE240</f>
        <v>1131713.97833317</v>
      </c>
      <c r="BF272" s="65" t="n">
        <f aca="false">BF245+BF240</f>
        <v>1130253.85142094</v>
      </c>
      <c r="BG272" s="65" t="n">
        <f aca="false">BG245+BG240</f>
        <v>1128785.81548794</v>
      </c>
      <c r="BH272" s="65" t="n">
        <f aca="false">BH245+BH240</f>
        <v>1127309.82769363</v>
      </c>
      <c r="BI272" s="65" t="n">
        <f aca="false">BI245+BI240</f>
        <v>1125825.84496544</v>
      </c>
      <c r="BJ272" s="65" t="n">
        <f aca="false">BJ245+BJ240</f>
        <v>1124333.82399747</v>
      </c>
    </row>
    <row r="273" customFormat="false" ht="15" hidden="false" customHeight="false" outlineLevel="0" collapsed="false">
      <c r="A273" s="6" t="s">
        <v>99</v>
      </c>
      <c r="C273" s="65" t="n">
        <f aca="false">C269+C270</f>
        <v>760312.810188066</v>
      </c>
      <c r="D273" s="65" t="n">
        <f aca="false">D269+D270</f>
        <v>760629.551323253</v>
      </c>
      <c r="E273" s="65" t="n">
        <f aca="false">E269+E270</f>
        <v>760950.248550323</v>
      </c>
      <c r="F273" s="65" t="n">
        <f aca="false">F269+F270</f>
        <v>761274.927150237</v>
      </c>
      <c r="G273" s="65" t="n">
        <f aca="false">G269+G270</f>
        <v>761603.612540894</v>
      </c>
      <c r="H273" s="65" t="n">
        <f aca="false">H269+H270</f>
        <v>761936.330277876</v>
      </c>
      <c r="I273" s="65" t="n">
        <f aca="false">I269+I270</f>
        <v>762273.106055188</v>
      </c>
      <c r="J273" s="65" t="n">
        <f aca="false">J269+J270</f>
        <v>762613.965706014</v>
      </c>
      <c r="K273" s="65" t="n">
        <f aca="false">K269+K270</f>
        <v>762958.935203464</v>
      </c>
      <c r="L273" s="65" t="n">
        <f aca="false">L269+L270</f>
        <v>763308.040661339</v>
      </c>
      <c r="M273" s="65" t="n">
        <f aca="false">M269+M270</f>
        <v>763661.308334888</v>
      </c>
      <c r="N273" s="65" t="n">
        <f aca="false">N269+N270</f>
        <v>764018.764621576</v>
      </c>
      <c r="O273" s="65" t="n">
        <f aca="false">O269+O270</f>
        <v>764791.518403792</v>
      </c>
      <c r="P273" s="65" t="n">
        <f aca="false">P269+P270</f>
        <v>765568.496244748</v>
      </c>
      <c r="Q273" s="65" t="n">
        <f aca="false">Q269+Q270</f>
        <v>766349.724973195</v>
      </c>
      <c r="R273" s="65" t="n">
        <f aca="false">R269+R270</f>
        <v>767135.231563209</v>
      </c>
      <c r="S273" s="65" t="n">
        <f aca="false">S269+S270</f>
        <v>767925.043134972</v>
      </c>
      <c r="T273" s="65" t="n">
        <f aca="false">T269+T270</f>
        <v>768719.18695557</v>
      </c>
      <c r="U273" s="65" t="n">
        <f aca="false">U269+U270</f>
        <v>769517.690439785</v>
      </c>
      <c r="V273" s="65" t="n">
        <f aca="false">V269+V270</f>
        <v>770320.581150895</v>
      </c>
      <c r="W273" s="65" t="n">
        <f aca="false">W269+W270</f>
        <v>771127.886801478</v>
      </c>
      <c r="X273" s="65" t="n">
        <f aca="false">X269+X270</f>
        <v>771939.635254226</v>
      </c>
      <c r="Y273" s="65" t="n">
        <f aca="false">Y269+Y270</f>
        <v>772755.854522748</v>
      </c>
      <c r="Z273" s="65" t="n">
        <f aca="false">Z269+Z270</f>
        <v>773576.572772399</v>
      </c>
      <c r="AA273" s="65" t="n">
        <f aca="false">AA269+AA270</f>
        <v>774830.429239018</v>
      </c>
      <c r="AB273" s="65" t="n">
        <f aca="false">AB269+AB270</f>
        <v>776088.823252442</v>
      </c>
      <c r="AC273" s="65" t="n">
        <f aca="false">AC269+AC270</f>
        <v>777351.783438196</v>
      </c>
      <c r="AD273" s="65" t="n">
        <f aca="false">AD269+AD270</f>
        <v>778619.338576858</v>
      </c>
      <c r="AE273" s="65" t="n">
        <f aca="false">AE269+AE270</f>
        <v>779891.517604899</v>
      </c>
      <c r="AF273" s="65" t="n">
        <f aca="false">AF269+AF270</f>
        <v>781168.349615533</v>
      </c>
      <c r="AG273" s="65" t="n">
        <f aca="false">AG269+AG270</f>
        <v>782449.863859559</v>
      </c>
      <c r="AH273" s="65" t="n">
        <f aca="false">AH269+AH270</f>
        <v>783736.08974622</v>
      </c>
      <c r="AI273" s="65" t="n">
        <f aca="false">AI269+AI270</f>
        <v>785027.056844058</v>
      </c>
      <c r="AJ273" s="65" t="n">
        <f aca="false">AJ269+AJ270</f>
        <v>786322.794881778</v>
      </c>
      <c r="AK273" s="65" t="n">
        <f aca="false">AK269+AK270</f>
        <v>787623.333749116</v>
      </c>
      <c r="AL273" s="65" t="n">
        <f aca="false">AL269+AL270</f>
        <v>788928.703497709</v>
      </c>
      <c r="AM273" s="65" t="n">
        <f aca="false">AM269+AM270</f>
        <v>790685.802110987</v>
      </c>
      <c r="AN273" s="65" t="n">
        <f aca="false">AN269+AN270</f>
        <v>792447.77351889</v>
      </c>
      <c r="AO273" s="65" t="n">
        <f aca="false">AO269+AO270</f>
        <v>794214.648264044</v>
      </c>
      <c r="AP273" s="65" t="n">
        <f aca="false">AP269+AP270</f>
        <v>795986.457054518</v>
      </c>
      <c r="AQ273" s="65" t="n">
        <f aca="false">AQ269+AQ270</f>
        <v>797763.230764712</v>
      </c>
      <c r="AR273" s="65" t="n">
        <f aca="false">AR269+AR270</f>
        <v>799545.000436265</v>
      </c>
      <c r="AS273" s="65" t="n">
        <f aca="false">AS269+AS270</f>
        <v>801331.797278958</v>
      </c>
      <c r="AT273" s="65" t="n">
        <f aca="false">AT269+AT270</f>
        <v>803123.652671625</v>
      </c>
      <c r="AU273" s="65" t="n">
        <f aca="false">AU269+AU270</f>
        <v>804920.598163066</v>
      </c>
      <c r="AV273" s="65" t="n">
        <f aca="false">AV269+AV270</f>
        <v>806722.665472975</v>
      </c>
      <c r="AW273" s="65" t="n">
        <f aca="false">AW269+AW270</f>
        <v>808529.886492857</v>
      </c>
      <c r="AX273" s="65" t="n">
        <f aca="false">AX269+AX270</f>
        <v>810342.293286966</v>
      </c>
      <c r="AY273" s="65" t="n">
        <f aca="false">AY269+AY270</f>
        <v>812625.800797732</v>
      </c>
      <c r="AZ273" s="65" t="n">
        <f aca="false">AZ269+AZ270</f>
        <v>814914.539587106</v>
      </c>
      <c r="BA273" s="65" t="n">
        <f aca="false">BA269+BA270</f>
        <v>817208.542243213</v>
      </c>
      <c r="BB273" s="65" t="n">
        <f aca="false">BB269+BB270</f>
        <v>819507.841530693</v>
      </c>
      <c r="BC273" s="65" t="n">
        <f aca="false">BC269+BC270</f>
        <v>821812.470391667</v>
      </c>
      <c r="BD273" s="65" t="n">
        <f aca="false">BD269+BD270</f>
        <v>824122.461946687</v>
      </c>
      <c r="BE273" s="65" t="n">
        <f aca="false">BE269+BE270</f>
        <v>826437.849495711</v>
      </c>
      <c r="BF273" s="65" t="n">
        <f aca="false">BF269+BF270</f>
        <v>828758.666519072</v>
      </c>
      <c r="BG273" s="65" t="n">
        <f aca="false">BG269+BG270</f>
        <v>831084.946678453</v>
      </c>
      <c r="BH273" s="65" t="n">
        <f aca="false">BH269+BH270</f>
        <v>833416.723817872</v>
      </c>
      <c r="BI273" s="65" t="n">
        <f aca="false">BI269+BI270</f>
        <v>835754.03196467</v>
      </c>
      <c r="BJ273" s="65" t="n">
        <f aca="false">BJ269+BJ270</f>
        <v>838096.9053305</v>
      </c>
    </row>
    <row r="274" customFormat="false" ht="15" hidden="false" customHeight="false" outlineLevel="0" collapsed="false">
      <c r="A274" s="4" t="s">
        <v>100</v>
      </c>
      <c r="C274" s="71" t="n">
        <f aca="false">C272+C273</f>
        <v>1960109.99390615</v>
      </c>
      <c r="D274" s="71" t="n">
        <f aca="false">D272+D273</f>
        <v>1959336.04267123</v>
      </c>
      <c r="E274" s="71" t="n">
        <f aca="false">E272+E273</f>
        <v>1958560.13961118</v>
      </c>
      <c r="F274" s="71" t="n">
        <f aca="false">F272+F273</f>
        <v>1957782.27800576</v>
      </c>
      <c r="G274" s="71" t="n">
        <f aca="false">G272+G273</f>
        <v>1957002.4510983</v>
      </c>
      <c r="H274" s="71" t="n">
        <f aca="false">H272+H273</f>
        <v>1956220.65209556</v>
      </c>
      <c r="I274" s="71" t="n">
        <f aca="false">I272+I273</f>
        <v>1955436.87416747</v>
      </c>
      <c r="J274" s="71" t="n">
        <f aca="false">J272+J273</f>
        <v>1954651.11044698</v>
      </c>
      <c r="K274" s="71" t="n">
        <f aca="false">K272+K273</f>
        <v>1953863.35402987</v>
      </c>
      <c r="L274" s="71" t="n">
        <f aca="false">L272+L273</f>
        <v>1953073.59797447</v>
      </c>
      <c r="M274" s="71" t="n">
        <f aca="false">M272+M273</f>
        <v>1952281.83530155</v>
      </c>
      <c r="N274" s="71" t="n">
        <f aca="false">N272+N273</f>
        <v>1951488.05899406</v>
      </c>
      <c r="O274" s="71" t="n">
        <f aca="false">O272+O273</f>
        <v>1951131.87433887</v>
      </c>
      <c r="P274" s="71" t="n">
        <f aca="false">P272+P273</f>
        <v>1950745.11412173</v>
      </c>
      <c r="Q274" s="71" t="n">
        <f aca="false">Q272+Q273</f>
        <v>1950356.30121093</v>
      </c>
      <c r="R274" s="71" t="n">
        <f aca="false">R272+R273</f>
        <v>1949965.42843615</v>
      </c>
      <c r="S274" s="71" t="n">
        <f aca="false">S272+S273</f>
        <v>1949572.48858822</v>
      </c>
      <c r="T274" s="71" t="n">
        <f aca="false">T272+T273</f>
        <v>1949177.47441894</v>
      </c>
      <c r="U274" s="71" t="n">
        <f aca="false">U272+U273</f>
        <v>1948780.37864084</v>
      </c>
      <c r="V274" s="71" t="n">
        <f aca="false">V272+V273</f>
        <v>1948381.19392695</v>
      </c>
      <c r="W274" s="71" t="n">
        <f aca="false">W272+W273</f>
        <v>1947979.91291066</v>
      </c>
      <c r="X274" s="71" t="n">
        <f aca="false">X272+X273</f>
        <v>1947576.52818541</v>
      </c>
      <c r="Y274" s="71" t="n">
        <f aca="false">Y272+Y273</f>
        <v>1947171.03230457</v>
      </c>
      <c r="Z274" s="71" t="n">
        <f aca="false">Z272+Z273</f>
        <v>1946763.41778112</v>
      </c>
      <c r="AA274" s="71" t="n">
        <f aca="false">AA272+AA273</f>
        <v>1946811.79045545</v>
      </c>
      <c r="AB274" s="71" t="n">
        <f aca="false">AB272+AB273</f>
        <v>1946828.50871778</v>
      </c>
      <c r="AC274" s="71" t="n">
        <f aca="false">AC272+AC273</f>
        <v>1946843.06740879</v>
      </c>
      <c r="AD274" s="71" t="n">
        <f aca="false">AD272+AD273</f>
        <v>1946855.45887793</v>
      </c>
      <c r="AE274" s="71" t="n">
        <f aca="false">AE272+AE273</f>
        <v>1946865.67543325</v>
      </c>
      <c r="AF274" s="71" t="n">
        <f aca="false">AF272+AF273</f>
        <v>1946873.7093411</v>
      </c>
      <c r="AG274" s="71" t="n">
        <f aca="false">AG272+AG273</f>
        <v>1946879.55282596</v>
      </c>
      <c r="AH274" s="71" t="n">
        <f aca="false">AH272+AH273</f>
        <v>1946883.19807017</v>
      </c>
      <c r="AI274" s="71" t="n">
        <f aca="false">AI272+AI273</f>
        <v>1946884.63721374</v>
      </c>
      <c r="AJ274" s="71" t="n">
        <f aca="false">AJ272+AJ273</f>
        <v>1946883.86235411</v>
      </c>
      <c r="AK274" s="71" t="n">
        <f aca="false">AK272+AK273</f>
        <v>1946880.8655459</v>
      </c>
      <c r="AL274" s="71" t="n">
        <f aca="false">AL272+AL273</f>
        <v>1946875.63880071</v>
      </c>
      <c r="AM274" s="71" t="n">
        <f aca="false">AM272+AM273</f>
        <v>1947345.55143511</v>
      </c>
      <c r="AN274" s="71" t="n">
        <f aca="false">AN272+AN273</f>
        <v>1947782.68976728</v>
      </c>
      <c r="AO274" s="71" t="n">
        <f aca="false">AO272+AO273</f>
        <v>1948217.55525754</v>
      </c>
      <c r="AP274" s="71" t="n">
        <f aca="false">AP272+AP273</f>
        <v>1948650.13974298</v>
      </c>
      <c r="AQ274" s="71" t="n">
        <f aca="false">AQ272+AQ273</f>
        <v>1949080.4350165</v>
      </c>
      <c r="AR274" s="71" t="n">
        <f aca="false">AR272+AR273</f>
        <v>1949508.43282651</v>
      </c>
      <c r="AS274" s="71" t="n">
        <f aca="false">AS272+AS273</f>
        <v>1949934.12487674</v>
      </c>
      <c r="AT274" s="71" t="n">
        <f aca="false">AT272+AT273</f>
        <v>1950357.50282599</v>
      </c>
      <c r="AU274" s="71" t="n">
        <f aca="false">AU272+AU273</f>
        <v>1950778.55828786</v>
      </c>
      <c r="AV274" s="71" t="n">
        <f aca="false">AV272+AV273</f>
        <v>1951197.28283054</v>
      </c>
      <c r="AW274" s="71" t="n">
        <f aca="false">AW272+AW273</f>
        <v>1951613.66797653</v>
      </c>
      <c r="AX274" s="71" t="n">
        <f aca="false">AX272+AX273</f>
        <v>1952027.70520244</v>
      </c>
      <c r="AY274" s="71" t="n">
        <f aca="false">AY272+AY273</f>
        <v>1952936.82131262</v>
      </c>
      <c r="AZ274" s="71" t="n">
        <f aca="false">AZ272+AZ273</f>
        <v>1953812.00050158</v>
      </c>
      <c r="BA274" s="71" t="n">
        <f aca="false">BA272+BA273</f>
        <v>1954684.78677611</v>
      </c>
      <c r="BB274" s="71" t="n">
        <f aca="false">BB272+BB273</f>
        <v>1955555.17142661</v>
      </c>
      <c r="BC274" s="71" t="n">
        <f aca="false">BC272+BC273</f>
        <v>1956423.14569632</v>
      </c>
      <c r="BD274" s="71" t="n">
        <f aca="false">BD272+BD273</f>
        <v>1957288.70078104</v>
      </c>
      <c r="BE274" s="71" t="n">
        <f aca="false">BE272+BE273</f>
        <v>1958151.82782888</v>
      </c>
      <c r="BF274" s="71" t="n">
        <f aca="false">BF272+BF273</f>
        <v>1959012.51794002</v>
      </c>
      <c r="BG274" s="71" t="n">
        <f aca="false">BG272+BG273</f>
        <v>1959870.76216639</v>
      </c>
      <c r="BH274" s="71" t="n">
        <f aca="false">BH272+BH273</f>
        <v>1960726.55151151</v>
      </c>
      <c r="BI274" s="71" t="n">
        <f aca="false">BI272+BI273</f>
        <v>1961579.87693011</v>
      </c>
      <c r="BJ274" s="71" t="n">
        <f aca="false">BJ272+BJ273</f>
        <v>1962430.72932797</v>
      </c>
    </row>
    <row r="275" customFormat="false" ht="15" hidden="false" customHeight="false" outlineLevel="0" collapsed="false">
      <c r="A275" s="6" t="s">
        <v>448</v>
      </c>
      <c r="C275" s="65" t="n">
        <f aca="false">C271-C274</f>
        <v>0</v>
      </c>
      <c r="D275" s="65" t="n">
        <f aca="false">D271-D274</f>
        <v>0</v>
      </c>
      <c r="E275" s="65" t="n">
        <f aca="false">E271-E274</f>
        <v>0</v>
      </c>
      <c r="F275" s="65" t="n">
        <f aca="false">F271-F274</f>
        <v>0</v>
      </c>
      <c r="G275" s="65" t="n">
        <f aca="false">G271-G274</f>
        <v>0</v>
      </c>
      <c r="H275" s="65" t="n">
        <f aca="false">H271-H274</f>
        <v>0</v>
      </c>
      <c r="I275" s="65" t="n">
        <f aca="false">I271-I274</f>
        <v>0</v>
      </c>
      <c r="J275" s="65" t="n">
        <f aca="false">J271-J274</f>
        <v>0</v>
      </c>
      <c r="K275" s="65" t="n">
        <f aca="false">K271-K274</f>
        <v>0</v>
      </c>
      <c r="L275" s="65" t="n">
        <f aca="false">L271-L274</f>
        <v>0</v>
      </c>
      <c r="M275" s="65" t="n">
        <f aca="false">M271-M274</f>
        <v>0</v>
      </c>
      <c r="N275" s="65" t="n">
        <f aca="false">N271-N274</f>
        <v>0</v>
      </c>
      <c r="O275" s="65" t="n">
        <f aca="false">O271-O274</f>
        <v>0</v>
      </c>
      <c r="P275" s="65" t="n">
        <f aca="false">P271-P274</f>
        <v>0</v>
      </c>
      <c r="Q275" s="65" t="n">
        <f aca="false">Q271-Q274</f>
        <v>0</v>
      </c>
      <c r="R275" s="65" t="n">
        <f aca="false">R271-R274</f>
        <v>0</v>
      </c>
      <c r="S275" s="65" t="n">
        <f aca="false">S271-S274</f>
        <v>0</v>
      </c>
      <c r="T275" s="65" t="n">
        <f aca="false">T271-T274</f>
        <v>0</v>
      </c>
      <c r="U275" s="65" t="n">
        <f aca="false">U271-U274</f>
        <v>0</v>
      </c>
      <c r="V275" s="65" t="n">
        <f aca="false">V271-V274</f>
        <v>0</v>
      </c>
      <c r="W275" s="65" t="n">
        <f aca="false">W271-W274</f>
        <v>0</v>
      </c>
      <c r="X275" s="65" t="n">
        <f aca="false">X271-X274</f>
        <v>0</v>
      </c>
      <c r="Y275" s="65" t="n">
        <f aca="false">Y271-Y274</f>
        <v>0</v>
      </c>
      <c r="Z275" s="65" t="n">
        <f aca="false">Z271-Z274</f>
        <v>0</v>
      </c>
      <c r="AA275" s="65" t="n">
        <f aca="false">AA271-AA274</f>
        <v>0</v>
      </c>
      <c r="AB275" s="65" t="n">
        <f aca="false">AB271-AB274</f>
        <v>0</v>
      </c>
      <c r="AC275" s="65" t="n">
        <f aca="false">AC271-AC274</f>
        <v>0</v>
      </c>
      <c r="AD275" s="65" t="n">
        <f aca="false">AD271-AD274</f>
        <v>0</v>
      </c>
      <c r="AE275" s="65" t="n">
        <f aca="false">AE271-AE274</f>
        <v>0</v>
      </c>
      <c r="AF275" s="65" t="n">
        <f aca="false">AF271-AF274</f>
        <v>0</v>
      </c>
      <c r="AG275" s="65" t="n">
        <f aca="false">AG271-AG274</f>
        <v>0</v>
      </c>
      <c r="AH275" s="65" t="n">
        <f aca="false">AH271-AH274</f>
        <v>0</v>
      </c>
      <c r="AI275" s="65" t="n">
        <f aca="false">AI271-AI274</f>
        <v>0</v>
      </c>
      <c r="AJ275" s="65" t="n">
        <f aca="false">AJ271-AJ274</f>
        <v>0</v>
      </c>
      <c r="AK275" s="65" t="n">
        <f aca="false">AK271-AK274</f>
        <v>0</v>
      </c>
      <c r="AL275" s="65" t="n">
        <f aca="false">AL271-AL274</f>
        <v>0</v>
      </c>
      <c r="AM275" s="65" t="n">
        <f aca="false">AM271-AM274</f>
        <v>0</v>
      </c>
      <c r="AN275" s="65" t="n">
        <f aca="false">AN271-AN274</f>
        <v>0</v>
      </c>
      <c r="AO275" s="65" t="n">
        <f aca="false">AO271-AO274</f>
        <v>0</v>
      </c>
      <c r="AP275" s="65" t="n">
        <f aca="false">AP271-AP274</f>
        <v>0</v>
      </c>
      <c r="AQ275" s="65" t="n">
        <f aca="false">AQ271-AQ274</f>
        <v>0</v>
      </c>
      <c r="AR275" s="65" t="n">
        <f aca="false">AR271-AR274</f>
        <v>0</v>
      </c>
      <c r="AS275" s="65" t="n">
        <f aca="false">AS271-AS274</f>
        <v>0</v>
      </c>
      <c r="AT275" s="65" t="n">
        <f aca="false">AT271-AT274</f>
        <v>0</v>
      </c>
      <c r="AU275" s="65" t="n">
        <f aca="false">AU271-AU274</f>
        <v>0</v>
      </c>
      <c r="AV275" s="65" t="n">
        <f aca="false">AV271-AV274</f>
        <v>0</v>
      </c>
      <c r="AW275" s="65" t="n">
        <f aca="false">AW271-AW274</f>
        <v>0</v>
      </c>
      <c r="AX275" s="65" t="n">
        <f aca="false">AX271-AX274</f>
        <v>0</v>
      </c>
      <c r="AY275" s="65" t="n">
        <f aca="false">AY271-AY274</f>
        <v>0</v>
      </c>
      <c r="AZ275" s="65" t="n">
        <f aca="false">AZ271-AZ274</f>
        <v>0</v>
      </c>
      <c r="BA275" s="65" t="n">
        <f aca="false">BA271-BA274</f>
        <v>0</v>
      </c>
      <c r="BB275" s="65" t="n">
        <f aca="false">BB271-BB274</f>
        <v>0</v>
      </c>
      <c r="BC275" s="65" t="n">
        <f aca="false">BC271-BC274</f>
        <v>0</v>
      </c>
      <c r="BD275" s="65" t="n">
        <f aca="false">BD271-BD274</f>
        <v>0</v>
      </c>
      <c r="BE275" s="65" t="n">
        <f aca="false">BE271-BE274</f>
        <v>0</v>
      </c>
      <c r="BF275" s="65" t="n">
        <f aca="false">BF271-BF274</f>
        <v>0</v>
      </c>
      <c r="BG275" s="65" t="n">
        <f aca="false">BG271-BG274</f>
        <v>0</v>
      </c>
      <c r="BH275" s="65" t="n">
        <f aca="false">BH271-BH274</f>
        <v>0</v>
      </c>
      <c r="BI275" s="65" t="n">
        <f aca="false">BI271-BI274</f>
        <v>0</v>
      </c>
      <c r="BJ275" s="65" t="n">
        <f aca="false">BJ271-BJ274</f>
        <v>0</v>
      </c>
    </row>
    <row r="276" customFormat="false" ht="15" hidden="false" customHeight="false" outlineLevel="0" collapsed="false">
      <c r="A276" s="108" t="s">
        <v>450</v>
      </c>
      <c r="C276" s="114" t="n">
        <f aca="false">0</f>
        <v>0</v>
      </c>
      <c r="D276" s="114" t="n">
        <f aca="false">0</f>
        <v>0</v>
      </c>
      <c r="E276" s="114" t="n">
        <f aca="false">0</f>
        <v>0</v>
      </c>
      <c r="F276" s="114" t="n">
        <f aca="false">0</f>
        <v>0</v>
      </c>
      <c r="G276" s="114" t="n">
        <f aca="false">0</f>
        <v>0</v>
      </c>
      <c r="H276" s="114" t="n">
        <f aca="false">0</f>
        <v>0</v>
      </c>
      <c r="I276" s="114" t="n">
        <f aca="false">0</f>
        <v>0</v>
      </c>
      <c r="J276" s="114" t="n">
        <f aca="false">0</f>
        <v>0</v>
      </c>
      <c r="K276" s="114" t="n">
        <f aca="false">0</f>
        <v>0</v>
      </c>
      <c r="L276" s="114" t="n">
        <f aca="false">0</f>
        <v>0</v>
      </c>
      <c r="M276" s="114" t="n">
        <f aca="false">0</f>
        <v>0</v>
      </c>
      <c r="N276" s="114" t="n">
        <f aca="false">0</f>
        <v>0</v>
      </c>
      <c r="O276" s="114" t="n">
        <f aca="false">0</f>
        <v>0</v>
      </c>
      <c r="P276" s="114" t="n">
        <f aca="false">0</f>
        <v>0</v>
      </c>
      <c r="Q276" s="114" t="n">
        <f aca="false">0</f>
        <v>0</v>
      </c>
      <c r="R276" s="114" t="n">
        <f aca="false">0</f>
        <v>0</v>
      </c>
      <c r="S276" s="114" t="n">
        <f aca="false">0</f>
        <v>0</v>
      </c>
      <c r="T276" s="114" t="n">
        <f aca="false">0</f>
        <v>0</v>
      </c>
      <c r="U276" s="114" t="n">
        <f aca="false">0</f>
        <v>0</v>
      </c>
      <c r="V276" s="114" t="n">
        <f aca="false">0</f>
        <v>0</v>
      </c>
      <c r="W276" s="114" t="n">
        <f aca="false">0</f>
        <v>0</v>
      </c>
      <c r="X276" s="114" t="n">
        <f aca="false">0</f>
        <v>0</v>
      </c>
      <c r="Y276" s="114" t="n">
        <f aca="false">0</f>
        <v>0</v>
      </c>
      <c r="Z276" s="114" t="n">
        <f aca="false">0</f>
        <v>0</v>
      </c>
      <c r="AA276" s="114" t="n">
        <f aca="false">0</f>
        <v>0</v>
      </c>
      <c r="AB276" s="114" t="n">
        <f aca="false">0</f>
        <v>0</v>
      </c>
      <c r="AC276" s="114" t="n">
        <f aca="false">0</f>
        <v>0</v>
      </c>
      <c r="AD276" s="114" t="n">
        <f aca="false">0</f>
        <v>0</v>
      </c>
      <c r="AE276" s="114" t="n">
        <f aca="false">0</f>
        <v>0</v>
      </c>
      <c r="AF276" s="114" t="n">
        <f aca="false">0</f>
        <v>0</v>
      </c>
      <c r="AG276" s="114" t="n">
        <f aca="false">0</f>
        <v>0</v>
      </c>
      <c r="AH276" s="114" t="n">
        <f aca="false">0</f>
        <v>0</v>
      </c>
      <c r="AI276" s="114" t="n">
        <f aca="false">0</f>
        <v>0</v>
      </c>
      <c r="AJ276" s="114" t="n">
        <f aca="false">0</f>
        <v>0</v>
      </c>
      <c r="AK276" s="114" t="n">
        <f aca="false">0</f>
        <v>0</v>
      </c>
      <c r="AL276" s="114" t="n">
        <f aca="false">0</f>
        <v>0</v>
      </c>
      <c r="AM276" s="114" t="n">
        <f aca="false">0</f>
        <v>0</v>
      </c>
      <c r="AN276" s="114" t="n">
        <f aca="false">0</f>
        <v>0</v>
      </c>
      <c r="AO276" s="114" t="n">
        <f aca="false">0</f>
        <v>0</v>
      </c>
      <c r="AP276" s="114" t="n">
        <f aca="false">0</f>
        <v>0</v>
      </c>
      <c r="AQ276" s="114" t="n">
        <f aca="false">0</f>
        <v>0</v>
      </c>
      <c r="AR276" s="114" t="n">
        <f aca="false">0</f>
        <v>0</v>
      </c>
      <c r="AS276" s="114" t="n">
        <f aca="false">0</f>
        <v>0</v>
      </c>
      <c r="AT276" s="114" t="n">
        <f aca="false">0</f>
        <v>0</v>
      </c>
      <c r="AU276" s="114" t="n">
        <f aca="false">0</f>
        <v>0</v>
      </c>
      <c r="AV276" s="114" t="n">
        <f aca="false">0</f>
        <v>0</v>
      </c>
      <c r="AW276" s="114" t="n">
        <f aca="false">0</f>
        <v>0</v>
      </c>
      <c r="AX276" s="114" t="n">
        <f aca="false">0</f>
        <v>0</v>
      </c>
      <c r="AY276" s="114" t="n">
        <f aca="false">0</f>
        <v>0</v>
      </c>
      <c r="AZ276" s="114" t="n">
        <f aca="false">0</f>
        <v>0</v>
      </c>
      <c r="BA276" s="114" t="n">
        <f aca="false">0</f>
        <v>0</v>
      </c>
      <c r="BB276" s="114" t="n">
        <f aca="false">0</f>
        <v>0</v>
      </c>
      <c r="BC276" s="114" t="n">
        <f aca="false">0</f>
        <v>0</v>
      </c>
      <c r="BD276" s="114" t="n">
        <f aca="false">0</f>
        <v>0</v>
      </c>
      <c r="BE276" s="114" t="n">
        <f aca="false">0</f>
        <v>0</v>
      </c>
      <c r="BF276" s="114" t="n">
        <f aca="false">0</f>
        <v>0</v>
      </c>
      <c r="BG276" s="114" t="n">
        <f aca="false">0</f>
        <v>0</v>
      </c>
      <c r="BH276" s="114" t="n">
        <f aca="false">0</f>
        <v>0</v>
      </c>
      <c r="BI276" s="114" t="n">
        <f aca="false">0</f>
        <v>0</v>
      </c>
      <c r="BJ276" s="114" t="n">
        <f aca="false">0</f>
        <v>0</v>
      </c>
    </row>
    <row r="277" customFormat="false" ht="15" hidden="false" customHeight="false" outlineLevel="0" collapsed="false">
      <c r="A277" s="108" t="s">
        <v>451</v>
      </c>
      <c r="C277" s="66" t="n">
        <f aca="false">0</f>
        <v>0</v>
      </c>
      <c r="D277" s="66" t="n">
        <f aca="false">0</f>
        <v>0</v>
      </c>
      <c r="E277" s="66" t="n">
        <f aca="false">0</f>
        <v>0</v>
      </c>
      <c r="F277" s="66" t="n">
        <f aca="false">0</f>
        <v>0</v>
      </c>
      <c r="G277" s="66" t="n">
        <f aca="false">0</f>
        <v>0</v>
      </c>
      <c r="H277" s="66" t="n">
        <f aca="false">0</f>
        <v>0</v>
      </c>
      <c r="I277" s="66" t="n">
        <f aca="false">0</f>
        <v>0</v>
      </c>
      <c r="J277" s="66" t="n">
        <f aca="false">0</f>
        <v>0</v>
      </c>
      <c r="K277" s="66" t="n">
        <f aca="false">0</f>
        <v>0</v>
      </c>
      <c r="L277" s="66" t="n">
        <f aca="false">0</f>
        <v>0</v>
      </c>
      <c r="M277" s="66" t="n">
        <f aca="false">0</f>
        <v>0</v>
      </c>
      <c r="N277" s="66" t="n">
        <f aca="false">0</f>
        <v>0</v>
      </c>
      <c r="O277" s="66" t="n">
        <f aca="false">0</f>
        <v>0</v>
      </c>
      <c r="P277" s="66" t="n">
        <f aca="false">0</f>
        <v>0</v>
      </c>
      <c r="Q277" s="66" t="n">
        <f aca="false">0</f>
        <v>0</v>
      </c>
      <c r="R277" s="66" t="n">
        <f aca="false">0</f>
        <v>0</v>
      </c>
      <c r="S277" s="66" t="n">
        <f aca="false">0</f>
        <v>0</v>
      </c>
      <c r="T277" s="66" t="n">
        <f aca="false">0</f>
        <v>0</v>
      </c>
      <c r="U277" s="66" t="n">
        <f aca="false">0</f>
        <v>0</v>
      </c>
      <c r="V277" s="66" t="n">
        <f aca="false">0</f>
        <v>0</v>
      </c>
      <c r="W277" s="66" t="n">
        <f aca="false">0</f>
        <v>0</v>
      </c>
      <c r="X277" s="66" t="n">
        <f aca="false">0</f>
        <v>0</v>
      </c>
      <c r="Y277" s="66" t="n">
        <f aca="false">0</f>
        <v>0</v>
      </c>
      <c r="Z277" s="66" t="n">
        <f aca="false">0</f>
        <v>0</v>
      </c>
      <c r="AA277" s="66" t="n">
        <f aca="false">0</f>
        <v>0</v>
      </c>
      <c r="AB277" s="66" t="n">
        <f aca="false">0</f>
        <v>0</v>
      </c>
      <c r="AC277" s="66" t="n">
        <f aca="false">0</f>
        <v>0</v>
      </c>
      <c r="AD277" s="66" t="n">
        <f aca="false">0</f>
        <v>0</v>
      </c>
      <c r="AE277" s="66" t="n">
        <f aca="false">0</f>
        <v>0</v>
      </c>
      <c r="AF277" s="66" t="n">
        <f aca="false">0</f>
        <v>0</v>
      </c>
      <c r="AG277" s="66" t="n">
        <f aca="false">0</f>
        <v>0</v>
      </c>
      <c r="AH277" s="66" t="n">
        <f aca="false">0</f>
        <v>0</v>
      </c>
      <c r="AI277" s="66" t="n">
        <f aca="false">0</f>
        <v>0</v>
      </c>
      <c r="AJ277" s="66" t="n">
        <f aca="false">0</f>
        <v>0</v>
      </c>
      <c r="AK277" s="66" t="n">
        <f aca="false">0</f>
        <v>0</v>
      </c>
      <c r="AL277" s="66" t="n">
        <f aca="false">0</f>
        <v>0</v>
      </c>
      <c r="AM277" s="66" t="n">
        <f aca="false">0</f>
        <v>0</v>
      </c>
      <c r="AN277" s="66" t="n">
        <f aca="false">0</f>
        <v>0</v>
      </c>
      <c r="AO277" s="66" t="n">
        <f aca="false">0</f>
        <v>0</v>
      </c>
      <c r="AP277" s="66" t="n">
        <f aca="false">0</f>
        <v>0</v>
      </c>
      <c r="AQ277" s="66" t="n">
        <f aca="false">0</f>
        <v>0</v>
      </c>
      <c r="AR277" s="66" t="n">
        <f aca="false">0</f>
        <v>0</v>
      </c>
      <c r="AS277" s="66" t="n">
        <f aca="false">0</f>
        <v>0</v>
      </c>
      <c r="AT277" s="66" t="n">
        <f aca="false">0</f>
        <v>0</v>
      </c>
      <c r="AU277" s="66" t="n">
        <f aca="false">0</f>
        <v>0</v>
      </c>
      <c r="AV277" s="66" t="n">
        <f aca="false">0</f>
        <v>0</v>
      </c>
      <c r="AW277" s="66" t="n">
        <f aca="false">0</f>
        <v>0</v>
      </c>
      <c r="AX277" s="66" t="n">
        <f aca="false">0</f>
        <v>0</v>
      </c>
      <c r="AY277" s="66" t="n">
        <f aca="false">0</f>
        <v>0</v>
      </c>
      <c r="AZ277" s="66" t="n">
        <f aca="false">0</f>
        <v>0</v>
      </c>
      <c r="BA277" s="66" t="n">
        <f aca="false">0</f>
        <v>0</v>
      </c>
      <c r="BB277" s="66" t="n">
        <f aca="false">0</f>
        <v>0</v>
      </c>
      <c r="BC277" s="66" t="n">
        <f aca="false">0</f>
        <v>0</v>
      </c>
      <c r="BD277" s="66" t="n">
        <f aca="false">0</f>
        <v>0</v>
      </c>
      <c r="BE277" s="66" t="n">
        <f aca="false">0</f>
        <v>0</v>
      </c>
      <c r="BF277" s="66" t="n">
        <f aca="false">0</f>
        <v>0</v>
      </c>
      <c r="BG277" s="66" t="n">
        <f aca="false">0</f>
        <v>0</v>
      </c>
      <c r="BH277" s="66" t="n">
        <f aca="false">0</f>
        <v>0</v>
      </c>
      <c r="BI277" s="66" t="n">
        <f aca="false">0</f>
        <v>0</v>
      </c>
      <c r="BJ277" s="66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457</v>
      </c>
    </row>
    <row r="3" customFormat="false" ht="15" hidden="false" customHeight="false" outlineLevel="0" collapsed="false">
      <c r="A3" s="33" t="s">
        <v>458</v>
      </c>
      <c r="B3" s="33" t="s">
        <v>459</v>
      </c>
      <c r="C3" s="33" t="s">
        <v>460</v>
      </c>
    </row>
    <row r="4" customFormat="false" ht="15" hidden="false" customHeight="false" outlineLevel="0" collapsed="false">
      <c r="A4" s="6" t="s">
        <v>461</v>
      </c>
      <c r="B4" s="4" t="str">
        <f aca="false">IF(ABS(SUM('P&amp;L'!$B$5:$F$5)-SUM(Monthly!$C$12:$BJ$12))&lt;0.5,"PASS","FAIL")</f>
        <v>PASS</v>
      </c>
      <c r="C4" s="18" t="s">
        <v>462</v>
      </c>
    </row>
    <row r="5" customFormat="false" ht="15" hidden="false" customHeight="false" outlineLevel="0" collapsed="false">
      <c r="A5" s="6" t="s">
        <v>463</v>
      </c>
      <c r="B5" s="4" t="str">
        <f aca="false">IF(ABS(SUM('P&amp;L'!$B$21:$F$21)-SUM(Monthly!$C$35:$BJ$35))&lt;0.5,"PASS","FAIL")</f>
        <v>PASS</v>
      </c>
      <c r="C5" s="18" t="s">
        <v>464</v>
      </c>
    </row>
    <row r="6" customFormat="false" ht="15" hidden="false" customHeight="false" outlineLevel="0" collapsed="false">
      <c r="A6" s="6" t="s">
        <v>465</v>
      </c>
      <c r="B6" s="4" t="str">
        <f aca="false">IF(ABS(SUM(Monthly!$C$26:$BJ$26)-SUM(Monthly!$C$18:$BJ$18)-SUM(Monthly!$C$25:$BJ$25))&lt;0.5,"PASS","FAIL")</f>
        <v>PASS</v>
      </c>
      <c r="C6" s="18" t="s">
        <v>466</v>
      </c>
    </row>
    <row r="7" customFormat="false" ht="15" hidden="false" customHeight="false" outlineLevel="0" collapsed="false">
      <c r="A7" s="6" t="s">
        <v>467</v>
      </c>
      <c r="B7" s="4" t="str">
        <f aca="false">IF(ABS(INDEX(Monthly!$C$71:$BJ$71,60)-SUM(Monthly!$C$69:$BJ$69))&lt;0.5,"PASS","FAIL")</f>
        <v>PASS</v>
      </c>
      <c r="C7" s="18" t="s">
        <v>468</v>
      </c>
    </row>
    <row r="8" customFormat="false" ht="15" hidden="false" customHeight="false" outlineLevel="0" collapsed="false">
      <c r="A8" s="6" t="s">
        <v>469</v>
      </c>
      <c r="B8" s="4" t="str">
        <f aca="false">IF(AND(ISNUMBER(Dashboard!B4),Dashboard!B4&gt;=1,Dashboard!B4&lt;=3,INT(Dashboard!B4)=Dashboard!B4),"PASS","FAIL")</f>
        <v>PASS</v>
      </c>
      <c r="C8" s="18" t="s">
        <v>470</v>
      </c>
    </row>
    <row r="9" customFormat="false" ht="15" hidden="false" customHeight="false" outlineLevel="0" collapsed="false">
      <c r="A9" s="6" t="s">
        <v>471</v>
      </c>
      <c r="B9" s="4" t="str">
        <f aca="false">IF(AND(Inputs!$B$9&gt;=Inputs!$C$9,Inputs!$C$9&gt;=Inputs!$D$9,Inputs!$B$13&lt;=Inputs!$C$13,Inputs!$C$13&lt;=Inputs!$D$13,Inputs!$B$14&lt;=Inputs!$C$14,Inputs!$C$14&lt;=Inputs!$D$14,Inputs!$B$15&gt;=Inputs!$C$15,Inputs!$C$15&gt;=Inputs!$D$15,Inputs!$B$16&lt;=Inputs!$C$16,Inputs!$C$16&lt;=Inputs!$D$16,Inputs!$B$19&gt;=Inputs!$C$19,Inputs!$C$19&gt;=Inputs!$D$19,Inputs!$B$23&gt;=Inputs!$C$23,Inputs!$C$23&gt;=Inputs!$D$23,Inputs!$B$25&gt;=Inputs!$C$25,Inputs!$C$25&gt;=Inputs!$D$25,Inputs!$B$29&gt;=Inputs!$C$29,Inputs!$C$29&gt;=Inputs!$D$29,Inputs!$B$30&gt;=Inputs!$C$30,Inputs!$C$30&gt;=Inputs!$D$30,Inputs!$B$52&gt;=Inputs!$C$52,Inputs!$C$52&gt;=Inputs!$D$52,Inputs!$B$53&lt;=Inputs!$C$53,Inputs!$C$53&lt;=Inputs!$D$53,Inputs!$B$54&lt;=Inputs!$C$54,Inputs!$C$54&lt;=Inputs!$D$54),"PASS","FAIL")</f>
        <v>PASS</v>
      </c>
      <c r="C9" s="18" t="s">
        <v>472</v>
      </c>
    </row>
    <row r="10" customFormat="false" ht="15" hidden="false" customHeight="false" outlineLevel="0" collapsed="false">
      <c r="A10" s="6" t="s">
        <v>473</v>
      </c>
      <c r="B10" s="4" t="str">
        <f aca="false">IF(AND(MIN('P&amp;L'!$B$8:$F$8)&gt;=0,MAX('P&amp;L'!$B$8:$F$8)&lt;=1),"PASS","FAIL")</f>
        <v>PASS</v>
      </c>
      <c r="C10" s="18" t="s">
        <v>474</v>
      </c>
    </row>
    <row r="11" customFormat="false" ht="15" hidden="false" customHeight="false" outlineLevel="0" collapsed="false">
      <c r="A11" s="6" t="s">
        <v>475</v>
      </c>
      <c r="B11" s="4" t="str">
        <f aca="false">IF(MIN(Monthly!$C$54:$BJ$54)&gt;=-0.5,"PASS","FAIL")</f>
        <v>PASS</v>
      </c>
      <c r="C11" s="18" t="s">
        <v>476</v>
      </c>
    </row>
    <row r="12" customFormat="false" ht="15" hidden="false" customHeight="false" outlineLevel="0" collapsed="false">
      <c r="A12" s="6" t="s">
        <v>477</v>
      </c>
      <c r="B12" s="4" t="str">
        <f aca="false">IF(ABS('Break-even'!B18-('Break-even'!B16-'Break-even'!B10))&lt;0.5,"PASS","FAIL")</f>
        <v>PASS</v>
      </c>
      <c r="C12" s="18" t="s">
        <v>478</v>
      </c>
    </row>
    <row r="13" customFormat="false" ht="15" hidden="false" customHeight="false" outlineLevel="0" collapsed="false">
      <c r="A13" s="6" t="s">
        <v>479</v>
      </c>
      <c r="B13" s="4" t="str">
        <f aca="false">IF(ABS(Valuation!B23-NPV(Valuation!B6,Valuation!$B$17:$F$17))&lt;0.5,"PASS","FAIL")</f>
        <v>PASS</v>
      </c>
      <c r="C13" s="18" t="s">
        <v>480</v>
      </c>
    </row>
    <row r="14" customFormat="false" ht="15" hidden="false" customHeight="false" outlineLevel="0" collapsed="false">
      <c r="A14" s="6" t="s">
        <v>481</v>
      </c>
      <c r="B14" s="4" t="str">
        <f aca="false">IF(Valuation!B6&gt;Valuation!B7,"PASS","FAIL")</f>
        <v>PASS</v>
      </c>
      <c r="C14" s="18" t="s">
        <v>482</v>
      </c>
    </row>
    <row r="15" customFormat="false" ht="15" hidden="false" customHeight="false" outlineLevel="0" collapsed="false">
      <c r="A15" s="6" t="s">
        <v>483</v>
      </c>
      <c r="B15" s="4" t="str">
        <f aca="false">IF(ABS(Valuation!D36-Valuation!B27)&lt;0.5,"PASS","FAIL")</f>
        <v>PASS</v>
      </c>
      <c r="C15" s="18" t="s">
        <v>484</v>
      </c>
    </row>
    <row r="16" customFormat="false" ht="15" hidden="false" customHeight="false" outlineLevel="0" collapsed="false">
      <c r="A16" s="6" t="s">
        <v>485</v>
      </c>
      <c r="B16" s="4" t="str">
        <f aca="false">IF(Valuation!$F$17&gt;0,"PASS","WARN")</f>
        <v>PASS</v>
      </c>
      <c r="C16" s="18" t="s">
        <v>486</v>
      </c>
    </row>
    <row r="17" customFormat="false" ht="15" hidden="false" customHeight="false" outlineLevel="0" collapsed="false">
      <c r="A17" s="6" t="s">
        <v>487</v>
      </c>
      <c r="B17" s="4" t="str">
        <f aca="false">IF(ABS('Sources &amp; Uses'!B21-'Sources &amp; Uses'!B28)&lt;0.5,"PASS","FAIL")</f>
        <v>PASS</v>
      </c>
      <c r="C17" s="18" t="s">
        <v>488</v>
      </c>
    </row>
    <row r="18" customFormat="false" ht="15" hidden="false" customHeight="false" outlineLevel="0" collapsed="false">
      <c r="A18" s="6" t="s">
        <v>489</v>
      </c>
      <c r="B18" s="4" t="str">
        <f aca="false">IF(ABS(SUM(Returns!$B$17:$G$17)-SUM(Monthly!$C$26:$BJ$26))&lt;0.5,"PASS","FAIL")</f>
        <v>PASS</v>
      </c>
      <c r="C18" s="18" t="s">
        <v>490</v>
      </c>
    </row>
    <row r="19" customFormat="false" ht="15" hidden="false" customHeight="false" outlineLevel="0" collapsed="false">
      <c r="A19" s="6" t="s">
        <v>491</v>
      </c>
      <c r="B19" s="4" t="str">
        <f aca="false">IF(ABS(SUM(Returns!$B$16:$G$16)+SUM(Monthly!$C$38:$BJ$38))&lt;0.5,"PASS","FAIL")</f>
        <v>PASS</v>
      </c>
      <c r="C19" s="18" t="s">
        <v>492</v>
      </c>
    </row>
    <row r="20" customFormat="false" ht="15" hidden="false" customHeight="false" outlineLevel="0" collapsed="false">
      <c r="A20" s="6" t="s">
        <v>493</v>
      </c>
      <c r="B20" s="4" t="str">
        <f aca="false">IF(ABS(SUM(Returns!$B$21:$G$21)+SUM(Returns!$B$23:$G$23)+SUM(Returns!$B$24:$G$24))&lt;0.5,"PASS","FAIL")</f>
        <v>PASS</v>
      </c>
      <c r="C20" s="18" t="s">
        <v>494</v>
      </c>
    </row>
    <row r="21" customFormat="false" ht="15" hidden="false" customHeight="false" outlineLevel="0" collapsed="false">
      <c r="A21" s="6" t="s">
        <v>495</v>
      </c>
      <c r="B21" s="4" t="str">
        <f aca="false">IF(IF(ISNUMBER(Returns!B42),ABS(SUMPRODUCT(Returns!$B$20:$G$20/(1+Returns!B42)^Returns!$B$15:$G$15))&lt;1,TRUE()),"PASS","FAIL")</f>
        <v>PASS</v>
      </c>
      <c r="C21" s="18" t="s">
        <v>496</v>
      </c>
    </row>
    <row r="22" customFormat="false" ht="15" hidden="false" customHeight="false" outlineLevel="0" collapsed="false">
      <c r="A22" s="6" t="s">
        <v>497</v>
      </c>
      <c r="B22" s="4" t="str">
        <f aca="false">IF(IF(ISNUMBER(Returns!C42),ABS(SUMPRODUCT(Returns!$B$25:$G$25/(1+Returns!C42)^Returns!$B$15:$G$15))&lt;1,TRUE()),"PASS","FAIL")</f>
        <v>PASS</v>
      </c>
      <c r="C22" s="18" t="s">
        <v>498</v>
      </c>
    </row>
    <row r="23" customFormat="false" ht="15" hidden="false" customHeight="false" outlineLevel="0" collapsed="false">
      <c r="A23" s="6" t="s">
        <v>499</v>
      </c>
      <c r="B23" s="4" t="str">
        <f aca="false">IF(SUMPRODUCT(--ISNUMBER(Returns!$C$26:$G$26),--(Returns!$C$26:$G$26&lt;1))=0,"PASS","WARN")</f>
        <v>PASS</v>
      </c>
      <c r="C23" s="18" t="s">
        <v>500</v>
      </c>
    </row>
    <row r="24" customFormat="false" ht="15" hidden="false" customHeight="false" outlineLevel="0" collapsed="false">
      <c r="A24" s="6" t="s">
        <v>501</v>
      </c>
      <c r="B24" s="4" t="str">
        <f aca="false">IF(SUMPRODUCT(--ISERROR(Monthly!$C$4:$BJ$89))+SUMPRODUCT(--ISERROR(Headcount!$C$4:$BJ$7))+SUMPRODUCT(--ISERROR('P&amp;L'!$B$3:$F$22))+SUMPRODUCT(--ISERROR('Cash Flow'!$B$3:$F$18))+SUMPRODUCT(--ISERROR('Balance Sheet'!$B$3:$F$17))+SUMPRODUCT(--ISERROR(KPIs!$B$26:$F$41))+SUMPRODUCT(--ISERROR('Break-even'!$B$26:$F$33))+SUMPRODUCT(--ISERROR(Valuation!$B$14:$F$19))+SUMPRODUCT(--ISERROR('Break-even'!$B$3:$F$35))+SUMPRODUCT(--ISERROR(Valuation!$A$3:$F$40))+SUMPRODUCT(--ISERROR('Sources &amp; Uses'!$B$3:$C$30))+SUMPRODUCT(--ISERROR(Returns!$A$3:$G$51))+SUMPRODUCT(--ISERROR(Dashboard!$A$6:$W$43))+SUMPRODUCT(--ISERROR(Summary!$A$5:$S$52))+SUMPRODUCT(--ISERROR(KPIs!$A$4:$G$41))+SUMPRODUCT(--ISERROR('Scenario calc'!$C$6:$BJ$93))+SUMPRODUCT(--ISERROR('Scenario calc'!$C$98:$BJ$185))+SUMPRODUCT(--ISERROR('Scenario calc'!$C$190:$BJ$277))+SUMPRODUCT(--ISERROR(Scenarios!$B$5:$F$51))=0,"PASS","FAIL")</f>
        <v>PASS</v>
      </c>
      <c r="C24" s="18" t="s">
        <v>502</v>
      </c>
    </row>
    <row r="25" customFormat="false" ht="15" hidden="false" customHeight="false" outlineLevel="0" collapsed="false">
      <c r="A25" s="6" t="s">
        <v>503</v>
      </c>
      <c r="B25" s="4" t="str">
        <f aca="false">IF(IFERROR(AND(SUMPRODUCT(--(ABS(Summary!$B$7:$F$7-'P&amp;L'!$B$5:$F$5)&gt;0.5))=0,SUMPRODUCT(--(ABS(Summary!$B$19:$F$19-'P&amp;L'!$B$21:$F$21)&gt;0.5))=0,SUMPRODUCT(--(ABS(Summary!$B$31:$F$31-'Cash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25" s="18" t="s">
        <v>504</v>
      </c>
    </row>
    <row r="26" customFormat="false" ht="15" hidden="false" customHeight="false" outlineLevel="0" collapsed="false">
      <c r="A26" s="6" t="s">
        <v>505</v>
      </c>
      <c r="B26" s="4" t="str">
        <f aca="false">IF(SUMPRODUCT(--(ABS(KPIs!$B$23:$F$23)&gt;0.000000001))&gt;0,"FAIL",IF(SUMPRODUCT(ISNUMBER(KPIs!$B$22:$F$22)*ISNUMBER(KPIs!$B$15:$F$15))=0,"n/a","PASS"))</f>
        <v>PASS</v>
      </c>
      <c r="C26" s="18" t="s">
        <v>506</v>
      </c>
    </row>
    <row r="27" customFormat="false" ht="15" hidden="false" customHeight="false" outlineLevel="0" collapsed="false">
      <c r="A27" s="6" t="s">
        <v>507</v>
      </c>
      <c r="B27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7" s="18" t="s">
        <v>508</v>
      </c>
    </row>
    <row r="28" customFormat="false" ht="15" hidden="false" customHeight="false" outlineLevel="0" collapsed="false">
      <c r="A28" s="6" t="s">
        <v>509</v>
      </c>
      <c r="B28" s="4" t="str">
        <f aca="false">IF(SUMPRODUCT(--(ABS(Monthly!$C$89:$BJ$89)&gt;0.5))=0,"PASS","FAIL")</f>
        <v>PASS</v>
      </c>
      <c r="C28" s="18" t="s">
        <v>510</v>
      </c>
    </row>
    <row r="29" customFormat="false" ht="15" hidden="false" customHeight="false" outlineLevel="0" collapsed="false">
      <c r="A29" s="6" t="s">
        <v>511</v>
      </c>
      <c r="B29" s="4" t="str">
        <f aca="false">IF(MIN(Monthly!$C$71:$BJ$71)&gt;=0,"PASS","WARN")</f>
        <v>PASS</v>
      </c>
      <c r="C29" s="18" t="s">
        <v>512</v>
      </c>
    </row>
    <row r="31" customFormat="false" ht="15" hidden="false" customHeight="false" outlineLevel="0" collapsed="false">
      <c r="A31" s="68" t="s">
        <v>513</v>
      </c>
      <c r="B31" s="68" t="str">
        <f aca="false">IF(COUNTIF(B4:B29,"FAIL")&gt;0,"FAIL",IF(COUNTIF(B4:B29,"WARN")&gt;0,"PASS WITH WARNINGS","PASS"))</f>
        <v>PASS</v>
      </c>
      <c r="C31" s="115"/>
    </row>
  </sheetData>
  <conditionalFormatting sqref="B4:B31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2026-10-21T14:37:43Z</dcterms:created>
  <dc:creator/>
  <dc:description/>
  <dc:language>en-US</dc:language>
  <cp:lastModifiedBy/>
  <dcterms:modified xsi:type="dcterms:W3CDTF">2026-10-21T14:37:45Z</dcterms:modified>
  <cp:revision>0</cp:revision>
  <dc:subject/>
  <dc:title>Rental property financial model (early)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