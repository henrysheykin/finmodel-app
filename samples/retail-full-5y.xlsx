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<sst xmlns="http://schemas.openxmlformats.org/spreadsheetml/2006/main" count="1290" uniqueCount="505">
  <si>
    <t xml:space="preserve">Retail / e-commerce financial model (growing)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</si>
  <si>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</si>
  <si>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</si>
  <si>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</si>
  <si>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</si>
  <si>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</si>
  <si>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</si>
  <si>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</si>
  <si>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</si>
  <si>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</si>
  <si>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</si>
  <si>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</si>
  <si>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</si>
  <si>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</si>
  <si>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</si>
  <si>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</si>
  <si>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</si>
  <si>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</si>
  <si>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</si>
  <si>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</si>
  <si>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</si>
  <si>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</si>
  <si>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</si>
  <si>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</si>
  <si>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</si>
  <si>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</si>
  <si>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</si>
  <si>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</si>
  <si>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</si>
  <si>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</si>
  <si>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</si>
  <si>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</si>
  <si>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</si>
  <si>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</si>
  <si>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</si>
  <si>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</si>
  <si>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</si>
  <si>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</si>
  <si>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</si>
  <si>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</si>
  <si>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</si>
  <si>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</si>
  <si>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</si>
  <si>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</si>
  <si>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</si>
  <si>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</si>
  <si>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</si>
  <si>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</si>
  <si>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</si>
  <si>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</si>
  <si>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</si>
  <si>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</si>
  <si>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</si>
  <si>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</si>
  <si>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</si>
  <si>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</si>
  <si>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</si>
  <si>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Retail metrics</t>
  </si>
  <si>
    <t xml:space="preserve">Online gross sales</t>
  </si>
  <si>
    <t xml:space="preserve">Store gross sales</t>
  </si>
  <si>
    <t xml:space="preserve">Online orders</t>
  </si>
  <si>
    <t xml:space="preserve">Stores open (year end)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</si>
  <si>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</si>
  <si>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</si>
  <si>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</si>
  <si>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</si>
  <si>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</si>
  <si>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</si>
  <si>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</si>
  <si>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</si>
  <si>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</si>
  <si>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</si>
  <si>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</si>
  <si>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</si>
  <si>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</si>
  <si>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</si>
  <si>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Product cost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</si>
  <si>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</si>
  <si>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</si>
  <si>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</si>
  <si>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</si>
  <si>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</si>
  <si>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</si>
  <si>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</si>
  <si>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</si>
  <si>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</si>
  <si>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</si>
  <si>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</si>
  <si>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</si>
  <si>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</si>
  <si>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</si>
  <si>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</si>
  <si>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</si>
  <si>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</si>
  <si>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</si>
  <si>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</si>
  <si>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</si>
  <si>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</si>
  <si>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</si>
  <si>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</si>
  <si>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</si>
  <si>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</si>
  <si>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</si>
  <si>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</si>
  <si>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</si>
  <si>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</si>
  <si>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</si>
  <si>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</si>
  <si>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</si>
  <si>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Website visits per month (year 1, non-paid) (# / month)</t>
  </si>
  <si>
    <t xml:space="preserve">Conversion rate (orders ÷ visits) (%)</t>
  </si>
  <si>
    <t xml:space="preserve">Average order value (before returns) ($)</t>
  </si>
  <si>
    <t xml:space="preserve">Paid ads budget per month (year 1) ($ / month)</t>
  </si>
  <si>
    <t xml:space="preserve">Product cost, % of net sales (%)</t>
  </si>
  <si>
    <t xml:space="preserve">Stores open at start (#)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</si>
  <si>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</si>
  <si>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</si>
  <si>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</si>
  <si>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</si>
  <si>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</si>
  <si>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</si>
  <si>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</si>
  <si>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</si>
  <si>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</si>
  <si>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</si>
  <si>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</si>
  <si>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</si>
  <si>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</si>
  <si>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</si>
  <si>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</si>
  <si>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</si>
  <si>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</si>
  <si>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</si>
  <si>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</si>
  <si>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</si>
  <si>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</si>
  <si>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</si>
  <si>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</si>
  <si>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</si>
  <si>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</si>
  <si>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</si>
  <si>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</si>
  <si>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</si>
  <si>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</si>
  <si>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</si>
  <si>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</si>
  <si>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</si>
  <si>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</si>
  <si>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</si>
  <si>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</si>
  <si>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</si>
  <si>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</si>
  <si>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</si>
  <si>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</si>
  <si>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</si>
  <si>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</si>
  <si>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</si>
  <si>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</si>
  <si>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</si>
  <si>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</si>
  <si>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</si>
  <si>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</si>
  <si>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</si>
  <si>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</si>
  <si>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 In a year with zero or negative gross margin there is no break-even revenue (n/a); the chart line shows 0 there.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</si>
  <si>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</si>
  <si>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</si>
  <si>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</si>
  <si>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</si>
  <si>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</si>
  <si>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</si>
  <si>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</si>
  <si>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</si>
  <si>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</si>
  <si>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</si>
  <si>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</si>
  <si>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</si>
  <si>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</si>
  <si>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</si>
  <si>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</si>
  <si>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</si>
  <si>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</si>
  <si>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</si>
  <si>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</si>
  <si>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</si>
  <si>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</si>
  <si>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</si>
  <si>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</si>
  <si>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</si>
  <si>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</si>
  <si>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</si>
  <si>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</si>
  <si>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</si>
  <si>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</si>
  <si>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</si>
  <si>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</si>
  <si>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</si>
  <si>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</si>
  <si>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</si>
  <si>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</si>
  <si>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</si>
  <si>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</si>
  <si>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</si>
  <si>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</si>
  <si>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</si>
  <si>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</si>
  <si>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</si>
  <si>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</si>
  <si>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</si>
  <si>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</si>
  <si>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</si>
  <si>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</si>
  <si>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</si>
  <si>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</si>
  <si>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</si>
  <si>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</si>
  <si>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Retail / e-commerce financial model (growing)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</si>
  <si>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</si>
  <si>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</si>
  <si>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</si>
  <si>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</si>
  <si>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</si>
  <si>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</si>
  <si>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</si>
  <si>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</si>
  <si>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</si>
  <si>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</si>
  <si>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</si>
  <si>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</si>
  <si>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</si>
  <si>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</si>
  <si>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</si>
  <si>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Retail metrics ($'000; per-unit rows in $)</t>
  </si>
  <si>
    <t xml:space="preserve">Website visits (non-paid)</t>
  </si>
  <si>
    <t xml:space="preserve">Repeat orders</t>
  </si>
  <si>
    <t xml:space="preserve">Repeat orders, % of online orders</t>
  </si>
  <si>
    <t xml:space="preserve">Average order value ($)</t>
  </si>
  <si>
    <t xml:space="preserve">Paid ads spend</t>
  </si>
  <si>
    <t xml:space="preserve">Paid ads, % of online gross sales</t>
  </si>
  <si>
    <t xml:space="preserve">Net sales</t>
  </si>
  <si>
    <t xml:space="preserve">Gross profit (after product cost)</t>
  </si>
  <si>
    <t xml:space="preserve">Inventory (year end)</t>
  </si>
  <si>
    <t xml:space="preserve">Inventory turns (product cost ÷ year-end inventory)</t>
  </si>
  <si>
    <t xml:space="preserve">Inputs — Low / Base / High</t>
  </si>
  <si>
    <t xml:space="preserve">Illustrative assumptions — replace them with your own numbers.</t>
  </si>
  <si>
    <t xml:space="preserve">Unit</t>
  </si>
  <si>
    <t xml:space="preserve">Source / comment</t>
  </si>
  <si>
    <t xml:space="preserve">Online channel</t>
  </si>
  <si>
    <t xml:space="preserve">Website visits per month (year 1, non-paid)</t>
  </si>
  <si>
    <t xml:space="preserve"># / month</t>
  </si>
  <si>
    <t xml:space="preserve">Low ≤ Base ≤ High</t>
  </si>
  <si>
    <t xml:space="preserve">Visit growth per year</t>
  </si>
  <si>
    <t xml:space="preserve">%</t>
  </si>
  <si>
    <t xml:space="preserve">Conversion rate (orders ÷ visits)</t>
  </si>
  <si>
    <t xml:space="preserve">Average order value (before returns)</t>
  </si>
  <si>
    <t xml:space="preserve">$</t>
  </si>
  <si>
    <t xml:space="preserve">Average order value growth per year</t>
  </si>
  <si>
    <t xml:space="preserve">Repeat orders per new-customer order (returning customers)</t>
  </si>
  <si>
    <t xml:space="preserve">x</t>
  </si>
  <si>
    <t xml:space="preserve">Paid ads budget per month (year 1)</t>
  </si>
  <si>
    <t xml:space="preserve">$ / month</t>
  </si>
  <si>
    <t xml:space="preserve">Paid ads budget growth per year</t>
  </si>
  <si>
    <t xml:space="preserve">Paid cost per order (CAC)</t>
  </si>
  <si>
    <t xml:space="preserve">Low ≥ Base ≥ High (lower is better)</t>
  </si>
  <si>
    <t xml:space="preserve">Store channel</t>
  </si>
  <si>
    <t xml:space="preserve">Stores open at start</t>
  </si>
  <si>
    <t xml:space="preserve">#</t>
  </si>
  <si>
    <t xml:space="preserve">New stores opened each year from year 2</t>
  </si>
  <si>
    <t xml:space="preserve"># / year</t>
  </si>
  <si>
    <t xml:space="preserve">Selling area per store</t>
  </si>
  <si>
    <t xml:space="preserve">sq ft</t>
  </si>
  <si>
    <t xml:space="preserve">Sales per sq ft per year (year 1)</t>
  </si>
  <si>
    <t xml:space="preserve">$ / sq ft</t>
  </si>
  <si>
    <t xml:space="preserve">Like-for-like store sales growth per year</t>
  </si>
  <si>
    <t xml:space="preserve">Store rent per sq ft per year</t>
  </si>
  <si>
    <t xml:space="preserve">Other running cost per store per month</t>
  </si>
  <si>
    <t xml:space="preserve">Fit-out capex per new store</t>
  </si>
  <si>
    <t xml:space="preserve">Costs</t>
  </si>
  <si>
    <t xml:space="preserve">Seasonality: Nov–Dec sales uplift (annual total unchanged)</t>
  </si>
  <si>
    <t xml:space="preserve">Returns &amp; refunds, % of gross sales</t>
  </si>
  <si>
    <t xml:space="preserve">Product cost, % of net sales</t>
  </si>
  <si>
    <t xml:space="preserve">Fulfilment &amp; shipping per online order</t>
  </si>
  <si>
    <t xml:space="preserve">Payment processing, % of net sales</t>
  </si>
  <si>
    <t xml:space="preserve">E-commerce platform &amp; software per month</t>
  </si>
  <si>
    <t xml:space="preserve">Other G&amp;A per month</t>
  </si>
  <si>
    <t xml:space="preserve">Start-up capex (equipment, systems)</t>
  </si>
  <si>
    <t xml:space="preserve">Headcount</t>
  </si>
  <si>
    <t xml:space="preserve">Operations &amp; fulfilment: headcount (FTE)</t>
  </si>
  <si>
    <t xml:space="preserve">FTE</t>
  </si>
  <si>
    <t xml:space="preserve">Operations &amp; fulfilment: salary per FTE per year</t>
  </si>
  <si>
    <t xml:space="preserve">Operations &amp; fulfilment: headcount growth per year</t>
  </si>
  <si>
    <t xml:space="preserve">Operations &amp; fulfilment: first month on payroll</t>
  </si>
  <si>
    <t xml:space="preserve">month #</t>
  </si>
  <si>
    <t xml:space="preserve">Marketing &amp; e-commerce: headcount (FTE)</t>
  </si>
  <si>
    <t xml:space="preserve">Marketing &amp; e-commerce: salary per FTE per year</t>
  </si>
  <si>
    <t xml:space="preserve">Marketing &amp; e-commerce: headcount growth per year</t>
  </si>
  <si>
    <t xml:space="preserve">Marketing &amp; e-commerce: first month on payroll</t>
  </si>
  <si>
    <t xml:space="preserve">Store staff: headcount (FTE)</t>
  </si>
  <si>
    <t xml:space="preserve">Store staff: salary per FTE per year</t>
  </si>
  <si>
    <t xml:space="preserve">Store staff: headcount growth per year</t>
  </si>
  <si>
    <t xml:space="preserve">Store staff: first month on payroll</t>
  </si>
  <si>
    <t xml:space="preserve">G&amp;A (finance, admin): headcount (FTE)</t>
  </si>
  <si>
    <t xml:space="preserve">G&amp;A (finance, admin): salary per FTE per year</t>
  </si>
  <si>
    <t xml:space="preserve">G&amp;A (finance, admin): headcount growth per year</t>
  </si>
  <si>
    <t xml:space="preserve">G&amp;A (finance, admin):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</si>
  <si>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</si>
  <si>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</si>
  <si>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</si>
  <si>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</si>
  <si>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</si>
  <si>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</si>
  <si>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</si>
  <si>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</si>
  <si>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</si>
  <si>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</si>
  <si>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days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</si>
  <si>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</si>
  <si>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</si>
  <si>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</si>
  <si>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</si>
  <si>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</si>
  <si>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</si>
  <si>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</si>
  <si>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</si>
  <si>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</si>
  <si>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</si>
  <si>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</si>
  <si>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</si>
  <si>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</si>
  <si>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Fulfilment &amp; shipping</t>
  </si>
  <si>
    <t xml:space="preserve">Payment processing</t>
  </si>
  <si>
    <t xml:space="preserve">Paid ads</t>
  </si>
  <si>
    <t xml:space="preserve">Payroll</t>
  </si>
  <si>
    <t xml:space="preserve">Store rent</t>
  </si>
  <si>
    <t xml:space="preserve">Store running costs</t>
  </si>
  <si>
    <t xml:space="preserve">Platform &amp; software</t>
  </si>
  <si>
    <t xml:space="preserve">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</si>
  <si>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</si>
  <si>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</si>
  <si>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</si>
  <si>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</si>
  <si>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</si>
  <si>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</si>
  <si>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</si>
  <si>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</si>
  <si>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</si>
  <si>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</si>
  <si>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</si>
  <si>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</si>
  <si>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</si>
  <si>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</si>
  <si>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</si>
  <si>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</si>
  <si>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</si>
  <si>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</si>
  <si>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</si>
  <si>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</si>
  <si>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</si>
  <si>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</si>
  <si>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</si>
  <si>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</si>
  <si>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</si>
  <si>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</si>
  <si>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</si>
  <si>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</si>
  <si>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</si>
  <si>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</si>
  <si>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</si>
  <si>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</si>
  <si>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</si>
  <si>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</si>
  <si>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</si>
  <si>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</si>
  <si>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</si>
  <si>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</si>
  <si>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</si>
  <si>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</si>
  <si>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</si>
  <si>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</si>
  <si>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</si>
  <si>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</si>
  <si>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</si>
  <si>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</si>
  <si>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</si>
  <si>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</si>
  <si>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</si>
  <si>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</si>
  <si>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</si>
  <si>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</si>
  <si>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</si>
  <si>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</si>
  <si>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</si>
  <si>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</si>
  <si>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</si>
  <si>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</si>
  <si>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</si>
  <si>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</si>
  <si>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</si>
  <si>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</si>
  <si>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</si>
  <si>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</si>
  <si>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</si>
  <si>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</si>
  <si>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</si>
  <si>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</si>
  <si>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</si>
  <si>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</si>
  <si>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Seasonality factor (averages 1.0 over a year)</t>
  </si>
  <si>
    <t xml:space="preserve">Website visits</t>
  </si>
  <si>
    <t xml:space="preserve">Orders from visits</t>
  </si>
  <si>
    <t xml:space="preserve">Orders from paid ads</t>
  </si>
  <si>
    <t xml:space="preserve">Orders from new customers</t>
  </si>
  <si>
    <t xml:space="preserve">Repeat orders from returning customers</t>
  </si>
  <si>
    <t xml:space="preserve">Average order value</t>
  </si>
  <si>
    <t xml:space="preserve">Stores open</t>
  </si>
  <si>
    <t xml:space="preserve">Net sales &amp; product cost</t>
  </si>
  <si>
    <t xml:space="preserve">Gross sales</t>
  </si>
  <si>
    <t xml:space="preserve">Returns &amp; refunds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</si>
  <si>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</si>
  <si>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</si>
  <si>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</si>
  <si>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</si>
  <si>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</si>
  <si>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Capital spending (start-up + store fit-outs)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</si>
  <si>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</si>
  <si>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</si>
  <si>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</si>
  <si>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</si>
  <si>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</si>
  <si>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</si>
  <si>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</si>
  <si>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</si>
  <si>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</si>
  <si>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</si>
  <si>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</si>
  <si>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</si>
  <si>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</si>
  <si>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</si>
  <si>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</si>
  <si>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</si>
  <si>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</si>
  <si>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</si>
  <si>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</si>
  <si>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</si>
  <si>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Operations &amp; fulfilment — FTE</t>
  </si>
  <si>
    <t xml:space="preserve">Marketing &amp; e-commerce — FTE</t>
  </si>
  <si>
    <t xml:space="preserve">Store staff — FTE</t>
  </si>
  <si>
    <t xml:space="preserve">G&amp;A (finance, admin) — FTE</t>
  </si>
  <si>
    <t xml:space="preserve">Total FTE</t>
  </si>
  <si>
    <t xml:space="preserve">Payroll cost (salary + taxes &amp; benefits)</t>
  </si>
  <si>
    <t xml:space="preserve">Operations &amp; fulfilment — payroll cost</t>
  </si>
  <si>
    <t xml:space="preserve">Marketing &amp; e-commerce — payroll cost</t>
  </si>
  <si>
    <t xml:space="preserve">Store staff — payroll cost</t>
  </si>
  <si>
    <t xml:space="preserve">G&amp;A (finance, admin)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</si>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</sst>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#,##0.0;\(#,##0.0\);\-"/>
    <numFmt numFmtId="177" formatCode="&quot;Month &quot;0"/>
    <numFmt numFmtId="178" formatCode="\$#,##0.0,,\M"/>
    <numFmt numFmtId="179" formatCode="0%"/>
    <numFmt numFmtId="180" formatCode="\M0"/>
    <numFmt numFmtId="181" formatCode="\$#,##0,\K"/>
    <numFmt numFmtId="182" formatCode="#,##0;\(#,##0\);\-"/>
    <numFmt numFmtId="183" formatCode="0.0%;\(0.0%\);\-"/>
    <numFmt numFmtId="184" formatCode="\$#,##0.00;&quot;($&quot;#,##0.00\);\-"/>
    <numFmt numFmtId="185" formatCode="\$#,##0;&quot;($&quot;#,##0\);\-"/>
    <numFmt numFmtId="186" formatCode="0"/>
    <numFmt numFmtId="187" formatCode="[&gt;=1000000]\$#,##0.0,,\M;[&gt;=1000]\$#,##0,\k;\$#,##0"/>
    <numFmt numFmtId="188" formatCode="0.0\x"/>
    <numFmt numFmtId="189" formatCode="0.000"/>
    <numFmt numFmtId="190" formatCode="0.0\x;\(0.0&quot;x)&quot;;\-"/>
    <numFmt numFmtId="191" formatCode="\$#,##0.00"/>
    <numFmt numFmtId="192" formatCode="#,##0.0;\(#,##0.0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8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5514942.85714286</c:v>
                </c:pt>
                <c:pt idx="1">
                  <c:v>7179087.85714286</c:v>
                </c:pt>
                <c:pt idx="2">
                  <c:v>9149574.85714286</c:v>
                </c:pt>
                <c:pt idx="3">
                  <c:v>11499932.0931429</c:v>
                </c:pt>
                <c:pt idx="4">
                  <c:v>14322508.4584569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317495.714285714</c:v>
                </c:pt>
                <c:pt idx="1">
                  <c:v>581743.742857143</c:v>
                </c:pt>
                <c:pt idx="2">
                  <c:v>877367.823167858</c:v>
                </c:pt>
                <c:pt idx="3">
                  <c:v>1209727.60713713</c:v>
                </c:pt>
                <c:pt idx="4">
                  <c:v>1585116.67068342</c:v>
                </c:pt>
              </c:numCache>
            </c:numRef>
          </c:val>
        </c:ser>
        <c:gapWidth val="60"/>
        <c:overlap val="0"/>
        <c:axId val="25043460"/>
        <c:axId val="64721289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0.0575700823217959</c:v>
                </c:pt>
                <c:pt idx="1">
                  <c:v>0.0810330998078447</c:v>
                </c:pt>
                <c:pt idx="2">
                  <c:v>0.0958916492696836</c:v>
                </c:pt>
                <c:pt idx="3">
                  <c:v>0.105194326135061</c:v>
                </c:pt>
                <c:pt idx="4">
                  <c:v>0.110673118139964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644718"/>
        <c:axId val="4467528"/>
      </c:lineChart>
      <c:catAx>
        <c:axId val="2504346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721289"/>
        <c:crosses val="autoZero"/>
        <c:auto val="1"/>
        <c:lblAlgn val="ctr"/>
        <c:lblOffset val="100"/>
        <c:noMultiLvlLbl val="0"/>
      </c:catAx>
      <c:valAx>
        <c:axId val="6472128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043460"/>
        <c:crosses val="autoZero"/>
        <c:crossBetween val="between"/>
      </c:valAx>
      <c:catAx>
        <c:axId val="32644718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467528"/>
        <c:crosses val="autoZero"/>
        <c:auto val="1"/>
        <c:lblAlgn val="ctr"/>
        <c:lblOffset val="100"/>
        <c:noMultiLvlLbl val="0"/>
      </c:catAx>
      <c:valAx>
        <c:axId val="446752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264471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-146060.154365079</c:v>
                </c:pt>
                <c:pt idx="1">
                  <c:v>334798.668940476</c:v>
                </c:pt>
                <c:pt idx="2">
                  <c:v>557937.428885941</c:v>
                </c:pt>
                <c:pt idx="3">
                  <c:v>804972.770106665</c:v>
                </c:pt>
                <c:pt idx="4">
                  <c:v>1079551.31685151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-350000</c:v>
                </c:pt>
                <c:pt idx="1">
                  <c:v>-150000</c:v>
                </c:pt>
                <c:pt idx="2">
                  <c:v>-150000</c:v>
                </c:pt>
                <c:pt idx="3">
                  <c:v>-150000</c:v>
                </c:pt>
                <c:pt idx="4">
                  <c:v>-150000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1908333.33333333</c:v>
                </c:pt>
                <c:pt idx="1">
                  <c:v>-100000</c:v>
                </c:pt>
                <c:pt idx="2">
                  <c:v>-100000</c:v>
                </c:pt>
                <c:pt idx="3">
                  <c:v>-100000</c:v>
                </c:pt>
                <c:pt idx="4">
                  <c:v>-100000</c:v>
                </c:pt>
              </c:numCache>
            </c:numRef>
          </c:val>
        </c:ser>
        <c:gapWidth val="60"/>
        <c:overlap val="0"/>
        <c:axId val="79036013"/>
        <c:axId val="21840198"/>
      </c:barChart>
      <c:catAx>
        <c:axId val="7903601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1840198"/>
        <c:crosses val="autoZero"/>
        <c:auto val="1"/>
        <c:lblAlgn val="ctr"/>
        <c:lblOffset val="100"/>
        <c:noMultiLvlLbl val="0"/>
      </c:catAx>
      <c:valAx>
        <c:axId val="2184019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90360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1412273.17896825</c:v>
                </c:pt>
                <c:pt idx="1">
                  <c:v>1497071.84790873</c:v>
                </c:pt>
                <c:pt idx="2">
                  <c:v>1805009.27679467</c:v>
                </c:pt>
                <c:pt idx="3">
                  <c:v>2359982.04690134</c:v>
                </c:pt>
                <c:pt idx="4">
                  <c:v>3189533.36375285</c:v>
                </c:pt>
              </c:numCache>
            </c:numRef>
          </c:val>
        </c:ser>
        <c:gapWidth val="60"/>
        <c:overlap val="0"/>
        <c:axId val="91384716"/>
        <c:axId val="96039824"/>
      </c:barChart>
      <c:catAx>
        <c:axId val="9138471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6039824"/>
        <c:crosses val="autoZero"/>
        <c:auto val="1"/>
        <c:lblAlgn val="ctr"/>
        <c:lblOffset val="100"/>
        <c:noMultiLvlLbl val="0"/>
      </c:catAx>
      <c:valAx>
        <c:axId val="9603982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384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Sales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Online gross sales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\$#,##0,;"($"#,##0,\);\-</c:formatCode>
                <c:ptCount val="5"/>
                <c:pt idx="0">
                  <c:v>5002714.28571429</c:v>
                </c:pt>
                <c:pt idx="1">
                  <c:v>6255514.28571429</c:v>
                </c:pt>
                <c:pt idx="2">
                  <c:v>7825294.28571429</c:v>
                </c:pt>
                <c:pt idx="3">
                  <c:v>9793054.82571429</c:v>
                </c:pt>
                <c:pt idx="4">
                  <c:v>12260689.7471743</c:v>
                </c:pt>
              </c:numCache>
            </c:numRef>
          </c:val>
        </c:ser>
        <c:ser>
          <c:idx val="1"/>
          <c:order val="1"/>
          <c:tx>
            <c:strRef>
              <c:f>Dashboard!$A$29</c:f>
              <c:strCache>
                <c:ptCount val="1"/>
                <c:pt idx="0">
                  <c:v>Store gross sales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Dashboard!$B$29:$F$29</c:f>
              <c:numCache>
                <c:formatCode>\$#,##0,;"($"#,##0,\);\-</c:formatCode>
                <c:ptCount val="5"/>
                <c:pt idx="0">
                  <c:v>1125000</c:v>
                </c:pt>
                <c:pt idx="1">
                  <c:v>1721250</c:v>
                </c:pt>
                <c:pt idx="2">
                  <c:v>2340900</c:v>
                </c:pt>
                <c:pt idx="3">
                  <c:v>2984647.5</c:v>
                </c:pt>
                <c:pt idx="4">
                  <c:v>3653208.54</c:v>
                </c:pt>
              </c:numCache>
            </c:numRef>
          </c:val>
        </c:ser>
        <c:gapWidth val="60"/>
        <c:overlap val="100"/>
        <c:axId val="57954950"/>
        <c:axId val="35795007"/>
      </c:barChart>
      <c:catAx>
        <c:axId val="5795495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5795007"/>
        <c:crosses val="autoZero"/>
        <c:auto val="1"/>
        <c:lblAlgn val="ctr"/>
        <c:lblOffset val="100"/>
        <c:noMultiLvlLbl val="0"/>
      </c:catAx>
      <c:valAx>
        <c:axId val="3579500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9549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442852.071428571</c:v>
                </c:pt>
                <c:pt idx="1">
                  <c:v>442852.071428571</c:v>
                </c:pt>
                <c:pt idx="2">
                  <c:v>442852.071428571</c:v>
                </c:pt>
                <c:pt idx="3">
                  <c:v>442852.071428571</c:v>
                </c:pt>
                <c:pt idx="4">
                  <c:v>442852.071428571</c:v>
                </c:pt>
                <c:pt idx="5">
                  <c:v>442852.071428571</c:v>
                </c:pt>
                <c:pt idx="6">
                  <c:v>442852.071428571</c:v>
                </c:pt>
                <c:pt idx="7">
                  <c:v>442852.071428571</c:v>
                </c:pt>
                <c:pt idx="8">
                  <c:v>442852.071428571</c:v>
                </c:pt>
                <c:pt idx="9">
                  <c:v>442852.071428571</c:v>
                </c:pt>
                <c:pt idx="10">
                  <c:v>543211.071428572</c:v>
                </c:pt>
                <c:pt idx="11">
                  <c:v>543211.071428572</c:v>
                </c:pt>
              </c:numCache>
            </c:numRef>
          </c:val>
        </c:ser>
        <c:gapWidth val="60"/>
        <c:overlap val="0"/>
        <c:axId val="48023903"/>
        <c:axId val="46711519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18640.8011904762</c:v>
                </c:pt>
                <c:pt idx="1">
                  <c:v>18640.8011904762</c:v>
                </c:pt>
                <c:pt idx="2">
                  <c:v>18640.8011904762</c:v>
                </c:pt>
                <c:pt idx="3">
                  <c:v>18640.8011904762</c:v>
                </c:pt>
                <c:pt idx="4">
                  <c:v>18640.8011904762</c:v>
                </c:pt>
                <c:pt idx="5">
                  <c:v>18640.8011904762</c:v>
                </c:pt>
                <c:pt idx="6">
                  <c:v>18640.8011904762</c:v>
                </c:pt>
                <c:pt idx="7">
                  <c:v>18640.8011904762</c:v>
                </c:pt>
                <c:pt idx="8">
                  <c:v>18640.8011904762</c:v>
                </c:pt>
                <c:pt idx="9">
                  <c:v>18640.8011904762</c:v>
                </c:pt>
                <c:pt idx="10">
                  <c:v>65543.8511904763</c:v>
                </c:pt>
                <c:pt idx="11">
                  <c:v>65543.8511904763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8801.23294047617</c:v>
                </c:pt>
                <c:pt idx="1">
                  <c:v>8823.17738492062</c:v>
                </c:pt>
                <c:pt idx="2">
                  <c:v>8867.0662738095</c:v>
                </c:pt>
                <c:pt idx="3">
                  <c:v>8910.95516269839</c:v>
                </c:pt>
                <c:pt idx="4">
                  <c:v>8954.84405158728</c:v>
                </c:pt>
                <c:pt idx="5">
                  <c:v>8998.73294047617</c:v>
                </c:pt>
                <c:pt idx="6">
                  <c:v>9042.62182936506</c:v>
                </c:pt>
                <c:pt idx="7">
                  <c:v>9086.51071825395</c:v>
                </c:pt>
                <c:pt idx="8">
                  <c:v>9130.39960714284</c:v>
                </c:pt>
                <c:pt idx="9">
                  <c:v>9174.28849603172</c:v>
                </c:pt>
                <c:pt idx="10">
                  <c:v>46271.5868849208</c:v>
                </c:pt>
                <c:pt idx="11">
                  <c:v>46315.4757738096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023903"/>
        <c:axId val="46711519"/>
      </c:lineChart>
      <c:catAx>
        <c:axId val="48023903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6711519"/>
        <c:crosses val="autoZero"/>
        <c:auto val="1"/>
        <c:lblAlgn val="ctr"/>
        <c:lblOffset val="100"/>
        <c:noMultiLvlLbl val="0"/>
      </c:catAx>
      <c:valAx>
        <c:axId val="4671151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80239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-295552.376821429</c:v>
                </c:pt>
                <c:pt idx="1">
                  <c:v>12989.8440515873</c:v>
                </c:pt>
                <c:pt idx="2">
                  <c:v>13033.7329404762</c:v>
                </c:pt>
                <c:pt idx="3">
                  <c:v>13077.6218293651</c:v>
                </c:pt>
                <c:pt idx="4">
                  <c:v>13121.5107182539</c:v>
                </c:pt>
                <c:pt idx="5">
                  <c:v>13165.3996071428</c:v>
                </c:pt>
                <c:pt idx="6">
                  <c:v>13209.2884960317</c:v>
                </c:pt>
                <c:pt idx="7">
                  <c:v>13253.1773849206</c:v>
                </c:pt>
                <c:pt idx="8">
                  <c:v>13297.0662738095</c:v>
                </c:pt>
                <c:pt idx="9">
                  <c:v>13340.9551626984</c:v>
                </c:pt>
                <c:pt idx="10">
                  <c:v>-19478.5164484127</c:v>
                </c:pt>
                <c:pt idx="11">
                  <c:v>50482.1424404763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-350000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2000000</c:v>
                </c:pt>
                <c:pt idx="1">
                  <c:v>-8333.33333333333</c:v>
                </c:pt>
                <c:pt idx="2">
                  <c:v>-8333.33333333333</c:v>
                </c:pt>
                <c:pt idx="3">
                  <c:v>-8333.33333333333</c:v>
                </c:pt>
                <c:pt idx="4">
                  <c:v>-8333.33333333333</c:v>
                </c:pt>
                <c:pt idx="5">
                  <c:v>-8333.33333333333</c:v>
                </c:pt>
                <c:pt idx="6">
                  <c:v>-8333.33333333333</c:v>
                </c:pt>
                <c:pt idx="7">
                  <c:v>-8333.33333333333</c:v>
                </c:pt>
                <c:pt idx="8">
                  <c:v>-8333.33333333333</c:v>
                </c:pt>
                <c:pt idx="9">
                  <c:v>-8333.33333333333</c:v>
                </c:pt>
                <c:pt idx="10">
                  <c:v>-8333.33333333333</c:v>
                </c:pt>
                <c:pt idx="11">
                  <c:v>-8333.33333333333</c:v>
                </c:pt>
              </c:numCache>
            </c:numRef>
          </c:val>
        </c:ser>
        <c:gapWidth val="60"/>
        <c:overlap val="0"/>
        <c:axId val="26090881"/>
        <c:axId val="273670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1354447.62317857</c:v>
                </c:pt>
                <c:pt idx="1">
                  <c:v>1359104.13389683</c:v>
                </c:pt>
                <c:pt idx="2">
                  <c:v>1363804.53350397</c:v>
                </c:pt>
                <c:pt idx="3">
                  <c:v>1368548.822</c:v>
                </c:pt>
                <c:pt idx="4">
                  <c:v>1373336.99938492</c:v>
                </c:pt>
                <c:pt idx="5">
                  <c:v>1378169.06565873</c:v>
                </c:pt>
                <c:pt idx="6">
                  <c:v>1383045.02082143</c:v>
                </c:pt>
                <c:pt idx="7">
                  <c:v>1387964.86487302</c:v>
                </c:pt>
                <c:pt idx="8">
                  <c:v>1392928.59781349</c:v>
                </c:pt>
                <c:pt idx="9">
                  <c:v>1397936.21964286</c:v>
                </c:pt>
                <c:pt idx="10">
                  <c:v>1370124.36986111</c:v>
                </c:pt>
                <c:pt idx="11">
                  <c:v>1412273.17896825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597555"/>
        <c:axId val="29055654"/>
      </c:lineChart>
      <c:catAx>
        <c:axId val="26090881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73670"/>
        <c:crosses val="autoZero"/>
        <c:auto val="1"/>
        <c:lblAlgn val="ctr"/>
        <c:lblOffset val="100"/>
        <c:noMultiLvlLbl val="0"/>
      </c:catAx>
      <c:valAx>
        <c:axId val="27367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090881"/>
        <c:crosses val="autoZero"/>
        <c:crossBetween val="between"/>
      </c:valAx>
      <c:catAx>
        <c:axId val="38597555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9055654"/>
        <c:crosses val="autoZero"/>
        <c:auto val="1"/>
        <c:lblAlgn val="ctr"/>
        <c:lblOffset val="100"/>
        <c:noMultiLvlLbl val="0"/>
      </c:catAx>
      <c:valAx>
        <c:axId val="29055654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859755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1354447.62317857</c:v>
                </c:pt>
                <c:pt idx="1">
                  <c:v>1359104.13389683</c:v>
                </c:pt>
                <c:pt idx="2">
                  <c:v>1363804.53350397</c:v>
                </c:pt>
                <c:pt idx="3">
                  <c:v>1368548.822</c:v>
                </c:pt>
                <c:pt idx="4">
                  <c:v>1373336.99938492</c:v>
                </c:pt>
                <c:pt idx="5">
                  <c:v>1378169.06565873</c:v>
                </c:pt>
                <c:pt idx="6">
                  <c:v>1383045.02082143</c:v>
                </c:pt>
                <c:pt idx="7">
                  <c:v>1387964.86487302</c:v>
                </c:pt>
                <c:pt idx="8">
                  <c:v>1392928.59781349</c:v>
                </c:pt>
                <c:pt idx="9">
                  <c:v>1397936.21964286</c:v>
                </c:pt>
                <c:pt idx="10">
                  <c:v>1370124.36986111</c:v>
                </c:pt>
                <c:pt idx="11">
                  <c:v>1412273.17896825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29523.4714285714</c:v>
                </c:pt>
                <c:pt idx="1">
                  <c:v>29523.4714285714</c:v>
                </c:pt>
                <c:pt idx="2">
                  <c:v>29523.4714285714</c:v>
                </c:pt>
                <c:pt idx="3">
                  <c:v>29523.4714285714</c:v>
                </c:pt>
                <c:pt idx="4">
                  <c:v>29523.4714285714</c:v>
                </c:pt>
                <c:pt idx="5">
                  <c:v>29523.4714285714</c:v>
                </c:pt>
                <c:pt idx="6">
                  <c:v>29523.4714285714</c:v>
                </c:pt>
                <c:pt idx="7">
                  <c:v>29523.4714285714</c:v>
                </c:pt>
                <c:pt idx="8">
                  <c:v>29523.4714285714</c:v>
                </c:pt>
                <c:pt idx="9">
                  <c:v>29523.4714285714</c:v>
                </c:pt>
                <c:pt idx="10">
                  <c:v>36214.0714285714</c:v>
                </c:pt>
                <c:pt idx="11">
                  <c:v>36214.0714285714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345833.333333333</c:v>
                </c:pt>
                <c:pt idx="1">
                  <c:v>341666.666666667</c:v>
                </c:pt>
                <c:pt idx="2">
                  <c:v>337500</c:v>
                </c:pt>
                <c:pt idx="3">
                  <c:v>333333.333333333</c:v>
                </c:pt>
                <c:pt idx="4">
                  <c:v>329166.666666667</c:v>
                </c:pt>
                <c:pt idx="5">
                  <c:v>325000</c:v>
                </c:pt>
                <c:pt idx="6">
                  <c:v>320833.333333333</c:v>
                </c:pt>
                <c:pt idx="7">
                  <c:v>316666.666666667</c:v>
                </c:pt>
                <c:pt idx="8">
                  <c:v>312500</c:v>
                </c:pt>
                <c:pt idx="9">
                  <c:v>308333.333333333</c:v>
                </c:pt>
                <c:pt idx="10">
                  <c:v>304166.666666667</c:v>
                </c:pt>
                <c:pt idx="11">
                  <c:v>300000</c:v>
                </c:pt>
              </c:numCache>
            </c:numRef>
          </c:val>
        </c:ser>
        <c:gapWidth val="60"/>
        <c:overlap val="100"/>
        <c:axId val="89139407"/>
        <c:axId val="4077465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1508801.23294048</c:v>
                </c:pt>
                <c:pt idx="1">
                  <c:v>1517624.4103254</c:v>
                </c:pt>
                <c:pt idx="2">
                  <c:v>1526491.47659921</c:v>
                </c:pt>
                <c:pt idx="3">
                  <c:v>1535402.4317619</c:v>
                </c:pt>
                <c:pt idx="4">
                  <c:v>1544357.27581349</c:v>
                </c:pt>
                <c:pt idx="5">
                  <c:v>1553356.00875397</c:v>
                </c:pt>
                <c:pt idx="6">
                  <c:v>1562398.63058333</c:v>
                </c:pt>
                <c:pt idx="7">
                  <c:v>1571485.14130159</c:v>
                </c:pt>
                <c:pt idx="8">
                  <c:v>1580615.54090873</c:v>
                </c:pt>
                <c:pt idx="9">
                  <c:v>1589789.82940476</c:v>
                </c:pt>
                <c:pt idx="10">
                  <c:v>1636061.41628968</c:v>
                </c:pt>
                <c:pt idx="11">
                  <c:v>1682376.89206349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139407"/>
        <c:axId val="4077465"/>
      </c:lineChart>
      <c:catAx>
        <c:axId val="8913940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077465"/>
        <c:crosses val="autoZero"/>
        <c:auto val="1"/>
        <c:lblAlgn val="ctr"/>
        <c:lblOffset val="100"/>
        <c:noMultiLvlLbl val="0"/>
      </c:catAx>
      <c:valAx>
        <c:axId val="407746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91394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Scenarios!$B$30:$F$30</c:f>
              <c:numCache>
                <c:formatCode>\$#,##0,;"($"#,##0,\);\-</c:formatCode>
                <c:ptCount val="5"/>
                <c:pt idx="0">
                  <c:v>3375914.66666667</c:v>
                </c:pt>
                <c:pt idx="1">
                  <c:v>4163772.8</c:v>
                </c:pt>
                <c:pt idx="2">
                  <c:v>5017510.08</c:v>
                </c:pt>
                <c:pt idx="3">
                  <c:v>5949053.088</c:v>
                </c:pt>
                <c:pt idx="4">
                  <c:v>6972588.7968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Scenarios!$B$31:$F$31</c:f>
              <c:numCache>
                <c:formatCode>\$#,##0,;"($"#,##0,\);\-</c:formatCode>
                <c:ptCount val="5"/>
                <c:pt idx="0">
                  <c:v>5514942.85714286</c:v>
                </c:pt>
                <c:pt idx="1">
                  <c:v>7179087.85714286</c:v>
                </c:pt>
                <c:pt idx="2">
                  <c:v>9149574.85714286</c:v>
                </c:pt>
                <c:pt idx="3">
                  <c:v>11499932.0931429</c:v>
                </c:pt>
                <c:pt idx="4">
                  <c:v>14322508.4584569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Scenarios!$B$32:$F$32</c:f>
              <c:numCache>
                <c:formatCode>\$#,##0,;"($"#,##0,\);\-</c:formatCode>
                <c:ptCount val="5"/>
                <c:pt idx="0">
                  <c:v>8858395.63636364</c:v>
                </c:pt>
                <c:pt idx="1">
                  <c:v>12317220.4101818</c:v>
                </c:pt>
                <c:pt idx="2">
                  <c:v>16913743.1950429</c:v>
                </c:pt>
                <c:pt idx="3">
                  <c:v>23101813.6028596</c:v>
                </c:pt>
                <c:pt idx="4">
                  <c:v>31530129.1809253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326194"/>
        <c:axId val="87674685"/>
      </c:lineChart>
      <c:catAx>
        <c:axId val="1932619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7674685"/>
        <c:crosses val="autoZero"/>
        <c:auto val="1"/>
        <c:lblAlgn val="ctr"/>
        <c:lblOffset val="100"/>
        <c:noMultiLvlLbl val="0"/>
      </c:catAx>
      <c:valAx>
        <c:axId val="8767468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93261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Scenarios!$B$36:$F$36</c:f>
              <c:numCache>
                <c:formatCode>\$#,##0,;"($"#,##0,\);\-</c:formatCode>
                <c:ptCount val="5"/>
                <c:pt idx="0">
                  <c:v>-833184.373333334</c:v>
                </c:pt>
                <c:pt idx="1">
                  <c:v>-1015637.294</c:v>
                </c:pt>
                <c:pt idx="2">
                  <c:v>-1283744.992375</c:v>
                </c:pt>
                <c:pt idx="3">
                  <c:v>-1661885.94118859</c:v>
                </c:pt>
                <c:pt idx="4">
                  <c:v>-2181544.87456042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Scenarios!$B$37:$F$37</c:f>
              <c:numCache>
                <c:formatCode>\$#,##0,;"($"#,##0,\);\-</c:formatCode>
                <c:ptCount val="5"/>
                <c:pt idx="0">
                  <c:v>317495.714285714</c:v>
                </c:pt>
                <c:pt idx="1">
                  <c:v>581743.742857143</c:v>
                </c:pt>
                <c:pt idx="2">
                  <c:v>877367.823167858</c:v>
                </c:pt>
                <c:pt idx="3">
                  <c:v>1209727.60713713</c:v>
                </c:pt>
                <c:pt idx="4">
                  <c:v>1585116.67068342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Scenarios!$B$38:$F$38</c:f>
              <c:numCache>
                <c:formatCode>\$#,##0,;"($"#,##0,\);\-</c:formatCode>
                <c:ptCount val="5"/>
                <c:pt idx="0">
                  <c:v>2273994.92363636</c:v>
                </c:pt>
                <c:pt idx="1">
                  <c:v>3538011.23336</c:v>
                </c:pt>
                <c:pt idx="2">
                  <c:v>5279916.67369534</c:v>
                </c:pt>
                <c:pt idx="3">
                  <c:v>7707712.16816451</c:v>
                </c:pt>
                <c:pt idx="4">
                  <c:v>11124361.9145857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2110111"/>
        <c:axId val="3841153"/>
      </c:lineChart>
      <c:catAx>
        <c:axId val="1211011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841153"/>
        <c:crosses val="autoZero"/>
        <c:auto val="1"/>
        <c:lblAlgn val="ctr"/>
        <c:lblOffset val="100"/>
        <c:noMultiLvlLbl val="0"/>
      </c:catAx>
      <c:valAx>
        <c:axId val="384115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21101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Scenarios!$B$42:$F$42</c:f>
              <c:numCache>
                <c:formatCode>\$#,##0,;"($"#,##0,\);\-</c:formatCode>
                <c:ptCount val="5"/>
                <c:pt idx="0">
                  <c:v>-919823.262222223</c:v>
                </c:pt>
                <c:pt idx="1">
                  <c:v>-1115732.53209524</c:v>
                </c:pt>
                <c:pt idx="2">
                  <c:v>-1397268.80189881</c:v>
                </c:pt>
                <c:pt idx="3">
                  <c:v>-1788838.32214097</c:v>
                </c:pt>
                <c:pt idx="4">
                  <c:v>-2321925.82694137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Scenarios!$B$43:$F$43</c:f>
              <c:numCache>
                <c:formatCode>\$#,##0,;"($"#,##0,\);\-</c:formatCode>
                <c:ptCount val="5"/>
                <c:pt idx="0">
                  <c:v>182376.892063492</c:v>
                </c:pt>
                <c:pt idx="1">
                  <c:v>380502.318761905</c:v>
                </c:pt>
                <c:pt idx="2">
                  <c:v>603436.770778798</c:v>
                </c:pt>
                <c:pt idx="3">
                  <c:v>855392.428685951</c:v>
                </c:pt>
                <c:pt idx="4">
                  <c:v>1141341.21745895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Scenarios!$B$44:$F$44</c:f>
              <c:numCache>
                <c:formatCode>\$#,##0,;"($"#,##0,\);\-</c:formatCode>
                <c:ptCount val="5"/>
                <c:pt idx="0">
                  <c:v>1728011.2674505</c:v>
                </c:pt>
                <c:pt idx="1">
                  <c:v>2715953.63625916</c:v>
                </c:pt>
                <c:pt idx="2">
                  <c:v>4081450.36269551</c:v>
                </c:pt>
                <c:pt idx="3">
                  <c:v>5988800.23189758</c:v>
                </c:pt>
                <c:pt idx="4">
                  <c:v>8677344.96014178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562097"/>
        <c:axId val="70027169"/>
      </c:lineChart>
      <c:catAx>
        <c:axId val="4956209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0027169"/>
        <c:crosses val="autoZero"/>
        <c:auto val="1"/>
        <c:lblAlgn val="ctr"/>
        <c:lblOffset val="100"/>
        <c:noMultiLvlLbl val="0"/>
      </c:catAx>
      <c:valAx>
        <c:axId val="7002716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5620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Scenarios!$B$48:$F$48</c:f>
              <c:numCache>
                <c:formatCode>\$#,##0,;"($"#,##0,\);\-</c:formatCode>
                <c:ptCount val="5"/>
                <c:pt idx="0">
                  <c:v>442011.64962963</c:v>
                </c:pt>
                <c:pt idx="1">
                  <c:v>-910645.134666667</c:v>
                </c:pt>
                <c:pt idx="2">
                  <c:v>-2527712.94599722</c:v>
                </c:pt>
                <c:pt idx="3">
                  <c:v>-4519985.32692581</c:v>
                </c:pt>
                <c:pt idx="4">
                  <c:v>-7029882.57520023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Scenarios!$B$49:$F$49</c:f>
              <c:numCache>
                <c:formatCode>\$#,##0,;"($"#,##0,\);\-</c:formatCode>
                <c:ptCount val="5"/>
                <c:pt idx="0">
                  <c:v>1412273.17896825</c:v>
                </c:pt>
                <c:pt idx="1">
                  <c:v>1497071.84790873</c:v>
                </c:pt>
                <c:pt idx="2">
                  <c:v>1805009.27679467</c:v>
                </c:pt>
                <c:pt idx="3">
                  <c:v>2359982.04690134</c:v>
                </c:pt>
                <c:pt idx="4">
                  <c:v>3189533.36375285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Scenarios!$B$50:$F$50</c:f>
              <c:numCache>
                <c:formatCode>\$#,##0,;"($"#,##0,\);\-</c:formatCode>
                <c:ptCount val="5"/>
                <c:pt idx="0">
                  <c:v>2766559.5664202</c:v>
                </c:pt>
                <c:pt idx="1">
                  <c:v>5073545.43946842</c:v>
                </c:pt>
                <c:pt idx="2">
                  <c:v>8690557.48853745</c:v>
                </c:pt>
                <c:pt idx="3">
                  <c:v>14128256.2954563</c:v>
                </c:pt>
                <c:pt idx="4">
                  <c:v>22123098.7296573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025780"/>
        <c:axId val="85071746"/>
      </c:lineChart>
      <c:catAx>
        <c:axId val="6402578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071746"/>
        <c:crosses val="autoZero"/>
        <c:auto val="1"/>
        <c:lblAlgn val="ctr"/>
        <c:lblOffset val="100"/>
        <c:noMultiLvlLbl val="0"/>
      </c:catAx>
      <c:valAx>
        <c:axId val="8507174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0257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vs break-even revenue (EBITDA = 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'Break-even'!$A$28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'Break-even'!$B$26:$F$26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'Break-even'!$B$28:$F$28</c:f>
              <c:numCache>
                <c:formatCode>\$#,##0;"($"#,##0\);\-</c:formatCode>
                <c:ptCount val="5"/>
                <c:pt idx="0">
                  <c:v>5514942.85714286</c:v>
                </c:pt>
                <c:pt idx="1">
                  <c:v>7179087.85714286</c:v>
                </c:pt>
                <c:pt idx="2">
                  <c:v>9149574.85714286</c:v>
                </c:pt>
                <c:pt idx="3">
                  <c:v>11499932.0931429</c:v>
                </c:pt>
                <c:pt idx="4">
                  <c:v>14322508.4584569</c:v>
                </c:pt>
              </c:numCache>
            </c:numRef>
          </c:val>
        </c:ser>
        <c:gapWidth val="60"/>
        <c:overlap val="0"/>
        <c:axId val="34629422"/>
        <c:axId val="5078580"/>
      </c:barChart>
      <c:lineChart>
        <c:grouping val="standard"/>
        <c:varyColors val="0"/>
        <c:ser>
          <c:idx val="1"/>
          <c:order val="1"/>
          <c:tx>
            <c:strRef>
              <c:f>'Break-even'!$A$32</c:f>
              <c:strCache>
                <c:ptCount val="1"/>
                <c:pt idx="0">
                  <c:v>Break-even revenue (EBITDA = 0)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'Break-even'!$B$26:$F$26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'Break-even'!$B$32:$F$32</c:f>
              <c:numCache>
                <c:formatCode>\$#,##0;"($"#,##0\);\-</c:formatCode>
                <c:ptCount val="5"/>
                <c:pt idx="0">
                  <c:v>4967536.45320197</c:v>
                </c:pt>
                <c:pt idx="1">
                  <c:v>6176081.40394089</c:v>
                </c:pt>
                <c:pt idx="2">
                  <c:v>7636871.71375</c:v>
                </c:pt>
                <c:pt idx="3">
                  <c:v>9414194.83945815</c:v>
                </c:pt>
                <c:pt idx="4">
                  <c:v>11589548.6814165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4629422"/>
        <c:axId val="5078580"/>
      </c:lineChart>
      <c:catAx>
        <c:axId val="3462942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078580"/>
        <c:crosses val="autoZero"/>
        <c:auto val="1"/>
        <c:lblAlgn val="ctr"/>
        <c:lblOffset val="100"/>
        <c:noMultiLvlLbl val="0"/>
      </c:catAx>
      <c:valAx>
        <c:axId val="507858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46294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1500000</c:v>
                </c:pt>
                <c:pt idx="1">
                  <c:v>500000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146060.154365079</c:v>
                </c:pt>
                <c:pt idx="1">
                  <c:v>350000</c:v>
                </c:pt>
                <c:pt idx="2">
                  <c:v>91666.6666666667</c:v>
                </c:pt>
                <c:pt idx="3">
                  <c:v>1412273.17896825</c:v>
                </c:pt>
              </c:numCache>
            </c:numRef>
          </c:val>
        </c:ser>
        <c:gapWidth val="60"/>
        <c:overlap val="0"/>
        <c:axId val="10352081"/>
        <c:axId val="45846529"/>
      </c:barChart>
      <c:catAx>
        <c:axId val="1035208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846529"/>
        <c:crosses val="autoZero"/>
        <c:auto val="1"/>
        <c:lblAlgn val="ctr"/>
        <c:lblOffset val="100"/>
        <c:noMultiLvlLbl val="0"/>
      </c:catAx>
      <c:valAx>
        <c:axId val="4584652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0352081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0.58</c:v>
                </c:pt>
                <c:pt idx="1">
                  <c:v>0.58</c:v>
                </c:pt>
                <c:pt idx="2">
                  <c:v>0.58</c:v>
                </c:pt>
                <c:pt idx="3">
                  <c:v>0.58</c:v>
                </c:pt>
                <c:pt idx="4">
                  <c:v>0.58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0.0575700823217959</c:v>
                </c:pt>
                <c:pt idx="1">
                  <c:v>0.0810330998078447</c:v>
                </c:pt>
                <c:pt idx="2">
                  <c:v>0.0958916492696836</c:v>
                </c:pt>
                <c:pt idx="3">
                  <c:v>0.105194326135061</c:v>
                </c:pt>
                <c:pt idx="4">
                  <c:v>0.110673118139964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0.0330695887133773</c:v>
                </c:pt>
                <c:pt idx="1">
                  <c:v>0.0530014851933206</c:v>
                </c:pt>
                <c:pt idx="2">
                  <c:v>0.0659524382499269</c:v>
                </c:pt>
                <c:pt idx="3">
                  <c:v>0.0743823895443697</c:v>
                </c:pt>
                <c:pt idx="4">
                  <c:v>0.0796886397916586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6539934"/>
        <c:axId val="7185086"/>
      </c:lineChart>
      <c:catAx>
        <c:axId val="6653993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185086"/>
        <c:crosses val="autoZero"/>
        <c:auto val="1"/>
        <c:lblAlgn val="ctr"/>
        <c:lblOffset val="100"/>
        <c:noMultiLvlLbl val="0"/>
      </c:catAx>
      <c:valAx>
        <c:axId val="718508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65399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0.0786494141573329</c:v>
                </c:pt>
                <c:pt idx="1">
                  <c:v>0.142511470493164</c:v>
                </c:pt>
                <c:pt idx="2">
                  <c:v>0.185283776630608</c:v>
                </c:pt>
                <c:pt idx="3">
                  <c:v>0.208048083422007</c:v>
                </c:pt>
                <c:pt idx="4">
                  <c:v>0.216494252635007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0.108404301630535</c:v>
                </c:pt>
                <c:pt idx="1">
                  <c:v>0.184452059415374</c:v>
                </c:pt>
                <c:pt idx="2">
                  <c:v>0.226318551492813</c:v>
                </c:pt>
                <c:pt idx="3">
                  <c:v>0.242891326887417</c:v>
                </c:pt>
                <c:pt idx="4">
                  <c:v>0.244762828743448</c:v>
                </c:pt>
              </c:numCache>
            </c:numRef>
          </c:val>
        </c:ser>
        <c:gapWidth val="60"/>
        <c:overlap val="0"/>
        <c:axId val="75115631"/>
        <c:axId val="9341068"/>
      </c:barChart>
      <c:catAx>
        <c:axId val="7511563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341068"/>
        <c:crosses val="autoZero"/>
        <c:auto val="1"/>
        <c:lblAlgn val="ctr"/>
        <c:lblOffset val="100"/>
        <c:noMultiLvlLbl val="0"/>
      </c:catAx>
      <c:valAx>
        <c:axId val="934106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51156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Repeat orders, % of online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KPIs!$A$32</c:f>
              <c:strCache>
                <c:ptCount val="1"/>
                <c:pt idx="0">
                  <c:v>Repeat orders, % of online orders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KPIs!$B$32:$F$32</c:f>
              <c:numCache>
                <c:formatCode>0.0%;\(0.0%\);\-</c:formatCode>
                <c:ptCount val="5"/>
                <c:pt idx="0">
                  <c:v>0.333333333333333</c:v>
                </c:pt>
                <c:pt idx="1">
                  <c:v>0.333333333333333</c:v>
                </c:pt>
                <c:pt idx="2">
                  <c:v>0.333333333333333</c:v>
                </c:pt>
                <c:pt idx="3">
                  <c:v>0.333333333333333</c:v>
                </c:pt>
                <c:pt idx="4">
                  <c:v>0.333333333333333</c:v>
                </c:pt>
              </c:numCache>
            </c:numRef>
          </c:val>
        </c:ser>
        <c:gapWidth val="60"/>
        <c:overlap val="0"/>
        <c:axId val="11016986"/>
        <c:axId val="56653391"/>
      </c:barChart>
      <c:catAx>
        <c:axId val="1101698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6653391"/>
        <c:crosses val="autoZero"/>
        <c:auto val="1"/>
        <c:lblAlgn val="ctr"/>
        <c:lblOffset val="100"/>
        <c:noMultiLvlLbl val="0"/>
      </c:catAx>
      <c:valAx>
        <c:axId val="5665339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10169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Average order value and ad spend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KPIs!$A$34</c:f>
              <c:strCache>
                <c:ptCount val="1"/>
                <c:pt idx="0">
                  <c:v>Average order value ($)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KPIs!$B$34:$F$34</c:f>
              <c:numCache>
                <c:formatCode>\$#,##0.00;"($"#,##0.00\);\-</c:formatCode>
                <c:ptCount val="5"/>
                <c:pt idx="0">
                  <c:v>75</c:v>
                </c:pt>
                <c:pt idx="1">
                  <c:v>76.5</c:v>
                </c:pt>
                <c:pt idx="2">
                  <c:v>78.03</c:v>
                </c:pt>
                <c:pt idx="3">
                  <c:v>79.5906</c:v>
                </c:pt>
                <c:pt idx="4">
                  <c:v>81.182412</c:v>
                </c:pt>
              </c:numCache>
            </c:numRef>
          </c:val>
        </c:ser>
        <c:gapWidth val="60"/>
        <c:overlap val="0"/>
        <c:axId val="41980121"/>
        <c:axId val="18878469"/>
      </c:barChart>
      <c:lineChart>
        <c:grouping val="standard"/>
        <c:varyColors val="0"/>
        <c:ser>
          <c:idx val="1"/>
          <c:order val="1"/>
          <c:tx>
            <c:strRef>
              <c:f>KPIs!$A$36</c:f>
              <c:strCache>
                <c:ptCount val="1"/>
                <c:pt idx="0">
                  <c:v>Paid ads, % of online gross sales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KPIs!$B$36:$F$36</c:f>
              <c:numCache>
                <c:formatCode>0.0%;\(0.0%\);\-</c:formatCode>
                <c:ptCount val="5"/>
                <c:pt idx="0">
                  <c:v>0.119934892486936</c:v>
                </c:pt>
                <c:pt idx="1">
                  <c:v>0.11509845028158</c:v>
                </c:pt>
                <c:pt idx="2">
                  <c:v>0.110411183075543</c:v>
                </c:pt>
                <c:pt idx="3">
                  <c:v>0.105870948182339</c:v>
                </c:pt>
                <c:pt idx="4">
                  <c:v>0.101475530794403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861772"/>
        <c:axId val="50392225"/>
      </c:lineChart>
      <c:catAx>
        <c:axId val="4198012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878469"/>
        <c:crosses val="autoZero"/>
        <c:auto val="1"/>
        <c:lblAlgn val="ctr"/>
        <c:lblOffset val="100"/>
        <c:noMultiLvlLbl val="0"/>
      </c:catAx>
      <c:valAx>
        <c:axId val="1887846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1980121"/>
        <c:crosses val="autoZero"/>
        <c:crossBetween val="between"/>
      </c:valAx>
      <c:catAx>
        <c:axId val="73861772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0392225"/>
        <c:crosses val="autoZero"/>
        <c:auto val="1"/>
        <c:lblAlgn val="ctr"/>
        <c:lblOffset val="100"/>
        <c:noMultiLvlLbl val="0"/>
      </c:catAx>
      <c:valAx>
        <c:axId val="5039222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386177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0</xdr:rowOff>
    </xdr:from>
    <xdr:to>
      <xdr:col>4</xdr:col>
      <xdr:colOff>151200</xdr:colOff>
      <xdr:row>55</xdr:row>
      <xdr:rowOff>160200</xdr:rowOff>
    </xdr:to>
    <xdr:graphicFrame>
      <xdr:nvGraphicFramePr>
        <xdr:cNvPr id="11" name="Chart 1"/>
        <xdr:cNvGraphicFramePr/>
      </xdr:nvGraphicFramePr>
      <xdr:xfrm>
        <a:off x="0" y="6972480"/>
        <a:ext cx="719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2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3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14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5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6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7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14322508.4584569</v>
      </c>
      <c r="B7" s="25"/>
      <c r="C7" s="26" t="n">
        <f aca="false">F17</f>
        <v>0.110673118139964</v>
      </c>
      <c r="D7" s="26"/>
      <c r="E7" s="26"/>
      <c r="F7" s="26"/>
      <c r="H7" s="25" t="n">
        <f aca="false">F18</f>
        <v>1141341.21745895</v>
      </c>
      <c r="I7" s="25"/>
      <c r="J7" s="25"/>
      <c r="K7" s="25"/>
      <c r="L7" s="25" t="n">
        <f aca="false">F39</f>
        <v>1260305.0792494</v>
      </c>
      <c r="M7" s="25"/>
      <c r="N7" s="25"/>
      <c r="O7" s="25"/>
      <c r="P7" s="25" t="n">
        <f aca="false">F37</f>
        <v>1459694.9207506</v>
      </c>
      <c r="Q7" s="25"/>
      <c r="R7" s="25"/>
      <c r="S7" s="25"/>
      <c r="T7" s="25" t="n">
        <f aca="false">F44</f>
        <v>4528906.22286234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0.269461451558164</v>
      </c>
      <c r="B8" s="27"/>
      <c r="C8" s="28" t="n">
        <f aca="false">F16</f>
        <v>1585116.67068342</v>
      </c>
      <c r="D8" s="28"/>
      <c r="E8" s="28"/>
      <c r="F8" s="28"/>
      <c r="H8" s="29" t="n">
        <f aca="false">F19</f>
        <v>0.0796886397916586</v>
      </c>
      <c r="I8" s="29"/>
      <c r="J8" s="29"/>
      <c r="K8" s="29"/>
      <c r="L8" s="30" t="n">
        <f aca="false">'Break-even'!B6</f>
        <v>13</v>
      </c>
      <c r="M8" s="30"/>
      <c r="N8" s="30"/>
      <c r="O8" s="30"/>
      <c r="P8" s="31" t="str">
        <f aca="false">IF(F38&gt;=0,"Covered by funding raised",-F38)</f>
        <v>Covered by funding raised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44</v>
      </c>
      <c r="B12" s="35" t="n">
        <f aca="false">SUMIF(Monthly!$C$5:$BJ$5,B$11,Monthly!$C$25:$BJ$25)</f>
        <v>5514942.85714286</v>
      </c>
      <c r="C12" s="35" t="n">
        <f aca="false">SUMIF(Monthly!$C$5:$BJ$5,C$11,Monthly!$C$25:$BJ$25)</f>
        <v>7179087.85714286</v>
      </c>
      <c r="D12" s="35" t="n">
        <f aca="false">SUMIF(Monthly!$C$5:$BJ$5,D$11,Monthly!$C$25:$BJ$25)</f>
        <v>9149574.85714286</v>
      </c>
      <c r="E12" s="35" t="n">
        <f aca="false">SUMIF(Monthly!$C$5:$BJ$5,E$11,Monthly!$C$25:$BJ$25)</f>
        <v>11499932.0931429</v>
      </c>
      <c r="F12" s="35" t="n">
        <f aca="false">SUMIF(Monthly!$C$5:$BJ$5,F$11,Monthly!$C$25:$BJ$25)</f>
        <v>14322508.4584569</v>
      </c>
    </row>
    <row r="13" customFormat="false" ht="15" hidden="false" customHeight="false" outlineLevel="0" collapsed="false">
      <c r="A13" s="36" t="s">
        <v>45</v>
      </c>
      <c r="B13" s="37" t="n">
        <f aca="false">SUMIF(Monthly!$C$5:$BJ$5,B$11,Monthly!$C$27:$BJ$27)</f>
        <v>3198666.85714286</v>
      </c>
      <c r="C13" s="37" t="n">
        <f aca="false">SUMIF(Monthly!$C$5:$BJ$5,C$11,Monthly!$C$27:$BJ$27)</f>
        <v>4163870.95714286</v>
      </c>
      <c r="D13" s="37" t="n">
        <f aca="false">SUMIF(Monthly!$C$5:$BJ$5,D$11,Monthly!$C$27:$BJ$27)</f>
        <v>5306753.41714286</v>
      </c>
      <c r="E13" s="37" t="n">
        <f aca="false">SUMIF(Monthly!$C$5:$BJ$5,E$11,Monthly!$C$27:$BJ$27)</f>
        <v>6669960.61402286</v>
      </c>
      <c r="F13" s="37" t="n">
        <f aca="false">SUMIF(Monthly!$C$5:$BJ$5,F$11,Monthly!$C$27:$BJ$27)</f>
        <v>8307054.90590498</v>
      </c>
    </row>
    <row r="14" customFormat="false" ht="15" hidden="false" customHeight="false" outlineLevel="0" collapsed="false">
      <c r="A14" s="38" t="s">
        <v>46</v>
      </c>
      <c r="B14" s="39" t="n">
        <f aca="false">IF(B12=0,0,B13/B12)</f>
        <v>0.58</v>
      </c>
      <c r="C14" s="39" t="n">
        <f aca="false">IF(C12=0,0,C13/C12)</f>
        <v>0.58</v>
      </c>
      <c r="D14" s="39" t="n">
        <f aca="false">IF(D12=0,0,D13/D12)</f>
        <v>0.58</v>
      </c>
      <c r="E14" s="39" t="n">
        <f aca="false">IF(E12=0,0,E13/E12)</f>
        <v>0.58</v>
      </c>
      <c r="F14" s="39" t="n">
        <f aca="false">IF(F12=0,0,F13/F12)</f>
        <v>0.58</v>
      </c>
    </row>
    <row r="15" customFormat="false" ht="15" hidden="false" customHeight="false" outlineLevel="0" collapsed="false">
      <c r="A15" s="6" t="s">
        <v>47</v>
      </c>
      <c r="B15" s="35" t="n">
        <f aca="false">SUMIF(Monthly!$C$5:$BJ$5,B$11,Monthly!$C$38:$BJ$38)</f>
        <v>-2881171.14285714</v>
      </c>
      <c r="C15" s="35" t="n">
        <f aca="false">SUMIF(Monthly!$C$5:$BJ$5,C$11,Monthly!$C$38:$BJ$38)</f>
        <v>-3582127.21428571</v>
      </c>
      <c r="D15" s="35" t="n">
        <f aca="false">SUMIF(Monthly!$C$5:$BJ$5,D$11,Monthly!$C$38:$BJ$38)</f>
        <v>-4429385.593975</v>
      </c>
      <c r="E15" s="35" t="n">
        <f aca="false">SUMIF(Monthly!$C$5:$BJ$5,E$11,Monthly!$C$38:$BJ$38)</f>
        <v>-5460233.00688573</v>
      </c>
      <c r="F15" s="35" t="n">
        <f aca="false">SUMIF(Monthly!$C$5:$BJ$5,F$11,Monthly!$C$38:$BJ$38)</f>
        <v>-6721938.23522155</v>
      </c>
    </row>
    <row r="16" customFormat="false" ht="15" hidden="false" customHeight="false" outlineLevel="0" collapsed="false">
      <c r="A16" s="36" t="s">
        <v>48</v>
      </c>
      <c r="B16" s="37" t="n">
        <f aca="false">SUMIF(Monthly!$C$5:$BJ$5,B$11,Monthly!$C$39:$BJ$39)</f>
        <v>317495.714285714</v>
      </c>
      <c r="C16" s="37" t="n">
        <f aca="false">SUMIF(Monthly!$C$5:$BJ$5,C$11,Monthly!$C$39:$BJ$39)</f>
        <v>581743.742857143</v>
      </c>
      <c r="D16" s="37" t="n">
        <f aca="false">SUMIF(Monthly!$C$5:$BJ$5,D$11,Monthly!$C$39:$BJ$39)</f>
        <v>877367.823167858</v>
      </c>
      <c r="E16" s="37" t="n">
        <f aca="false">SUMIF(Monthly!$C$5:$BJ$5,E$11,Monthly!$C$39:$BJ$39)</f>
        <v>1209727.60713713</v>
      </c>
      <c r="F16" s="37" t="n">
        <f aca="false">SUMIF(Monthly!$C$5:$BJ$5,F$11,Monthly!$C$39:$BJ$39)</f>
        <v>1585116.67068342</v>
      </c>
    </row>
    <row r="17" customFormat="false" ht="15" hidden="false" customHeight="false" outlineLevel="0" collapsed="false">
      <c r="A17" s="38" t="s">
        <v>49</v>
      </c>
      <c r="B17" s="39" t="n">
        <f aca="false">IF(B12=0,0,B16/B12)</f>
        <v>0.0575700823217959</v>
      </c>
      <c r="C17" s="39" t="n">
        <f aca="false">IF(C12=0,0,C16/C12)</f>
        <v>0.0810330998078447</v>
      </c>
      <c r="D17" s="39" t="n">
        <f aca="false">IF(D12=0,0,D16/D12)</f>
        <v>0.0958916492696836</v>
      </c>
      <c r="E17" s="39" t="n">
        <f aca="false">IF(E12=0,0,E16/E12)</f>
        <v>0.105194326135061</v>
      </c>
      <c r="F17" s="39" t="n">
        <f aca="false">IF(F12=0,0,F16/F12)</f>
        <v>0.110673118139964</v>
      </c>
    </row>
    <row r="18" customFormat="false" ht="15" hidden="false" customHeight="false" outlineLevel="0" collapsed="false">
      <c r="A18" s="40" t="s">
        <v>50</v>
      </c>
      <c r="B18" s="41" t="n">
        <f aca="false">SUMIF(Monthly!$C$5:$BJ$5,B$11,Monthly!$C$48:$BJ$48)</f>
        <v>182376.892063492</v>
      </c>
      <c r="C18" s="41" t="n">
        <f aca="false">SUMIF(Monthly!$C$5:$BJ$5,C$11,Monthly!$C$48:$BJ$48)</f>
        <v>380502.318761905</v>
      </c>
      <c r="D18" s="41" t="n">
        <f aca="false">SUMIF(Monthly!$C$5:$BJ$5,D$11,Monthly!$C$48:$BJ$48)</f>
        <v>603436.770778798</v>
      </c>
      <c r="E18" s="41" t="n">
        <f aca="false">SUMIF(Monthly!$C$5:$BJ$5,E$11,Monthly!$C$48:$BJ$48)</f>
        <v>855392.428685951</v>
      </c>
      <c r="F18" s="41" t="n">
        <f aca="false">SUMIF(Monthly!$C$5:$BJ$5,F$11,Monthly!$C$48:$BJ$48)</f>
        <v>1141341.21745895</v>
      </c>
    </row>
    <row r="19" customFormat="false" ht="15" hidden="false" customHeight="false" outlineLevel="0" collapsed="false">
      <c r="A19" s="38" t="s">
        <v>51</v>
      </c>
      <c r="B19" s="39" t="n">
        <f aca="false">IF(B12=0,0,B18/B12)</f>
        <v>0.0330695887133773</v>
      </c>
      <c r="C19" s="39" t="n">
        <f aca="false">IF(C12=0,0,C18/C12)</f>
        <v>0.0530014851933206</v>
      </c>
      <c r="D19" s="39" t="n">
        <f aca="false">IF(D12=0,0,D18/D12)</f>
        <v>0.0659524382499269</v>
      </c>
      <c r="E19" s="39" t="n">
        <f aca="false">IF(E12=0,0,E18/E12)</f>
        <v>0.0743823895443697</v>
      </c>
      <c r="F19" s="39" t="n">
        <f aca="false">IF(F12=0,0,F18/F12)</f>
        <v>0.0796886397916586</v>
      </c>
    </row>
    <row r="20" customFormat="false" ht="15" hidden="false" customHeight="false" outlineLevel="0" collapsed="false">
      <c r="A20" s="6" t="s">
        <v>52</v>
      </c>
      <c r="B20" s="35" t="n">
        <f aca="false">SUMIF(Monthly!$C$5:$BJ$5,B$11,Monthly!$C$72:$BJ$72)</f>
        <v>-146060.154365079</v>
      </c>
      <c r="C20" s="35" t="n">
        <f aca="false">SUMIF(Monthly!$C$5:$BJ$5,C$11,Monthly!$C$72:$BJ$72)</f>
        <v>334798.668940476</v>
      </c>
      <c r="D20" s="35" t="n">
        <f aca="false">SUMIF(Monthly!$C$5:$BJ$5,D$11,Monthly!$C$72:$BJ$72)</f>
        <v>557937.428885941</v>
      </c>
      <c r="E20" s="35" t="n">
        <f aca="false">SUMIF(Monthly!$C$5:$BJ$5,E$11,Monthly!$C$72:$BJ$72)</f>
        <v>804972.770106665</v>
      </c>
      <c r="F20" s="35" t="n">
        <f aca="false">SUMIF(Monthly!$C$5:$BJ$5,F$11,Monthly!$C$72:$BJ$72)</f>
        <v>1079551.31685151</v>
      </c>
    </row>
    <row r="21" customFormat="false" ht="15" hidden="false" customHeight="false" outlineLevel="0" collapsed="false">
      <c r="A21" s="6" t="s">
        <v>53</v>
      </c>
      <c r="B21" s="35" t="n">
        <f aca="false">SUMIF(Monthly!$C$5:$BJ$5,B$11,Monthly!$C$73:$BJ$73)</f>
        <v>-350000</v>
      </c>
      <c r="C21" s="35" t="n">
        <f aca="false">SUMIF(Monthly!$C$5:$BJ$5,C$11,Monthly!$C$73:$BJ$73)</f>
        <v>-150000</v>
      </c>
      <c r="D21" s="35" t="n">
        <f aca="false">SUMIF(Monthly!$C$5:$BJ$5,D$11,Monthly!$C$73:$BJ$73)</f>
        <v>-150000</v>
      </c>
      <c r="E21" s="35" t="n">
        <f aca="false">SUMIF(Monthly!$C$5:$BJ$5,E$11,Monthly!$C$73:$BJ$73)</f>
        <v>-150000</v>
      </c>
      <c r="F21" s="35" t="n">
        <f aca="false">SUMIF(Monthly!$C$5:$BJ$5,F$11,Monthly!$C$73:$BJ$73)</f>
        <v>-150000</v>
      </c>
    </row>
    <row r="22" customFormat="false" ht="15" hidden="false" customHeight="false" outlineLevel="0" collapsed="false">
      <c r="A22" s="6" t="s">
        <v>54</v>
      </c>
      <c r="B22" s="35" t="n">
        <f aca="false">SUMIF(Monthly!$C$5:$BJ$5,B$11,Monthly!$C$75:$BJ$75)</f>
        <v>1908333.33333333</v>
      </c>
      <c r="C22" s="35" t="n">
        <f aca="false">SUMIF(Monthly!$C$5:$BJ$5,C$11,Monthly!$C$75:$BJ$75)</f>
        <v>-100000</v>
      </c>
      <c r="D22" s="35" t="n">
        <f aca="false">SUMIF(Monthly!$C$5:$BJ$5,D$11,Monthly!$C$75:$BJ$75)</f>
        <v>-100000</v>
      </c>
      <c r="E22" s="35" t="n">
        <f aca="false">SUMIF(Monthly!$C$5:$BJ$5,E$11,Monthly!$C$75:$BJ$75)</f>
        <v>-100000</v>
      </c>
      <c r="F22" s="35" t="n">
        <f aca="false">SUMIF(Monthly!$C$5:$BJ$5,F$11,Monthly!$C$75:$BJ$75)</f>
        <v>-100000</v>
      </c>
    </row>
    <row r="23" customFormat="false" ht="15" hidden="false" customHeight="false" outlineLevel="0" collapsed="false">
      <c r="A23" s="36" t="s">
        <v>55</v>
      </c>
      <c r="B23" s="37" t="n">
        <f aca="false">SUMIF(Monthly!$C$5:$BJ$5,B$11,Monthly!$C$76:$BJ$76)</f>
        <v>1412273.17896825</v>
      </c>
      <c r="C23" s="37" t="n">
        <f aca="false">SUMIF(Monthly!$C$5:$BJ$5,C$11,Monthly!$C$76:$BJ$76)</f>
        <v>84798.6689404764</v>
      </c>
      <c r="D23" s="37" t="n">
        <f aca="false">SUMIF(Monthly!$C$5:$BJ$5,D$11,Monthly!$C$76:$BJ$76)</f>
        <v>307937.428885941</v>
      </c>
      <c r="E23" s="37" t="n">
        <f aca="false">SUMIF(Monthly!$C$5:$BJ$5,E$11,Monthly!$C$76:$BJ$76)</f>
        <v>554972.770106665</v>
      </c>
      <c r="F23" s="37" t="n">
        <f aca="false">SUMIF(Monthly!$C$5:$BJ$5,F$11,Monthly!$C$76:$BJ$76)</f>
        <v>829551.316851515</v>
      </c>
    </row>
    <row r="24" customFormat="false" ht="15" hidden="false" customHeight="false" outlineLevel="0" collapsed="false">
      <c r="A24" s="40" t="s">
        <v>56</v>
      </c>
      <c r="B24" s="41" t="n">
        <f aca="false">INDEX(Monthly!$C$78:$BJ$78,B$11*12)</f>
        <v>1412273.17896825</v>
      </c>
      <c r="C24" s="41" t="n">
        <f aca="false">INDEX(Monthly!$C$78:$BJ$78,C$11*12)</f>
        <v>1497071.84790873</v>
      </c>
      <c r="D24" s="41" t="n">
        <f aca="false">INDEX(Monthly!$C$78:$BJ$78,D$11*12)</f>
        <v>1805009.27679467</v>
      </c>
      <c r="E24" s="41" t="n">
        <f aca="false">INDEX(Monthly!$C$78:$BJ$78,E$11*12)</f>
        <v>2359982.04690134</v>
      </c>
      <c r="F24" s="41" t="n">
        <f aca="false">INDEX(Monthly!$C$78:$BJ$78,F$11*12)</f>
        <v>3189533.36375285</v>
      </c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58</v>
      </c>
      <c r="B28" s="35" t="n">
        <f aca="false">KPIs!B33</f>
        <v>5002714.28571429</v>
      </c>
      <c r="C28" s="35" t="n">
        <f aca="false">KPIs!C33</f>
        <v>6255514.28571429</v>
      </c>
      <c r="D28" s="35" t="n">
        <f aca="false">KPIs!D33</f>
        <v>7825294.28571429</v>
      </c>
      <c r="E28" s="35" t="n">
        <f aca="false">KPIs!E33</f>
        <v>9793054.82571429</v>
      </c>
      <c r="F28" s="35" t="n">
        <f aca="false">KPIs!F33</f>
        <v>12260689.7471743</v>
      </c>
    </row>
    <row r="29" customFormat="false" ht="15" hidden="false" customHeight="false" outlineLevel="0" collapsed="false">
      <c r="A29" s="6" t="s">
        <v>59</v>
      </c>
      <c r="B29" s="35" t="n">
        <f aca="false">KPIs!B38</f>
        <v>1125000</v>
      </c>
      <c r="C29" s="35" t="n">
        <f aca="false">KPIs!C38</f>
        <v>1721250</v>
      </c>
      <c r="D29" s="35" t="n">
        <f aca="false">KPIs!D38</f>
        <v>2340900</v>
      </c>
      <c r="E29" s="35" t="n">
        <f aca="false">KPIs!E38</f>
        <v>2984647.5</v>
      </c>
      <c r="F29" s="35" t="n">
        <f aca="false">KPIs!F38</f>
        <v>3653208.54</v>
      </c>
    </row>
    <row r="30" customFormat="false" ht="15" hidden="false" customHeight="false" outlineLevel="0" collapsed="false">
      <c r="A30" s="6" t="s">
        <v>60</v>
      </c>
      <c r="B30" s="42" t="n">
        <f aca="false">KPIs!B30</f>
        <v>66702.8571428571</v>
      </c>
      <c r="C30" s="42" t="n">
        <f aca="false">KPIs!C30</f>
        <v>81771.4285714286</v>
      </c>
      <c r="D30" s="42" t="n">
        <f aca="false">KPIs!D30</f>
        <v>100285.714285714</v>
      </c>
      <c r="E30" s="42" t="n">
        <f aca="false">KPIs!E30</f>
        <v>123042.857142857</v>
      </c>
      <c r="F30" s="42" t="n">
        <f aca="false">KPIs!F30</f>
        <v>151026.428571429</v>
      </c>
    </row>
    <row r="31" customFormat="false" ht="15" hidden="false" customHeight="false" outlineLevel="0" collapsed="false">
      <c r="A31" s="6" t="s">
        <v>61</v>
      </c>
      <c r="B31" s="42" t="n">
        <f aca="false">KPIs!B37</f>
        <v>2</v>
      </c>
      <c r="C31" s="42" t="n">
        <f aca="false">KPIs!C37</f>
        <v>3</v>
      </c>
      <c r="D31" s="42" t="n">
        <f aca="false">KPIs!D37</f>
        <v>4</v>
      </c>
      <c r="E31" s="42" t="n">
        <f aca="false">KPIs!E37</f>
        <v>5</v>
      </c>
      <c r="F31" s="42" t="n">
        <f aca="false">KPIs!F37</f>
        <v>6</v>
      </c>
    </row>
    <row r="32" customFormat="false" ht="15" hidden="false" customHeight="false" outlineLevel="0" collapsed="false">
      <c r="A32" s="6" t="s">
        <v>62</v>
      </c>
      <c r="B32" s="43" t="n">
        <f aca="false">INDEX(Headcount!$C$12:$BJ$12,B$27*12)</f>
        <v>21</v>
      </c>
      <c r="C32" s="43" t="n">
        <f aca="false">INDEX(Headcount!$C$12:$BJ$12,C$27*12)</f>
        <v>25.85</v>
      </c>
      <c r="D32" s="43" t="n">
        <f aca="false">INDEX(Headcount!$C$12:$BJ$12,D$27*12)</f>
        <v>31.8875</v>
      </c>
      <c r="E32" s="43" t="n">
        <f aca="false">INDEX(Headcount!$C$12:$BJ$12,E$27*12)</f>
        <v>39.418625</v>
      </c>
      <c r="F32" s="43" t="n">
        <f aca="false">INDEX(Headcount!$C$12:$BJ$12,F$27*12)</f>
        <v>48.83181875</v>
      </c>
    </row>
    <row r="34" customFormat="false" ht="15.75" hidden="false" customHeight="true" outlineLevel="0" collapsed="false">
      <c r="A34" s="7" t="s">
        <v>63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64</v>
      </c>
      <c r="B35" s="44"/>
      <c r="C35" s="44"/>
      <c r="D35" s="44"/>
      <c r="E35" s="44"/>
      <c r="F35" s="45" t="n">
        <f aca="false">Inputs!$E$58</f>
        <v>1500000</v>
      </c>
    </row>
    <row r="36" customFormat="false" ht="15" hidden="false" customHeight="false" outlineLevel="0" collapsed="false">
      <c r="A36" s="6" t="s">
        <v>65</v>
      </c>
      <c r="B36" s="44"/>
      <c r="C36" s="44"/>
      <c r="D36" s="44"/>
      <c r="E36" s="44"/>
      <c r="F36" s="45" t="n">
        <f aca="false">Inputs!$E$59</f>
        <v>500000</v>
      </c>
    </row>
    <row r="37" customFormat="false" ht="15" hidden="false" customHeight="false" outlineLevel="0" collapsed="false">
      <c r="A37" s="6" t="s">
        <v>66</v>
      </c>
      <c r="B37" s="44"/>
      <c r="C37" s="44"/>
      <c r="D37" s="44"/>
      <c r="E37" s="44"/>
      <c r="F37" s="45" t="n">
        <f aca="false">'Break-even'!B12</f>
        <v>1459694.9207506</v>
      </c>
    </row>
    <row r="38" customFormat="false" ht="15" hidden="false" customHeight="false" outlineLevel="0" collapsed="false">
      <c r="A38" s="36" t="s">
        <v>67</v>
      </c>
      <c r="B38" s="36"/>
      <c r="C38" s="36"/>
      <c r="D38" s="36"/>
      <c r="E38" s="36"/>
      <c r="F38" s="37" t="n">
        <f aca="false">'Break-even'!B17</f>
        <v>540305.079249405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13)</v>
      </c>
      <c r="B39" s="44"/>
      <c r="C39" s="44"/>
      <c r="D39" s="44"/>
      <c r="E39" s="44"/>
      <c r="F39" s="45" t="n">
        <f aca="false">'Break-even'!B18</f>
        <v>1260305.0792494</v>
      </c>
    </row>
    <row r="40" customFormat="false" ht="15" hidden="false" customHeight="false" outlineLevel="0" collapsed="false">
      <c r="A40" s="6" t="s">
        <v>68</v>
      </c>
      <c r="B40" s="44"/>
      <c r="C40" s="44"/>
      <c r="D40" s="44"/>
      <c r="E40" s="44"/>
      <c r="F40" s="46" t="n">
        <f aca="false">'Break-even'!B21</f>
        <v>1</v>
      </c>
    </row>
    <row r="41" customFormat="false" ht="15" hidden="false" customHeight="false" outlineLevel="0" collapsed="false">
      <c r="A41" s="6" t="s">
        <v>69</v>
      </c>
      <c r="B41" s="44"/>
      <c r="C41" s="44"/>
      <c r="D41" s="44"/>
      <c r="E41" s="44"/>
      <c r="F41" s="46" t="n">
        <f aca="false">'Break-even'!B23</f>
        <v>36</v>
      </c>
    </row>
    <row r="42" customFormat="false" ht="15" hidden="false" customHeight="false" outlineLevel="0" collapsed="false">
      <c r="A42" s="6" t="s">
        <v>70</v>
      </c>
      <c r="B42" s="44"/>
      <c r="C42" s="44"/>
      <c r="D42" s="44"/>
      <c r="E42" s="44"/>
      <c r="F42" s="45" t="n">
        <f aca="false">Valuation!B27</f>
        <v>4072114.73531411</v>
      </c>
    </row>
    <row r="43" customFormat="false" ht="15" hidden="false" customHeight="false" outlineLevel="0" collapsed="false">
      <c r="A43" s="6" t="s">
        <v>71</v>
      </c>
      <c r="B43" s="44"/>
      <c r="C43" s="44"/>
      <c r="D43" s="44"/>
      <c r="E43" s="44"/>
      <c r="F43" s="45" t="n">
        <f aca="false">Valuation!C27</f>
        <v>4985697.71041056</v>
      </c>
    </row>
    <row r="44" customFormat="false" ht="15" hidden="false" customHeight="false" outlineLevel="0" collapsed="false">
      <c r="A44" s="40" t="s">
        <v>72</v>
      </c>
      <c r="B44" s="40"/>
      <c r="C44" s="40"/>
      <c r="D44" s="40"/>
      <c r="E44" s="40"/>
      <c r="F44" s="41" t="n">
        <f aca="false">Valuation!B30</f>
        <v>4528906.22286234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73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74</v>
      </c>
      <c r="R2" s="47" t="n">
        <v>1</v>
      </c>
      <c r="S2" s="47"/>
    </row>
    <row r="5" customFormat="false" ht="15.75" hidden="false" customHeight="true" outlineLevel="0" collapsed="false">
      <c r="A5" s="7" t="s">
        <v>75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48" t="n">
        <f aca="false">INDEX(Monthly!$C$4:$BJ$4,($R$2-1)*12+1)</f>
        <v>1</v>
      </c>
      <c r="I6" s="48" t="n">
        <f aca="false">INDEX(Monthly!$C$4:$BJ$4,($R$2-1)*12+2)</f>
        <v>2</v>
      </c>
      <c r="J6" s="48" t="n">
        <f aca="false">INDEX(Monthly!$C$4:$BJ$4,($R$2-1)*12+3)</f>
        <v>3</v>
      </c>
      <c r="K6" s="48" t="n">
        <f aca="false">INDEX(Monthly!$C$4:$BJ$4,($R$2-1)*12+4)</f>
        <v>4</v>
      </c>
      <c r="L6" s="48" t="n">
        <f aca="false">INDEX(Monthly!$C$4:$BJ$4,($R$2-1)*12+5)</f>
        <v>5</v>
      </c>
      <c r="M6" s="48" t="n">
        <f aca="false">INDEX(Monthly!$C$4:$BJ$4,($R$2-1)*12+6)</f>
        <v>6</v>
      </c>
      <c r="N6" s="48" t="n">
        <f aca="false">INDEX(Monthly!$C$4:$BJ$4,($R$2-1)*12+7)</f>
        <v>7</v>
      </c>
      <c r="O6" s="48" t="n">
        <f aca="false">INDEX(Monthly!$C$4:$BJ$4,($R$2-1)*12+8)</f>
        <v>8</v>
      </c>
      <c r="P6" s="48" t="n">
        <f aca="false">INDEX(Monthly!$C$4:$BJ$4,($R$2-1)*12+9)</f>
        <v>9</v>
      </c>
      <c r="Q6" s="48" t="n">
        <f aca="false">INDEX(Monthly!$C$4:$BJ$4,($R$2-1)*12+10)</f>
        <v>10</v>
      </c>
      <c r="R6" s="48" t="n">
        <f aca="false">INDEX(Monthly!$C$4:$BJ$4,($R$2-1)*12+11)</f>
        <v>11</v>
      </c>
      <c r="S6" s="48" t="n">
        <f aca="false">INDEX(Monthly!$C$4:$BJ$4,($R$2-1)*12+12)</f>
        <v>12</v>
      </c>
    </row>
    <row r="7" customFormat="false" ht="15" hidden="false" customHeight="false" outlineLevel="0" collapsed="false">
      <c r="A7" s="49" t="s">
        <v>44</v>
      </c>
      <c r="B7" s="35" t="n">
        <f aca="false">'P&amp;L'!B5</f>
        <v>5514942.85714286</v>
      </c>
      <c r="C7" s="35" t="n">
        <f aca="false">'P&amp;L'!C5</f>
        <v>7179087.85714286</v>
      </c>
      <c r="D7" s="35" t="n">
        <f aca="false">'P&amp;L'!D5</f>
        <v>9149574.85714286</v>
      </c>
      <c r="E7" s="35" t="n">
        <f aca="false">'P&amp;L'!E5</f>
        <v>11499932.0931429</v>
      </c>
      <c r="F7" s="35" t="n">
        <f aca="false">'P&amp;L'!F5</f>
        <v>14322508.4584569</v>
      </c>
      <c r="H7" s="35" t="n">
        <f aca="false">INDEX(Monthly!$C$25:$BJ$25,($R$2-1)*12+1)</f>
        <v>442852.071428571</v>
      </c>
      <c r="I7" s="35" t="n">
        <f aca="false">INDEX(Monthly!$C$25:$BJ$25,($R$2-1)*12+2)</f>
        <v>442852.071428571</v>
      </c>
      <c r="J7" s="35" t="n">
        <f aca="false">INDEX(Monthly!$C$25:$BJ$25,($R$2-1)*12+3)</f>
        <v>442852.071428571</v>
      </c>
      <c r="K7" s="35" t="n">
        <f aca="false">INDEX(Monthly!$C$25:$BJ$25,($R$2-1)*12+4)</f>
        <v>442852.071428571</v>
      </c>
      <c r="L7" s="35" t="n">
        <f aca="false">INDEX(Monthly!$C$25:$BJ$25,($R$2-1)*12+5)</f>
        <v>442852.071428571</v>
      </c>
      <c r="M7" s="35" t="n">
        <f aca="false">INDEX(Monthly!$C$25:$BJ$25,($R$2-1)*12+6)</f>
        <v>442852.071428571</v>
      </c>
      <c r="N7" s="35" t="n">
        <f aca="false">INDEX(Monthly!$C$25:$BJ$25,($R$2-1)*12+7)</f>
        <v>442852.071428571</v>
      </c>
      <c r="O7" s="35" t="n">
        <f aca="false">INDEX(Monthly!$C$25:$BJ$25,($R$2-1)*12+8)</f>
        <v>442852.071428571</v>
      </c>
      <c r="P7" s="35" t="n">
        <f aca="false">INDEX(Monthly!$C$25:$BJ$25,($R$2-1)*12+9)</f>
        <v>442852.071428571</v>
      </c>
      <c r="Q7" s="35" t="n">
        <f aca="false">INDEX(Monthly!$C$25:$BJ$25,($R$2-1)*12+10)</f>
        <v>442852.071428571</v>
      </c>
      <c r="R7" s="35" t="n">
        <f aca="false">INDEX(Monthly!$C$25:$BJ$25,($R$2-1)*12+11)</f>
        <v>543211.071428572</v>
      </c>
      <c r="S7" s="35" t="n">
        <f aca="false">INDEX(Monthly!$C$25:$BJ$25,($R$2-1)*12+12)</f>
        <v>543211.071428572</v>
      </c>
    </row>
    <row r="8" customFormat="false" ht="15" hidden="false" customHeight="false" outlineLevel="0" collapsed="false">
      <c r="A8" s="49" t="s">
        <v>76</v>
      </c>
      <c r="B8" s="35" t="n">
        <f aca="false">'P&amp;L'!B6</f>
        <v>-2316276</v>
      </c>
      <c r="C8" s="35" t="n">
        <f aca="false">'P&amp;L'!C6</f>
        <v>-3015216.9</v>
      </c>
      <c r="D8" s="35" t="n">
        <f aca="false">'P&amp;L'!D6</f>
        <v>-3842821.44</v>
      </c>
      <c r="E8" s="35" t="n">
        <f aca="false">'P&amp;L'!E6</f>
        <v>-4829971.47912</v>
      </c>
      <c r="F8" s="35" t="n">
        <f aca="false">'P&amp;L'!F6</f>
        <v>-6015453.55255188</v>
      </c>
      <c r="H8" s="35" t="n">
        <f aca="false">INDEX(Monthly!$C$26:$BJ$26,($R$2-1)*12+1)</f>
        <v>-185997.87</v>
      </c>
      <c r="I8" s="35" t="n">
        <f aca="false">INDEX(Monthly!$C$26:$BJ$26,($R$2-1)*12+2)</f>
        <v>-185997.87</v>
      </c>
      <c r="J8" s="35" t="n">
        <f aca="false">INDEX(Monthly!$C$26:$BJ$26,($R$2-1)*12+3)</f>
        <v>-185997.87</v>
      </c>
      <c r="K8" s="35" t="n">
        <f aca="false">INDEX(Monthly!$C$26:$BJ$26,($R$2-1)*12+4)</f>
        <v>-185997.87</v>
      </c>
      <c r="L8" s="35" t="n">
        <f aca="false">INDEX(Monthly!$C$26:$BJ$26,($R$2-1)*12+5)</f>
        <v>-185997.87</v>
      </c>
      <c r="M8" s="35" t="n">
        <f aca="false">INDEX(Monthly!$C$26:$BJ$26,($R$2-1)*12+6)</f>
        <v>-185997.87</v>
      </c>
      <c r="N8" s="35" t="n">
        <f aca="false">INDEX(Monthly!$C$26:$BJ$26,($R$2-1)*12+7)</f>
        <v>-185997.87</v>
      </c>
      <c r="O8" s="35" t="n">
        <f aca="false">INDEX(Monthly!$C$26:$BJ$26,($R$2-1)*12+8)</f>
        <v>-185997.87</v>
      </c>
      <c r="P8" s="35" t="n">
        <f aca="false">INDEX(Monthly!$C$26:$BJ$26,($R$2-1)*12+9)</f>
        <v>-185997.87</v>
      </c>
      <c r="Q8" s="35" t="n">
        <f aca="false">INDEX(Monthly!$C$26:$BJ$26,($R$2-1)*12+10)</f>
        <v>-185997.87</v>
      </c>
      <c r="R8" s="35" t="n">
        <f aca="false">INDEX(Monthly!$C$26:$BJ$26,($R$2-1)*12+11)</f>
        <v>-228148.65</v>
      </c>
      <c r="S8" s="35" t="n">
        <f aca="false">INDEX(Monthly!$C$26:$BJ$26,($R$2-1)*12+12)</f>
        <v>-228148.65</v>
      </c>
    </row>
    <row r="9" customFormat="false" ht="15" hidden="false" customHeight="false" outlineLevel="0" collapsed="false">
      <c r="A9" s="36" t="s">
        <v>45</v>
      </c>
      <c r="B9" s="37" t="n">
        <f aca="false">'P&amp;L'!B7</f>
        <v>3198666.85714286</v>
      </c>
      <c r="C9" s="37" t="n">
        <f aca="false">'P&amp;L'!C7</f>
        <v>4163870.95714286</v>
      </c>
      <c r="D9" s="37" t="n">
        <f aca="false">'P&amp;L'!D7</f>
        <v>5306753.41714286</v>
      </c>
      <c r="E9" s="37" t="n">
        <f aca="false">'P&amp;L'!E7</f>
        <v>6669960.61402286</v>
      </c>
      <c r="F9" s="37" t="n">
        <f aca="false">'P&amp;L'!F7</f>
        <v>8307054.90590498</v>
      </c>
      <c r="H9" s="37" t="n">
        <f aca="false">INDEX(Monthly!$C$27:$BJ$27,($R$2-1)*12+1)</f>
        <v>256854.201428571</v>
      </c>
      <c r="I9" s="37" t="n">
        <f aca="false">INDEX(Monthly!$C$27:$BJ$27,($R$2-1)*12+2)</f>
        <v>256854.201428571</v>
      </c>
      <c r="J9" s="37" t="n">
        <f aca="false">INDEX(Monthly!$C$27:$BJ$27,($R$2-1)*12+3)</f>
        <v>256854.201428571</v>
      </c>
      <c r="K9" s="37" t="n">
        <f aca="false">INDEX(Monthly!$C$27:$BJ$27,($R$2-1)*12+4)</f>
        <v>256854.201428571</v>
      </c>
      <c r="L9" s="37" t="n">
        <f aca="false">INDEX(Monthly!$C$27:$BJ$27,($R$2-1)*12+5)</f>
        <v>256854.201428571</v>
      </c>
      <c r="M9" s="37" t="n">
        <f aca="false">INDEX(Monthly!$C$27:$BJ$27,($R$2-1)*12+6)</f>
        <v>256854.201428571</v>
      </c>
      <c r="N9" s="37" t="n">
        <f aca="false">INDEX(Monthly!$C$27:$BJ$27,($R$2-1)*12+7)</f>
        <v>256854.201428571</v>
      </c>
      <c r="O9" s="37" t="n">
        <f aca="false">INDEX(Monthly!$C$27:$BJ$27,($R$2-1)*12+8)</f>
        <v>256854.201428571</v>
      </c>
      <c r="P9" s="37" t="n">
        <f aca="false">INDEX(Monthly!$C$27:$BJ$27,($R$2-1)*12+9)</f>
        <v>256854.201428571</v>
      </c>
      <c r="Q9" s="37" t="n">
        <f aca="false">INDEX(Monthly!$C$27:$BJ$27,($R$2-1)*12+10)</f>
        <v>256854.201428571</v>
      </c>
      <c r="R9" s="37" t="n">
        <f aca="false">INDEX(Monthly!$C$27:$BJ$27,($R$2-1)*12+11)</f>
        <v>315062.421428572</v>
      </c>
      <c r="S9" s="37" t="n">
        <f aca="false">INDEX(Monthly!$C$27:$BJ$27,($R$2-1)*12+12)</f>
        <v>315062.421428572</v>
      </c>
    </row>
    <row r="10" customFormat="false" ht="15" hidden="false" customHeight="false" outlineLevel="0" collapsed="false">
      <c r="A10" s="38" t="s">
        <v>46</v>
      </c>
      <c r="B10" s="39" t="n">
        <f aca="false">'P&amp;L'!B8</f>
        <v>0.58</v>
      </c>
      <c r="C10" s="39" t="n">
        <f aca="false">'P&amp;L'!C8</f>
        <v>0.58</v>
      </c>
      <c r="D10" s="39" t="n">
        <f aca="false">'P&amp;L'!D8</f>
        <v>0.58</v>
      </c>
      <c r="E10" s="39" t="n">
        <f aca="false">'P&amp;L'!E8</f>
        <v>0.58</v>
      </c>
      <c r="F10" s="39" t="n">
        <f aca="false">'P&amp;L'!F8</f>
        <v>0.58</v>
      </c>
      <c r="H10" s="39" t="n">
        <f aca="false">IF(H7=0,0,H9/H7)</f>
        <v>0.58</v>
      </c>
      <c r="I10" s="39" t="n">
        <f aca="false">IF(I7=0,0,I9/I7)</f>
        <v>0.58</v>
      </c>
      <c r="J10" s="39" t="n">
        <f aca="false">IF(J7=0,0,J9/J7)</f>
        <v>0.58</v>
      </c>
      <c r="K10" s="39" t="n">
        <f aca="false">IF(K7=0,0,K9/K7)</f>
        <v>0.58</v>
      </c>
      <c r="L10" s="39" t="n">
        <f aca="false">IF(L7=0,0,L9/L7)</f>
        <v>0.58</v>
      </c>
      <c r="M10" s="39" t="n">
        <f aca="false">IF(M7=0,0,M9/M7)</f>
        <v>0.58</v>
      </c>
      <c r="N10" s="39" t="n">
        <f aca="false">IF(N7=0,0,N9/N7)</f>
        <v>0.58</v>
      </c>
      <c r="O10" s="39" t="n">
        <f aca="false">IF(O7=0,0,O9/O7)</f>
        <v>0.58</v>
      </c>
      <c r="P10" s="39" t="n">
        <f aca="false">IF(P7=0,0,P9/P7)</f>
        <v>0.58</v>
      </c>
      <c r="Q10" s="39" t="n">
        <f aca="false">IF(Q7=0,0,Q9/Q7)</f>
        <v>0.58</v>
      </c>
      <c r="R10" s="39" t="n">
        <f aca="false">IF(R7=0,0,R9/R7)</f>
        <v>0.58</v>
      </c>
      <c r="S10" s="39" t="n">
        <f aca="false">IF(S7=0,0,S9/S7)</f>
        <v>0.58</v>
      </c>
    </row>
    <row r="11" customFormat="false" ht="15" hidden="false" customHeight="false" outlineLevel="0" collapsed="false">
      <c r="A11" s="49" t="s">
        <v>77</v>
      </c>
      <c r="B11" s="35" t="n">
        <f aca="false">'P&amp;L'!B17</f>
        <v>-2881171.14285714</v>
      </c>
      <c r="C11" s="35" t="n">
        <f aca="false">'P&amp;L'!C17</f>
        <v>-3582127.21428571</v>
      </c>
      <c r="D11" s="35" t="n">
        <f aca="false">'P&amp;L'!D17</f>
        <v>-4429385.593975</v>
      </c>
      <c r="E11" s="35" t="n">
        <f aca="false">'P&amp;L'!E17</f>
        <v>-5460233.00688573</v>
      </c>
      <c r="F11" s="35" t="n">
        <f aca="false">'P&amp;L'!F17</f>
        <v>-6721938.23522155</v>
      </c>
      <c r="H11" s="35" t="n">
        <f aca="false">INDEX(Monthly!$C$38:$BJ$38,($R$2-1)*12+1)</f>
        <v>-238213.400238095</v>
      </c>
      <c r="I11" s="35" t="n">
        <f aca="false">INDEX(Monthly!$C$38:$BJ$38,($R$2-1)*12+2)</f>
        <v>-238213.400238095</v>
      </c>
      <c r="J11" s="35" t="n">
        <f aca="false">INDEX(Monthly!$C$38:$BJ$38,($R$2-1)*12+3)</f>
        <v>-238213.400238095</v>
      </c>
      <c r="K11" s="35" t="n">
        <f aca="false">INDEX(Monthly!$C$38:$BJ$38,($R$2-1)*12+4)</f>
        <v>-238213.400238095</v>
      </c>
      <c r="L11" s="35" t="n">
        <f aca="false">INDEX(Monthly!$C$38:$BJ$38,($R$2-1)*12+5)</f>
        <v>-238213.400238095</v>
      </c>
      <c r="M11" s="35" t="n">
        <f aca="false">INDEX(Monthly!$C$38:$BJ$38,($R$2-1)*12+6)</f>
        <v>-238213.400238095</v>
      </c>
      <c r="N11" s="35" t="n">
        <f aca="false">INDEX(Monthly!$C$38:$BJ$38,($R$2-1)*12+7)</f>
        <v>-238213.400238095</v>
      </c>
      <c r="O11" s="35" t="n">
        <f aca="false">INDEX(Monthly!$C$38:$BJ$38,($R$2-1)*12+8)</f>
        <v>-238213.400238095</v>
      </c>
      <c r="P11" s="35" t="n">
        <f aca="false">INDEX(Monthly!$C$38:$BJ$38,($R$2-1)*12+9)</f>
        <v>-238213.400238095</v>
      </c>
      <c r="Q11" s="35" t="n">
        <f aca="false">INDEX(Monthly!$C$38:$BJ$38,($R$2-1)*12+10)</f>
        <v>-238213.400238095</v>
      </c>
      <c r="R11" s="35" t="n">
        <f aca="false">INDEX(Monthly!$C$38:$BJ$38,($R$2-1)*12+11)</f>
        <v>-249518.570238095</v>
      </c>
      <c r="S11" s="35" t="n">
        <f aca="false">INDEX(Monthly!$C$38:$BJ$38,($R$2-1)*12+12)</f>
        <v>-249518.570238095</v>
      </c>
    </row>
    <row r="12" customFormat="false" ht="15" hidden="false" customHeight="false" outlineLevel="0" collapsed="false">
      <c r="A12" s="36" t="s">
        <v>48</v>
      </c>
      <c r="B12" s="37" t="n">
        <f aca="false">'P&amp;L'!B18</f>
        <v>317495.714285714</v>
      </c>
      <c r="C12" s="37" t="n">
        <f aca="false">'P&amp;L'!C18</f>
        <v>581743.742857143</v>
      </c>
      <c r="D12" s="37" t="n">
        <f aca="false">'P&amp;L'!D18</f>
        <v>877367.823167858</v>
      </c>
      <c r="E12" s="37" t="n">
        <f aca="false">'P&amp;L'!E18</f>
        <v>1209727.60713713</v>
      </c>
      <c r="F12" s="37" t="n">
        <f aca="false">'P&amp;L'!F18</f>
        <v>1585116.67068342</v>
      </c>
      <c r="H12" s="37" t="n">
        <f aca="false">INDEX(Monthly!$C$39:$BJ$39,($R$2-1)*12+1)</f>
        <v>18640.8011904762</v>
      </c>
      <c r="I12" s="37" t="n">
        <f aca="false">INDEX(Monthly!$C$39:$BJ$39,($R$2-1)*12+2)</f>
        <v>18640.8011904762</v>
      </c>
      <c r="J12" s="37" t="n">
        <f aca="false">INDEX(Monthly!$C$39:$BJ$39,($R$2-1)*12+3)</f>
        <v>18640.8011904762</v>
      </c>
      <c r="K12" s="37" t="n">
        <f aca="false">INDEX(Monthly!$C$39:$BJ$39,($R$2-1)*12+4)</f>
        <v>18640.8011904762</v>
      </c>
      <c r="L12" s="37" t="n">
        <f aca="false">INDEX(Monthly!$C$39:$BJ$39,($R$2-1)*12+5)</f>
        <v>18640.8011904762</v>
      </c>
      <c r="M12" s="37" t="n">
        <f aca="false">INDEX(Monthly!$C$39:$BJ$39,($R$2-1)*12+6)</f>
        <v>18640.8011904762</v>
      </c>
      <c r="N12" s="37" t="n">
        <f aca="false">INDEX(Monthly!$C$39:$BJ$39,($R$2-1)*12+7)</f>
        <v>18640.8011904762</v>
      </c>
      <c r="O12" s="37" t="n">
        <f aca="false">INDEX(Monthly!$C$39:$BJ$39,($R$2-1)*12+8)</f>
        <v>18640.8011904762</v>
      </c>
      <c r="P12" s="37" t="n">
        <f aca="false">INDEX(Monthly!$C$39:$BJ$39,($R$2-1)*12+9)</f>
        <v>18640.8011904762</v>
      </c>
      <c r="Q12" s="37" t="n">
        <f aca="false">INDEX(Monthly!$C$39:$BJ$39,($R$2-1)*12+10)</f>
        <v>18640.8011904762</v>
      </c>
      <c r="R12" s="37" t="n">
        <f aca="false">INDEX(Monthly!$C$39:$BJ$39,($R$2-1)*12+11)</f>
        <v>65543.8511904763</v>
      </c>
      <c r="S12" s="37" t="n">
        <f aca="false">INDEX(Monthly!$C$39:$BJ$39,($R$2-1)*12+12)</f>
        <v>65543.8511904763</v>
      </c>
    </row>
    <row r="13" customFormat="false" ht="15" hidden="false" customHeight="false" outlineLevel="0" collapsed="false">
      <c r="A13" s="38" t="s">
        <v>49</v>
      </c>
      <c r="B13" s="39" t="n">
        <f aca="false">'P&amp;L'!B19</f>
        <v>0.0575700823217959</v>
      </c>
      <c r="C13" s="39" t="n">
        <f aca="false">'P&amp;L'!C19</f>
        <v>0.0810330998078447</v>
      </c>
      <c r="D13" s="39" t="n">
        <f aca="false">'P&amp;L'!D19</f>
        <v>0.0958916492696836</v>
      </c>
      <c r="E13" s="39" t="n">
        <f aca="false">'P&amp;L'!E19</f>
        <v>0.105194326135061</v>
      </c>
      <c r="F13" s="39" t="n">
        <f aca="false">'P&amp;L'!F19</f>
        <v>0.110673118139964</v>
      </c>
      <c r="H13" s="39" t="n">
        <f aca="false">IF(H7=0,0,H12/H7)</f>
        <v>0.0420926137487488</v>
      </c>
      <c r="I13" s="39" t="n">
        <f aca="false">IF(I7=0,0,I12/I7)</f>
        <v>0.0420926137487488</v>
      </c>
      <c r="J13" s="39" t="n">
        <f aca="false">IF(J7=0,0,J12/J7)</f>
        <v>0.0420926137487488</v>
      </c>
      <c r="K13" s="39" t="n">
        <f aca="false">IF(K7=0,0,K12/K7)</f>
        <v>0.0420926137487488</v>
      </c>
      <c r="L13" s="39" t="n">
        <f aca="false">IF(L7=0,0,L12/L7)</f>
        <v>0.0420926137487488</v>
      </c>
      <c r="M13" s="39" t="n">
        <f aca="false">IF(M7=0,0,M12/M7)</f>
        <v>0.0420926137487488</v>
      </c>
      <c r="N13" s="39" t="n">
        <f aca="false">IF(N7=0,0,N12/N7)</f>
        <v>0.0420926137487488</v>
      </c>
      <c r="O13" s="39" t="n">
        <f aca="false">IF(O7=0,0,O12/O7)</f>
        <v>0.0420926137487488</v>
      </c>
      <c r="P13" s="39" t="n">
        <f aca="false">IF(P7=0,0,P12/P7)</f>
        <v>0.0420926137487488</v>
      </c>
      <c r="Q13" s="39" t="n">
        <f aca="false">IF(Q7=0,0,Q12/Q7)</f>
        <v>0.0420926137487488</v>
      </c>
      <c r="R13" s="39" t="n">
        <f aca="false">IF(R7=0,0,R12/R7)</f>
        <v>0.120660006096902</v>
      </c>
      <c r="S13" s="39" t="n">
        <f aca="false">IF(S7=0,0,S12/S7)</f>
        <v>0.120660006096902</v>
      </c>
    </row>
    <row r="14" customFormat="false" ht="15" hidden="false" customHeight="false" outlineLevel="0" collapsed="false">
      <c r="A14" s="49" t="s">
        <v>78</v>
      </c>
      <c r="B14" s="35" t="n">
        <f aca="false">'P&amp;L'!B20</f>
        <v>-50000</v>
      </c>
      <c r="C14" s="35" t="n">
        <f aca="false">'P&amp;L'!C20</f>
        <v>-71428.5714285714</v>
      </c>
      <c r="D14" s="35" t="n">
        <f aca="false">'P&amp;L'!D20</f>
        <v>-92857.1428571429</v>
      </c>
      <c r="E14" s="35" t="n">
        <f aca="false">'P&amp;L'!E20</f>
        <v>-114285.714285714</v>
      </c>
      <c r="F14" s="35" t="n">
        <f aca="false">'P&amp;L'!F20</f>
        <v>-135714.285714286</v>
      </c>
      <c r="H14" s="35" t="n">
        <f aca="false">INDEX(Monthly!$C$53:$BJ$53,($R$2-1)*12+1)</f>
        <v>-4166.66666666667</v>
      </c>
      <c r="I14" s="35" t="n">
        <f aca="false">INDEX(Monthly!$C$53:$BJ$53,($R$2-1)*12+2)</f>
        <v>-4166.66666666667</v>
      </c>
      <c r="J14" s="35" t="n">
        <f aca="false">INDEX(Monthly!$C$53:$BJ$53,($R$2-1)*12+3)</f>
        <v>-4166.66666666667</v>
      </c>
      <c r="K14" s="35" t="n">
        <f aca="false">INDEX(Monthly!$C$53:$BJ$53,($R$2-1)*12+4)</f>
        <v>-4166.66666666667</v>
      </c>
      <c r="L14" s="35" t="n">
        <f aca="false">INDEX(Monthly!$C$53:$BJ$53,($R$2-1)*12+5)</f>
        <v>-4166.66666666667</v>
      </c>
      <c r="M14" s="35" t="n">
        <f aca="false">INDEX(Monthly!$C$53:$BJ$53,($R$2-1)*12+6)</f>
        <v>-4166.66666666667</v>
      </c>
      <c r="N14" s="35" t="n">
        <f aca="false">INDEX(Monthly!$C$53:$BJ$53,($R$2-1)*12+7)</f>
        <v>-4166.66666666667</v>
      </c>
      <c r="O14" s="35" t="n">
        <f aca="false">INDEX(Monthly!$C$53:$BJ$53,($R$2-1)*12+8)</f>
        <v>-4166.66666666667</v>
      </c>
      <c r="P14" s="35" t="n">
        <f aca="false">INDEX(Monthly!$C$53:$BJ$53,($R$2-1)*12+9)</f>
        <v>-4166.66666666667</v>
      </c>
      <c r="Q14" s="35" t="n">
        <f aca="false">INDEX(Monthly!$C$53:$BJ$53,($R$2-1)*12+10)</f>
        <v>-4166.66666666667</v>
      </c>
      <c r="R14" s="35" t="n">
        <f aca="false">INDEX(Monthly!$C$53:$BJ$53,($R$2-1)*12+11)</f>
        <v>-4166.66666666667</v>
      </c>
      <c r="S14" s="35" t="n">
        <f aca="false">INDEX(Monthly!$C$53:$BJ$53,($R$2-1)*12+12)</f>
        <v>-4166.66666666667</v>
      </c>
    </row>
    <row r="15" customFormat="false" ht="15" hidden="false" customHeight="false" outlineLevel="0" collapsed="false">
      <c r="A15" s="36" t="s">
        <v>79</v>
      </c>
      <c r="B15" s="37" t="n">
        <f aca="false">'P&amp;L'!B21</f>
        <v>267495.714285714</v>
      </c>
      <c r="C15" s="37" t="n">
        <f aca="false">'P&amp;L'!C21</f>
        <v>510315.171428572</v>
      </c>
      <c r="D15" s="37" t="n">
        <f aca="false">'P&amp;L'!D21</f>
        <v>784510.680310715</v>
      </c>
      <c r="E15" s="37" t="n">
        <f aca="false">'P&amp;L'!E21</f>
        <v>1095441.89285141</v>
      </c>
      <c r="F15" s="37" t="n">
        <f aca="false">'P&amp;L'!F21</f>
        <v>1449402.38496914</v>
      </c>
      <c r="H15" s="37" t="n">
        <f aca="false">INDEX(Monthly!$C$42:$BJ$42,($R$2-1)*12+1)</f>
        <v>14474.1345238095</v>
      </c>
      <c r="I15" s="37" t="n">
        <f aca="false">INDEX(Monthly!$C$42:$BJ$42,($R$2-1)*12+2)</f>
        <v>14474.1345238095</v>
      </c>
      <c r="J15" s="37" t="n">
        <f aca="false">INDEX(Monthly!$C$42:$BJ$42,($R$2-1)*12+3)</f>
        <v>14474.1345238095</v>
      </c>
      <c r="K15" s="37" t="n">
        <f aca="false">INDEX(Monthly!$C$42:$BJ$42,($R$2-1)*12+4)</f>
        <v>14474.1345238095</v>
      </c>
      <c r="L15" s="37" t="n">
        <f aca="false">INDEX(Monthly!$C$42:$BJ$42,($R$2-1)*12+5)</f>
        <v>14474.1345238095</v>
      </c>
      <c r="M15" s="37" t="n">
        <f aca="false">INDEX(Monthly!$C$42:$BJ$42,($R$2-1)*12+6)</f>
        <v>14474.1345238095</v>
      </c>
      <c r="N15" s="37" t="n">
        <f aca="false">INDEX(Monthly!$C$42:$BJ$42,($R$2-1)*12+7)</f>
        <v>14474.1345238095</v>
      </c>
      <c r="O15" s="37" t="n">
        <f aca="false">INDEX(Monthly!$C$42:$BJ$42,($R$2-1)*12+8)</f>
        <v>14474.1345238095</v>
      </c>
      <c r="P15" s="37" t="n">
        <f aca="false">INDEX(Monthly!$C$42:$BJ$42,($R$2-1)*12+9)</f>
        <v>14474.1345238095</v>
      </c>
      <c r="Q15" s="37" t="n">
        <f aca="false">INDEX(Monthly!$C$42:$BJ$42,($R$2-1)*12+10)</f>
        <v>14474.1345238095</v>
      </c>
      <c r="R15" s="37" t="n">
        <f aca="false">INDEX(Monthly!$C$42:$BJ$42,($R$2-1)*12+11)</f>
        <v>61377.1845238097</v>
      </c>
      <c r="S15" s="37" t="n">
        <f aca="false">INDEX(Monthly!$C$42:$BJ$42,($R$2-1)*12+12)</f>
        <v>61377.1845238097</v>
      </c>
    </row>
    <row r="16" customFormat="false" ht="15" hidden="false" customHeight="false" outlineLevel="0" collapsed="false">
      <c r="A16" s="49" t="s">
        <v>80</v>
      </c>
      <c r="B16" s="35" t="n">
        <f aca="false">'P&amp;L'!B22</f>
        <v>-36638.8888888889</v>
      </c>
      <c r="C16" s="35" t="n">
        <f aca="false">'P&amp;L'!C22</f>
        <v>-28666.6666666667</v>
      </c>
      <c r="D16" s="35" t="n">
        <f aca="false">'P&amp;L'!D22</f>
        <v>-20666.6666666667</v>
      </c>
      <c r="E16" s="35" t="n">
        <f aca="false">'P&amp;L'!E22</f>
        <v>-12666.6666666667</v>
      </c>
      <c r="F16" s="35" t="n">
        <f aca="false">'P&amp;L'!F22</f>
        <v>-4666.6666666667</v>
      </c>
      <c r="H16" s="35" t="n">
        <f aca="false">INDEX(Monthly!$C$43:$BJ$43,($R$2-1)*12+1)</f>
        <v>-3333.33333333333</v>
      </c>
      <c r="I16" s="35" t="n">
        <f aca="false">INDEX(Monthly!$C$43:$BJ$43,($R$2-1)*12+2)</f>
        <v>-3305.55555555556</v>
      </c>
      <c r="J16" s="35" t="n">
        <f aca="false">INDEX(Monthly!$C$43:$BJ$43,($R$2-1)*12+3)</f>
        <v>-3250</v>
      </c>
      <c r="K16" s="35" t="n">
        <f aca="false">INDEX(Monthly!$C$43:$BJ$43,($R$2-1)*12+4)</f>
        <v>-3194.44444444445</v>
      </c>
      <c r="L16" s="35" t="n">
        <f aca="false">INDEX(Monthly!$C$43:$BJ$43,($R$2-1)*12+5)</f>
        <v>-3138.88888888889</v>
      </c>
      <c r="M16" s="35" t="n">
        <f aca="false">INDEX(Monthly!$C$43:$BJ$43,($R$2-1)*12+6)</f>
        <v>-3083.33333333333</v>
      </c>
      <c r="N16" s="35" t="n">
        <f aca="false">INDEX(Monthly!$C$43:$BJ$43,($R$2-1)*12+7)</f>
        <v>-3027.77777777778</v>
      </c>
      <c r="O16" s="35" t="n">
        <f aca="false">INDEX(Monthly!$C$43:$BJ$43,($R$2-1)*12+8)</f>
        <v>-2972.22222222222</v>
      </c>
      <c r="P16" s="35" t="n">
        <f aca="false">INDEX(Monthly!$C$43:$BJ$43,($R$2-1)*12+9)</f>
        <v>-2916.66666666667</v>
      </c>
      <c r="Q16" s="35" t="n">
        <f aca="false">INDEX(Monthly!$C$43:$BJ$43,($R$2-1)*12+10)</f>
        <v>-2861.11111111111</v>
      </c>
      <c r="R16" s="35" t="n">
        <f aca="false">INDEX(Monthly!$C$43:$BJ$43,($R$2-1)*12+11)</f>
        <v>-2805.55555555556</v>
      </c>
      <c r="S16" s="35" t="n">
        <f aca="false">INDEX(Monthly!$C$43:$BJ$43,($R$2-1)*12+12)</f>
        <v>-2750</v>
      </c>
    </row>
    <row r="17" customFormat="false" ht="15" hidden="false" customHeight="false" outlineLevel="0" collapsed="false">
      <c r="A17" s="49" t="s">
        <v>81</v>
      </c>
      <c r="B17" s="35" t="n">
        <f aca="false">'P&amp;L'!B23</f>
        <v>230856.825396825</v>
      </c>
      <c r="C17" s="35" t="n">
        <f aca="false">'P&amp;L'!C23</f>
        <v>481648.504761905</v>
      </c>
      <c r="D17" s="35" t="n">
        <f aca="false">'P&amp;L'!D23</f>
        <v>763844.013644049</v>
      </c>
      <c r="E17" s="35" t="n">
        <f aca="false">'P&amp;L'!E23</f>
        <v>1082775.22618475</v>
      </c>
      <c r="F17" s="35" t="n">
        <f aca="false">'P&amp;L'!F23</f>
        <v>1444735.71830247</v>
      </c>
      <c r="H17" s="35" t="n">
        <f aca="false">INDEX(Monthly!$C$44:$BJ$44,($R$2-1)*12+1)</f>
        <v>11140.8011904762</v>
      </c>
      <c r="I17" s="35" t="n">
        <f aca="false">INDEX(Monthly!$C$44:$BJ$44,($R$2-1)*12+2)</f>
        <v>11168.5789682539</v>
      </c>
      <c r="J17" s="35" t="n">
        <f aca="false">INDEX(Monthly!$C$44:$BJ$44,($R$2-1)*12+3)</f>
        <v>11224.1345238095</v>
      </c>
      <c r="K17" s="35" t="n">
        <f aca="false">INDEX(Monthly!$C$44:$BJ$44,($R$2-1)*12+4)</f>
        <v>11279.6900793651</v>
      </c>
      <c r="L17" s="35" t="n">
        <f aca="false">INDEX(Monthly!$C$44:$BJ$44,($R$2-1)*12+5)</f>
        <v>11335.2456349206</v>
      </c>
      <c r="M17" s="35" t="n">
        <f aca="false">INDEX(Monthly!$C$44:$BJ$44,($R$2-1)*12+6)</f>
        <v>11390.8011904762</v>
      </c>
      <c r="N17" s="35" t="n">
        <f aca="false">INDEX(Monthly!$C$44:$BJ$44,($R$2-1)*12+7)</f>
        <v>11446.3567460317</v>
      </c>
      <c r="O17" s="35" t="n">
        <f aca="false">INDEX(Monthly!$C$44:$BJ$44,($R$2-1)*12+8)</f>
        <v>11501.9123015873</v>
      </c>
      <c r="P17" s="35" t="n">
        <f aca="false">INDEX(Monthly!$C$44:$BJ$44,($R$2-1)*12+9)</f>
        <v>11557.4678571428</v>
      </c>
      <c r="Q17" s="35" t="n">
        <f aca="false">INDEX(Monthly!$C$44:$BJ$44,($R$2-1)*12+10)</f>
        <v>11613.0234126984</v>
      </c>
      <c r="R17" s="35" t="n">
        <f aca="false">INDEX(Monthly!$C$44:$BJ$44,($R$2-1)*12+11)</f>
        <v>58571.6289682541</v>
      </c>
      <c r="S17" s="35" t="n">
        <f aca="false">INDEX(Monthly!$C$44:$BJ$44,($R$2-1)*12+12)</f>
        <v>58627.1845238097</v>
      </c>
    </row>
    <row r="18" customFormat="false" ht="15" hidden="false" customHeight="false" outlineLevel="0" collapsed="false">
      <c r="A18" s="49" t="s">
        <v>82</v>
      </c>
      <c r="B18" s="35" t="n">
        <f aca="false">'P&amp;L'!B24</f>
        <v>-48479.9333333333</v>
      </c>
      <c r="C18" s="35" t="n">
        <f aca="false">'P&amp;L'!C24</f>
        <v>-101146.186</v>
      </c>
      <c r="D18" s="35" t="n">
        <f aca="false">'P&amp;L'!D24</f>
        <v>-160407.24286525</v>
      </c>
      <c r="E18" s="35" t="n">
        <f aca="false">'P&amp;L'!E24</f>
        <v>-227382.797498797</v>
      </c>
      <c r="F18" s="35" t="n">
        <f aca="false">'P&amp;L'!F24</f>
        <v>-303394.500843519</v>
      </c>
      <c r="H18" s="35" t="n">
        <f aca="false">INDEX(Monthly!$C$47:$BJ$47,($R$2-1)*12+1)</f>
        <v>-2339.56824999999</v>
      </c>
      <c r="I18" s="35" t="n">
        <f aca="false">INDEX(Monthly!$C$47:$BJ$47,($R$2-1)*12+2)</f>
        <v>-2345.40158333333</v>
      </c>
      <c r="J18" s="35" t="n">
        <f aca="false">INDEX(Monthly!$C$47:$BJ$47,($R$2-1)*12+3)</f>
        <v>-2357.06825</v>
      </c>
      <c r="K18" s="35" t="n">
        <f aca="false">INDEX(Monthly!$C$47:$BJ$47,($R$2-1)*12+4)</f>
        <v>-2368.73491666666</v>
      </c>
      <c r="L18" s="35" t="n">
        <f aca="false">INDEX(Monthly!$C$47:$BJ$47,($R$2-1)*12+5)</f>
        <v>-2380.40158333333</v>
      </c>
      <c r="M18" s="35" t="n">
        <f aca="false">INDEX(Monthly!$C$47:$BJ$47,($R$2-1)*12+6)</f>
        <v>-2392.06824999999</v>
      </c>
      <c r="N18" s="35" t="n">
        <f aca="false">INDEX(Monthly!$C$47:$BJ$47,($R$2-1)*12+7)</f>
        <v>-2403.73491666666</v>
      </c>
      <c r="O18" s="35" t="n">
        <f aca="false">INDEX(Monthly!$C$47:$BJ$47,($R$2-1)*12+8)</f>
        <v>-2415.40158333333</v>
      </c>
      <c r="P18" s="35" t="n">
        <f aca="false">INDEX(Monthly!$C$47:$BJ$47,($R$2-1)*12+9)</f>
        <v>-2427.06824999999</v>
      </c>
      <c r="Q18" s="35" t="n">
        <f aca="false">INDEX(Monthly!$C$47:$BJ$47,($R$2-1)*12+10)</f>
        <v>-2438.73491666666</v>
      </c>
      <c r="R18" s="35" t="n">
        <f aca="false">INDEX(Monthly!$C$47:$BJ$47,($R$2-1)*12+11)</f>
        <v>-12300.0420833334</v>
      </c>
      <c r="S18" s="35" t="n">
        <f aca="false">INDEX(Monthly!$C$47:$BJ$47,($R$2-1)*12+12)</f>
        <v>-12311.70875</v>
      </c>
    </row>
    <row r="19" customFormat="false" ht="15" hidden="false" customHeight="false" outlineLevel="0" collapsed="false">
      <c r="A19" s="40" t="s">
        <v>50</v>
      </c>
      <c r="B19" s="41" t="n">
        <f aca="false">'P&amp;L'!B25</f>
        <v>182376.892063492</v>
      </c>
      <c r="C19" s="41" t="n">
        <f aca="false">'P&amp;L'!C25</f>
        <v>380502.318761905</v>
      </c>
      <c r="D19" s="41" t="n">
        <f aca="false">'P&amp;L'!D25</f>
        <v>603436.770778798</v>
      </c>
      <c r="E19" s="41" t="n">
        <f aca="false">'P&amp;L'!E25</f>
        <v>855392.428685951</v>
      </c>
      <c r="F19" s="41" t="n">
        <f aca="false">'P&amp;L'!F25</f>
        <v>1141341.21745895</v>
      </c>
      <c r="H19" s="41" t="n">
        <f aca="false">INDEX(Monthly!$C$48:$BJ$48,($R$2-1)*12+1)</f>
        <v>8801.23294047617</v>
      </c>
      <c r="I19" s="41" t="n">
        <f aca="false">INDEX(Monthly!$C$48:$BJ$48,($R$2-1)*12+2)</f>
        <v>8823.17738492062</v>
      </c>
      <c r="J19" s="41" t="n">
        <f aca="false">INDEX(Monthly!$C$48:$BJ$48,($R$2-1)*12+3)</f>
        <v>8867.0662738095</v>
      </c>
      <c r="K19" s="41" t="n">
        <f aca="false">INDEX(Monthly!$C$48:$BJ$48,($R$2-1)*12+4)</f>
        <v>8910.95516269839</v>
      </c>
      <c r="L19" s="41" t="n">
        <f aca="false">INDEX(Monthly!$C$48:$BJ$48,($R$2-1)*12+5)</f>
        <v>8954.84405158728</v>
      </c>
      <c r="M19" s="41" t="n">
        <f aca="false">INDEX(Monthly!$C$48:$BJ$48,($R$2-1)*12+6)</f>
        <v>8998.73294047617</v>
      </c>
      <c r="N19" s="41" t="n">
        <f aca="false">INDEX(Monthly!$C$48:$BJ$48,($R$2-1)*12+7)</f>
        <v>9042.62182936506</v>
      </c>
      <c r="O19" s="41" t="n">
        <f aca="false">INDEX(Monthly!$C$48:$BJ$48,($R$2-1)*12+8)</f>
        <v>9086.51071825395</v>
      </c>
      <c r="P19" s="41" t="n">
        <f aca="false">INDEX(Monthly!$C$48:$BJ$48,($R$2-1)*12+9)</f>
        <v>9130.39960714284</v>
      </c>
      <c r="Q19" s="41" t="n">
        <f aca="false">INDEX(Monthly!$C$48:$BJ$48,($R$2-1)*12+10)</f>
        <v>9174.28849603172</v>
      </c>
      <c r="R19" s="41" t="n">
        <f aca="false">INDEX(Monthly!$C$48:$BJ$48,($R$2-1)*12+11)</f>
        <v>46271.5868849208</v>
      </c>
      <c r="S19" s="41" t="n">
        <f aca="false">INDEX(Monthly!$C$48:$BJ$48,($R$2-1)*12+12)</f>
        <v>46315.4757738096</v>
      </c>
    </row>
    <row r="20" customFormat="false" ht="15" hidden="false" customHeight="false" outlineLevel="0" collapsed="false">
      <c r="A20" s="38" t="s">
        <v>51</v>
      </c>
      <c r="B20" s="39" t="n">
        <f aca="false">'P&amp;L'!B26</f>
        <v>0.0330695887133773</v>
      </c>
      <c r="C20" s="39" t="n">
        <f aca="false">'P&amp;L'!C26</f>
        <v>0.0530014851933206</v>
      </c>
      <c r="D20" s="39" t="n">
        <f aca="false">'P&amp;L'!D26</f>
        <v>0.0659524382499269</v>
      </c>
      <c r="E20" s="39" t="n">
        <f aca="false">'P&amp;L'!E26</f>
        <v>0.0743823895443697</v>
      </c>
      <c r="F20" s="39" t="n">
        <f aca="false">'P&amp;L'!F26</f>
        <v>0.0796886397916586</v>
      </c>
      <c r="H20" s="39" t="n">
        <f aca="false">IF(H7=0,0,H19/H7)</f>
        <v>0.019873979390194</v>
      </c>
      <c r="I20" s="39" t="n">
        <f aca="false">IF(I7=0,0,I19/I7)</f>
        <v>0.0199235319289767</v>
      </c>
      <c r="J20" s="39" t="n">
        <f aca="false">IF(J7=0,0,J19/J7)</f>
        <v>0.020022637006542</v>
      </c>
      <c r="K20" s="39" t="n">
        <f aca="false">IF(K7=0,0,K19/K7)</f>
        <v>0.0201217420841073</v>
      </c>
      <c r="L20" s="39" t="n">
        <f aca="false">IF(L7=0,0,L19/L7)</f>
        <v>0.0202208471616727</v>
      </c>
      <c r="M20" s="39" t="n">
        <f aca="false">IF(M7=0,0,M19/M7)</f>
        <v>0.020319952239238</v>
      </c>
      <c r="N20" s="39" t="n">
        <f aca="false">IF(N7=0,0,N19/N7)</f>
        <v>0.0204190573168033</v>
      </c>
      <c r="O20" s="39" t="n">
        <f aca="false">IF(O7=0,0,O19/O7)</f>
        <v>0.0205181623943686</v>
      </c>
      <c r="P20" s="39" t="n">
        <f aca="false">IF(P7=0,0,P19/P7)</f>
        <v>0.0206172674719339</v>
      </c>
      <c r="Q20" s="39" t="n">
        <f aca="false">IF(Q7=0,0,Q19/Q7)</f>
        <v>0.0207163725494992</v>
      </c>
      <c r="R20" s="39" t="n">
        <f aca="false">IF(R7=0,0,R19/R7)</f>
        <v>0.0851815975753821</v>
      </c>
      <c r="S20" s="39" t="n">
        <f aca="false">IF(S7=0,0,S19/S7)</f>
        <v>0.0852623928522042</v>
      </c>
    </row>
    <row r="22" customFormat="false" ht="15.75" hidden="false" customHeight="true" outlineLevel="0" collapsed="false">
      <c r="A22" s="7" t="s">
        <v>83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48" t="n">
        <f aca="false">INDEX(Monthly!$C$4:$BJ$4,($R$2-1)*12+1)</f>
        <v>1</v>
      </c>
      <c r="I23" s="48" t="n">
        <f aca="false">INDEX(Monthly!$C$4:$BJ$4,($R$2-1)*12+2)</f>
        <v>2</v>
      </c>
      <c r="J23" s="48" t="n">
        <f aca="false">INDEX(Monthly!$C$4:$BJ$4,($R$2-1)*12+3)</f>
        <v>3</v>
      </c>
      <c r="K23" s="48" t="n">
        <f aca="false">INDEX(Monthly!$C$4:$BJ$4,($R$2-1)*12+4)</f>
        <v>4</v>
      </c>
      <c r="L23" s="48" t="n">
        <f aca="false">INDEX(Monthly!$C$4:$BJ$4,($R$2-1)*12+5)</f>
        <v>5</v>
      </c>
      <c r="M23" s="48" t="n">
        <f aca="false">INDEX(Monthly!$C$4:$BJ$4,($R$2-1)*12+6)</f>
        <v>6</v>
      </c>
      <c r="N23" s="48" t="n">
        <f aca="false">INDEX(Monthly!$C$4:$BJ$4,($R$2-1)*12+7)</f>
        <v>7</v>
      </c>
      <c r="O23" s="48" t="n">
        <f aca="false">INDEX(Monthly!$C$4:$BJ$4,($R$2-1)*12+8)</f>
        <v>8</v>
      </c>
      <c r="P23" s="48" t="n">
        <f aca="false">INDEX(Monthly!$C$4:$BJ$4,($R$2-1)*12+9)</f>
        <v>9</v>
      </c>
      <c r="Q23" s="48" t="n">
        <f aca="false">INDEX(Monthly!$C$4:$BJ$4,($R$2-1)*12+10)</f>
        <v>10</v>
      </c>
      <c r="R23" s="48" t="n">
        <f aca="false">INDEX(Monthly!$C$4:$BJ$4,($R$2-1)*12+11)</f>
        <v>11</v>
      </c>
      <c r="S23" s="48" t="n">
        <f aca="false">INDEX(Monthly!$C$4:$BJ$4,($R$2-1)*12+12)</f>
        <v>12</v>
      </c>
    </row>
    <row r="24" customFormat="false" ht="15" hidden="false" customHeight="false" outlineLevel="0" collapsed="false">
      <c r="A24" s="36" t="s">
        <v>52</v>
      </c>
      <c r="B24" s="37" t="n">
        <f aca="false">'Cash Flow'!B10</f>
        <v>-146060.154365079</v>
      </c>
      <c r="C24" s="37" t="n">
        <f aca="false">'Cash Flow'!C10</f>
        <v>334798.668940476</v>
      </c>
      <c r="D24" s="37" t="n">
        <f aca="false">'Cash Flow'!D10</f>
        <v>557937.428885941</v>
      </c>
      <c r="E24" s="37" t="n">
        <f aca="false">'Cash Flow'!E10</f>
        <v>804972.770106665</v>
      </c>
      <c r="F24" s="37" t="n">
        <f aca="false">'Cash Flow'!F10</f>
        <v>1079551.31685151</v>
      </c>
      <c r="H24" s="37" t="n">
        <f aca="false">INDEX(Monthly!$C$72:$BJ$72,($R$2-1)*12+1)</f>
        <v>-295552.376821429</v>
      </c>
      <c r="I24" s="37" t="n">
        <f aca="false">INDEX(Monthly!$C$72:$BJ$72,($R$2-1)*12+2)</f>
        <v>12989.8440515873</v>
      </c>
      <c r="J24" s="37" t="n">
        <f aca="false">INDEX(Monthly!$C$72:$BJ$72,($R$2-1)*12+3)</f>
        <v>13033.7329404762</v>
      </c>
      <c r="K24" s="37" t="n">
        <f aca="false">INDEX(Monthly!$C$72:$BJ$72,($R$2-1)*12+4)</f>
        <v>13077.6218293651</v>
      </c>
      <c r="L24" s="37" t="n">
        <f aca="false">INDEX(Monthly!$C$72:$BJ$72,($R$2-1)*12+5)</f>
        <v>13121.5107182539</v>
      </c>
      <c r="M24" s="37" t="n">
        <f aca="false">INDEX(Monthly!$C$72:$BJ$72,($R$2-1)*12+6)</f>
        <v>13165.3996071428</v>
      </c>
      <c r="N24" s="37" t="n">
        <f aca="false">INDEX(Monthly!$C$72:$BJ$72,($R$2-1)*12+7)</f>
        <v>13209.2884960317</v>
      </c>
      <c r="O24" s="37" t="n">
        <f aca="false">INDEX(Monthly!$C$72:$BJ$72,($R$2-1)*12+8)</f>
        <v>13253.1773849206</v>
      </c>
      <c r="P24" s="37" t="n">
        <f aca="false">INDEX(Monthly!$C$72:$BJ$72,($R$2-1)*12+9)</f>
        <v>13297.0662738095</v>
      </c>
      <c r="Q24" s="37" t="n">
        <f aca="false">INDEX(Monthly!$C$72:$BJ$72,($R$2-1)*12+10)</f>
        <v>13340.9551626984</v>
      </c>
      <c r="R24" s="37" t="n">
        <f aca="false">INDEX(Monthly!$C$72:$BJ$72,($R$2-1)*12+11)</f>
        <v>-19478.5164484127</v>
      </c>
      <c r="S24" s="37" t="n">
        <f aca="false">INDEX(Monthly!$C$72:$BJ$72,($R$2-1)*12+12)</f>
        <v>50482.1424404763</v>
      </c>
    </row>
    <row r="25" customFormat="false" ht="15" hidden="false" customHeight="false" outlineLevel="0" collapsed="false">
      <c r="A25" s="49" t="s">
        <v>84</v>
      </c>
      <c r="B25" s="35" t="n">
        <f aca="false">'Cash Flow'!B11</f>
        <v>-350000</v>
      </c>
      <c r="C25" s="35" t="n">
        <f aca="false">'Cash Flow'!C11</f>
        <v>-150000</v>
      </c>
      <c r="D25" s="35" t="n">
        <f aca="false">'Cash Flow'!D11</f>
        <v>-150000</v>
      </c>
      <c r="E25" s="35" t="n">
        <f aca="false">'Cash Flow'!E11</f>
        <v>-150000</v>
      </c>
      <c r="F25" s="35" t="n">
        <f aca="false">'Cash Flow'!F11</f>
        <v>-150000</v>
      </c>
      <c r="H25" s="35" t="n">
        <f aca="false">INDEX(Monthly!$C$73:$BJ$73,($R$2-1)*12+1)</f>
        <v>-350000</v>
      </c>
      <c r="I25" s="35" t="n">
        <f aca="false">INDEX(Monthly!$C$73:$BJ$73,($R$2-1)*12+2)</f>
        <v>-0</v>
      </c>
      <c r="J25" s="35" t="n">
        <f aca="false">INDEX(Monthly!$C$73:$BJ$73,($R$2-1)*12+3)</f>
        <v>-0</v>
      </c>
      <c r="K25" s="35" t="n">
        <f aca="false">INDEX(Monthly!$C$73:$BJ$73,($R$2-1)*12+4)</f>
        <v>-0</v>
      </c>
      <c r="L25" s="35" t="n">
        <f aca="false">INDEX(Monthly!$C$73:$BJ$73,($R$2-1)*12+5)</f>
        <v>-0</v>
      </c>
      <c r="M25" s="35" t="n">
        <f aca="false">INDEX(Monthly!$C$73:$BJ$73,($R$2-1)*12+6)</f>
        <v>-0</v>
      </c>
      <c r="N25" s="35" t="n">
        <f aca="false">INDEX(Monthly!$C$73:$BJ$73,($R$2-1)*12+7)</f>
        <v>-0</v>
      </c>
      <c r="O25" s="35" t="n">
        <f aca="false">INDEX(Monthly!$C$73:$BJ$73,($R$2-1)*12+8)</f>
        <v>-0</v>
      </c>
      <c r="P25" s="35" t="n">
        <f aca="false">INDEX(Monthly!$C$73:$BJ$73,($R$2-1)*12+9)</f>
        <v>-0</v>
      </c>
      <c r="Q25" s="35" t="n">
        <f aca="false">INDEX(Monthly!$C$73:$BJ$73,($R$2-1)*12+10)</f>
        <v>-0</v>
      </c>
      <c r="R25" s="35" t="n">
        <f aca="false">INDEX(Monthly!$C$73:$BJ$73,($R$2-1)*12+11)</f>
        <v>-0</v>
      </c>
      <c r="S25" s="35" t="n">
        <f aca="false">INDEX(Monthly!$C$73:$BJ$73,($R$2-1)*12+12)</f>
        <v>-0</v>
      </c>
    </row>
    <row r="26" customFormat="false" ht="15" hidden="false" customHeight="false" outlineLevel="0" collapsed="false">
      <c r="A26" s="49" t="s">
        <v>64</v>
      </c>
      <c r="B26" s="35" t="n">
        <f aca="false">'Cash Flow'!B12</f>
        <v>1500000</v>
      </c>
      <c r="C26" s="35" t="n">
        <f aca="false">'Cash Flow'!C12</f>
        <v>0</v>
      </c>
      <c r="D26" s="35" t="n">
        <f aca="false">'Cash Flow'!D12</f>
        <v>0</v>
      </c>
      <c r="E26" s="35" t="n">
        <f aca="false">'Cash Flow'!E12</f>
        <v>0</v>
      </c>
      <c r="F26" s="35" t="n">
        <f aca="false">'Cash Flow'!F12</f>
        <v>0</v>
      </c>
      <c r="H26" s="35" t="n">
        <f aca="false">INDEX(Monthly!$C$74:$BJ$74,($R$2-1)*12+1)</f>
        <v>1500000</v>
      </c>
      <c r="I26" s="35" t="n">
        <f aca="false">INDEX(Monthly!$C$74:$BJ$74,($R$2-1)*12+2)</f>
        <v>0</v>
      </c>
      <c r="J26" s="35" t="n">
        <f aca="false">INDEX(Monthly!$C$74:$BJ$74,($R$2-1)*12+3)</f>
        <v>0</v>
      </c>
      <c r="K26" s="35" t="n">
        <f aca="false">INDEX(Monthly!$C$74:$BJ$74,($R$2-1)*12+4)</f>
        <v>0</v>
      </c>
      <c r="L26" s="35" t="n">
        <f aca="false">INDEX(Monthly!$C$74:$BJ$74,($R$2-1)*12+5)</f>
        <v>0</v>
      </c>
      <c r="M26" s="35" t="n">
        <f aca="false">INDEX(Monthly!$C$74:$BJ$74,($R$2-1)*12+6)</f>
        <v>0</v>
      </c>
      <c r="N26" s="35" t="n">
        <f aca="false">INDEX(Monthly!$C$74:$BJ$74,($R$2-1)*12+7)</f>
        <v>0</v>
      </c>
      <c r="O26" s="35" t="n">
        <f aca="false">INDEX(Monthly!$C$74:$BJ$74,($R$2-1)*12+8)</f>
        <v>0</v>
      </c>
      <c r="P26" s="35" t="n">
        <f aca="false">INDEX(Monthly!$C$74:$BJ$74,($R$2-1)*12+9)</f>
        <v>0</v>
      </c>
      <c r="Q26" s="35" t="n">
        <f aca="false">INDEX(Monthly!$C$74:$BJ$74,($R$2-1)*12+10)</f>
        <v>0</v>
      </c>
      <c r="R26" s="35" t="n">
        <f aca="false">INDEX(Monthly!$C$74:$BJ$74,($R$2-1)*12+11)</f>
        <v>0</v>
      </c>
      <c r="S26" s="35" t="n">
        <f aca="false">INDEX(Monthly!$C$74:$BJ$74,($R$2-1)*12+12)</f>
        <v>0</v>
      </c>
    </row>
    <row r="27" customFormat="false" ht="15" hidden="false" customHeight="false" outlineLevel="0" collapsed="false">
      <c r="A27" s="49" t="s">
        <v>85</v>
      </c>
      <c r="B27" s="35" t="n">
        <f aca="false">'Cash Flow'!B13</f>
        <v>500000</v>
      </c>
      <c r="C27" s="35" t="n">
        <f aca="false">'Cash Flow'!C13</f>
        <v>0</v>
      </c>
      <c r="D27" s="35" t="n">
        <f aca="false">'Cash Flow'!D13</f>
        <v>0</v>
      </c>
      <c r="E27" s="35" t="n">
        <f aca="false">'Cash Flow'!E13</f>
        <v>0</v>
      </c>
      <c r="F27" s="35" t="n">
        <f aca="false">'Cash Flow'!F13</f>
        <v>0</v>
      </c>
      <c r="H27" s="35" t="n">
        <f aca="false">INDEX(Monthly!$C$59:$BJ$59,($R$2-1)*12+1)</f>
        <v>500000</v>
      </c>
      <c r="I27" s="35" t="n">
        <f aca="false">INDEX(Monthly!$C$59:$BJ$59,($R$2-1)*12+2)</f>
        <v>0</v>
      </c>
      <c r="J27" s="35" t="n">
        <f aca="false">INDEX(Monthly!$C$59:$BJ$59,($R$2-1)*12+3)</f>
        <v>0</v>
      </c>
      <c r="K27" s="35" t="n">
        <f aca="false">INDEX(Monthly!$C$59:$BJ$59,($R$2-1)*12+4)</f>
        <v>0</v>
      </c>
      <c r="L27" s="35" t="n">
        <f aca="false">INDEX(Monthly!$C$59:$BJ$59,($R$2-1)*12+5)</f>
        <v>0</v>
      </c>
      <c r="M27" s="35" t="n">
        <f aca="false">INDEX(Monthly!$C$59:$BJ$59,($R$2-1)*12+6)</f>
        <v>0</v>
      </c>
      <c r="N27" s="35" t="n">
        <f aca="false">INDEX(Monthly!$C$59:$BJ$59,($R$2-1)*12+7)</f>
        <v>0</v>
      </c>
      <c r="O27" s="35" t="n">
        <f aca="false">INDEX(Monthly!$C$59:$BJ$59,($R$2-1)*12+8)</f>
        <v>0</v>
      </c>
      <c r="P27" s="35" t="n">
        <f aca="false">INDEX(Monthly!$C$59:$BJ$59,($R$2-1)*12+9)</f>
        <v>0</v>
      </c>
      <c r="Q27" s="35" t="n">
        <f aca="false">INDEX(Monthly!$C$59:$BJ$59,($R$2-1)*12+10)</f>
        <v>0</v>
      </c>
      <c r="R27" s="35" t="n">
        <f aca="false">INDEX(Monthly!$C$59:$BJ$59,($R$2-1)*12+11)</f>
        <v>0</v>
      </c>
      <c r="S27" s="35" t="n">
        <f aca="false">INDEX(Monthly!$C$59:$BJ$59,($R$2-1)*12+12)</f>
        <v>0</v>
      </c>
    </row>
    <row r="28" customFormat="false" ht="15" hidden="false" customHeight="false" outlineLevel="0" collapsed="false">
      <c r="A28" s="49" t="s">
        <v>86</v>
      </c>
      <c r="B28" s="35" t="n">
        <f aca="false">'Cash Flow'!B14</f>
        <v>-91666.6666666667</v>
      </c>
      <c r="C28" s="35" t="n">
        <f aca="false">'Cash Flow'!C14</f>
        <v>-100000</v>
      </c>
      <c r="D28" s="35" t="n">
        <f aca="false">'Cash Flow'!D14</f>
        <v>-100000</v>
      </c>
      <c r="E28" s="35" t="n">
        <f aca="false">'Cash Flow'!E14</f>
        <v>-100000</v>
      </c>
      <c r="F28" s="35" t="n">
        <f aca="false">'Cash Flow'!F14</f>
        <v>-100000</v>
      </c>
      <c r="H28" s="35" t="n">
        <f aca="false">INDEX(Monthly!$C$60:$BJ$60,($R$2-1)*12+1)</f>
        <v>-0</v>
      </c>
      <c r="I28" s="35" t="n">
        <f aca="false">INDEX(Monthly!$C$60:$BJ$60,($R$2-1)*12+2)</f>
        <v>-8333.33333333333</v>
      </c>
      <c r="J28" s="35" t="n">
        <f aca="false">INDEX(Monthly!$C$60:$BJ$60,($R$2-1)*12+3)</f>
        <v>-8333.33333333333</v>
      </c>
      <c r="K28" s="35" t="n">
        <f aca="false">INDEX(Monthly!$C$60:$BJ$60,($R$2-1)*12+4)</f>
        <v>-8333.33333333333</v>
      </c>
      <c r="L28" s="35" t="n">
        <f aca="false">INDEX(Monthly!$C$60:$BJ$60,($R$2-1)*12+5)</f>
        <v>-8333.33333333333</v>
      </c>
      <c r="M28" s="35" t="n">
        <f aca="false">INDEX(Monthly!$C$60:$BJ$60,($R$2-1)*12+6)</f>
        <v>-8333.33333333333</v>
      </c>
      <c r="N28" s="35" t="n">
        <f aca="false">INDEX(Monthly!$C$60:$BJ$60,($R$2-1)*12+7)</f>
        <v>-8333.33333333333</v>
      </c>
      <c r="O28" s="35" t="n">
        <f aca="false">INDEX(Monthly!$C$60:$BJ$60,($R$2-1)*12+8)</f>
        <v>-8333.33333333333</v>
      </c>
      <c r="P28" s="35" t="n">
        <f aca="false">INDEX(Monthly!$C$60:$BJ$60,($R$2-1)*12+9)</f>
        <v>-8333.33333333333</v>
      </c>
      <c r="Q28" s="35" t="n">
        <f aca="false">INDEX(Monthly!$C$60:$BJ$60,($R$2-1)*12+10)</f>
        <v>-8333.33333333333</v>
      </c>
      <c r="R28" s="35" t="n">
        <f aca="false">INDEX(Monthly!$C$60:$BJ$60,($R$2-1)*12+11)</f>
        <v>-8333.33333333333</v>
      </c>
      <c r="S28" s="35" t="n">
        <f aca="false">INDEX(Monthly!$C$60:$BJ$60,($R$2-1)*12+12)</f>
        <v>-8333.33333333333</v>
      </c>
    </row>
    <row r="29" customFormat="false" ht="15" hidden="false" customHeight="false" outlineLevel="0" collapsed="false">
      <c r="A29" s="36" t="s">
        <v>54</v>
      </c>
      <c r="B29" s="37" t="n">
        <f aca="false">'Cash Flow'!B15</f>
        <v>1908333.33333333</v>
      </c>
      <c r="C29" s="37" t="n">
        <f aca="false">'Cash Flow'!C15</f>
        <v>-100000</v>
      </c>
      <c r="D29" s="37" t="n">
        <f aca="false">'Cash Flow'!D15</f>
        <v>-100000</v>
      </c>
      <c r="E29" s="37" t="n">
        <f aca="false">'Cash Flow'!E15</f>
        <v>-100000</v>
      </c>
      <c r="F29" s="37" t="n">
        <f aca="false">'Cash Flow'!F15</f>
        <v>-100000</v>
      </c>
      <c r="H29" s="37" t="n">
        <f aca="false">INDEX(Monthly!$C$75:$BJ$75,($R$2-1)*12+1)</f>
        <v>2000000</v>
      </c>
      <c r="I29" s="37" t="n">
        <f aca="false">INDEX(Monthly!$C$75:$BJ$75,($R$2-1)*12+2)</f>
        <v>-8333.33333333333</v>
      </c>
      <c r="J29" s="37" t="n">
        <f aca="false">INDEX(Monthly!$C$75:$BJ$75,($R$2-1)*12+3)</f>
        <v>-8333.33333333333</v>
      </c>
      <c r="K29" s="37" t="n">
        <f aca="false">INDEX(Monthly!$C$75:$BJ$75,($R$2-1)*12+4)</f>
        <v>-8333.33333333333</v>
      </c>
      <c r="L29" s="37" t="n">
        <f aca="false">INDEX(Monthly!$C$75:$BJ$75,($R$2-1)*12+5)</f>
        <v>-8333.33333333333</v>
      </c>
      <c r="M29" s="37" t="n">
        <f aca="false">INDEX(Monthly!$C$75:$BJ$75,($R$2-1)*12+6)</f>
        <v>-8333.33333333333</v>
      </c>
      <c r="N29" s="37" t="n">
        <f aca="false">INDEX(Monthly!$C$75:$BJ$75,($R$2-1)*12+7)</f>
        <v>-8333.33333333333</v>
      </c>
      <c r="O29" s="37" t="n">
        <f aca="false">INDEX(Monthly!$C$75:$BJ$75,($R$2-1)*12+8)</f>
        <v>-8333.33333333333</v>
      </c>
      <c r="P29" s="37" t="n">
        <f aca="false">INDEX(Monthly!$C$75:$BJ$75,($R$2-1)*12+9)</f>
        <v>-8333.33333333333</v>
      </c>
      <c r="Q29" s="37" t="n">
        <f aca="false">INDEX(Monthly!$C$75:$BJ$75,($R$2-1)*12+10)</f>
        <v>-8333.33333333333</v>
      </c>
      <c r="R29" s="37" t="n">
        <f aca="false">INDEX(Monthly!$C$75:$BJ$75,($R$2-1)*12+11)</f>
        <v>-8333.33333333333</v>
      </c>
      <c r="S29" s="37" t="n">
        <f aca="false">INDEX(Monthly!$C$75:$BJ$75,($R$2-1)*12+12)</f>
        <v>-8333.33333333333</v>
      </c>
    </row>
    <row r="30" customFormat="false" ht="15" hidden="false" customHeight="false" outlineLevel="0" collapsed="false">
      <c r="A30" s="36" t="s">
        <v>55</v>
      </c>
      <c r="B30" s="37" t="n">
        <f aca="false">'Cash Flow'!B16</f>
        <v>1412273.17896825</v>
      </c>
      <c r="C30" s="37" t="n">
        <f aca="false">'Cash Flow'!C16</f>
        <v>84798.6689404764</v>
      </c>
      <c r="D30" s="37" t="n">
        <f aca="false">'Cash Flow'!D16</f>
        <v>307937.428885941</v>
      </c>
      <c r="E30" s="37" t="n">
        <f aca="false">'Cash Flow'!E16</f>
        <v>554972.770106665</v>
      </c>
      <c r="F30" s="37" t="n">
        <f aca="false">'Cash Flow'!F16</f>
        <v>829551.316851515</v>
      </c>
      <c r="H30" s="37" t="n">
        <f aca="false">INDEX(Monthly!$C$76:$BJ$76,($R$2-1)*12+1)</f>
        <v>1354447.62317857</v>
      </c>
      <c r="I30" s="37" t="n">
        <f aca="false">INDEX(Monthly!$C$76:$BJ$76,($R$2-1)*12+2)</f>
        <v>4656.51071825395</v>
      </c>
      <c r="J30" s="37" t="n">
        <f aca="false">INDEX(Monthly!$C$76:$BJ$76,($R$2-1)*12+3)</f>
        <v>4700.39960714284</v>
      </c>
      <c r="K30" s="37" t="n">
        <f aca="false">INDEX(Monthly!$C$76:$BJ$76,($R$2-1)*12+4)</f>
        <v>4744.28849603173</v>
      </c>
      <c r="L30" s="37" t="n">
        <f aca="false">INDEX(Monthly!$C$76:$BJ$76,($R$2-1)*12+5)</f>
        <v>4788.17738492061</v>
      </c>
      <c r="M30" s="37" t="n">
        <f aca="false">INDEX(Monthly!$C$76:$BJ$76,($R$2-1)*12+6)</f>
        <v>4832.0662738095</v>
      </c>
      <c r="N30" s="37" t="n">
        <f aca="false">INDEX(Monthly!$C$76:$BJ$76,($R$2-1)*12+7)</f>
        <v>4875.95516269839</v>
      </c>
      <c r="O30" s="37" t="n">
        <f aca="false">INDEX(Monthly!$C$76:$BJ$76,($R$2-1)*12+8)</f>
        <v>4919.84405158728</v>
      </c>
      <c r="P30" s="37" t="n">
        <f aca="false">INDEX(Monthly!$C$76:$BJ$76,($R$2-1)*12+9)</f>
        <v>4963.73294047617</v>
      </c>
      <c r="Q30" s="37" t="n">
        <f aca="false">INDEX(Monthly!$C$76:$BJ$76,($R$2-1)*12+10)</f>
        <v>5007.62182936506</v>
      </c>
      <c r="R30" s="37" t="n">
        <f aca="false">INDEX(Monthly!$C$76:$BJ$76,($R$2-1)*12+11)</f>
        <v>-27811.849781746</v>
      </c>
      <c r="S30" s="37" t="n">
        <f aca="false">INDEX(Monthly!$C$76:$BJ$76,($R$2-1)*12+12)</f>
        <v>42148.809107143</v>
      </c>
    </row>
    <row r="31" customFormat="false" ht="15" hidden="false" customHeight="false" outlineLevel="0" collapsed="false">
      <c r="A31" s="40" t="s">
        <v>87</v>
      </c>
      <c r="B31" s="41" t="n">
        <f aca="false">'Cash Flow'!B18</f>
        <v>1412273.17896825</v>
      </c>
      <c r="C31" s="41" t="n">
        <f aca="false">'Cash Flow'!C18</f>
        <v>1497071.84790873</v>
      </c>
      <c r="D31" s="41" t="n">
        <f aca="false">'Cash Flow'!D18</f>
        <v>1805009.27679467</v>
      </c>
      <c r="E31" s="41" t="n">
        <f aca="false">'Cash Flow'!E18</f>
        <v>2359982.04690134</v>
      </c>
      <c r="F31" s="41" t="n">
        <f aca="false">'Cash Flow'!F18</f>
        <v>3189533.36375285</v>
      </c>
      <c r="H31" s="41" t="n">
        <f aca="false">INDEX(Monthly!$C$78:$BJ$78,($R$2-1)*12+1)</f>
        <v>1354447.62317857</v>
      </c>
      <c r="I31" s="41" t="n">
        <f aca="false">INDEX(Monthly!$C$78:$BJ$78,($R$2-1)*12+2)</f>
        <v>1359104.13389683</v>
      </c>
      <c r="J31" s="41" t="n">
        <f aca="false">INDEX(Monthly!$C$78:$BJ$78,($R$2-1)*12+3)</f>
        <v>1363804.53350397</v>
      </c>
      <c r="K31" s="41" t="n">
        <f aca="false">INDEX(Monthly!$C$78:$BJ$78,($R$2-1)*12+4)</f>
        <v>1368548.822</v>
      </c>
      <c r="L31" s="41" t="n">
        <f aca="false">INDEX(Monthly!$C$78:$BJ$78,($R$2-1)*12+5)</f>
        <v>1373336.99938492</v>
      </c>
      <c r="M31" s="41" t="n">
        <f aca="false">INDEX(Monthly!$C$78:$BJ$78,($R$2-1)*12+6)</f>
        <v>1378169.06565873</v>
      </c>
      <c r="N31" s="41" t="n">
        <f aca="false">INDEX(Monthly!$C$78:$BJ$78,($R$2-1)*12+7)</f>
        <v>1383045.02082143</v>
      </c>
      <c r="O31" s="41" t="n">
        <f aca="false">INDEX(Monthly!$C$78:$BJ$78,($R$2-1)*12+8)</f>
        <v>1387964.86487302</v>
      </c>
      <c r="P31" s="41" t="n">
        <f aca="false">INDEX(Monthly!$C$78:$BJ$78,($R$2-1)*12+9)</f>
        <v>1392928.59781349</v>
      </c>
      <c r="Q31" s="41" t="n">
        <f aca="false">INDEX(Monthly!$C$78:$BJ$78,($R$2-1)*12+10)</f>
        <v>1397936.21964286</v>
      </c>
      <c r="R31" s="41" t="n">
        <f aca="false">INDEX(Monthly!$C$78:$BJ$78,($R$2-1)*12+11)</f>
        <v>1370124.36986111</v>
      </c>
      <c r="S31" s="41" t="n">
        <f aca="false">INDEX(Monthly!$C$78:$BJ$78,($R$2-1)*12+12)</f>
        <v>1412273.17896825</v>
      </c>
    </row>
    <row r="39" customFormat="false" ht="15.75" hidden="false" customHeight="true" outlineLevel="0" collapsed="false">
      <c r="A39" s="7" t="s">
        <v>88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48" t="n">
        <f aca="false">INDEX(Monthly!$C$4:$BJ$4,($R$2-1)*12+1)</f>
        <v>1</v>
      </c>
      <c r="I40" s="48" t="n">
        <f aca="false">INDEX(Monthly!$C$4:$BJ$4,($R$2-1)*12+2)</f>
        <v>2</v>
      </c>
      <c r="J40" s="48" t="n">
        <f aca="false">INDEX(Monthly!$C$4:$BJ$4,($R$2-1)*12+3)</f>
        <v>3</v>
      </c>
      <c r="K40" s="48" t="n">
        <f aca="false">INDEX(Monthly!$C$4:$BJ$4,($R$2-1)*12+4)</f>
        <v>4</v>
      </c>
      <c r="L40" s="48" t="n">
        <f aca="false">INDEX(Monthly!$C$4:$BJ$4,($R$2-1)*12+5)</f>
        <v>5</v>
      </c>
      <c r="M40" s="48" t="n">
        <f aca="false">INDEX(Monthly!$C$4:$BJ$4,($R$2-1)*12+6)</f>
        <v>6</v>
      </c>
      <c r="N40" s="48" t="n">
        <f aca="false">INDEX(Monthly!$C$4:$BJ$4,($R$2-1)*12+7)</f>
        <v>7</v>
      </c>
      <c r="O40" s="48" t="n">
        <f aca="false">INDEX(Monthly!$C$4:$BJ$4,($R$2-1)*12+8)</f>
        <v>8</v>
      </c>
      <c r="P40" s="48" t="n">
        <f aca="false">INDEX(Monthly!$C$4:$BJ$4,($R$2-1)*12+9)</f>
        <v>9</v>
      </c>
      <c r="Q40" s="48" t="n">
        <f aca="false">INDEX(Monthly!$C$4:$BJ$4,($R$2-1)*12+10)</f>
        <v>10</v>
      </c>
      <c r="R40" s="48" t="n">
        <f aca="false">INDEX(Monthly!$C$4:$BJ$4,($R$2-1)*12+11)</f>
        <v>11</v>
      </c>
      <c r="S40" s="48" t="n">
        <f aca="false">INDEX(Monthly!$C$4:$BJ$4,($R$2-1)*12+12)</f>
        <v>12</v>
      </c>
    </row>
    <row r="41" customFormat="false" ht="15" hidden="false" customHeight="false" outlineLevel="0" collapsed="false">
      <c r="A41" s="49" t="s">
        <v>89</v>
      </c>
      <c r="B41" s="35" t="n">
        <f aca="false">'Balance Sheet'!B5</f>
        <v>1412273.17896825</v>
      </c>
      <c r="C41" s="35" t="n">
        <f aca="false">'Balance Sheet'!C5</f>
        <v>1497071.84790873</v>
      </c>
      <c r="D41" s="35" t="n">
        <f aca="false">'Balance Sheet'!D5</f>
        <v>1805009.27679467</v>
      </c>
      <c r="E41" s="35" t="n">
        <f aca="false">'Balance Sheet'!E5</f>
        <v>2359982.04690134</v>
      </c>
      <c r="F41" s="35" t="n">
        <f aca="false">'Balance Sheet'!F5</f>
        <v>3189533.36375285</v>
      </c>
      <c r="H41" s="35" t="n">
        <f aca="false">INDEX(Monthly!$C$78:$BJ$78,($R$2-1)*12+1)</f>
        <v>1354447.62317857</v>
      </c>
      <c r="I41" s="35" t="n">
        <f aca="false">INDEX(Monthly!$C$78:$BJ$78,($R$2-1)*12+2)</f>
        <v>1359104.13389683</v>
      </c>
      <c r="J41" s="35" t="n">
        <f aca="false">INDEX(Monthly!$C$78:$BJ$78,($R$2-1)*12+3)</f>
        <v>1363804.53350397</v>
      </c>
      <c r="K41" s="35" t="n">
        <f aca="false">INDEX(Monthly!$C$78:$BJ$78,($R$2-1)*12+4)</f>
        <v>1368548.822</v>
      </c>
      <c r="L41" s="35" t="n">
        <f aca="false">INDEX(Monthly!$C$78:$BJ$78,($R$2-1)*12+5)</f>
        <v>1373336.99938492</v>
      </c>
      <c r="M41" s="35" t="n">
        <f aca="false">INDEX(Monthly!$C$78:$BJ$78,($R$2-1)*12+6)</f>
        <v>1378169.06565873</v>
      </c>
      <c r="N41" s="35" t="n">
        <f aca="false">INDEX(Monthly!$C$78:$BJ$78,($R$2-1)*12+7)</f>
        <v>1383045.02082143</v>
      </c>
      <c r="O41" s="35" t="n">
        <f aca="false">INDEX(Monthly!$C$78:$BJ$78,($R$2-1)*12+8)</f>
        <v>1387964.86487302</v>
      </c>
      <c r="P41" s="35" t="n">
        <f aca="false">INDEX(Monthly!$C$78:$BJ$78,($R$2-1)*12+9)</f>
        <v>1392928.59781349</v>
      </c>
      <c r="Q41" s="35" t="n">
        <f aca="false">INDEX(Monthly!$C$78:$BJ$78,($R$2-1)*12+10)</f>
        <v>1397936.21964286</v>
      </c>
      <c r="R41" s="35" t="n">
        <f aca="false">INDEX(Monthly!$C$78:$BJ$78,($R$2-1)*12+11)</f>
        <v>1370124.36986111</v>
      </c>
      <c r="S41" s="35" t="n">
        <f aca="false">INDEX(Monthly!$C$78:$BJ$78,($R$2-1)*12+12)</f>
        <v>1412273.17896825</v>
      </c>
    </row>
    <row r="42" customFormat="false" ht="15" hidden="false" customHeight="false" outlineLevel="0" collapsed="false">
      <c r="A42" s="49" t="s">
        <v>90</v>
      </c>
      <c r="B42" s="35" t="n">
        <f aca="false">'Balance Sheet'!B6</f>
        <v>36214.0714285714</v>
      </c>
      <c r="C42" s="35" t="n">
        <f aca="false">'Balance Sheet'!C6</f>
        <v>47422.8964285714</v>
      </c>
      <c r="D42" s="35" t="n">
        <f aca="false">'Balance Sheet'!D6</f>
        <v>60662.7514285714</v>
      </c>
      <c r="E42" s="35" t="n">
        <f aca="false">'Balance Sheet'!E6</f>
        <v>76424.0311285714</v>
      </c>
      <c r="F42" s="35" t="n">
        <f aca="false">'Balance Sheet'!F6</f>
        <v>95323.9532646214</v>
      </c>
      <c r="H42" s="35" t="n">
        <f aca="false">INDEX(Monthly!$C$64:$BJ$64,($R$2-1)*12+1)</f>
        <v>29523.4714285714</v>
      </c>
      <c r="I42" s="35" t="n">
        <f aca="false">INDEX(Monthly!$C$64:$BJ$64,($R$2-1)*12+2)</f>
        <v>29523.4714285714</v>
      </c>
      <c r="J42" s="35" t="n">
        <f aca="false">INDEX(Monthly!$C$64:$BJ$64,($R$2-1)*12+3)</f>
        <v>29523.4714285714</v>
      </c>
      <c r="K42" s="35" t="n">
        <f aca="false">INDEX(Monthly!$C$64:$BJ$64,($R$2-1)*12+4)</f>
        <v>29523.4714285714</v>
      </c>
      <c r="L42" s="35" t="n">
        <f aca="false">INDEX(Monthly!$C$64:$BJ$64,($R$2-1)*12+5)</f>
        <v>29523.4714285714</v>
      </c>
      <c r="M42" s="35" t="n">
        <f aca="false">INDEX(Monthly!$C$64:$BJ$64,($R$2-1)*12+6)</f>
        <v>29523.4714285714</v>
      </c>
      <c r="N42" s="35" t="n">
        <f aca="false">INDEX(Monthly!$C$64:$BJ$64,($R$2-1)*12+7)</f>
        <v>29523.4714285714</v>
      </c>
      <c r="O42" s="35" t="n">
        <f aca="false">INDEX(Monthly!$C$64:$BJ$64,($R$2-1)*12+8)</f>
        <v>29523.4714285714</v>
      </c>
      <c r="P42" s="35" t="n">
        <f aca="false">INDEX(Monthly!$C$64:$BJ$64,($R$2-1)*12+9)</f>
        <v>29523.4714285714</v>
      </c>
      <c r="Q42" s="35" t="n">
        <f aca="false">INDEX(Monthly!$C$64:$BJ$64,($R$2-1)*12+10)</f>
        <v>29523.4714285714</v>
      </c>
      <c r="R42" s="35" t="n">
        <f aca="false">INDEX(Monthly!$C$64:$BJ$64,($R$2-1)*12+11)</f>
        <v>36214.0714285714</v>
      </c>
      <c r="S42" s="35" t="n">
        <f aca="false">INDEX(Monthly!$C$64:$BJ$64,($R$2-1)*12+12)</f>
        <v>36214.0714285714</v>
      </c>
    </row>
    <row r="43" customFormat="false" ht="15" hidden="false" customHeight="false" outlineLevel="0" collapsed="false">
      <c r="A43" s="49" t="s">
        <v>91</v>
      </c>
      <c r="B43" s="35" t="n">
        <f aca="false">'Balance Sheet'!B7</f>
        <v>570371.625</v>
      </c>
      <c r="C43" s="35" t="n">
        <f aca="false">'Balance Sheet'!C7</f>
        <v>746910.61875</v>
      </c>
      <c r="D43" s="35" t="n">
        <f aca="false">'Balance Sheet'!D7</f>
        <v>955438.335</v>
      </c>
      <c r="E43" s="35" t="n">
        <f aca="false">'Balance Sheet'!E7</f>
        <v>1203678.490275</v>
      </c>
      <c r="F43" s="35" t="n">
        <f aca="false">'Balance Sheet'!F7</f>
        <v>1501352.26391779</v>
      </c>
      <c r="H43" s="35" t="n">
        <f aca="false">INDEX(Monthly!$C$65:$BJ$65,($R$2-1)*12+1)</f>
        <v>464994.675</v>
      </c>
      <c r="I43" s="35" t="n">
        <f aca="false">INDEX(Monthly!$C$65:$BJ$65,($R$2-1)*12+2)</f>
        <v>464994.675</v>
      </c>
      <c r="J43" s="35" t="n">
        <f aca="false">INDEX(Monthly!$C$65:$BJ$65,($R$2-1)*12+3)</f>
        <v>464994.675</v>
      </c>
      <c r="K43" s="35" t="n">
        <f aca="false">INDEX(Monthly!$C$65:$BJ$65,($R$2-1)*12+4)</f>
        <v>464994.675</v>
      </c>
      <c r="L43" s="35" t="n">
        <f aca="false">INDEX(Monthly!$C$65:$BJ$65,($R$2-1)*12+5)</f>
        <v>464994.675</v>
      </c>
      <c r="M43" s="35" t="n">
        <f aca="false">INDEX(Monthly!$C$65:$BJ$65,($R$2-1)*12+6)</f>
        <v>464994.675</v>
      </c>
      <c r="N43" s="35" t="n">
        <f aca="false">INDEX(Monthly!$C$65:$BJ$65,($R$2-1)*12+7)</f>
        <v>464994.675</v>
      </c>
      <c r="O43" s="35" t="n">
        <f aca="false">INDEX(Monthly!$C$65:$BJ$65,($R$2-1)*12+8)</f>
        <v>464994.675</v>
      </c>
      <c r="P43" s="35" t="n">
        <f aca="false">INDEX(Monthly!$C$65:$BJ$65,($R$2-1)*12+9)</f>
        <v>464994.675</v>
      </c>
      <c r="Q43" s="35" t="n">
        <f aca="false">INDEX(Monthly!$C$65:$BJ$65,($R$2-1)*12+10)</f>
        <v>464994.675</v>
      </c>
      <c r="R43" s="35" t="n">
        <f aca="false">INDEX(Monthly!$C$65:$BJ$65,($R$2-1)*12+11)</f>
        <v>570371.625</v>
      </c>
      <c r="S43" s="35" t="n">
        <f aca="false">INDEX(Monthly!$C$65:$BJ$65,($R$2-1)*12+12)</f>
        <v>570371.625</v>
      </c>
    </row>
    <row r="44" customFormat="false" ht="15" hidden="false" customHeight="false" outlineLevel="0" collapsed="false">
      <c r="A44" s="49" t="s">
        <v>92</v>
      </c>
      <c r="B44" s="35" t="n">
        <f aca="false">'Balance Sheet'!B8</f>
        <v>300000</v>
      </c>
      <c r="C44" s="35" t="n">
        <f aca="false">'Balance Sheet'!C8</f>
        <v>378571.428571429</v>
      </c>
      <c r="D44" s="35" t="n">
        <f aca="false">'Balance Sheet'!D8</f>
        <v>435714.285714286</v>
      </c>
      <c r="E44" s="35" t="n">
        <f aca="false">'Balance Sheet'!E8</f>
        <v>471428.571428572</v>
      </c>
      <c r="F44" s="35" t="n">
        <f aca="false">'Balance Sheet'!F8</f>
        <v>485714.285714286</v>
      </c>
      <c r="H44" s="35" t="n">
        <f aca="false">INDEX(Monthly!$C$55:$BJ$55,($R$2-1)*12+1)</f>
        <v>345833.333333333</v>
      </c>
      <c r="I44" s="35" t="n">
        <f aca="false">INDEX(Monthly!$C$55:$BJ$55,($R$2-1)*12+2)</f>
        <v>341666.666666667</v>
      </c>
      <c r="J44" s="35" t="n">
        <f aca="false">INDEX(Monthly!$C$55:$BJ$55,($R$2-1)*12+3)</f>
        <v>337500</v>
      </c>
      <c r="K44" s="35" t="n">
        <f aca="false">INDEX(Monthly!$C$55:$BJ$55,($R$2-1)*12+4)</f>
        <v>333333.333333333</v>
      </c>
      <c r="L44" s="35" t="n">
        <f aca="false">INDEX(Monthly!$C$55:$BJ$55,($R$2-1)*12+5)</f>
        <v>329166.666666667</v>
      </c>
      <c r="M44" s="35" t="n">
        <f aca="false">INDEX(Monthly!$C$55:$BJ$55,($R$2-1)*12+6)</f>
        <v>325000</v>
      </c>
      <c r="N44" s="35" t="n">
        <f aca="false">INDEX(Monthly!$C$55:$BJ$55,($R$2-1)*12+7)</f>
        <v>320833.333333333</v>
      </c>
      <c r="O44" s="35" t="n">
        <f aca="false">INDEX(Monthly!$C$55:$BJ$55,($R$2-1)*12+8)</f>
        <v>316666.666666667</v>
      </c>
      <c r="P44" s="35" t="n">
        <f aca="false">INDEX(Monthly!$C$55:$BJ$55,($R$2-1)*12+9)</f>
        <v>312500</v>
      </c>
      <c r="Q44" s="35" t="n">
        <f aca="false">INDEX(Monthly!$C$55:$BJ$55,($R$2-1)*12+10)</f>
        <v>308333.333333333</v>
      </c>
      <c r="R44" s="35" t="n">
        <f aca="false">INDEX(Monthly!$C$55:$BJ$55,($R$2-1)*12+11)</f>
        <v>304166.666666667</v>
      </c>
      <c r="S44" s="35" t="n">
        <f aca="false">INDEX(Monthly!$C$55:$BJ$55,($R$2-1)*12+12)</f>
        <v>300000</v>
      </c>
    </row>
    <row r="45" customFormat="false" ht="15" hidden="false" customHeight="false" outlineLevel="0" collapsed="false">
      <c r="A45" s="36" t="s">
        <v>93</v>
      </c>
      <c r="B45" s="37" t="n">
        <f aca="false">'Balance Sheet'!B9</f>
        <v>2318858.87539683</v>
      </c>
      <c r="C45" s="37" t="n">
        <f aca="false">'Balance Sheet'!C9</f>
        <v>2669976.79165873</v>
      </c>
      <c r="D45" s="37" t="n">
        <f aca="false">'Balance Sheet'!D9</f>
        <v>3256824.64893753</v>
      </c>
      <c r="E45" s="37" t="n">
        <f aca="false">'Balance Sheet'!E9</f>
        <v>4111513.13973348</v>
      </c>
      <c r="F45" s="37" t="n">
        <f aca="false">'Balance Sheet'!F9</f>
        <v>5271923.86664955</v>
      </c>
      <c r="H45" s="37" t="n">
        <f aca="false">INDEX(Monthly!$C$92:$BJ$92,($R$2-1)*12+1)</f>
        <v>2194799.10294048</v>
      </c>
      <c r="I45" s="37" t="n">
        <f aca="false">INDEX(Monthly!$C$92:$BJ$92,($R$2-1)*12+2)</f>
        <v>2195288.94699206</v>
      </c>
      <c r="J45" s="37" t="n">
        <f aca="false">INDEX(Monthly!$C$92:$BJ$92,($R$2-1)*12+3)</f>
        <v>2195822.67993254</v>
      </c>
      <c r="K45" s="37" t="n">
        <f aca="false">INDEX(Monthly!$C$92:$BJ$92,($R$2-1)*12+4)</f>
        <v>2196400.3017619</v>
      </c>
      <c r="L45" s="37" t="n">
        <f aca="false">INDEX(Monthly!$C$92:$BJ$92,($R$2-1)*12+5)</f>
        <v>2197021.81248016</v>
      </c>
      <c r="M45" s="37" t="n">
        <f aca="false">INDEX(Monthly!$C$92:$BJ$92,($R$2-1)*12+6)</f>
        <v>2197687.2120873</v>
      </c>
      <c r="N45" s="37" t="n">
        <f aca="false">INDEX(Monthly!$C$92:$BJ$92,($R$2-1)*12+7)</f>
        <v>2198396.50058333</v>
      </c>
      <c r="O45" s="37" t="n">
        <f aca="false">INDEX(Monthly!$C$92:$BJ$92,($R$2-1)*12+8)</f>
        <v>2199149.67796825</v>
      </c>
      <c r="P45" s="37" t="n">
        <f aca="false">INDEX(Monthly!$C$92:$BJ$92,($R$2-1)*12+9)</f>
        <v>2199946.74424206</v>
      </c>
      <c r="Q45" s="37" t="n">
        <f aca="false">INDEX(Monthly!$C$92:$BJ$92,($R$2-1)*12+10)</f>
        <v>2200787.69940476</v>
      </c>
      <c r="R45" s="37" t="n">
        <f aca="false">INDEX(Monthly!$C$92:$BJ$92,($R$2-1)*12+11)</f>
        <v>2280876.73295635</v>
      </c>
      <c r="S45" s="37" t="n">
        <f aca="false">INDEX(Monthly!$C$92:$BJ$92,($R$2-1)*12+12)</f>
        <v>2318858.87539683</v>
      </c>
    </row>
    <row r="46" customFormat="false" ht="15" hidden="false" customHeight="false" outlineLevel="0" collapsed="false">
      <c r="A46" s="49" t="s">
        <v>94</v>
      </c>
      <c r="B46" s="35" t="n">
        <f aca="false">'Balance Sheet'!B10</f>
        <v>228148.65</v>
      </c>
      <c r="C46" s="35" t="n">
        <f aca="false">'Balance Sheet'!C10</f>
        <v>298764.2475</v>
      </c>
      <c r="D46" s="35" t="n">
        <f aca="false">'Balance Sheet'!D10</f>
        <v>382175.334</v>
      </c>
      <c r="E46" s="35" t="n">
        <f aca="false">'Balance Sheet'!E10</f>
        <v>481471.39611</v>
      </c>
      <c r="F46" s="35" t="n">
        <f aca="false">'Balance Sheet'!F10</f>
        <v>600540.905567115</v>
      </c>
      <c r="H46" s="35" t="n">
        <f aca="false">INDEX(Monthly!$C$66:$BJ$66,($R$2-1)*12+1)</f>
        <v>185997.87</v>
      </c>
      <c r="I46" s="35" t="n">
        <f aca="false">INDEX(Monthly!$C$66:$BJ$66,($R$2-1)*12+2)</f>
        <v>185997.87</v>
      </c>
      <c r="J46" s="35" t="n">
        <f aca="false">INDEX(Monthly!$C$66:$BJ$66,($R$2-1)*12+3)</f>
        <v>185997.87</v>
      </c>
      <c r="K46" s="35" t="n">
        <f aca="false">INDEX(Monthly!$C$66:$BJ$66,($R$2-1)*12+4)</f>
        <v>185997.87</v>
      </c>
      <c r="L46" s="35" t="n">
        <f aca="false">INDEX(Monthly!$C$66:$BJ$66,($R$2-1)*12+5)</f>
        <v>185997.87</v>
      </c>
      <c r="M46" s="35" t="n">
        <f aca="false">INDEX(Monthly!$C$66:$BJ$66,($R$2-1)*12+6)</f>
        <v>185997.87</v>
      </c>
      <c r="N46" s="35" t="n">
        <f aca="false">INDEX(Monthly!$C$66:$BJ$66,($R$2-1)*12+7)</f>
        <v>185997.87</v>
      </c>
      <c r="O46" s="35" t="n">
        <f aca="false">INDEX(Monthly!$C$66:$BJ$66,($R$2-1)*12+8)</f>
        <v>185997.87</v>
      </c>
      <c r="P46" s="35" t="n">
        <f aca="false">INDEX(Monthly!$C$66:$BJ$66,($R$2-1)*12+9)</f>
        <v>185997.87</v>
      </c>
      <c r="Q46" s="35" t="n">
        <f aca="false">INDEX(Monthly!$C$66:$BJ$66,($R$2-1)*12+10)</f>
        <v>185997.87</v>
      </c>
      <c r="R46" s="35" t="n">
        <f aca="false">INDEX(Monthly!$C$66:$BJ$66,($R$2-1)*12+11)</f>
        <v>228148.65</v>
      </c>
      <c r="S46" s="35" t="n">
        <f aca="false">INDEX(Monthly!$C$66:$BJ$66,($R$2-1)*12+12)</f>
        <v>228148.65</v>
      </c>
    </row>
    <row r="47" customFormat="false" ht="15" hidden="false" customHeight="false" outlineLevel="0" collapsed="false">
      <c r="A47" s="49" t="s">
        <v>95</v>
      </c>
      <c r="B47" s="35" t="n">
        <f aca="false">'Balance Sheet'!B11</f>
        <v>408333.333333334</v>
      </c>
      <c r="C47" s="35" t="n">
        <f aca="false">'Balance Sheet'!C11</f>
        <v>308333.333333334</v>
      </c>
      <c r="D47" s="35" t="n">
        <f aca="false">'Balance Sheet'!D11</f>
        <v>208333.333333334</v>
      </c>
      <c r="E47" s="35" t="n">
        <f aca="false">'Balance Sheet'!E11</f>
        <v>108333.333333334</v>
      </c>
      <c r="F47" s="35" t="n">
        <f aca="false">'Balance Sheet'!F11</f>
        <v>8333.33333333375</v>
      </c>
      <c r="H47" s="35" t="n">
        <f aca="false">INDEX(Monthly!$C$61:$BJ$61,($R$2-1)*12+1)</f>
        <v>500000</v>
      </c>
      <c r="I47" s="35" t="n">
        <f aca="false">INDEX(Monthly!$C$61:$BJ$61,($R$2-1)*12+2)</f>
        <v>491666.666666667</v>
      </c>
      <c r="J47" s="35" t="n">
        <f aca="false">INDEX(Monthly!$C$61:$BJ$61,($R$2-1)*12+3)</f>
        <v>483333.333333333</v>
      </c>
      <c r="K47" s="35" t="n">
        <f aca="false">INDEX(Monthly!$C$61:$BJ$61,($R$2-1)*12+4)</f>
        <v>475000</v>
      </c>
      <c r="L47" s="35" t="n">
        <f aca="false">INDEX(Monthly!$C$61:$BJ$61,($R$2-1)*12+5)</f>
        <v>466666.666666667</v>
      </c>
      <c r="M47" s="35" t="n">
        <f aca="false">INDEX(Monthly!$C$61:$BJ$61,($R$2-1)*12+6)</f>
        <v>458333.333333333</v>
      </c>
      <c r="N47" s="35" t="n">
        <f aca="false">INDEX(Monthly!$C$61:$BJ$61,($R$2-1)*12+7)</f>
        <v>450000</v>
      </c>
      <c r="O47" s="35" t="n">
        <f aca="false">INDEX(Monthly!$C$61:$BJ$61,($R$2-1)*12+8)</f>
        <v>441666.666666667</v>
      </c>
      <c r="P47" s="35" t="n">
        <f aca="false">INDEX(Monthly!$C$61:$BJ$61,($R$2-1)*12+9)</f>
        <v>433333.333333334</v>
      </c>
      <c r="Q47" s="35" t="n">
        <f aca="false">INDEX(Monthly!$C$61:$BJ$61,($R$2-1)*12+10)</f>
        <v>425000</v>
      </c>
      <c r="R47" s="35" t="n">
        <f aca="false">INDEX(Monthly!$C$61:$BJ$61,($R$2-1)*12+11)</f>
        <v>416666.666666667</v>
      </c>
      <c r="S47" s="35" t="n">
        <f aca="false">INDEX(Monthly!$C$61:$BJ$61,($R$2-1)*12+12)</f>
        <v>408333.333333334</v>
      </c>
    </row>
    <row r="48" customFormat="false" ht="15" hidden="false" customHeight="false" outlineLevel="0" collapsed="false">
      <c r="A48" s="36" t="s">
        <v>96</v>
      </c>
      <c r="B48" s="37" t="n">
        <f aca="false">'Balance Sheet'!B12</f>
        <v>636481.983333334</v>
      </c>
      <c r="C48" s="37" t="n">
        <f aca="false">'Balance Sheet'!C12</f>
        <v>607097.580833334</v>
      </c>
      <c r="D48" s="37" t="n">
        <f aca="false">'Balance Sheet'!D12</f>
        <v>590508.667333334</v>
      </c>
      <c r="E48" s="37" t="n">
        <f aca="false">'Balance Sheet'!E12</f>
        <v>589804.729443334</v>
      </c>
      <c r="F48" s="37" t="n">
        <f aca="false">'Balance Sheet'!F12</f>
        <v>608874.238900449</v>
      </c>
      <c r="H48" s="37" t="n">
        <f aca="false">INDEX(Monthly!$C$93:$BJ$93,($R$2-1)*12+1)</f>
        <v>685997.87</v>
      </c>
      <c r="I48" s="37" t="n">
        <f aca="false">INDEX(Monthly!$C$93:$BJ$93,($R$2-1)*12+2)</f>
        <v>677664.536666667</v>
      </c>
      <c r="J48" s="37" t="n">
        <f aca="false">INDEX(Monthly!$C$93:$BJ$93,($R$2-1)*12+3)</f>
        <v>669331.203333333</v>
      </c>
      <c r="K48" s="37" t="n">
        <f aca="false">INDEX(Monthly!$C$93:$BJ$93,($R$2-1)*12+4)</f>
        <v>660997.87</v>
      </c>
      <c r="L48" s="37" t="n">
        <f aca="false">INDEX(Monthly!$C$93:$BJ$93,($R$2-1)*12+5)</f>
        <v>652664.536666667</v>
      </c>
      <c r="M48" s="37" t="n">
        <f aca="false">INDEX(Monthly!$C$93:$BJ$93,($R$2-1)*12+6)</f>
        <v>644331.203333333</v>
      </c>
      <c r="N48" s="37" t="n">
        <f aca="false">INDEX(Monthly!$C$93:$BJ$93,($R$2-1)*12+7)</f>
        <v>635997.87</v>
      </c>
      <c r="O48" s="37" t="n">
        <f aca="false">INDEX(Monthly!$C$93:$BJ$93,($R$2-1)*12+8)</f>
        <v>627664.536666667</v>
      </c>
      <c r="P48" s="37" t="n">
        <f aca="false">INDEX(Monthly!$C$93:$BJ$93,($R$2-1)*12+9)</f>
        <v>619331.203333334</v>
      </c>
      <c r="Q48" s="37" t="n">
        <f aca="false">INDEX(Monthly!$C$93:$BJ$93,($R$2-1)*12+10)</f>
        <v>610997.87</v>
      </c>
      <c r="R48" s="37" t="n">
        <f aca="false">INDEX(Monthly!$C$93:$BJ$93,($R$2-1)*12+11)</f>
        <v>644815.316666667</v>
      </c>
      <c r="S48" s="37" t="n">
        <f aca="false">INDEX(Monthly!$C$93:$BJ$93,($R$2-1)*12+12)</f>
        <v>636481.983333334</v>
      </c>
    </row>
    <row r="49" customFormat="false" ht="15" hidden="false" customHeight="false" outlineLevel="0" collapsed="false">
      <c r="A49" s="49" t="s">
        <v>97</v>
      </c>
      <c r="B49" s="35" t="n">
        <f aca="false">'Balance Sheet'!B13</f>
        <v>1500000</v>
      </c>
      <c r="C49" s="35" t="n">
        <f aca="false">'Balance Sheet'!C13</f>
        <v>1500000</v>
      </c>
      <c r="D49" s="35" t="n">
        <f aca="false">'Balance Sheet'!D13</f>
        <v>1500000</v>
      </c>
      <c r="E49" s="35" t="n">
        <f aca="false">'Balance Sheet'!E13</f>
        <v>1500000</v>
      </c>
      <c r="F49" s="35" t="n">
        <f aca="false">'Balance Sheet'!F13</f>
        <v>1500000</v>
      </c>
      <c r="H49" s="35" t="n">
        <f aca="false">INDEX(Monthly!$C$90:$BJ$90,($R$2-1)*12+1)</f>
        <v>1500000</v>
      </c>
      <c r="I49" s="35" t="n">
        <f aca="false">INDEX(Monthly!$C$90:$BJ$90,($R$2-1)*12+2)</f>
        <v>1500000</v>
      </c>
      <c r="J49" s="35" t="n">
        <f aca="false">INDEX(Monthly!$C$90:$BJ$90,($R$2-1)*12+3)</f>
        <v>1500000</v>
      </c>
      <c r="K49" s="35" t="n">
        <f aca="false">INDEX(Monthly!$C$90:$BJ$90,($R$2-1)*12+4)</f>
        <v>1500000</v>
      </c>
      <c r="L49" s="35" t="n">
        <f aca="false">INDEX(Monthly!$C$90:$BJ$90,($R$2-1)*12+5)</f>
        <v>1500000</v>
      </c>
      <c r="M49" s="35" t="n">
        <f aca="false">INDEX(Monthly!$C$90:$BJ$90,($R$2-1)*12+6)</f>
        <v>1500000</v>
      </c>
      <c r="N49" s="35" t="n">
        <f aca="false">INDEX(Monthly!$C$90:$BJ$90,($R$2-1)*12+7)</f>
        <v>1500000</v>
      </c>
      <c r="O49" s="35" t="n">
        <f aca="false">INDEX(Monthly!$C$90:$BJ$90,($R$2-1)*12+8)</f>
        <v>1500000</v>
      </c>
      <c r="P49" s="35" t="n">
        <f aca="false">INDEX(Monthly!$C$90:$BJ$90,($R$2-1)*12+9)</f>
        <v>1500000</v>
      </c>
      <c r="Q49" s="35" t="n">
        <f aca="false">INDEX(Monthly!$C$90:$BJ$90,($R$2-1)*12+10)</f>
        <v>1500000</v>
      </c>
      <c r="R49" s="35" t="n">
        <f aca="false">INDEX(Monthly!$C$90:$BJ$90,($R$2-1)*12+11)</f>
        <v>1500000</v>
      </c>
      <c r="S49" s="35" t="n">
        <f aca="false">INDEX(Monthly!$C$90:$BJ$90,($R$2-1)*12+12)</f>
        <v>1500000</v>
      </c>
    </row>
    <row r="50" customFormat="false" ht="15" hidden="false" customHeight="false" outlineLevel="0" collapsed="false">
      <c r="A50" s="49" t="s">
        <v>98</v>
      </c>
      <c r="B50" s="35" t="n">
        <f aca="false">'Balance Sheet'!B14</f>
        <v>182376.892063492</v>
      </c>
      <c r="C50" s="35" t="n">
        <f aca="false">'Balance Sheet'!C14</f>
        <v>562879.210825397</v>
      </c>
      <c r="D50" s="35" t="n">
        <f aca="false">'Balance Sheet'!D14</f>
        <v>1166315.9816042</v>
      </c>
      <c r="E50" s="35" t="n">
        <f aca="false">'Balance Sheet'!E14</f>
        <v>2021708.41029015</v>
      </c>
      <c r="F50" s="35" t="n">
        <f aca="false">'Balance Sheet'!F14</f>
        <v>3163049.6277491</v>
      </c>
      <c r="H50" s="35" t="n">
        <f aca="false">INDEX(Monthly!$C$91:$BJ$91,($R$2-1)*12+1)</f>
        <v>8801.23294047617</v>
      </c>
      <c r="I50" s="35" t="n">
        <f aca="false">INDEX(Monthly!$C$91:$BJ$91,($R$2-1)*12+2)</f>
        <v>17624.4103253968</v>
      </c>
      <c r="J50" s="35" t="n">
        <f aca="false">INDEX(Monthly!$C$91:$BJ$91,($R$2-1)*12+3)</f>
        <v>26491.4765992063</v>
      </c>
      <c r="K50" s="35" t="n">
        <f aca="false">INDEX(Monthly!$C$91:$BJ$91,($R$2-1)*12+4)</f>
        <v>35402.4317619047</v>
      </c>
      <c r="L50" s="35" t="n">
        <f aca="false">INDEX(Monthly!$C$91:$BJ$91,($R$2-1)*12+5)</f>
        <v>44357.275813492</v>
      </c>
      <c r="M50" s="35" t="n">
        <f aca="false">INDEX(Monthly!$C$91:$BJ$91,($R$2-1)*12+6)</f>
        <v>53356.0087539681</v>
      </c>
      <c r="N50" s="35" t="n">
        <f aca="false">INDEX(Monthly!$C$91:$BJ$91,($R$2-1)*12+7)</f>
        <v>62398.6305833332</v>
      </c>
      <c r="O50" s="35" t="n">
        <f aca="false">INDEX(Monthly!$C$91:$BJ$91,($R$2-1)*12+8)</f>
        <v>71485.1413015871</v>
      </c>
      <c r="P50" s="35" t="n">
        <f aca="false">INDEX(Monthly!$C$91:$BJ$91,($R$2-1)*12+9)</f>
        <v>80615.54090873</v>
      </c>
      <c r="Q50" s="35" t="n">
        <f aca="false">INDEX(Monthly!$C$91:$BJ$91,($R$2-1)*12+10)</f>
        <v>89789.8294047617</v>
      </c>
      <c r="R50" s="35" t="n">
        <f aca="false">INDEX(Monthly!$C$91:$BJ$91,($R$2-1)*12+11)</f>
        <v>136061.416289682</v>
      </c>
      <c r="S50" s="35" t="n">
        <f aca="false">INDEX(Monthly!$C$91:$BJ$91,($R$2-1)*12+12)</f>
        <v>182376.892063492</v>
      </c>
    </row>
    <row r="51" customFormat="false" ht="15" hidden="false" customHeight="false" outlineLevel="0" collapsed="false">
      <c r="A51" s="36" t="s">
        <v>99</v>
      </c>
      <c r="B51" s="37" t="n">
        <f aca="false">'Balance Sheet'!B15</f>
        <v>1682376.89206349</v>
      </c>
      <c r="C51" s="37" t="n">
        <f aca="false">'Balance Sheet'!C15</f>
        <v>2062879.2108254</v>
      </c>
      <c r="D51" s="37" t="n">
        <f aca="false">'Balance Sheet'!D15</f>
        <v>2666315.9816042</v>
      </c>
      <c r="E51" s="37" t="n">
        <f aca="false">'Balance Sheet'!E15</f>
        <v>3521708.41029015</v>
      </c>
      <c r="F51" s="37" t="n">
        <f aca="false">'Balance Sheet'!F15</f>
        <v>4663049.6277491</v>
      </c>
      <c r="H51" s="37" t="n">
        <f aca="false">INDEX(Monthly!$C$94:$BJ$94,($R$2-1)*12+1)</f>
        <v>1508801.23294048</v>
      </c>
      <c r="I51" s="37" t="n">
        <f aca="false">INDEX(Monthly!$C$94:$BJ$94,($R$2-1)*12+2)</f>
        <v>1517624.4103254</v>
      </c>
      <c r="J51" s="37" t="n">
        <f aca="false">INDEX(Monthly!$C$94:$BJ$94,($R$2-1)*12+3)</f>
        <v>1526491.47659921</v>
      </c>
      <c r="K51" s="37" t="n">
        <f aca="false">INDEX(Monthly!$C$94:$BJ$94,($R$2-1)*12+4)</f>
        <v>1535402.4317619</v>
      </c>
      <c r="L51" s="37" t="n">
        <f aca="false">INDEX(Monthly!$C$94:$BJ$94,($R$2-1)*12+5)</f>
        <v>1544357.27581349</v>
      </c>
      <c r="M51" s="37" t="n">
        <f aca="false">INDEX(Monthly!$C$94:$BJ$94,($R$2-1)*12+6)</f>
        <v>1553356.00875397</v>
      </c>
      <c r="N51" s="37" t="n">
        <f aca="false">INDEX(Monthly!$C$94:$BJ$94,($R$2-1)*12+7)</f>
        <v>1562398.63058333</v>
      </c>
      <c r="O51" s="37" t="n">
        <f aca="false">INDEX(Monthly!$C$94:$BJ$94,($R$2-1)*12+8)</f>
        <v>1571485.14130159</v>
      </c>
      <c r="P51" s="37" t="n">
        <f aca="false">INDEX(Monthly!$C$94:$BJ$94,($R$2-1)*12+9)</f>
        <v>1580615.54090873</v>
      </c>
      <c r="Q51" s="37" t="n">
        <f aca="false">INDEX(Monthly!$C$94:$BJ$94,($R$2-1)*12+10)</f>
        <v>1589789.82940476</v>
      </c>
      <c r="R51" s="37" t="n">
        <f aca="false">INDEX(Monthly!$C$94:$BJ$94,($R$2-1)*12+11)</f>
        <v>1636061.41628968</v>
      </c>
      <c r="S51" s="37" t="n">
        <f aca="false">INDEX(Monthly!$C$94:$BJ$94,($R$2-1)*12+12)</f>
        <v>1682376.89206349</v>
      </c>
    </row>
    <row r="52" customFormat="false" ht="15" hidden="false" customHeight="false" outlineLevel="0" collapsed="false">
      <c r="A52" s="40" t="s">
        <v>100</v>
      </c>
      <c r="B52" s="41" t="n">
        <f aca="false">'Balance Sheet'!B16</f>
        <v>2318858.87539683</v>
      </c>
      <c r="C52" s="41" t="n">
        <f aca="false">'Balance Sheet'!C16</f>
        <v>2669976.79165873</v>
      </c>
      <c r="D52" s="41" t="n">
        <f aca="false">'Balance Sheet'!D16</f>
        <v>3256824.64893753</v>
      </c>
      <c r="E52" s="41" t="n">
        <f aca="false">'Balance Sheet'!E16</f>
        <v>4111513.13973348</v>
      </c>
      <c r="F52" s="41" t="n">
        <f aca="false">'Balance Sheet'!F16</f>
        <v>5271923.86664955</v>
      </c>
      <c r="H52" s="41" t="n">
        <f aca="false">INDEX(Monthly!$C$95:$BJ$95,($R$2-1)*12+1)</f>
        <v>2194799.10294048</v>
      </c>
      <c r="I52" s="41" t="n">
        <f aca="false">INDEX(Monthly!$C$95:$BJ$95,($R$2-1)*12+2)</f>
        <v>2195288.94699206</v>
      </c>
      <c r="J52" s="41" t="n">
        <f aca="false">INDEX(Monthly!$C$95:$BJ$95,($R$2-1)*12+3)</f>
        <v>2195822.67993254</v>
      </c>
      <c r="K52" s="41" t="n">
        <f aca="false">INDEX(Monthly!$C$95:$BJ$95,($R$2-1)*12+4)</f>
        <v>2196400.3017619</v>
      </c>
      <c r="L52" s="41" t="n">
        <f aca="false">INDEX(Monthly!$C$95:$BJ$95,($R$2-1)*12+5)</f>
        <v>2197021.81248016</v>
      </c>
      <c r="M52" s="41" t="n">
        <f aca="false">INDEX(Monthly!$C$95:$BJ$95,($R$2-1)*12+6)</f>
        <v>2197687.2120873</v>
      </c>
      <c r="N52" s="41" t="n">
        <f aca="false">INDEX(Monthly!$C$95:$BJ$95,($R$2-1)*12+7)</f>
        <v>2198396.50058333</v>
      </c>
      <c r="O52" s="41" t="n">
        <f aca="false">INDEX(Monthly!$C$95:$BJ$95,($R$2-1)*12+8)</f>
        <v>2199149.67796825</v>
      </c>
      <c r="P52" s="41" t="n">
        <f aca="false">INDEX(Monthly!$C$95:$BJ$95,($R$2-1)*12+9)</f>
        <v>2199946.74424206</v>
      </c>
      <c r="Q52" s="41" t="n">
        <f aca="false">INDEX(Monthly!$C$95:$BJ$95,($R$2-1)*12+10)</f>
        <v>2200787.69940476</v>
      </c>
      <c r="R52" s="41" t="n">
        <f aca="false">INDEX(Monthly!$C$95:$BJ$95,($R$2-1)*12+11)</f>
        <v>2280876.73295635</v>
      </c>
      <c r="S52" s="41" t="n">
        <f aca="false">INDEX(Monthly!$C$95:$BJ$95,($R$2-1)*12+12)</f>
        <v>2318858.87539683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3" t="s">
        <v>104</v>
      </c>
      <c r="B6" s="50" t="s">
        <v>105</v>
      </c>
      <c r="C6" s="50" t="s">
        <v>106</v>
      </c>
      <c r="D6" s="50" t="s">
        <v>107</v>
      </c>
      <c r="E6" s="50" t="s">
        <v>108</v>
      </c>
    </row>
    <row r="7" customFormat="false" ht="15" hidden="false" customHeight="false" outlineLevel="0" collapsed="false">
      <c r="A7" s="6" t="s">
        <v>109</v>
      </c>
      <c r="B7" s="51" t="n">
        <f aca="false">Inputs!$B$7</f>
        <v>65000</v>
      </c>
      <c r="C7" s="51" t="n">
        <f aca="false">Inputs!$C$7</f>
        <v>80000</v>
      </c>
      <c r="D7" s="51" t="n">
        <f aca="false">Inputs!$D$7</f>
        <v>100000</v>
      </c>
      <c r="E7" s="52" t="n">
        <f aca="false">Inputs!$E$7</f>
        <v>80000</v>
      </c>
    </row>
    <row r="8" customFormat="false" ht="15" hidden="false" customHeight="false" outlineLevel="0" collapsed="false">
      <c r="A8" s="6" t="s">
        <v>110</v>
      </c>
      <c r="B8" s="53" t="n">
        <f aca="false">Inputs!$B$9</f>
        <v>0.02</v>
      </c>
      <c r="C8" s="53" t="n">
        <f aca="false">Inputs!$C$9</f>
        <v>0.024</v>
      </c>
      <c r="D8" s="53" t="n">
        <f aca="false">Inputs!$D$9</f>
        <v>0.028</v>
      </c>
      <c r="E8" s="54" t="n">
        <f aca="false">Inputs!$E$9</f>
        <v>0.024</v>
      </c>
    </row>
    <row r="9" customFormat="false" ht="15" hidden="false" customHeight="false" outlineLevel="0" collapsed="false">
      <c r="A9" s="6" t="s">
        <v>111</v>
      </c>
      <c r="B9" s="55" t="n">
        <f aca="false">Inputs!$B$10</f>
        <v>65</v>
      </c>
      <c r="C9" s="55" t="n">
        <f aca="false">Inputs!$C$10</f>
        <v>75</v>
      </c>
      <c r="D9" s="55" t="n">
        <f aca="false">Inputs!$D$10</f>
        <v>85</v>
      </c>
      <c r="E9" s="56" t="n">
        <f aca="false">Inputs!$E$10</f>
        <v>75</v>
      </c>
    </row>
    <row r="10" customFormat="false" ht="15" hidden="false" customHeight="false" outlineLevel="0" collapsed="false">
      <c r="A10" s="6" t="s">
        <v>112</v>
      </c>
      <c r="B10" s="57" t="n">
        <f aca="false">Inputs!$B$13</f>
        <v>50000</v>
      </c>
      <c r="C10" s="57" t="n">
        <f aca="false">Inputs!$C$13</f>
        <v>50000</v>
      </c>
      <c r="D10" s="57" t="n">
        <f aca="false">Inputs!$D$13</f>
        <v>50000</v>
      </c>
      <c r="E10" s="58" t="n">
        <f aca="false">Inputs!$E$13</f>
        <v>50000</v>
      </c>
    </row>
    <row r="11" customFormat="false" ht="15" hidden="false" customHeight="false" outlineLevel="0" collapsed="false">
      <c r="A11" s="6" t="s">
        <v>113</v>
      </c>
      <c r="B11" s="53" t="n">
        <f aca="false">Inputs!$B$30</f>
        <v>0.45</v>
      </c>
      <c r="C11" s="53" t="n">
        <f aca="false">Inputs!$C$30</f>
        <v>0.42</v>
      </c>
      <c r="D11" s="53" t="n">
        <f aca="false">Inputs!$D$30</f>
        <v>0.39</v>
      </c>
      <c r="E11" s="54" t="n">
        <f aca="false">Inputs!$E$30</f>
        <v>0.42</v>
      </c>
    </row>
    <row r="12" customFormat="false" ht="15" hidden="false" customHeight="false" outlineLevel="0" collapsed="false">
      <c r="A12" s="6" t="s">
        <v>114</v>
      </c>
      <c r="B12" s="51" t="n">
        <f aca="false">Inputs!$B$18</f>
        <v>2</v>
      </c>
      <c r="C12" s="51" t="n">
        <f aca="false">Inputs!$C$18</f>
        <v>2</v>
      </c>
      <c r="D12" s="51" t="n">
        <f aca="false">Inputs!$D$18</f>
        <v>2</v>
      </c>
      <c r="E12" s="52" t="n">
        <f aca="false">Inputs!$E$18</f>
        <v>2</v>
      </c>
    </row>
    <row r="13" customFormat="false" ht="15" hidden="false" customHeight="false" outlineLevel="0" collapsed="false">
      <c r="A13" s="6" t="s">
        <v>115</v>
      </c>
      <c r="B13" s="57" t="n">
        <f aca="false">Inputs!$B$58</f>
        <v>1500000</v>
      </c>
      <c r="C13" s="57" t="n">
        <f aca="false">Inputs!$C$58</f>
        <v>1500000</v>
      </c>
      <c r="D13" s="57" t="n">
        <f aca="false">Inputs!$D$58</f>
        <v>1500000</v>
      </c>
      <c r="E13" s="58" t="n">
        <f aca="false">Inputs!$E$58</f>
        <v>1500000</v>
      </c>
    </row>
    <row r="15" customFormat="false" ht="15.75" hidden="false" customHeight="true" outlineLevel="0" collapsed="false">
      <c r="A15" s="7" t="s">
        <v>116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33" t="s">
        <v>117</v>
      </c>
      <c r="B16" s="50" t="s">
        <v>105</v>
      </c>
      <c r="C16" s="50" t="s">
        <v>106</v>
      </c>
      <c r="D16" s="50" t="s">
        <v>107</v>
      </c>
      <c r="E16" s="50" t="s">
        <v>108</v>
      </c>
    </row>
    <row r="17" customFormat="false" ht="15" hidden="false" customHeight="false" outlineLevel="0" collapsed="false">
      <c r="A17" s="6" t="s">
        <v>118</v>
      </c>
      <c r="B17" s="59" t="n">
        <f aca="false">F30</f>
        <v>6972588.7968</v>
      </c>
      <c r="C17" s="59" t="n">
        <f aca="false">F31</f>
        <v>14322508.4584569</v>
      </c>
      <c r="D17" s="59" t="n">
        <f aca="false">F32</f>
        <v>31530129.1809253</v>
      </c>
      <c r="E17" s="60" t="n">
        <f aca="false">'P&amp;L'!F5</f>
        <v>14322508.4584569</v>
      </c>
    </row>
    <row r="18" customFormat="false" ht="15" hidden="false" customHeight="false" outlineLevel="0" collapsed="false">
      <c r="A18" s="6" t="s">
        <v>119</v>
      </c>
      <c r="B18" s="59" t="n">
        <f aca="false">SUM(B30:F30)</f>
        <v>25478839.4314667</v>
      </c>
      <c r="C18" s="59" t="n">
        <f aca="false">SUM(B31:F31)</f>
        <v>47666046.1230283</v>
      </c>
      <c r="D18" s="59" t="n">
        <f aca="false">SUM(B32:F32)</f>
        <v>92721302.0253733</v>
      </c>
      <c r="E18" s="60" t="n">
        <f aca="false">SUM('P&amp;L'!$B$5:$F$5)</f>
        <v>47666046.1230283</v>
      </c>
    </row>
    <row r="19" customFormat="false" ht="15" hidden="false" customHeight="false" outlineLevel="0" collapsed="false">
      <c r="A19" s="6" t="s">
        <v>120</v>
      </c>
      <c r="B19" s="59" t="n">
        <f aca="false">F36</f>
        <v>-2181544.87456042</v>
      </c>
      <c r="C19" s="59" t="n">
        <f aca="false">F37</f>
        <v>1585116.67068342</v>
      </c>
      <c r="D19" s="59" t="n">
        <f aca="false">F38</f>
        <v>11124361.9145857</v>
      </c>
      <c r="E19" s="60" t="n">
        <f aca="false">'P&amp;L'!F18</f>
        <v>1585116.67068342</v>
      </c>
    </row>
    <row r="20" customFormat="false" ht="15" hidden="false" customHeight="false" outlineLevel="0" collapsed="false">
      <c r="A20" s="6" t="s">
        <v>121</v>
      </c>
      <c r="B20" s="61" t="n">
        <f aca="false">IF(B17=0,0,B19/B17)</f>
        <v>-0.312874448520701</v>
      </c>
      <c r="C20" s="61" t="n">
        <f aca="false">IF(C17=0,0,C19/C17)</f>
        <v>0.110673118139964</v>
      </c>
      <c r="D20" s="61" t="n">
        <f aca="false">IF(D17=0,0,D19/D17)</f>
        <v>0.35281688351964</v>
      </c>
      <c r="E20" s="62" t="n">
        <f aca="false">IF(E17=0,0,E19/E17)</f>
        <v>0.110673118139964</v>
      </c>
    </row>
    <row r="21" customFormat="false" ht="15" hidden="false" customHeight="false" outlineLevel="0" collapsed="false">
      <c r="A21" s="6" t="s">
        <v>122</v>
      </c>
      <c r="B21" s="59" t="n">
        <f aca="false">F42</f>
        <v>-2321925.82694137</v>
      </c>
      <c r="C21" s="59" t="n">
        <f aca="false">F43</f>
        <v>1141341.21745895</v>
      </c>
      <c r="D21" s="59" t="n">
        <f aca="false">F44</f>
        <v>8677344.96014178</v>
      </c>
      <c r="E21" s="60" t="n">
        <f aca="false">'P&amp;L'!F25</f>
        <v>1141341.21745895</v>
      </c>
    </row>
    <row r="22" customFormat="false" ht="15" hidden="false" customHeight="false" outlineLevel="0" collapsed="false">
      <c r="A22" s="6" t="s">
        <v>123</v>
      </c>
      <c r="B22" s="59" t="n">
        <f aca="false">SUM(B42:F42)</f>
        <v>-7543588.74529861</v>
      </c>
      <c r="C22" s="59" t="n">
        <f aca="false">SUM(B43:F43)</f>
        <v>3163049.6277491</v>
      </c>
      <c r="D22" s="59" t="n">
        <f aca="false">SUM(B44:F44)</f>
        <v>23191560.4584445</v>
      </c>
      <c r="E22" s="60" t="n">
        <f aca="false">SUM('P&amp;L'!$B$25:$F$25)</f>
        <v>3163049.6277491</v>
      </c>
    </row>
    <row r="23" customFormat="false" ht="15" hidden="false" customHeight="false" outlineLevel="0" collapsed="false">
      <c r="A23" s="6" t="s">
        <v>124</v>
      </c>
      <c r="B23" s="59" t="n">
        <f aca="false">F48</f>
        <v>-7029882.57520023</v>
      </c>
      <c r="C23" s="59" t="n">
        <f aca="false">F49</f>
        <v>3189533.36375285</v>
      </c>
      <c r="D23" s="59" t="n">
        <f aca="false">F50</f>
        <v>22123098.7296573</v>
      </c>
      <c r="E23" s="60" t="n">
        <f aca="false">'Balance Sheet'!F5</f>
        <v>3189533.36375285</v>
      </c>
    </row>
    <row r="24" customFormat="false" ht="15" hidden="false" customHeight="false" outlineLevel="0" collapsed="false">
      <c r="A24" s="6" t="s">
        <v>125</v>
      </c>
      <c r="B24" s="59" t="n">
        <f aca="false">MIN('Scenario calc'!$C$80:$BJ$80)</f>
        <v>-7029882.57520023</v>
      </c>
      <c r="C24" s="59" t="n">
        <f aca="false">MIN('Scenario calc'!$C$191:$BJ$191)</f>
        <v>1260305.0792494</v>
      </c>
      <c r="D24" s="59" t="n">
        <f aca="false">MIN('Scenario calc'!$C$302:$BJ$302)</f>
        <v>1323640.82839709</v>
      </c>
      <c r="E24" s="60" t="n">
        <f aca="false">'Break-even'!B18</f>
        <v>1260305.0792494</v>
      </c>
    </row>
    <row r="25" customFormat="false" ht="15" hidden="false" customHeight="false" outlineLevel="0" collapsed="false">
      <c r="A25" s="6" t="s">
        <v>126</v>
      </c>
      <c r="B25" s="63" t="n">
        <f aca="false">MATCH(MIN('Scenario calc'!$C$80:$BJ$80),'Scenario calc'!$C$80:$BJ$80,0)</f>
        <v>60</v>
      </c>
      <c r="C25" s="63" t="n">
        <f aca="false">MATCH(MIN('Scenario calc'!$C$191:$BJ$191),'Scenario calc'!$C$191:$BJ$191,0)</f>
        <v>13</v>
      </c>
      <c r="D25" s="63" t="n">
        <f aca="false">MATCH(MIN('Scenario calc'!$C$302:$BJ$302),'Scenario calc'!$C$302:$BJ$302,0)</f>
        <v>1</v>
      </c>
      <c r="E25" s="64" t="n">
        <f aca="false">'Break-even'!B6</f>
        <v>13</v>
      </c>
    </row>
    <row r="26" customFormat="false" ht="15" hidden="false" customHeight="false" outlineLevel="0" collapsed="false">
      <c r="A26" s="4" t="s">
        <v>66</v>
      </c>
      <c r="B26" s="59" t="n">
        <f aca="false">SUMPRODUCT(--('Scenario calc'!$C$6:$BJ$6&lt;=B25),'Scenario calc'!$C$53:$BJ$53)-SUMPRODUCT(--('Scenario calc'!$C$6:$BJ$6&lt;=B25),'Scenario calc'!$C$74:$BJ$74)-SUMPRODUCT(--('Scenario calc'!$C$6:$BJ$6&lt;=B25),'Scenario calc'!$C$62:$BJ$62)+Inputs!$B$73</f>
        <v>9749882.57520023</v>
      </c>
      <c r="C26" s="59" t="n">
        <f aca="false">SUMPRODUCT(--('Scenario calc'!$C$117:$BJ$117&lt;=C25),'Scenario calc'!$C$164:$BJ$164)-SUMPRODUCT(--('Scenario calc'!$C$117:$BJ$117&lt;=C25),'Scenario calc'!$C$185:$BJ$185)-SUMPRODUCT(--('Scenario calc'!$C$117:$BJ$117&lt;=C25),'Scenario calc'!$C$173:$BJ$173)+Inputs!$C$73</f>
        <v>1459694.9207506</v>
      </c>
      <c r="D26" s="59" t="n">
        <f aca="false">SUMPRODUCT(--('Scenario calc'!$C$228:$BJ$228&lt;=D25),'Scenario calc'!$C$275:$BJ$275)-SUMPRODUCT(--('Scenario calc'!$C$228:$BJ$228&lt;=D25),'Scenario calc'!$C$296:$BJ$296)-SUMPRODUCT(--('Scenario calc'!$C$228:$BJ$228&lt;=D25),'Scenario calc'!$C$284:$BJ$284)+Inputs!$D$73</f>
        <v>1396359.17160291</v>
      </c>
      <c r="E26" s="60" t="n">
        <f aca="false">'Break-even'!B12</f>
        <v>1459694.9207506</v>
      </c>
    </row>
    <row r="28" customFormat="false" ht="15.75" hidden="false" customHeight="true" outlineLevel="0" collapsed="false">
      <c r="A28" s="7" t="s">
        <v>127</v>
      </c>
      <c r="B28" s="7"/>
      <c r="C28" s="7"/>
      <c r="D28" s="7"/>
      <c r="E28" s="7"/>
      <c r="F28" s="7"/>
    </row>
    <row r="29" customFormat="false" ht="15" hidden="false" customHeight="false" outlineLevel="0" collapsed="false">
      <c r="A29" s="33" t="s">
        <v>128</v>
      </c>
      <c r="B29" s="34" t="n">
        <v>1</v>
      </c>
      <c r="C29" s="34" t="n">
        <v>2</v>
      </c>
      <c r="D29" s="34" t="n">
        <v>3</v>
      </c>
      <c r="E29" s="34" t="n">
        <v>4</v>
      </c>
      <c r="F29" s="34" t="n">
        <v>5</v>
      </c>
    </row>
    <row r="30" customFormat="false" ht="15" hidden="false" customHeight="false" outlineLevel="0" collapsed="false">
      <c r="A30" s="6" t="s">
        <v>105</v>
      </c>
      <c r="B30" s="59" t="n">
        <f aca="false">SUMIF('Scenario calc'!$C$7:$BJ$7,B$29,'Scenario calc'!$C$27:$BJ$27)</f>
        <v>3375914.66666667</v>
      </c>
      <c r="C30" s="59" t="n">
        <f aca="false">SUMIF('Scenario calc'!$C$7:$BJ$7,C$29,'Scenario calc'!$C$27:$BJ$27)</f>
        <v>4163772.8</v>
      </c>
      <c r="D30" s="59" t="n">
        <f aca="false">SUMIF('Scenario calc'!$C$7:$BJ$7,D$29,'Scenario calc'!$C$27:$BJ$27)</f>
        <v>5017510.08</v>
      </c>
      <c r="E30" s="59" t="n">
        <f aca="false">SUMIF('Scenario calc'!$C$7:$BJ$7,E$29,'Scenario calc'!$C$27:$BJ$27)</f>
        <v>5949053.088</v>
      </c>
      <c r="F30" s="59" t="n">
        <f aca="false">SUMIF('Scenario calc'!$C$7:$BJ$7,F$29,'Scenario calc'!$C$27:$BJ$27)</f>
        <v>6972588.7968</v>
      </c>
    </row>
    <row r="31" customFormat="false" ht="15" hidden="false" customHeight="false" outlineLevel="0" collapsed="false">
      <c r="A31" s="6" t="s">
        <v>106</v>
      </c>
      <c r="B31" s="59" t="n">
        <f aca="false">SUMIF('Scenario calc'!$C$118:$BJ$118,B$29,'Scenario calc'!$C$138:$BJ$138)</f>
        <v>5514942.85714286</v>
      </c>
      <c r="C31" s="59" t="n">
        <f aca="false">SUMIF('Scenario calc'!$C$118:$BJ$118,C$29,'Scenario calc'!$C$138:$BJ$138)</f>
        <v>7179087.85714286</v>
      </c>
      <c r="D31" s="59" t="n">
        <f aca="false">SUMIF('Scenario calc'!$C$118:$BJ$118,D$29,'Scenario calc'!$C$138:$BJ$138)</f>
        <v>9149574.85714286</v>
      </c>
      <c r="E31" s="59" t="n">
        <f aca="false">SUMIF('Scenario calc'!$C$118:$BJ$118,E$29,'Scenario calc'!$C$138:$BJ$138)</f>
        <v>11499932.0931429</v>
      </c>
      <c r="F31" s="59" t="n">
        <f aca="false">SUMIF('Scenario calc'!$C$118:$BJ$118,F$29,'Scenario calc'!$C$138:$BJ$138)</f>
        <v>14322508.4584569</v>
      </c>
    </row>
    <row r="32" customFormat="false" ht="15" hidden="false" customHeight="false" outlineLevel="0" collapsed="false">
      <c r="A32" s="6" t="s">
        <v>107</v>
      </c>
      <c r="B32" s="59" t="n">
        <f aca="false">SUMIF('Scenario calc'!$C$229:$BJ$229,B$29,'Scenario calc'!$C$249:$BJ$249)</f>
        <v>8858395.63636364</v>
      </c>
      <c r="C32" s="59" t="n">
        <f aca="false">SUMIF('Scenario calc'!$C$229:$BJ$229,C$29,'Scenario calc'!$C$249:$BJ$249)</f>
        <v>12317220.4101818</v>
      </c>
      <c r="D32" s="59" t="n">
        <f aca="false">SUMIF('Scenario calc'!$C$229:$BJ$229,D$29,'Scenario calc'!$C$249:$BJ$249)</f>
        <v>16913743.1950429</v>
      </c>
      <c r="E32" s="59" t="n">
        <f aca="false">SUMIF('Scenario calc'!$C$229:$BJ$229,E$29,'Scenario calc'!$C$249:$BJ$249)</f>
        <v>23101813.6028596</v>
      </c>
      <c r="F32" s="59" t="n">
        <f aca="false">SUMIF('Scenario calc'!$C$229:$BJ$229,F$29,'Scenario calc'!$C$249:$BJ$249)</f>
        <v>31530129.1809253</v>
      </c>
    </row>
    <row r="34" customFormat="false" ht="15.75" hidden="false" customHeight="true" outlineLevel="0" collapsed="false">
      <c r="A34" s="7" t="s">
        <v>129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33" t="s">
        <v>128</v>
      </c>
      <c r="B35" s="34" t="n">
        <v>1</v>
      </c>
      <c r="C35" s="34" t="n">
        <v>2</v>
      </c>
      <c r="D35" s="34" t="n">
        <v>3</v>
      </c>
      <c r="E35" s="34" t="n">
        <v>4</v>
      </c>
      <c r="F35" s="34" t="n">
        <v>5</v>
      </c>
    </row>
    <row r="36" customFormat="false" ht="15" hidden="false" customHeight="false" outlineLevel="0" collapsed="false">
      <c r="A36" s="6" t="s">
        <v>105</v>
      </c>
      <c r="B36" s="59" t="n">
        <f aca="false">SUMIF('Scenario calc'!$C$7:$BJ$7,B$35,'Scenario calc'!$C$41:$BJ$41)</f>
        <v>-833184.373333334</v>
      </c>
      <c r="C36" s="59" t="n">
        <f aca="false">SUMIF('Scenario calc'!$C$7:$BJ$7,C$35,'Scenario calc'!$C$41:$BJ$41)</f>
        <v>-1015637.294</v>
      </c>
      <c r="D36" s="59" t="n">
        <f aca="false">SUMIF('Scenario calc'!$C$7:$BJ$7,D$35,'Scenario calc'!$C$41:$BJ$41)</f>
        <v>-1283744.992375</v>
      </c>
      <c r="E36" s="59" t="n">
        <f aca="false">SUMIF('Scenario calc'!$C$7:$BJ$7,E$35,'Scenario calc'!$C$41:$BJ$41)</f>
        <v>-1661885.94118859</v>
      </c>
      <c r="F36" s="59" t="n">
        <f aca="false">SUMIF('Scenario calc'!$C$7:$BJ$7,F$35,'Scenario calc'!$C$41:$BJ$41)</f>
        <v>-2181544.87456042</v>
      </c>
    </row>
    <row r="37" customFormat="false" ht="15" hidden="false" customHeight="false" outlineLevel="0" collapsed="false">
      <c r="A37" s="6" t="s">
        <v>106</v>
      </c>
      <c r="B37" s="59" t="n">
        <f aca="false">SUMIF('Scenario calc'!$C$118:$BJ$118,B$35,'Scenario calc'!$C$152:$BJ$152)</f>
        <v>317495.714285714</v>
      </c>
      <c r="C37" s="59" t="n">
        <f aca="false">SUMIF('Scenario calc'!$C$118:$BJ$118,C$35,'Scenario calc'!$C$152:$BJ$152)</f>
        <v>581743.742857143</v>
      </c>
      <c r="D37" s="59" t="n">
        <f aca="false">SUMIF('Scenario calc'!$C$118:$BJ$118,D$35,'Scenario calc'!$C$152:$BJ$152)</f>
        <v>877367.823167858</v>
      </c>
      <c r="E37" s="59" t="n">
        <f aca="false">SUMIF('Scenario calc'!$C$118:$BJ$118,E$35,'Scenario calc'!$C$152:$BJ$152)</f>
        <v>1209727.60713713</v>
      </c>
      <c r="F37" s="59" t="n">
        <f aca="false">SUMIF('Scenario calc'!$C$118:$BJ$118,F$35,'Scenario calc'!$C$152:$BJ$152)</f>
        <v>1585116.67068342</v>
      </c>
    </row>
    <row r="38" customFormat="false" ht="15" hidden="false" customHeight="false" outlineLevel="0" collapsed="false">
      <c r="A38" s="6" t="s">
        <v>107</v>
      </c>
      <c r="B38" s="59" t="n">
        <f aca="false">SUMIF('Scenario calc'!$C$229:$BJ$229,B$35,'Scenario calc'!$C$263:$BJ$263)</f>
        <v>2273994.92363636</v>
      </c>
      <c r="C38" s="59" t="n">
        <f aca="false">SUMIF('Scenario calc'!$C$229:$BJ$229,C$35,'Scenario calc'!$C$263:$BJ$263)</f>
        <v>3538011.23336</v>
      </c>
      <c r="D38" s="59" t="n">
        <f aca="false">SUMIF('Scenario calc'!$C$229:$BJ$229,D$35,'Scenario calc'!$C$263:$BJ$263)</f>
        <v>5279916.67369534</v>
      </c>
      <c r="E38" s="59" t="n">
        <f aca="false">SUMIF('Scenario calc'!$C$229:$BJ$229,E$35,'Scenario calc'!$C$263:$BJ$263)</f>
        <v>7707712.16816451</v>
      </c>
      <c r="F38" s="59" t="n">
        <f aca="false">SUMIF('Scenario calc'!$C$229:$BJ$229,F$35,'Scenario calc'!$C$263:$BJ$263)</f>
        <v>11124361.9145857</v>
      </c>
    </row>
    <row r="40" customFormat="false" ht="15.75" hidden="false" customHeight="true" outlineLevel="0" collapsed="false">
      <c r="A40" s="7" t="s">
        <v>130</v>
      </c>
      <c r="B40" s="7"/>
      <c r="C40" s="7"/>
      <c r="D40" s="7"/>
      <c r="E40" s="7"/>
      <c r="F40" s="7"/>
    </row>
    <row r="41" customFormat="false" ht="15" hidden="false" customHeight="false" outlineLevel="0" collapsed="false">
      <c r="A41" s="33" t="s">
        <v>128</v>
      </c>
      <c r="B41" s="34" t="n">
        <v>1</v>
      </c>
      <c r="C41" s="34" t="n">
        <v>2</v>
      </c>
      <c r="D41" s="34" t="n">
        <v>3</v>
      </c>
      <c r="E41" s="34" t="n">
        <v>4</v>
      </c>
      <c r="F41" s="34" t="n">
        <v>5</v>
      </c>
    </row>
    <row r="42" customFormat="false" ht="15" hidden="false" customHeight="false" outlineLevel="0" collapsed="false">
      <c r="A42" s="6" t="s">
        <v>105</v>
      </c>
      <c r="B42" s="59" t="n">
        <f aca="false">SUMIF('Scenario calc'!$C$7:$BJ$7,B$41,'Scenario calc'!$C$50:$BJ$50)</f>
        <v>-919823.262222223</v>
      </c>
      <c r="C42" s="59" t="n">
        <f aca="false">SUMIF('Scenario calc'!$C$7:$BJ$7,C$41,'Scenario calc'!$C$50:$BJ$50)</f>
        <v>-1115732.53209524</v>
      </c>
      <c r="D42" s="59" t="n">
        <f aca="false">SUMIF('Scenario calc'!$C$7:$BJ$7,D$41,'Scenario calc'!$C$50:$BJ$50)</f>
        <v>-1397268.80189881</v>
      </c>
      <c r="E42" s="59" t="n">
        <f aca="false">SUMIF('Scenario calc'!$C$7:$BJ$7,E$41,'Scenario calc'!$C$50:$BJ$50)</f>
        <v>-1788838.32214097</v>
      </c>
      <c r="F42" s="59" t="n">
        <f aca="false">SUMIF('Scenario calc'!$C$7:$BJ$7,F$41,'Scenario calc'!$C$50:$BJ$50)</f>
        <v>-2321925.82694137</v>
      </c>
    </row>
    <row r="43" customFormat="false" ht="15" hidden="false" customHeight="false" outlineLevel="0" collapsed="false">
      <c r="A43" s="6" t="s">
        <v>106</v>
      </c>
      <c r="B43" s="59" t="n">
        <f aca="false">SUMIF('Scenario calc'!$C$118:$BJ$118,B$41,'Scenario calc'!$C$161:$BJ$161)</f>
        <v>182376.892063492</v>
      </c>
      <c r="C43" s="59" t="n">
        <f aca="false">SUMIF('Scenario calc'!$C$118:$BJ$118,C$41,'Scenario calc'!$C$161:$BJ$161)</f>
        <v>380502.318761905</v>
      </c>
      <c r="D43" s="59" t="n">
        <f aca="false">SUMIF('Scenario calc'!$C$118:$BJ$118,D$41,'Scenario calc'!$C$161:$BJ$161)</f>
        <v>603436.770778798</v>
      </c>
      <c r="E43" s="59" t="n">
        <f aca="false">SUMIF('Scenario calc'!$C$118:$BJ$118,E$41,'Scenario calc'!$C$161:$BJ$161)</f>
        <v>855392.428685951</v>
      </c>
      <c r="F43" s="59" t="n">
        <f aca="false">SUMIF('Scenario calc'!$C$118:$BJ$118,F$41,'Scenario calc'!$C$161:$BJ$161)</f>
        <v>1141341.21745895</v>
      </c>
    </row>
    <row r="44" customFormat="false" ht="15" hidden="false" customHeight="false" outlineLevel="0" collapsed="false">
      <c r="A44" s="6" t="s">
        <v>107</v>
      </c>
      <c r="B44" s="59" t="n">
        <f aca="false">SUMIF('Scenario calc'!$C$229:$BJ$229,B$41,'Scenario calc'!$C$272:$BJ$272)</f>
        <v>1728011.2674505</v>
      </c>
      <c r="C44" s="59" t="n">
        <f aca="false">SUMIF('Scenario calc'!$C$229:$BJ$229,C$41,'Scenario calc'!$C$272:$BJ$272)</f>
        <v>2715953.63625916</v>
      </c>
      <c r="D44" s="59" t="n">
        <f aca="false">SUMIF('Scenario calc'!$C$229:$BJ$229,D$41,'Scenario calc'!$C$272:$BJ$272)</f>
        <v>4081450.36269551</v>
      </c>
      <c r="E44" s="59" t="n">
        <f aca="false">SUMIF('Scenario calc'!$C$229:$BJ$229,E$41,'Scenario calc'!$C$272:$BJ$272)</f>
        <v>5988800.23189758</v>
      </c>
      <c r="F44" s="59" t="n">
        <f aca="false">SUMIF('Scenario calc'!$C$229:$BJ$229,F$41,'Scenario calc'!$C$272:$BJ$272)</f>
        <v>8677344.96014178</v>
      </c>
    </row>
    <row r="46" customFormat="false" ht="15.75" hidden="false" customHeight="true" outlineLevel="0" collapsed="false">
      <c r="A46" s="7" t="s">
        <v>131</v>
      </c>
      <c r="B46" s="7"/>
      <c r="C46" s="7"/>
      <c r="D46" s="7"/>
      <c r="E46" s="7"/>
      <c r="F46" s="7"/>
    </row>
    <row r="47" customFormat="false" ht="15" hidden="false" customHeight="false" outlineLevel="0" collapsed="false">
      <c r="A47" s="33" t="s">
        <v>128</v>
      </c>
      <c r="B47" s="34" t="n">
        <v>1</v>
      </c>
      <c r="C47" s="34" t="n">
        <v>2</v>
      </c>
      <c r="D47" s="34" t="n">
        <v>3</v>
      </c>
      <c r="E47" s="34" t="n">
        <v>4</v>
      </c>
      <c r="F47" s="34" t="n">
        <v>5</v>
      </c>
    </row>
    <row r="48" customFormat="false" ht="15" hidden="false" customHeight="false" outlineLevel="0" collapsed="false">
      <c r="A48" s="6" t="s">
        <v>105</v>
      </c>
      <c r="B48" s="59" t="n">
        <f aca="false">INDEX('Scenario calc'!$C$80:$BJ$80,B$47*12)</f>
        <v>442011.64962963</v>
      </c>
      <c r="C48" s="59" t="n">
        <f aca="false">INDEX('Scenario calc'!$C$80:$BJ$80,C$47*12)</f>
        <v>-910645.134666667</v>
      </c>
      <c r="D48" s="59" t="n">
        <f aca="false">INDEX('Scenario calc'!$C$80:$BJ$80,D$47*12)</f>
        <v>-2527712.94599722</v>
      </c>
      <c r="E48" s="59" t="n">
        <f aca="false">INDEX('Scenario calc'!$C$80:$BJ$80,E$47*12)</f>
        <v>-4519985.32692581</v>
      </c>
      <c r="F48" s="59" t="n">
        <f aca="false">INDEX('Scenario calc'!$C$80:$BJ$80,F$47*12)</f>
        <v>-7029882.57520023</v>
      </c>
    </row>
    <row r="49" customFormat="false" ht="15" hidden="false" customHeight="false" outlineLevel="0" collapsed="false">
      <c r="A49" s="6" t="s">
        <v>106</v>
      </c>
      <c r="B49" s="59" t="n">
        <f aca="false">INDEX('Scenario calc'!$C$191:$BJ$191,B$47*12)</f>
        <v>1412273.17896825</v>
      </c>
      <c r="C49" s="59" t="n">
        <f aca="false">INDEX('Scenario calc'!$C$191:$BJ$191,C$47*12)</f>
        <v>1497071.84790873</v>
      </c>
      <c r="D49" s="59" t="n">
        <f aca="false">INDEX('Scenario calc'!$C$191:$BJ$191,D$47*12)</f>
        <v>1805009.27679467</v>
      </c>
      <c r="E49" s="59" t="n">
        <f aca="false">INDEX('Scenario calc'!$C$191:$BJ$191,E$47*12)</f>
        <v>2359982.04690134</v>
      </c>
      <c r="F49" s="59" t="n">
        <f aca="false">INDEX('Scenario calc'!$C$191:$BJ$191,F$47*12)</f>
        <v>3189533.36375285</v>
      </c>
    </row>
    <row r="50" customFormat="false" ht="15" hidden="false" customHeight="false" outlineLevel="0" collapsed="false">
      <c r="A50" s="6" t="s">
        <v>107</v>
      </c>
      <c r="B50" s="59" t="n">
        <f aca="false">INDEX('Scenario calc'!$C$302:$BJ$302,B$47*12)</f>
        <v>2766559.5664202</v>
      </c>
      <c r="C50" s="59" t="n">
        <f aca="false">INDEX('Scenario calc'!$C$302:$BJ$302,C$47*12)</f>
        <v>5073545.43946842</v>
      </c>
      <c r="D50" s="59" t="n">
        <f aca="false">INDEX('Scenario calc'!$C$302:$BJ$302,D$47*12)</f>
        <v>8690557.48853745</v>
      </c>
      <c r="E50" s="59" t="n">
        <f aca="false">INDEX('Scenario calc'!$C$302:$BJ$302,E$47*12)</f>
        <v>14128256.2954563</v>
      </c>
      <c r="F50" s="59" t="n">
        <f aca="false">INDEX('Scenario calc'!$C$302:$BJ$302,F$47*12)</f>
        <v>22123098.7296573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133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135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126</v>
      </c>
      <c r="B6" s="63" t="n">
        <f aca="false">MATCH(MIN(Monthly!$C$78:$BJ$78),Monthly!$C$78:$BJ$78,0)</f>
        <v>13</v>
      </c>
    </row>
    <row r="7" customFormat="false" ht="15" hidden="false" customHeight="false" outlineLevel="0" collapsed="false">
      <c r="A7" s="6" t="s">
        <v>136</v>
      </c>
      <c r="B7" s="65" t="n">
        <f aca="false">SUMPRODUCT(--(Monthly!$C$4:$BJ$4&lt;=$B$6),Monthly!$C$51:$BJ$51)</f>
        <v>500000</v>
      </c>
    </row>
    <row r="8" customFormat="false" ht="15" hidden="false" customHeight="false" outlineLevel="0" collapsed="false">
      <c r="A8" s="6" t="s">
        <v>137</v>
      </c>
      <c r="B8" s="65" t="n">
        <f aca="false">-SUMPRODUCT(--(Monthly!$C$4:$BJ$4&lt;=$B$6),Monthly!$C$72:$BJ$72)</f>
        <v>139694.920750595</v>
      </c>
      <c r="D8" s="18" t="s">
        <v>138</v>
      </c>
    </row>
    <row r="9" customFormat="false" ht="15" hidden="false" customHeight="false" outlineLevel="0" collapsed="false">
      <c r="A9" s="6" t="s">
        <v>139</v>
      </c>
      <c r="B9" s="65" t="n">
        <f aca="false">-SUMPRODUCT(--(Monthly!$C$4:$BJ$4&lt;=$B$6),Monthly!$C$60:$BJ$60)</f>
        <v>100000</v>
      </c>
    </row>
    <row r="10" customFormat="false" ht="15" hidden="false" customHeight="false" outlineLevel="0" collapsed="false">
      <c r="A10" s="4" t="s">
        <v>140</v>
      </c>
      <c r="B10" s="66" t="n">
        <f aca="false">B7+B8+B9</f>
        <v>739694.920750595</v>
      </c>
    </row>
    <row r="11" customFormat="false" ht="15" hidden="false" customHeight="false" outlineLevel="0" collapsed="false">
      <c r="A11" s="6" t="s">
        <v>141</v>
      </c>
      <c r="B11" s="67" t="n">
        <f aca="false">Inputs!$E$73</f>
        <v>720000</v>
      </c>
      <c r="D11" s="18" t="s">
        <v>142</v>
      </c>
    </row>
    <row r="12" customFormat="false" ht="15" hidden="false" customHeight="false" outlineLevel="0" collapsed="false">
      <c r="A12" s="4" t="s">
        <v>143</v>
      </c>
      <c r="B12" s="66" t="n">
        <f aca="false">B10+B11</f>
        <v>1459694.9207506</v>
      </c>
    </row>
    <row r="14" customFormat="false" ht="15" hidden="false" customHeight="false" outlineLevel="0" collapsed="false">
      <c r="A14" s="6" t="s">
        <v>64</v>
      </c>
      <c r="B14" s="67" t="n">
        <f aca="false">Inputs!$E$58</f>
        <v>1500000</v>
      </c>
    </row>
    <row r="15" customFormat="false" ht="15" hidden="false" customHeight="false" outlineLevel="0" collapsed="false">
      <c r="A15" s="6" t="s">
        <v>65</v>
      </c>
      <c r="B15" s="67" t="n">
        <f aca="false">Inputs!$E$59</f>
        <v>500000</v>
      </c>
    </row>
    <row r="16" customFormat="false" ht="15" hidden="false" customHeight="false" outlineLevel="0" collapsed="false">
      <c r="A16" s="4" t="s">
        <v>144</v>
      </c>
      <c r="B16" s="66" t="n">
        <f aca="false">B14+B15</f>
        <v>2000000</v>
      </c>
    </row>
    <row r="17" customFormat="false" ht="15" hidden="false" customHeight="false" outlineLevel="0" collapsed="false">
      <c r="A17" s="68" t="s">
        <v>67</v>
      </c>
      <c r="B17" s="69" t="n">
        <f aca="false">B16-B12</f>
        <v>540305.079249405</v>
      </c>
      <c r="D17" s="18" t="s">
        <v>145</v>
      </c>
    </row>
    <row r="18" customFormat="false" ht="15" hidden="false" customHeight="false" outlineLevel="0" collapsed="false">
      <c r="A18" s="6" t="s">
        <v>146</v>
      </c>
      <c r="B18" s="65" t="n">
        <f aca="false">MIN(Monthly!$C$78:$BJ$78)</f>
        <v>1260305.0792494</v>
      </c>
      <c r="D18" s="18" t="s">
        <v>147</v>
      </c>
    </row>
    <row r="20" customFormat="false" ht="15.75" hidden="false" customHeight="true" outlineLevel="0" collapsed="false">
      <c r="A20" s="7" t="s">
        <v>148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149</v>
      </c>
      <c r="B21" s="63" t="n">
        <f aca="false">IFERROR(MATCH(1,Monthly!$C$79:$BJ$79,0),"Not within horizon")</f>
        <v>1</v>
      </c>
    </row>
    <row r="22" customFormat="false" ht="15" hidden="false" customHeight="false" outlineLevel="0" collapsed="false">
      <c r="A22" s="6" t="s">
        <v>150</v>
      </c>
      <c r="B22" s="63" t="n">
        <f aca="false">IFERROR(MATCH(1,Monthly!$C$82:$BJ$82,0),"Not within horizon")</f>
        <v>1</v>
      </c>
    </row>
    <row r="23" customFormat="false" ht="15" hidden="false" customHeight="false" outlineLevel="0" collapsed="false">
      <c r="A23" s="6" t="s">
        <v>151</v>
      </c>
      <c r="B23" s="63" t="n">
        <f aca="false">IF(MIN(Monthly!$C$84:$BJ$84)&gt;=0,"No investment to pay back",IFERROR(MATCH(1,Monthly!$C$86:$BJ$86,0),"Not within horizon"))</f>
        <v>36</v>
      </c>
      <c r="D23" s="18" t="s">
        <v>152</v>
      </c>
    </row>
    <row r="25" customFormat="false" ht="15.75" hidden="false" customHeight="true" outlineLevel="0" collapsed="false">
      <c r="A25" s="7" t="s">
        <v>153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70" t="s">
        <v>154</v>
      </c>
      <c r="B26" s="70" t="n">
        <v>1</v>
      </c>
      <c r="C26" s="70" t="n">
        <v>2</v>
      </c>
      <c r="D26" s="70" t="n">
        <v>3</v>
      </c>
      <c r="E26" s="70" t="n">
        <v>4</v>
      </c>
      <c r="F26" s="70" t="n">
        <v>5</v>
      </c>
    </row>
    <row r="27" customFormat="false" ht="15" hidden="false" customHeight="false" outlineLevel="0" collapsed="false">
      <c r="A27" s="33"/>
      <c r="B27" s="50" t="s">
        <v>155</v>
      </c>
      <c r="C27" s="50" t="s">
        <v>156</v>
      </c>
      <c r="D27" s="50" t="s">
        <v>157</v>
      </c>
      <c r="E27" s="50" t="s">
        <v>158</v>
      </c>
      <c r="F27" s="50" t="s">
        <v>159</v>
      </c>
    </row>
    <row r="28" customFormat="false" ht="15" hidden="false" customHeight="false" outlineLevel="0" collapsed="false">
      <c r="A28" s="4" t="s">
        <v>44</v>
      </c>
      <c r="B28" s="71" t="n">
        <f aca="false">SUMIF(Monthly!$C$5:$BJ$5,B$26,Monthly!$C$25:$BJ$25)</f>
        <v>5514942.85714286</v>
      </c>
      <c r="C28" s="71" t="n">
        <f aca="false">SUMIF(Monthly!$C$5:$BJ$5,C$26,Monthly!$C$25:$BJ$25)</f>
        <v>7179087.85714286</v>
      </c>
      <c r="D28" s="71" t="n">
        <f aca="false">SUMIF(Monthly!$C$5:$BJ$5,D$26,Monthly!$C$25:$BJ$25)</f>
        <v>9149574.85714286</v>
      </c>
      <c r="E28" s="71" t="n">
        <f aca="false">SUMIF(Monthly!$C$5:$BJ$5,E$26,Monthly!$C$25:$BJ$25)</f>
        <v>11499932.0931429</v>
      </c>
      <c r="F28" s="71" t="n">
        <f aca="false">SUMIF(Monthly!$C$5:$BJ$5,F$26,Monthly!$C$25:$BJ$25)</f>
        <v>14322508.4584569</v>
      </c>
    </row>
    <row r="29" customFormat="false" ht="15" hidden="false" customHeight="false" outlineLevel="0" collapsed="false">
      <c r="A29" s="6" t="s">
        <v>45</v>
      </c>
      <c r="B29" s="65" t="n">
        <f aca="false">SUMIF(Monthly!$C$5:$BJ$5,B$26,Monthly!$C$27:$BJ$27)</f>
        <v>3198666.85714286</v>
      </c>
      <c r="C29" s="65" t="n">
        <f aca="false">SUMIF(Monthly!$C$5:$BJ$5,C$26,Monthly!$C$27:$BJ$27)</f>
        <v>4163870.95714286</v>
      </c>
      <c r="D29" s="65" t="n">
        <f aca="false">SUMIF(Monthly!$C$5:$BJ$5,D$26,Monthly!$C$27:$BJ$27)</f>
        <v>5306753.41714286</v>
      </c>
      <c r="E29" s="65" t="n">
        <f aca="false">SUMIF(Monthly!$C$5:$BJ$5,E$26,Monthly!$C$27:$BJ$27)</f>
        <v>6669960.61402286</v>
      </c>
      <c r="F29" s="65" t="n">
        <f aca="false">SUMIF(Monthly!$C$5:$BJ$5,F$26,Monthly!$C$27:$BJ$27)</f>
        <v>8307054.90590498</v>
      </c>
    </row>
    <row r="30" customFormat="false" ht="15" hidden="false" customHeight="false" outlineLevel="0" collapsed="false">
      <c r="A30" s="38" t="s">
        <v>160</v>
      </c>
      <c r="B30" s="72" t="n">
        <f aca="false">IF(B28=0,0,B29/B28)</f>
        <v>0.58</v>
      </c>
      <c r="C30" s="72" t="n">
        <f aca="false">IF(C28=0,0,C29/C28)</f>
        <v>0.58</v>
      </c>
      <c r="D30" s="72" t="n">
        <f aca="false">IF(D28=0,0,D29/D28)</f>
        <v>0.58</v>
      </c>
      <c r="E30" s="72" t="n">
        <f aca="false">IF(E28=0,0,E29/E28)</f>
        <v>0.58</v>
      </c>
      <c r="F30" s="72" t="n">
        <f aca="false">IF(F28=0,0,F29/F28)</f>
        <v>0.58</v>
      </c>
    </row>
    <row r="31" customFormat="false" ht="15" hidden="false" customHeight="false" outlineLevel="0" collapsed="false">
      <c r="A31" s="6" t="s">
        <v>161</v>
      </c>
      <c r="B31" s="65" t="n">
        <f aca="false">-SUMIF(Monthly!$C$5:$BJ$5,B$26,Monthly!$C$38:$BJ$38)</f>
        <v>2881171.14285714</v>
      </c>
      <c r="C31" s="65" t="n">
        <f aca="false">-SUMIF(Monthly!$C$5:$BJ$5,C$26,Monthly!$C$38:$BJ$38)</f>
        <v>3582127.21428571</v>
      </c>
      <c r="D31" s="65" t="n">
        <f aca="false">-SUMIF(Monthly!$C$5:$BJ$5,D$26,Monthly!$C$38:$BJ$38)</f>
        <v>4429385.593975</v>
      </c>
      <c r="E31" s="65" t="n">
        <f aca="false">-SUMIF(Monthly!$C$5:$BJ$5,E$26,Monthly!$C$38:$BJ$38)</f>
        <v>5460233.00688573</v>
      </c>
      <c r="F31" s="65" t="n">
        <f aca="false">-SUMIF(Monthly!$C$5:$BJ$5,F$26,Monthly!$C$38:$BJ$38)</f>
        <v>6721938.23522155</v>
      </c>
    </row>
    <row r="32" customFormat="false" ht="15" hidden="false" customHeight="false" outlineLevel="0" collapsed="false">
      <c r="A32" s="4" t="s">
        <v>162</v>
      </c>
      <c r="B32" s="71" t="n">
        <f aca="false">IF(B30&gt;0,B31/B30,"n/a")</f>
        <v>4967536.45320197</v>
      </c>
      <c r="C32" s="71" t="n">
        <f aca="false">IF(C30&gt;0,C31/C30,"n/a")</f>
        <v>6176081.40394089</v>
      </c>
      <c r="D32" s="71" t="n">
        <f aca="false">IF(D30&gt;0,D31/D30,"n/a")</f>
        <v>7636871.71375</v>
      </c>
      <c r="E32" s="71" t="n">
        <f aca="false">IF(E30&gt;0,E31/E30,"n/a")</f>
        <v>9414194.83945815</v>
      </c>
      <c r="F32" s="71" t="n">
        <f aca="false">IF(F30&gt;0,F31/F30,"n/a")</f>
        <v>11589548.6814165</v>
      </c>
    </row>
    <row r="33" customFormat="false" ht="15" hidden="false" customHeight="false" outlineLevel="0" collapsed="false">
      <c r="A33" s="38" t="s">
        <v>163</v>
      </c>
      <c r="B33" s="72" t="n">
        <f aca="false">IF(AND(ISNUMBER(B32),B28&gt;0),(B28-B32)/B28,"n/a")</f>
        <v>0.0992587626237861</v>
      </c>
      <c r="C33" s="72" t="n">
        <f aca="false">IF(AND(ISNUMBER(C32),C28&gt;0),(C28-C32)/C28,"n/a")</f>
        <v>0.139712241048008</v>
      </c>
      <c r="D33" s="72" t="n">
        <f aca="false">IF(AND(ISNUMBER(D32),D28&gt;0),(D28-D32)/D28,"n/a")</f>
        <v>0.165330429775316</v>
      </c>
      <c r="E33" s="72" t="n">
        <f aca="false">IF(AND(ISNUMBER(E32),E28&gt;0),(E28-E32)/E28,"n/a")</f>
        <v>0.181369527819071</v>
      </c>
      <c r="F33" s="72" t="n">
        <f aca="false">IF(AND(ISNUMBER(F32),F28&gt;0),(F28-F32)/F28,"n/a")</f>
        <v>0.190815720930972</v>
      </c>
    </row>
    <row r="35" customFormat="false" ht="15" hidden="false" customHeight="false" outlineLevel="0" collapsed="false">
      <c r="A35" s="3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165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166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167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168</v>
      </c>
      <c r="B6" s="73" t="n">
        <f aca="false">Inputs!$E$76</f>
        <v>0.16</v>
      </c>
    </row>
    <row r="7" customFormat="false" ht="15" hidden="false" customHeight="false" outlineLevel="0" collapsed="false">
      <c r="A7" s="38" t="s">
        <v>169</v>
      </c>
      <c r="B7" s="73" t="n">
        <f aca="false">Inputs!$E$77</f>
        <v>0.02</v>
      </c>
    </row>
    <row r="8" customFormat="false" ht="15" hidden="false" customHeight="false" outlineLevel="0" collapsed="false">
      <c r="A8" s="6" t="s">
        <v>170</v>
      </c>
      <c r="B8" s="74" t="n">
        <f aca="false">Inputs!$E$78</f>
        <v>5.5</v>
      </c>
    </row>
    <row r="9" customFormat="false" ht="15" hidden="false" customHeight="false" outlineLevel="0" collapsed="false">
      <c r="A9" s="38" t="s">
        <v>171</v>
      </c>
      <c r="B9" s="73" t="n">
        <f aca="false">Inputs!$E$70</f>
        <v>0.21</v>
      </c>
    </row>
    <row r="10" customFormat="false" ht="15" hidden="false" customHeight="false" outlineLevel="0" collapsed="false">
      <c r="A10" s="38" t="s">
        <v>172</v>
      </c>
      <c r="B10" s="73" t="n">
        <f aca="false">Inputs!$E$79</f>
        <v>0.01</v>
      </c>
    </row>
    <row r="11" customFormat="false" ht="15" hidden="false" customHeight="false" outlineLevel="0" collapsed="false">
      <c r="A11" s="38" t="s">
        <v>173</v>
      </c>
      <c r="B11" s="73" t="n">
        <f aca="false">Inputs!$E$80</f>
        <v>0.005</v>
      </c>
    </row>
    <row r="13" customFormat="false" ht="15.75" hidden="false" customHeight="true" outlineLevel="0" collapsed="false">
      <c r="A13" s="7" t="s">
        <v>174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70" t="s">
        <v>154</v>
      </c>
      <c r="B14" s="70" t="n">
        <v>1</v>
      </c>
      <c r="C14" s="70" t="n">
        <v>2</v>
      </c>
      <c r="D14" s="70" t="n">
        <v>3</v>
      </c>
      <c r="E14" s="70" t="n">
        <v>4</v>
      </c>
      <c r="F14" s="70" t="n">
        <v>5</v>
      </c>
    </row>
    <row r="15" customFormat="false" ht="15" hidden="false" customHeight="false" outlineLevel="0" collapsed="false">
      <c r="A15" s="33"/>
      <c r="B15" s="50" t="s">
        <v>155</v>
      </c>
      <c r="C15" s="50" t="s">
        <v>156</v>
      </c>
      <c r="D15" s="50" t="s">
        <v>157</v>
      </c>
      <c r="E15" s="50" t="s">
        <v>158</v>
      </c>
      <c r="F15" s="50" t="s">
        <v>159</v>
      </c>
    </row>
    <row r="16" customFormat="false" ht="15" hidden="false" customHeight="false" outlineLevel="0" collapsed="false">
      <c r="A16" s="6" t="s">
        <v>48</v>
      </c>
      <c r="B16" s="65" t="n">
        <f aca="false">SUMIF(Monthly!$C$5:$BJ$5,B$14,Monthly!$C$39:$BJ$39)</f>
        <v>317495.714285714</v>
      </c>
      <c r="C16" s="65" t="n">
        <f aca="false">SUMIF(Monthly!$C$5:$BJ$5,C$14,Monthly!$C$39:$BJ$39)</f>
        <v>581743.742857143</v>
      </c>
      <c r="D16" s="65" t="n">
        <f aca="false">SUMIF(Monthly!$C$5:$BJ$5,D$14,Monthly!$C$39:$BJ$39)</f>
        <v>877367.823167858</v>
      </c>
      <c r="E16" s="65" t="n">
        <f aca="false">SUMIF(Monthly!$C$5:$BJ$5,E$14,Monthly!$C$39:$BJ$39)</f>
        <v>1209727.60713713</v>
      </c>
      <c r="F16" s="65" t="n">
        <f aca="false">SUMIF(Monthly!$C$5:$BJ$5,F$14,Monthly!$C$39:$BJ$39)</f>
        <v>1585116.67068342</v>
      </c>
    </row>
    <row r="17" customFormat="false" ht="15" hidden="false" customHeight="false" outlineLevel="0" collapsed="false">
      <c r="A17" s="4" t="s">
        <v>175</v>
      </c>
      <c r="B17" s="71" t="n">
        <f aca="false">SUMIF(Monthly!$C$5:$BJ$5,B$14,Monthly!$C$87:$BJ$87)</f>
        <v>-467115.432142857</v>
      </c>
      <c r="C17" s="71" t="n">
        <f aca="false">SUMIF(Monthly!$C$5:$BJ$5,C$14,Monthly!$C$87:$BJ$87)</f>
        <v>207445.335607143</v>
      </c>
      <c r="D17" s="71" t="n">
        <f aca="false">SUMIF(Monthly!$C$5:$BJ$5,D$14,Monthly!$C$87:$BJ$87)</f>
        <v>424264.095552608</v>
      </c>
      <c r="E17" s="71" t="n">
        <f aca="false">SUMIF(Monthly!$C$5:$BJ$5,E$14,Monthly!$C$87:$BJ$87)</f>
        <v>664979.436773331</v>
      </c>
      <c r="F17" s="71" t="n">
        <f aca="false">SUMIF(Monthly!$C$5:$BJ$5,F$14,Monthly!$C$87:$BJ$87)</f>
        <v>933237.983518181</v>
      </c>
    </row>
    <row r="18" customFormat="false" ht="15" hidden="false" customHeight="false" outlineLevel="0" collapsed="false">
      <c r="A18" s="6" t="s">
        <v>176</v>
      </c>
      <c r="B18" s="75" t="n">
        <f aca="false">1/(1+Inputs!$E$76)^B$14</f>
        <v>0.862068965517241</v>
      </c>
      <c r="C18" s="75" t="n">
        <f aca="false">1/(1+Inputs!$E$76)^C$14</f>
        <v>0.743162901307967</v>
      </c>
      <c r="D18" s="75" t="n">
        <f aca="false">1/(1+Inputs!$E$76)^D$14</f>
        <v>0.640657673541351</v>
      </c>
      <c r="E18" s="75" t="n">
        <f aca="false">1/(1+Inputs!$E$76)^E$14</f>
        <v>0.552291097880475</v>
      </c>
      <c r="F18" s="75" t="n">
        <f aca="false">1/(1+Inputs!$E$76)^F$14</f>
        <v>0.476113015414203</v>
      </c>
    </row>
    <row r="19" customFormat="false" ht="15" hidden="false" customHeight="false" outlineLevel="0" collapsed="false">
      <c r="A19" s="6" t="s">
        <v>177</v>
      </c>
      <c r="B19" s="65" t="n">
        <f aca="false">B17*B18</f>
        <v>-402685.717364532</v>
      </c>
      <c r="C19" s="65" t="n">
        <f aca="false">C17*C18</f>
        <v>154165.677472609</v>
      </c>
      <c r="D19" s="65" t="n">
        <f aca="false">D17*D18</f>
        <v>271808.048423859</v>
      </c>
      <c r="E19" s="65" t="n">
        <f aca="false">E17*E18</f>
        <v>367262.223203483</v>
      </c>
      <c r="F19" s="65" t="n">
        <f aca="false">F17*F18</f>
        <v>444326.750431911</v>
      </c>
    </row>
    <row r="21" customFormat="false" ht="15.75" hidden="false" customHeight="true" outlineLevel="0" collapsed="false">
      <c r="A21" s="7" t="s">
        <v>178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0" t="s">
        <v>179</v>
      </c>
      <c r="C22" s="50" t="s">
        <v>180</v>
      </c>
    </row>
    <row r="23" customFormat="false" ht="15" hidden="false" customHeight="false" outlineLevel="0" collapsed="false">
      <c r="A23" s="6" t="s">
        <v>181</v>
      </c>
      <c r="B23" s="65" t="n">
        <f aca="false">SUM($B$19:$F$19)</f>
        <v>834876.982167331</v>
      </c>
      <c r="C23" s="65" t="n">
        <f aca="false">B23</f>
        <v>834876.982167331</v>
      </c>
    </row>
    <row r="24" customFormat="false" ht="15" hidden="false" customHeight="false" outlineLevel="0" collapsed="false">
      <c r="A24" s="6" t="s">
        <v>182</v>
      </c>
      <c r="B24" s="65" t="n">
        <f aca="false">$F$17</f>
        <v>933237.983518181</v>
      </c>
      <c r="C24" s="65" t="n">
        <f aca="false">$F$16</f>
        <v>1585116.67068342</v>
      </c>
    </row>
    <row r="25" customFormat="false" ht="15" hidden="false" customHeight="false" outlineLevel="0" collapsed="false">
      <c r="A25" s="6" t="s">
        <v>183</v>
      </c>
      <c r="B25" s="65" t="n">
        <f aca="false">IF($B$6&gt;$B$7,B24*(1+$B$7)/($B$6-$B$7),0)</f>
        <v>6799305.30848961</v>
      </c>
      <c r="C25" s="65" t="n">
        <f aca="false">C24*$B$8</f>
        <v>8718141.68875882</v>
      </c>
    </row>
    <row r="26" customFormat="false" ht="15" hidden="false" customHeight="false" outlineLevel="0" collapsed="false">
      <c r="A26" s="6" t="s">
        <v>184</v>
      </c>
      <c r="B26" s="65" t="n">
        <f aca="false">B25/(1+$B$6)^$F$14</f>
        <v>3237237.75314678</v>
      </c>
      <c r="C26" s="65" t="n">
        <f aca="false">C25/(1+$B$6)^$F$14</f>
        <v>4150820.72824323</v>
      </c>
    </row>
    <row r="27" customFormat="false" ht="15" hidden="false" customHeight="false" outlineLevel="0" collapsed="false">
      <c r="A27" s="4" t="s">
        <v>178</v>
      </c>
      <c r="B27" s="66" t="n">
        <f aca="false">B23+B26</f>
        <v>4072114.73531411</v>
      </c>
      <c r="C27" s="66" t="n">
        <f aca="false">C23+C26</f>
        <v>4985697.71041056</v>
      </c>
    </row>
    <row r="28" customFormat="false" ht="15" hidden="false" customHeight="false" outlineLevel="0" collapsed="false">
      <c r="A28" s="38" t="s">
        <v>185</v>
      </c>
      <c r="B28" s="72" t="n">
        <f aca="false">IF(B27&lt;&gt;0,B26/B27,0)</f>
        <v>0.794977048429621</v>
      </c>
      <c r="C28" s="72" t="n">
        <f aca="false">IF(C27&lt;&gt;0,C26/C27,0)</f>
        <v>0.832545607323116</v>
      </c>
    </row>
    <row r="29" customFormat="false" ht="15" hidden="false" customHeight="false" outlineLevel="0" collapsed="false">
      <c r="A29" s="6" t="s">
        <v>186</v>
      </c>
      <c r="B29" s="76" t="n">
        <f aca="false">IF(C24&gt;0,B25/C24,"n/a")</f>
        <v>4.28946678452261</v>
      </c>
      <c r="C29" s="72" t="n">
        <f aca="false">IF(C25+B24&lt;&gt;0,(C25*$B$6-B24)/(C25+B24),"n/a")</f>
        <v>0.0478340612803094</v>
      </c>
    </row>
    <row r="30" customFormat="false" ht="15" hidden="false" customHeight="false" outlineLevel="0" collapsed="false">
      <c r="A30" s="68" t="s">
        <v>187</v>
      </c>
      <c r="B30" s="69" t="n">
        <f aca="false">AVERAGE(B27,C27)</f>
        <v>4528906.22286234</v>
      </c>
    </row>
    <row r="32" customFormat="false" ht="15.75" hidden="false" customHeight="true" outlineLevel="0" collapsed="false">
      <c r="A32" s="7" t="s">
        <v>188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189</v>
      </c>
      <c r="B33" s="77" t="n">
        <f aca="false">$B$7+(-2)*$B$11</f>
        <v>0.01</v>
      </c>
      <c r="C33" s="77" t="n">
        <f aca="false">$B$7+(-1)*$B$11</f>
        <v>0.015</v>
      </c>
      <c r="D33" s="77" t="n">
        <f aca="false">$B$7+(0)*$B$11</f>
        <v>0.02</v>
      </c>
      <c r="E33" s="77" t="n">
        <f aca="false">$B$7+(1)*$B$11</f>
        <v>0.025</v>
      </c>
      <c r="F33" s="77" t="n">
        <f aca="false">$B$7+(2)*$B$11</f>
        <v>0.03</v>
      </c>
    </row>
    <row r="34" customFormat="false" ht="15" hidden="false" customHeight="false" outlineLevel="0" collapsed="false">
      <c r="A34" s="72" t="n">
        <f aca="false">$B$6+(-2)*$B$10</f>
        <v>0.14</v>
      </c>
      <c r="B34" s="65" t="n">
        <f aca="false">IF($A34&gt;B$33,SUMPRODUCT($B$17:$F$17/(1+$A34)^$B$14:$F$14)+$F$17*(1+B$33)/($A34-B$33)/(1+$A34)^$F$14,"n/a")</f>
        <v>4680357.95316233</v>
      </c>
      <c r="C34" s="65" t="n">
        <f aca="false">IF($A34&gt;C$33,SUMPRODUCT($B$17:$F$17/(1+$A34)^$B$14:$F$14)+$F$17*(1+C$33)/($A34-C$33)/(1+$A34)^$F$14,"n/a")</f>
        <v>4850373.89289581</v>
      </c>
      <c r="D34" s="65" t="n">
        <f aca="false">IF($A34&gt;D$33,SUMPRODUCT($B$17:$F$17/(1+$A34)^$B$14:$F$14)+$F$17*(1+D$33)/($A34-D$33)/(1+$A34)^$F$14,"n/a")</f>
        <v>5034557.82760709</v>
      </c>
      <c r="E34" s="65" t="n">
        <f aca="false">IF($A34&gt;E$33,SUMPRODUCT($B$17:$F$17/(1+$A34)^$B$14:$F$14)+$F$17*(1+E$33)/($A34-E$33)/(1+$A34)^$F$14,"n/a")</f>
        <v>5234757.75664109</v>
      </c>
      <c r="F34" s="65" t="n">
        <f aca="false">IF($A34&gt;F$33,SUMPRODUCT($B$17:$F$17/(1+$A34)^$B$14:$F$14)+$F$17*(1+F$33)/($A34-F$33)/(1+$A34)^$F$14,"n/a")</f>
        <v>5453157.67922364</v>
      </c>
    </row>
    <row r="35" customFormat="false" ht="15" hidden="false" customHeight="false" outlineLevel="0" collapsed="false">
      <c r="A35" s="72" t="n">
        <f aca="false">$B$6+(-1)*$B$10</f>
        <v>0.15</v>
      </c>
      <c r="B35" s="65" t="n">
        <f aca="false">IF($A35&gt;B$33,SUMPRODUCT($B$17:$F$17/(1+$A35)^$B$14:$F$14)+$F$17*(1+B$33)/($A35-B$33)/(1+$A35)^$F$14,"n/a")</f>
        <v>4221134.72533186</v>
      </c>
      <c r="C35" s="65" t="n">
        <f aca="false">IF($A35&gt;C$33,SUMPRODUCT($B$17:$F$17/(1+$A35)^$B$14:$F$14)+$F$17*(1+C$33)/($A35-C$33)/(1+$A35)^$F$14,"n/a")</f>
        <v>4362293.94384699</v>
      </c>
      <c r="D35" s="65" t="n">
        <f aca="false">IF($A35&gt;D$33,SUMPRODUCT($B$17:$F$17/(1+$A35)^$B$14:$F$14)+$F$17*(1+D$33)/($A35-D$33)/(1+$A35)^$F$14,"n/a")</f>
        <v>4514311.56378637</v>
      </c>
      <c r="E35" s="65" t="n">
        <f aca="false">IF($A35&gt;E$33,SUMPRODUCT($B$17:$F$17/(1+$A35)^$B$14:$F$14)+$F$17*(1+E$33)/($A35-E$33)/(1+$A35)^$F$14,"n/a")</f>
        <v>4678490.5933209</v>
      </c>
      <c r="F35" s="65" t="n">
        <f aca="false">IF($A35&gt;F$33,SUMPRODUCT($B$17:$F$17/(1+$A35)^$B$14:$F$14)+$F$17*(1+F$33)/($A35-F$33)/(1+$A35)^$F$14,"n/a")</f>
        <v>4856351.20864997</v>
      </c>
    </row>
    <row r="36" customFormat="false" ht="15" hidden="false" customHeight="false" outlineLevel="0" collapsed="false">
      <c r="A36" s="72" t="n">
        <f aca="false">$B$6+(0)*$B$10</f>
        <v>0.16</v>
      </c>
      <c r="B36" s="65" t="n">
        <f aca="false">IF($A36&gt;B$33,SUMPRODUCT($B$17:$F$17/(1+$A36)^$B$14:$F$14)+$F$17*(1+B$33)/($A36-B$33)/(1+$A36)^$F$14,"n/a")</f>
        <v>3826677.1017422</v>
      </c>
      <c r="C36" s="65" t="n">
        <f aca="false">IF($A36&gt;C$33,SUMPRODUCT($B$17:$F$17/(1+$A36)^$B$14:$F$14)+$F$17*(1+C$33)/($A36-C$33)/(1+$A36)^$F$14,"n/a")</f>
        <v>3945164.23519071</v>
      </c>
      <c r="D36" s="65" t="n">
        <f aca="false">IF($A36&gt;D$33,SUMPRODUCT($B$17:$F$17/(1+$A36)^$B$14:$F$14)+$F$17*(1+D$33)/($A36-D$33)/(1+$A36)^$F$14,"n/a")</f>
        <v>4072114.73531411</v>
      </c>
      <c r="E36" s="65" t="n">
        <f aca="false">IF($A36&gt;E$33,SUMPRODUCT($B$17:$F$17/(1+$A36)^$B$14:$F$14)+$F$17*(1+E$33)/($A36-E$33)/(1+$A36)^$F$14,"n/a")</f>
        <v>4208468.9761874</v>
      </c>
      <c r="F36" s="65" t="n">
        <f aca="false">IF($A36&gt;F$33,SUMPRODUCT($B$17:$F$17/(1+$A36)^$B$14:$F$14)+$F$17*(1+F$33)/($A36-F$33)/(1+$A36)^$F$14,"n/a")</f>
        <v>4355312.00482016</v>
      </c>
    </row>
    <row r="37" customFormat="false" ht="15" hidden="false" customHeight="false" outlineLevel="0" collapsed="false">
      <c r="A37" s="72" t="n">
        <f aca="false">$B$6+(1)*$B$10</f>
        <v>0.17</v>
      </c>
      <c r="B37" s="65" t="n">
        <f aca="false">IF($A37&gt;B$33,SUMPRODUCT($B$17:$F$17/(1+$A37)^$B$14:$F$14)+$F$17*(1+B$33)/($A37-B$33)/(1+$A37)^$F$14,"n/a")</f>
        <v>3484702.5808189</v>
      </c>
      <c r="C37" s="65" t="n">
        <f aca="false">IF($A37&gt;C$33,SUMPRODUCT($B$17:$F$17/(1+$A37)^$B$14:$F$14)+$F$17*(1+C$33)/($A37-C$33)/(1+$A37)^$F$14,"n/a")</f>
        <v>3585110.34189097</v>
      </c>
      <c r="D37" s="65" t="n">
        <f aca="false">IF($A37&gt;D$33,SUMPRODUCT($B$17:$F$17/(1+$A37)^$B$14:$F$14)+$F$17*(1+D$33)/($A37-D$33)/(1+$A37)^$F$14,"n/a")</f>
        <v>3692211.95370118</v>
      </c>
      <c r="E37" s="65" t="n">
        <f aca="false">IF($A37&gt;E$33,SUMPRODUCT($B$17:$F$17/(1+$A37)^$B$14:$F$14)+$F$17*(1+E$33)/($A37-E$33)/(1+$A37)^$F$14,"n/a")</f>
        <v>3806699.88356727</v>
      </c>
      <c r="F37" s="65" t="n">
        <f aca="false">IF($A37&gt;F$33,SUMPRODUCT($B$17:$F$17/(1+$A37)^$B$14:$F$14)+$F$17*(1+F$33)/($A37-F$33)/(1+$A37)^$F$14,"n/a")</f>
        <v>3929365.52270952</v>
      </c>
    </row>
    <row r="38" customFormat="false" ht="15" hidden="false" customHeight="false" outlineLevel="0" collapsed="false">
      <c r="A38" s="72" t="n">
        <f aca="false">$B$6+(2)*$B$10</f>
        <v>0.18</v>
      </c>
      <c r="B38" s="65" t="n">
        <f aca="false">IF($A38&gt;B$33,SUMPRODUCT($B$17:$F$17/(1+$A38)^$B$14:$F$14)+$F$17*(1+B$33)/($A38-B$33)/(1+$A38)^$F$14,"n/a")</f>
        <v>3185825.46010123</v>
      </c>
      <c r="C38" s="65" t="n">
        <f aca="false">IF($A38&gt;C$33,SUMPRODUCT($B$17:$F$17/(1+$A38)^$B$14:$F$14)+$F$17*(1+C$33)/($A38-C$33)/(1+$A38)^$F$14,"n/a")</f>
        <v>3271628.27111155</v>
      </c>
      <c r="D38" s="65" t="n">
        <f aca="false">IF($A38&gt;D$33,SUMPRODUCT($B$17:$F$17/(1+$A38)^$B$14:$F$14)+$F$17*(1+D$33)/($A38-D$33)/(1+$A38)^$F$14,"n/a")</f>
        <v>3362793.75781002</v>
      </c>
      <c r="E38" s="65" t="n">
        <f aca="false">IF($A38&gt;E$33,SUMPRODUCT($B$17:$F$17/(1+$A38)^$B$14:$F$14)+$F$17*(1+E$33)/($A38-E$33)/(1+$A38)^$F$14,"n/a")</f>
        <v>3459840.88881161</v>
      </c>
      <c r="F38" s="65" t="n">
        <f aca="false">IF($A38&gt;F$33,SUMPRODUCT($B$17:$F$17/(1+$A38)^$B$14:$F$14)+$F$17*(1+F$33)/($A38-F$33)/(1+$A38)^$F$14,"n/a")</f>
        <v>3563357.82854665</v>
      </c>
    </row>
    <row r="40" customFormat="false" ht="15" hidden="false" customHeight="false" outlineLevel="0" collapsed="false">
      <c r="A40" s="38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191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192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193</v>
      </c>
      <c r="B5" s="7"/>
      <c r="C5" s="7"/>
    </row>
    <row r="6" customFormat="false" ht="15" hidden="false" customHeight="false" outlineLevel="0" collapsed="false">
      <c r="B6" s="50" t="s">
        <v>194</v>
      </c>
      <c r="C6" s="50" t="s">
        <v>195</v>
      </c>
    </row>
    <row r="7" customFormat="false" ht="15" hidden="false" customHeight="false" outlineLevel="0" collapsed="false">
      <c r="A7" s="6" t="s">
        <v>196</v>
      </c>
      <c r="B7" s="78" t="n">
        <f aca="false">Inputs!$E$58</f>
        <v>1500000</v>
      </c>
      <c r="C7" s="72" t="n">
        <f aca="false">IF($B$9=0,0,B7/$B$9)</f>
        <v>0.75</v>
      </c>
    </row>
    <row r="8" customFormat="false" ht="15" hidden="false" customHeight="false" outlineLevel="0" collapsed="false">
      <c r="A8" s="6" t="s">
        <v>197</v>
      </c>
      <c r="B8" s="78" t="n">
        <f aca="false">Inputs!$E$59</f>
        <v>500000</v>
      </c>
      <c r="C8" s="72" t="n">
        <f aca="false">IF($B$9=0,0,B8/$B$9)</f>
        <v>0.25</v>
      </c>
    </row>
    <row r="9" customFormat="false" ht="15" hidden="false" customHeight="false" outlineLevel="0" collapsed="false">
      <c r="A9" s="4" t="s">
        <v>198</v>
      </c>
      <c r="B9" s="79" t="n">
        <f aca="false">B7+B8</f>
        <v>2000000</v>
      </c>
      <c r="C9" s="80" t="n">
        <f aca="false">IF(B9=0,0,1)</f>
        <v>1</v>
      </c>
    </row>
    <row r="10" customFormat="false" ht="15" hidden="false" customHeight="false" outlineLevel="0" collapsed="false">
      <c r="A10" s="6" t="s">
        <v>199</v>
      </c>
      <c r="B10" s="76" t="n">
        <f aca="false">IF(B7&lt;=0,IF(B8&gt;0,"n/a",0),B8/B7)</f>
        <v>0.333333333333333</v>
      </c>
      <c r="D10" s="18" t="s">
        <v>200</v>
      </c>
    </row>
    <row r="11" customFormat="false" ht="15" hidden="false" customHeight="false" outlineLevel="0" collapsed="false">
      <c r="A11" s="6" t="s">
        <v>201</v>
      </c>
      <c r="B11" s="78" t="n">
        <f aca="false">'Break-even'!B12</f>
        <v>1459694.9207506</v>
      </c>
    </row>
    <row r="12" customFormat="false" ht="15" hidden="false" customHeight="false" outlineLevel="0" collapsed="false">
      <c r="A12" s="68" t="s">
        <v>67</v>
      </c>
      <c r="B12" s="81" t="n">
        <f aca="false">'Break-even'!B17</f>
        <v>540305.079249405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202</v>
      </c>
      <c r="B15" s="82" t="n">
        <v>12</v>
      </c>
      <c r="D15" s="18" t="s">
        <v>203</v>
      </c>
    </row>
    <row r="16" customFormat="false" ht="15" hidden="false" customHeight="false" outlineLevel="0" collapsed="false">
      <c r="A16" s="6" t="s">
        <v>204</v>
      </c>
      <c r="B16" s="63" t="n">
        <f aca="false">MIN(60,MAX(1,ROUND(B15,0)))</f>
        <v>12</v>
      </c>
    </row>
    <row r="17" customFormat="false" ht="15" hidden="false" customHeight="false" outlineLevel="0" collapsed="false">
      <c r="A17" s="33" t="s">
        <v>205</v>
      </c>
      <c r="B17" s="50" t="s">
        <v>194</v>
      </c>
      <c r="C17" s="50" t="s">
        <v>195</v>
      </c>
    </row>
    <row r="18" customFormat="false" ht="15" hidden="false" customHeight="false" outlineLevel="0" collapsed="false">
      <c r="A18" s="6" t="s">
        <v>64</v>
      </c>
      <c r="B18" s="59" t="n">
        <f aca="false">SUMPRODUCT(--(Monthly!$C$4:$BJ$4&lt;=$B$16),Monthly!$C$74:$BJ$74)</f>
        <v>1500000</v>
      </c>
      <c r="C18" s="72" t="n">
        <f aca="false">IF($B$21=0,0,B18/$B$21)</f>
        <v>0.75</v>
      </c>
    </row>
    <row r="19" customFormat="false" ht="15" hidden="false" customHeight="false" outlineLevel="0" collapsed="false">
      <c r="A19" s="6" t="s">
        <v>206</v>
      </c>
      <c r="B19" s="59" t="n">
        <f aca="false">SUMPRODUCT(--(Monthly!$C$4:$BJ$4&lt;=$B$16),Monthly!$C$59:$BJ$59)</f>
        <v>500000</v>
      </c>
      <c r="C19" s="72" t="n">
        <f aca="false">IF($B$21=0,0,B19/$B$21)</f>
        <v>0.25</v>
      </c>
    </row>
    <row r="20" customFormat="false" ht="15" hidden="false" customHeight="false" outlineLevel="0" collapsed="false">
      <c r="A20" s="6" t="s">
        <v>207</v>
      </c>
      <c r="B20" s="59" t="n">
        <f aca="false">MAX(0,SUMPRODUCT(--(Monthly!$C$4:$BJ$4&lt;=$B$16),Monthly!$C$72:$BJ$72))</f>
        <v>0</v>
      </c>
      <c r="C20" s="72" t="n">
        <f aca="false">IF($B$21=0,0,B20/$B$21)</f>
        <v>0</v>
      </c>
    </row>
    <row r="21" customFormat="false" ht="15" hidden="false" customHeight="false" outlineLevel="0" collapsed="false">
      <c r="A21" s="4" t="s">
        <v>208</v>
      </c>
      <c r="B21" s="79" t="n">
        <f aca="false">SUM(B18:B20)</f>
        <v>2000000</v>
      </c>
      <c r="C21" s="80" t="n">
        <f aca="false">IF(B21=0,0,1)</f>
        <v>1</v>
      </c>
    </row>
    <row r="23" customFormat="false" ht="15" hidden="false" customHeight="false" outlineLevel="0" collapsed="false">
      <c r="A23" s="33" t="s">
        <v>209</v>
      </c>
      <c r="B23" s="50" t="s">
        <v>194</v>
      </c>
      <c r="C23" s="50" t="s">
        <v>195</v>
      </c>
    </row>
    <row r="24" customFormat="false" ht="15" hidden="false" customHeight="false" outlineLevel="0" collapsed="false">
      <c r="A24" s="6" t="s">
        <v>210</v>
      </c>
      <c r="B24" s="59" t="n">
        <f aca="false">MAX(0,-SUMPRODUCT(--(Monthly!$C$4:$BJ$4&lt;=$B$16),Monthly!$C$72:$BJ$72))</f>
        <v>146060.154365079</v>
      </c>
      <c r="C24" s="72" t="n">
        <f aca="false">IF($B$28=0,0,B24/$B$28)</f>
        <v>0.0730300771825397</v>
      </c>
    </row>
    <row r="25" customFormat="false" ht="15" hidden="false" customHeight="false" outlineLevel="0" collapsed="false">
      <c r="A25" s="6" t="s">
        <v>84</v>
      </c>
      <c r="B25" s="59" t="n">
        <f aca="false">-SUMPRODUCT(--(Monthly!$C$4:$BJ$4&lt;=$B$16),Monthly!$C$73:$BJ$73)</f>
        <v>350000</v>
      </c>
      <c r="C25" s="72" t="n">
        <f aca="false">IF($B$28=0,0,B25/$B$28)</f>
        <v>0.175</v>
      </c>
    </row>
    <row r="26" customFormat="false" ht="15" hidden="false" customHeight="false" outlineLevel="0" collapsed="false">
      <c r="A26" s="6" t="s">
        <v>211</v>
      </c>
      <c r="B26" s="59" t="n">
        <f aca="false">-SUMPRODUCT(--(Monthly!$C$4:$BJ$4&lt;=$B$16),Monthly!$C$60:$BJ$60)</f>
        <v>91666.6666666667</v>
      </c>
      <c r="C26" s="72" t="n">
        <f aca="false">IF($B$28=0,0,B26/$B$28)</f>
        <v>0.0458333333333333</v>
      </c>
    </row>
    <row r="27" customFormat="false" ht="15" hidden="false" customHeight="false" outlineLevel="0" collapsed="false">
      <c r="A27" s="6" t="s">
        <v>212</v>
      </c>
      <c r="B27" s="59" t="n">
        <f aca="false">INDEX(Monthly!$C$78:$BJ$78,$B$16)</f>
        <v>1412273.17896825</v>
      </c>
      <c r="C27" s="72" t="n">
        <f aca="false">IF($B$28=0,0,B27/$B$28)</f>
        <v>0.706136589484127</v>
      </c>
    </row>
    <row r="28" customFormat="false" ht="15" hidden="false" customHeight="false" outlineLevel="0" collapsed="false">
      <c r="A28" s="4" t="s">
        <v>213</v>
      </c>
      <c r="B28" s="79" t="n">
        <f aca="false">SUM(B24:B27)</f>
        <v>2000000</v>
      </c>
      <c r="C28" s="80" t="n">
        <f aca="false">IF(B28=0,0,1)</f>
        <v>1</v>
      </c>
    </row>
    <row r="29" customFormat="false" ht="15" hidden="false" customHeight="false" outlineLevel="0" collapsed="false">
      <c r="A29" s="6" t="s">
        <v>214</v>
      </c>
      <c r="B29" s="59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215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216</v>
      </c>
    </row>
    <row r="4" customFormat="false" ht="15.75" hidden="false" customHeight="true" outlineLevel="0" collapsed="false">
      <c r="A4" s="7" t="s">
        <v>217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0" t="s">
        <v>218</v>
      </c>
    </row>
    <row r="6" customFormat="false" ht="15" hidden="false" customHeight="false" outlineLevel="0" collapsed="false">
      <c r="A6" s="38" t="s">
        <v>219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0.301751993285775</v>
      </c>
      <c r="D6" s="39" t="n">
        <f aca="false">IF(N('P&amp;L'!C5)&lt;=0,"n/a",'P&amp;L'!D5/'P&amp;L'!C5-1)</f>
        <v>0.274475955610358</v>
      </c>
      <c r="E6" s="39" t="n">
        <f aca="false">IF(N('P&amp;L'!D5)&lt;=0,"n/a",'P&amp;L'!E5/'P&amp;L'!D5-1)</f>
        <v>0.256881578947368</v>
      </c>
      <c r="F6" s="39" t="n">
        <f aca="false">IF(N('P&amp;L'!E5)&lt;=0,"n/a",'P&amp;L'!F5/'P&amp;L'!E5-1)</f>
        <v>0.245442872397224</v>
      </c>
      <c r="G6" s="83"/>
    </row>
    <row r="7" customFormat="false" ht="15" hidden="false" customHeight="false" outlineLevel="0" collapsed="false">
      <c r="A7" s="38" t="s">
        <v>46</v>
      </c>
      <c r="B7" s="39" t="n">
        <f aca="false">IF('P&amp;L'!B5&lt;=0,"n/a",'P&amp;L'!B7/'P&amp;L'!B5)</f>
        <v>0.58</v>
      </c>
      <c r="C7" s="39" t="n">
        <f aca="false">IF('P&amp;L'!C5&lt;=0,"n/a",'P&amp;L'!C7/'P&amp;L'!C5)</f>
        <v>0.58</v>
      </c>
      <c r="D7" s="39" t="n">
        <f aca="false">IF('P&amp;L'!D5&lt;=0,"n/a",'P&amp;L'!D7/'P&amp;L'!D5)</f>
        <v>0.58</v>
      </c>
      <c r="E7" s="39" t="n">
        <f aca="false">IF('P&amp;L'!E5&lt;=0,"n/a",'P&amp;L'!E7/'P&amp;L'!E5)</f>
        <v>0.58</v>
      </c>
      <c r="F7" s="39" t="n">
        <f aca="false">IF('P&amp;L'!F5&lt;=0,"n/a",'P&amp;L'!F7/'P&amp;L'!F5)</f>
        <v>0.58</v>
      </c>
      <c r="G7" s="83"/>
    </row>
    <row r="8" customFormat="false" ht="15" hidden="false" customHeight="false" outlineLevel="0" collapsed="false">
      <c r="A8" s="38" t="s">
        <v>49</v>
      </c>
      <c r="B8" s="39" t="n">
        <f aca="false">IF('P&amp;L'!B5&lt;=0,"n/a",'P&amp;L'!B18/'P&amp;L'!B5)</f>
        <v>0.0575700823217959</v>
      </c>
      <c r="C8" s="39" t="n">
        <f aca="false">IF('P&amp;L'!C5&lt;=0,"n/a",'P&amp;L'!C18/'P&amp;L'!C5)</f>
        <v>0.0810330998078447</v>
      </c>
      <c r="D8" s="39" t="n">
        <f aca="false">IF('P&amp;L'!D5&lt;=0,"n/a",'P&amp;L'!D18/'P&amp;L'!D5)</f>
        <v>0.0958916492696836</v>
      </c>
      <c r="E8" s="39" t="n">
        <f aca="false">IF('P&amp;L'!E5&lt;=0,"n/a",'P&amp;L'!E18/'P&amp;L'!E5)</f>
        <v>0.105194326135061</v>
      </c>
      <c r="F8" s="39" t="n">
        <f aca="false">IF('P&amp;L'!F5&lt;=0,"n/a",'P&amp;L'!F18/'P&amp;L'!F5)</f>
        <v>0.110673118139964</v>
      </c>
      <c r="G8" s="83"/>
    </row>
    <row r="9" customFormat="false" ht="15" hidden="false" customHeight="false" outlineLevel="0" collapsed="false">
      <c r="A9" s="38" t="s">
        <v>51</v>
      </c>
      <c r="B9" s="39" t="n">
        <f aca="false">IF('P&amp;L'!B5&lt;=0,"n/a",'P&amp;L'!B25/'P&amp;L'!B5)</f>
        <v>0.0330695887133773</v>
      </c>
      <c r="C9" s="39" t="n">
        <f aca="false">IF('P&amp;L'!C5&lt;=0,"n/a",'P&amp;L'!C25/'P&amp;L'!C5)</f>
        <v>0.0530014851933206</v>
      </c>
      <c r="D9" s="39" t="n">
        <f aca="false">IF('P&amp;L'!D5&lt;=0,"n/a",'P&amp;L'!D25/'P&amp;L'!D5)</f>
        <v>0.0659524382499269</v>
      </c>
      <c r="E9" s="39" t="n">
        <f aca="false">IF('P&amp;L'!E5&lt;=0,"n/a",'P&amp;L'!E25/'P&amp;L'!E5)</f>
        <v>0.0743823895443697</v>
      </c>
      <c r="F9" s="39" t="n">
        <f aca="false">IF('P&amp;L'!F5&lt;=0,"n/a",'P&amp;L'!F25/'P&amp;L'!F5)</f>
        <v>0.0796886397916586</v>
      </c>
      <c r="G9" s="83"/>
    </row>
    <row r="10" customFormat="false" ht="15" hidden="false" customHeight="false" outlineLevel="0" collapsed="false">
      <c r="A10" s="38" t="s">
        <v>220</v>
      </c>
      <c r="B10" s="39" t="n">
        <f aca="false">IF('P&amp;L'!B5&lt;=0,"n/a",-SUMIF(Headcount!$C$5:$BJ$5,B$5,Headcount!$C$19:$BJ$19)/'P&amp;L'!B5)</f>
        <v>0.228125663781</v>
      </c>
      <c r="C10" s="39" t="n">
        <f aca="false">IF('P&amp;L'!C5&lt;=0,"n/a",-SUMIF(Headcount!$C$5:$BJ$5,C$5,Headcount!$C$19:$BJ$19)/'P&amp;L'!C5)</f>
        <v>0.21988631166136</v>
      </c>
      <c r="D10" s="39" t="n">
        <f aca="false">IF('P&amp;L'!D5&lt;=0,"n/a",-SUMIF(Headcount!$C$5:$BJ$5,D$5,Headcount!$C$19:$BJ$19)/'P&amp;L'!D5)</f>
        <v>0.216907633956966</v>
      </c>
      <c r="E10" s="39" t="n">
        <f aca="false">IF('P&amp;L'!E5&lt;=0,"n/a",-SUMIF(Headcount!$C$5:$BJ$5,E$5,Headcount!$C$19:$BJ$19)/'P&amp;L'!E5)</f>
        <v>0.217400604342641</v>
      </c>
      <c r="F10" s="39" t="n">
        <f aca="false">IF('P&amp;L'!F5&lt;=0,"n/a",-SUMIF(Headcount!$C$5:$BJ$5,F$5,Headcount!$C$19:$BJ$19)/'P&amp;L'!F5)</f>
        <v>0.220344890146181</v>
      </c>
      <c r="G10" s="83"/>
    </row>
    <row r="11" customFormat="false" ht="15" hidden="false" customHeight="false" outlineLevel="0" collapsed="false">
      <c r="A11" s="38" t="s">
        <v>221</v>
      </c>
      <c r="B11" s="39" t="n">
        <f aca="false">IF('P&amp;L'!B5&lt;=0,"n/a",-'P&amp;L'!B11/'P&amp;L'!B5)</f>
        <v>0.108795324909467</v>
      </c>
      <c r="C11" s="39" t="n">
        <f aca="false">IF('P&amp;L'!C5&lt;=0,"n/a",-'P&amp;L'!C11/'P&amp;L'!C5)</f>
        <v>0.100291292477168</v>
      </c>
      <c r="D11" s="39" t="n">
        <f aca="false">IF('P&amp;L'!D5&lt;=0,"n/a",-'P&amp;L'!D11/'P&amp;L'!D5)</f>
        <v>0.0944306171040828</v>
      </c>
      <c r="E11" s="39" t="n">
        <f aca="false">IF('P&amp;L'!E5&lt;=0,"n/a",-'P&amp;L'!E11/'P&amp;L'!E5)</f>
        <v>0.0901570541114951</v>
      </c>
      <c r="F11" s="39" t="n">
        <f aca="false">IF('P&amp;L'!F5&lt;=0,"n/a",-'P&amp;L'!F11/'P&amp;L'!F5)</f>
        <v>0.0868674648444962</v>
      </c>
      <c r="G11" s="83"/>
    </row>
    <row r="12" customFormat="false" ht="15" hidden="false" customHeight="false" outlineLevel="0" collapsed="false">
      <c r="A12" s="38" t="s">
        <v>222</v>
      </c>
      <c r="B12" s="39" t="n">
        <f aca="false">IF('P&amp;L'!B5&lt;=0,"n/a",-'P&amp;L'!B17/'P&amp;L'!B5)</f>
        <v>0.522429917678204</v>
      </c>
      <c r="C12" s="39" t="n">
        <f aca="false">IF('P&amp;L'!C5&lt;=0,"n/a",-'P&amp;L'!C17/'P&amp;L'!C5)</f>
        <v>0.498966900192155</v>
      </c>
      <c r="D12" s="39" t="n">
        <f aca="false">IF('P&amp;L'!D5&lt;=0,"n/a",-'P&amp;L'!D17/'P&amp;L'!D5)</f>
        <v>0.484108350730317</v>
      </c>
      <c r="E12" s="39" t="n">
        <f aca="false">IF('P&amp;L'!E5&lt;=0,"n/a",-'P&amp;L'!E17/'P&amp;L'!E5)</f>
        <v>0.474805673864939</v>
      </c>
      <c r="F12" s="39" t="n">
        <f aca="false">IF('P&amp;L'!F5&lt;=0,"n/a",-'P&amp;L'!F17/'P&amp;L'!F5)</f>
        <v>0.469326881860036</v>
      </c>
      <c r="G12" s="83"/>
    </row>
    <row r="13" customFormat="false" ht="15" hidden="false" customHeight="false" outlineLevel="0" collapsed="false">
      <c r="A13" s="6" t="s">
        <v>223</v>
      </c>
      <c r="B13" s="84" t="n">
        <f aca="false">IF(('Balance Sheet'!B12-'Balance Sheet'!B11)&lt;=0,"n/a",('Balance Sheet'!B5+'Balance Sheet'!B6+'Balance Sheet'!B7)/('Balance Sheet'!B12-'Balance Sheet'!B11))</f>
        <v>8.84887495673029</v>
      </c>
      <c r="C13" s="84" t="n">
        <f aca="false">IF(('Balance Sheet'!C12-'Balance Sheet'!C11)&lt;=0,"n/a",('Balance Sheet'!C5+'Balance Sheet'!C6+'Balance Sheet'!C7)/('Balance Sheet'!C12-'Balance Sheet'!C11))</f>
        <v>7.66961034414702</v>
      </c>
      <c r="D13" s="84" t="n">
        <f aca="false">IF(('Balance Sheet'!D12-'Balance Sheet'!D11)&lt;=0,"n/a",('Balance Sheet'!D5+'Balance Sheet'!D6+'Balance Sheet'!D7)/('Balance Sheet'!D12-'Balance Sheet'!D11))</f>
        <v>7.38171753183643</v>
      </c>
      <c r="E13" s="84" t="n">
        <f aca="false">IF(('Balance Sheet'!E12-'Balance Sheet'!E11)&lt;=0,"n/a",('Balance Sheet'!E5+'Balance Sheet'!E6+'Balance Sheet'!E7)/('Balance Sheet'!E12-'Balance Sheet'!E11))</f>
        <v>7.5603340047085</v>
      </c>
      <c r="F13" s="84" t="n">
        <f aca="false">IF(('Balance Sheet'!F12-'Balance Sheet'!F11)&lt;=0,"n/a",('Balance Sheet'!F5+'Balance Sheet'!F6+'Balance Sheet'!F7)/('Balance Sheet'!F12-'Balance Sheet'!F11))</f>
        <v>7.96983109154813</v>
      </c>
      <c r="G13" s="85"/>
    </row>
    <row r="14" customFormat="false" ht="15" hidden="false" customHeight="false" outlineLevel="0" collapsed="false">
      <c r="A14" s="6" t="s">
        <v>224</v>
      </c>
      <c r="B14" s="84" t="n">
        <f aca="false">IF('Balance Sheet'!B15&lt;=0,"n/a",'Balance Sheet'!B11/'Balance Sheet'!B15)</f>
        <v>0.24271216233391</v>
      </c>
      <c r="C14" s="84" t="n">
        <f aca="false">IF('Balance Sheet'!C15&lt;=0,"n/a",'Balance Sheet'!C11/'Balance Sheet'!C15)</f>
        <v>0.149467468436973</v>
      </c>
      <c r="D14" s="84" t="n">
        <f aca="false">IF('Balance Sheet'!D15&lt;=0,"n/a",'Balance Sheet'!D11/'Balance Sheet'!D15)</f>
        <v>0.0781352753277163</v>
      </c>
      <c r="E14" s="84" t="n">
        <f aca="false">IF('Balance Sheet'!E15&lt;=0,"n/a",'Balance Sheet'!E11/'Balance Sheet'!E15)</f>
        <v>0.0307615852058599</v>
      </c>
      <c r="F14" s="84" t="n">
        <f aca="false">IF('Balance Sheet'!F15&lt;=0,"n/a",'Balance Sheet'!F11/'Balance Sheet'!F15)</f>
        <v>0.00178709943032631</v>
      </c>
      <c r="G14" s="85"/>
    </row>
    <row r="15" customFormat="false" ht="15" hidden="false" customHeight="false" outlineLevel="0" collapsed="false">
      <c r="A15" s="38" t="s">
        <v>225</v>
      </c>
      <c r="B15" s="39" t="n">
        <f aca="false">IF('Balance Sheet'!B9&lt;=0,"n/a",'P&amp;L'!B25/'Balance Sheet'!B9)</f>
        <v>0.0786494141573329</v>
      </c>
      <c r="C15" s="39" t="n">
        <f aca="false">IF('Balance Sheet'!C9&lt;=0,"n/a",'P&amp;L'!C25/'Balance Sheet'!C9)</f>
        <v>0.142511470493164</v>
      </c>
      <c r="D15" s="39" t="n">
        <f aca="false">IF('Balance Sheet'!D9&lt;=0,"n/a",'P&amp;L'!D25/'Balance Sheet'!D9)</f>
        <v>0.185283776630608</v>
      </c>
      <c r="E15" s="39" t="n">
        <f aca="false">IF('Balance Sheet'!E9&lt;=0,"n/a",'P&amp;L'!E25/'Balance Sheet'!E9)</f>
        <v>0.208048083422007</v>
      </c>
      <c r="F15" s="39" t="n">
        <f aca="false">IF('Balance Sheet'!F9&lt;=0,"n/a",'P&amp;L'!F25/'Balance Sheet'!F9)</f>
        <v>0.216494252635007</v>
      </c>
      <c r="G15" s="83"/>
    </row>
    <row r="16" customFormat="false" ht="15" hidden="false" customHeight="false" outlineLevel="0" collapsed="false">
      <c r="A16" s="38" t="s">
        <v>226</v>
      </c>
      <c r="B16" s="39" t="n">
        <f aca="false">IF('Balance Sheet'!B15&lt;=0,"n/a",'P&amp;L'!B25/'Balance Sheet'!B15)</f>
        <v>0.108404301630535</v>
      </c>
      <c r="C16" s="39" t="n">
        <f aca="false">IF('Balance Sheet'!C15&lt;=0,"n/a",'P&amp;L'!C25/'Balance Sheet'!C15)</f>
        <v>0.184452059415374</v>
      </c>
      <c r="D16" s="39" t="n">
        <f aca="false">IF('Balance Sheet'!D15&lt;=0,"n/a",'P&amp;L'!D25/'Balance Sheet'!D15)</f>
        <v>0.226318551492813</v>
      </c>
      <c r="E16" s="39" t="n">
        <f aca="false">IF('Balance Sheet'!E15&lt;=0,"n/a",'P&amp;L'!E25/'Balance Sheet'!E15)</f>
        <v>0.242891326887417</v>
      </c>
      <c r="F16" s="39" t="n">
        <f aca="false">IF('Balance Sheet'!F15&lt;=0,"n/a",'P&amp;L'!F25/'Balance Sheet'!F15)</f>
        <v>0.244762828743448</v>
      </c>
      <c r="G16" s="83"/>
    </row>
    <row r="18" customFormat="false" ht="15.75" hidden="false" customHeight="true" outlineLevel="0" collapsed="false">
      <c r="A18" s="7" t="s">
        <v>227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  <c r="E19" s="34" t="n">
        <v>4</v>
      </c>
      <c r="F19" s="34" t="n">
        <v>5</v>
      </c>
    </row>
    <row r="20" customFormat="false" ht="15" hidden="false" customHeight="false" outlineLevel="0" collapsed="false">
      <c r="A20" s="49" t="s">
        <v>51</v>
      </c>
      <c r="B20" s="39" t="n">
        <f aca="false">IF('P&amp;L'!B5&lt;=0,"n/a",'P&amp;L'!B25/'P&amp;L'!B5)</f>
        <v>0.0330695887133773</v>
      </c>
      <c r="C20" s="39" t="n">
        <f aca="false">IF('P&amp;L'!C5&lt;=0,"n/a",'P&amp;L'!C25/'P&amp;L'!C5)</f>
        <v>0.0530014851933206</v>
      </c>
      <c r="D20" s="39" t="n">
        <f aca="false">IF('P&amp;L'!D5&lt;=0,"n/a",'P&amp;L'!D25/'P&amp;L'!D5)</f>
        <v>0.0659524382499269</v>
      </c>
      <c r="E20" s="39" t="n">
        <f aca="false">IF('P&amp;L'!E5&lt;=0,"n/a",'P&amp;L'!E25/'P&amp;L'!E5)</f>
        <v>0.0743823895443697</v>
      </c>
      <c r="F20" s="39" t="n">
        <f aca="false">IF('P&amp;L'!F5&lt;=0,"n/a",'P&amp;L'!F25/'P&amp;L'!F5)</f>
        <v>0.0796886397916586</v>
      </c>
    </row>
    <row r="21" customFormat="false" ht="15" hidden="false" customHeight="false" outlineLevel="0" collapsed="false">
      <c r="A21" s="49" t="s">
        <v>228</v>
      </c>
      <c r="B21" s="84" t="n">
        <f aca="false">IF('Balance Sheet'!B9&lt;=0,"n/a",'P&amp;L'!B5/'Balance Sheet'!B9)</f>
        <v>2.37830034231776</v>
      </c>
      <c r="C21" s="84" t="n">
        <f aca="false">IF('Balance Sheet'!C9&lt;=0,"n/a",'P&amp;L'!C5/'Balance Sheet'!C9)</f>
        <v>2.68882032217322</v>
      </c>
      <c r="D21" s="84" t="n">
        <f aca="false">IF('Balance Sheet'!D9&lt;=0,"n/a",'P&amp;L'!D5/'Balance Sheet'!D9)</f>
        <v>2.80935446129337</v>
      </c>
      <c r="E21" s="84" t="n">
        <f aca="false">IF('Balance Sheet'!E9&lt;=0,"n/a",'P&amp;L'!E5/'Balance Sheet'!E9)</f>
        <v>2.79700725798685</v>
      </c>
      <c r="F21" s="84" t="n">
        <f aca="false">IF('Balance Sheet'!F9&lt;=0,"n/a",'P&amp;L'!F5/'Balance Sheet'!F9)</f>
        <v>2.71675176287385</v>
      </c>
    </row>
    <row r="22" customFormat="false" ht="15" hidden="false" customHeight="false" outlineLevel="0" collapsed="false">
      <c r="A22" s="49" t="s">
        <v>229</v>
      </c>
      <c r="B22" s="84" t="n">
        <f aca="false">IF('Balance Sheet'!B15&lt;=0,"n/a",'Balance Sheet'!B9/'Balance Sheet'!B15)</f>
        <v>1.37832306561978</v>
      </c>
      <c r="C22" s="84" t="n">
        <f aca="false">IF('Balance Sheet'!C15&lt;=0,"n/a",'Balance Sheet'!C9/'Balance Sheet'!C15)</f>
        <v>1.29429623297741</v>
      </c>
      <c r="D22" s="84" t="n">
        <f aca="false">IF('Balance Sheet'!D15&lt;=0,"n/a",'Balance Sheet'!D9/'Balance Sheet'!D15)</f>
        <v>1.22146987506637</v>
      </c>
      <c r="E22" s="84" t="n">
        <f aca="false">IF('Balance Sheet'!E15&lt;=0,"n/a",'Balance Sheet'!E9/'Balance Sheet'!E15)</f>
        <v>1.16747687790391</v>
      </c>
      <c r="F22" s="84" t="n">
        <f aca="false">IF('Balance Sheet'!F15&lt;=0,"n/a",'Balance Sheet'!F9/'Balance Sheet'!F15)</f>
        <v>1.13057425665752</v>
      </c>
    </row>
    <row r="23" customFormat="false" ht="15" hidden="false" customHeight="false" outlineLevel="0" collapsed="false">
      <c r="A23" s="40" t="s">
        <v>230</v>
      </c>
      <c r="B23" s="86" t="n">
        <f aca="false">IF(AND(ISNUMBER(B20),ISNUMBER(B21),ISNUMBER(B22)),B20*B21*B22,"n/a")</f>
        <v>0.108404301630535</v>
      </c>
      <c r="C23" s="86" t="n">
        <f aca="false">IF(AND(ISNUMBER(C20),ISNUMBER(C21),ISNUMBER(C22)),C20*C21*C22,"n/a")</f>
        <v>0.184452059415374</v>
      </c>
      <c r="D23" s="86" t="n">
        <f aca="false">IF(AND(ISNUMBER(D20),ISNUMBER(D21),ISNUMBER(D22)),D20*D21*D22,"n/a")</f>
        <v>0.226318551492813</v>
      </c>
      <c r="E23" s="86" t="n">
        <f aca="false">IF(AND(ISNUMBER(E20),ISNUMBER(E21),ISNUMBER(E22)),E20*E21*E22,"n/a")</f>
        <v>0.242891326887417</v>
      </c>
      <c r="F23" s="86" t="n">
        <f aca="false">IF(AND(ISNUMBER(F20),ISNUMBER(F21),ISNUMBER(F22)),F20*F21*F22,"n/a")</f>
        <v>0.244762828743448</v>
      </c>
    </row>
    <row r="24" customFormat="false" ht="15" hidden="false" customHeight="false" outlineLevel="0" collapsed="false">
      <c r="A24" s="21" t="s">
        <v>231</v>
      </c>
      <c r="B24" s="39" t="n">
        <f aca="false">IF(AND(ISNUMBER(B23),ISNUMBER(B16)),B23-B16,IF(ISNUMBER(B23),1,IF(AND(ISNUMBER(B16),ISNUMBER(B20),ISNUMBER(B21)),1,0)))</f>
        <v>0</v>
      </c>
      <c r="C24" s="39" t="n">
        <f aca="false">IF(AND(ISNUMBER(C23),ISNUMBER(C16)),C23-C16,IF(ISNUMBER(C23),1,IF(AND(ISNUMBER(C16),ISNUMBER(C20),ISNUMBER(C21)),1,0)))</f>
        <v>0</v>
      </c>
      <c r="D24" s="39" t="n">
        <f aca="false">IF(AND(ISNUMBER(D23),ISNUMBER(D16)),D23-D16,IF(ISNUMBER(D23),1,IF(AND(ISNUMBER(D16),ISNUMBER(D20),ISNUMBER(D21)),1,0)))</f>
        <v>0</v>
      </c>
      <c r="E24" s="39" t="n">
        <f aca="false">IF(AND(ISNUMBER(E23),ISNUMBER(E16)),E23-E16,IF(ISNUMBER(E23),1,IF(AND(ISNUMBER(E16),ISNUMBER(E20),ISNUMBER(E21)),1,0)))</f>
        <v>0</v>
      </c>
      <c r="F24" s="39" t="n">
        <f aca="false">IF(AND(ISNUMBER(F23),ISNUMBER(F16)),F23-F16,IF(ISNUMBER(F23),1,IF(AND(ISNUMBER(F16),ISNUMBER(F20),ISNUMBER(F21)),1,0)))</f>
        <v>0</v>
      </c>
    </row>
    <row r="26" customFormat="false" ht="15.75" hidden="false" customHeight="true" outlineLevel="0" collapsed="false">
      <c r="A26" s="7" t="s">
        <v>232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70" t="s">
        <v>154</v>
      </c>
      <c r="B27" s="70" t="n">
        <v>1</v>
      </c>
      <c r="C27" s="70" t="n">
        <v>2</v>
      </c>
      <c r="D27" s="70" t="n">
        <v>3</v>
      </c>
      <c r="E27" s="70" t="n">
        <v>4</v>
      </c>
      <c r="F27" s="70" t="n">
        <v>5</v>
      </c>
    </row>
    <row r="28" customFormat="false" ht="15" hidden="false" customHeight="false" outlineLevel="0" collapsed="false">
      <c r="A28" s="33"/>
      <c r="B28" s="50" t="s">
        <v>155</v>
      </c>
      <c r="C28" s="50" t="s">
        <v>156</v>
      </c>
      <c r="D28" s="50" t="s">
        <v>157</v>
      </c>
      <c r="E28" s="50" t="s">
        <v>158</v>
      </c>
      <c r="F28" s="50" t="s">
        <v>159</v>
      </c>
      <c r="G28" s="50" t="s">
        <v>218</v>
      </c>
    </row>
    <row r="29" customFormat="false" ht="15" hidden="false" customHeight="false" outlineLevel="0" collapsed="false">
      <c r="A29" s="6" t="s">
        <v>233</v>
      </c>
      <c r="B29" s="87" t="n">
        <f aca="false">SUMIF(Monthly!$C$5:$BJ$5,B$27,Monthly!$C$9:$BJ$9)</f>
        <v>960000</v>
      </c>
      <c r="C29" s="87" t="n">
        <f aca="false">SUMIF(Monthly!$C$5:$BJ$5,C$27,Monthly!$C$9:$BJ$9)</f>
        <v>1200000</v>
      </c>
      <c r="D29" s="87" t="n">
        <f aca="false">SUMIF(Monthly!$C$5:$BJ$5,D$27,Monthly!$C$9:$BJ$9)</f>
        <v>1500000</v>
      </c>
      <c r="E29" s="87" t="n">
        <f aca="false">SUMIF(Monthly!$C$5:$BJ$5,E$27,Monthly!$C$9:$BJ$9)</f>
        <v>1875000</v>
      </c>
      <c r="F29" s="87" t="n">
        <f aca="false">SUMIF(Monthly!$C$5:$BJ$5,F$27,Monthly!$C$9:$BJ$9)</f>
        <v>2343750</v>
      </c>
      <c r="G29" s="88"/>
    </row>
    <row r="30" customFormat="false" ht="15" hidden="false" customHeight="false" outlineLevel="0" collapsed="false">
      <c r="A30" s="4" t="s">
        <v>60</v>
      </c>
      <c r="B30" s="89" t="n">
        <f aca="false">SUMIF(Monthly!$C$5:$BJ$5,B$27,Monthly!$C$14:$BJ$14)</f>
        <v>66702.8571428571</v>
      </c>
      <c r="C30" s="89" t="n">
        <f aca="false">SUMIF(Monthly!$C$5:$BJ$5,C$27,Monthly!$C$14:$BJ$14)</f>
        <v>81771.4285714286</v>
      </c>
      <c r="D30" s="89" t="n">
        <f aca="false">SUMIF(Monthly!$C$5:$BJ$5,D$27,Monthly!$C$14:$BJ$14)</f>
        <v>100285.714285714</v>
      </c>
      <c r="E30" s="89" t="n">
        <f aca="false">SUMIF(Monthly!$C$5:$BJ$5,E$27,Monthly!$C$14:$BJ$14)</f>
        <v>123042.857142857</v>
      </c>
      <c r="F30" s="89" t="n">
        <f aca="false">SUMIF(Monthly!$C$5:$BJ$5,F$27,Monthly!$C$14:$BJ$14)</f>
        <v>151026.428571429</v>
      </c>
      <c r="G30" s="88"/>
    </row>
    <row r="31" customFormat="false" ht="15" hidden="false" customHeight="false" outlineLevel="0" collapsed="false">
      <c r="A31" s="6" t="s">
        <v>234</v>
      </c>
      <c r="B31" s="87" t="n">
        <f aca="false">SUMIF(Monthly!$C$5:$BJ$5,B$27,Monthly!$C$13:$BJ$13)</f>
        <v>22234.2857142857</v>
      </c>
      <c r="C31" s="87" t="n">
        <f aca="false">SUMIF(Monthly!$C$5:$BJ$5,C$27,Monthly!$C$13:$BJ$13)</f>
        <v>27257.1428571429</v>
      </c>
      <c r="D31" s="87" t="n">
        <f aca="false">SUMIF(Monthly!$C$5:$BJ$5,D$27,Monthly!$C$13:$BJ$13)</f>
        <v>33428.5714285714</v>
      </c>
      <c r="E31" s="87" t="n">
        <f aca="false">SUMIF(Monthly!$C$5:$BJ$5,E$27,Monthly!$C$13:$BJ$13)</f>
        <v>41014.2857142857</v>
      </c>
      <c r="F31" s="87" t="n">
        <f aca="false">SUMIF(Monthly!$C$5:$BJ$5,F$27,Monthly!$C$13:$BJ$13)</f>
        <v>50342.1428571429</v>
      </c>
      <c r="G31" s="88"/>
    </row>
    <row r="32" customFormat="false" ht="15" hidden="false" customHeight="false" outlineLevel="0" collapsed="false">
      <c r="A32" s="38" t="s">
        <v>235</v>
      </c>
      <c r="B32" s="90" t="n">
        <f aca="false">IF(B30=0,0,B31/B30)</f>
        <v>0.333333333333333</v>
      </c>
      <c r="C32" s="90" t="n">
        <f aca="false">IF(C30=0,0,C31/C30)</f>
        <v>0.333333333333333</v>
      </c>
      <c r="D32" s="90" t="n">
        <f aca="false">IF(D30=0,0,D31/D30)</f>
        <v>0.333333333333333</v>
      </c>
      <c r="E32" s="90" t="n">
        <f aca="false">IF(E30=0,0,E31/E30)</f>
        <v>0.333333333333333</v>
      </c>
      <c r="F32" s="90" t="n">
        <f aca="false">IF(F30=0,0,F31/F30)</f>
        <v>0.333333333333333</v>
      </c>
      <c r="G32" s="91"/>
    </row>
    <row r="33" customFormat="false" ht="15" hidden="false" customHeight="false" outlineLevel="0" collapsed="false">
      <c r="A33" s="6" t="s">
        <v>58</v>
      </c>
      <c r="B33" s="35" t="n">
        <f aca="false">SUMIF(Monthly!$C$5:$BJ$5,B$27,Monthly!$C$16:$BJ$16)</f>
        <v>5002714.28571429</v>
      </c>
      <c r="C33" s="35" t="n">
        <f aca="false">SUMIF(Monthly!$C$5:$BJ$5,C$27,Monthly!$C$16:$BJ$16)</f>
        <v>6255514.28571429</v>
      </c>
      <c r="D33" s="35" t="n">
        <f aca="false">SUMIF(Monthly!$C$5:$BJ$5,D$27,Monthly!$C$16:$BJ$16)</f>
        <v>7825294.28571429</v>
      </c>
      <c r="E33" s="35" t="n">
        <f aca="false">SUMIF(Monthly!$C$5:$BJ$5,E$27,Monthly!$C$16:$BJ$16)</f>
        <v>9793054.82571429</v>
      </c>
      <c r="F33" s="35" t="n">
        <f aca="false">SUMIF(Monthly!$C$5:$BJ$5,F$27,Monthly!$C$16:$BJ$16)</f>
        <v>12260689.7471743</v>
      </c>
      <c r="G33" s="92"/>
    </row>
    <row r="34" customFormat="false" ht="15" hidden="false" customHeight="false" outlineLevel="0" collapsed="false">
      <c r="A34" s="6" t="s">
        <v>236</v>
      </c>
      <c r="B34" s="93" t="n">
        <f aca="false">IF(B30=0,0,B33/B30)</f>
        <v>75</v>
      </c>
      <c r="C34" s="93" t="n">
        <f aca="false">IF(C30=0,0,C33/C30)</f>
        <v>76.5</v>
      </c>
      <c r="D34" s="93" t="n">
        <f aca="false">IF(D30=0,0,D33/D30)</f>
        <v>78.03</v>
      </c>
      <c r="E34" s="93" t="n">
        <f aca="false">IF(E30=0,0,E33/E30)</f>
        <v>79.5906</v>
      </c>
      <c r="F34" s="93" t="n">
        <f aca="false">IF(F30=0,0,F33/F30)</f>
        <v>81.182412</v>
      </c>
      <c r="G34" s="94"/>
    </row>
    <row r="35" customFormat="false" ht="15" hidden="false" customHeight="false" outlineLevel="0" collapsed="false">
      <c r="A35" s="6" t="s">
        <v>237</v>
      </c>
      <c r="B35" s="35" t="n">
        <f aca="false">-SUMIF(Monthly!$C$5:$BJ$5,B$27,Monthly!$C$32:$BJ$32)</f>
        <v>600000</v>
      </c>
      <c r="C35" s="35" t="n">
        <f aca="false">-SUMIF(Monthly!$C$5:$BJ$5,C$27,Monthly!$C$32:$BJ$32)</f>
        <v>720000</v>
      </c>
      <c r="D35" s="35" t="n">
        <f aca="false">-SUMIF(Monthly!$C$5:$BJ$5,D$27,Monthly!$C$32:$BJ$32)</f>
        <v>864000</v>
      </c>
      <c r="E35" s="35" t="n">
        <f aca="false">-SUMIF(Monthly!$C$5:$BJ$5,E$27,Monthly!$C$32:$BJ$32)</f>
        <v>1036800</v>
      </c>
      <c r="F35" s="35" t="n">
        <f aca="false">-SUMIF(Monthly!$C$5:$BJ$5,F$27,Monthly!$C$32:$BJ$32)</f>
        <v>1244160</v>
      </c>
      <c r="G35" s="92"/>
    </row>
    <row r="36" customFormat="false" ht="15" hidden="false" customHeight="false" outlineLevel="0" collapsed="false">
      <c r="A36" s="38" t="s">
        <v>238</v>
      </c>
      <c r="B36" s="90" t="n">
        <f aca="false">IF(B33=0,0,B35/B33)</f>
        <v>0.119934892486936</v>
      </c>
      <c r="C36" s="90" t="n">
        <f aca="false">IF(C33=0,0,C35/C33)</f>
        <v>0.11509845028158</v>
      </c>
      <c r="D36" s="90" t="n">
        <f aca="false">IF(D33=0,0,D35/D33)</f>
        <v>0.110411183075543</v>
      </c>
      <c r="E36" s="90" t="n">
        <f aca="false">IF(E33=0,0,E35/E33)</f>
        <v>0.105870948182339</v>
      </c>
      <c r="F36" s="90" t="n">
        <f aca="false">IF(F33=0,0,F35/F33)</f>
        <v>0.101475530794403</v>
      </c>
      <c r="G36" s="91"/>
    </row>
    <row r="37" customFormat="false" ht="15" hidden="false" customHeight="false" outlineLevel="0" collapsed="false">
      <c r="A37" s="4" t="s">
        <v>61</v>
      </c>
      <c r="B37" s="89" t="n">
        <f aca="false">INDEX(Monthly!$C$19:$BJ$19,B$27*12)</f>
        <v>2</v>
      </c>
      <c r="C37" s="89" t="n">
        <f aca="false">INDEX(Monthly!$C$19:$BJ$19,C$27*12)</f>
        <v>3</v>
      </c>
      <c r="D37" s="89" t="n">
        <f aca="false">INDEX(Monthly!$C$19:$BJ$19,D$27*12)</f>
        <v>4</v>
      </c>
      <c r="E37" s="89" t="n">
        <f aca="false">INDEX(Monthly!$C$19:$BJ$19,E$27*12)</f>
        <v>5</v>
      </c>
      <c r="F37" s="89" t="n">
        <f aca="false">INDEX(Monthly!$C$19:$BJ$19,F$27*12)</f>
        <v>6</v>
      </c>
      <c r="G37" s="88"/>
    </row>
    <row r="38" customFormat="false" ht="15" hidden="false" customHeight="false" outlineLevel="0" collapsed="false">
      <c r="A38" s="6" t="s">
        <v>59</v>
      </c>
      <c r="B38" s="35" t="n">
        <f aca="false">SUMIF(Monthly!$C$5:$BJ$5,B$27,Monthly!$C$20:$BJ$20)</f>
        <v>1125000</v>
      </c>
      <c r="C38" s="35" t="n">
        <f aca="false">SUMIF(Monthly!$C$5:$BJ$5,C$27,Monthly!$C$20:$BJ$20)</f>
        <v>1721250</v>
      </c>
      <c r="D38" s="35" t="n">
        <f aca="false">SUMIF(Monthly!$C$5:$BJ$5,D$27,Monthly!$C$20:$BJ$20)</f>
        <v>2340900</v>
      </c>
      <c r="E38" s="35" t="n">
        <f aca="false">SUMIF(Monthly!$C$5:$BJ$5,E$27,Monthly!$C$20:$BJ$20)</f>
        <v>2984647.5</v>
      </c>
      <c r="F38" s="35" t="n">
        <f aca="false">SUMIF(Monthly!$C$5:$BJ$5,F$27,Monthly!$C$20:$BJ$20)</f>
        <v>3653208.54</v>
      </c>
      <c r="G38" s="92"/>
    </row>
    <row r="39" customFormat="false" ht="15" hidden="false" customHeight="false" outlineLevel="0" collapsed="false">
      <c r="A39" s="6" t="s">
        <v>239</v>
      </c>
      <c r="B39" s="35" t="n">
        <f aca="false">SUMIF(Monthly!$C$5:$BJ$5,B$27,Monthly!$C$25:$BJ$25)</f>
        <v>5514942.85714286</v>
      </c>
      <c r="C39" s="35" t="n">
        <f aca="false">SUMIF(Monthly!$C$5:$BJ$5,C$27,Monthly!$C$25:$BJ$25)</f>
        <v>7179087.85714286</v>
      </c>
      <c r="D39" s="35" t="n">
        <f aca="false">SUMIF(Monthly!$C$5:$BJ$5,D$27,Monthly!$C$25:$BJ$25)</f>
        <v>9149574.85714286</v>
      </c>
      <c r="E39" s="35" t="n">
        <f aca="false">SUMIF(Monthly!$C$5:$BJ$5,E$27,Monthly!$C$25:$BJ$25)</f>
        <v>11499932.0931429</v>
      </c>
      <c r="F39" s="35" t="n">
        <f aca="false">SUMIF(Monthly!$C$5:$BJ$5,F$27,Monthly!$C$25:$BJ$25)</f>
        <v>14322508.4584569</v>
      </c>
      <c r="G39" s="92"/>
    </row>
    <row r="40" customFormat="false" ht="15" hidden="false" customHeight="false" outlineLevel="0" collapsed="false">
      <c r="A40" s="6" t="s">
        <v>240</v>
      </c>
      <c r="B40" s="35" t="n">
        <f aca="false">SUMIF(Monthly!$C$5:$BJ$5,B$27,Monthly!$C$27:$BJ$27)</f>
        <v>3198666.85714286</v>
      </c>
      <c r="C40" s="35" t="n">
        <f aca="false">SUMIF(Monthly!$C$5:$BJ$5,C$27,Monthly!$C$27:$BJ$27)</f>
        <v>4163870.95714286</v>
      </c>
      <c r="D40" s="35" t="n">
        <f aca="false">SUMIF(Monthly!$C$5:$BJ$5,D$27,Monthly!$C$27:$BJ$27)</f>
        <v>5306753.41714286</v>
      </c>
      <c r="E40" s="35" t="n">
        <f aca="false">SUMIF(Monthly!$C$5:$BJ$5,E$27,Monthly!$C$27:$BJ$27)</f>
        <v>6669960.61402286</v>
      </c>
      <c r="F40" s="35" t="n">
        <f aca="false">SUMIF(Monthly!$C$5:$BJ$5,F$27,Monthly!$C$27:$BJ$27)</f>
        <v>8307054.90590498</v>
      </c>
      <c r="G40" s="92"/>
    </row>
    <row r="41" customFormat="false" ht="15" hidden="false" customHeight="false" outlineLevel="0" collapsed="false">
      <c r="A41" s="38" t="s">
        <v>46</v>
      </c>
      <c r="B41" s="90" t="n">
        <f aca="false">IF(B39=0,0,B40/B39)</f>
        <v>0.58</v>
      </c>
      <c r="C41" s="90" t="n">
        <f aca="false">IF(C39=0,0,C40/C39)</f>
        <v>0.58</v>
      </c>
      <c r="D41" s="90" t="n">
        <f aca="false">IF(D39=0,0,D40/D39)</f>
        <v>0.58</v>
      </c>
      <c r="E41" s="90" t="n">
        <f aca="false">IF(E39=0,0,E40/E39)</f>
        <v>0.58</v>
      </c>
      <c r="F41" s="90" t="n">
        <f aca="false">IF(F39=0,0,F40/F39)</f>
        <v>0.58</v>
      </c>
      <c r="G41" s="91"/>
    </row>
    <row r="42" customFormat="false" ht="15" hidden="false" customHeight="false" outlineLevel="0" collapsed="false">
      <c r="A42" s="6" t="s">
        <v>76</v>
      </c>
      <c r="B42" s="35" t="n">
        <f aca="false">-SUMIF(Monthly!$C$5:$BJ$5,B$27,Monthly!$C$26:$BJ$26)</f>
        <v>2316276</v>
      </c>
      <c r="C42" s="35" t="n">
        <f aca="false">-SUMIF(Monthly!$C$5:$BJ$5,C$27,Monthly!$C$26:$BJ$26)</f>
        <v>3015216.9</v>
      </c>
      <c r="D42" s="35" t="n">
        <f aca="false">-SUMIF(Monthly!$C$5:$BJ$5,D$27,Monthly!$C$26:$BJ$26)</f>
        <v>3842821.44</v>
      </c>
      <c r="E42" s="35" t="n">
        <f aca="false">-SUMIF(Monthly!$C$5:$BJ$5,E$27,Monthly!$C$26:$BJ$26)</f>
        <v>4829971.47912</v>
      </c>
      <c r="F42" s="35" t="n">
        <f aca="false">-SUMIF(Monthly!$C$5:$BJ$5,F$27,Monthly!$C$26:$BJ$26)</f>
        <v>6015453.55255188</v>
      </c>
      <c r="G42" s="92"/>
    </row>
    <row r="43" customFormat="false" ht="15" hidden="false" customHeight="false" outlineLevel="0" collapsed="false">
      <c r="A43" s="6" t="s">
        <v>241</v>
      </c>
      <c r="B43" s="35" t="n">
        <f aca="false">INDEX(Monthly!$C$65:$BJ$65,B$27*12)</f>
        <v>570371.625</v>
      </c>
      <c r="C43" s="35" t="n">
        <f aca="false">INDEX(Monthly!$C$65:$BJ$65,C$27*12)</f>
        <v>746910.61875</v>
      </c>
      <c r="D43" s="35" t="n">
        <f aca="false">INDEX(Monthly!$C$65:$BJ$65,D$27*12)</f>
        <v>955438.335</v>
      </c>
      <c r="E43" s="35" t="n">
        <f aca="false">INDEX(Monthly!$C$65:$BJ$65,E$27*12)</f>
        <v>1203678.490275</v>
      </c>
      <c r="F43" s="35" t="n">
        <f aca="false">INDEX(Monthly!$C$65:$BJ$65,F$27*12)</f>
        <v>1501352.26391779</v>
      </c>
      <c r="G43" s="92"/>
    </row>
    <row r="44" customFormat="false" ht="15" hidden="false" customHeight="false" outlineLevel="0" collapsed="false">
      <c r="A44" s="6" t="s">
        <v>242</v>
      </c>
      <c r="B44" s="95" t="n">
        <f aca="false">IF(B43=0,0,B42/B43)</f>
        <v>4.06099444375411</v>
      </c>
      <c r="C44" s="95" t="n">
        <f aca="false">IF(C43=0,0,C42/C43)</f>
        <v>4.03691797158561</v>
      </c>
      <c r="D44" s="95" t="n">
        <f aca="false">IF(D43=0,0,D42/D43)</f>
        <v>4.02205071664829</v>
      </c>
      <c r="E44" s="95" t="n">
        <f aca="false">IF(E43=0,0,E42/E43)</f>
        <v>4.01267574202187</v>
      </c>
      <c r="F44" s="95" t="n">
        <f aca="false">IF(F43=0,0,F42/F43)</f>
        <v>4.0066902998864</v>
      </c>
      <c r="G44" s="96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243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244</v>
      </c>
    </row>
    <row r="5" customFormat="false" ht="15" hidden="false" customHeight="false" outlineLevel="0" collapsed="false">
      <c r="A5" s="33" t="s">
        <v>104</v>
      </c>
      <c r="B5" s="50" t="s">
        <v>105</v>
      </c>
      <c r="C5" s="50" t="s">
        <v>106</v>
      </c>
      <c r="D5" s="50" t="s">
        <v>107</v>
      </c>
      <c r="E5" s="50" t="s">
        <v>108</v>
      </c>
      <c r="F5" s="33" t="s">
        <v>245</v>
      </c>
      <c r="G5" s="33" t="s">
        <v>246</v>
      </c>
    </row>
    <row r="6" customFormat="false" ht="15.75" hidden="false" customHeight="true" outlineLevel="0" collapsed="false">
      <c r="A6" s="7" t="s">
        <v>247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248</v>
      </c>
      <c r="B7" s="97" t="n">
        <v>65000</v>
      </c>
      <c r="C7" s="97" t="n">
        <v>80000</v>
      </c>
      <c r="D7" s="97" t="n">
        <v>100000</v>
      </c>
      <c r="E7" s="98" t="n">
        <f aca="false">CHOOSE(Dashboard!$B$4,B7,C7,D7)</f>
        <v>80000</v>
      </c>
      <c r="F7" s="38" t="s">
        <v>249</v>
      </c>
      <c r="G7" s="99" t="s">
        <v>250</v>
      </c>
    </row>
    <row r="8" customFormat="false" ht="15" hidden="false" customHeight="false" outlineLevel="0" collapsed="false">
      <c r="A8" s="6" t="s">
        <v>251</v>
      </c>
      <c r="B8" s="100" t="n">
        <v>0.1</v>
      </c>
      <c r="C8" s="100" t="n">
        <v>0.25</v>
      </c>
      <c r="D8" s="100" t="n">
        <v>0.4</v>
      </c>
      <c r="E8" s="101" t="n">
        <f aca="false">CHOOSE(Dashboard!$B$4,B8,C8,D8)</f>
        <v>0.25</v>
      </c>
      <c r="F8" s="38" t="s">
        <v>252</v>
      </c>
      <c r="G8" s="99" t="s">
        <v>250</v>
      </c>
    </row>
    <row r="9" customFormat="false" ht="15" hidden="false" customHeight="false" outlineLevel="0" collapsed="false">
      <c r="A9" s="6" t="s">
        <v>253</v>
      </c>
      <c r="B9" s="100" t="n">
        <v>0.02</v>
      </c>
      <c r="C9" s="100" t="n">
        <v>0.024</v>
      </c>
      <c r="D9" s="100" t="n">
        <v>0.028</v>
      </c>
      <c r="E9" s="101" t="n">
        <f aca="false">CHOOSE(Dashboard!$B$4,B9,C9,D9)</f>
        <v>0.024</v>
      </c>
      <c r="F9" s="38" t="s">
        <v>252</v>
      </c>
      <c r="G9" s="99" t="s">
        <v>250</v>
      </c>
    </row>
    <row r="10" customFormat="false" ht="15" hidden="false" customHeight="false" outlineLevel="0" collapsed="false">
      <c r="A10" s="6" t="s">
        <v>254</v>
      </c>
      <c r="B10" s="102" t="n">
        <v>65</v>
      </c>
      <c r="C10" s="102" t="n">
        <v>75</v>
      </c>
      <c r="D10" s="102" t="n">
        <v>85</v>
      </c>
      <c r="E10" s="103" t="n">
        <f aca="false">CHOOSE(Dashboard!$B$4,B10,C10,D10)</f>
        <v>75</v>
      </c>
      <c r="F10" s="38" t="s">
        <v>255</v>
      </c>
      <c r="G10" s="99" t="s">
        <v>250</v>
      </c>
    </row>
    <row r="11" customFormat="false" ht="15" hidden="false" customHeight="false" outlineLevel="0" collapsed="false">
      <c r="A11" s="6" t="s">
        <v>256</v>
      </c>
      <c r="B11" s="100" t="n">
        <v>0</v>
      </c>
      <c r="C11" s="100" t="n">
        <v>0.02</v>
      </c>
      <c r="D11" s="100" t="n">
        <v>0.04</v>
      </c>
      <c r="E11" s="101" t="n">
        <f aca="false">CHOOSE(Dashboard!$B$4,B11,C11,D11)</f>
        <v>0.02</v>
      </c>
      <c r="F11" s="38" t="s">
        <v>252</v>
      </c>
      <c r="G11" s="99" t="s">
        <v>250</v>
      </c>
    </row>
    <row r="12" customFormat="false" ht="15" hidden="false" customHeight="false" outlineLevel="0" collapsed="false">
      <c r="A12" s="6" t="s">
        <v>257</v>
      </c>
      <c r="B12" s="104" t="n">
        <v>0.4</v>
      </c>
      <c r="C12" s="104" t="n">
        <v>0.5</v>
      </c>
      <c r="D12" s="104" t="n">
        <v>0.6</v>
      </c>
      <c r="E12" s="105" t="n">
        <f aca="false">CHOOSE(Dashboard!$B$4,B12,C12,D12)</f>
        <v>0.5</v>
      </c>
      <c r="F12" s="38" t="s">
        <v>258</v>
      </c>
      <c r="G12" s="99" t="s">
        <v>250</v>
      </c>
    </row>
    <row r="13" customFormat="false" ht="15" hidden="false" customHeight="false" outlineLevel="0" collapsed="false">
      <c r="A13" s="6" t="s">
        <v>259</v>
      </c>
      <c r="B13" s="106" t="n">
        <v>50000</v>
      </c>
      <c r="C13" s="106" t="n">
        <v>50000</v>
      </c>
      <c r="D13" s="106" t="n">
        <v>50000</v>
      </c>
      <c r="E13" s="107" t="n">
        <f aca="false">CHOOSE(Dashboard!$B$4,B13,C13,D13)</f>
        <v>50000</v>
      </c>
      <c r="F13" s="38" t="s">
        <v>260</v>
      </c>
      <c r="G13" s="99"/>
    </row>
    <row r="14" customFormat="false" ht="15" hidden="false" customHeight="false" outlineLevel="0" collapsed="false">
      <c r="A14" s="6" t="s">
        <v>261</v>
      </c>
      <c r="B14" s="100" t="n">
        <v>0.2</v>
      </c>
      <c r="C14" s="100" t="n">
        <v>0.2</v>
      </c>
      <c r="D14" s="100" t="n">
        <v>0.2</v>
      </c>
      <c r="E14" s="101" t="n">
        <f aca="false">CHOOSE(Dashboard!$B$4,B14,C14,D14)</f>
        <v>0.2</v>
      </c>
      <c r="F14" s="38" t="s">
        <v>252</v>
      </c>
      <c r="G14" s="99"/>
    </row>
    <row r="15" customFormat="false" ht="15" hidden="false" customHeight="false" outlineLevel="0" collapsed="false">
      <c r="A15" s="6" t="s">
        <v>262</v>
      </c>
      <c r="B15" s="102" t="n">
        <v>36</v>
      </c>
      <c r="C15" s="102" t="n">
        <v>28</v>
      </c>
      <c r="D15" s="102" t="n">
        <v>22</v>
      </c>
      <c r="E15" s="103" t="n">
        <f aca="false">CHOOSE(Dashboard!$B$4,B15,C15,D15)</f>
        <v>28</v>
      </c>
      <c r="F15" s="38" t="s">
        <v>255</v>
      </c>
      <c r="G15" s="99" t="s">
        <v>263</v>
      </c>
    </row>
    <row r="17" customFormat="false" ht="15.75" hidden="false" customHeight="true" outlineLevel="0" collapsed="false">
      <c r="A17" s="7" t="s">
        <v>264</v>
      </c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6" t="s">
        <v>265</v>
      </c>
      <c r="B18" s="97" t="n">
        <v>2</v>
      </c>
      <c r="C18" s="97" t="n">
        <v>2</v>
      </c>
      <c r="D18" s="97" t="n">
        <v>2</v>
      </c>
      <c r="E18" s="98" t="n">
        <f aca="false">CHOOSE(Dashboard!$B$4,B18,C18,D18)</f>
        <v>2</v>
      </c>
      <c r="F18" s="38" t="s">
        <v>266</v>
      </c>
      <c r="G18" s="99" t="s">
        <v>250</v>
      </c>
    </row>
    <row r="19" customFormat="false" ht="15" hidden="false" customHeight="false" outlineLevel="0" collapsed="false">
      <c r="A19" s="6" t="s">
        <v>267</v>
      </c>
      <c r="B19" s="97" t="n">
        <v>1</v>
      </c>
      <c r="C19" s="97" t="n">
        <v>1</v>
      </c>
      <c r="D19" s="97" t="n">
        <v>1</v>
      </c>
      <c r="E19" s="98" t="n">
        <f aca="false">CHOOSE(Dashboard!$B$4,B19,C19,D19)</f>
        <v>1</v>
      </c>
      <c r="F19" s="38" t="s">
        <v>268</v>
      </c>
      <c r="G19" s="99" t="s">
        <v>250</v>
      </c>
    </row>
    <row r="20" customFormat="false" ht="15" hidden="false" customHeight="false" outlineLevel="0" collapsed="false">
      <c r="A20" s="6" t="s">
        <v>269</v>
      </c>
      <c r="B20" s="97" t="n">
        <v>1500</v>
      </c>
      <c r="C20" s="97" t="n">
        <v>1500</v>
      </c>
      <c r="D20" s="97" t="n">
        <v>1500</v>
      </c>
      <c r="E20" s="98" t="n">
        <f aca="false">CHOOSE(Dashboard!$B$4,B20,C20,D20)</f>
        <v>1500</v>
      </c>
      <c r="F20" s="38" t="s">
        <v>270</v>
      </c>
      <c r="G20" s="99"/>
    </row>
    <row r="21" customFormat="false" ht="15" hidden="false" customHeight="false" outlineLevel="0" collapsed="false">
      <c r="A21" s="6" t="s">
        <v>271</v>
      </c>
      <c r="B21" s="106" t="n">
        <v>300</v>
      </c>
      <c r="C21" s="106" t="n">
        <v>375</v>
      </c>
      <c r="D21" s="106" t="n">
        <v>450</v>
      </c>
      <c r="E21" s="107" t="n">
        <f aca="false">CHOOSE(Dashboard!$B$4,B21,C21,D21)</f>
        <v>375</v>
      </c>
      <c r="F21" s="38" t="s">
        <v>272</v>
      </c>
      <c r="G21" s="99" t="s">
        <v>250</v>
      </c>
    </row>
    <row r="22" customFormat="false" ht="15" hidden="false" customHeight="false" outlineLevel="0" collapsed="false">
      <c r="A22" s="6" t="s">
        <v>273</v>
      </c>
      <c r="B22" s="100" t="n">
        <v>0</v>
      </c>
      <c r="C22" s="100" t="n">
        <v>0.02</v>
      </c>
      <c r="D22" s="100" t="n">
        <v>0.04</v>
      </c>
      <c r="E22" s="101" t="n">
        <f aca="false">CHOOSE(Dashboard!$B$4,B22,C22,D22)</f>
        <v>0.02</v>
      </c>
      <c r="F22" s="38" t="s">
        <v>252</v>
      </c>
      <c r="G22" s="99" t="s">
        <v>250</v>
      </c>
    </row>
    <row r="23" customFormat="false" ht="15" hidden="false" customHeight="false" outlineLevel="0" collapsed="false">
      <c r="A23" s="6" t="s">
        <v>274</v>
      </c>
      <c r="B23" s="102" t="n">
        <v>40</v>
      </c>
      <c r="C23" s="102" t="n">
        <v>40</v>
      </c>
      <c r="D23" s="102" t="n">
        <v>40</v>
      </c>
      <c r="E23" s="103" t="n">
        <f aca="false">CHOOSE(Dashboard!$B$4,B23,C23,D23)</f>
        <v>40</v>
      </c>
      <c r="F23" s="38" t="s">
        <v>272</v>
      </c>
      <c r="G23" s="99"/>
    </row>
    <row r="24" customFormat="false" ht="15" hidden="false" customHeight="false" outlineLevel="0" collapsed="false">
      <c r="A24" s="6" t="s">
        <v>275</v>
      </c>
      <c r="B24" s="106" t="n">
        <v>2500</v>
      </c>
      <c r="C24" s="106" t="n">
        <v>2500</v>
      </c>
      <c r="D24" s="106" t="n">
        <v>2500</v>
      </c>
      <c r="E24" s="107" t="n">
        <f aca="false">CHOOSE(Dashboard!$B$4,B24,C24,D24)</f>
        <v>2500</v>
      </c>
      <c r="F24" s="38" t="s">
        <v>255</v>
      </c>
      <c r="G24" s="99"/>
    </row>
    <row r="25" customFormat="false" ht="15" hidden="false" customHeight="false" outlineLevel="0" collapsed="false">
      <c r="A25" s="6" t="s">
        <v>276</v>
      </c>
      <c r="B25" s="106" t="n">
        <v>150000</v>
      </c>
      <c r="C25" s="106" t="n">
        <v>150000</v>
      </c>
      <c r="D25" s="106" t="n">
        <v>150000</v>
      </c>
      <c r="E25" s="107" t="n">
        <f aca="false">CHOOSE(Dashboard!$B$4,B25,C25,D25)</f>
        <v>150000</v>
      </c>
      <c r="F25" s="38" t="s">
        <v>255</v>
      </c>
      <c r="G25" s="99"/>
    </row>
    <row r="27" customFormat="false" ht="15.75" hidden="false" customHeight="true" outlineLevel="0" collapsed="false">
      <c r="A27" s="7" t="s">
        <v>277</v>
      </c>
      <c r="B27" s="7"/>
      <c r="C27" s="7"/>
      <c r="D27" s="7"/>
      <c r="E27" s="7"/>
      <c r="F27" s="7"/>
      <c r="G27" s="7"/>
    </row>
    <row r="28" customFormat="false" ht="15" hidden="false" customHeight="false" outlineLevel="0" collapsed="false">
      <c r="A28" s="6" t="s">
        <v>278</v>
      </c>
      <c r="B28" s="100" t="n">
        <v>0.3</v>
      </c>
      <c r="C28" s="100" t="n">
        <v>0.3</v>
      </c>
      <c r="D28" s="100" t="n">
        <v>0.3</v>
      </c>
      <c r="E28" s="101" t="n">
        <f aca="false">CHOOSE(Dashboard!$B$4,B28,C28,D28)</f>
        <v>0.3</v>
      </c>
      <c r="F28" s="38" t="s">
        <v>252</v>
      </c>
      <c r="G28" s="99"/>
    </row>
    <row r="29" customFormat="false" ht="15" hidden="false" customHeight="false" outlineLevel="0" collapsed="false">
      <c r="A29" s="6" t="s">
        <v>279</v>
      </c>
      <c r="B29" s="100" t="n">
        <v>0.12</v>
      </c>
      <c r="C29" s="100" t="n">
        <v>0.1</v>
      </c>
      <c r="D29" s="100" t="n">
        <v>0.08</v>
      </c>
      <c r="E29" s="101" t="n">
        <f aca="false">CHOOSE(Dashboard!$B$4,B29,C29,D29)</f>
        <v>0.1</v>
      </c>
      <c r="F29" s="38" t="s">
        <v>252</v>
      </c>
      <c r="G29" s="99" t="s">
        <v>263</v>
      </c>
    </row>
    <row r="30" customFormat="false" ht="15" hidden="false" customHeight="false" outlineLevel="0" collapsed="false">
      <c r="A30" s="6" t="s">
        <v>280</v>
      </c>
      <c r="B30" s="100" t="n">
        <v>0.45</v>
      </c>
      <c r="C30" s="100" t="n">
        <v>0.42</v>
      </c>
      <c r="D30" s="100" t="n">
        <v>0.39</v>
      </c>
      <c r="E30" s="101" t="n">
        <f aca="false">CHOOSE(Dashboard!$B$4,B30,C30,D30)</f>
        <v>0.42</v>
      </c>
      <c r="F30" s="38" t="s">
        <v>252</v>
      </c>
      <c r="G30" s="99" t="s">
        <v>263</v>
      </c>
    </row>
    <row r="31" customFormat="false" ht="15" hidden="false" customHeight="false" outlineLevel="0" collapsed="false">
      <c r="A31" s="6" t="s">
        <v>281</v>
      </c>
      <c r="B31" s="102" t="n">
        <v>9</v>
      </c>
      <c r="C31" s="102" t="n">
        <v>8</v>
      </c>
      <c r="D31" s="102" t="n">
        <v>7</v>
      </c>
      <c r="E31" s="103" t="n">
        <f aca="false">CHOOSE(Dashboard!$B$4,B31,C31,D31)</f>
        <v>8</v>
      </c>
      <c r="F31" s="38" t="s">
        <v>255</v>
      </c>
      <c r="G31" s="99" t="s">
        <v>263</v>
      </c>
    </row>
    <row r="32" customFormat="false" ht="15" hidden="false" customHeight="false" outlineLevel="0" collapsed="false">
      <c r="A32" s="6" t="s">
        <v>282</v>
      </c>
      <c r="B32" s="100" t="n">
        <v>0.03</v>
      </c>
      <c r="C32" s="100" t="n">
        <v>0.03</v>
      </c>
      <c r="D32" s="100" t="n">
        <v>0.03</v>
      </c>
      <c r="E32" s="101" t="n">
        <f aca="false">CHOOSE(Dashboard!$B$4,B32,C32,D32)</f>
        <v>0.03</v>
      </c>
      <c r="F32" s="38" t="s">
        <v>252</v>
      </c>
      <c r="G32" s="99"/>
    </row>
    <row r="33" customFormat="false" ht="15" hidden="false" customHeight="false" outlineLevel="0" collapsed="false">
      <c r="A33" s="6" t="s">
        <v>283</v>
      </c>
      <c r="B33" s="106" t="n">
        <v>4000</v>
      </c>
      <c r="C33" s="106" t="n">
        <v>4000</v>
      </c>
      <c r="D33" s="106" t="n">
        <v>4000</v>
      </c>
      <c r="E33" s="107" t="n">
        <f aca="false">CHOOSE(Dashboard!$B$4,B33,C33,D33)</f>
        <v>4000</v>
      </c>
      <c r="F33" s="38" t="s">
        <v>255</v>
      </c>
      <c r="G33" s="99"/>
    </row>
    <row r="34" customFormat="false" ht="15" hidden="false" customHeight="false" outlineLevel="0" collapsed="false">
      <c r="A34" s="6" t="s">
        <v>284</v>
      </c>
      <c r="B34" s="106" t="n">
        <v>8000</v>
      </c>
      <c r="C34" s="106" t="n">
        <v>8000</v>
      </c>
      <c r="D34" s="106" t="n">
        <v>8000</v>
      </c>
      <c r="E34" s="107" t="n">
        <f aca="false">CHOOSE(Dashboard!$B$4,B34,C34,D34)</f>
        <v>8000</v>
      </c>
      <c r="F34" s="38" t="s">
        <v>255</v>
      </c>
      <c r="G34" s="99"/>
    </row>
    <row r="35" customFormat="false" ht="15" hidden="false" customHeight="false" outlineLevel="0" collapsed="false">
      <c r="A35" s="6" t="s">
        <v>285</v>
      </c>
      <c r="B35" s="106" t="n">
        <v>50000</v>
      </c>
      <c r="C35" s="106" t="n">
        <v>50000</v>
      </c>
      <c r="D35" s="106" t="n">
        <v>50000</v>
      </c>
      <c r="E35" s="107" t="n">
        <f aca="false">CHOOSE(Dashboard!$B$4,B35,C35,D35)</f>
        <v>50000</v>
      </c>
      <c r="F35" s="38" t="s">
        <v>255</v>
      </c>
      <c r="G35" s="99"/>
    </row>
    <row r="37" customFormat="false" ht="15.75" hidden="false" customHeight="true" outlineLevel="0" collapsed="false">
      <c r="A37" s="7" t="s">
        <v>286</v>
      </c>
      <c r="B37" s="7"/>
      <c r="C37" s="7"/>
      <c r="D37" s="7"/>
      <c r="E37" s="7"/>
      <c r="F37" s="7"/>
      <c r="G37" s="7"/>
    </row>
    <row r="38" customFormat="false" ht="15" hidden="false" customHeight="false" outlineLevel="0" collapsed="false">
      <c r="A38" s="6" t="s">
        <v>287</v>
      </c>
      <c r="B38" s="108" t="n">
        <v>6</v>
      </c>
      <c r="C38" s="108" t="n">
        <v>6</v>
      </c>
      <c r="D38" s="108" t="n">
        <v>6</v>
      </c>
      <c r="E38" s="109" t="n">
        <f aca="false">CHOOSE(Dashboard!$B$4,B38,C38,D38)</f>
        <v>6</v>
      </c>
      <c r="F38" s="38" t="s">
        <v>288</v>
      </c>
      <c r="G38" s="99" t="s">
        <v>250</v>
      </c>
    </row>
    <row r="39" customFormat="false" ht="15" hidden="false" customHeight="false" outlineLevel="0" collapsed="false">
      <c r="A39" s="6" t="s">
        <v>289</v>
      </c>
      <c r="B39" s="106" t="n">
        <v>50000</v>
      </c>
      <c r="C39" s="106" t="n">
        <v>50000</v>
      </c>
      <c r="D39" s="106" t="n">
        <v>50000</v>
      </c>
      <c r="E39" s="107" t="n">
        <f aca="false">CHOOSE(Dashboard!$B$4,B39,C39,D39)</f>
        <v>50000</v>
      </c>
      <c r="F39" s="38" t="s">
        <v>255</v>
      </c>
      <c r="G39" s="99"/>
    </row>
    <row r="40" customFormat="false" ht="15" hidden="false" customHeight="false" outlineLevel="0" collapsed="false">
      <c r="A40" s="6" t="s">
        <v>290</v>
      </c>
      <c r="B40" s="100" t="n">
        <v>0.2</v>
      </c>
      <c r="C40" s="100" t="n">
        <v>0.2</v>
      </c>
      <c r="D40" s="100" t="n">
        <v>0.2</v>
      </c>
      <c r="E40" s="101" t="n">
        <f aca="false">CHOOSE(Dashboard!$B$4,B40,C40,D40)</f>
        <v>0.2</v>
      </c>
      <c r="F40" s="38" t="s">
        <v>252</v>
      </c>
      <c r="G40" s="99" t="s">
        <v>250</v>
      </c>
    </row>
    <row r="41" customFormat="false" ht="15" hidden="false" customHeight="false" outlineLevel="0" collapsed="false">
      <c r="A41" s="6" t="s">
        <v>291</v>
      </c>
      <c r="B41" s="97" t="n">
        <v>1</v>
      </c>
      <c r="C41" s="97" t="n">
        <v>1</v>
      </c>
      <c r="D41" s="97" t="n">
        <v>1</v>
      </c>
      <c r="E41" s="98" t="n">
        <f aca="false">CHOOSE(Dashboard!$B$4,B41,C41,D41)</f>
        <v>1</v>
      </c>
      <c r="F41" s="38" t="s">
        <v>292</v>
      </c>
      <c r="G41" s="99"/>
    </row>
    <row r="42" customFormat="false" ht="15" hidden="false" customHeight="false" outlineLevel="0" collapsed="false">
      <c r="A42" s="6" t="s">
        <v>293</v>
      </c>
      <c r="B42" s="108" t="n">
        <v>4</v>
      </c>
      <c r="C42" s="108" t="n">
        <v>4</v>
      </c>
      <c r="D42" s="108" t="n">
        <v>4</v>
      </c>
      <c r="E42" s="109" t="n">
        <f aca="false">CHOOSE(Dashboard!$B$4,B42,C42,D42)</f>
        <v>4</v>
      </c>
      <c r="F42" s="38" t="s">
        <v>288</v>
      </c>
      <c r="G42" s="99" t="s">
        <v>250</v>
      </c>
    </row>
    <row r="43" customFormat="false" ht="15" hidden="false" customHeight="false" outlineLevel="0" collapsed="false">
      <c r="A43" s="6" t="s">
        <v>294</v>
      </c>
      <c r="B43" s="106" t="n">
        <v>70000</v>
      </c>
      <c r="C43" s="106" t="n">
        <v>70000</v>
      </c>
      <c r="D43" s="106" t="n">
        <v>70000</v>
      </c>
      <c r="E43" s="107" t="n">
        <f aca="false">CHOOSE(Dashboard!$B$4,B43,C43,D43)</f>
        <v>70000</v>
      </c>
      <c r="F43" s="38" t="s">
        <v>255</v>
      </c>
      <c r="G43" s="99"/>
    </row>
    <row r="44" customFormat="false" ht="15" hidden="false" customHeight="false" outlineLevel="0" collapsed="false">
      <c r="A44" s="6" t="s">
        <v>295</v>
      </c>
      <c r="B44" s="100" t="n">
        <v>0.2</v>
      </c>
      <c r="C44" s="100" t="n">
        <v>0.2</v>
      </c>
      <c r="D44" s="100" t="n">
        <v>0.2</v>
      </c>
      <c r="E44" s="101" t="n">
        <f aca="false">CHOOSE(Dashboard!$B$4,B44,C44,D44)</f>
        <v>0.2</v>
      </c>
      <c r="F44" s="38" t="s">
        <v>252</v>
      </c>
      <c r="G44" s="99" t="s">
        <v>250</v>
      </c>
    </row>
    <row r="45" customFormat="false" ht="15" hidden="false" customHeight="false" outlineLevel="0" collapsed="false">
      <c r="A45" s="6" t="s">
        <v>296</v>
      </c>
      <c r="B45" s="97" t="n">
        <v>1</v>
      </c>
      <c r="C45" s="97" t="n">
        <v>1</v>
      </c>
      <c r="D45" s="97" t="n">
        <v>1</v>
      </c>
      <c r="E45" s="98" t="n">
        <f aca="false">CHOOSE(Dashboard!$B$4,B45,C45,D45)</f>
        <v>1</v>
      </c>
      <c r="F45" s="38" t="s">
        <v>292</v>
      </c>
      <c r="G45" s="99"/>
    </row>
    <row r="46" customFormat="false" ht="15" hidden="false" customHeight="false" outlineLevel="0" collapsed="false">
      <c r="A46" s="6" t="s">
        <v>297</v>
      </c>
      <c r="B46" s="108" t="n">
        <v>8</v>
      </c>
      <c r="C46" s="108" t="n">
        <v>8</v>
      </c>
      <c r="D46" s="108" t="n">
        <v>8</v>
      </c>
      <c r="E46" s="109" t="n">
        <f aca="false">CHOOSE(Dashboard!$B$4,B46,C46,D46)</f>
        <v>8</v>
      </c>
      <c r="F46" s="38" t="s">
        <v>288</v>
      </c>
      <c r="G46" s="99" t="s">
        <v>250</v>
      </c>
    </row>
    <row r="47" customFormat="false" ht="15" hidden="false" customHeight="false" outlineLevel="0" collapsed="false">
      <c r="A47" s="6" t="s">
        <v>298</v>
      </c>
      <c r="B47" s="106" t="n">
        <v>38000</v>
      </c>
      <c r="C47" s="106" t="n">
        <v>38000</v>
      </c>
      <c r="D47" s="106" t="n">
        <v>38000</v>
      </c>
      <c r="E47" s="107" t="n">
        <f aca="false">CHOOSE(Dashboard!$B$4,B47,C47,D47)</f>
        <v>38000</v>
      </c>
      <c r="F47" s="38" t="s">
        <v>255</v>
      </c>
      <c r="G47" s="99"/>
    </row>
    <row r="48" customFormat="false" ht="15" hidden="false" customHeight="false" outlineLevel="0" collapsed="false">
      <c r="A48" s="6" t="s">
        <v>299</v>
      </c>
      <c r="B48" s="100" t="n">
        <v>0.3</v>
      </c>
      <c r="C48" s="100" t="n">
        <v>0.3</v>
      </c>
      <c r="D48" s="100" t="n">
        <v>0.3</v>
      </c>
      <c r="E48" s="101" t="n">
        <f aca="false">CHOOSE(Dashboard!$B$4,B48,C48,D48)</f>
        <v>0.3</v>
      </c>
      <c r="F48" s="38" t="s">
        <v>252</v>
      </c>
      <c r="G48" s="99" t="s">
        <v>250</v>
      </c>
    </row>
    <row r="49" customFormat="false" ht="15" hidden="false" customHeight="false" outlineLevel="0" collapsed="false">
      <c r="A49" s="6" t="s">
        <v>300</v>
      </c>
      <c r="B49" s="97" t="n">
        <v>1</v>
      </c>
      <c r="C49" s="97" t="n">
        <v>1</v>
      </c>
      <c r="D49" s="97" t="n">
        <v>1</v>
      </c>
      <c r="E49" s="98" t="n">
        <f aca="false">CHOOSE(Dashboard!$B$4,B49,C49,D49)</f>
        <v>1</v>
      </c>
      <c r="F49" s="38" t="s">
        <v>292</v>
      </c>
      <c r="G49" s="99"/>
    </row>
    <row r="50" customFormat="false" ht="15" hidden="false" customHeight="false" outlineLevel="0" collapsed="false">
      <c r="A50" s="6" t="s">
        <v>301</v>
      </c>
      <c r="B50" s="108" t="n">
        <v>3</v>
      </c>
      <c r="C50" s="108" t="n">
        <v>3</v>
      </c>
      <c r="D50" s="108" t="n">
        <v>3</v>
      </c>
      <c r="E50" s="109" t="n">
        <f aca="false">CHOOSE(Dashboard!$B$4,B50,C50,D50)</f>
        <v>3</v>
      </c>
      <c r="F50" s="38" t="s">
        <v>288</v>
      </c>
      <c r="G50" s="99" t="s">
        <v>250</v>
      </c>
    </row>
    <row r="51" customFormat="false" ht="15" hidden="false" customHeight="false" outlineLevel="0" collapsed="false">
      <c r="A51" s="6" t="s">
        <v>302</v>
      </c>
      <c r="B51" s="106" t="n">
        <v>70000</v>
      </c>
      <c r="C51" s="106" t="n">
        <v>70000</v>
      </c>
      <c r="D51" s="106" t="n">
        <v>70000</v>
      </c>
      <c r="E51" s="107" t="n">
        <f aca="false">CHOOSE(Dashboard!$B$4,B51,C51,D51)</f>
        <v>70000</v>
      </c>
      <c r="F51" s="38" t="s">
        <v>255</v>
      </c>
      <c r="G51" s="99"/>
    </row>
    <row r="52" customFormat="false" ht="15" hidden="false" customHeight="false" outlineLevel="0" collapsed="false">
      <c r="A52" s="6" t="s">
        <v>303</v>
      </c>
      <c r="B52" s="100" t="n">
        <v>0.15</v>
      </c>
      <c r="C52" s="100" t="n">
        <v>0.15</v>
      </c>
      <c r="D52" s="100" t="n">
        <v>0.15</v>
      </c>
      <c r="E52" s="101" t="n">
        <f aca="false">CHOOSE(Dashboard!$B$4,B52,C52,D52)</f>
        <v>0.15</v>
      </c>
      <c r="F52" s="38" t="s">
        <v>252</v>
      </c>
      <c r="G52" s="99" t="s">
        <v>250</v>
      </c>
    </row>
    <row r="53" customFormat="false" ht="15" hidden="false" customHeight="false" outlineLevel="0" collapsed="false">
      <c r="A53" s="6" t="s">
        <v>304</v>
      </c>
      <c r="B53" s="97" t="n">
        <v>1</v>
      </c>
      <c r="C53" s="97" t="n">
        <v>1</v>
      </c>
      <c r="D53" s="97" t="n">
        <v>1</v>
      </c>
      <c r="E53" s="98" t="n">
        <f aca="false">CHOOSE(Dashboard!$B$4,B53,C53,D53)</f>
        <v>1</v>
      </c>
      <c r="F53" s="38" t="s">
        <v>292</v>
      </c>
      <c r="G53" s="99"/>
    </row>
    <row r="54" customFormat="false" ht="15" hidden="false" customHeight="false" outlineLevel="0" collapsed="false">
      <c r="A54" s="6" t="s">
        <v>305</v>
      </c>
      <c r="B54" s="100" t="n">
        <v>0.15</v>
      </c>
      <c r="C54" s="100" t="n">
        <v>0.15</v>
      </c>
      <c r="D54" s="100" t="n">
        <v>0.15</v>
      </c>
      <c r="E54" s="101" t="n">
        <f aca="false">CHOOSE(Dashboard!$B$4,B54,C54,D54)</f>
        <v>0.15</v>
      </c>
      <c r="F54" s="38" t="s">
        <v>252</v>
      </c>
      <c r="G54" s="99"/>
    </row>
    <row r="55" customFormat="false" ht="15" hidden="false" customHeight="false" outlineLevel="0" collapsed="false">
      <c r="A55" s="6" t="s">
        <v>306</v>
      </c>
      <c r="B55" s="100" t="n">
        <v>0.03</v>
      </c>
      <c r="C55" s="100" t="n">
        <v>0.03</v>
      </c>
      <c r="D55" s="100" t="n">
        <v>0.03</v>
      </c>
      <c r="E55" s="101" t="n">
        <f aca="false">CHOOSE(Dashboard!$B$4,B55,C55,D55)</f>
        <v>0.03</v>
      </c>
      <c r="F55" s="38" t="s">
        <v>252</v>
      </c>
      <c r="G55" s="99"/>
    </row>
    <row r="57" customFormat="false" ht="15.75" hidden="false" customHeight="true" outlineLevel="0" collapsed="false">
      <c r="A57" s="7" t="s">
        <v>307</v>
      </c>
      <c r="B57" s="7"/>
      <c r="C57" s="7"/>
      <c r="D57" s="7"/>
      <c r="E57" s="7"/>
      <c r="F57" s="7"/>
      <c r="G57" s="7"/>
    </row>
    <row r="58" customFormat="false" ht="15" hidden="false" customHeight="false" outlineLevel="0" collapsed="false">
      <c r="A58" s="6" t="s">
        <v>308</v>
      </c>
      <c r="B58" s="106" t="n">
        <v>1500000</v>
      </c>
      <c r="C58" s="106" t="n">
        <v>1500000</v>
      </c>
      <c r="D58" s="106" t="n">
        <v>1500000</v>
      </c>
      <c r="E58" s="107" t="n">
        <f aca="false">CHOOSE(Dashboard!$B$4,B58,C58,D58)</f>
        <v>1500000</v>
      </c>
      <c r="F58" s="38" t="s">
        <v>255</v>
      </c>
      <c r="G58" s="99"/>
    </row>
    <row r="59" customFormat="false" ht="15" hidden="false" customHeight="false" outlineLevel="0" collapsed="false">
      <c r="A59" s="6" t="s">
        <v>309</v>
      </c>
      <c r="B59" s="106" t="n">
        <v>500000</v>
      </c>
      <c r="C59" s="106" t="n">
        <v>500000</v>
      </c>
      <c r="D59" s="106" t="n">
        <v>500000</v>
      </c>
      <c r="E59" s="107" t="n">
        <f aca="false">CHOOSE(Dashboard!$B$4,B59,C59,D59)</f>
        <v>500000</v>
      </c>
      <c r="F59" s="38" t="s">
        <v>255</v>
      </c>
      <c r="G59" s="99"/>
    </row>
    <row r="60" customFormat="false" ht="15" hidden="false" customHeight="false" outlineLevel="0" collapsed="false">
      <c r="A60" s="6" t="s">
        <v>310</v>
      </c>
      <c r="B60" s="100" t="n">
        <v>0.08</v>
      </c>
      <c r="C60" s="100" t="n">
        <v>0.08</v>
      </c>
      <c r="D60" s="100" t="n">
        <v>0.08</v>
      </c>
      <c r="E60" s="101" t="n">
        <f aca="false">CHOOSE(Dashboard!$B$4,B60,C60,D60)</f>
        <v>0.08</v>
      </c>
      <c r="F60" s="38" t="s">
        <v>252</v>
      </c>
      <c r="G60" s="99"/>
    </row>
    <row r="61" customFormat="false" ht="15" hidden="false" customHeight="false" outlineLevel="0" collapsed="false">
      <c r="A61" s="6" t="s">
        <v>311</v>
      </c>
      <c r="B61" s="97" t="n">
        <v>5</v>
      </c>
      <c r="C61" s="97" t="n">
        <v>5</v>
      </c>
      <c r="D61" s="97" t="n">
        <v>5</v>
      </c>
      <c r="E61" s="98" t="n">
        <f aca="false">CHOOSE(Dashboard!$B$4,B61,C61,D61)</f>
        <v>5</v>
      </c>
      <c r="F61" s="38" t="s">
        <v>312</v>
      </c>
      <c r="G61" s="99"/>
    </row>
    <row r="63" customFormat="false" ht="15.75" hidden="false" customHeight="true" outlineLevel="0" collapsed="false">
      <c r="A63" s="7" t="s">
        <v>313</v>
      </c>
      <c r="B63" s="7"/>
      <c r="C63" s="7"/>
      <c r="D63" s="7"/>
      <c r="E63" s="7"/>
      <c r="F63" s="7"/>
      <c r="G63" s="7"/>
    </row>
    <row r="64" customFormat="false" ht="15" hidden="false" customHeight="false" outlineLevel="0" collapsed="false">
      <c r="A64" s="6" t="s">
        <v>314</v>
      </c>
      <c r="B64" s="97" t="n">
        <v>2</v>
      </c>
      <c r="C64" s="97" t="n">
        <v>2</v>
      </c>
      <c r="D64" s="97" t="n">
        <v>2</v>
      </c>
      <c r="E64" s="98" t="n">
        <f aca="false">CHOOSE(Dashboard!$B$4,B64,C64,D64)</f>
        <v>2</v>
      </c>
      <c r="F64" s="38" t="s">
        <v>315</v>
      </c>
      <c r="G64" s="99"/>
    </row>
    <row r="65" customFormat="false" ht="15" hidden="false" customHeight="false" outlineLevel="0" collapsed="false">
      <c r="A65" s="6" t="s">
        <v>316</v>
      </c>
      <c r="B65" s="97" t="n">
        <v>75</v>
      </c>
      <c r="C65" s="97" t="n">
        <v>75</v>
      </c>
      <c r="D65" s="97" t="n">
        <v>75</v>
      </c>
      <c r="E65" s="98" t="n">
        <f aca="false">CHOOSE(Dashboard!$B$4,B65,C65,D65)</f>
        <v>75</v>
      </c>
      <c r="F65" s="38" t="s">
        <v>315</v>
      </c>
      <c r="G65" s="99"/>
    </row>
    <row r="66" customFormat="false" ht="15" hidden="false" customHeight="false" outlineLevel="0" collapsed="false">
      <c r="A66" s="6" t="s">
        <v>317</v>
      </c>
      <c r="B66" s="97" t="n">
        <v>30</v>
      </c>
      <c r="C66" s="97" t="n">
        <v>30</v>
      </c>
      <c r="D66" s="97" t="n">
        <v>30</v>
      </c>
      <c r="E66" s="98" t="n">
        <f aca="false">CHOOSE(Dashboard!$B$4,B66,C66,D66)</f>
        <v>30</v>
      </c>
      <c r="F66" s="38" t="s">
        <v>315</v>
      </c>
      <c r="G66" s="99"/>
    </row>
    <row r="68" customFormat="false" ht="15.75" hidden="false" customHeight="true" outlineLevel="0" collapsed="false">
      <c r="A68" s="7" t="s">
        <v>318</v>
      </c>
      <c r="B68" s="7"/>
      <c r="C68" s="7"/>
      <c r="D68" s="7"/>
      <c r="E68" s="7"/>
      <c r="F68" s="7"/>
      <c r="G68" s="7"/>
    </row>
    <row r="69" customFormat="false" ht="15" hidden="false" customHeight="false" outlineLevel="0" collapsed="false">
      <c r="A69" s="6" t="s">
        <v>319</v>
      </c>
      <c r="B69" s="97" t="n">
        <v>7</v>
      </c>
      <c r="C69" s="97" t="n">
        <v>7</v>
      </c>
      <c r="D69" s="97" t="n">
        <v>7</v>
      </c>
      <c r="E69" s="98" t="n">
        <f aca="false">CHOOSE(Dashboard!$B$4,B69,C69,D69)</f>
        <v>7</v>
      </c>
      <c r="F69" s="38" t="s">
        <v>312</v>
      </c>
      <c r="G69" s="99"/>
    </row>
    <row r="70" customFormat="false" ht="15" hidden="false" customHeight="false" outlineLevel="0" collapsed="false">
      <c r="A70" s="6" t="s">
        <v>320</v>
      </c>
      <c r="B70" s="100" t="n">
        <v>0.21</v>
      </c>
      <c r="C70" s="100" t="n">
        <v>0.21</v>
      </c>
      <c r="D70" s="100" t="n">
        <v>0.21</v>
      </c>
      <c r="E70" s="101" t="n">
        <f aca="false">CHOOSE(Dashboard!$B$4,B70,C70,D70)</f>
        <v>0.21</v>
      </c>
      <c r="F70" s="38" t="s">
        <v>252</v>
      </c>
      <c r="G70" s="99"/>
    </row>
    <row r="72" customFormat="false" ht="15.75" hidden="false" customHeight="true" outlineLevel="0" collapsed="false">
      <c r="A72" s="7" t="s">
        <v>321</v>
      </c>
      <c r="B72" s="7"/>
      <c r="C72" s="7"/>
      <c r="D72" s="7"/>
      <c r="E72" s="7"/>
      <c r="F72" s="7"/>
      <c r="G72" s="7"/>
    </row>
    <row r="73" customFormat="false" ht="15" hidden="false" customHeight="false" outlineLevel="0" collapsed="false">
      <c r="A73" s="6" t="s">
        <v>141</v>
      </c>
      <c r="B73" s="106" t="n">
        <v>720000</v>
      </c>
      <c r="C73" s="106" t="n">
        <v>720000</v>
      </c>
      <c r="D73" s="106" t="n">
        <v>720000</v>
      </c>
      <c r="E73" s="107" t="n">
        <f aca="false">CHOOSE(Dashboard!$B$4,B73,C73,D73)</f>
        <v>720000</v>
      </c>
      <c r="F73" s="38" t="s">
        <v>255</v>
      </c>
      <c r="G73" s="99" t="s">
        <v>322</v>
      </c>
    </row>
    <row r="75" customFormat="false" ht="15.75" hidden="false" customHeight="true" outlineLevel="0" collapsed="false">
      <c r="A75" s="7" t="s">
        <v>323</v>
      </c>
      <c r="B75" s="7"/>
      <c r="C75" s="7"/>
      <c r="D75" s="7"/>
      <c r="E75" s="7"/>
      <c r="F75" s="7"/>
      <c r="G75" s="7"/>
    </row>
    <row r="76" customFormat="false" ht="15" hidden="false" customHeight="false" outlineLevel="0" collapsed="false">
      <c r="A76" s="6" t="s">
        <v>168</v>
      </c>
      <c r="B76" s="100" t="n">
        <v>0.2</v>
      </c>
      <c r="C76" s="100" t="n">
        <v>0.16</v>
      </c>
      <c r="D76" s="100" t="n">
        <v>0.13</v>
      </c>
      <c r="E76" s="101" t="n">
        <f aca="false">CHOOSE(Dashboard!$B$4,B76,C76,D76)</f>
        <v>0.16</v>
      </c>
      <c r="F76" s="38" t="s">
        <v>252</v>
      </c>
      <c r="G76" s="99" t="s">
        <v>263</v>
      </c>
    </row>
    <row r="77" customFormat="false" ht="15" hidden="false" customHeight="false" outlineLevel="0" collapsed="false">
      <c r="A77" s="6" t="s">
        <v>324</v>
      </c>
      <c r="B77" s="100" t="n">
        <v>0.01</v>
      </c>
      <c r="C77" s="100" t="n">
        <v>0.02</v>
      </c>
      <c r="D77" s="100" t="n">
        <v>0.03</v>
      </c>
      <c r="E77" s="101" t="n">
        <f aca="false">CHOOSE(Dashboard!$B$4,B77,C77,D77)</f>
        <v>0.02</v>
      </c>
      <c r="F77" s="38" t="s">
        <v>252</v>
      </c>
      <c r="G77" s="99" t="s">
        <v>250</v>
      </c>
    </row>
    <row r="78" customFormat="false" ht="15" hidden="false" customHeight="false" outlineLevel="0" collapsed="false">
      <c r="A78" s="6" t="s">
        <v>170</v>
      </c>
      <c r="B78" s="104" t="n">
        <v>4</v>
      </c>
      <c r="C78" s="104" t="n">
        <v>5.5</v>
      </c>
      <c r="D78" s="104" t="n">
        <v>7</v>
      </c>
      <c r="E78" s="105" t="n">
        <f aca="false">CHOOSE(Dashboard!$B$4,B78,C78,D78)</f>
        <v>5.5</v>
      </c>
      <c r="F78" s="38" t="s">
        <v>258</v>
      </c>
      <c r="G78" s="99" t="s">
        <v>250</v>
      </c>
    </row>
    <row r="79" customFormat="false" ht="15" hidden="false" customHeight="false" outlineLevel="0" collapsed="false">
      <c r="A79" s="6" t="s">
        <v>325</v>
      </c>
      <c r="B79" s="100" t="n">
        <v>0.01</v>
      </c>
      <c r="C79" s="100" t="n">
        <v>0.01</v>
      </c>
      <c r="D79" s="100" t="n">
        <v>0.01</v>
      </c>
      <c r="E79" s="101" t="n">
        <f aca="false">CHOOSE(Dashboard!$B$4,B79,C79,D79)</f>
        <v>0.01</v>
      </c>
      <c r="F79" s="38" t="s">
        <v>252</v>
      </c>
      <c r="G79" s="99"/>
    </row>
    <row r="80" customFormat="false" ht="15" hidden="false" customHeight="false" outlineLevel="0" collapsed="false">
      <c r="A80" s="6" t="s">
        <v>326</v>
      </c>
      <c r="B80" s="100" t="n">
        <v>0.005</v>
      </c>
      <c r="C80" s="100" t="n">
        <v>0.005</v>
      </c>
      <c r="D80" s="100" t="n">
        <v>0.005</v>
      </c>
      <c r="E80" s="101" t="n">
        <f aca="false">CHOOSE(Dashboard!$B$4,B80,C80,D80)</f>
        <v>0.005</v>
      </c>
      <c r="F80" s="38" t="s">
        <v>252</v>
      </c>
      <c r="G80" s="99"/>
    </row>
    <row r="82" customFormat="false" ht="15" hidden="false" customHeight="false" outlineLevel="0" collapsed="false">
      <c r="A82" s="21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328</v>
      </c>
    </row>
    <row r="3" customFormat="false" ht="15" hidden="false" customHeight="false" outlineLevel="0" collapsed="false">
      <c r="A3" s="70" t="s">
        <v>154</v>
      </c>
      <c r="B3" s="70" t="n">
        <v>1</v>
      </c>
      <c r="C3" s="70" t="n">
        <v>2</v>
      </c>
      <c r="D3" s="70" t="n">
        <v>3</v>
      </c>
      <c r="E3" s="70" t="n">
        <v>4</v>
      </c>
      <c r="F3" s="70" t="n">
        <v>5</v>
      </c>
    </row>
    <row r="4" customFormat="false" ht="15" hidden="false" customHeight="false" outlineLevel="0" collapsed="false">
      <c r="A4" s="33"/>
      <c r="B4" s="50" t="s">
        <v>155</v>
      </c>
      <c r="C4" s="50" t="s">
        <v>156</v>
      </c>
      <c r="D4" s="50" t="s">
        <v>157</v>
      </c>
      <c r="E4" s="50" t="s">
        <v>158</v>
      </c>
      <c r="F4" s="50" t="s">
        <v>159</v>
      </c>
    </row>
    <row r="5" customFormat="false" ht="15" hidden="false" customHeight="false" outlineLevel="0" collapsed="false">
      <c r="A5" s="4" t="s">
        <v>44</v>
      </c>
      <c r="B5" s="71" t="n">
        <f aca="false">SUMIF(Monthly!$C$5:$BJ$5,B$3,Monthly!$C$25:$BJ$25)</f>
        <v>5514942.85714286</v>
      </c>
      <c r="C5" s="71" t="n">
        <f aca="false">SUMIF(Monthly!$C$5:$BJ$5,C$3,Monthly!$C$25:$BJ$25)</f>
        <v>7179087.85714286</v>
      </c>
      <c r="D5" s="71" t="n">
        <f aca="false">SUMIF(Monthly!$C$5:$BJ$5,D$3,Monthly!$C$25:$BJ$25)</f>
        <v>9149574.85714286</v>
      </c>
      <c r="E5" s="71" t="n">
        <f aca="false">SUMIF(Monthly!$C$5:$BJ$5,E$3,Monthly!$C$25:$BJ$25)</f>
        <v>11499932.0931429</v>
      </c>
      <c r="F5" s="71" t="n">
        <f aca="false">SUMIF(Monthly!$C$5:$BJ$5,F$3,Monthly!$C$25:$BJ$25)</f>
        <v>14322508.4584569</v>
      </c>
    </row>
    <row r="6" customFormat="false" ht="15" hidden="false" customHeight="false" outlineLevel="0" collapsed="false">
      <c r="A6" s="6" t="s">
        <v>76</v>
      </c>
      <c r="B6" s="65" t="n">
        <f aca="false">SUMIF(Monthly!$C$5:$BJ$5,B$3,Monthly!$C$26:$BJ$26)</f>
        <v>-2316276</v>
      </c>
      <c r="C6" s="65" t="n">
        <f aca="false">SUMIF(Monthly!$C$5:$BJ$5,C$3,Monthly!$C$26:$BJ$26)</f>
        <v>-3015216.9</v>
      </c>
      <c r="D6" s="65" t="n">
        <f aca="false">SUMIF(Monthly!$C$5:$BJ$5,D$3,Monthly!$C$26:$BJ$26)</f>
        <v>-3842821.44</v>
      </c>
      <c r="E6" s="65" t="n">
        <f aca="false">SUMIF(Monthly!$C$5:$BJ$5,E$3,Monthly!$C$26:$BJ$26)</f>
        <v>-4829971.47912</v>
      </c>
      <c r="F6" s="65" t="n">
        <f aca="false">SUMIF(Monthly!$C$5:$BJ$5,F$3,Monthly!$C$26:$BJ$26)</f>
        <v>-6015453.55255188</v>
      </c>
    </row>
    <row r="7" customFormat="false" ht="15" hidden="false" customHeight="false" outlineLevel="0" collapsed="false">
      <c r="A7" s="110" t="s">
        <v>45</v>
      </c>
      <c r="B7" s="66" t="n">
        <f aca="false">SUMIF(Monthly!$C$5:$BJ$5,B$3,Monthly!$C$27:$BJ$27)</f>
        <v>3198666.85714286</v>
      </c>
      <c r="C7" s="66" t="n">
        <f aca="false">SUMIF(Monthly!$C$5:$BJ$5,C$3,Monthly!$C$27:$BJ$27)</f>
        <v>4163870.95714286</v>
      </c>
      <c r="D7" s="66" t="n">
        <f aca="false">SUMIF(Monthly!$C$5:$BJ$5,D$3,Monthly!$C$27:$BJ$27)</f>
        <v>5306753.41714286</v>
      </c>
      <c r="E7" s="66" t="n">
        <f aca="false">SUMIF(Monthly!$C$5:$BJ$5,E$3,Monthly!$C$27:$BJ$27)</f>
        <v>6669960.61402286</v>
      </c>
      <c r="F7" s="66" t="n">
        <f aca="false">SUMIF(Monthly!$C$5:$BJ$5,F$3,Monthly!$C$27:$BJ$27)</f>
        <v>8307054.90590498</v>
      </c>
    </row>
    <row r="8" customFormat="false" ht="15" hidden="false" customHeight="false" outlineLevel="0" collapsed="false">
      <c r="A8" s="38" t="s">
        <v>46</v>
      </c>
      <c r="B8" s="72" t="n">
        <f aca="false">IF(B5=0,0,B7/B5)</f>
        <v>0.58</v>
      </c>
      <c r="C8" s="72" t="n">
        <f aca="false">IF(C5=0,0,C7/C5)</f>
        <v>0.58</v>
      </c>
      <c r="D8" s="72" t="n">
        <f aca="false">IF(D5=0,0,D7/D5)</f>
        <v>0.58</v>
      </c>
      <c r="E8" s="72" t="n">
        <f aca="false">IF(E5=0,0,E7/E5)</f>
        <v>0.58</v>
      </c>
      <c r="F8" s="72" t="n">
        <f aca="false">IF(F5=0,0,F7/F5)</f>
        <v>0.58</v>
      </c>
    </row>
    <row r="9" customFormat="false" ht="15" hidden="false" customHeight="false" outlineLevel="0" collapsed="false">
      <c r="A9" s="6" t="s">
        <v>329</v>
      </c>
      <c r="B9" s="65" t="n">
        <f aca="false">SUMIF(Monthly!$C$5:$BJ$5,B$3,Monthly!$C$30:$BJ$30)</f>
        <v>-533622.857142857</v>
      </c>
      <c r="C9" s="65" t="n">
        <f aca="false">SUMIF(Monthly!$C$5:$BJ$5,C$3,Monthly!$C$30:$BJ$30)</f>
        <v>-654171.428571429</v>
      </c>
      <c r="D9" s="65" t="n">
        <f aca="false">SUMIF(Monthly!$C$5:$BJ$5,D$3,Monthly!$C$30:$BJ$30)</f>
        <v>-802285.714285714</v>
      </c>
      <c r="E9" s="65" t="n">
        <f aca="false">SUMIF(Monthly!$C$5:$BJ$5,E$3,Monthly!$C$30:$BJ$30)</f>
        <v>-984342.857142857</v>
      </c>
      <c r="F9" s="65" t="n">
        <f aca="false">SUMIF(Monthly!$C$5:$BJ$5,F$3,Monthly!$C$30:$BJ$30)</f>
        <v>-1208211.42857143</v>
      </c>
    </row>
    <row r="10" customFormat="false" ht="15" hidden="false" customHeight="false" outlineLevel="0" collapsed="false">
      <c r="A10" s="6" t="s">
        <v>330</v>
      </c>
      <c r="B10" s="65" t="n">
        <f aca="false">SUMIF(Monthly!$C$5:$BJ$5,B$3,Monthly!$C$31:$BJ$31)</f>
        <v>-165448.285714286</v>
      </c>
      <c r="C10" s="65" t="n">
        <f aca="false">SUMIF(Monthly!$C$5:$BJ$5,C$3,Monthly!$C$31:$BJ$31)</f>
        <v>-215372.635714286</v>
      </c>
      <c r="D10" s="65" t="n">
        <f aca="false">SUMIF(Monthly!$C$5:$BJ$5,D$3,Monthly!$C$31:$BJ$31)</f>
        <v>-274487.245714286</v>
      </c>
      <c r="E10" s="65" t="n">
        <f aca="false">SUMIF(Monthly!$C$5:$BJ$5,E$3,Monthly!$C$31:$BJ$31)</f>
        <v>-344997.962794286</v>
      </c>
      <c r="F10" s="65" t="n">
        <f aca="false">SUMIF(Monthly!$C$5:$BJ$5,F$3,Monthly!$C$31:$BJ$31)</f>
        <v>-429675.253753706</v>
      </c>
    </row>
    <row r="11" customFormat="false" ht="15" hidden="false" customHeight="false" outlineLevel="0" collapsed="false">
      <c r="A11" s="6" t="s">
        <v>331</v>
      </c>
      <c r="B11" s="65" t="n">
        <f aca="false">SUMIF(Monthly!$C$5:$BJ$5,B$3,Monthly!$C$32:$BJ$32)</f>
        <v>-600000</v>
      </c>
      <c r="C11" s="65" t="n">
        <f aca="false">SUMIF(Monthly!$C$5:$BJ$5,C$3,Monthly!$C$32:$BJ$32)</f>
        <v>-720000</v>
      </c>
      <c r="D11" s="65" t="n">
        <f aca="false">SUMIF(Monthly!$C$5:$BJ$5,D$3,Monthly!$C$32:$BJ$32)</f>
        <v>-864000</v>
      </c>
      <c r="E11" s="65" t="n">
        <f aca="false">SUMIF(Monthly!$C$5:$BJ$5,E$3,Monthly!$C$32:$BJ$32)</f>
        <v>-1036800</v>
      </c>
      <c r="F11" s="65" t="n">
        <f aca="false">SUMIF(Monthly!$C$5:$BJ$5,F$3,Monthly!$C$32:$BJ$32)</f>
        <v>-1244160</v>
      </c>
    </row>
    <row r="12" customFormat="false" ht="15" hidden="false" customHeight="false" outlineLevel="0" collapsed="false">
      <c r="A12" s="6" t="s">
        <v>332</v>
      </c>
      <c r="B12" s="65" t="n">
        <f aca="false">SUMIF(Monthly!$C$5:$BJ$5,B$3,Monthly!$C$33:$BJ$33)</f>
        <v>-1258100</v>
      </c>
      <c r="C12" s="65" t="n">
        <f aca="false">SUMIF(Monthly!$C$5:$BJ$5,C$3,Monthly!$C$33:$BJ$33)</f>
        <v>-1578583.15</v>
      </c>
      <c r="D12" s="65" t="n">
        <f aca="false">SUMIF(Monthly!$C$5:$BJ$5,D$3,Monthly!$C$33:$BJ$33)</f>
        <v>-1984612.633975</v>
      </c>
      <c r="E12" s="65" t="n">
        <f aca="false">SUMIF(Monthly!$C$5:$BJ$5,E$3,Monthly!$C$33:$BJ$33)</f>
        <v>-2500092.18694859</v>
      </c>
      <c r="F12" s="65" t="n">
        <f aca="false">SUMIF(Monthly!$C$5:$BJ$5,F$3,Monthly!$C$33:$BJ$33)</f>
        <v>-3155891.55289642</v>
      </c>
    </row>
    <row r="13" customFormat="false" ht="15" hidden="false" customHeight="false" outlineLevel="0" collapsed="false">
      <c r="A13" s="6" t="s">
        <v>333</v>
      </c>
      <c r="B13" s="65" t="n">
        <f aca="false">SUMIF(Monthly!$C$5:$BJ$5,B$3,Monthly!$C$34:$BJ$34)</f>
        <v>-120000</v>
      </c>
      <c r="C13" s="65" t="n">
        <f aca="false">SUMIF(Monthly!$C$5:$BJ$5,C$3,Monthly!$C$34:$BJ$34)</f>
        <v>-180000</v>
      </c>
      <c r="D13" s="65" t="n">
        <f aca="false">SUMIF(Monthly!$C$5:$BJ$5,D$3,Monthly!$C$34:$BJ$34)</f>
        <v>-240000</v>
      </c>
      <c r="E13" s="65" t="n">
        <f aca="false">SUMIF(Monthly!$C$5:$BJ$5,E$3,Monthly!$C$34:$BJ$34)</f>
        <v>-300000</v>
      </c>
      <c r="F13" s="65" t="n">
        <f aca="false">SUMIF(Monthly!$C$5:$BJ$5,F$3,Monthly!$C$34:$BJ$34)</f>
        <v>-360000</v>
      </c>
    </row>
    <row r="14" customFormat="false" ht="15" hidden="false" customHeight="false" outlineLevel="0" collapsed="false">
      <c r="A14" s="6" t="s">
        <v>334</v>
      </c>
      <c r="B14" s="65" t="n">
        <f aca="false">SUMIF(Monthly!$C$5:$BJ$5,B$3,Monthly!$C$35:$BJ$35)</f>
        <v>-60000</v>
      </c>
      <c r="C14" s="65" t="n">
        <f aca="false">SUMIF(Monthly!$C$5:$BJ$5,C$3,Monthly!$C$35:$BJ$35)</f>
        <v>-90000</v>
      </c>
      <c r="D14" s="65" t="n">
        <f aca="false">SUMIF(Monthly!$C$5:$BJ$5,D$3,Monthly!$C$35:$BJ$35)</f>
        <v>-120000</v>
      </c>
      <c r="E14" s="65" t="n">
        <f aca="false">SUMIF(Monthly!$C$5:$BJ$5,E$3,Monthly!$C$35:$BJ$35)</f>
        <v>-150000</v>
      </c>
      <c r="F14" s="65" t="n">
        <f aca="false">SUMIF(Monthly!$C$5:$BJ$5,F$3,Monthly!$C$35:$BJ$35)</f>
        <v>-180000</v>
      </c>
    </row>
    <row r="15" customFormat="false" ht="15" hidden="false" customHeight="false" outlineLevel="0" collapsed="false">
      <c r="A15" s="6" t="s">
        <v>335</v>
      </c>
      <c r="B15" s="65" t="n">
        <f aca="false">SUMIF(Monthly!$C$5:$BJ$5,B$3,Monthly!$C$36:$BJ$36)</f>
        <v>-48000</v>
      </c>
      <c r="C15" s="65" t="n">
        <f aca="false">SUMIF(Monthly!$C$5:$BJ$5,C$3,Monthly!$C$36:$BJ$36)</f>
        <v>-48000</v>
      </c>
      <c r="D15" s="65" t="n">
        <f aca="false">SUMIF(Monthly!$C$5:$BJ$5,D$3,Monthly!$C$36:$BJ$36)</f>
        <v>-48000</v>
      </c>
      <c r="E15" s="65" t="n">
        <f aca="false">SUMIF(Monthly!$C$5:$BJ$5,E$3,Monthly!$C$36:$BJ$36)</f>
        <v>-48000</v>
      </c>
      <c r="F15" s="65" t="n">
        <f aca="false">SUMIF(Monthly!$C$5:$BJ$5,F$3,Monthly!$C$36:$BJ$36)</f>
        <v>-48000</v>
      </c>
    </row>
    <row r="16" customFormat="false" ht="15" hidden="false" customHeight="false" outlineLevel="0" collapsed="false">
      <c r="A16" s="6" t="s">
        <v>336</v>
      </c>
      <c r="B16" s="65" t="n">
        <f aca="false">SUMIF(Monthly!$C$5:$BJ$5,B$3,Monthly!$C$37:$BJ$37)</f>
        <v>-96000</v>
      </c>
      <c r="C16" s="65" t="n">
        <f aca="false">SUMIF(Monthly!$C$5:$BJ$5,C$3,Monthly!$C$37:$BJ$37)</f>
        <v>-96000</v>
      </c>
      <c r="D16" s="65" t="n">
        <f aca="false">SUMIF(Monthly!$C$5:$BJ$5,D$3,Monthly!$C$37:$BJ$37)</f>
        <v>-96000</v>
      </c>
      <c r="E16" s="65" t="n">
        <f aca="false">SUMIF(Monthly!$C$5:$BJ$5,E$3,Monthly!$C$37:$BJ$37)</f>
        <v>-96000</v>
      </c>
      <c r="F16" s="65" t="n">
        <f aca="false">SUMIF(Monthly!$C$5:$BJ$5,F$3,Monthly!$C$37:$BJ$37)</f>
        <v>-96000</v>
      </c>
    </row>
    <row r="17" customFormat="false" ht="15" hidden="false" customHeight="false" outlineLevel="0" collapsed="false">
      <c r="A17" s="110" t="s">
        <v>77</v>
      </c>
      <c r="B17" s="66" t="n">
        <f aca="false">SUMIF(Monthly!$C$5:$BJ$5,B$3,Monthly!$C$38:$BJ$38)</f>
        <v>-2881171.14285714</v>
      </c>
      <c r="C17" s="66" t="n">
        <f aca="false">SUMIF(Monthly!$C$5:$BJ$5,C$3,Monthly!$C$38:$BJ$38)</f>
        <v>-3582127.21428571</v>
      </c>
      <c r="D17" s="66" t="n">
        <f aca="false">SUMIF(Monthly!$C$5:$BJ$5,D$3,Monthly!$C$38:$BJ$38)</f>
        <v>-4429385.593975</v>
      </c>
      <c r="E17" s="66" t="n">
        <f aca="false">SUMIF(Monthly!$C$5:$BJ$5,E$3,Monthly!$C$38:$BJ$38)</f>
        <v>-5460233.00688573</v>
      </c>
      <c r="F17" s="66" t="n">
        <f aca="false">SUMIF(Monthly!$C$5:$BJ$5,F$3,Monthly!$C$38:$BJ$38)</f>
        <v>-6721938.23522155</v>
      </c>
    </row>
    <row r="18" customFormat="false" ht="15" hidden="false" customHeight="false" outlineLevel="0" collapsed="false">
      <c r="A18" s="110" t="s">
        <v>48</v>
      </c>
      <c r="B18" s="66" t="n">
        <f aca="false">SUMIF(Monthly!$C$5:$BJ$5,B$3,Monthly!$C$39:$BJ$39)</f>
        <v>317495.714285714</v>
      </c>
      <c r="C18" s="66" t="n">
        <f aca="false">SUMIF(Monthly!$C$5:$BJ$5,C$3,Monthly!$C$39:$BJ$39)</f>
        <v>581743.742857143</v>
      </c>
      <c r="D18" s="66" t="n">
        <f aca="false">SUMIF(Monthly!$C$5:$BJ$5,D$3,Monthly!$C$39:$BJ$39)</f>
        <v>877367.823167858</v>
      </c>
      <c r="E18" s="66" t="n">
        <f aca="false">SUMIF(Monthly!$C$5:$BJ$5,E$3,Monthly!$C$39:$BJ$39)</f>
        <v>1209727.60713713</v>
      </c>
      <c r="F18" s="66" t="n">
        <f aca="false">SUMIF(Monthly!$C$5:$BJ$5,F$3,Monthly!$C$39:$BJ$39)</f>
        <v>1585116.67068342</v>
      </c>
    </row>
    <row r="19" customFormat="false" ht="15" hidden="false" customHeight="false" outlineLevel="0" collapsed="false">
      <c r="A19" s="38" t="s">
        <v>49</v>
      </c>
      <c r="B19" s="72" t="n">
        <f aca="false">IF(B5=0,0,B18/B5)</f>
        <v>0.0575700823217959</v>
      </c>
      <c r="C19" s="72" t="n">
        <f aca="false">IF(C5=0,0,C18/C5)</f>
        <v>0.0810330998078447</v>
      </c>
      <c r="D19" s="72" t="n">
        <f aca="false">IF(D5=0,0,D18/D5)</f>
        <v>0.0958916492696836</v>
      </c>
      <c r="E19" s="72" t="n">
        <f aca="false">IF(E5=0,0,E18/E5)</f>
        <v>0.105194326135061</v>
      </c>
      <c r="F19" s="72" t="n">
        <f aca="false">IF(F5=0,0,F18/F5)</f>
        <v>0.110673118139964</v>
      </c>
    </row>
    <row r="20" customFormat="false" ht="15" hidden="false" customHeight="false" outlineLevel="0" collapsed="false">
      <c r="A20" s="6" t="s">
        <v>78</v>
      </c>
      <c r="B20" s="65" t="n">
        <f aca="false">SUMIF(Monthly!$C$5:$BJ$5,B$3,Monthly!$C$53:$BJ$53)</f>
        <v>-50000</v>
      </c>
      <c r="C20" s="65" t="n">
        <f aca="false">SUMIF(Monthly!$C$5:$BJ$5,C$3,Monthly!$C$53:$BJ$53)</f>
        <v>-71428.5714285714</v>
      </c>
      <c r="D20" s="65" t="n">
        <f aca="false">SUMIF(Monthly!$C$5:$BJ$5,D$3,Monthly!$C$53:$BJ$53)</f>
        <v>-92857.1428571429</v>
      </c>
      <c r="E20" s="65" t="n">
        <f aca="false">SUMIF(Monthly!$C$5:$BJ$5,E$3,Monthly!$C$53:$BJ$53)</f>
        <v>-114285.714285714</v>
      </c>
      <c r="F20" s="65" t="n">
        <f aca="false">SUMIF(Monthly!$C$5:$BJ$5,F$3,Monthly!$C$53:$BJ$53)</f>
        <v>-135714.285714286</v>
      </c>
    </row>
    <row r="21" customFormat="false" ht="15" hidden="false" customHeight="false" outlineLevel="0" collapsed="false">
      <c r="A21" s="4" t="s">
        <v>79</v>
      </c>
      <c r="B21" s="71" t="n">
        <f aca="false">SUMIF(Monthly!$C$5:$BJ$5,B$3,Monthly!$C$42:$BJ$42)</f>
        <v>267495.714285714</v>
      </c>
      <c r="C21" s="71" t="n">
        <f aca="false">SUMIF(Monthly!$C$5:$BJ$5,C$3,Monthly!$C$42:$BJ$42)</f>
        <v>510315.171428572</v>
      </c>
      <c r="D21" s="71" t="n">
        <f aca="false">SUMIF(Monthly!$C$5:$BJ$5,D$3,Monthly!$C$42:$BJ$42)</f>
        <v>784510.680310715</v>
      </c>
      <c r="E21" s="71" t="n">
        <f aca="false">SUMIF(Monthly!$C$5:$BJ$5,E$3,Monthly!$C$42:$BJ$42)</f>
        <v>1095441.89285141</v>
      </c>
      <c r="F21" s="71" t="n">
        <f aca="false">SUMIF(Monthly!$C$5:$BJ$5,F$3,Monthly!$C$42:$BJ$42)</f>
        <v>1449402.38496914</v>
      </c>
    </row>
    <row r="22" customFormat="false" ht="15" hidden="false" customHeight="false" outlineLevel="0" collapsed="false">
      <c r="A22" s="6" t="s">
        <v>80</v>
      </c>
      <c r="B22" s="65" t="n">
        <f aca="false">SUMIF(Monthly!$C$5:$BJ$5,B$3,Monthly!$C$43:$BJ$43)</f>
        <v>-36638.8888888889</v>
      </c>
      <c r="C22" s="65" t="n">
        <f aca="false">SUMIF(Monthly!$C$5:$BJ$5,C$3,Monthly!$C$43:$BJ$43)</f>
        <v>-28666.6666666667</v>
      </c>
      <c r="D22" s="65" t="n">
        <f aca="false">SUMIF(Monthly!$C$5:$BJ$5,D$3,Monthly!$C$43:$BJ$43)</f>
        <v>-20666.6666666667</v>
      </c>
      <c r="E22" s="65" t="n">
        <f aca="false">SUMIF(Monthly!$C$5:$BJ$5,E$3,Monthly!$C$43:$BJ$43)</f>
        <v>-12666.6666666667</v>
      </c>
      <c r="F22" s="65" t="n">
        <f aca="false">SUMIF(Monthly!$C$5:$BJ$5,F$3,Monthly!$C$43:$BJ$43)</f>
        <v>-4666.6666666667</v>
      </c>
    </row>
    <row r="23" customFormat="false" ht="15" hidden="false" customHeight="false" outlineLevel="0" collapsed="false">
      <c r="A23" s="111" t="s">
        <v>81</v>
      </c>
      <c r="B23" s="112" t="n">
        <f aca="false">SUMIF(Monthly!$C$5:$BJ$5,B$3,Monthly!$C$44:$BJ$44)</f>
        <v>230856.825396825</v>
      </c>
      <c r="C23" s="112" t="n">
        <f aca="false">SUMIF(Monthly!$C$5:$BJ$5,C$3,Monthly!$C$44:$BJ$44)</f>
        <v>481648.504761905</v>
      </c>
      <c r="D23" s="112" t="n">
        <f aca="false">SUMIF(Monthly!$C$5:$BJ$5,D$3,Monthly!$C$44:$BJ$44)</f>
        <v>763844.013644049</v>
      </c>
      <c r="E23" s="112" t="n">
        <f aca="false">SUMIF(Monthly!$C$5:$BJ$5,E$3,Monthly!$C$44:$BJ$44)</f>
        <v>1082775.22618475</v>
      </c>
      <c r="F23" s="112" t="n">
        <f aca="false">SUMIF(Monthly!$C$5:$BJ$5,F$3,Monthly!$C$44:$BJ$44)</f>
        <v>1444735.71830247</v>
      </c>
    </row>
    <row r="24" customFormat="false" ht="15" hidden="false" customHeight="false" outlineLevel="0" collapsed="false">
      <c r="A24" s="6" t="s">
        <v>82</v>
      </c>
      <c r="B24" s="65" t="n">
        <f aca="false">SUMIF(Monthly!$C$5:$BJ$5,B$3,Monthly!$C$47:$BJ$47)</f>
        <v>-48479.9333333333</v>
      </c>
      <c r="C24" s="65" t="n">
        <f aca="false">SUMIF(Monthly!$C$5:$BJ$5,C$3,Monthly!$C$47:$BJ$47)</f>
        <v>-101146.186</v>
      </c>
      <c r="D24" s="65" t="n">
        <f aca="false">SUMIF(Monthly!$C$5:$BJ$5,D$3,Monthly!$C$47:$BJ$47)</f>
        <v>-160407.24286525</v>
      </c>
      <c r="E24" s="65" t="n">
        <f aca="false">SUMIF(Monthly!$C$5:$BJ$5,E$3,Monthly!$C$47:$BJ$47)</f>
        <v>-227382.797498797</v>
      </c>
      <c r="F24" s="65" t="n">
        <f aca="false">SUMIF(Monthly!$C$5:$BJ$5,F$3,Monthly!$C$47:$BJ$47)</f>
        <v>-303394.500843519</v>
      </c>
    </row>
    <row r="25" customFormat="false" ht="15" hidden="false" customHeight="false" outlineLevel="0" collapsed="false">
      <c r="A25" s="68" t="s">
        <v>50</v>
      </c>
      <c r="B25" s="69" t="n">
        <f aca="false">SUMIF(Monthly!$C$5:$BJ$5,B$3,Monthly!$C$48:$BJ$48)</f>
        <v>182376.892063492</v>
      </c>
      <c r="C25" s="69" t="n">
        <f aca="false">SUMIF(Monthly!$C$5:$BJ$5,C$3,Monthly!$C$48:$BJ$48)</f>
        <v>380502.318761905</v>
      </c>
      <c r="D25" s="69" t="n">
        <f aca="false">SUMIF(Monthly!$C$5:$BJ$5,D$3,Monthly!$C$48:$BJ$48)</f>
        <v>603436.770778798</v>
      </c>
      <c r="E25" s="69" t="n">
        <f aca="false">SUMIF(Monthly!$C$5:$BJ$5,E$3,Monthly!$C$48:$BJ$48)</f>
        <v>855392.428685951</v>
      </c>
      <c r="F25" s="69" t="n">
        <f aca="false">SUMIF(Monthly!$C$5:$BJ$5,F$3,Monthly!$C$48:$BJ$48)</f>
        <v>1141341.21745895</v>
      </c>
    </row>
    <row r="26" customFormat="false" ht="15" hidden="false" customHeight="false" outlineLevel="0" collapsed="false">
      <c r="A26" s="38" t="s">
        <v>51</v>
      </c>
      <c r="B26" s="72" t="n">
        <f aca="false">IF(B5=0,0,B25/B5)</f>
        <v>0.0330695887133773</v>
      </c>
      <c r="C26" s="72" t="n">
        <f aca="false">IF(C5=0,0,C25/C5)</f>
        <v>0.0530014851933206</v>
      </c>
      <c r="D26" s="72" t="n">
        <f aca="false">IF(D5=0,0,D25/D5)</f>
        <v>0.0659524382499269</v>
      </c>
      <c r="E26" s="72" t="n">
        <f aca="false">IF(E5=0,0,E25/E5)</f>
        <v>0.0743823895443697</v>
      </c>
      <c r="F26" s="72" t="n">
        <f aca="false">IF(F5=0,0,F25/F5)</f>
        <v>0.0796886397916586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328</v>
      </c>
    </row>
    <row r="3" customFormat="false" ht="15" hidden="false" customHeight="false" outlineLevel="0" collapsed="false">
      <c r="A3" s="70" t="s">
        <v>154</v>
      </c>
      <c r="B3" s="70" t="n">
        <v>1</v>
      </c>
      <c r="C3" s="70" t="n">
        <v>2</v>
      </c>
      <c r="D3" s="70" t="n">
        <v>3</v>
      </c>
      <c r="E3" s="70" t="n">
        <v>4</v>
      </c>
      <c r="F3" s="70" t="n">
        <v>5</v>
      </c>
    </row>
    <row r="4" customFormat="false" ht="15" hidden="false" customHeight="false" outlineLevel="0" collapsed="false">
      <c r="A4" s="33"/>
      <c r="B4" s="50" t="s">
        <v>155</v>
      </c>
      <c r="C4" s="50" t="s">
        <v>156</v>
      </c>
      <c r="D4" s="50" t="s">
        <v>157</v>
      </c>
      <c r="E4" s="50" t="s">
        <v>158</v>
      </c>
      <c r="F4" s="50" t="s">
        <v>159</v>
      </c>
    </row>
    <row r="5" customFormat="false" ht="15" hidden="false" customHeight="false" outlineLevel="0" collapsed="false">
      <c r="A5" s="6" t="s">
        <v>50</v>
      </c>
      <c r="B5" s="65" t="n">
        <f aca="false">SUMIF(Monthly!$C$5:$BJ$5,B$3,Monthly!$C$48:$BJ$48)</f>
        <v>182376.892063492</v>
      </c>
      <c r="C5" s="65" t="n">
        <f aca="false">SUMIF(Monthly!$C$5:$BJ$5,C$3,Monthly!$C$48:$BJ$48)</f>
        <v>380502.318761905</v>
      </c>
      <c r="D5" s="65" t="n">
        <f aca="false">SUMIF(Monthly!$C$5:$BJ$5,D$3,Monthly!$C$48:$BJ$48)</f>
        <v>603436.770778798</v>
      </c>
      <c r="E5" s="65" t="n">
        <f aca="false">SUMIF(Monthly!$C$5:$BJ$5,E$3,Monthly!$C$48:$BJ$48)</f>
        <v>855392.428685951</v>
      </c>
      <c r="F5" s="65" t="n">
        <f aca="false">SUMIF(Monthly!$C$5:$BJ$5,F$3,Monthly!$C$48:$BJ$48)</f>
        <v>1141341.21745895</v>
      </c>
    </row>
    <row r="6" customFormat="false" ht="15" hidden="false" customHeight="false" outlineLevel="0" collapsed="false">
      <c r="A6" s="6" t="s">
        <v>337</v>
      </c>
      <c r="B6" s="65" t="n">
        <f aca="false">-SUMIF(Monthly!$C$5:$BJ$5,B$3,Monthly!$C$53:$BJ$53)</f>
        <v>50000</v>
      </c>
      <c r="C6" s="65" t="n">
        <f aca="false">-SUMIF(Monthly!$C$5:$BJ$5,C$3,Monthly!$C$53:$BJ$53)</f>
        <v>71428.5714285714</v>
      </c>
      <c r="D6" s="65" t="n">
        <f aca="false">-SUMIF(Monthly!$C$5:$BJ$5,D$3,Monthly!$C$53:$BJ$53)</f>
        <v>92857.1428571429</v>
      </c>
      <c r="E6" s="65" t="n">
        <f aca="false">-SUMIF(Monthly!$C$5:$BJ$5,E$3,Monthly!$C$53:$BJ$53)</f>
        <v>114285.714285714</v>
      </c>
      <c r="F6" s="65" t="n">
        <f aca="false">-SUMIF(Monthly!$C$5:$BJ$5,F$3,Monthly!$C$53:$BJ$53)</f>
        <v>135714.285714286</v>
      </c>
    </row>
    <row r="7" customFormat="false" ht="15" hidden="false" customHeight="false" outlineLevel="0" collapsed="false">
      <c r="A7" s="6" t="s">
        <v>338</v>
      </c>
      <c r="B7" s="65" t="n">
        <f aca="false">SUMIF(Monthly!$C$5:$BJ$5,B$3,Monthly!$C$67:$BJ$67)</f>
        <v>-36214.0714285714</v>
      </c>
      <c r="C7" s="65" t="n">
        <f aca="false">SUMIF(Monthly!$C$5:$BJ$5,C$3,Monthly!$C$67:$BJ$67)</f>
        <v>-11208.825</v>
      </c>
      <c r="D7" s="65" t="n">
        <f aca="false">SUMIF(Monthly!$C$5:$BJ$5,D$3,Monthly!$C$67:$BJ$67)</f>
        <v>-13239.855</v>
      </c>
      <c r="E7" s="65" t="n">
        <f aca="false">SUMIF(Monthly!$C$5:$BJ$5,E$3,Monthly!$C$67:$BJ$67)</f>
        <v>-15761.2797</v>
      </c>
      <c r="F7" s="65" t="n">
        <f aca="false">SUMIF(Monthly!$C$5:$BJ$5,F$3,Monthly!$C$67:$BJ$67)</f>
        <v>-18899.92213605</v>
      </c>
    </row>
    <row r="8" customFormat="false" ht="15" hidden="false" customHeight="false" outlineLevel="0" collapsed="false">
      <c r="A8" s="6" t="s">
        <v>339</v>
      </c>
      <c r="B8" s="65" t="n">
        <f aca="false">SUMIF(Monthly!$C$5:$BJ$5,B$3,Monthly!$C$68:$BJ$68)</f>
        <v>-570371.625</v>
      </c>
      <c r="C8" s="65" t="n">
        <f aca="false">SUMIF(Monthly!$C$5:$BJ$5,C$3,Monthly!$C$68:$BJ$68)</f>
        <v>-176538.99375</v>
      </c>
      <c r="D8" s="65" t="n">
        <f aca="false">SUMIF(Monthly!$C$5:$BJ$5,D$3,Monthly!$C$68:$BJ$68)</f>
        <v>-208527.71625</v>
      </c>
      <c r="E8" s="65" t="n">
        <f aca="false">SUMIF(Monthly!$C$5:$BJ$5,E$3,Monthly!$C$68:$BJ$68)</f>
        <v>-248240.155275</v>
      </c>
      <c r="F8" s="65" t="n">
        <f aca="false">SUMIF(Monthly!$C$5:$BJ$5,F$3,Monthly!$C$68:$BJ$68)</f>
        <v>-297673.773642788</v>
      </c>
    </row>
    <row r="9" customFormat="false" ht="15" hidden="false" customHeight="false" outlineLevel="0" collapsed="false">
      <c r="A9" s="6" t="s">
        <v>340</v>
      </c>
      <c r="B9" s="65" t="n">
        <f aca="false">SUMIF(Monthly!$C$5:$BJ$5,B$3,Monthly!$C$69:$BJ$69)</f>
        <v>228148.65</v>
      </c>
      <c r="C9" s="65" t="n">
        <f aca="false">SUMIF(Monthly!$C$5:$BJ$5,C$3,Monthly!$C$69:$BJ$69)</f>
        <v>70615.5975</v>
      </c>
      <c r="D9" s="65" t="n">
        <f aca="false">SUMIF(Monthly!$C$5:$BJ$5,D$3,Monthly!$C$69:$BJ$69)</f>
        <v>83411.0865</v>
      </c>
      <c r="E9" s="65" t="n">
        <f aca="false">SUMIF(Monthly!$C$5:$BJ$5,E$3,Monthly!$C$69:$BJ$69)</f>
        <v>99296.06211</v>
      </c>
      <c r="F9" s="65" t="n">
        <f aca="false">SUMIF(Monthly!$C$5:$BJ$5,F$3,Monthly!$C$69:$BJ$69)</f>
        <v>119069.509457115</v>
      </c>
    </row>
    <row r="10" customFormat="false" ht="15" hidden="false" customHeight="false" outlineLevel="0" collapsed="false">
      <c r="A10" s="110" t="s">
        <v>52</v>
      </c>
      <c r="B10" s="66" t="n">
        <f aca="false">SUMIF(Monthly!$C$5:$BJ$5,B$3,Monthly!$C$72:$BJ$72)</f>
        <v>-146060.154365079</v>
      </c>
      <c r="C10" s="66" t="n">
        <f aca="false">SUMIF(Monthly!$C$5:$BJ$5,C$3,Monthly!$C$72:$BJ$72)</f>
        <v>334798.668940476</v>
      </c>
      <c r="D10" s="66" t="n">
        <f aca="false">SUMIF(Monthly!$C$5:$BJ$5,D$3,Monthly!$C$72:$BJ$72)</f>
        <v>557937.428885941</v>
      </c>
      <c r="E10" s="66" t="n">
        <f aca="false">SUMIF(Monthly!$C$5:$BJ$5,E$3,Monthly!$C$72:$BJ$72)</f>
        <v>804972.770106665</v>
      </c>
      <c r="F10" s="66" t="n">
        <f aca="false">SUMIF(Monthly!$C$5:$BJ$5,F$3,Monthly!$C$72:$BJ$72)</f>
        <v>1079551.31685151</v>
      </c>
    </row>
    <row r="11" customFormat="false" ht="15" hidden="false" customHeight="false" outlineLevel="0" collapsed="false">
      <c r="A11" s="6" t="s">
        <v>84</v>
      </c>
      <c r="B11" s="65" t="n">
        <f aca="false">SUMIF(Monthly!$C$5:$BJ$5,B$3,Monthly!$C$73:$BJ$73)</f>
        <v>-350000</v>
      </c>
      <c r="C11" s="65" t="n">
        <f aca="false">SUMIF(Monthly!$C$5:$BJ$5,C$3,Monthly!$C$73:$BJ$73)</f>
        <v>-150000</v>
      </c>
      <c r="D11" s="65" t="n">
        <f aca="false">SUMIF(Monthly!$C$5:$BJ$5,D$3,Monthly!$C$73:$BJ$73)</f>
        <v>-150000</v>
      </c>
      <c r="E11" s="65" t="n">
        <f aca="false">SUMIF(Monthly!$C$5:$BJ$5,E$3,Monthly!$C$73:$BJ$73)</f>
        <v>-150000</v>
      </c>
      <c r="F11" s="65" t="n">
        <f aca="false">SUMIF(Monthly!$C$5:$BJ$5,F$3,Monthly!$C$73:$BJ$73)</f>
        <v>-150000</v>
      </c>
    </row>
    <row r="12" customFormat="false" ht="15" hidden="false" customHeight="false" outlineLevel="0" collapsed="false">
      <c r="A12" s="6" t="s">
        <v>64</v>
      </c>
      <c r="B12" s="65" t="n">
        <f aca="false">SUMIF(Monthly!$C$5:$BJ$5,B$3,Monthly!$C$74:$BJ$74)</f>
        <v>1500000</v>
      </c>
      <c r="C12" s="65" t="n">
        <f aca="false">SUMIF(Monthly!$C$5:$BJ$5,C$3,Monthly!$C$74:$BJ$74)</f>
        <v>0</v>
      </c>
      <c r="D12" s="65" t="n">
        <f aca="false">SUMIF(Monthly!$C$5:$BJ$5,D$3,Monthly!$C$74:$BJ$74)</f>
        <v>0</v>
      </c>
      <c r="E12" s="65" t="n">
        <f aca="false">SUMIF(Monthly!$C$5:$BJ$5,E$3,Monthly!$C$74:$BJ$74)</f>
        <v>0</v>
      </c>
      <c r="F12" s="65" t="n">
        <f aca="false">SUMIF(Monthly!$C$5:$BJ$5,F$3,Monthly!$C$74:$BJ$74)</f>
        <v>0</v>
      </c>
    </row>
    <row r="13" customFormat="false" ht="15" hidden="false" customHeight="false" outlineLevel="0" collapsed="false">
      <c r="A13" s="6" t="s">
        <v>85</v>
      </c>
      <c r="B13" s="65" t="n">
        <f aca="false">SUMIF(Monthly!$C$5:$BJ$5,B$3,Monthly!$C$59:$BJ$59)</f>
        <v>500000</v>
      </c>
      <c r="C13" s="65" t="n">
        <f aca="false">SUMIF(Monthly!$C$5:$BJ$5,C$3,Monthly!$C$59:$BJ$59)</f>
        <v>0</v>
      </c>
      <c r="D13" s="65" t="n">
        <f aca="false">SUMIF(Monthly!$C$5:$BJ$5,D$3,Monthly!$C$59:$BJ$59)</f>
        <v>0</v>
      </c>
      <c r="E13" s="65" t="n">
        <f aca="false">SUMIF(Monthly!$C$5:$BJ$5,E$3,Monthly!$C$59:$BJ$59)</f>
        <v>0</v>
      </c>
      <c r="F13" s="65" t="n">
        <f aca="false">SUMIF(Monthly!$C$5:$BJ$5,F$3,Monthly!$C$59:$BJ$59)</f>
        <v>0</v>
      </c>
    </row>
    <row r="14" customFormat="false" ht="15" hidden="false" customHeight="false" outlineLevel="0" collapsed="false">
      <c r="A14" s="6" t="s">
        <v>86</v>
      </c>
      <c r="B14" s="65" t="n">
        <f aca="false">SUMIF(Monthly!$C$5:$BJ$5,B$3,Monthly!$C$60:$BJ$60)</f>
        <v>-91666.6666666667</v>
      </c>
      <c r="C14" s="65" t="n">
        <f aca="false">SUMIF(Monthly!$C$5:$BJ$5,C$3,Monthly!$C$60:$BJ$60)</f>
        <v>-100000</v>
      </c>
      <c r="D14" s="65" t="n">
        <f aca="false">SUMIF(Monthly!$C$5:$BJ$5,D$3,Monthly!$C$60:$BJ$60)</f>
        <v>-100000</v>
      </c>
      <c r="E14" s="65" t="n">
        <f aca="false">SUMIF(Monthly!$C$5:$BJ$5,E$3,Monthly!$C$60:$BJ$60)</f>
        <v>-100000</v>
      </c>
      <c r="F14" s="65" t="n">
        <f aca="false">SUMIF(Monthly!$C$5:$BJ$5,F$3,Monthly!$C$60:$BJ$60)</f>
        <v>-100000</v>
      </c>
    </row>
    <row r="15" customFormat="false" ht="15" hidden="false" customHeight="false" outlineLevel="0" collapsed="false">
      <c r="A15" s="110" t="s">
        <v>54</v>
      </c>
      <c r="B15" s="66" t="n">
        <f aca="false">SUMIF(Monthly!$C$5:$BJ$5,B$3,Monthly!$C$75:$BJ$75)</f>
        <v>1908333.33333333</v>
      </c>
      <c r="C15" s="66" t="n">
        <f aca="false">SUMIF(Monthly!$C$5:$BJ$5,C$3,Monthly!$C$75:$BJ$75)</f>
        <v>-100000</v>
      </c>
      <c r="D15" s="66" t="n">
        <f aca="false">SUMIF(Monthly!$C$5:$BJ$5,D$3,Monthly!$C$75:$BJ$75)</f>
        <v>-100000</v>
      </c>
      <c r="E15" s="66" t="n">
        <f aca="false">SUMIF(Monthly!$C$5:$BJ$5,E$3,Monthly!$C$75:$BJ$75)</f>
        <v>-100000</v>
      </c>
      <c r="F15" s="66" t="n">
        <f aca="false">SUMIF(Monthly!$C$5:$BJ$5,F$3,Monthly!$C$75:$BJ$75)</f>
        <v>-100000</v>
      </c>
    </row>
    <row r="16" customFormat="false" ht="15" hidden="false" customHeight="false" outlineLevel="0" collapsed="false">
      <c r="A16" s="4" t="s">
        <v>55</v>
      </c>
      <c r="B16" s="71" t="n">
        <f aca="false">SUMIF(Monthly!$C$5:$BJ$5,B$3,Monthly!$C$76:$BJ$76)</f>
        <v>1412273.17896825</v>
      </c>
      <c r="C16" s="71" t="n">
        <f aca="false">SUMIF(Monthly!$C$5:$BJ$5,C$3,Monthly!$C$76:$BJ$76)</f>
        <v>84798.6689404764</v>
      </c>
      <c r="D16" s="71" t="n">
        <f aca="false">SUMIF(Monthly!$C$5:$BJ$5,D$3,Monthly!$C$76:$BJ$76)</f>
        <v>307937.428885941</v>
      </c>
      <c r="E16" s="71" t="n">
        <f aca="false">SUMIF(Monthly!$C$5:$BJ$5,E$3,Monthly!$C$76:$BJ$76)</f>
        <v>554972.770106665</v>
      </c>
      <c r="F16" s="71" t="n">
        <f aca="false">SUMIF(Monthly!$C$5:$BJ$5,F$3,Monthly!$C$76:$BJ$76)</f>
        <v>829551.316851515</v>
      </c>
    </row>
    <row r="17" customFormat="false" ht="15" hidden="false" customHeight="false" outlineLevel="0" collapsed="false">
      <c r="A17" s="6" t="s">
        <v>341</v>
      </c>
      <c r="B17" s="65" t="n">
        <f aca="false">INDEX(Monthly!$C$77:$BJ$77,(B$3-1)*12+1)</f>
        <v>0</v>
      </c>
      <c r="C17" s="65" t="n">
        <f aca="false">INDEX(Monthly!$C$77:$BJ$77,(C$3-1)*12+1)</f>
        <v>1412273.17896825</v>
      </c>
      <c r="D17" s="65" t="n">
        <f aca="false">INDEX(Monthly!$C$77:$BJ$77,(D$3-1)*12+1)</f>
        <v>1497071.84790873</v>
      </c>
      <c r="E17" s="65" t="n">
        <f aca="false">INDEX(Monthly!$C$77:$BJ$77,(E$3-1)*12+1)</f>
        <v>1805009.27679467</v>
      </c>
      <c r="F17" s="65" t="n">
        <f aca="false">INDEX(Monthly!$C$77:$BJ$77,(F$3-1)*12+1)</f>
        <v>2359982.04690134</v>
      </c>
    </row>
    <row r="18" customFormat="false" ht="15" hidden="false" customHeight="false" outlineLevel="0" collapsed="false">
      <c r="A18" s="68" t="s">
        <v>87</v>
      </c>
      <c r="B18" s="69" t="n">
        <f aca="false">INDEX(Monthly!$C$78:$BJ$78,B$3*12)</f>
        <v>1412273.17896825</v>
      </c>
      <c r="C18" s="69" t="n">
        <f aca="false">INDEX(Monthly!$C$78:$BJ$78,C$3*12)</f>
        <v>1497071.84790873</v>
      </c>
      <c r="D18" s="69" t="n">
        <f aca="false">INDEX(Monthly!$C$78:$BJ$78,D$3*12)</f>
        <v>1805009.27679467</v>
      </c>
      <c r="E18" s="69" t="n">
        <f aca="false">INDEX(Monthly!$C$78:$BJ$78,E$3*12)</f>
        <v>2359982.04690134</v>
      </c>
      <c r="F18" s="69" t="n">
        <f aca="false">INDEX(Monthly!$C$78:$BJ$78,F$3*12)</f>
        <v>3189533.36375285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328</v>
      </c>
    </row>
    <row r="3" customFormat="false" ht="15" hidden="false" customHeight="false" outlineLevel="0" collapsed="false">
      <c r="A3" s="70" t="s">
        <v>154</v>
      </c>
      <c r="B3" s="70" t="n">
        <v>1</v>
      </c>
      <c r="C3" s="70" t="n">
        <v>2</v>
      </c>
      <c r="D3" s="70" t="n">
        <v>3</v>
      </c>
      <c r="E3" s="70" t="n">
        <v>4</v>
      </c>
      <c r="F3" s="70" t="n">
        <v>5</v>
      </c>
    </row>
    <row r="4" customFormat="false" ht="15" hidden="false" customHeight="false" outlineLevel="0" collapsed="false">
      <c r="A4" s="33"/>
      <c r="B4" s="50" t="s">
        <v>155</v>
      </c>
      <c r="C4" s="50" t="s">
        <v>156</v>
      </c>
      <c r="D4" s="50" t="s">
        <v>157</v>
      </c>
      <c r="E4" s="50" t="s">
        <v>158</v>
      </c>
      <c r="F4" s="50" t="s">
        <v>159</v>
      </c>
    </row>
    <row r="5" customFormat="false" ht="15" hidden="false" customHeight="false" outlineLevel="0" collapsed="false">
      <c r="A5" s="6" t="s">
        <v>89</v>
      </c>
      <c r="B5" s="65" t="n">
        <f aca="false">INDEX(Monthly!$C$78:$BJ$78,B$3*12)</f>
        <v>1412273.17896825</v>
      </c>
      <c r="C5" s="65" t="n">
        <f aca="false">INDEX(Monthly!$C$78:$BJ$78,C$3*12)</f>
        <v>1497071.84790873</v>
      </c>
      <c r="D5" s="65" t="n">
        <f aca="false">INDEX(Monthly!$C$78:$BJ$78,D$3*12)</f>
        <v>1805009.27679467</v>
      </c>
      <c r="E5" s="65" t="n">
        <f aca="false">INDEX(Monthly!$C$78:$BJ$78,E$3*12)</f>
        <v>2359982.04690134</v>
      </c>
      <c r="F5" s="65" t="n">
        <f aca="false">INDEX(Monthly!$C$78:$BJ$78,F$3*12)</f>
        <v>3189533.36375285</v>
      </c>
    </row>
    <row r="6" customFormat="false" ht="15" hidden="false" customHeight="false" outlineLevel="0" collapsed="false">
      <c r="A6" s="6" t="s">
        <v>90</v>
      </c>
      <c r="B6" s="65" t="n">
        <f aca="false">INDEX(Monthly!$C$64:$BJ$64,B$3*12)</f>
        <v>36214.0714285714</v>
      </c>
      <c r="C6" s="65" t="n">
        <f aca="false">INDEX(Monthly!$C$64:$BJ$64,C$3*12)</f>
        <v>47422.8964285714</v>
      </c>
      <c r="D6" s="65" t="n">
        <f aca="false">INDEX(Monthly!$C$64:$BJ$64,D$3*12)</f>
        <v>60662.7514285714</v>
      </c>
      <c r="E6" s="65" t="n">
        <f aca="false">INDEX(Monthly!$C$64:$BJ$64,E$3*12)</f>
        <v>76424.0311285714</v>
      </c>
      <c r="F6" s="65" t="n">
        <f aca="false">INDEX(Monthly!$C$64:$BJ$64,F$3*12)</f>
        <v>95323.9532646214</v>
      </c>
    </row>
    <row r="7" customFormat="false" ht="15" hidden="false" customHeight="false" outlineLevel="0" collapsed="false">
      <c r="A7" s="6" t="s">
        <v>91</v>
      </c>
      <c r="B7" s="65" t="n">
        <f aca="false">INDEX(Monthly!$C$65:$BJ$65,B$3*12)</f>
        <v>570371.625</v>
      </c>
      <c r="C7" s="65" t="n">
        <f aca="false">INDEX(Monthly!$C$65:$BJ$65,C$3*12)</f>
        <v>746910.61875</v>
      </c>
      <c r="D7" s="65" t="n">
        <f aca="false">INDEX(Monthly!$C$65:$BJ$65,D$3*12)</f>
        <v>955438.335</v>
      </c>
      <c r="E7" s="65" t="n">
        <f aca="false">INDEX(Monthly!$C$65:$BJ$65,E$3*12)</f>
        <v>1203678.490275</v>
      </c>
      <c r="F7" s="65" t="n">
        <f aca="false">INDEX(Monthly!$C$65:$BJ$65,F$3*12)</f>
        <v>1501352.26391779</v>
      </c>
    </row>
    <row r="8" customFormat="false" ht="15" hidden="false" customHeight="false" outlineLevel="0" collapsed="false">
      <c r="A8" s="6" t="s">
        <v>92</v>
      </c>
      <c r="B8" s="65" t="n">
        <f aca="false">INDEX(Monthly!$C$55:$BJ$55,B$3*12)</f>
        <v>300000</v>
      </c>
      <c r="C8" s="65" t="n">
        <f aca="false">INDEX(Monthly!$C$55:$BJ$55,C$3*12)</f>
        <v>378571.428571429</v>
      </c>
      <c r="D8" s="65" t="n">
        <f aca="false">INDEX(Monthly!$C$55:$BJ$55,D$3*12)</f>
        <v>435714.285714286</v>
      </c>
      <c r="E8" s="65" t="n">
        <f aca="false">INDEX(Monthly!$C$55:$BJ$55,E$3*12)</f>
        <v>471428.571428572</v>
      </c>
      <c r="F8" s="65" t="n">
        <f aca="false">INDEX(Monthly!$C$55:$BJ$55,F$3*12)</f>
        <v>485714.285714286</v>
      </c>
    </row>
    <row r="9" customFormat="false" ht="15" hidden="false" customHeight="false" outlineLevel="0" collapsed="false">
      <c r="A9" s="110" t="s">
        <v>93</v>
      </c>
      <c r="B9" s="66" t="n">
        <f aca="false">INDEX(Monthly!$C$92:$BJ$92,B$3*12)</f>
        <v>2318858.87539683</v>
      </c>
      <c r="C9" s="66" t="n">
        <f aca="false">INDEX(Monthly!$C$92:$BJ$92,C$3*12)</f>
        <v>2669976.79165873</v>
      </c>
      <c r="D9" s="66" t="n">
        <f aca="false">INDEX(Monthly!$C$92:$BJ$92,D$3*12)</f>
        <v>3256824.64893753</v>
      </c>
      <c r="E9" s="66" t="n">
        <f aca="false">INDEX(Monthly!$C$92:$BJ$92,E$3*12)</f>
        <v>4111513.13973348</v>
      </c>
      <c r="F9" s="66" t="n">
        <f aca="false">INDEX(Monthly!$C$92:$BJ$92,F$3*12)</f>
        <v>5271923.86664955</v>
      </c>
    </row>
    <row r="10" customFormat="false" ht="15" hidden="false" customHeight="false" outlineLevel="0" collapsed="false">
      <c r="A10" s="6" t="s">
        <v>94</v>
      </c>
      <c r="B10" s="65" t="n">
        <f aca="false">INDEX(Monthly!$C$66:$BJ$66,B$3*12)</f>
        <v>228148.65</v>
      </c>
      <c r="C10" s="65" t="n">
        <f aca="false">INDEX(Monthly!$C$66:$BJ$66,C$3*12)</f>
        <v>298764.2475</v>
      </c>
      <c r="D10" s="65" t="n">
        <f aca="false">INDEX(Monthly!$C$66:$BJ$66,D$3*12)</f>
        <v>382175.334</v>
      </c>
      <c r="E10" s="65" t="n">
        <f aca="false">INDEX(Monthly!$C$66:$BJ$66,E$3*12)</f>
        <v>481471.39611</v>
      </c>
      <c r="F10" s="65" t="n">
        <f aca="false">INDEX(Monthly!$C$66:$BJ$66,F$3*12)</f>
        <v>600540.905567115</v>
      </c>
    </row>
    <row r="11" customFormat="false" ht="15" hidden="false" customHeight="false" outlineLevel="0" collapsed="false">
      <c r="A11" s="6" t="s">
        <v>95</v>
      </c>
      <c r="B11" s="65" t="n">
        <f aca="false">INDEX(Monthly!$C$61:$BJ$61,B$3*12)</f>
        <v>408333.333333334</v>
      </c>
      <c r="C11" s="65" t="n">
        <f aca="false">INDEX(Monthly!$C$61:$BJ$61,C$3*12)</f>
        <v>308333.333333334</v>
      </c>
      <c r="D11" s="65" t="n">
        <f aca="false">INDEX(Monthly!$C$61:$BJ$61,D$3*12)</f>
        <v>208333.333333334</v>
      </c>
      <c r="E11" s="65" t="n">
        <f aca="false">INDEX(Monthly!$C$61:$BJ$61,E$3*12)</f>
        <v>108333.333333334</v>
      </c>
      <c r="F11" s="65" t="n">
        <f aca="false">INDEX(Monthly!$C$61:$BJ$61,F$3*12)</f>
        <v>8333.33333333375</v>
      </c>
    </row>
    <row r="12" customFormat="false" ht="15" hidden="false" customHeight="false" outlineLevel="0" collapsed="false">
      <c r="A12" s="111" t="s">
        <v>96</v>
      </c>
      <c r="B12" s="112" t="n">
        <f aca="false">INDEX(Monthly!$C$93:$BJ$93,B$3*12)</f>
        <v>636481.983333334</v>
      </c>
      <c r="C12" s="112" t="n">
        <f aca="false">INDEX(Monthly!$C$93:$BJ$93,C$3*12)</f>
        <v>607097.580833334</v>
      </c>
      <c r="D12" s="112" t="n">
        <f aca="false">INDEX(Monthly!$C$93:$BJ$93,D$3*12)</f>
        <v>590508.667333334</v>
      </c>
      <c r="E12" s="112" t="n">
        <f aca="false">INDEX(Monthly!$C$93:$BJ$93,E$3*12)</f>
        <v>589804.729443334</v>
      </c>
      <c r="F12" s="112" t="n">
        <f aca="false">INDEX(Monthly!$C$93:$BJ$93,F$3*12)</f>
        <v>608874.238900449</v>
      </c>
    </row>
    <row r="13" customFormat="false" ht="15" hidden="false" customHeight="false" outlineLevel="0" collapsed="false">
      <c r="A13" s="6" t="s">
        <v>97</v>
      </c>
      <c r="B13" s="65" t="n">
        <f aca="false">INDEX(Monthly!$C$90:$BJ$90,B$3*12)</f>
        <v>1500000</v>
      </c>
      <c r="C13" s="65" t="n">
        <f aca="false">INDEX(Monthly!$C$90:$BJ$90,C$3*12)</f>
        <v>1500000</v>
      </c>
      <c r="D13" s="65" t="n">
        <f aca="false">INDEX(Monthly!$C$90:$BJ$90,D$3*12)</f>
        <v>1500000</v>
      </c>
      <c r="E13" s="65" t="n">
        <f aca="false">INDEX(Monthly!$C$90:$BJ$90,E$3*12)</f>
        <v>1500000</v>
      </c>
      <c r="F13" s="65" t="n">
        <f aca="false">INDEX(Monthly!$C$90:$BJ$90,F$3*12)</f>
        <v>1500000</v>
      </c>
    </row>
    <row r="14" customFormat="false" ht="15" hidden="false" customHeight="false" outlineLevel="0" collapsed="false">
      <c r="A14" s="6" t="s">
        <v>98</v>
      </c>
      <c r="B14" s="65" t="n">
        <f aca="false">INDEX(Monthly!$C$91:$BJ$91,B$3*12)</f>
        <v>182376.892063492</v>
      </c>
      <c r="C14" s="65" t="n">
        <f aca="false">INDEX(Monthly!$C$91:$BJ$91,C$3*12)</f>
        <v>562879.210825397</v>
      </c>
      <c r="D14" s="65" t="n">
        <f aca="false">INDEX(Monthly!$C$91:$BJ$91,D$3*12)</f>
        <v>1166315.9816042</v>
      </c>
      <c r="E14" s="65" t="n">
        <f aca="false">INDEX(Monthly!$C$91:$BJ$91,E$3*12)</f>
        <v>2021708.41029015</v>
      </c>
      <c r="F14" s="65" t="n">
        <f aca="false">INDEX(Monthly!$C$91:$BJ$91,F$3*12)</f>
        <v>3163049.6277491</v>
      </c>
    </row>
    <row r="15" customFormat="false" ht="15" hidden="false" customHeight="false" outlineLevel="0" collapsed="false">
      <c r="A15" s="111" t="s">
        <v>99</v>
      </c>
      <c r="B15" s="112" t="n">
        <f aca="false">INDEX(Monthly!$C$94:$BJ$94,B$3*12)</f>
        <v>1682376.89206349</v>
      </c>
      <c r="C15" s="112" t="n">
        <f aca="false">INDEX(Monthly!$C$94:$BJ$94,C$3*12)</f>
        <v>2062879.2108254</v>
      </c>
      <c r="D15" s="112" t="n">
        <f aca="false">INDEX(Monthly!$C$94:$BJ$94,D$3*12)</f>
        <v>2666315.9816042</v>
      </c>
      <c r="E15" s="112" t="n">
        <f aca="false">INDEX(Monthly!$C$94:$BJ$94,E$3*12)</f>
        <v>3521708.41029015</v>
      </c>
      <c r="F15" s="112" t="n">
        <f aca="false">INDEX(Monthly!$C$94:$BJ$94,F$3*12)</f>
        <v>4663049.6277491</v>
      </c>
    </row>
    <row r="16" customFormat="false" ht="15" hidden="false" customHeight="false" outlineLevel="0" collapsed="false">
      <c r="A16" s="68" t="s">
        <v>100</v>
      </c>
      <c r="B16" s="69" t="n">
        <f aca="false">INDEX(Monthly!$C$95:$BJ$95,B$3*12)</f>
        <v>2318858.87539683</v>
      </c>
      <c r="C16" s="69" t="n">
        <f aca="false">INDEX(Monthly!$C$95:$BJ$95,C$3*12)</f>
        <v>2669976.79165873</v>
      </c>
      <c r="D16" s="69" t="n">
        <f aca="false">INDEX(Monthly!$C$95:$BJ$95,D$3*12)</f>
        <v>3256824.64893753</v>
      </c>
      <c r="E16" s="69" t="n">
        <f aca="false">INDEX(Monthly!$C$95:$BJ$95,E$3*12)</f>
        <v>4111513.13973348</v>
      </c>
      <c r="F16" s="69" t="n">
        <f aca="false">INDEX(Monthly!$C$95:$BJ$95,F$3*12)</f>
        <v>5271923.86664955</v>
      </c>
    </row>
    <row r="17" customFormat="false" ht="15" hidden="false" customHeight="false" outlineLevel="0" collapsed="false">
      <c r="A17" s="6" t="s">
        <v>342</v>
      </c>
      <c r="B17" s="65" t="n">
        <f aca="false">INDEX(Monthly!$C$96:$BJ$96,B$3*12)</f>
        <v>0</v>
      </c>
      <c r="C17" s="65" t="n">
        <f aca="false">INDEX(Monthly!$C$96:$BJ$96,C$3*12)</f>
        <v>0</v>
      </c>
      <c r="D17" s="65" t="n">
        <f aca="false">INDEX(Monthly!$C$96:$BJ$96,D$3*12)</f>
        <v>0</v>
      </c>
      <c r="E17" s="65" t="n">
        <f aca="false">INDEX(Monthly!$C$96:$BJ$96,E$3*12)</f>
        <v>0</v>
      </c>
      <c r="F17" s="65" t="n">
        <f aca="false">INDEX(Monthly!$C$96:$BJ$96,F$3*12)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9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343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344</v>
      </c>
    </row>
    <row r="3" customFormat="false" ht="15" hidden="false" customHeight="false" outlineLevel="0" collapsed="false">
      <c r="A3" s="33" t="s">
        <v>345</v>
      </c>
      <c r="C3" s="50" t="s">
        <v>346</v>
      </c>
      <c r="D3" s="50" t="s">
        <v>347</v>
      </c>
      <c r="E3" s="50" t="s">
        <v>348</v>
      </c>
      <c r="F3" s="50" t="s">
        <v>349</v>
      </c>
      <c r="G3" s="50" t="s">
        <v>350</v>
      </c>
      <c r="H3" s="50" t="s">
        <v>351</v>
      </c>
      <c r="I3" s="50" t="s">
        <v>352</v>
      </c>
      <c r="J3" s="50" t="s">
        <v>353</v>
      </c>
      <c r="K3" s="50" t="s">
        <v>354</v>
      </c>
      <c r="L3" s="50" t="s">
        <v>355</v>
      </c>
      <c r="M3" s="50" t="s">
        <v>356</v>
      </c>
      <c r="N3" s="50" t="s">
        <v>357</v>
      </c>
      <c r="O3" s="50" t="s">
        <v>358</v>
      </c>
      <c r="P3" s="50" t="s">
        <v>359</v>
      </c>
      <c r="Q3" s="50" t="s">
        <v>360</v>
      </c>
      <c r="R3" s="50" t="s">
        <v>361</v>
      </c>
      <c r="S3" s="50" t="s">
        <v>362</v>
      </c>
      <c r="T3" s="50" t="s">
        <v>363</v>
      </c>
      <c r="U3" s="50" t="s">
        <v>364</v>
      </c>
      <c r="V3" s="50" t="s">
        <v>365</v>
      </c>
      <c r="W3" s="50" t="s">
        <v>366</v>
      </c>
      <c r="X3" s="50" t="s">
        <v>367</v>
      </c>
      <c r="Y3" s="50" t="s">
        <v>368</v>
      </c>
      <c r="Z3" s="50" t="s">
        <v>369</v>
      </c>
      <c r="AA3" s="50" t="s">
        <v>370</v>
      </c>
      <c r="AB3" s="50" t="s">
        <v>371</v>
      </c>
      <c r="AC3" s="50" t="s">
        <v>372</v>
      </c>
      <c r="AD3" s="50" t="s">
        <v>373</v>
      </c>
      <c r="AE3" s="50" t="s">
        <v>374</v>
      </c>
      <c r="AF3" s="50" t="s">
        <v>375</v>
      </c>
      <c r="AG3" s="50" t="s">
        <v>376</v>
      </c>
      <c r="AH3" s="50" t="s">
        <v>377</v>
      </c>
      <c r="AI3" s="50" t="s">
        <v>378</v>
      </c>
      <c r="AJ3" s="50" t="s">
        <v>379</v>
      </c>
      <c r="AK3" s="50" t="s">
        <v>380</v>
      </c>
      <c r="AL3" s="50" t="s">
        <v>381</v>
      </c>
      <c r="AM3" s="50" t="s">
        <v>382</v>
      </c>
      <c r="AN3" s="50" t="s">
        <v>383</v>
      </c>
      <c r="AO3" s="50" t="s">
        <v>384</v>
      </c>
      <c r="AP3" s="50" t="s">
        <v>385</v>
      </c>
      <c r="AQ3" s="50" t="s">
        <v>386</v>
      </c>
      <c r="AR3" s="50" t="s">
        <v>387</v>
      </c>
      <c r="AS3" s="50" t="s">
        <v>388</v>
      </c>
      <c r="AT3" s="50" t="s">
        <v>389</v>
      </c>
      <c r="AU3" s="50" t="s">
        <v>390</v>
      </c>
      <c r="AV3" s="50" t="s">
        <v>391</v>
      </c>
      <c r="AW3" s="50" t="s">
        <v>392</v>
      </c>
      <c r="AX3" s="50" t="s">
        <v>393</v>
      </c>
      <c r="AY3" s="50" t="s">
        <v>394</v>
      </c>
      <c r="AZ3" s="50" t="s">
        <v>395</v>
      </c>
      <c r="BA3" s="50" t="s">
        <v>396</v>
      </c>
      <c r="BB3" s="50" t="s">
        <v>397</v>
      </c>
      <c r="BC3" s="50" t="s">
        <v>398</v>
      </c>
      <c r="BD3" s="50" t="s">
        <v>399</v>
      </c>
      <c r="BE3" s="50" t="s">
        <v>400</v>
      </c>
      <c r="BF3" s="50" t="s">
        <v>401</v>
      </c>
      <c r="BG3" s="50" t="s">
        <v>402</v>
      </c>
      <c r="BH3" s="50" t="s">
        <v>403</v>
      </c>
      <c r="BI3" s="50" t="s">
        <v>404</v>
      </c>
      <c r="BJ3" s="50" t="s">
        <v>405</v>
      </c>
    </row>
    <row r="4" customFormat="false" ht="15" hidden="false" customHeight="false" outlineLevel="0" collapsed="false">
      <c r="A4" s="70" t="s">
        <v>406</v>
      </c>
      <c r="C4" s="70" t="n">
        <v>1</v>
      </c>
      <c r="D4" s="70" t="n">
        <v>2</v>
      </c>
      <c r="E4" s="70" t="n">
        <v>3</v>
      </c>
      <c r="F4" s="70" t="n">
        <v>4</v>
      </c>
      <c r="G4" s="70" t="n">
        <v>5</v>
      </c>
      <c r="H4" s="70" t="n">
        <v>6</v>
      </c>
      <c r="I4" s="70" t="n">
        <v>7</v>
      </c>
      <c r="J4" s="70" t="n">
        <v>8</v>
      </c>
      <c r="K4" s="70" t="n">
        <v>9</v>
      </c>
      <c r="L4" s="70" t="n">
        <v>10</v>
      </c>
      <c r="M4" s="70" t="n">
        <v>11</v>
      </c>
      <c r="N4" s="70" t="n">
        <v>12</v>
      </c>
      <c r="O4" s="70" t="n">
        <v>13</v>
      </c>
      <c r="P4" s="70" t="n">
        <v>14</v>
      </c>
      <c r="Q4" s="70" t="n">
        <v>15</v>
      </c>
      <c r="R4" s="70" t="n">
        <v>16</v>
      </c>
      <c r="S4" s="70" t="n">
        <v>17</v>
      </c>
      <c r="T4" s="70" t="n">
        <v>18</v>
      </c>
      <c r="U4" s="70" t="n">
        <v>19</v>
      </c>
      <c r="V4" s="70" t="n">
        <v>20</v>
      </c>
      <c r="W4" s="70" t="n">
        <v>21</v>
      </c>
      <c r="X4" s="70" t="n">
        <v>22</v>
      </c>
      <c r="Y4" s="70" t="n">
        <v>23</v>
      </c>
      <c r="Z4" s="70" t="n">
        <v>24</v>
      </c>
      <c r="AA4" s="70" t="n">
        <v>25</v>
      </c>
      <c r="AB4" s="70" t="n">
        <v>26</v>
      </c>
      <c r="AC4" s="70" t="n">
        <v>27</v>
      </c>
      <c r="AD4" s="70" t="n">
        <v>28</v>
      </c>
      <c r="AE4" s="70" t="n">
        <v>29</v>
      </c>
      <c r="AF4" s="70" t="n">
        <v>30</v>
      </c>
      <c r="AG4" s="70" t="n">
        <v>31</v>
      </c>
      <c r="AH4" s="70" t="n">
        <v>32</v>
      </c>
      <c r="AI4" s="70" t="n">
        <v>33</v>
      </c>
      <c r="AJ4" s="70" t="n">
        <v>34</v>
      </c>
      <c r="AK4" s="70" t="n">
        <v>35</v>
      </c>
      <c r="AL4" s="70" t="n">
        <v>36</v>
      </c>
      <c r="AM4" s="70" t="n">
        <v>37</v>
      </c>
      <c r="AN4" s="70" t="n">
        <v>38</v>
      </c>
      <c r="AO4" s="70" t="n">
        <v>39</v>
      </c>
      <c r="AP4" s="70" t="n">
        <v>40</v>
      </c>
      <c r="AQ4" s="70" t="n">
        <v>41</v>
      </c>
      <c r="AR4" s="70" t="n">
        <v>42</v>
      </c>
      <c r="AS4" s="70" t="n">
        <v>43</v>
      </c>
      <c r="AT4" s="70" t="n">
        <v>44</v>
      </c>
      <c r="AU4" s="70" t="n">
        <v>45</v>
      </c>
      <c r="AV4" s="70" t="n">
        <v>46</v>
      </c>
      <c r="AW4" s="70" t="n">
        <v>47</v>
      </c>
      <c r="AX4" s="70" t="n">
        <v>48</v>
      </c>
      <c r="AY4" s="70" t="n">
        <v>49</v>
      </c>
      <c r="AZ4" s="70" t="n">
        <v>50</v>
      </c>
      <c r="BA4" s="70" t="n">
        <v>51</v>
      </c>
      <c r="BB4" s="70" t="n">
        <v>52</v>
      </c>
      <c r="BC4" s="70" t="n">
        <v>53</v>
      </c>
      <c r="BD4" s="70" t="n">
        <v>54</v>
      </c>
      <c r="BE4" s="70" t="n">
        <v>55</v>
      </c>
      <c r="BF4" s="70" t="n">
        <v>56</v>
      </c>
      <c r="BG4" s="70" t="n">
        <v>57</v>
      </c>
      <c r="BH4" s="70" t="n">
        <v>58</v>
      </c>
      <c r="BI4" s="70" t="n">
        <v>59</v>
      </c>
      <c r="BJ4" s="70" t="n">
        <v>60</v>
      </c>
    </row>
    <row r="5" customFormat="false" ht="15" hidden="false" customHeight="false" outlineLevel="0" collapsed="false">
      <c r="A5" s="70" t="s">
        <v>154</v>
      </c>
      <c r="C5" s="70" t="n">
        <f aca="false">ROUNDUP(C4*1/12,0)</f>
        <v>1</v>
      </c>
      <c r="D5" s="70" t="n">
        <f aca="false">ROUNDUP(D4*1/12,0)</f>
        <v>1</v>
      </c>
      <c r="E5" s="70" t="n">
        <f aca="false">ROUNDUP(E4*1/12,0)</f>
        <v>1</v>
      </c>
      <c r="F5" s="70" t="n">
        <f aca="false">ROUNDUP(F4*1/12,0)</f>
        <v>1</v>
      </c>
      <c r="G5" s="70" t="n">
        <f aca="false">ROUNDUP(G4*1/12,0)</f>
        <v>1</v>
      </c>
      <c r="H5" s="70" t="n">
        <f aca="false">ROUNDUP(H4*1/12,0)</f>
        <v>1</v>
      </c>
      <c r="I5" s="70" t="n">
        <f aca="false">ROUNDUP(I4*1/12,0)</f>
        <v>1</v>
      </c>
      <c r="J5" s="70" t="n">
        <f aca="false">ROUNDUP(J4*1/12,0)</f>
        <v>1</v>
      </c>
      <c r="K5" s="70" t="n">
        <f aca="false">ROUNDUP(K4*1/12,0)</f>
        <v>1</v>
      </c>
      <c r="L5" s="70" t="n">
        <f aca="false">ROUNDUP(L4*1/12,0)</f>
        <v>1</v>
      </c>
      <c r="M5" s="70" t="n">
        <f aca="false">ROUNDUP(M4*1/12,0)</f>
        <v>1</v>
      </c>
      <c r="N5" s="70" t="n">
        <f aca="false">ROUNDUP(N4*1/12,0)</f>
        <v>1</v>
      </c>
      <c r="O5" s="70" t="n">
        <f aca="false">ROUNDUP(O4*1/12,0)</f>
        <v>2</v>
      </c>
      <c r="P5" s="70" t="n">
        <f aca="false">ROUNDUP(P4*1/12,0)</f>
        <v>2</v>
      </c>
      <c r="Q5" s="70" t="n">
        <f aca="false">ROUNDUP(Q4*1/12,0)</f>
        <v>2</v>
      </c>
      <c r="R5" s="70" t="n">
        <f aca="false">ROUNDUP(R4*1/12,0)</f>
        <v>2</v>
      </c>
      <c r="S5" s="70" t="n">
        <f aca="false">ROUNDUP(S4*1/12,0)</f>
        <v>2</v>
      </c>
      <c r="T5" s="70" t="n">
        <f aca="false">ROUNDUP(T4*1/12,0)</f>
        <v>2</v>
      </c>
      <c r="U5" s="70" t="n">
        <f aca="false">ROUNDUP(U4*1/12,0)</f>
        <v>2</v>
      </c>
      <c r="V5" s="70" t="n">
        <f aca="false">ROUNDUP(V4*1/12,0)</f>
        <v>2</v>
      </c>
      <c r="W5" s="70" t="n">
        <f aca="false">ROUNDUP(W4*1/12,0)</f>
        <v>2</v>
      </c>
      <c r="X5" s="70" t="n">
        <f aca="false">ROUNDUP(X4*1/12,0)</f>
        <v>2</v>
      </c>
      <c r="Y5" s="70" t="n">
        <f aca="false">ROUNDUP(Y4*1/12,0)</f>
        <v>2</v>
      </c>
      <c r="Z5" s="70" t="n">
        <f aca="false">ROUNDUP(Z4*1/12,0)</f>
        <v>2</v>
      </c>
      <c r="AA5" s="70" t="n">
        <f aca="false">ROUNDUP(AA4*1/12,0)</f>
        <v>3</v>
      </c>
      <c r="AB5" s="70" t="n">
        <f aca="false">ROUNDUP(AB4*1/12,0)</f>
        <v>3</v>
      </c>
      <c r="AC5" s="70" t="n">
        <f aca="false">ROUNDUP(AC4*1/12,0)</f>
        <v>3</v>
      </c>
      <c r="AD5" s="70" t="n">
        <f aca="false">ROUNDUP(AD4*1/12,0)</f>
        <v>3</v>
      </c>
      <c r="AE5" s="70" t="n">
        <f aca="false">ROUNDUP(AE4*1/12,0)</f>
        <v>3</v>
      </c>
      <c r="AF5" s="70" t="n">
        <f aca="false">ROUNDUP(AF4*1/12,0)</f>
        <v>3</v>
      </c>
      <c r="AG5" s="70" t="n">
        <f aca="false">ROUNDUP(AG4*1/12,0)</f>
        <v>3</v>
      </c>
      <c r="AH5" s="70" t="n">
        <f aca="false">ROUNDUP(AH4*1/12,0)</f>
        <v>3</v>
      </c>
      <c r="AI5" s="70" t="n">
        <f aca="false">ROUNDUP(AI4*1/12,0)</f>
        <v>3</v>
      </c>
      <c r="AJ5" s="70" t="n">
        <f aca="false">ROUNDUP(AJ4*1/12,0)</f>
        <v>3</v>
      </c>
      <c r="AK5" s="70" t="n">
        <f aca="false">ROUNDUP(AK4*1/12,0)</f>
        <v>3</v>
      </c>
      <c r="AL5" s="70" t="n">
        <f aca="false">ROUNDUP(AL4*1/12,0)</f>
        <v>3</v>
      </c>
      <c r="AM5" s="70" t="n">
        <f aca="false">ROUNDUP(AM4*1/12,0)</f>
        <v>4</v>
      </c>
      <c r="AN5" s="70" t="n">
        <f aca="false">ROUNDUP(AN4*1/12,0)</f>
        <v>4</v>
      </c>
      <c r="AO5" s="70" t="n">
        <f aca="false">ROUNDUP(AO4*1/12,0)</f>
        <v>4</v>
      </c>
      <c r="AP5" s="70" t="n">
        <f aca="false">ROUNDUP(AP4*1/12,0)</f>
        <v>4</v>
      </c>
      <c r="AQ5" s="70" t="n">
        <f aca="false">ROUNDUP(AQ4*1/12,0)</f>
        <v>4</v>
      </c>
      <c r="AR5" s="70" t="n">
        <f aca="false">ROUNDUP(AR4*1/12,0)</f>
        <v>4</v>
      </c>
      <c r="AS5" s="70" t="n">
        <f aca="false">ROUNDUP(AS4*1/12,0)</f>
        <v>4</v>
      </c>
      <c r="AT5" s="70" t="n">
        <f aca="false">ROUNDUP(AT4*1/12,0)</f>
        <v>4</v>
      </c>
      <c r="AU5" s="70" t="n">
        <f aca="false">ROUNDUP(AU4*1/12,0)</f>
        <v>4</v>
      </c>
      <c r="AV5" s="70" t="n">
        <f aca="false">ROUNDUP(AV4*1/12,0)</f>
        <v>4</v>
      </c>
      <c r="AW5" s="70" t="n">
        <f aca="false">ROUNDUP(AW4*1/12,0)</f>
        <v>4</v>
      </c>
      <c r="AX5" s="70" t="n">
        <f aca="false">ROUNDUP(AX4*1/12,0)</f>
        <v>4</v>
      </c>
      <c r="AY5" s="70" t="n">
        <f aca="false">ROUNDUP(AY4*1/12,0)</f>
        <v>5</v>
      </c>
      <c r="AZ5" s="70" t="n">
        <f aca="false">ROUNDUP(AZ4*1/12,0)</f>
        <v>5</v>
      </c>
      <c r="BA5" s="70" t="n">
        <f aca="false">ROUNDUP(BA4*1/12,0)</f>
        <v>5</v>
      </c>
      <c r="BB5" s="70" t="n">
        <f aca="false">ROUNDUP(BB4*1/12,0)</f>
        <v>5</v>
      </c>
      <c r="BC5" s="70" t="n">
        <f aca="false">ROUNDUP(BC4*1/12,0)</f>
        <v>5</v>
      </c>
      <c r="BD5" s="70" t="n">
        <f aca="false">ROUNDUP(BD4*1/12,0)</f>
        <v>5</v>
      </c>
      <c r="BE5" s="70" t="n">
        <f aca="false">ROUNDUP(BE4*1/12,0)</f>
        <v>5</v>
      </c>
      <c r="BF5" s="70" t="n">
        <f aca="false">ROUNDUP(BF4*1/12,0)</f>
        <v>5</v>
      </c>
      <c r="BG5" s="70" t="n">
        <f aca="false">ROUNDUP(BG4*1/12,0)</f>
        <v>5</v>
      </c>
      <c r="BH5" s="70" t="n">
        <f aca="false">ROUNDUP(BH4*1/12,0)</f>
        <v>5</v>
      </c>
      <c r="BI5" s="70" t="n">
        <f aca="false">ROUNDUP(BI4*1/12,0)</f>
        <v>5</v>
      </c>
      <c r="BJ5" s="70" t="n">
        <f aca="false">ROUNDUP(BJ4*1/12,0)</f>
        <v>5</v>
      </c>
    </row>
    <row r="7" customFormat="false" ht="15.75" hidden="false" customHeight="true" outlineLevel="0" collapsed="false">
      <c r="A7" s="7" t="s">
        <v>247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407</v>
      </c>
      <c r="C8" s="76" t="n">
        <f aca="false">IF(MOD(C$4-1,12)&gt;=10,1+Inputs!$E$28,1-Inputs!$E$28/5)</f>
        <v>0.94</v>
      </c>
      <c r="D8" s="76" t="n">
        <f aca="false">IF(MOD(D$4-1,12)&gt;=10,1+Inputs!$E$28,1-Inputs!$E$28/5)</f>
        <v>0.94</v>
      </c>
      <c r="E8" s="76" t="n">
        <f aca="false">IF(MOD(E$4-1,12)&gt;=10,1+Inputs!$E$28,1-Inputs!$E$28/5)</f>
        <v>0.94</v>
      </c>
      <c r="F8" s="76" t="n">
        <f aca="false">IF(MOD(F$4-1,12)&gt;=10,1+Inputs!$E$28,1-Inputs!$E$28/5)</f>
        <v>0.94</v>
      </c>
      <c r="G8" s="76" t="n">
        <f aca="false">IF(MOD(G$4-1,12)&gt;=10,1+Inputs!$E$28,1-Inputs!$E$28/5)</f>
        <v>0.94</v>
      </c>
      <c r="H8" s="76" t="n">
        <f aca="false">IF(MOD(H$4-1,12)&gt;=10,1+Inputs!$E$28,1-Inputs!$E$28/5)</f>
        <v>0.94</v>
      </c>
      <c r="I8" s="76" t="n">
        <f aca="false">IF(MOD(I$4-1,12)&gt;=10,1+Inputs!$E$28,1-Inputs!$E$28/5)</f>
        <v>0.94</v>
      </c>
      <c r="J8" s="76" t="n">
        <f aca="false">IF(MOD(J$4-1,12)&gt;=10,1+Inputs!$E$28,1-Inputs!$E$28/5)</f>
        <v>0.94</v>
      </c>
      <c r="K8" s="76" t="n">
        <f aca="false">IF(MOD(K$4-1,12)&gt;=10,1+Inputs!$E$28,1-Inputs!$E$28/5)</f>
        <v>0.94</v>
      </c>
      <c r="L8" s="76" t="n">
        <f aca="false">IF(MOD(L$4-1,12)&gt;=10,1+Inputs!$E$28,1-Inputs!$E$28/5)</f>
        <v>0.94</v>
      </c>
      <c r="M8" s="76" t="n">
        <f aca="false">IF(MOD(M$4-1,12)&gt;=10,1+Inputs!$E$28,1-Inputs!$E$28/5)</f>
        <v>1.3</v>
      </c>
      <c r="N8" s="76" t="n">
        <f aca="false">IF(MOD(N$4-1,12)&gt;=10,1+Inputs!$E$28,1-Inputs!$E$28/5)</f>
        <v>1.3</v>
      </c>
      <c r="O8" s="76" t="n">
        <f aca="false">IF(MOD(O$4-1,12)&gt;=10,1+Inputs!$E$28,1-Inputs!$E$28/5)</f>
        <v>0.94</v>
      </c>
      <c r="P8" s="76" t="n">
        <f aca="false">IF(MOD(P$4-1,12)&gt;=10,1+Inputs!$E$28,1-Inputs!$E$28/5)</f>
        <v>0.94</v>
      </c>
      <c r="Q8" s="76" t="n">
        <f aca="false">IF(MOD(Q$4-1,12)&gt;=10,1+Inputs!$E$28,1-Inputs!$E$28/5)</f>
        <v>0.94</v>
      </c>
      <c r="R8" s="76" t="n">
        <f aca="false">IF(MOD(R$4-1,12)&gt;=10,1+Inputs!$E$28,1-Inputs!$E$28/5)</f>
        <v>0.94</v>
      </c>
      <c r="S8" s="76" t="n">
        <f aca="false">IF(MOD(S$4-1,12)&gt;=10,1+Inputs!$E$28,1-Inputs!$E$28/5)</f>
        <v>0.94</v>
      </c>
      <c r="T8" s="76" t="n">
        <f aca="false">IF(MOD(T$4-1,12)&gt;=10,1+Inputs!$E$28,1-Inputs!$E$28/5)</f>
        <v>0.94</v>
      </c>
      <c r="U8" s="76" t="n">
        <f aca="false">IF(MOD(U$4-1,12)&gt;=10,1+Inputs!$E$28,1-Inputs!$E$28/5)</f>
        <v>0.94</v>
      </c>
      <c r="V8" s="76" t="n">
        <f aca="false">IF(MOD(V$4-1,12)&gt;=10,1+Inputs!$E$28,1-Inputs!$E$28/5)</f>
        <v>0.94</v>
      </c>
      <c r="W8" s="76" t="n">
        <f aca="false">IF(MOD(W$4-1,12)&gt;=10,1+Inputs!$E$28,1-Inputs!$E$28/5)</f>
        <v>0.94</v>
      </c>
      <c r="X8" s="76" t="n">
        <f aca="false">IF(MOD(X$4-1,12)&gt;=10,1+Inputs!$E$28,1-Inputs!$E$28/5)</f>
        <v>0.94</v>
      </c>
      <c r="Y8" s="76" t="n">
        <f aca="false">IF(MOD(Y$4-1,12)&gt;=10,1+Inputs!$E$28,1-Inputs!$E$28/5)</f>
        <v>1.3</v>
      </c>
      <c r="Z8" s="76" t="n">
        <f aca="false">IF(MOD(Z$4-1,12)&gt;=10,1+Inputs!$E$28,1-Inputs!$E$28/5)</f>
        <v>1.3</v>
      </c>
      <c r="AA8" s="76" t="n">
        <f aca="false">IF(MOD(AA$4-1,12)&gt;=10,1+Inputs!$E$28,1-Inputs!$E$28/5)</f>
        <v>0.94</v>
      </c>
      <c r="AB8" s="76" t="n">
        <f aca="false">IF(MOD(AB$4-1,12)&gt;=10,1+Inputs!$E$28,1-Inputs!$E$28/5)</f>
        <v>0.94</v>
      </c>
      <c r="AC8" s="76" t="n">
        <f aca="false">IF(MOD(AC$4-1,12)&gt;=10,1+Inputs!$E$28,1-Inputs!$E$28/5)</f>
        <v>0.94</v>
      </c>
      <c r="AD8" s="76" t="n">
        <f aca="false">IF(MOD(AD$4-1,12)&gt;=10,1+Inputs!$E$28,1-Inputs!$E$28/5)</f>
        <v>0.94</v>
      </c>
      <c r="AE8" s="76" t="n">
        <f aca="false">IF(MOD(AE$4-1,12)&gt;=10,1+Inputs!$E$28,1-Inputs!$E$28/5)</f>
        <v>0.94</v>
      </c>
      <c r="AF8" s="76" t="n">
        <f aca="false">IF(MOD(AF$4-1,12)&gt;=10,1+Inputs!$E$28,1-Inputs!$E$28/5)</f>
        <v>0.94</v>
      </c>
      <c r="AG8" s="76" t="n">
        <f aca="false">IF(MOD(AG$4-1,12)&gt;=10,1+Inputs!$E$28,1-Inputs!$E$28/5)</f>
        <v>0.94</v>
      </c>
      <c r="AH8" s="76" t="n">
        <f aca="false">IF(MOD(AH$4-1,12)&gt;=10,1+Inputs!$E$28,1-Inputs!$E$28/5)</f>
        <v>0.94</v>
      </c>
      <c r="AI8" s="76" t="n">
        <f aca="false">IF(MOD(AI$4-1,12)&gt;=10,1+Inputs!$E$28,1-Inputs!$E$28/5)</f>
        <v>0.94</v>
      </c>
      <c r="AJ8" s="76" t="n">
        <f aca="false">IF(MOD(AJ$4-1,12)&gt;=10,1+Inputs!$E$28,1-Inputs!$E$28/5)</f>
        <v>0.94</v>
      </c>
      <c r="AK8" s="76" t="n">
        <f aca="false">IF(MOD(AK$4-1,12)&gt;=10,1+Inputs!$E$28,1-Inputs!$E$28/5)</f>
        <v>1.3</v>
      </c>
      <c r="AL8" s="76" t="n">
        <f aca="false">IF(MOD(AL$4-1,12)&gt;=10,1+Inputs!$E$28,1-Inputs!$E$28/5)</f>
        <v>1.3</v>
      </c>
      <c r="AM8" s="76" t="n">
        <f aca="false">IF(MOD(AM$4-1,12)&gt;=10,1+Inputs!$E$28,1-Inputs!$E$28/5)</f>
        <v>0.94</v>
      </c>
      <c r="AN8" s="76" t="n">
        <f aca="false">IF(MOD(AN$4-1,12)&gt;=10,1+Inputs!$E$28,1-Inputs!$E$28/5)</f>
        <v>0.94</v>
      </c>
      <c r="AO8" s="76" t="n">
        <f aca="false">IF(MOD(AO$4-1,12)&gt;=10,1+Inputs!$E$28,1-Inputs!$E$28/5)</f>
        <v>0.94</v>
      </c>
      <c r="AP8" s="76" t="n">
        <f aca="false">IF(MOD(AP$4-1,12)&gt;=10,1+Inputs!$E$28,1-Inputs!$E$28/5)</f>
        <v>0.94</v>
      </c>
      <c r="AQ8" s="76" t="n">
        <f aca="false">IF(MOD(AQ$4-1,12)&gt;=10,1+Inputs!$E$28,1-Inputs!$E$28/5)</f>
        <v>0.94</v>
      </c>
      <c r="AR8" s="76" t="n">
        <f aca="false">IF(MOD(AR$4-1,12)&gt;=10,1+Inputs!$E$28,1-Inputs!$E$28/5)</f>
        <v>0.94</v>
      </c>
      <c r="AS8" s="76" t="n">
        <f aca="false">IF(MOD(AS$4-1,12)&gt;=10,1+Inputs!$E$28,1-Inputs!$E$28/5)</f>
        <v>0.94</v>
      </c>
      <c r="AT8" s="76" t="n">
        <f aca="false">IF(MOD(AT$4-1,12)&gt;=10,1+Inputs!$E$28,1-Inputs!$E$28/5)</f>
        <v>0.94</v>
      </c>
      <c r="AU8" s="76" t="n">
        <f aca="false">IF(MOD(AU$4-1,12)&gt;=10,1+Inputs!$E$28,1-Inputs!$E$28/5)</f>
        <v>0.94</v>
      </c>
      <c r="AV8" s="76" t="n">
        <f aca="false">IF(MOD(AV$4-1,12)&gt;=10,1+Inputs!$E$28,1-Inputs!$E$28/5)</f>
        <v>0.94</v>
      </c>
      <c r="AW8" s="76" t="n">
        <f aca="false">IF(MOD(AW$4-1,12)&gt;=10,1+Inputs!$E$28,1-Inputs!$E$28/5)</f>
        <v>1.3</v>
      </c>
      <c r="AX8" s="76" t="n">
        <f aca="false">IF(MOD(AX$4-1,12)&gt;=10,1+Inputs!$E$28,1-Inputs!$E$28/5)</f>
        <v>1.3</v>
      </c>
      <c r="AY8" s="76" t="n">
        <f aca="false">IF(MOD(AY$4-1,12)&gt;=10,1+Inputs!$E$28,1-Inputs!$E$28/5)</f>
        <v>0.94</v>
      </c>
      <c r="AZ8" s="76" t="n">
        <f aca="false">IF(MOD(AZ$4-1,12)&gt;=10,1+Inputs!$E$28,1-Inputs!$E$28/5)</f>
        <v>0.94</v>
      </c>
      <c r="BA8" s="76" t="n">
        <f aca="false">IF(MOD(BA$4-1,12)&gt;=10,1+Inputs!$E$28,1-Inputs!$E$28/5)</f>
        <v>0.94</v>
      </c>
      <c r="BB8" s="76" t="n">
        <f aca="false">IF(MOD(BB$4-1,12)&gt;=10,1+Inputs!$E$28,1-Inputs!$E$28/5)</f>
        <v>0.94</v>
      </c>
      <c r="BC8" s="76" t="n">
        <f aca="false">IF(MOD(BC$4-1,12)&gt;=10,1+Inputs!$E$28,1-Inputs!$E$28/5)</f>
        <v>0.94</v>
      </c>
      <c r="BD8" s="76" t="n">
        <f aca="false">IF(MOD(BD$4-1,12)&gt;=10,1+Inputs!$E$28,1-Inputs!$E$28/5)</f>
        <v>0.94</v>
      </c>
      <c r="BE8" s="76" t="n">
        <f aca="false">IF(MOD(BE$4-1,12)&gt;=10,1+Inputs!$E$28,1-Inputs!$E$28/5)</f>
        <v>0.94</v>
      </c>
      <c r="BF8" s="76" t="n">
        <f aca="false">IF(MOD(BF$4-1,12)&gt;=10,1+Inputs!$E$28,1-Inputs!$E$28/5)</f>
        <v>0.94</v>
      </c>
      <c r="BG8" s="76" t="n">
        <f aca="false">IF(MOD(BG$4-1,12)&gt;=10,1+Inputs!$E$28,1-Inputs!$E$28/5)</f>
        <v>0.94</v>
      </c>
      <c r="BH8" s="76" t="n">
        <f aca="false">IF(MOD(BH$4-1,12)&gt;=10,1+Inputs!$E$28,1-Inputs!$E$28/5)</f>
        <v>0.94</v>
      </c>
      <c r="BI8" s="76" t="n">
        <f aca="false">IF(MOD(BI$4-1,12)&gt;=10,1+Inputs!$E$28,1-Inputs!$E$28/5)</f>
        <v>1.3</v>
      </c>
      <c r="BJ8" s="76" t="n">
        <f aca="false">IF(MOD(BJ$4-1,12)&gt;=10,1+Inputs!$E$28,1-Inputs!$E$28/5)</f>
        <v>1.3</v>
      </c>
    </row>
    <row r="9" customFormat="false" ht="15" hidden="false" customHeight="false" outlineLevel="0" collapsed="false">
      <c r="A9" s="6" t="s">
        <v>408</v>
      </c>
      <c r="C9" s="113" t="n">
        <f aca="false">Inputs!$E$7*(1+Inputs!$E$8)^(C$5-1)*1*C8</f>
        <v>75200</v>
      </c>
      <c r="D9" s="113" t="n">
        <f aca="false">Inputs!$E$7*(1+Inputs!$E$8)^(D$5-1)*1*D8</f>
        <v>75200</v>
      </c>
      <c r="E9" s="113" t="n">
        <f aca="false">Inputs!$E$7*(1+Inputs!$E$8)^(E$5-1)*1*E8</f>
        <v>75200</v>
      </c>
      <c r="F9" s="113" t="n">
        <f aca="false">Inputs!$E$7*(1+Inputs!$E$8)^(F$5-1)*1*F8</f>
        <v>75200</v>
      </c>
      <c r="G9" s="113" t="n">
        <f aca="false">Inputs!$E$7*(1+Inputs!$E$8)^(G$5-1)*1*G8</f>
        <v>75200</v>
      </c>
      <c r="H9" s="113" t="n">
        <f aca="false">Inputs!$E$7*(1+Inputs!$E$8)^(H$5-1)*1*H8</f>
        <v>75200</v>
      </c>
      <c r="I9" s="113" t="n">
        <f aca="false">Inputs!$E$7*(1+Inputs!$E$8)^(I$5-1)*1*I8</f>
        <v>75200</v>
      </c>
      <c r="J9" s="113" t="n">
        <f aca="false">Inputs!$E$7*(1+Inputs!$E$8)^(J$5-1)*1*J8</f>
        <v>75200</v>
      </c>
      <c r="K9" s="113" t="n">
        <f aca="false">Inputs!$E$7*(1+Inputs!$E$8)^(K$5-1)*1*K8</f>
        <v>75200</v>
      </c>
      <c r="L9" s="113" t="n">
        <f aca="false">Inputs!$E$7*(1+Inputs!$E$8)^(L$5-1)*1*L8</f>
        <v>75200</v>
      </c>
      <c r="M9" s="113" t="n">
        <f aca="false">Inputs!$E$7*(1+Inputs!$E$8)^(M$5-1)*1*M8</f>
        <v>104000</v>
      </c>
      <c r="N9" s="113" t="n">
        <f aca="false">Inputs!$E$7*(1+Inputs!$E$8)^(N$5-1)*1*N8</f>
        <v>104000</v>
      </c>
      <c r="O9" s="113" t="n">
        <f aca="false">Inputs!$E$7*(1+Inputs!$E$8)^(O$5-1)*1*O8</f>
        <v>94000</v>
      </c>
      <c r="P9" s="113" t="n">
        <f aca="false">Inputs!$E$7*(1+Inputs!$E$8)^(P$5-1)*1*P8</f>
        <v>94000</v>
      </c>
      <c r="Q9" s="113" t="n">
        <f aca="false">Inputs!$E$7*(1+Inputs!$E$8)^(Q$5-1)*1*Q8</f>
        <v>94000</v>
      </c>
      <c r="R9" s="113" t="n">
        <f aca="false">Inputs!$E$7*(1+Inputs!$E$8)^(R$5-1)*1*R8</f>
        <v>94000</v>
      </c>
      <c r="S9" s="113" t="n">
        <f aca="false">Inputs!$E$7*(1+Inputs!$E$8)^(S$5-1)*1*S8</f>
        <v>94000</v>
      </c>
      <c r="T9" s="113" t="n">
        <f aca="false">Inputs!$E$7*(1+Inputs!$E$8)^(T$5-1)*1*T8</f>
        <v>94000</v>
      </c>
      <c r="U9" s="113" t="n">
        <f aca="false">Inputs!$E$7*(1+Inputs!$E$8)^(U$5-1)*1*U8</f>
        <v>94000</v>
      </c>
      <c r="V9" s="113" t="n">
        <f aca="false">Inputs!$E$7*(1+Inputs!$E$8)^(V$5-1)*1*V8</f>
        <v>94000</v>
      </c>
      <c r="W9" s="113" t="n">
        <f aca="false">Inputs!$E$7*(1+Inputs!$E$8)^(W$5-1)*1*W8</f>
        <v>94000</v>
      </c>
      <c r="X9" s="113" t="n">
        <f aca="false">Inputs!$E$7*(1+Inputs!$E$8)^(X$5-1)*1*X8</f>
        <v>94000</v>
      </c>
      <c r="Y9" s="113" t="n">
        <f aca="false">Inputs!$E$7*(1+Inputs!$E$8)^(Y$5-1)*1*Y8</f>
        <v>130000</v>
      </c>
      <c r="Z9" s="113" t="n">
        <f aca="false">Inputs!$E$7*(1+Inputs!$E$8)^(Z$5-1)*1*Z8</f>
        <v>130000</v>
      </c>
      <c r="AA9" s="113" t="n">
        <f aca="false">Inputs!$E$7*(1+Inputs!$E$8)^(AA$5-1)*1*AA8</f>
        <v>117500</v>
      </c>
      <c r="AB9" s="113" t="n">
        <f aca="false">Inputs!$E$7*(1+Inputs!$E$8)^(AB$5-1)*1*AB8</f>
        <v>117500</v>
      </c>
      <c r="AC9" s="113" t="n">
        <f aca="false">Inputs!$E$7*(1+Inputs!$E$8)^(AC$5-1)*1*AC8</f>
        <v>117500</v>
      </c>
      <c r="AD9" s="113" t="n">
        <f aca="false">Inputs!$E$7*(1+Inputs!$E$8)^(AD$5-1)*1*AD8</f>
        <v>117500</v>
      </c>
      <c r="AE9" s="113" t="n">
        <f aca="false">Inputs!$E$7*(1+Inputs!$E$8)^(AE$5-1)*1*AE8</f>
        <v>117500</v>
      </c>
      <c r="AF9" s="113" t="n">
        <f aca="false">Inputs!$E$7*(1+Inputs!$E$8)^(AF$5-1)*1*AF8</f>
        <v>117500</v>
      </c>
      <c r="AG9" s="113" t="n">
        <f aca="false">Inputs!$E$7*(1+Inputs!$E$8)^(AG$5-1)*1*AG8</f>
        <v>117500</v>
      </c>
      <c r="AH9" s="113" t="n">
        <f aca="false">Inputs!$E$7*(1+Inputs!$E$8)^(AH$5-1)*1*AH8</f>
        <v>117500</v>
      </c>
      <c r="AI9" s="113" t="n">
        <f aca="false">Inputs!$E$7*(1+Inputs!$E$8)^(AI$5-1)*1*AI8</f>
        <v>117500</v>
      </c>
      <c r="AJ9" s="113" t="n">
        <f aca="false">Inputs!$E$7*(1+Inputs!$E$8)^(AJ$5-1)*1*AJ8</f>
        <v>117500</v>
      </c>
      <c r="AK9" s="113" t="n">
        <f aca="false">Inputs!$E$7*(1+Inputs!$E$8)^(AK$5-1)*1*AK8</f>
        <v>162500</v>
      </c>
      <c r="AL9" s="113" t="n">
        <f aca="false">Inputs!$E$7*(1+Inputs!$E$8)^(AL$5-1)*1*AL8</f>
        <v>162500</v>
      </c>
      <c r="AM9" s="113" t="n">
        <f aca="false">Inputs!$E$7*(1+Inputs!$E$8)^(AM$5-1)*1*AM8</f>
        <v>146875</v>
      </c>
      <c r="AN9" s="113" t="n">
        <f aca="false">Inputs!$E$7*(1+Inputs!$E$8)^(AN$5-1)*1*AN8</f>
        <v>146875</v>
      </c>
      <c r="AO9" s="113" t="n">
        <f aca="false">Inputs!$E$7*(1+Inputs!$E$8)^(AO$5-1)*1*AO8</f>
        <v>146875</v>
      </c>
      <c r="AP9" s="113" t="n">
        <f aca="false">Inputs!$E$7*(1+Inputs!$E$8)^(AP$5-1)*1*AP8</f>
        <v>146875</v>
      </c>
      <c r="AQ9" s="113" t="n">
        <f aca="false">Inputs!$E$7*(1+Inputs!$E$8)^(AQ$5-1)*1*AQ8</f>
        <v>146875</v>
      </c>
      <c r="AR9" s="113" t="n">
        <f aca="false">Inputs!$E$7*(1+Inputs!$E$8)^(AR$5-1)*1*AR8</f>
        <v>146875</v>
      </c>
      <c r="AS9" s="113" t="n">
        <f aca="false">Inputs!$E$7*(1+Inputs!$E$8)^(AS$5-1)*1*AS8</f>
        <v>146875</v>
      </c>
      <c r="AT9" s="113" t="n">
        <f aca="false">Inputs!$E$7*(1+Inputs!$E$8)^(AT$5-1)*1*AT8</f>
        <v>146875</v>
      </c>
      <c r="AU9" s="113" t="n">
        <f aca="false">Inputs!$E$7*(1+Inputs!$E$8)^(AU$5-1)*1*AU8</f>
        <v>146875</v>
      </c>
      <c r="AV9" s="113" t="n">
        <f aca="false">Inputs!$E$7*(1+Inputs!$E$8)^(AV$5-1)*1*AV8</f>
        <v>146875</v>
      </c>
      <c r="AW9" s="113" t="n">
        <f aca="false">Inputs!$E$7*(1+Inputs!$E$8)^(AW$5-1)*1*AW8</f>
        <v>203125</v>
      </c>
      <c r="AX9" s="113" t="n">
        <f aca="false">Inputs!$E$7*(1+Inputs!$E$8)^(AX$5-1)*1*AX8</f>
        <v>203125</v>
      </c>
      <c r="AY9" s="113" t="n">
        <f aca="false">Inputs!$E$7*(1+Inputs!$E$8)^(AY$5-1)*1*AY8</f>
        <v>183593.75</v>
      </c>
      <c r="AZ9" s="113" t="n">
        <f aca="false">Inputs!$E$7*(1+Inputs!$E$8)^(AZ$5-1)*1*AZ8</f>
        <v>183593.75</v>
      </c>
      <c r="BA9" s="113" t="n">
        <f aca="false">Inputs!$E$7*(1+Inputs!$E$8)^(BA$5-1)*1*BA8</f>
        <v>183593.75</v>
      </c>
      <c r="BB9" s="113" t="n">
        <f aca="false">Inputs!$E$7*(1+Inputs!$E$8)^(BB$5-1)*1*BB8</f>
        <v>183593.75</v>
      </c>
      <c r="BC9" s="113" t="n">
        <f aca="false">Inputs!$E$7*(1+Inputs!$E$8)^(BC$5-1)*1*BC8</f>
        <v>183593.75</v>
      </c>
      <c r="BD9" s="113" t="n">
        <f aca="false">Inputs!$E$7*(1+Inputs!$E$8)^(BD$5-1)*1*BD8</f>
        <v>183593.75</v>
      </c>
      <c r="BE9" s="113" t="n">
        <f aca="false">Inputs!$E$7*(1+Inputs!$E$8)^(BE$5-1)*1*BE8</f>
        <v>183593.75</v>
      </c>
      <c r="BF9" s="113" t="n">
        <f aca="false">Inputs!$E$7*(1+Inputs!$E$8)^(BF$5-1)*1*BF8</f>
        <v>183593.75</v>
      </c>
      <c r="BG9" s="113" t="n">
        <f aca="false">Inputs!$E$7*(1+Inputs!$E$8)^(BG$5-1)*1*BG8</f>
        <v>183593.75</v>
      </c>
      <c r="BH9" s="113" t="n">
        <f aca="false">Inputs!$E$7*(1+Inputs!$E$8)^(BH$5-1)*1*BH8</f>
        <v>183593.75</v>
      </c>
      <c r="BI9" s="113" t="n">
        <f aca="false">Inputs!$E$7*(1+Inputs!$E$8)^(BI$5-1)*1*BI8</f>
        <v>253906.25</v>
      </c>
      <c r="BJ9" s="113" t="n">
        <f aca="false">Inputs!$E$7*(1+Inputs!$E$8)^(BJ$5-1)*1*BJ8</f>
        <v>253906.25</v>
      </c>
    </row>
    <row r="10" customFormat="false" ht="15" hidden="false" customHeight="false" outlineLevel="0" collapsed="false">
      <c r="A10" s="6" t="s">
        <v>409</v>
      </c>
      <c r="C10" s="114" t="n">
        <f aca="false">C9*Inputs!$E$9</f>
        <v>1804.8</v>
      </c>
      <c r="D10" s="114" t="n">
        <f aca="false">D9*Inputs!$E$9</f>
        <v>1804.8</v>
      </c>
      <c r="E10" s="114" t="n">
        <f aca="false">E9*Inputs!$E$9</f>
        <v>1804.8</v>
      </c>
      <c r="F10" s="114" t="n">
        <f aca="false">F9*Inputs!$E$9</f>
        <v>1804.8</v>
      </c>
      <c r="G10" s="114" t="n">
        <f aca="false">G9*Inputs!$E$9</f>
        <v>1804.8</v>
      </c>
      <c r="H10" s="114" t="n">
        <f aca="false">H9*Inputs!$E$9</f>
        <v>1804.8</v>
      </c>
      <c r="I10" s="114" t="n">
        <f aca="false">I9*Inputs!$E$9</f>
        <v>1804.8</v>
      </c>
      <c r="J10" s="114" t="n">
        <f aca="false">J9*Inputs!$E$9</f>
        <v>1804.8</v>
      </c>
      <c r="K10" s="114" t="n">
        <f aca="false">K9*Inputs!$E$9</f>
        <v>1804.8</v>
      </c>
      <c r="L10" s="114" t="n">
        <f aca="false">L9*Inputs!$E$9</f>
        <v>1804.8</v>
      </c>
      <c r="M10" s="114" t="n">
        <f aca="false">M9*Inputs!$E$9</f>
        <v>2496</v>
      </c>
      <c r="N10" s="114" t="n">
        <f aca="false">N9*Inputs!$E$9</f>
        <v>2496</v>
      </c>
      <c r="O10" s="114" t="n">
        <f aca="false">O9*Inputs!$E$9</f>
        <v>2256</v>
      </c>
      <c r="P10" s="114" t="n">
        <f aca="false">P9*Inputs!$E$9</f>
        <v>2256</v>
      </c>
      <c r="Q10" s="114" t="n">
        <f aca="false">Q9*Inputs!$E$9</f>
        <v>2256</v>
      </c>
      <c r="R10" s="114" t="n">
        <f aca="false">R9*Inputs!$E$9</f>
        <v>2256</v>
      </c>
      <c r="S10" s="114" t="n">
        <f aca="false">S9*Inputs!$E$9</f>
        <v>2256</v>
      </c>
      <c r="T10" s="114" t="n">
        <f aca="false">T9*Inputs!$E$9</f>
        <v>2256</v>
      </c>
      <c r="U10" s="114" t="n">
        <f aca="false">U9*Inputs!$E$9</f>
        <v>2256</v>
      </c>
      <c r="V10" s="114" t="n">
        <f aca="false">V9*Inputs!$E$9</f>
        <v>2256</v>
      </c>
      <c r="W10" s="114" t="n">
        <f aca="false">W9*Inputs!$E$9</f>
        <v>2256</v>
      </c>
      <c r="X10" s="114" t="n">
        <f aca="false">X9*Inputs!$E$9</f>
        <v>2256</v>
      </c>
      <c r="Y10" s="114" t="n">
        <f aca="false">Y9*Inputs!$E$9</f>
        <v>3120</v>
      </c>
      <c r="Z10" s="114" t="n">
        <f aca="false">Z9*Inputs!$E$9</f>
        <v>3120</v>
      </c>
      <c r="AA10" s="114" t="n">
        <f aca="false">AA9*Inputs!$E$9</f>
        <v>2820</v>
      </c>
      <c r="AB10" s="114" t="n">
        <f aca="false">AB9*Inputs!$E$9</f>
        <v>2820</v>
      </c>
      <c r="AC10" s="114" t="n">
        <f aca="false">AC9*Inputs!$E$9</f>
        <v>2820</v>
      </c>
      <c r="AD10" s="114" t="n">
        <f aca="false">AD9*Inputs!$E$9</f>
        <v>2820</v>
      </c>
      <c r="AE10" s="114" t="n">
        <f aca="false">AE9*Inputs!$E$9</f>
        <v>2820</v>
      </c>
      <c r="AF10" s="114" t="n">
        <f aca="false">AF9*Inputs!$E$9</f>
        <v>2820</v>
      </c>
      <c r="AG10" s="114" t="n">
        <f aca="false">AG9*Inputs!$E$9</f>
        <v>2820</v>
      </c>
      <c r="AH10" s="114" t="n">
        <f aca="false">AH9*Inputs!$E$9</f>
        <v>2820</v>
      </c>
      <c r="AI10" s="114" t="n">
        <f aca="false">AI9*Inputs!$E$9</f>
        <v>2820</v>
      </c>
      <c r="AJ10" s="114" t="n">
        <f aca="false">AJ9*Inputs!$E$9</f>
        <v>2820</v>
      </c>
      <c r="AK10" s="114" t="n">
        <f aca="false">AK9*Inputs!$E$9</f>
        <v>3900</v>
      </c>
      <c r="AL10" s="114" t="n">
        <f aca="false">AL9*Inputs!$E$9</f>
        <v>3900</v>
      </c>
      <c r="AM10" s="114" t="n">
        <f aca="false">AM9*Inputs!$E$9</f>
        <v>3525</v>
      </c>
      <c r="AN10" s="114" t="n">
        <f aca="false">AN9*Inputs!$E$9</f>
        <v>3525</v>
      </c>
      <c r="AO10" s="114" t="n">
        <f aca="false">AO9*Inputs!$E$9</f>
        <v>3525</v>
      </c>
      <c r="AP10" s="114" t="n">
        <f aca="false">AP9*Inputs!$E$9</f>
        <v>3525</v>
      </c>
      <c r="AQ10" s="114" t="n">
        <f aca="false">AQ9*Inputs!$E$9</f>
        <v>3525</v>
      </c>
      <c r="AR10" s="114" t="n">
        <f aca="false">AR9*Inputs!$E$9</f>
        <v>3525</v>
      </c>
      <c r="AS10" s="114" t="n">
        <f aca="false">AS9*Inputs!$E$9</f>
        <v>3525</v>
      </c>
      <c r="AT10" s="114" t="n">
        <f aca="false">AT9*Inputs!$E$9</f>
        <v>3525</v>
      </c>
      <c r="AU10" s="114" t="n">
        <f aca="false">AU9*Inputs!$E$9</f>
        <v>3525</v>
      </c>
      <c r="AV10" s="114" t="n">
        <f aca="false">AV9*Inputs!$E$9</f>
        <v>3525</v>
      </c>
      <c r="AW10" s="114" t="n">
        <f aca="false">AW9*Inputs!$E$9</f>
        <v>4875</v>
      </c>
      <c r="AX10" s="114" t="n">
        <f aca="false">AX9*Inputs!$E$9</f>
        <v>4875</v>
      </c>
      <c r="AY10" s="114" t="n">
        <f aca="false">AY9*Inputs!$E$9</f>
        <v>4406.25</v>
      </c>
      <c r="AZ10" s="114" t="n">
        <f aca="false">AZ9*Inputs!$E$9</f>
        <v>4406.25</v>
      </c>
      <c r="BA10" s="114" t="n">
        <f aca="false">BA9*Inputs!$E$9</f>
        <v>4406.25</v>
      </c>
      <c r="BB10" s="114" t="n">
        <f aca="false">BB9*Inputs!$E$9</f>
        <v>4406.25</v>
      </c>
      <c r="BC10" s="114" t="n">
        <f aca="false">BC9*Inputs!$E$9</f>
        <v>4406.25</v>
      </c>
      <c r="BD10" s="114" t="n">
        <f aca="false">BD9*Inputs!$E$9</f>
        <v>4406.25</v>
      </c>
      <c r="BE10" s="114" t="n">
        <f aca="false">BE9*Inputs!$E$9</f>
        <v>4406.25</v>
      </c>
      <c r="BF10" s="114" t="n">
        <f aca="false">BF9*Inputs!$E$9</f>
        <v>4406.25</v>
      </c>
      <c r="BG10" s="114" t="n">
        <f aca="false">BG9*Inputs!$E$9</f>
        <v>4406.25</v>
      </c>
      <c r="BH10" s="114" t="n">
        <f aca="false">BH9*Inputs!$E$9</f>
        <v>4406.25</v>
      </c>
      <c r="BI10" s="114" t="n">
        <f aca="false">BI9*Inputs!$E$9</f>
        <v>6093.75</v>
      </c>
      <c r="BJ10" s="114" t="n">
        <f aca="false">BJ9*Inputs!$E$9</f>
        <v>6093.75</v>
      </c>
    </row>
    <row r="11" customFormat="false" ht="15" hidden="false" customHeight="false" outlineLevel="0" collapsed="false">
      <c r="A11" s="6" t="s">
        <v>410</v>
      </c>
      <c r="C11" s="114" t="n">
        <f aca="false">-C32/MAX(1,Inputs!$E$15)</f>
        <v>1785.71428571429</v>
      </c>
      <c r="D11" s="114" t="n">
        <f aca="false">-D32/MAX(1,Inputs!$E$15)</f>
        <v>1785.71428571429</v>
      </c>
      <c r="E11" s="114" t="n">
        <f aca="false">-E32/MAX(1,Inputs!$E$15)</f>
        <v>1785.71428571429</v>
      </c>
      <c r="F11" s="114" t="n">
        <f aca="false">-F32/MAX(1,Inputs!$E$15)</f>
        <v>1785.71428571429</v>
      </c>
      <c r="G11" s="114" t="n">
        <f aca="false">-G32/MAX(1,Inputs!$E$15)</f>
        <v>1785.71428571429</v>
      </c>
      <c r="H11" s="114" t="n">
        <f aca="false">-H32/MAX(1,Inputs!$E$15)</f>
        <v>1785.71428571429</v>
      </c>
      <c r="I11" s="114" t="n">
        <f aca="false">-I32/MAX(1,Inputs!$E$15)</f>
        <v>1785.71428571429</v>
      </c>
      <c r="J11" s="114" t="n">
        <f aca="false">-J32/MAX(1,Inputs!$E$15)</f>
        <v>1785.71428571429</v>
      </c>
      <c r="K11" s="114" t="n">
        <f aca="false">-K32/MAX(1,Inputs!$E$15)</f>
        <v>1785.71428571429</v>
      </c>
      <c r="L11" s="114" t="n">
        <f aca="false">-L32/MAX(1,Inputs!$E$15)</f>
        <v>1785.71428571429</v>
      </c>
      <c r="M11" s="114" t="n">
        <f aca="false">-M32/MAX(1,Inputs!$E$15)</f>
        <v>1785.71428571429</v>
      </c>
      <c r="N11" s="114" t="n">
        <f aca="false">-N32/MAX(1,Inputs!$E$15)</f>
        <v>1785.71428571429</v>
      </c>
      <c r="O11" s="114" t="n">
        <f aca="false">-O32/MAX(1,Inputs!$E$15)</f>
        <v>2142.85714285714</v>
      </c>
      <c r="P11" s="114" t="n">
        <f aca="false">-P32/MAX(1,Inputs!$E$15)</f>
        <v>2142.85714285714</v>
      </c>
      <c r="Q11" s="114" t="n">
        <f aca="false">-Q32/MAX(1,Inputs!$E$15)</f>
        <v>2142.85714285714</v>
      </c>
      <c r="R11" s="114" t="n">
        <f aca="false">-R32/MAX(1,Inputs!$E$15)</f>
        <v>2142.85714285714</v>
      </c>
      <c r="S11" s="114" t="n">
        <f aca="false">-S32/MAX(1,Inputs!$E$15)</f>
        <v>2142.85714285714</v>
      </c>
      <c r="T11" s="114" t="n">
        <f aca="false">-T32/MAX(1,Inputs!$E$15)</f>
        <v>2142.85714285714</v>
      </c>
      <c r="U11" s="114" t="n">
        <f aca="false">-U32/MAX(1,Inputs!$E$15)</f>
        <v>2142.85714285714</v>
      </c>
      <c r="V11" s="114" t="n">
        <f aca="false">-V32/MAX(1,Inputs!$E$15)</f>
        <v>2142.85714285714</v>
      </c>
      <c r="W11" s="114" t="n">
        <f aca="false">-W32/MAX(1,Inputs!$E$15)</f>
        <v>2142.85714285714</v>
      </c>
      <c r="X11" s="114" t="n">
        <f aca="false">-X32/MAX(1,Inputs!$E$15)</f>
        <v>2142.85714285714</v>
      </c>
      <c r="Y11" s="114" t="n">
        <f aca="false">-Y32/MAX(1,Inputs!$E$15)</f>
        <v>2142.85714285714</v>
      </c>
      <c r="Z11" s="114" t="n">
        <f aca="false">-Z32/MAX(1,Inputs!$E$15)</f>
        <v>2142.85714285714</v>
      </c>
      <c r="AA11" s="114" t="n">
        <f aca="false">-AA32/MAX(1,Inputs!$E$15)</f>
        <v>2571.42857142857</v>
      </c>
      <c r="AB11" s="114" t="n">
        <f aca="false">-AB32/MAX(1,Inputs!$E$15)</f>
        <v>2571.42857142857</v>
      </c>
      <c r="AC11" s="114" t="n">
        <f aca="false">-AC32/MAX(1,Inputs!$E$15)</f>
        <v>2571.42857142857</v>
      </c>
      <c r="AD11" s="114" t="n">
        <f aca="false">-AD32/MAX(1,Inputs!$E$15)</f>
        <v>2571.42857142857</v>
      </c>
      <c r="AE11" s="114" t="n">
        <f aca="false">-AE32/MAX(1,Inputs!$E$15)</f>
        <v>2571.42857142857</v>
      </c>
      <c r="AF11" s="114" t="n">
        <f aca="false">-AF32/MAX(1,Inputs!$E$15)</f>
        <v>2571.42857142857</v>
      </c>
      <c r="AG11" s="114" t="n">
        <f aca="false">-AG32/MAX(1,Inputs!$E$15)</f>
        <v>2571.42857142857</v>
      </c>
      <c r="AH11" s="114" t="n">
        <f aca="false">-AH32/MAX(1,Inputs!$E$15)</f>
        <v>2571.42857142857</v>
      </c>
      <c r="AI11" s="114" t="n">
        <f aca="false">-AI32/MAX(1,Inputs!$E$15)</f>
        <v>2571.42857142857</v>
      </c>
      <c r="AJ11" s="114" t="n">
        <f aca="false">-AJ32/MAX(1,Inputs!$E$15)</f>
        <v>2571.42857142857</v>
      </c>
      <c r="AK11" s="114" t="n">
        <f aca="false">-AK32/MAX(1,Inputs!$E$15)</f>
        <v>2571.42857142857</v>
      </c>
      <c r="AL11" s="114" t="n">
        <f aca="false">-AL32/MAX(1,Inputs!$E$15)</f>
        <v>2571.42857142857</v>
      </c>
      <c r="AM11" s="114" t="n">
        <f aca="false">-AM32/MAX(1,Inputs!$E$15)</f>
        <v>3085.71428571429</v>
      </c>
      <c r="AN11" s="114" t="n">
        <f aca="false">-AN32/MAX(1,Inputs!$E$15)</f>
        <v>3085.71428571429</v>
      </c>
      <c r="AO11" s="114" t="n">
        <f aca="false">-AO32/MAX(1,Inputs!$E$15)</f>
        <v>3085.71428571429</v>
      </c>
      <c r="AP11" s="114" t="n">
        <f aca="false">-AP32/MAX(1,Inputs!$E$15)</f>
        <v>3085.71428571429</v>
      </c>
      <c r="AQ11" s="114" t="n">
        <f aca="false">-AQ32/MAX(1,Inputs!$E$15)</f>
        <v>3085.71428571429</v>
      </c>
      <c r="AR11" s="114" t="n">
        <f aca="false">-AR32/MAX(1,Inputs!$E$15)</f>
        <v>3085.71428571429</v>
      </c>
      <c r="AS11" s="114" t="n">
        <f aca="false">-AS32/MAX(1,Inputs!$E$15)</f>
        <v>3085.71428571429</v>
      </c>
      <c r="AT11" s="114" t="n">
        <f aca="false">-AT32/MAX(1,Inputs!$E$15)</f>
        <v>3085.71428571429</v>
      </c>
      <c r="AU11" s="114" t="n">
        <f aca="false">-AU32/MAX(1,Inputs!$E$15)</f>
        <v>3085.71428571429</v>
      </c>
      <c r="AV11" s="114" t="n">
        <f aca="false">-AV32/MAX(1,Inputs!$E$15)</f>
        <v>3085.71428571429</v>
      </c>
      <c r="AW11" s="114" t="n">
        <f aca="false">-AW32/MAX(1,Inputs!$E$15)</f>
        <v>3085.71428571429</v>
      </c>
      <c r="AX11" s="114" t="n">
        <f aca="false">-AX32/MAX(1,Inputs!$E$15)</f>
        <v>3085.71428571429</v>
      </c>
      <c r="AY11" s="114" t="n">
        <f aca="false">-AY32/MAX(1,Inputs!$E$15)</f>
        <v>3702.85714285714</v>
      </c>
      <c r="AZ11" s="114" t="n">
        <f aca="false">-AZ32/MAX(1,Inputs!$E$15)</f>
        <v>3702.85714285714</v>
      </c>
      <c r="BA11" s="114" t="n">
        <f aca="false">-BA32/MAX(1,Inputs!$E$15)</f>
        <v>3702.85714285714</v>
      </c>
      <c r="BB11" s="114" t="n">
        <f aca="false">-BB32/MAX(1,Inputs!$E$15)</f>
        <v>3702.85714285714</v>
      </c>
      <c r="BC11" s="114" t="n">
        <f aca="false">-BC32/MAX(1,Inputs!$E$15)</f>
        <v>3702.85714285714</v>
      </c>
      <c r="BD11" s="114" t="n">
        <f aca="false">-BD32/MAX(1,Inputs!$E$15)</f>
        <v>3702.85714285714</v>
      </c>
      <c r="BE11" s="114" t="n">
        <f aca="false">-BE32/MAX(1,Inputs!$E$15)</f>
        <v>3702.85714285714</v>
      </c>
      <c r="BF11" s="114" t="n">
        <f aca="false">-BF32/MAX(1,Inputs!$E$15)</f>
        <v>3702.85714285714</v>
      </c>
      <c r="BG11" s="114" t="n">
        <f aca="false">-BG32/MAX(1,Inputs!$E$15)</f>
        <v>3702.85714285714</v>
      </c>
      <c r="BH11" s="114" t="n">
        <f aca="false">-BH32/MAX(1,Inputs!$E$15)</f>
        <v>3702.85714285714</v>
      </c>
      <c r="BI11" s="114" t="n">
        <f aca="false">-BI32/MAX(1,Inputs!$E$15)</f>
        <v>3702.85714285714</v>
      </c>
      <c r="BJ11" s="114" t="n">
        <f aca="false">-BJ32/MAX(1,Inputs!$E$15)</f>
        <v>3702.85714285714</v>
      </c>
    </row>
    <row r="12" customFormat="false" ht="15" hidden="false" customHeight="false" outlineLevel="0" collapsed="false">
      <c r="A12" s="6" t="s">
        <v>411</v>
      </c>
      <c r="C12" s="114" t="n">
        <f aca="false">C10+C11</f>
        <v>3590.51428571429</v>
      </c>
      <c r="D12" s="114" t="n">
        <f aca="false">D10+D11</f>
        <v>3590.51428571429</v>
      </c>
      <c r="E12" s="114" t="n">
        <f aca="false">E10+E11</f>
        <v>3590.51428571429</v>
      </c>
      <c r="F12" s="114" t="n">
        <f aca="false">F10+F11</f>
        <v>3590.51428571429</v>
      </c>
      <c r="G12" s="114" t="n">
        <f aca="false">G10+G11</f>
        <v>3590.51428571429</v>
      </c>
      <c r="H12" s="114" t="n">
        <f aca="false">H10+H11</f>
        <v>3590.51428571429</v>
      </c>
      <c r="I12" s="114" t="n">
        <f aca="false">I10+I11</f>
        <v>3590.51428571429</v>
      </c>
      <c r="J12" s="114" t="n">
        <f aca="false">J10+J11</f>
        <v>3590.51428571429</v>
      </c>
      <c r="K12" s="114" t="n">
        <f aca="false">K10+K11</f>
        <v>3590.51428571429</v>
      </c>
      <c r="L12" s="114" t="n">
        <f aca="false">L10+L11</f>
        <v>3590.51428571429</v>
      </c>
      <c r="M12" s="114" t="n">
        <f aca="false">M10+M11</f>
        <v>4281.71428571429</v>
      </c>
      <c r="N12" s="114" t="n">
        <f aca="false">N10+N11</f>
        <v>4281.71428571429</v>
      </c>
      <c r="O12" s="114" t="n">
        <f aca="false">O10+O11</f>
        <v>4398.85714285714</v>
      </c>
      <c r="P12" s="114" t="n">
        <f aca="false">P10+P11</f>
        <v>4398.85714285714</v>
      </c>
      <c r="Q12" s="114" t="n">
        <f aca="false">Q10+Q11</f>
        <v>4398.85714285714</v>
      </c>
      <c r="R12" s="114" t="n">
        <f aca="false">R10+R11</f>
        <v>4398.85714285714</v>
      </c>
      <c r="S12" s="114" t="n">
        <f aca="false">S10+S11</f>
        <v>4398.85714285714</v>
      </c>
      <c r="T12" s="114" t="n">
        <f aca="false">T10+T11</f>
        <v>4398.85714285714</v>
      </c>
      <c r="U12" s="114" t="n">
        <f aca="false">U10+U11</f>
        <v>4398.85714285714</v>
      </c>
      <c r="V12" s="114" t="n">
        <f aca="false">V10+V11</f>
        <v>4398.85714285714</v>
      </c>
      <c r="W12" s="114" t="n">
        <f aca="false">W10+W11</f>
        <v>4398.85714285714</v>
      </c>
      <c r="X12" s="114" t="n">
        <f aca="false">X10+X11</f>
        <v>4398.85714285714</v>
      </c>
      <c r="Y12" s="114" t="n">
        <f aca="false">Y10+Y11</f>
        <v>5262.85714285714</v>
      </c>
      <c r="Z12" s="114" t="n">
        <f aca="false">Z10+Z11</f>
        <v>5262.85714285714</v>
      </c>
      <c r="AA12" s="114" t="n">
        <f aca="false">AA10+AA11</f>
        <v>5391.42857142857</v>
      </c>
      <c r="AB12" s="114" t="n">
        <f aca="false">AB10+AB11</f>
        <v>5391.42857142857</v>
      </c>
      <c r="AC12" s="114" t="n">
        <f aca="false">AC10+AC11</f>
        <v>5391.42857142857</v>
      </c>
      <c r="AD12" s="114" t="n">
        <f aca="false">AD10+AD11</f>
        <v>5391.42857142857</v>
      </c>
      <c r="AE12" s="114" t="n">
        <f aca="false">AE10+AE11</f>
        <v>5391.42857142857</v>
      </c>
      <c r="AF12" s="114" t="n">
        <f aca="false">AF10+AF11</f>
        <v>5391.42857142857</v>
      </c>
      <c r="AG12" s="114" t="n">
        <f aca="false">AG10+AG11</f>
        <v>5391.42857142857</v>
      </c>
      <c r="AH12" s="114" t="n">
        <f aca="false">AH10+AH11</f>
        <v>5391.42857142857</v>
      </c>
      <c r="AI12" s="114" t="n">
        <f aca="false">AI10+AI11</f>
        <v>5391.42857142857</v>
      </c>
      <c r="AJ12" s="114" t="n">
        <f aca="false">AJ10+AJ11</f>
        <v>5391.42857142857</v>
      </c>
      <c r="AK12" s="114" t="n">
        <f aca="false">AK10+AK11</f>
        <v>6471.42857142857</v>
      </c>
      <c r="AL12" s="114" t="n">
        <f aca="false">AL10+AL11</f>
        <v>6471.42857142857</v>
      </c>
      <c r="AM12" s="114" t="n">
        <f aca="false">AM10+AM11</f>
        <v>6610.71428571429</v>
      </c>
      <c r="AN12" s="114" t="n">
        <f aca="false">AN10+AN11</f>
        <v>6610.71428571429</v>
      </c>
      <c r="AO12" s="114" t="n">
        <f aca="false">AO10+AO11</f>
        <v>6610.71428571429</v>
      </c>
      <c r="AP12" s="114" t="n">
        <f aca="false">AP10+AP11</f>
        <v>6610.71428571429</v>
      </c>
      <c r="AQ12" s="114" t="n">
        <f aca="false">AQ10+AQ11</f>
        <v>6610.71428571429</v>
      </c>
      <c r="AR12" s="114" t="n">
        <f aca="false">AR10+AR11</f>
        <v>6610.71428571429</v>
      </c>
      <c r="AS12" s="114" t="n">
        <f aca="false">AS10+AS11</f>
        <v>6610.71428571429</v>
      </c>
      <c r="AT12" s="114" t="n">
        <f aca="false">AT10+AT11</f>
        <v>6610.71428571429</v>
      </c>
      <c r="AU12" s="114" t="n">
        <f aca="false">AU10+AU11</f>
        <v>6610.71428571429</v>
      </c>
      <c r="AV12" s="114" t="n">
        <f aca="false">AV10+AV11</f>
        <v>6610.71428571429</v>
      </c>
      <c r="AW12" s="114" t="n">
        <f aca="false">AW10+AW11</f>
        <v>7960.71428571429</v>
      </c>
      <c r="AX12" s="114" t="n">
        <f aca="false">AX10+AX11</f>
        <v>7960.71428571429</v>
      </c>
      <c r="AY12" s="114" t="n">
        <f aca="false">AY10+AY11</f>
        <v>8109.10714285714</v>
      </c>
      <c r="AZ12" s="114" t="n">
        <f aca="false">AZ10+AZ11</f>
        <v>8109.10714285714</v>
      </c>
      <c r="BA12" s="114" t="n">
        <f aca="false">BA10+BA11</f>
        <v>8109.10714285714</v>
      </c>
      <c r="BB12" s="114" t="n">
        <f aca="false">BB10+BB11</f>
        <v>8109.10714285714</v>
      </c>
      <c r="BC12" s="114" t="n">
        <f aca="false">BC10+BC11</f>
        <v>8109.10714285714</v>
      </c>
      <c r="BD12" s="114" t="n">
        <f aca="false">BD10+BD11</f>
        <v>8109.10714285714</v>
      </c>
      <c r="BE12" s="114" t="n">
        <f aca="false">BE10+BE11</f>
        <v>8109.10714285714</v>
      </c>
      <c r="BF12" s="114" t="n">
        <f aca="false">BF10+BF11</f>
        <v>8109.10714285714</v>
      </c>
      <c r="BG12" s="114" t="n">
        <f aca="false">BG10+BG11</f>
        <v>8109.10714285714</v>
      </c>
      <c r="BH12" s="114" t="n">
        <f aca="false">BH10+BH11</f>
        <v>8109.10714285714</v>
      </c>
      <c r="BI12" s="114" t="n">
        <f aca="false">BI10+BI11</f>
        <v>9796.60714285714</v>
      </c>
      <c r="BJ12" s="114" t="n">
        <f aca="false">BJ10+BJ11</f>
        <v>9796.60714285714</v>
      </c>
    </row>
    <row r="13" customFormat="false" ht="15" hidden="false" customHeight="false" outlineLevel="0" collapsed="false">
      <c r="A13" s="6" t="s">
        <v>412</v>
      </c>
      <c r="C13" s="114" t="n">
        <f aca="false">C12*Inputs!$E$12</f>
        <v>1795.25714285714</v>
      </c>
      <c r="D13" s="114" t="n">
        <f aca="false">D12*Inputs!$E$12</f>
        <v>1795.25714285714</v>
      </c>
      <c r="E13" s="114" t="n">
        <f aca="false">E12*Inputs!$E$12</f>
        <v>1795.25714285714</v>
      </c>
      <c r="F13" s="114" t="n">
        <f aca="false">F12*Inputs!$E$12</f>
        <v>1795.25714285714</v>
      </c>
      <c r="G13" s="114" t="n">
        <f aca="false">G12*Inputs!$E$12</f>
        <v>1795.25714285714</v>
      </c>
      <c r="H13" s="114" t="n">
        <f aca="false">H12*Inputs!$E$12</f>
        <v>1795.25714285714</v>
      </c>
      <c r="I13" s="114" t="n">
        <f aca="false">I12*Inputs!$E$12</f>
        <v>1795.25714285714</v>
      </c>
      <c r="J13" s="114" t="n">
        <f aca="false">J12*Inputs!$E$12</f>
        <v>1795.25714285714</v>
      </c>
      <c r="K13" s="114" t="n">
        <f aca="false">K12*Inputs!$E$12</f>
        <v>1795.25714285714</v>
      </c>
      <c r="L13" s="114" t="n">
        <f aca="false">L12*Inputs!$E$12</f>
        <v>1795.25714285714</v>
      </c>
      <c r="M13" s="114" t="n">
        <f aca="false">M12*Inputs!$E$12</f>
        <v>2140.85714285714</v>
      </c>
      <c r="N13" s="114" t="n">
        <f aca="false">N12*Inputs!$E$12</f>
        <v>2140.85714285714</v>
      </c>
      <c r="O13" s="114" t="n">
        <f aca="false">O12*Inputs!$E$12</f>
        <v>2199.42857142857</v>
      </c>
      <c r="P13" s="114" t="n">
        <f aca="false">P12*Inputs!$E$12</f>
        <v>2199.42857142857</v>
      </c>
      <c r="Q13" s="114" t="n">
        <f aca="false">Q12*Inputs!$E$12</f>
        <v>2199.42857142857</v>
      </c>
      <c r="R13" s="114" t="n">
        <f aca="false">R12*Inputs!$E$12</f>
        <v>2199.42857142857</v>
      </c>
      <c r="S13" s="114" t="n">
        <f aca="false">S12*Inputs!$E$12</f>
        <v>2199.42857142857</v>
      </c>
      <c r="T13" s="114" t="n">
        <f aca="false">T12*Inputs!$E$12</f>
        <v>2199.42857142857</v>
      </c>
      <c r="U13" s="114" t="n">
        <f aca="false">U12*Inputs!$E$12</f>
        <v>2199.42857142857</v>
      </c>
      <c r="V13" s="114" t="n">
        <f aca="false">V12*Inputs!$E$12</f>
        <v>2199.42857142857</v>
      </c>
      <c r="W13" s="114" t="n">
        <f aca="false">W12*Inputs!$E$12</f>
        <v>2199.42857142857</v>
      </c>
      <c r="X13" s="114" t="n">
        <f aca="false">X12*Inputs!$E$12</f>
        <v>2199.42857142857</v>
      </c>
      <c r="Y13" s="114" t="n">
        <f aca="false">Y12*Inputs!$E$12</f>
        <v>2631.42857142857</v>
      </c>
      <c r="Z13" s="114" t="n">
        <f aca="false">Z12*Inputs!$E$12</f>
        <v>2631.42857142857</v>
      </c>
      <c r="AA13" s="114" t="n">
        <f aca="false">AA12*Inputs!$E$12</f>
        <v>2695.71428571429</v>
      </c>
      <c r="AB13" s="114" t="n">
        <f aca="false">AB12*Inputs!$E$12</f>
        <v>2695.71428571429</v>
      </c>
      <c r="AC13" s="114" t="n">
        <f aca="false">AC12*Inputs!$E$12</f>
        <v>2695.71428571429</v>
      </c>
      <c r="AD13" s="114" t="n">
        <f aca="false">AD12*Inputs!$E$12</f>
        <v>2695.71428571429</v>
      </c>
      <c r="AE13" s="114" t="n">
        <f aca="false">AE12*Inputs!$E$12</f>
        <v>2695.71428571429</v>
      </c>
      <c r="AF13" s="114" t="n">
        <f aca="false">AF12*Inputs!$E$12</f>
        <v>2695.71428571429</v>
      </c>
      <c r="AG13" s="114" t="n">
        <f aca="false">AG12*Inputs!$E$12</f>
        <v>2695.71428571429</v>
      </c>
      <c r="AH13" s="114" t="n">
        <f aca="false">AH12*Inputs!$E$12</f>
        <v>2695.71428571429</v>
      </c>
      <c r="AI13" s="114" t="n">
        <f aca="false">AI12*Inputs!$E$12</f>
        <v>2695.71428571429</v>
      </c>
      <c r="AJ13" s="114" t="n">
        <f aca="false">AJ12*Inputs!$E$12</f>
        <v>2695.71428571429</v>
      </c>
      <c r="AK13" s="114" t="n">
        <f aca="false">AK12*Inputs!$E$12</f>
        <v>3235.71428571429</v>
      </c>
      <c r="AL13" s="114" t="n">
        <f aca="false">AL12*Inputs!$E$12</f>
        <v>3235.71428571429</v>
      </c>
      <c r="AM13" s="114" t="n">
        <f aca="false">AM12*Inputs!$E$12</f>
        <v>3305.35714285714</v>
      </c>
      <c r="AN13" s="114" t="n">
        <f aca="false">AN12*Inputs!$E$12</f>
        <v>3305.35714285714</v>
      </c>
      <c r="AO13" s="114" t="n">
        <f aca="false">AO12*Inputs!$E$12</f>
        <v>3305.35714285714</v>
      </c>
      <c r="AP13" s="114" t="n">
        <f aca="false">AP12*Inputs!$E$12</f>
        <v>3305.35714285714</v>
      </c>
      <c r="AQ13" s="114" t="n">
        <f aca="false">AQ12*Inputs!$E$12</f>
        <v>3305.35714285714</v>
      </c>
      <c r="AR13" s="114" t="n">
        <f aca="false">AR12*Inputs!$E$12</f>
        <v>3305.35714285714</v>
      </c>
      <c r="AS13" s="114" t="n">
        <f aca="false">AS12*Inputs!$E$12</f>
        <v>3305.35714285714</v>
      </c>
      <c r="AT13" s="114" t="n">
        <f aca="false">AT12*Inputs!$E$12</f>
        <v>3305.35714285714</v>
      </c>
      <c r="AU13" s="114" t="n">
        <f aca="false">AU12*Inputs!$E$12</f>
        <v>3305.35714285714</v>
      </c>
      <c r="AV13" s="114" t="n">
        <f aca="false">AV12*Inputs!$E$12</f>
        <v>3305.35714285714</v>
      </c>
      <c r="AW13" s="114" t="n">
        <f aca="false">AW12*Inputs!$E$12</f>
        <v>3980.35714285714</v>
      </c>
      <c r="AX13" s="114" t="n">
        <f aca="false">AX12*Inputs!$E$12</f>
        <v>3980.35714285714</v>
      </c>
      <c r="AY13" s="114" t="n">
        <f aca="false">AY12*Inputs!$E$12</f>
        <v>4054.55357142857</v>
      </c>
      <c r="AZ13" s="114" t="n">
        <f aca="false">AZ12*Inputs!$E$12</f>
        <v>4054.55357142857</v>
      </c>
      <c r="BA13" s="114" t="n">
        <f aca="false">BA12*Inputs!$E$12</f>
        <v>4054.55357142857</v>
      </c>
      <c r="BB13" s="114" t="n">
        <f aca="false">BB12*Inputs!$E$12</f>
        <v>4054.55357142857</v>
      </c>
      <c r="BC13" s="114" t="n">
        <f aca="false">BC12*Inputs!$E$12</f>
        <v>4054.55357142857</v>
      </c>
      <c r="BD13" s="114" t="n">
        <f aca="false">BD12*Inputs!$E$12</f>
        <v>4054.55357142857</v>
      </c>
      <c r="BE13" s="114" t="n">
        <f aca="false">BE12*Inputs!$E$12</f>
        <v>4054.55357142857</v>
      </c>
      <c r="BF13" s="114" t="n">
        <f aca="false">BF12*Inputs!$E$12</f>
        <v>4054.55357142857</v>
      </c>
      <c r="BG13" s="114" t="n">
        <f aca="false">BG12*Inputs!$E$12</f>
        <v>4054.55357142857</v>
      </c>
      <c r="BH13" s="114" t="n">
        <f aca="false">BH12*Inputs!$E$12</f>
        <v>4054.55357142857</v>
      </c>
      <c r="BI13" s="114" t="n">
        <f aca="false">BI12*Inputs!$E$12</f>
        <v>4898.30357142857</v>
      </c>
      <c r="BJ13" s="114" t="n">
        <f aca="false">BJ12*Inputs!$E$12</f>
        <v>4898.30357142857</v>
      </c>
    </row>
    <row r="14" customFormat="false" ht="15" hidden="false" customHeight="false" outlineLevel="0" collapsed="false">
      <c r="A14" s="4" t="s">
        <v>60</v>
      </c>
      <c r="C14" s="115" t="n">
        <f aca="false">C12+C13</f>
        <v>5385.77142857143</v>
      </c>
      <c r="D14" s="115" t="n">
        <f aca="false">D12+D13</f>
        <v>5385.77142857143</v>
      </c>
      <c r="E14" s="115" t="n">
        <f aca="false">E12+E13</f>
        <v>5385.77142857143</v>
      </c>
      <c r="F14" s="115" t="n">
        <f aca="false">F12+F13</f>
        <v>5385.77142857143</v>
      </c>
      <c r="G14" s="115" t="n">
        <f aca="false">G12+G13</f>
        <v>5385.77142857143</v>
      </c>
      <c r="H14" s="115" t="n">
        <f aca="false">H12+H13</f>
        <v>5385.77142857143</v>
      </c>
      <c r="I14" s="115" t="n">
        <f aca="false">I12+I13</f>
        <v>5385.77142857143</v>
      </c>
      <c r="J14" s="115" t="n">
        <f aca="false">J12+J13</f>
        <v>5385.77142857143</v>
      </c>
      <c r="K14" s="115" t="n">
        <f aca="false">K12+K13</f>
        <v>5385.77142857143</v>
      </c>
      <c r="L14" s="115" t="n">
        <f aca="false">L12+L13</f>
        <v>5385.77142857143</v>
      </c>
      <c r="M14" s="115" t="n">
        <f aca="false">M12+M13</f>
        <v>6422.57142857143</v>
      </c>
      <c r="N14" s="115" t="n">
        <f aca="false">N12+N13</f>
        <v>6422.57142857143</v>
      </c>
      <c r="O14" s="115" t="n">
        <f aca="false">O12+O13</f>
        <v>6598.28571428572</v>
      </c>
      <c r="P14" s="115" t="n">
        <f aca="false">P12+P13</f>
        <v>6598.28571428572</v>
      </c>
      <c r="Q14" s="115" t="n">
        <f aca="false">Q12+Q13</f>
        <v>6598.28571428572</v>
      </c>
      <c r="R14" s="115" t="n">
        <f aca="false">R12+R13</f>
        <v>6598.28571428572</v>
      </c>
      <c r="S14" s="115" t="n">
        <f aca="false">S12+S13</f>
        <v>6598.28571428572</v>
      </c>
      <c r="T14" s="115" t="n">
        <f aca="false">T12+T13</f>
        <v>6598.28571428572</v>
      </c>
      <c r="U14" s="115" t="n">
        <f aca="false">U12+U13</f>
        <v>6598.28571428572</v>
      </c>
      <c r="V14" s="115" t="n">
        <f aca="false">V12+V13</f>
        <v>6598.28571428572</v>
      </c>
      <c r="W14" s="115" t="n">
        <f aca="false">W12+W13</f>
        <v>6598.28571428572</v>
      </c>
      <c r="X14" s="115" t="n">
        <f aca="false">X12+X13</f>
        <v>6598.28571428572</v>
      </c>
      <c r="Y14" s="115" t="n">
        <f aca="false">Y12+Y13</f>
        <v>7894.28571428572</v>
      </c>
      <c r="Z14" s="115" t="n">
        <f aca="false">Z12+Z13</f>
        <v>7894.28571428572</v>
      </c>
      <c r="AA14" s="115" t="n">
        <f aca="false">AA12+AA13</f>
        <v>8087.14285714286</v>
      </c>
      <c r="AB14" s="115" t="n">
        <f aca="false">AB12+AB13</f>
        <v>8087.14285714286</v>
      </c>
      <c r="AC14" s="115" t="n">
        <f aca="false">AC12+AC13</f>
        <v>8087.14285714286</v>
      </c>
      <c r="AD14" s="115" t="n">
        <f aca="false">AD12+AD13</f>
        <v>8087.14285714286</v>
      </c>
      <c r="AE14" s="115" t="n">
        <f aca="false">AE12+AE13</f>
        <v>8087.14285714286</v>
      </c>
      <c r="AF14" s="115" t="n">
        <f aca="false">AF12+AF13</f>
        <v>8087.14285714286</v>
      </c>
      <c r="AG14" s="115" t="n">
        <f aca="false">AG12+AG13</f>
        <v>8087.14285714286</v>
      </c>
      <c r="AH14" s="115" t="n">
        <f aca="false">AH12+AH13</f>
        <v>8087.14285714286</v>
      </c>
      <c r="AI14" s="115" t="n">
        <f aca="false">AI12+AI13</f>
        <v>8087.14285714286</v>
      </c>
      <c r="AJ14" s="115" t="n">
        <f aca="false">AJ12+AJ13</f>
        <v>8087.14285714286</v>
      </c>
      <c r="AK14" s="115" t="n">
        <f aca="false">AK12+AK13</f>
        <v>9707.14285714286</v>
      </c>
      <c r="AL14" s="115" t="n">
        <f aca="false">AL12+AL13</f>
        <v>9707.14285714286</v>
      </c>
      <c r="AM14" s="115" t="n">
        <f aca="false">AM12+AM13</f>
        <v>9916.07142857143</v>
      </c>
      <c r="AN14" s="115" t="n">
        <f aca="false">AN12+AN13</f>
        <v>9916.07142857143</v>
      </c>
      <c r="AO14" s="115" t="n">
        <f aca="false">AO12+AO13</f>
        <v>9916.07142857143</v>
      </c>
      <c r="AP14" s="115" t="n">
        <f aca="false">AP12+AP13</f>
        <v>9916.07142857143</v>
      </c>
      <c r="AQ14" s="115" t="n">
        <f aca="false">AQ12+AQ13</f>
        <v>9916.07142857143</v>
      </c>
      <c r="AR14" s="115" t="n">
        <f aca="false">AR12+AR13</f>
        <v>9916.07142857143</v>
      </c>
      <c r="AS14" s="115" t="n">
        <f aca="false">AS12+AS13</f>
        <v>9916.07142857143</v>
      </c>
      <c r="AT14" s="115" t="n">
        <f aca="false">AT12+AT13</f>
        <v>9916.07142857143</v>
      </c>
      <c r="AU14" s="115" t="n">
        <f aca="false">AU12+AU13</f>
        <v>9916.07142857143</v>
      </c>
      <c r="AV14" s="115" t="n">
        <f aca="false">AV12+AV13</f>
        <v>9916.07142857143</v>
      </c>
      <c r="AW14" s="115" t="n">
        <f aca="false">AW12+AW13</f>
        <v>11941.0714285714</v>
      </c>
      <c r="AX14" s="115" t="n">
        <f aca="false">AX12+AX13</f>
        <v>11941.0714285714</v>
      </c>
      <c r="AY14" s="115" t="n">
        <f aca="false">AY12+AY13</f>
        <v>12163.6607142857</v>
      </c>
      <c r="AZ14" s="115" t="n">
        <f aca="false">AZ12+AZ13</f>
        <v>12163.6607142857</v>
      </c>
      <c r="BA14" s="115" t="n">
        <f aca="false">BA12+BA13</f>
        <v>12163.6607142857</v>
      </c>
      <c r="BB14" s="115" t="n">
        <f aca="false">BB12+BB13</f>
        <v>12163.6607142857</v>
      </c>
      <c r="BC14" s="115" t="n">
        <f aca="false">BC12+BC13</f>
        <v>12163.6607142857</v>
      </c>
      <c r="BD14" s="115" t="n">
        <f aca="false">BD12+BD13</f>
        <v>12163.6607142857</v>
      </c>
      <c r="BE14" s="115" t="n">
        <f aca="false">BE12+BE13</f>
        <v>12163.6607142857</v>
      </c>
      <c r="BF14" s="115" t="n">
        <f aca="false">BF12+BF13</f>
        <v>12163.6607142857</v>
      </c>
      <c r="BG14" s="115" t="n">
        <f aca="false">BG12+BG13</f>
        <v>12163.6607142857</v>
      </c>
      <c r="BH14" s="115" t="n">
        <f aca="false">BH12+BH13</f>
        <v>12163.6607142857</v>
      </c>
      <c r="BI14" s="115" t="n">
        <f aca="false">BI12+BI13</f>
        <v>14694.9107142857</v>
      </c>
      <c r="BJ14" s="115" t="n">
        <f aca="false">BJ12+BJ13</f>
        <v>14694.9107142857</v>
      </c>
    </row>
    <row r="15" customFormat="false" ht="15" hidden="false" customHeight="false" outlineLevel="0" collapsed="false">
      <c r="A15" s="6" t="s">
        <v>413</v>
      </c>
      <c r="C15" s="116" t="n">
        <f aca="false">Inputs!$E$10*(1+Inputs!$E$11)^(C$5-1)</f>
        <v>75</v>
      </c>
      <c r="D15" s="116" t="n">
        <f aca="false">Inputs!$E$10*(1+Inputs!$E$11)^(D$5-1)</f>
        <v>75</v>
      </c>
      <c r="E15" s="116" t="n">
        <f aca="false">Inputs!$E$10*(1+Inputs!$E$11)^(E$5-1)</f>
        <v>75</v>
      </c>
      <c r="F15" s="116" t="n">
        <f aca="false">Inputs!$E$10*(1+Inputs!$E$11)^(F$5-1)</f>
        <v>75</v>
      </c>
      <c r="G15" s="116" t="n">
        <f aca="false">Inputs!$E$10*(1+Inputs!$E$11)^(G$5-1)</f>
        <v>75</v>
      </c>
      <c r="H15" s="116" t="n">
        <f aca="false">Inputs!$E$10*(1+Inputs!$E$11)^(H$5-1)</f>
        <v>75</v>
      </c>
      <c r="I15" s="116" t="n">
        <f aca="false">Inputs!$E$10*(1+Inputs!$E$11)^(I$5-1)</f>
        <v>75</v>
      </c>
      <c r="J15" s="116" t="n">
        <f aca="false">Inputs!$E$10*(1+Inputs!$E$11)^(J$5-1)</f>
        <v>75</v>
      </c>
      <c r="K15" s="116" t="n">
        <f aca="false">Inputs!$E$10*(1+Inputs!$E$11)^(K$5-1)</f>
        <v>75</v>
      </c>
      <c r="L15" s="116" t="n">
        <f aca="false">Inputs!$E$10*(1+Inputs!$E$11)^(L$5-1)</f>
        <v>75</v>
      </c>
      <c r="M15" s="116" t="n">
        <f aca="false">Inputs!$E$10*(1+Inputs!$E$11)^(M$5-1)</f>
        <v>75</v>
      </c>
      <c r="N15" s="116" t="n">
        <f aca="false">Inputs!$E$10*(1+Inputs!$E$11)^(N$5-1)</f>
        <v>75</v>
      </c>
      <c r="O15" s="116" t="n">
        <f aca="false">Inputs!$E$10*(1+Inputs!$E$11)^(O$5-1)</f>
        <v>76.5</v>
      </c>
      <c r="P15" s="116" t="n">
        <f aca="false">Inputs!$E$10*(1+Inputs!$E$11)^(P$5-1)</f>
        <v>76.5</v>
      </c>
      <c r="Q15" s="116" t="n">
        <f aca="false">Inputs!$E$10*(1+Inputs!$E$11)^(Q$5-1)</f>
        <v>76.5</v>
      </c>
      <c r="R15" s="116" t="n">
        <f aca="false">Inputs!$E$10*(1+Inputs!$E$11)^(R$5-1)</f>
        <v>76.5</v>
      </c>
      <c r="S15" s="116" t="n">
        <f aca="false">Inputs!$E$10*(1+Inputs!$E$11)^(S$5-1)</f>
        <v>76.5</v>
      </c>
      <c r="T15" s="116" t="n">
        <f aca="false">Inputs!$E$10*(1+Inputs!$E$11)^(T$5-1)</f>
        <v>76.5</v>
      </c>
      <c r="U15" s="116" t="n">
        <f aca="false">Inputs!$E$10*(1+Inputs!$E$11)^(U$5-1)</f>
        <v>76.5</v>
      </c>
      <c r="V15" s="116" t="n">
        <f aca="false">Inputs!$E$10*(1+Inputs!$E$11)^(V$5-1)</f>
        <v>76.5</v>
      </c>
      <c r="W15" s="116" t="n">
        <f aca="false">Inputs!$E$10*(1+Inputs!$E$11)^(W$5-1)</f>
        <v>76.5</v>
      </c>
      <c r="X15" s="116" t="n">
        <f aca="false">Inputs!$E$10*(1+Inputs!$E$11)^(X$5-1)</f>
        <v>76.5</v>
      </c>
      <c r="Y15" s="116" t="n">
        <f aca="false">Inputs!$E$10*(1+Inputs!$E$11)^(Y$5-1)</f>
        <v>76.5</v>
      </c>
      <c r="Z15" s="116" t="n">
        <f aca="false">Inputs!$E$10*(1+Inputs!$E$11)^(Z$5-1)</f>
        <v>76.5</v>
      </c>
      <c r="AA15" s="116" t="n">
        <f aca="false">Inputs!$E$10*(1+Inputs!$E$11)^(AA$5-1)</f>
        <v>78.03</v>
      </c>
      <c r="AB15" s="116" t="n">
        <f aca="false">Inputs!$E$10*(1+Inputs!$E$11)^(AB$5-1)</f>
        <v>78.03</v>
      </c>
      <c r="AC15" s="116" t="n">
        <f aca="false">Inputs!$E$10*(1+Inputs!$E$11)^(AC$5-1)</f>
        <v>78.03</v>
      </c>
      <c r="AD15" s="116" t="n">
        <f aca="false">Inputs!$E$10*(1+Inputs!$E$11)^(AD$5-1)</f>
        <v>78.03</v>
      </c>
      <c r="AE15" s="116" t="n">
        <f aca="false">Inputs!$E$10*(1+Inputs!$E$11)^(AE$5-1)</f>
        <v>78.03</v>
      </c>
      <c r="AF15" s="116" t="n">
        <f aca="false">Inputs!$E$10*(1+Inputs!$E$11)^(AF$5-1)</f>
        <v>78.03</v>
      </c>
      <c r="AG15" s="116" t="n">
        <f aca="false">Inputs!$E$10*(1+Inputs!$E$11)^(AG$5-1)</f>
        <v>78.03</v>
      </c>
      <c r="AH15" s="116" t="n">
        <f aca="false">Inputs!$E$10*(1+Inputs!$E$11)^(AH$5-1)</f>
        <v>78.03</v>
      </c>
      <c r="AI15" s="116" t="n">
        <f aca="false">Inputs!$E$10*(1+Inputs!$E$11)^(AI$5-1)</f>
        <v>78.03</v>
      </c>
      <c r="AJ15" s="116" t="n">
        <f aca="false">Inputs!$E$10*(1+Inputs!$E$11)^(AJ$5-1)</f>
        <v>78.03</v>
      </c>
      <c r="AK15" s="116" t="n">
        <f aca="false">Inputs!$E$10*(1+Inputs!$E$11)^(AK$5-1)</f>
        <v>78.03</v>
      </c>
      <c r="AL15" s="116" t="n">
        <f aca="false">Inputs!$E$10*(1+Inputs!$E$11)^(AL$5-1)</f>
        <v>78.03</v>
      </c>
      <c r="AM15" s="116" t="n">
        <f aca="false">Inputs!$E$10*(1+Inputs!$E$11)^(AM$5-1)</f>
        <v>79.5906</v>
      </c>
      <c r="AN15" s="116" t="n">
        <f aca="false">Inputs!$E$10*(1+Inputs!$E$11)^(AN$5-1)</f>
        <v>79.5906</v>
      </c>
      <c r="AO15" s="116" t="n">
        <f aca="false">Inputs!$E$10*(1+Inputs!$E$11)^(AO$5-1)</f>
        <v>79.5906</v>
      </c>
      <c r="AP15" s="116" t="n">
        <f aca="false">Inputs!$E$10*(1+Inputs!$E$11)^(AP$5-1)</f>
        <v>79.5906</v>
      </c>
      <c r="AQ15" s="116" t="n">
        <f aca="false">Inputs!$E$10*(1+Inputs!$E$11)^(AQ$5-1)</f>
        <v>79.5906</v>
      </c>
      <c r="AR15" s="116" t="n">
        <f aca="false">Inputs!$E$10*(1+Inputs!$E$11)^(AR$5-1)</f>
        <v>79.5906</v>
      </c>
      <c r="AS15" s="116" t="n">
        <f aca="false">Inputs!$E$10*(1+Inputs!$E$11)^(AS$5-1)</f>
        <v>79.5906</v>
      </c>
      <c r="AT15" s="116" t="n">
        <f aca="false">Inputs!$E$10*(1+Inputs!$E$11)^(AT$5-1)</f>
        <v>79.5906</v>
      </c>
      <c r="AU15" s="116" t="n">
        <f aca="false">Inputs!$E$10*(1+Inputs!$E$11)^(AU$5-1)</f>
        <v>79.5906</v>
      </c>
      <c r="AV15" s="116" t="n">
        <f aca="false">Inputs!$E$10*(1+Inputs!$E$11)^(AV$5-1)</f>
        <v>79.5906</v>
      </c>
      <c r="AW15" s="116" t="n">
        <f aca="false">Inputs!$E$10*(1+Inputs!$E$11)^(AW$5-1)</f>
        <v>79.5906</v>
      </c>
      <c r="AX15" s="116" t="n">
        <f aca="false">Inputs!$E$10*(1+Inputs!$E$11)^(AX$5-1)</f>
        <v>79.5906</v>
      </c>
      <c r="AY15" s="116" t="n">
        <f aca="false">Inputs!$E$10*(1+Inputs!$E$11)^(AY$5-1)</f>
        <v>81.182412</v>
      </c>
      <c r="AZ15" s="116" t="n">
        <f aca="false">Inputs!$E$10*(1+Inputs!$E$11)^(AZ$5-1)</f>
        <v>81.182412</v>
      </c>
      <c r="BA15" s="116" t="n">
        <f aca="false">Inputs!$E$10*(1+Inputs!$E$11)^(BA$5-1)</f>
        <v>81.182412</v>
      </c>
      <c r="BB15" s="116" t="n">
        <f aca="false">Inputs!$E$10*(1+Inputs!$E$11)^(BB$5-1)</f>
        <v>81.182412</v>
      </c>
      <c r="BC15" s="116" t="n">
        <f aca="false">Inputs!$E$10*(1+Inputs!$E$11)^(BC$5-1)</f>
        <v>81.182412</v>
      </c>
      <c r="BD15" s="116" t="n">
        <f aca="false">Inputs!$E$10*(1+Inputs!$E$11)^(BD$5-1)</f>
        <v>81.182412</v>
      </c>
      <c r="BE15" s="116" t="n">
        <f aca="false">Inputs!$E$10*(1+Inputs!$E$11)^(BE$5-1)</f>
        <v>81.182412</v>
      </c>
      <c r="BF15" s="116" t="n">
        <f aca="false">Inputs!$E$10*(1+Inputs!$E$11)^(BF$5-1)</f>
        <v>81.182412</v>
      </c>
      <c r="BG15" s="116" t="n">
        <f aca="false">Inputs!$E$10*(1+Inputs!$E$11)^(BG$5-1)</f>
        <v>81.182412</v>
      </c>
      <c r="BH15" s="116" t="n">
        <f aca="false">Inputs!$E$10*(1+Inputs!$E$11)^(BH$5-1)</f>
        <v>81.182412</v>
      </c>
      <c r="BI15" s="116" t="n">
        <f aca="false">Inputs!$E$10*(1+Inputs!$E$11)^(BI$5-1)</f>
        <v>81.182412</v>
      </c>
      <c r="BJ15" s="116" t="n">
        <f aca="false">Inputs!$E$10*(1+Inputs!$E$11)^(BJ$5-1)</f>
        <v>81.182412</v>
      </c>
    </row>
    <row r="16" customFormat="false" ht="15" hidden="false" customHeight="false" outlineLevel="0" collapsed="false">
      <c r="A16" s="4" t="s">
        <v>58</v>
      </c>
      <c r="C16" s="71" t="n">
        <f aca="false">C14*C15</f>
        <v>403932.857142857</v>
      </c>
      <c r="D16" s="71" t="n">
        <f aca="false">D14*D15</f>
        <v>403932.857142857</v>
      </c>
      <c r="E16" s="71" t="n">
        <f aca="false">E14*E15</f>
        <v>403932.857142857</v>
      </c>
      <c r="F16" s="71" t="n">
        <f aca="false">F14*F15</f>
        <v>403932.857142857</v>
      </c>
      <c r="G16" s="71" t="n">
        <f aca="false">G14*G15</f>
        <v>403932.857142857</v>
      </c>
      <c r="H16" s="71" t="n">
        <f aca="false">H14*H15</f>
        <v>403932.857142857</v>
      </c>
      <c r="I16" s="71" t="n">
        <f aca="false">I14*I15</f>
        <v>403932.857142857</v>
      </c>
      <c r="J16" s="71" t="n">
        <f aca="false">J14*J15</f>
        <v>403932.857142857</v>
      </c>
      <c r="K16" s="71" t="n">
        <f aca="false">K14*K15</f>
        <v>403932.857142857</v>
      </c>
      <c r="L16" s="71" t="n">
        <f aca="false">L14*L15</f>
        <v>403932.857142857</v>
      </c>
      <c r="M16" s="71" t="n">
        <f aca="false">M14*M15</f>
        <v>481692.857142857</v>
      </c>
      <c r="N16" s="71" t="n">
        <f aca="false">N14*N15</f>
        <v>481692.857142857</v>
      </c>
      <c r="O16" s="71" t="n">
        <f aca="false">O14*O15</f>
        <v>504768.857142857</v>
      </c>
      <c r="P16" s="71" t="n">
        <f aca="false">P14*P15</f>
        <v>504768.857142857</v>
      </c>
      <c r="Q16" s="71" t="n">
        <f aca="false">Q14*Q15</f>
        <v>504768.857142857</v>
      </c>
      <c r="R16" s="71" t="n">
        <f aca="false">R14*R15</f>
        <v>504768.857142857</v>
      </c>
      <c r="S16" s="71" t="n">
        <f aca="false">S14*S15</f>
        <v>504768.857142857</v>
      </c>
      <c r="T16" s="71" t="n">
        <f aca="false">T14*T15</f>
        <v>504768.857142857</v>
      </c>
      <c r="U16" s="71" t="n">
        <f aca="false">U14*U15</f>
        <v>504768.857142857</v>
      </c>
      <c r="V16" s="71" t="n">
        <f aca="false">V14*V15</f>
        <v>504768.857142857</v>
      </c>
      <c r="W16" s="71" t="n">
        <f aca="false">W14*W15</f>
        <v>504768.857142857</v>
      </c>
      <c r="X16" s="71" t="n">
        <f aca="false">X14*X15</f>
        <v>504768.857142857</v>
      </c>
      <c r="Y16" s="71" t="n">
        <f aca="false">Y14*Y15</f>
        <v>603912.857142857</v>
      </c>
      <c r="Z16" s="71" t="n">
        <f aca="false">Z14*Z15</f>
        <v>603912.857142857</v>
      </c>
      <c r="AA16" s="71" t="n">
        <f aca="false">AA14*AA15</f>
        <v>631039.757142857</v>
      </c>
      <c r="AB16" s="71" t="n">
        <f aca="false">AB14*AB15</f>
        <v>631039.757142857</v>
      </c>
      <c r="AC16" s="71" t="n">
        <f aca="false">AC14*AC15</f>
        <v>631039.757142857</v>
      </c>
      <c r="AD16" s="71" t="n">
        <f aca="false">AD14*AD15</f>
        <v>631039.757142857</v>
      </c>
      <c r="AE16" s="71" t="n">
        <f aca="false">AE14*AE15</f>
        <v>631039.757142857</v>
      </c>
      <c r="AF16" s="71" t="n">
        <f aca="false">AF14*AF15</f>
        <v>631039.757142857</v>
      </c>
      <c r="AG16" s="71" t="n">
        <f aca="false">AG14*AG15</f>
        <v>631039.757142857</v>
      </c>
      <c r="AH16" s="71" t="n">
        <f aca="false">AH14*AH15</f>
        <v>631039.757142857</v>
      </c>
      <c r="AI16" s="71" t="n">
        <f aca="false">AI14*AI15</f>
        <v>631039.757142857</v>
      </c>
      <c r="AJ16" s="71" t="n">
        <f aca="false">AJ14*AJ15</f>
        <v>631039.757142857</v>
      </c>
      <c r="AK16" s="71" t="n">
        <f aca="false">AK14*AK15</f>
        <v>757448.357142857</v>
      </c>
      <c r="AL16" s="71" t="n">
        <f aca="false">AL14*AL15</f>
        <v>757448.357142857</v>
      </c>
      <c r="AM16" s="71" t="n">
        <f aca="false">AM14*AM15</f>
        <v>789226.074642857</v>
      </c>
      <c r="AN16" s="71" t="n">
        <f aca="false">AN14*AN15</f>
        <v>789226.074642857</v>
      </c>
      <c r="AO16" s="71" t="n">
        <f aca="false">AO14*AO15</f>
        <v>789226.074642857</v>
      </c>
      <c r="AP16" s="71" t="n">
        <f aca="false">AP14*AP15</f>
        <v>789226.074642857</v>
      </c>
      <c r="AQ16" s="71" t="n">
        <f aca="false">AQ14*AQ15</f>
        <v>789226.074642857</v>
      </c>
      <c r="AR16" s="71" t="n">
        <f aca="false">AR14*AR15</f>
        <v>789226.074642857</v>
      </c>
      <c r="AS16" s="71" t="n">
        <f aca="false">AS14*AS15</f>
        <v>789226.074642857</v>
      </c>
      <c r="AT16" s="71" t="n">
        <f aca="false">AT14*AT15</f>
        <v>789226.074642857</v>
      </c>
      <c r="AU16" s="71" t="n">
        <f aca="false">AU14*AU15</f>
        <v>789226.074642857</v>
      </c>
      <c r="AV16" s="71" t="n">
        <f aca="false">AV14*AV15</f>
        <v>789226.074642857</v>
      </c>
      <c r="AW16" s="71" t="n">
        <f aca="false">AW14*AW15</f>
        <v>950397.039642857</v>
      </c>
      <c r="AX16" s="71" t="n">
        <f aca="false">AX14*AX15</f>
        <v>950397.039642857</v>
      </c>
      <c r="AY16" s="71" t="n">
        <f aca="false">AY14*AY15</f>
        <v>987475.315535357</v>
      </c>
      <c r="AZ16" s="71" t="n">
        <f aca="false">AZ14*AZ15</f>
        <v>987475.315535357</v>
      </c>
      <c r="BA16" s="71" t="n">
        <f aca="false">BA14*BA15</f>
        <v>987475.315535357</v>
      </c>
      <c r="BB16" s="71" t="n">
        <f aca="false">BB14*BB15</f>
        <v>987475.315535357</v>
      </c>
      <c r="BC16" s="71" t="n">
        <f aca="false">BC14*BC15</f>
        <v>987475.315535357</v>
      </c>
      <c r="BD16" s="71" t="n">
        <f aca="false">BD14*BD15</f>
        <v>987475.315535357</v>
      </c>
      <c r="BE16" s="71" t="n">
        <f aca="false">BE14*BE15</f>
        <v>987475.315535357</v>
      </c>
      <c r="BF16" s="71" t="n">
        <f aca="false">BF14*BF15</f>
        <v>987475.315535357</v>
      </c>
      <c r="BG16" s="71" t="n">
        <f aca="false">BG14*BG15</f>
        <v>987475.315535357</v>
      </c>
      <c r="BH16" s="71" t="n">
        <f aca="false">BH14*BH15</f>
        <v>987475.315535357</v>
      </c>
      <c r="BI16" s="71" t="n">
        <f aca="false">BI14*BI15</f>
        <v>1192968.29591036</v>
      </c>
      <c r="BJ16" s="71" t="n">
        <f aca="false">BJ14*BJ15</f>
        <v>1192968.29591036</v>
      </c>
    </row>
    <row r="18" customFormat="false" ht="15.75" hidden="false" customHeight="true" outlineLevel="0" collapsed="false">
      <c r="A18" s="7" t="s">
        <v>264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6" t="s">
        <v>414</v>
      </c>
      <c r="C19" s="113" t="n">
        <f aca="false">Inputs!$E$18+Inputs!$E$19*(C$5-1)</f>
        <v>2</v>
      </c>
      <c r="D19" s="113" t="n">
        <f aca="false">Inputs!$E$18+Inputs!$E$19*(D$5-1)</f>
        <v>2</v>
      </c>
      <c r="E19" s="113" t="n">
        <f aca="false">Inputs!$E$18+Inputs!$E$19*(E$5-1)</f>
        <v>2</v>
      </c>
      <c r="F19" s="113" t="n">
        <f aca="false">Inputs!$E$18+Inputs!$E$19*(F$5-1)</f>
        <v>2</v>
      </c>
      <c r="G19" s="113" t="n">
        <f aca="false">Inputs!$E$18+Inputs!$E$19*(G$5-1)</f>
        <v>2</v>
      </c>
      <c r="H19" s="113" t="n">
        <f aca="false">Inputs!$E$18+Inputs!$E$19*(H$5-1)</f>
        <v>2</v>
      </c>
      <c r="I19" s="113" t="n">
        <f aca="false">Inputs!$E$18+Inputs!$E$19*(I$5-1)</f>
        <v>2</v>
      </c>
      <c r="J19" s="113" t="n">
        <f aca="false">Inputs!$E$18+Inputs!$E$19*(J$5-1)</f>
        <v>2</v>
      </c>
      <c r="K19" s="113" t="n">
        <f aca="false">Inputs!$E$18+Inputs!$E$19*(K$5-1)</f>
        <v>2</v>
      </c>
      <c r="L19" s="113" t="n">
        <f aca="false">Inputs!$E$18+Inputs!$E$19*(L$5-1)</f>
        <v>2</v>
      </c>
      <c r="M19" s="113" t="n">
        <f aca="false">Inputs!$E$18+Inputs!$E$19*(M$5-1)</f>
        <v>2</v>
      </c>
      <c r="N19" s="113" t="n">
        <f aca="false">Inputs!$E$18+Inputs!$E$19*(N$5-1)</f>
        <v>2</v>
      </c>
      <c r="O19" s="113" t="n">
        <f aca="false">Inputs!$E$18+Inputs!$E$19*(O$5-1)</f>
        <v>3</v>
      </c>
      <c r="P19" s="113" t="n">
        <f aca="false">Inputs!$E$18+Inputs!$E$19*(P$5-1)</f>
        <v>3</v>
      </c>
      <c r="Q19" s="113" t="n">
        <f aca="false">Inputs!$E$18+Inputs!$E$19*(Q$5-1)</f>
        <v>3</v>
      </c>
      <c r="R19" s="113" t="n">
        <f aca="false">Inputs!$E$18+Inputs!$E$19*(R$5-1)</f>
        <v>3</v>
      </c>
      <c r="S19" s="113" t="n">
        <f aca="false">Inputs!$E$18+Inputs!$E$19*(S$5-1)</f>
        <v>3</v>
      </c>
      <c r="T19" s="113" t="n">
        <f aca="false">Inputs!$E$18+Inputs!$E$19*(T$5-1)</f>
        <v>3</v>
      </c>
      <c r="U19" s="113" t="n">
        <f aca="false">Inputs!$E$18+Inputs!$E$19*(U$5-1)</f>
        <v>3</v>
      </c>
      <c r="V19" s="113" t="n">
        <f aca="false">Inputs!$E$18+Inputs!$E$19*(V$5-1)</f>
        <v>3</v>
      </c>
      <c r="W19" s="113" t="n">
        <f aca="false">Inputs!$E$18+Inputs!$E$19*(W$5-1)</f>
        <v>3</v>
      </c>
      <c r="X19" s="113" t="n">
        <f aca="false">Inputs!$E$18+Inputs!$E$19*(X$5-1)</f>
        <v>3</v>
      </c>
      <c r="Y19" s="113" t="n">
        <f aca="false">Inputs!$E$18+Inputs!$E$19*(Y$5-1)</f>
        <v>3</v>
      </c>
      <c r="Z19" s="113" t="n">
        <f aca="false">Inputs!$E$18+Inputs!$E$19*(Z$5-1)</f>
        <v>3</v>
      </c>
      <c r="AA19" s="113" t="n">
        <f aca="false">Inputs!$E$18+Inputs!$E$19*(AA$5-1)</f>
        <v>4</v>
      </c>
      <c r="AB19" s="113" t="n">
        <f aca="false">Inputs!$E$18+Inputs!$E$19*(AB$5-1)</f>
        <v>4</v>
      </c>
      <c r="AC19" s="113" t="n">
        <f aca="false">Inputs!$E$18+Inputs!$E$19*(AC$5-1)</f>
        <v>4</v>
      </c>
      <c r="AD19" s="113" t="n">
        <f aca="false">Inputs!$E$18+Inputs!$E$19*(AD$5-1)</f>
        <v>4</v>
      </c>
      <c r="AE19" s="113" t="n">
        <f aca="false">Inputs!$E$18+Inputs!$E$19*(AE$5-1)</f>
        <v>4</v>
      </c>
      <c r="AF19" s="113" t="n">
        <f aca="false">Inputs!$E$18+Inputs!$E$19*(AF$5-1)</f>
        <v>4</v>
      </c>
      <c r="AG19" s="113" t="n">
        <f aca="false">Inputs!$E$18+Inputs!$E$19*(AG$5-1)</f>
        <v>4</v>
      </c>
      <c r="AH19" s="113" t="n">
        <f aca="false">Inputs!$E$18+Inputs!$E$19*(AH$5-1)</f>
        <v>4</v>
      </c>
      <c r="AI19" s="113" t="n">
        <f aca="false">Inputs!$E$18+Inputs!$E$19*(AI$5-1)</f>
        <v>4</v>
      </c>
      <c r="AJ19" s="113" t="n">
        <f aca="false">Inputs!$E$18+Inputs!$E$19*(AJ$5-1)</f>
        <v>4</v>
      </c>
      <c r="AK19" s="113" t="n">
        <f aca="false">Inputs!$E$18+Inputs!$E$19*(AK$5-1)</f>
        <v>4</v>
      </c>
      <c r="AL19" s="113" t="n">
        <f aca="false">Inputs!$E$18+Inputs!$E$19*(AL$5-1)</f>
        <v>4</v>
      </c>
      <c r="AM19" s="113" t="n">
        <f aca="false">Inputs!$E$18+Inputs!$E$19*(AM$5-1)</f>
        <v>5</v>
      </c>
      <c r="AN19" s="113" t="n">
        <f aca="false">Inputs!$E$18+Inputs!$E$19*(AN$5-1)</f>
        <v>5</v>
      </c>
      <c r="AO19" s="113" t="n">
        <f aca="false">Inputs!$E$18+Inputs!$E$19*(AO$5-1)</f>
        <v>5</v>
      </c>
      <c r="AP19" s="113" t="n">
        <f aca="false">Inputs!$E$18+Inputs!$E$19*(AP$5-1)</f>
        <v>5</v>
      </c>
      <c r="AQ19" s="113" t="n">
        <f aca="false">Inputs!$E$18+Inputs!$E$19*(AQ$5-1)</f>
        <v>5</v>
      </c>
      <c r="AR19" s="113" t="n">
        <f aca="false">Inputs!$E$18+Inputs!$E$19*(AR$5-1)</f>
        <v>5</v>
      </c>
      <c r="AS19" s="113" t="n">
        <f aca="false">Inputs!$E$18+Inputs!$E$19*(AS$5-1)</f>
        <v>5</v>
      </c>
      <c r="AT19" s="113" t="n">
        <f aca="false">Inputs!$E$18+Inputs!$E$19*(AT$5-1)</f>
        <v>5</v>
      </c>
      <c r="AU19" s="113" t="n">
        <f aca="false">Inputs!$E$18+Inputs!$E$19*(AU$5-1)</f>
        <v>5</v>
      </c>
      <c r="AV19" s="113" t="n">
        <f aca="false">Inputs!$E$18+Inputs!$E$19*(AV$5-1)</f>
        <v>5</v>
      </c>
      <c r="AW19" s="113" t="n">
        <f aca="false">Inputs!$E$18+Inputs!$E$19*(AW$5-1)</f>
        <v>5</v>
      </c>
      <c r="AX19" s="113" t="n">
        <f aca="false">Inputs!$E$18+Inputs!$E$19*(AX$5-1)</f>
        <v>5</v>
      </c>
      <c r="AY19" s="113" t="n">
        <f aca="false">Inputs!$E$18+Inputs!$E$19*(AY$5-1)</f>
        <v>6</v>
      </c>
      <c r="AZ19" s="113" t="n">
        <f aca="false">Inputs!$E$18+Inputs!$E$19*(AZ$5-1)</f>
        <v>6</v>
      </c>
      <c r="BA19" s="113" t="n">
        <f aca="false">Inputs!$E$18+Inputs!$E$19*(BA$5-1)</f>
        <v>6</v>
      </c>
      <c r="BB19" s="113" t="n">
        <f aca="false">Inputs!$E$18+Inputs!$E$19*(BB$5-1)</f>
        <v>6</v>
      </c>
      <c r="BC19" s="113" t="n">
        <f aca="false">Inputs!$E$18+Inputs!$E$19*(BC$5-1)</f>
        <v>6</v>
      </c>
      <c r="BD19" s="113" t="n">
        <f aca="false">Inputs!$E$18+Inputs!$E$19*(BD$5-1)</f>
        <v>6</v>
      </c>
      <c r="BE19" s="113" t="n">
        <f aca="false">Inputs!$E$18+Inputs!$E$19*(BE$5-1)</f>
        <v>6</v>
      </c>
      <c r="BF19" s="113" t="n">
        <f aca="false">Inputs!$E$18+Inputs!$E$19*(BF$5-1)</f>
        <v>6</v>
      </c>
      <c r="BG19" s="113" t="n">
        <f aca="false">Inputs!$E$18+Inputs!$E$19*(BG$5-1)</f>
        <v>6</v>
      </c>
      <c r="BH19" s="113" t="n">
        <f aca="false">Inputs!$E$18+Inputs!$E$19*(BH$5-1)</f>
        <v>6</v>
      </c>
      <c r="BI19" s="113" t="n">
        <f aca="false">Inputs!$E$18+Inputs!$E$19*(BI$5-1)</f>
        <v>6</v>
      </c>
      <c r="BJ19" s="113" t="n">
        <f aca="false">Inputs!$E$18+Inputs!$E$19*(BJ$5-1)</f>
        <v>6</v>
      </c>
    </row>
    <row r="20" customFormat="false" ht="15" hidden="false" customHeight="false" outlineLevel="0" collapsed="false">
      <c r="A20" s="4" t="s">
        <v>59</v>
      </c>
      <c r="C20" s="71" t="n">
        <f aca="false">C19*Inputs!$E$20*Inputs!$E$21*(1+Inputs!$E$22)^(C$5-1)/12*1*C8</f>
        <v>88125</v>
      </c>
      <c r="D20" s="71" t="n">
        <f aca="false">D19*Inputs!$E$20*Inputs!$E$21*(1+Inputs!$E$22)^(D$5-1)/12*1*D8</f>
        <v>88125</v>
      </c>
      <c r="E20" s="71" t="n">
        <f aca="false">E19*Inputs!$E$20*Inputs!$E$21*(1+Inputs!$E$22)^(E$5-1)/12*1*E8</f>
        <v>88125</v>
      </c>
      <c r="F20" s="71" t="n">
        <f aca="false">F19*Inputs!$E$20*Inputs!$E$21*(1+Inputs!$E$22)^(F$5-1)/12*1*F8</f>
        <v>88125</v>
      </c>
      <c r="G20" s="71" t="n">
        <f aca="false">G19*Inputs!$E$20*Inputs!$E$21*(1+Inputs!$E$22)^(G$5-1)/12*1*G8</f>
        <v>88125</v>
      </c>
      <c r="H20" s="71" t="n">
        <f aca="false">H19*Inputs!$E$20*Inputs!$E$21*(1+Inputs!$E$22)^(H$5-1)/12*1*H8</f>
        <v>88125</v>
      </c>
      <c r="I20" s="71" t="n">
        <f aca="false">I19*Inputs!$E$20*Inputs!$E$21*(1+Inputs!$E$22)^(I$5-1)/12*1*I8</f>
        <v>88125</v>
      </c>
      <c r="J20" s="71" t="n">
        <f aca="false">J19*Inputs!$E$20*Inputs!$E$21*(1+Inputs!$E$22)^(J$5-1)/12*1*J8</f>
        <v>88125</v>
      </c>
      <c r="K20" s="71" t="n">
        <f aca="false">K19*Inputs!$E$20*Inputs!$E$21*(1+Inputs!$E$22)^(K$5-1)/12*1*K8</f>
        <v>88125</v>
      </c>
      <c r="L20" s="71" t="n">
        <f aca="false">L19*Inputs!$E$20*Inputs!$E$21*(1+Inputs!$E$22)^(L$5-1)/12*1*L8</f>
        <v>88125</v>
      </c>
      <c r="M20" s="71" t="n">
        <f aca="false">M19*Inputs!$E$20*Inputs!$E$21*(1+Inputs!$E$22)^(M$5-1)/12*1*M8</f>
        <v>121875</v>
      </c>
      <c r="N20" s="71" t="n">
        <f aca="false">N19*Inputs!$E$20*Inputs!$E$21*(1+Inputs!$E$22)^(N$5-1)/12*1*N8</f>
        <v>121875</v>
      </c>
      <c r="O20" s="71" t="n">
        <f aca="false">O19*Inputs!$E$20*Inputs!$E$21*(1+Inputs!$E$22)^(O$5-1)/12*1*O8</f>
        <v>134831.25</v>
      </c>
      <c r="P20" s="71" t="n">
        <f aca="false">P19*Inputs!$E$20*Inputs!$E$21*(1+Inputs!$E$22)^(P$5-1)/12*1*P8</f>
        <v>134831.25</v>
      </c>
      <c r="Q20" s="71" t="n">
        <f aca="false">Q19*Inputs!$E$20*Inputs!$E$21*(1+Inputs!$E$22)^(Q$5-1)/12*1*Q8</f>
        <v>134831.25</v>
      </c>
      <c r="R20" s="71" t="n">
        <f aca="false">R19*Inputs!$E$20*Inputs!$E$21*(1+Inputs!$E$22)^(R$5-1)/12*1*R8</f>
        <v>134831.25</v>
      </c>
      <c r="S20" s="71" t="n">
        <f aca="false">S19*Inputs!$E$20*Inputs!$E$21*(1+Inputs!$E$22)^(S$5-1)/12*1*S8</f>
        <v>134831.25</v>
      </c>
      <c r="T20" s="71" t="n">
        <f aca="false">T19*Inputs!$E$20*Inputs!$E$21*(1+Inputs!$E$22)^(T$5-1)/12*1*T8</f>
        <v>134831.25</v>
      </c>
      <c r="U20" s="71" t="n">
        <f aca="false">U19*Inputs!$E$20*Inputs!$E$21*(1+Inputs!$E$22)^(U$5-1)/12*1*U8</f>
        <v>134831.25</v>
      </c>
      <c r="V20" s="71" t="n">
        <f aca="false">V19*Inputs!$E$20*Inputs!$E$21*(1+Inputs!$E$22)^(V$5-1)/12*1*V8</f>
        <v>134831.25</v>
      </c>
      <c r="W20" s="71" t="n">
        <f aca="false">W19*Inputs!$E$20*Inputs!$E$21*(1+Inputs!$E$22)^(W$5-1)/12*1*W8</f>
        <v>134831.25</v>
      </c>
      <c r="X20" s="71" t="n">
        <f aca="false">X19*Inputs!$E$20*Inputs!$E$21*(1+Inputs!$E$22)^(X$5-1)/12*1*X8</f>
        <v>134831.25</v>
      </c>
      <c r="Y20" s="71" t="n">
        <f aca="false">Y19*Inputs!$E$20*Inputs!$E$21*(1+Inputs!$E$22)^(Y$5-1)/12*1*Y8</f>
        <v>186468.75</v>
      </c>
      <c r="Z20" s="71" t="n">
        <f aca="false">Z19*Inputs!$E$20*Inputs!$E$21*(1+Inputs!$E$22)^(Z$5-1)/12*1*Z8</f>
        <v>186468.75</v>
      </c>
      <c r="AA20" s="71" t="n">
        <f aca="false">AA19*Inputs!$E$20*Inputs!$E$21*(1+Inputs!$E$22)^(AA$5-1)/12*1*AA8</f>
        <v>183370.5</v>
      </c>
      <c r="AB20" s="71" t="n">
        <f aca="false">AB19*Inputs!$E$20*Inputs!$E$21*(1+Inputs!$E$22)^(AB$5-1)/12*1*AB8</f>
        <v>183370.5</v>
      </c>
      <c r="AC20" s="71" t="n">
        <f aca="false">AC19*Inputs!$E$20*Inputs!$E$21*(1+Inputs!$E$22)^(AC$5-1)/12*1*AC8</f>
        <v>183370.5</v>
      </c>
      <c r="AD20" s="71" t="n">
        <f aca="false">AD19*Inputs!$E$20*Inputs!$E$21*(1+Inputs!$E$22)^(AD$5-1)/12*1*AD8</f>
        <v>183370.5</v>
      </c>
      <c r="AE20" s="71" t="n">
        <f aca="false">AE19*Inputs!$E$20*Inputs!$E$21*(1+Inputs!$E$22)^(AE$5-1)/12*1*AE8</f>
        <v>183370.5</v>
      </c>
      <c r="AF20" s="71" t="n">
        <f aca="false">AF19*Inputs!$E$20*Inputs!$E$21*(1+Inputs!$E$22)^(AF$5-1)/12*1*AF8</f>
        <v>183370.5</v>
      </c>
      <c r="AG20" s="71" t="n">
        <f aca="false">AG19*Inputs!$E$20*Inputs!$E$21*(1+Inputs!$E$22)^(AG$5-1)/12*1*AG8</f>
        <v>183370.5</v>
      </c>
      <c r="AH20" s="71" t="n">
        <f aca="false">AH19*Inputs!$E$20*Inputs!$E$21*(1+Inputs!$E$22)^(AH$5-1)/12*1*AH8</f>
        <v>183370.5</v>
      </c>
      <c r="AI20" s="71" t="n">
        <f aca="false">AI19*Inputs!$E$20*Inputs!$E$21*(1+Inputs!$E$22)^(AI$5-1)/12*1*AI8</f>
        <v>183370.5</v>
      </c>
      <c r="AJ20" s="71" t="n">
        <f aca="false">AJ19*Inputs!$E$20*Inputs!$E$21*(1+Inputs!$E$22)^(AJ$5-1)/12*1*AJ8</f>
        <v>183370.5</v>
      </c>
      <c r="AK20" s="71" t="n">
        <f aca="false">AK19*Inputs!$E$20*Inputs!$E$21*(1+Inputs!$E$22)^(AK$5-1)/12*1*AK8</f>
        <v>253597.5</v>
      </c>
      <c r="AL20" s="71" t="n">
        <f aca="false">AL19*Inputs!$E$20*Inputs!$E$21*(1+Inputs!$E$22)^(AL$5-1)/12*1*AL8</f>
        <v>253597.5</v>
      </c>
      <c r="AM20" s="71" t="n">
        <f aca="false">AM19*Inputs!$E$20*Inputs!$E$21*(1+Inputs!$E$22)^(AM$5-1)/12*1*AM8</f>
        <v>233797.3875</v>
      </c>
      <c r="AN20" s="71" t="n">
        <f aca="false">AN19*Inputs!$E$20*Inputs!$E$21*(1+Inputs!$E$22)^(AN$5-1)/12*1*AN8</f>
        <v>233797.3875</v>
      </c>
      <c r="AO20" s="71" t="n">
        <f aca="false">AO19*Inputs!$E$20*Inputs!$E$21*(1+Inputs!$E$22)^(AO$5-1)/12*1*AO8</f>
        <v>233797.3875</v>
      </c>
      <c r="AP20" s="71" t="n">
        <f aca="false">AP19*Inputs!$E$20*Inputs!$E$21*(1+Inputs!$E$22)^(AP$5-1)/12*1*AP8</f>
        <v>233797.3875</v>
      </c>
      <c r="AQ20" s="71" t="n">
        <f aca="false">AQ19*Inputs!$E$20*Inputs!$E$21*(1+Inputs!$E$22)^(AQ$5-1)/12*1*AQ8</f>
        <v>233797.3875</v>
      </c>
      <c r="AR20" s="71" t="n">
        <f aca="false">AR19*Inputs!$E$20*Inputs!$E$21*(1+Inputs!$E$22)^(AR$5-1)/12*1*AR8</f>
        <v>233797.3875</v>
      </c>
      <c r="AS20" s="71" t="n">
        <f aca="false">AS19*Inputs!$E$20*Inputs!$E$21*(1+Inputs!$E$22)^(AS$5-1)/12*1*AS8</f>
        <v>233797.3875</v>
      </c>
      <c r="AT20" s="71" t="n">
        <f aca="false">AT19*Inputs!$E$20*Inputs!$E$21*(1+Inputs!$E$22)^(AT$5-1)/12*1*AT8</f>
        <v>233797.3875</v>
      </c>
      <c r="AU20" s="71" t="n">
        <f aca="false">AU19*Inputs!$E$20*Inputs!$E$21*(1+Inputs!$E$22)^(AU$5-1)/12*1*AU8</f>
        <v>233797.3875</v>
      </c>
      <c r="AV20" s="71" t="n">
        <f aca="false">AV19*Inputs!$E$20*Inputs!$E$21*(1+Inputs!$E$22)^(AV$5-1)/12*1*AV8</f>
        <v>233797.3875</v>
      </c>
      <c r="AW20" s="71" t="n">
        <f aca="false">AW19*Inputs!$E$20*Inputs!$E$21*(1+Inputs!$E$22)^(AW$5-1)/12*1*AW8</f>
        <v>323336.8125</v>
      </c>
      <c r="AX20" s="71" t="n">
        <f aca="false">AX19*Inputs!$E$20*Inputs!$E$21*(1+Inputs!$E$22)^(AX$5-1)/12*1*AX8</f>
        <v>323336.8125</v>
      </c>
      <c r="AY20" s="71" t="n">
        <f aca="false">AY19*Inputs!$E$20*Inputs!$E$21*(1+Inputs!$E$22)^(AY$5-1)/12*1*AY8</f>
        <v>286168.0023</v>
      </c>
      <c r="AZ20" s="71" t="n">
        <f aca="false">AZ19*Inputs!$E$20*Inputs!$E$21*(1+Inputs!$E$22)^(AZ$5-1)/12*1*AZ8</f>
        <v>286168.0023</v>
      </c>
      <c r="BA20" s="71" t="n">
        <f aca="false">BA19*Inputs!$E$20*Inputs!$E$21*(1+Inputs!$E$22)^(BA$5-1)/12*1*BA8</f>
        <v>286168.0023</v>
      </c>
      <c r="BB20" s="71" t="n">
        <f aca="false">BB19*Inputs!$E$20*Inputs!$E$21*(1+Inputs!$E$22)^(BB$5-1)/12*1*BB8</f>
        <v>286168.0023</v>
      </c>
      <c r="BC20" s="71" t="n">
        <f aca="false">BC19*Inputs!$E$20*Inputs!$E$21*(1+Inputs!$E$22)^(BC$5-1)/12*1*BC8</f>
        <v>286168.0023</v>
      </c>
      <c r="BD20" s="71" t="n">
        <f aca="false">BD19*Inputs!$E$20*Inputs!$E$21*(1+Inputs!$E$22)^(BD$5-1)/12*1*BD8</f>
        <v>286168.0023</v>
      </c>
      <c r="BE20" s="71" t="n">
        <f aca="false">BE19*Inputs!$E$20*Inputs!$E$21*(1+Inputs!$E$22)^(BE$5-1)/12*1*BE8</f>
        <v>286168.0023</v>
      </c>
      <c r="BF20" s="71" t="n">
        <f aca="false">BF19*Inputs!$E$20*Inputs!$E$21*(1+Inputs!$E$22)^(BF$5-1)/12*1*BF8</f>
        <v>286168.0023</v>
      </c>
      <c r="BG20" s="71" t="n">
        <f aca="false">BG19*Inputs!$E$20*Inputs!$E$21*(1+Inputs!$E$22)^(BG$5-1)/12*1*BG8</f>
        <v>286168.0023</v>
      </c>
      <c r="BH20" s="71" t="n">
        <f aca="false">BH19*Inputs!$E$20*Inputs!$E$21*(1+Inputs!$E$22)^(BH$5-1)/12*1*BH8</f>
        <v>286168.0023</v>
      </c>
      <c r="BI20" s="71" t="n">
        <f aca="false">BI19*Inputs!$E$20*Inputs!$E$21*(1+Inputs!$E$22)^(BI$5-1)/12*1*BI8</f>
        <v>395764.2585</v>
      </c>
      <c r="BJ20" s="71" t="n">
        <f aca="false">BJ19*Inputs!$E$20*Inputs!$E$21*(1+Inputs!$E$22)^(BJ$5-1)/12*1*BJ8</f>
        <v>395764.2585</v>
      </c>
    </row>
    <row r="22" customFormat="false" ht="15.75" hidden="false" customHeight="true" outlineLevel="0" collapsed="false">
      <c r="A22" s="7" t="s">
        <v>415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110" t="s">
        <v>416</v>
      </c>
      <c r="C23" s="66" t="n">
        <f aca="false">C16+C20</f>
        <v>492057.857142857</v>
      </c>
      <c r="D23" s="66" t="n">
        <f aca="false">D16+D20</f>
        <v>492057.857142857</v>
      </c>
      <c r="E23" s="66" t="n">
        <f aca="false">E16+E20</f>
        <v>492057.857142857</v>
      </c>
      <c r="F23" s="66" t="n">
        <f aca="false">F16+F20</f>
        <v>492057.857142857</v>
      </c>
      <c r="G23" s="66" t="n">
        <f aca="false">G16+G20</f>
        <v>492057.857142857</v>
      </c>
      <c r="H23" s="66" t="n">
        <f aca="false">H16+H20</f>
        <v>492057.857142857</v>
      </c>
      <c r="I23" s="66" t="n">
        <f aca="false">I16+I20</f>
        <v>492057.857142857</v>
      </c>
      <c r="J23" s="66" t="n">
        <f aca="false">J16+J20</f>
        <v>492057.857142857</v>
      </c>
      <c r="K23" s="66" t="n">
        <f aca="false">K16+K20</f>
        <v>492057.857142857</v>
      </c>
      <c r="L23" s="66" t="n">
        <f aca="false">L16+L20</f>
        <v>492057.857142857</v>
      </c>
      <c r="M23" s="66" t="n">
        <f aca="false">M16+M20</f>
        <v>603567.857142857</v>
      </c>
      <c r="N23" s="66" t="n">
        <f aca="false">N16+N20</f>
        <v>603567.857142857</v>
      </c>
      <c r="O23" s="66" t="n">
        <f aca="false">O16+O20</f>
        <v>639600.107142857</v>
      </c>
      <c r="P23" s="66" t="n">
        <f aca="false">P16+P20</f>
        <v>639600.107142857</v>
      </c>
      <c r="Q23" s="66" t="n">
        <f aca="false">Q16+Q20</f>
        <v>639600.107142857</v>
      </c>
      <c r="R23" s="66" t="n">
        <f aca="false">R16+R20</f>
        <v>639600.107142857</v>
      </c>
      <c r="S23" s="66" t="n">
        <f aca="false">S16+S20</f>
        <v>639600.107142857</v>
      </c>
      <c r="T23" s="66" t="n">
        <f aca="false">T16+T20</f>
        <v>639600.107142857</v>
      </c>
      <c r="U23" s="66" t="n">
        <f aca="false">U16+U20</f>
        <v>639600.107142857</v>
      </c>
      <c r="V23" s="66" t="n">
        <f aca="false">V16+V20</f>
        <v>639600.107142857</v>
      </c>
      <c r="W23" s="66" t="n">
        <f aca="false">W16+W20</f>
        <v>639600.107142857</v>
      </c>
      <c r="X23" s="66" t="n">
        <f aca="false">X16+X20</f>
        <v>639600.107142857</v>
      </c>
      <c r="Y23" s="66" t="n">
        <f aca="false">Y16+Y20</f>
        <v>790381.607142857</v>
      </c>
      <c r="Z23" s="66" t="n">
        <f aca="false">Z16+Z20</f>
        <v>790381.607142857</v>
      </c>
      <c r="AA23" s="66" t="n">
        <f aca="false">AA16+AA20</f>
        <v>814410.257142857</v>
      </c>
      <c r="AB23" s="66" t="n">
        <f aca="false">AB16+AB20</f>
        <v>814410.257142857</v>
      </c>
      <c r="AC23" s="66" t="n">
        <f aca="false">AC16+AC20</f>
        <v>814410.257142857</v>
      </c>
      <c r="AD23" s="66" t="n">
        <f aca="false">AD16+AD20</f>
        <v>814410.257142857</v>
      </c>
      <c r="AE23" s="66" t="n">
        <f aca="false">AE16+AE20</f>
        <v>814410.257142857</v>
      </c>
      <c r="AF23" s="66" t="n">
        <f aca="false">AF16+AF20</f>
        <v>814410.257142857</v>
      </c>
      <c r="AG23" s="66" t="n">
        <f aca="false">AG16+AG20</f>
        <v>814410.257142857</v>
      </c>
      <c r="AH23" s="66" t="n">
        <f aca="false">AH16+AH20</f>
        <v>814410.257142857</v>
      </c>
      <c r="AI23" s="66" t="n">
        <f aca="false">AI16+AI20</f>
        <v>814410.257142857</v>
      </c>
      <c r="AJ23" s="66" t="n">
        <f aca="false">AJ16+AJ20</f>
        <v>814410.257142857</v>
      </c>
      <c r="AK23" s="66" t="n">
        <f aca="false">AK16+AK20</f>
        <v>1011045.85714286</v>
      </c>
      <c r="AL23" s="66" t="n">
        <f aca="false">AL16+AL20</f>
        <v>1011045.85714286</v>
      </c>
      <c r="AM23" s="66" t="n">
        <f aca="false">AM16+AM20</f>
        <v>1023023.46214286</v>
      </c>
      <c r="AN23" s="66" t="n">
        <f aca="false">AN16+AN20</f>
        <v>1023023.46214286</v>
      </c>
      <c r="AO23" s="66" t="n">
        <f aca="false">AO16+AO20</f>
        <v>1023023.46214286</v>
      </c>
      <c r="AP23" s="66" t="n">
        <f aca="false">AP16+AP20</f>
        <v>1023023.46214286</v>
      </c>
      <c r="AQ23" s="66" t="n">
        <f aca="false">AQ16+AQ20</f>
        <v>1023023.46214286</v>
      </c>
      <c r="AR23" s="66" t="n">
        <f aca="false">AR16+AR20</f>
        <v>1023023.46214286</v>
      </c>
      <c r="AS23" s="66" t="n">
        <f aca="false">AS16+AS20</f>
        <v>1023023.46214286</v>
      </c>
      <c r="AT23" s="66" t="n">
        <f aca="false">AT16+AT20</f>
        <v>1023023.46214286</v>
      </c>
      <c r="AU23" s="66" t="n">
        <f aca="false">AU16+AU20</f>
        <v>1023023.46214286</v>
      </c>
      <c r="AV23" s="66" t="n">
        <f aca="false">AV16+AV20</f>
        <v>1023023.46214286</v>
      </c>
      <c r="AW23" s="66" t="n">
        <f aca="false">AW16+AW20</f>
        <v>1273733.85214286</v>
      </c>
      <c r="AX23" s="66" t="n">
        <f aca="false">AX16+AX20</f>
        <v>1273733.85214286</v>
      </c>
      <c r="AY23" s="66" t="n">
        <f aca="false">AY16+AY20</f>
        <v>1273643.31783536</v>
      </c>
      <c r="AZ23" s="66" t="n">
        <f aca="false">AZ16+AZ20</f>
        <v>1273643.31783536</v>
      </c>
      <c r="BA23" s="66" t="n">
        <f aca="false">BA16+BA20</f>
        <v>1273643.31783536</v>
      </c>
      <c r="BB23" s="66" t="n">
        <f aca="false">BB16+BB20</f>
        <v>1273643.31783536</v>
      </c>
      <c r="BC23" s="66" t="n">
        <f aca="false">BC16+BC20</f>
        <v>1273643.31783536</v>
      </c>
      <c r="BD23" s="66" t="n">
        <f aca="false">BD16+BD20</f>
        <v>1273643.31783536</v>
      </c>
      <c r="BE23" s="66" t="n">
        <f aca="false">BE16+BE20</f>
        <v>1273643.31783536</v>
      </c>
      <c r="BF23" s="66" t="n">
        <f aca="false">BF16+BF20</f>
        <v>1273643.31783536</v>
      </c>
      <c r="BG23" s="66" t="n">
        <f aca="false">BG16+BG20</f>
        <v>1273643.31783536</v>
      </c>
      <c r="BH23" s="66" t="n">
        <f aca="false">BH16+BH20</f>
        <v>1273643.31783536</v>
      </c>
      <c r="BI23" s="66" t="n">
        <f aca="false">BI16+BI20</f>
        <v>1588732.55441036</v>
      </c>
      <c r="BJ23" s="66" t="n">
        <f aca="false">BJ16+BJ20</f>
        <v>1588732.55441036</v>
      </c>
    </row>
    <row r="24" customFormat="false" ht="15" hidden="false" customHeight="false" outlineLevel="0" collapsed="false">
      <c r="A24" s="6" t="s">
        <v>417</v>
      </c>
      <c r="C24" s="65" t="n">
        <f aca="false">-C23*Inputs!$E$29</f>
        <v>-49205.7857142857</v>
      </c>
      <c r="D24" s="65" t="n">
        <f aca="false">-D23*Inputs!$E$29</f>
        <v>-49205.7857142857</v>
      </c>
      <c r="E24" s="65" t="n">
        <f aca="false">-E23*Inputs!$E$29</f>
        <v>-49205.7857142857</v>
      </c>
      <c r="F24" s="65" t="n">
        <f aca="false">-F23*Inputs!$E$29</f>
        <v>-49205.7857142857</v>
      </c>
      <c r="G24" s="65" t="n">
        <f aca="false">-G23*Inputs!$E$29</f>
        <v>-49205.7857142857</v>
      </c>
      <c r="H24" s="65" t="n">
        <f aca="false">-H23*Inputs!$E$29</f>
        <v>-49205.7857142857</v>
      </c>
      <c r="I24" s="65" t="n">
        <f aca="false">-I23*Inputs!$E$29</f>
        <v>-49205.7857142857</v>
      </c>
      <c r="J24" s="65" t="n">
        <f aca="false">-J23*Inputs!$E$29</f>
        <v>-49205.7857142857</v>
      </c>
      <c r="K24" s="65" t="n">
        <f aca="false">-K23*Inputs!$E$29</f>
        <v>-49205.7857142857</v>
      </c>
      <c r="L24" s="65" t="n">
        <f aca="false">-L23*Inputs!$E$29</f>
        <v>-49205.7857142857</v>
      </c>
      <c r="M24" s="65" t="n">
        <f aca="false">-M23*Inputs!$E$29</f>
        <v>-60356.7857142857</v>
      </c>
      <c r="N24" s="65" t="n">
        <f aca="false">-N23*Inputs!$E$29</f>
        <v>-60356.7857142857</v>
      </c>
      <c r="O24" s="65" t="n">
        <f aca="false">-O23*Inputs!$E$29</f>
        <v>-63960.0107142857</v>
      </c>
      <c r="P24" s="65" t="n">
        <f aca="false">-P23*Inputs!$E$29</f>
        <v>-63960.0107142857</v>
      </c>
      <c r="Q24" s="65" t="n">
        <f aca="false">-Q23*Inputs!$E$29</f>
        <v>-63960.0107142857</v>
      </c>
      <c r="R24" s="65" t="n">
        <f aca="false">-R23*Inputs!$E$29</f>
        <v>-63960.0107142857</v>
      </c>
      <c r="S24" s="65" t="n">
        <f aca="false">-S23*Inputs!$E$29</f>
        <v>-63960.0107142857</v>
      </c>
      <c r="T24" s="65" t="n">
        <f aca="false">-T23*Inputs!$E$29</f>
        <v>-63960.0107142857</v>
      </c>
      <c r="U24" s="65" t="n">
        <f aca="false">-U23*Inputs!$E$29</f>
        <v>-63960.0107142857</v>
      </c>
      <c r="V24" s="65" t="n">
        <f aca="false">-V23*Inputs!$E$29</f>
        <v>-63960.0107142857</v>
      </c>
      <c r="W24" s="65" t="n">
        <f aca="false">-W23*Inputs!$E$29</f>
        <v>-63960.0107142857</v>
      </c>
      <c r="X24" s="65" t="n">
        <f aca="false">-X23*Inputs!$E$29</f>
        <v>-63960.0107142857</v>
      </c>
      <c r="Y24" s="65" t="n">
        <f aca="false">-Y23*Inputs!$E$29</f>
        <v>-79038.1607142857</v>
      </c>
      <c r="Z24" s="65" t="n">
        <f aca="false">-Z23*Inputs!$E$29</f>
        <v>-79038.1607142857</v>
      </c>
      <c r="AA24" s="65" t="n">
        <f aca="false">-AA23*Inputs!$E$29</f>
        <v>-81441.0257142857</v>
      </c>
      <c r="AB24" s="65" t="n">
        <f aca="false">-AB23*Inputs!$E$29</f>
        <v>-81441.0257142857</v>
      </c>
      <c r="AC24" s="65" t="n">
        <f aca="false">-AC23*Inputs!$E$29</f>
        <v>-81441.0257142857</v>
      </c>
      <c r="AD24" s="65" t="n">
        <f aca="false">-AD23*Inputs!$E$29</f>
        <v>-81441.0257142857</v>
      </c>
      <c r="AE24" s="65" t="n">
        <f aca="false">-AE23*Inputs!$E$29</f>
        <v>-81441.0257142857</v>
      </c>
      <c r="AF24" s="65" t="n">
        <f aca="false">-AF23*Inputs!$E$29</f>
        <v>-81441.0257142857</v>
      </c>
      <c r="AG24" s="65" t="n">
        <f aca="false">-AG23*Inputs!$E$29</f>
        <v>-81441.0257142857</v>
      </c>
      <c r="AH24" s="65" t="n">
        <f aca="false">-AH23*Inputs!$E$29</f>
        <v>-81441.0257142857</v>
      </c>
      <c r="AI24" s="65" t="n">
        <f aca="false">-AI23*Inputs!$E$29</f>
        <v>-81441.0257142857</v>
      </c>
      <c r="AJ24" s="65" t="n">
        <f aca="false">-AJ23*Inputs!$E$29</f>
        <v>-81441.0257142857</v>
      </c>
      <c r="AK24" s="65" t="n">
        <f aca="false">-AK23*Inputs!$E$29</f>
        <v>-101104.585714286</v>
      </c>
      <c r="AL24" s="65" t="n">
        <f aca="false">-AL23*Inputs!$E$29</f>
        <v>-101104.585714286</v>
      </c>
      <c r="AM24" s="65" t="n">
        <f aca="false">-AM23*Inputs!$E$29</f>
        <v>-102302.346214286</v>
      </c>
      <c r="AN24" s="65" t="n">
        <f aca="false">-AN23*Inputs!$E$29</f>
        <v>-102302.346214286</v>
      </c>
      <c r="AO24" s="65" t="n">
        <f aca="false">-AO23*Inputs!$E$29</f>
        <v>-102302.346214286</v>
      </c>
      <c r="AP24" s="65" t="n">
        <f aca="false">-AP23*Inputs!$E$29</f>
        <v>-102302.346214286</v>
      </c>
      <c r="AQ24" s="65" t="n">
        <f aca="false">-AQ23*Inputs!$E$29</f>
        <v>-102302.346214286</v>
      </c>
      <c r="AR24" s="65" t="n">
        <f aca="false">-AR23*Inputs!$E$29</f>
        <v>-102302.346214286</v>
      </c>
      <c r="AS24" s="65" t="n">
        <f aca="false">-AS23*Inputs!$E$29</f>
        <v>-102302.346214286</v>
      </c>
      <c r="AT24" s="65" t="n">
        <f aca="false">-AT23*Inputs!$E$29</f>
        <v>-102302.346214286</v>
      </c>
      <c r="AU24" s="65" t="n">
        <f aca="false">-AU23*Inputs!$E$29</f>
        <v>-102302.346214286</v>
      </c>
      <c r="AV24" s="65" t="n">
        <f aca="false">-AV23*Inputs!$E$29</f>
        <v>-102302.346214286</v>
      </c>
      <c r="AW24" s="65" t="n">
        <f aca="false">-AW23*Inputs!$E$29</f>
        <v>-127373.385214286</v>
      </c>
      <c r="AX24" s="65" t="n">
        <f aca="false">-AX23*Inputs!$E$29</f>
        <v>-127373.385214286</v>
      </c>
      <c r="AY24" s="65" t="n">
        <f aca="false">-AY23*Inputs!$E$29</f>
        <v>-127364.331783536</v>
      </c>
      <c r="AZ24" s="65" t="n">
        <f aca="false">-AZ23*Inputs!$E$29</f>
        <v>-127364.331783536</v>
      </c>
      <c r="BA24" s="65" t="n">
        <f aca="false">-BA23*Inputs!$E$29</f>
        <v>-127364.331783536</v>
      </c>
      <c r="BB24" s="65" t="n">
        <f aca="false">-BB23*Inputs!$E$29</f>
        <v>-127364.331783536</v>
      </c>
      <c r="BC24" s="65" t="n">
        <f aca="false">-BC23*Inputs!$E$29</f>
        <v>-127364.331783536</v>
      </c>
      <c r="BD24" s="65" t="n">
        <f aca="false">-BD23*Inputs!$E$29</f>
        <v>-127364.331783536</v>
      </c>
      <c r="BE24" s="65" t="n">
        <f aca="false">-BE23*Inputs!$E$29</f>
        <v>-127364.331783536</v>
      </c>
      <c r="BF24" s="65" t="n">
        <f aca="false">-BF23*Inputs!$E$29</f>
        <v>-127364.331783536</v>
      </c>
      <c r="BG24" s="65" t="n">
        <f aca="false">-BG23*Inputs!$E$29</f>
        <v>-127364.331783536</v>
      </c>
      <c r="BH24" s="65" t="n">
        <f aca="false">-BH23*Inputs!$E$29</f>
        <v>-127364.331783536</v>
      </c>
      <c r="BI24" s="65" t="n">
        <f aca="false">-BI23*Inputs!$E$29</f>
        <v>-158873.255441036</v>
      </c>
      <c r="BJ24" s="65" t="n">
        <f aca="false">-BJ23*Inputs!$E$29</f>
        <v>-158873.255441036</v>
      </c>
    </row>
    <row r="25" customFormat="false" ht="15" hidden="false" customHeight="false" outlineLevel="0" collapsed="false">
      <c r="A25" s="110" t="s">
        <v>239</v>
      </c>
      <c r="C25" s="66" t="n">
        <f aca="false">C23+C24</f>
        <v>442852.071428571</v>
      </c>
      <c r="D25" s="66" t="n">
        <f aca="false">D23+D24</f>
        <v>442852.071428571</v>
      </c>
      <c r="E25" s="66" t="n">
        <f aca="false">E23+E24</f>
        <v>442852.071428571</v>
      </c>
      <c r="F25" s="66" t="n">
        <f aca="false">F23+F24</f>
        <v>442852.071428571</v>
      </c>
      <c r="G25" s="66" t="n">
        <f aca="false">G23+G24</f>
        <v>442852.071428571</v>
      </c>
      <c r="H25" s="66" t="n">
        <f aca="false">H23+H24</f>
        <v>442852.071428571</v>
      </c>
      <c r="I25" s="66" t="n">
        <f aca="false">I23+I24</f>
        <v>442852.071428571</v>
      </c>
      <c r="J25" s="66" t="n">
        <f aca="false">J23+J24</f>
        <v>442852.071428571</v>
      </c>
      <c r="K25" s="66" t="n">
        <f aca="false">K23+K24</f>
        <v>442852.071428571</v>
      </c>
      <c r="L25" s="66" t="n">
        <f aca="false">L23+L24</f>
        <v>442852.071428571</v>
      </c>
      <c r="M25" s="66" t="n">
        <f aca="false">M23+M24</f>
        <v>543211.071428572</v>
      </c>
      <c r="N25" s="66" t="n">
        <f aca="false">N23+N24</f>
        <v>543211.071428572</v>
      </c>
      <c r="O25" s="66" t="n">
        <f aca="false">O23+O24</f>
        <v>575640.096428572</v>
      </c>
      <c r="P25" s="66" t="n">
        <f aca="false">P23+P24</f>
        <v>575640.096428572</v>
      </c>
      <c r="Q25" s="66" t="n">
        <f aca="false">Q23+Q24</f>
        <v>575640.096428572</v>
      </c>
      <c r="R25" s="66" t="n">
        <f aca="false">R23+R24</f>
        <v>575640.096428572</v>
      </c>
      <c r="S25" s="66" t="n">
        <f aca="false">S23+S24</f>
        <v>575640.096428572</v>
      </c>
      <c r="T25" s="66" t="n">
        <f aca="false">T23+T24</f>
        <v>575640.096428572</v>
      </c>
      <c r="U25" s="66" t="n">
        <f aca="false">U23+U24</f>
        <v>575640.096428572</v>
      </c>
      <c r="V25" s="66" t="n">
        <f aca="false">V23+V24</f>
        <v>575640.096428572</v>
      </c>
      <c r="W25" s="66" t="n">
        <f aca="false">W23+W24</f>
        <v>575640.096428572</v>
      </c>
      <c r="X25" s="66" t="n">
        <f aca="false">X23+X24</f>
        <v>575640.096428572</v>
      </c>
      <c r="Y25" s="66" t="n">
        <f aca="false">Y23+Y24</f>
        <v>711343.446428572</v>
      </c>
      <c r="Z25" s="66" t="n">
        <f aca="false">Z23+Z24</f>
        <v>711343.446428572</v>
      </c>
      <c r="AA25" s="66" t="n">
        <f aca="false">AA23+AA24</f>
        <v>732969.231428572</v>
      </c>
      <c r="AB25" s="66" t="n">
        <f aca="false">AB23+AB24</f>
        <v>732969.231428572</v>
      </c>
      <c r="AC25" s="66" t="n">
        <f aca="false">AC23+AC24</f>
        <v>732969.231428572</v>
      </c>
      <c r="AD25" s="66" t="n">
        <f aca="false">AD23+AD24</f>
        <v>732969.231428572</v>
      </c>
      <c r="AE25" s="66" t="n">
        <f aca="false">AE23+AE24</f>
        <v>732969.231428572</v>
      </c>
      <c r="AF25" s="66" t="n">
        <f aca="false">AF23+AF24</f>
        <v>732969.231428572</v>
      </c>
      <c r="AG25" s="66" t="n">
        <f aca="false">AG23+AG24</f>
        <v>732969.231428572</v>
      </c>
      <c r="AH25" s="66" t="n">
        <f aca="false">AH23+AH24</f>
        <v>732969.231428572</v>
      </c>
      <c r="AI25" s="66" t="n">
        <f aca="false">AI23+AI24</f>
        <v>732969.231428572</v>
      </c>
      <c r="AJ25" s="66" t="n">
        <f aca="false">AJ23+AJ24</f>
        <v>732969.231428572</v>
      </c>
      <c r="AK25" s="66" t="n">
        <f aca="false">AK23+AK24</f>
        <v>909941.271428571</v>
      </c>
      <c r="AL25" s="66" t="n">
        <f aca="false">AL23+AL24</f>
        <v>909941.271428571</v>
      </c>
      <c r="AM25" s="66" t="n">
        <f aca="false">AM23+AM24</f>
        <v>920721.115928572</v>
      </c>
      <c r="AN25" s="66" t="n">
        <f aca="false">AN23+AN24</f>
        <v>920721.115928572</v>
      </c>
      <c r="AO25" s="66" t="n">
        <f aca="false">AO23+AO24</f>
        <v>920721.115928572</v>
      </c>
      <c r="AP25" s="66" t="n">
        <f aca="false">AP23+AP24</f>
        <v>920721.115928572</v>
      </c>
      <c r="AQ25" s="66" t="n">
        <f aca="false">AQ23+AQ24</f>
        <v>920721.115928572</v>
      </c>
      <c r="AR25" s="66" t="n">
        <f aca="false">AR23+AR24</f>
        <v>920721.115928572</v>
      </c>
      <c r="AS25" s="66" t="n">
        <f aca="false">AS23+AS24</f>
        <v>920721.115928572</v>
      </c>
      <c r="AT25" s="66" t="n">
        <f aca="false">AT23+AT24</f>
        <v>920721.115928572</v>
      </c>
      <c r="AU25" s="66" t="n">
        <f aca="false">AU23+AU24</f>
        <v>920721.115928572</v>
      </c>
      <c r="AV25" s="66" t="n">
        <f aca="false">AV23+AV24</f>
        <v>920721.115928572</v>
      </c>
      <c r="AW25" s="66" t="n">
        <f aca="false">AW23+AW24</f>
        <v>1146360.46692857</v>
      </c>
      <c r="AX25" s="66" t="n">
        <f aca="false">AX23+AX24</f>
        <v>1146360.46692857</v>
      </c>
      <c r="AY25" s="66" t="n">
        <f aca="false">AY23+AY24</f>
        <v>1146278.98605182</v>
      </c>
      <c r="AZ25" s="66" t="n">
        <f aca="false">AZ23+AZ24</f>
        <v>1146278.98605182</v>
      </c>
      <c r="BA25" s="66" t="n">
        <f aca="false">BA23+BA24</f>
        <v>1146278.98605182</v>
      </c>
      <c r="BB25" s="66" t="n">
        <f aca="false">BB23+BB24</f>
        <v>1146278.98605182</v>
      </c>
      <c r="BC25" s="66" t="n">
        <f aca="false">BC23+BC24</f>
        <v>1146278.98605182</v>
      </c>
      <c r="BD25" s="66" t="n">
        <f aca="false">BD23+BD24</f>
        <v>1146278.98605182</v>
      </c>
      <c r="BE25" s="66" t="n">
        <f aca="false">BE23+BE24</f>
        <v>1146278.98605182</v>
      </c>
      <c r="BF25" s="66" t="n">
        <f aca="false">BF23+BF24</f>
        <v>1146278.98605182</v>
      </c>
      <c r="BG25" s="66" t="n">
        <f aca="false">BG23+BG24</f>
        <v>1146278.98605182</v>
      </c>
      <c r="BH25" s="66" t="n">
        <f aca="false">BH23+BH24</f>
        <v>1146278.98605182</v>
      </c>
      <c r="BI25" s="66" t="n">
        <f aca="false">BI23+BI24</f>
        <v>1429859.29896932</v>
      </c>
      <c r="BJ25" s="66" t="n">
        <f aca="false">BJ23+BJ24</f>
        <v>1429859.29896932</v>
      </c>
    </row>
    <row r="26" customFormat="false" ht="15" hidden="false" customHeight="false" outlineLevel="0" collapsed="false">
      <c r="A26" s="6" t="s">
        <v>76</v>
      </c>
      <c r="C26" s="65" t="n">
        <f aca="false">-C25*Inputs!$E$30</f>
        <v>-185997.87</v>
      </c>
      <c r="D26" s="65" t="n">
        <f aca="false">-D25*Inputs!$E$30</f>
        <v>-185997.87</v>
      </c>
      <c r="E26" s="65" t="n">
        <f aca="false">-E25*Inputs!$E$30</f>
        <v>-185997.87</v>
      </c>
      <c r="F26" s="65" t="n">
        <f aca="false">-F25*Inputs!$E$30</f>
        <v>-185997.87</v>
      </c>
      <c r="G26" s="65" t="n">
        <f aca="false">-G25*Inputs!$E$30</f>
        <v>-185997.87</v>
      </c>
      <c r="H26" s="65" t="n">
        <f aca="false">-H25*Inputs!$E$30</f>
        <v>-185997.87</v>
      </c>
      <c r="I26" s="65" t="n">
        <f aca="false">-I25*Inputs!$E$30</f>
        <v>-185997.87</v>
      </c>
      <c r="J26" s="65" t="n">
        <f aca="false">-J25*Inputs!$E$30</f>
        <v>-185997.87</v>
      </c>
      <c r="K26" s="65" t="n">
        <f aca="false">-K25*Inputs!$E$30</f>
        <v>-185997.87</v>
      </c>
      <c r="L26" s="65" t="n">
        <f aca="false">-L25*Inputs!$E$30</f>
        <v>-185997.87</v>
      </c>
      <c r="M26" s="65" t="n">
        <f aca="false">-M25*Inputs!$E$30</f>
        <v>-228148.65</v>
      </c>
      <c r="N26" s="65" t="n">
        <f aca="false">-N25*Inputs!$E$30</f>
        <v>-228148.65</v>
      </c>
      <c r="O26" s="65" t="n">
        <f aca="false">-O25*Inputs!$E$30</f>
        <v>-241768.8405</v>
      </c>
      <c r="P26" s="65" t="n">
        <f aca="false">-P25*Inputs!$E$30</f>
        <v>-241768.8405</v>
      </c>
      <c r="Q26" s="65" t="n">
        <f aca="false">-Q25*Inputs!$E$30</f>
        <v>-241768.8405</v>
      </c>
      <c r="R26" s="65" t="n">
        <f aca="false">-R25*Inputs!$E$30</f>
        <v>-241768.8405</v>
      </c>
      <c r="S26" s="65" t="n">
        <f aca="false">-S25*Inputs!$E$30</f>
        <v>-241768.8405</v>
      </c>
      <c r="T26" s="65" t="n">
        <f aca="false">-T25*Inputs!$E$30</f>
        <v>-241768.8405</v>
      </c>
      <c r="U26" s="65" t="n">
        <f aca="false">-U25*Inputs!$E$30</f>
        <v>-241768.8405</v>
      </c>
      <c r="V26" s="65" t="n">
        <f aca="false">-V25*Inputs!$E$30</f>
        <v>-241768.8405</v>
      </c>
      <c r="W26" s="65" t="n">
        <f aca="false">-W25*Inputs!$E$30</f>
        <v>-241768.8405</v>
      </c>
      <c r="X26" s="65" t="n">
        <f aca="false">-X25*Inputs!$E$30</f>
        <v>-241768.8405</v>
      </c>
      <c r="Y26" s="65" t="n">
        <f aca="false">-Y25*Inputs!$E$30</f>
        <v>-298764.2475</v>
      </c>
      <c r="Z26" s="65" t="n">
        <f aca="false">-Z25*Inputs!$E$30</f>
        <v>-298764.2475</v>
      </c>
      <c r="AA26" s="65" t="n">
        <f aca="false">-AA25*Inputs!$E$30</f>
        <v>-307847.0772</v>
      </c>
      <c r="AB26" s="65" t="n">
        <f aca="false">-AB25*Inputs!$E$30</f>
        <v>-307847.0772</v>
      </c>
      <c r="AC26" s="65" t="n">
        <f aca="false">-AC25*Inputs!$E$30</f>
        <v>-307847.0772</v>
      </c>
      <c r="AD26" s="65" t="n">
        <f aca="false">-AD25*Inputs!$E$30</f>
        <v>-307847.0772</v>
      </c>
      <c r="AE26" s="65" t="n">
        <f aca="false">-AE25*Inputs!$E$30</f>
        <v>-307847.0772</v>
      </c>
      <c r="AF26" s="65" t="n">
        <f aca="false">-AF25*Inputs!$E$30</f>
        <v>-307847.0772</v>
      </c>
      <c r="AG26" s="65" t="n">
        <f aca="false">-AG25*Inputs!$E$30</f>
        <v>-307847.0772</v>
      </c>
      <c r="AH26" s="65" t="n">
        <f aca="false">-AH25*Inputs!$E$30</f>
        <v>-307847.0772</v>
      </c>
      <c r="AI26" s="65" t="n">
        <f aca="false">-AI25*Inputs!$E$30</f>
        <v>-307847.0772</v>
      </c>
      <c r="AJ26" s="65" t="n">
        <f aca="false">-AJ25*Inputs!$E$30</f>
        <v>-307847.0772</v>
      </c>
      <c r="AK26" s="65" t="n">
        <f aca="false">-AK25*Inputs!$E$30</f>
        <v>-382175.334</v>
      </c>
      <c r="AL26" s="65" t="n">
        <f aca="false">-AL25*Inputs!$E$30</f>
        <v>-382175.334</v>
      </c>
      <c r="AM26" s="65" t="n">
        <f aca="false">-AM25*Inputs!$E$30</f>
        <v>-386702.86869</v>
      </c>
      <c r="AN26" s="65" t="n">
        <f aca="false">-AN25*Inputs!$E$30</f>
        <v>-386702.86869</v>
      </c>
      <c r="AO26" s="65" t="n">
        <f aca="false">-AO25*Inputs!$E$30</f>
        <v>-386702.86869</v>
      </c>
      <c r="AP26" s="65" t="n">
        <f aca="false">-AP25*Inputs!$E$30</f>
        <v>-386702.86869</v>
      </c>
      <c r="AQ26" s="65" t="n">
        <f aca="false">-AQ25*Inputs!$E$30</f>
        <v>-386702.86869</v>
      </c>
      <c r="AR26" s="65" t="n">
        <f aca="false">-AR25*Inputs!$E$30</f>
        <v>-386702.86869</v>
      </c>
      <c r="AS26" s="65" t="n">
        <f aca="false">-AS25*Inputs!$E$30</f>
        <v>-386702.86869</v>
      </c>
      <c r="AT26" s="65" t="n">
        <f aca="false">-AT25*Inputs!$E$30</f>
        <v>-386702.86869</v>
      </c>
      <c r="AU26" s="65" t="n">
        <f aca="false">-AU25*Inputs!$E$30</f>
        <v>-386702.86869</v>
      </c>
      <c r="AV26" s="65" t="n">
        <f aca="false">-AV25*Inputs!$E$30</f>
        <v>-386702.86869</v>
      </c>
      <c r="AW26" s="65" t="n">
        <f aca="false">-AW25*Inputs!$E$30</f>
        <v>-481471.39611</v>
      </c>
      <c r="AX26" s="65" t="n">
        <f aca="false">-AX25*Inputs!$E$30</f>
        <v>-481471.39611</v>
      </c>
      <c r="AY26" s="65" t="n">
        <f aca="false">-AY25*Inputs!$E$30</f>
        <v>-481437.174141765</v>
      </c>
      <c r="AZ26" s="65" t="n">
        <f aca="false">-AZ25*Inputs!$E$30</f>
        <v>-481437.174141765</v>
      </c>
      <c r="BA26" s="65" t="n">
        <f aca="false">-BA25*Inputs!$E$30</f>
        <v>-481437.174141765</v>
      </c>
      <c r="BB26" s="65" t="n">
        <f aca="false">-BB25*Inputs!$E$30</f>
        <v>-481437.174141765</v>
      </c>
      <c r="BC26" s="65" t="n">
        <f aca="false">-BC25*Inputs!$E$30</f>
        <v>-481437.174141765</v>
      </c>
      <c r="BD26" s="65" t="n">
        <f aca="false">-BD25*Inputs!$E$30</f>
        <v>-481437.174141765</v>
      </c>
      <c r="BE26" s="65" t="n">
        <f aca="false">-BE25*Inputs!$E$30</f>
        <v>-481437.174141765</v>
      </c>
      <c r="BF26" s="65" t="n">
        <f aca="false">-BF25*Inputs!$E$30</f>
        <v>-481437.174141765</v>
      </c>
      <c r="BG26" s="65" t="n">
        <f aca="false">-BG25*Inputs!$E$30</f>
        <v>-481437.174141765</v>
      </c>
      <c r="BH26" s="65" t="n">
        <f aca="false">-BH25*Inputs!$E$30</f>
        <v>-481437.174141765</v>
      </c>
      <c r="BI26" s="65" t="n">
        <f aca="false">-BI25*Inputs!$E$30</f>
        <v>-600540.905567115</v>
      </c>
      <c r="BJ26" s="65" t="n">
        <f aca="false">-BJ25*Inputs!$E$30</f>
        <v>-600540.905567115</v>
      </c>
    </row>
    <row r="27" customFormat="false" ht="15" hidden="false" customHeight="false" outlineLevel="0" collapsed="false">
      <c r="A27" s="110" t="s">
        <v>45</v>
      </c>
      <c r="C27" s="66" t="n">
        <f aca="false">C25+C26</f>
        <v>256854.201428571</v>
      </c>
      <c r="D27" s="66" t="n">
        <f aca="false">D25+D26</f>
        <v>256854.201428571</v>
      </c>
      <c r="E27" s="66" t="n">
        <f aca="false">E25+E26</f>
        <v>256854.201428571</v>
      </c>
      <c r="F27" s="66" t="n">
        <f aca="false">F25+F26</f>
        <v>256854.201428571</v>
      </c>
      <c r="G27" s="66" t="n">
        <f aca="false">G25+G26</f>
        <v>256854.201428571</v>
      </c>
      <c r="H27" s="66" t="n">
        <f aca="false">H25+H26</f>
        <v>256854.201428571</v>
      </c>
      <c r="I27" s="66" t="n">
        <f aca="false">I25+I26</f>
        <v>256854.201428571</v>
      </c>
      <c r="J27" s="66" t="n">
        <f aca="false">J25+J26</f>
        <v>256854.201428571</v>
      </c>
      <c r="K27" s="66" t="n">
        <f aca="false">K25+K26</f>
        <v>256854.201428571</v>
      </c>
      <c r="L27" s="66" t="n">
        <f aca="false">L25+L26</f>
        <v>256854.201428571</v>
      </c>
      <c r="M27" s="66" t="n">
        <f aca="false">M25+M26</f>
        <v>315062.421428572</v>
      </c>
      <c r="N27" s="66" t="n">
        <f aca="false">N25+N26</f>
        <v>315062.421428572</v>
      </c>
      <c r="O27" s="66" t="n">
        <f aca="false">O25+O26</f>
        <v>333871.255928571</v>
      </c>
      <c r="P27" s="66" t="n">
        <f aca="false">P25+P26</f>
        <v>333871.255928571</v>
      </c>
      <c r="Q27" s="66" t="n">
        <f aca="false">Q25+Q26</f>
        <v>333871.255928571</v>
      </c>
      <c r="R27" s="66" t="n">
        <f aca="false">R25+R26</f>
        <v>333871.255928571</v>
      </c>
      <c r="S27" s="66" t="n">
        <f aca="false">S25+S26</f>
        <v>333871.255928571</v>
      </c>
      <c r="T27" s="66" t="n">
        <f aca="false">T25+T26</f>
        <v>333871.255928571</v>
      </c>
      <c r="U27" s="66" t="n">
        <f aca="false">U25+U26</f>
        <v>333871.255928571</v>
      </c>
      <c r="V27" s="66" t="n">
        <f aca="false">V25+V26</f>
        <v>333871.255928571</v>
      </c>
      <c r="W27" s="66" t="n">
        <f aca="false">W25+W26</f>
        <v>333871.255928571</v>
      </c>
      <c r="X27" s="66" t="n">
        <f aca="false">X25+X26</f>
        <v>333871.255928571</v>
      </c>
      <c r="Y27" s="66" t="n">
        <f aca="false">Y25+Y26</f>
        <v>412579.198928572</v>
      </c>
      <c r="Z27" s="66" t="n">
        <f aca="false">Z25+Z26</f>
        <v>412579.198928572</v>
      </c>
      <c r="AA27" s="66" t="n">
        <f aca="false">AA25+AA26</f>
        <v>425122.154228572</v>
      </c>
      <c r="AB27" s="66" t="n">
        <f aca="false">AB25+AB26</f>
        <v>425122.154228572</v>
      </c>
      <c r="AC27" s="66" t="n">
        <f aca="false">AC25+AC26</f>
        <v>425122.154228572</v>
      </c>
      <c r="AD27" s="66" t="n">
        <f aca="false">AD25+AD26</f>
        <v>425122.154228572</v>
      </c>
      <c r="AE27" s="66" t="n">
        <f aca="false">AE25+AE26</f>
        <v>425122.154228572</v>
      </c>
      <c r="AF27" s="66" t="n">
        <f aca="false">AF25+AF26</f>
        <v>425122.154228572</v>
      </c>
      <c r="AG27" s="66" t="n">
        <f aca="false">AG25+AG26</f>
        <v>425122.154228572</v>
      </c>
      <c r="AH27" s="66" t="n">
        <f aca="false">AH25+AH26</f>
        <v>425122.154228572</v>
      </c>
      <c r="AI27" s="66" t="n">
        <f aca="false">AI25+AI26</f>
        <v>425122.154228572</v>
      </c>
      <c r="AJ27" s="66" t="n">
        <f aca="false">AJ25+AJ26</f>
        <v>425122.154228572</v>
      </c>
      <c r="AK27" s="66" t="n">
        <f aca="false">AK25+AK26</f>
        <v>527765.937428572</v>
      </c>
      <c r="AL27" s="66" t="n">
        <f aca="false">AL25+AL26</f>
        <v>527765.937428572</v>
      </c>
      <c r="AM27" s="66" t="n">
        <f aca="false">AM25+AM26</f>
        <v>534018.247238572</v>
      </c>
      <c r="AN27" s="66" t="n">
        <f aca="false">AN25+AN26</f>
        <v>534018.247238572</v>
      </c>
      <c r="AO27" s="66" t="n">
        <f aca="false">AO25+AO26</f>
        <v>534018.247238572</v>
      </c>
      <c r="AP27" s="66" t="n">
        <f aca="false">AP25+AP26</f>
        <v>534018.247238572</v>
      </c>
      <c r="AQ27" s="66" t="n">
        <f aca="false">AQ25+AQ26</f>
        <v>534018.247238572</v>
      </c>
      <c r="AR27" s="66" t="n">
        <f aca="false">AR25+AR26</f>
        <v>534018.247238572</v>
      </c>
      <c r="AS27" s="66" t="n">
        <f aca="false">AS25+AS26</f>
        <v>534018.247238572</v>
      </c>
      <c r="AT27" s="66" t="n">
        <f aca="false">AT25+AT26</f>
        <v>534018.247238572</v>
      </c>
      <c r="AU27" s="66" t="n">
        <f aca="false">AU25+AU26</f>
        <v>534018.247238572</v>
      </c>
      <c r="AV27" s="66" t="n">
        <f aca="false">AV25+AV26</f>
        <v>534018.247238572</v>
      </c>
      <c r="AW27" s="66" t="n">
        <f aca="false">AW25+AW26</f>
        <v>664889.070818572</v>
      </c>
      <c r="AX27" s="66" t="n">
        <f aca="false">AX25+AX26</f>
        <v>664889.070818572</v>
      </c>
      <c r="AY27" s="66" t="n">
        <f aca="false">AY25+AY26</f>
        <v>664841.811910056</v>
      </c>
      <c r="AZ27" s="66" t="n">
        <f aca="false">AZ25+AZ26</f>
        <v>664841.811910056</v>
      </c>
      <c r="BA27" s="66" t="n">
        <f aca="false">BA25+BA26</f>
        <v>664841.811910056</v>
      </c>
      <c r="BB27" s="66" t="n">
        <f aca="false">BB25+BB26</f>
        <v>664841.811910056</v>
      </c>
      <c r="BC27" s="66" t="n">
        <f aca="false">BC25+BC26</f>
        <v>664841.811910056</v>
      </c>
      <c r="BD27" s="66" t="n">
        <f aca="false">BD25+BD26</f>
        <v>664841.811910056</v>
      </c>
      <c r="BE27" s="66" t="n">
        <f aca="false">BE25+BE26</f>
        <v>664841.811910056</v>
      </c>
      <c r="BF27" s="66" t="n">
        <f aca="false">BF25+BF26</f>
        <v>664841.811910056</v>
      </c>
      <c r="BG27" s="66" t="n">
        <f aca="false">BG25+BG26</f>
        <v>664841.811910056</v>
      </c>
      <c r="BH27" s="66" t="n">
        <f aca="false">BH25+BH26</f>
        <v>664841.811910056</v>
      </c>
      <c r="BI27" s="66" t="n">
        <f aca="false">BI25+BI26</f>
        <v>829318.393402207</v>
      </c>
      <c r="BJ27" s="66" t="n">
        <f aca="false">BJ25+BJ26</f>
        <v>829318.393402207</v>
      </c>
    </row>
    <row r="29" customFormat="false" ht="15.75" hidden="false" customHeight="true" outlineLevel="0" collapsed="false">
      <c r="A29" s="7" t="s">
        <v>47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customFormat="false" ht="15" hidden="false" customHeight="false" outlineLevel="0" collapsed="false">
      <c r="A30" s="6" t="s">
        <v>329</v>
      </c>
      <c r="C30" s="65" t="n">
        <f aca="false">-C14*Inputs!$E$31</f>
        <v>-43086.1714285714</v>
      </c>
      <c r="D30" s="65" t="n">
        <f aca="false">-D14*Inputs!$E$31</f>
        <v>-43086.1714285714</v>
      </c>
      <c r="E30" s="65" t="n">
        <f aca="false">-E14*Inputs!$E$31</f>
        <v>-43086.1714285714</v>
      </c>
      <c r="F30" s="65" t="n">
        <f aca="false">-F14*Inputs!$E$31</f>
        <v>-43086.1714285714</v>
      </c>
      <c r="G30" s="65" t="n">
        <f aca="false">-G14*Inputs!$E$31</f>
        <v>-43086.1714285714</v>
      </c>
      <c r="H30" s="65" t="n">
        <f aca="false">-H14*Inputs!$E$31</f>
        <v>-43086.1714285714</v>
      </c>
      <c r="I30" s="65" t="n">
        <f aca="false">-I14*Inputs!$E$31</f>
        <v>-43086.1714285714</v>
      </c>
      <c r="J30" s="65" t="n">
        <f aca="false">-J14*Inputs!$E$31</f>
        <v>-43086.1714285714</v>
      </c>
      <c r="K30" s="65" t="n">
        <f aca="false">-K14*Inputs!$E$31</f>
        <v>-43086.1714285714</v>
      </c>
      <c r="L30" s="65" t="n">
        <f aca="false">-L14*Inputs!$E$31</f>
        <v>-43086.1714285714</v>
      </c>
      <c r="M30" s="65" t="n">
        <f aca="false">-M14*Inputs!$E$31</f>
        <v>-51380.5714285714</v>
      </c>
      <c r="N30" s="65" t="n">
        <f aca="false">-N14*Inputs!$E$31</f>
        <v>-51380.5714285714</v>
      </c>
      <c r="O30" s="65" t="n">
        <f aca="false">-O14*Inputs!$E$31</f>
        <v>-52786.2857142857</v>
      </c>
      <c r="P30" s="65" t="n">
        <f aca="false">-P14*Inputs!$E$31</f>
        <v>-52786.2857142857</v>
      </c>
      <c r="Q30" s="65" t="n">
        <f aca="false">-Q14*Inputs!$E$31</f>
        <v>-52786.2857142857</v>
      </c>
      <c r="R30" s="65" t="n">
        <f aca="false">-R14*Inputs!$E$31</f>
        <v>-52786.2857142857</v>
      </c>
      <c r="S30" s="65" t="n">
        <f aca="false">-S14*Inputs!$E$31</f>
        <v>-52786.2857142857</v>
      </c>
      <c r="T30" s="65" t="n">
        <f aca="false">-T14*Inputs!$E$31</f>
        <v>-52786.2857142857</v>
      </c>
      <c r="U30" s="65" t="n">
        <f aca="false">-U14*Inputs!$E$31</f>
        <v>-52786.2857142857</v>
      </c>
      <c r="V30" s="65" t="n">
        <f aca="false">-V14*Inputs!$E$31</f>
        <v>-52786.2857142857</v>
      </c>
      <c r="W30" s="65" t="n">
        <f aca="false">-W14*Inputs!$E$31</f>
        <v>-52786.2857142857</v>
      </c>
      <c r="X30" s="65" t="n">
        <f aca="false">-X14*Inputs!$E$31</f>
        <v>-52786.2857142857</v>
      </c>
      <c r="Y30" s="65" t="n">
        <f aca="false">-Y14*Inputs!$E$31</f>
        <v>-63154.2857142857</v>
      </c>
      <c r="Z30" s="65" t="n">
        <f aca="false">-Z14*Inputs!$E$31</f>
        <v>-63154.2857142857</v>
      </c>
      <c r="AA30" s="65" t="n">
        <f aca="false">-AA14*Inputs!$E$31</f>
        <v>-64697.1428571429</v>
      </c>
      <c r="AB30" s="65" t="n">
        <f aca="false">-AB14*Inputs!$E$31</f>
        <v>-64697.1428571429</v>
      </c>
      <c r="AC30" s="65" t="n">
        <f aca="false">-AC14*Inputs!$E$31</f>
        <v>-64697.1428571429</v>
      </c>
      <c r="AD30" s="65" t="n">
        <f aca="false">-AD14*Inputs!$E$31</f>
        <v>-64697.1428571429</v>
      </c>
      <c r="AE30" s="65" t="n">
        <f aca="false">-AE14*Inputs!$E$31</f>
        <v>-64697.1428571429</v>
      </c>
      <c r="AF30" s="65" t="n">
        <f aca="false">-AF14*Inputs!$E$31</f>
        <v>-64697.1428571429</v>
      </c>
      <c r="AG30" s="65" t="n">
        <f aca="false">-AG14*Inputs!$E$31</f>
        <v>-64697.1428571429</v>
      </c>
      <c r="AH30" s="65" t="n">
        <f aca="false">-AH14*Inputs!$E$31</f>
        <v>-64697.1428571429</v>
      </c>
      <c r="AI30" s="65" t="n">
        <f aca="false">-AI14*Inputs!$E$31</f>
        <v>-64697.1428571429</v>
      </c>
      <c r="AJ30" s="65" t="n">
        <f aca="false">-AJ14*Inputs!$E$31</f>
        <v>-64697.1428571429</v>
      </c>
      <c r="AK30" s="65" t="n">
        <f aca="false">-AK14*Inputs!$E$31</f>
        <v>-77657.1428571429</v>
      </c>
      <c r="AL30" s="65" t="n">
        <f aca="false">-AL14*Inputs!$E$31</f>
        <v>-77657.1428571429</v>
      </c>
      <c r="AM30" s="65" t="n">
        <f aca="false">-AM14*Inputs!$E$31</f>
        <v>-79328.5714285714</v>
      </c>
      <c r="AN30" s="65" t="n">
        <f aca="false">-AN14*Inputs!$E$31</f>
        <v>-79328.5714285714</v>
      </c>
      <c r="AO30" s="65" t="n">
        <f aca="false">-AO14*Inputs!$E$31</f>
        <v>-79328.5714285714</v>
      </c>
      <c r="AP30" s="65" t="n">
        <f aca="false">-AP14*Inputs!$E$31</f>
        <v>-79328.5714285714</v>
      </c>
      <c r="AQ30" s="65" t="n">
        <f aca="false">-AQ14*Inputs!$E$31</f>
        <v>-79328.5714285714</v>
      </c>
      <c r="AR30" s="65" t="n">
        <f aca="false">-AR14*Inputs!$E$31</f>
        <v>-79328.5714285714</v>
      </c>
      <c r="AS30" s="65" t="n">
        <f aca="false">-AS14*Inputs!$E$31</f>
        <v>-79328.5714285714</v>
      </c>
      <c r="AT30" s="65" t="n">
        <f aca="false">-AT14*Inputs!$E$31</f>
        <v>-79328.5714285714</v>
      </c>
      <c r="AU30" s="65" t="n">
        <f aca="false">-AU14*Inputs!$E$31</f>
        <v>-79328.5714285714</v>
      </c>
      <c r="AV30" s="65" t="n">
        <f aca="false">-AV14*Inputs!$E$31</f>
        <v>-79328.5714285714</v>
      </c>
      <c r="AW30" s="65" t="n">
        <f aca="false">-AW14*Inputs!$E$31</f>
        <v>-95528.5714285714</v>
      </c>
      <c r="AX30" s="65" t="n">
        <f aca="false">-AX14*Inputs!$E$31</f>
        <v>-95528.5714285714</v>
      </c>
      <c r="AY30" s="65" t="n">
        <f aca="false">-AY14*Inputs!$E$31</f>
        <v>-97309.2857142857</v>
      </c>
      <c r="AZ30" s="65" t="n">
        <f aca="false">-AZ14*Inputs!$E$31</f>
        <v>-97309.2857142857</v>
      </c>
      <c r="BA30" s="65" t="n">
        <f aca="false">-BA14*Inputs!$E$31</f>
        <v>-97309.2857142857</v>
      </c>
      <c r="BB30" s="65" t="n">
        <f aca="false">-BB14*Inputs!$E$31</f>
        <v>-97309.2857142857</v>
      </c>
      <c r="BC30" s="65" t="n">
        <f aca="false">-BC14*Inputs!$E$31</f>
        <v>-97309.2857142857</v>
      </c>
      <c r="BD30" s="65" t="n">
        <f aca="false">-BD14*Inputs!$E$31</f>
        <v>-97309.2857142857</v>
      </c>
      <c r="BE30" s="65" t="n">
        <f aca="false">-BE14*Inputs!$E$31</f>
        <v>-97309.2857142857</v>
      </c>
      <c r="BF30" s="65" t="n">
        <f aca="false">-BF14*Inputs!$E$31</f>
        <v>-97309.2857142857</v>
      </c>
      <c r="BG30" s="65" t="n">
        <f aca="false">-BG14*Inputs!$E$31</f>
        <v>-97309.2857142857</v>
      </c>
      <c r="BH30" s="65" t="n">
        <f aca="false">-BH14*Inputs!$E$31</f>
        <v>-97309.2857142857</v>
      </c>
      <c r="BI30" s="65" t="n">
        <f aca="false">-BI14*Inputs!$E$31</f>
        <v>-117559.285714286</v>
      </c>
      <c r="BJ30" s="65" t="n">
        <f aca="false">-BJ14*Inputs!$E$31</f>
        <v>-117559.285714286</v>
      </c>
    </row>
    <row r="31" customFormat="false" ht="15" hidden="false" customHeight="false" outlineLevel="0" collapsed="false">
      <c r="A31" s="6" t="s">
        <v>330</v>
      </c>
      <c r="C31" s="65" t="n">
        <f aca="false">-C25*Inputs!$E$32</f>
        <v>-13285.5621428571</v>
      </c>
      <c r="D31" s="65" t="n">
        <f aca="false">-D25*Inputs!$E$32</f>
        <v>-13285.5621428571</v>
      </c>
      <c r="E31" s="65" t="n">
        <f aca="false">-E25*Inputs!$E$32</f>
        <v>-13285.5621428571</v>
      </c>
      <c r="F31" s="65" t="n">
        <f aca="false">-F25*Inputs!$E$32</f>
        <v>-13285.5621428571</v>
      </c>
      <c r="G31" s="65" t="n">
        <f aca="false">-G25*Inputs!$E$32</f>
        <v>-13285.5621428571</v>
      </c>
      <c r="H31" s="65" t="n">
        <f aca="false">-H25*Inputs!$E$32</f>
        <v>-13285.5621428571</v>
      </c>
      <c r="I31" s="65" t="n">
        <f aca="false">-I25*Inputs!$E$32</f>
        <v>-13285.5621428571</v>
      </c>
      <c r="J31" s="65" t="n">
        <f aca="false">-J25*Inputs!$E$32</f>
        <v>-13285.5621428571</v>
      </c>
      <c r="K31" s="65" t="n">
        <f aca="false">-K25*Inputs!$E$32</f>
        <v>-13285.5621428571</v>
      </c>
      <c r="L31" s="65" t="n">
        <f aca="false">-L25*Inputs!$E$32</f>
        <v>-13285.5621428571</v>
      </c>
      <c r="M31" s="65" t="n">
        <f aca="false">-M25*Inputs!$E$32</f>
        <v>-16296.3321428571</v>
      </c>
      <c r="N31" s="65" t="n">
        <f aca="false">-N25*Inputs!$E$32</f>
        <v>-16296.3321428571</v>
      </c>
      <c r="O31" s="65" t="n">
        <f aca="false">-O25*Inputs!$E$32</f>
        <v>-17269.2028928571</v>
      </c>
      <c r="P31" s="65" t="n">
        <f aca="false">-P25*Inputs!$E$32</f>
        <v>-17269.2028928571</v>
      </c>
      <c r="Q31" s="65" t="n">
        <f aca="false">-Q25*Inputs!$E$32</f>
        <v>-17269.2028928571</v>
      </c>
      <c r="R31" s="65" t="n">
        <f aca="false">-R25*Inputs!$E$32</f>
        <v>-17269.2028928571</v>
      </c>
      <c r="S31" s="65" t="n">
        <f aca="false">-S25*Inputs!$E$32</f>
        <v>-17269.2028928571</v>
      </c>
      <c r="T31" s="65" t="n">
        <f aca="false">-T25*Inputs!$E$32</f>
        <v>-17269.2028928571</v>
      </c>
      <c r="U31" s="65" t="n">
        <f aca="false">-U25*Inputs!$E$32</f>
        <v>-17269.2028928571</v>
      </c>
      <c r="V31" s="65" t="n">
        <f aca="false">-V25*Inputs!$E$32</f>
        <v>-17269.2028928571</v>
      </c>
      <c r="W31" s="65" t="n">
        <f aca="false">-W25*Inputs!$E$32</f>
        <v>-17269.2028928571</v>
      </c>
      <c r="X31" s="65" t="n">
        <f aca="false">-X25*Inputs!$E$32</f>
        <v>-17269.2028928571</v>
      </c>
      <c r="Y31" s="65" t="n">
        <f aca="false">-Y25*Inputs!$E$32</f>
        <v>-21340.3033928571</v>
      </c>
      <c r="Z31" s="65" t="n">
        <f aca="false">-Z25*Inputs!$E$32</f>
        <v>-21340.3033928571</v>
      </c>
      <c r="AA31" s="65" t="n">
        <f aca="false">-AA25*Inputs!$E$32</f>
        <v>-21989.0769428571</v>
      </c>
      <c r="AB31" s="65" t="n">
        <f aca="false">-AB25*Inputs!$E$32</f>
        <v>-21989.0769428571</v>
      </c>
      <c r="AC31" s="65" t="n">
        <f aca="false">-AC25*Inputs!$E$32</f>
        <v>-21989.0769428571</v>
      </c>
      <c r="AD31" s="65" t="n">
        <f aca="false">-AD25*Inputs!$E$32</f>
        <v>-21989.0769428571</v>
      </c>
      <c r="AE31" s="65" t="n">
        <f aca="false">-AE25*Inputs!$E$32</f>
        <v>-21989.0769428571</v>
      </c>
      <c r="AF31" s="65" t="n">
        <f aca="false">-AF25*Inputs!$E$32</f>
        <v>-21989.0769428571</v>
      </c>
      <c r="AG31" s="65" t="n">
        <f aca="false">-AG25*Inputs!$E$32</f>
        <v>-21989.0769428571</v>
      </c>
      <c r="AH31" s="65" t="n">
        <f aca="false">-AH25*Inputs!$E$32</f>
        <v>-21989.0769428571</v>
      </c>
      <c r="AI31" s="65" t="n">
        <f aca="false">-AI25*Inputs!$E$32</f>
        <v>-21989.0769428571</v>
      </c>
      <c r="AJ31" s="65" t="n">
        <f aca="false">-AJ25*Inputs!$E$32</f>
        <v>-21989.0769428571</v>
      </c>
      <c r="AK31" s="65" t="n">
        <f aca="false">-AK25*Inputs!$E$32</f>
        <v>-27298.2381428571</v>
      </c>
      <c r="AL31" s="65" t="n">
        <f aca="false">-AL25*Inputs!$E$32</f>
        <v>-27298.2381428571</v>
      </c>
      <c r="AM31" s="65" t="n">
        <f aca="false">-AM25*Inputs!$E$32</f>
        <v>-27621.6334778571</v>
      </c>
      <c r="AN31" s="65" t="n">
        <f aca="false">-AN25*Inputs!$E$32</f>
        <v>-27621.6334778571</v>
      </c>
      <c r="AO31" s="65" t="n">
        <f aca="false">-AO25*Inputs!$E$32</f>
        <v>-27621.6334778571</v>
      </c>
      <c r="AP31" s="65" t="n">
        <f aca="false">-AP25*Inputs!$E$32</f>
        <v>-27621.6334778571</v>
      </c>
      <c r="AQ31" s="65" t="n">
        <f aca="false">-AQ25*Inputs!$E$32</f>
        <v>-27621.6334778571</v>
      </c>
      <c r="AR31" s="65" t="n">
        <f aca="false">-AR25*Inputs!$E$32</f>
        <v>-27621.6334778571</v>
      </c>
      <c r="AS31" s="65" t="n">
        <f aca="false">-AS25*Inputs!$E$32</f>
        <v>-27621.6334778571</v>
      </c>
      <c r="AT31" s="65" t="n">
        <f aca="false">-AT25*Inputs!$E$32</f>
        <v>-27621.6334778571</v>
      </c>
      <c r="AU31" s="65" t="n">
        <f aca="false">-AU25*Inputs!$E$32</f>
        <v>-27621.6334778571</v>
      </c>
      <c r="AV31" s="65" t="n">
        <f aca="false">-AV25*Inputs!$E$32</f>
        <v>-27621.6334778571</v>
      </c>
      <c r="AW31" s="65" t="n">
        <f aca="false">-AW25*Inputs!$E$32</f>
        <v>-34390.8140078571</v>
      </c>
      <c r="AX31" s="65" t="n">
        <f aca="false">-AX25*Inputs!$E$32</f>
        <v>-34390.8140078571</v>
      </c>
      <c r="AY31" s="65" t="n">
        <f aca="false">-AY25*Inputs!$E$32</f>
        <v>-34388.3695815546</v>
      </c>
      <c r="AZ31" s="65" t="n">
        <f aca="false">-AZ25*Inputs!$E$32</f>
        <v>-34388.3695815546</v>
      </c>
      <c r="BA31" s="65" t="n">
        <f aca="false">-BA25*Inputs!$E$32</f>
        <v>-34388.3695815546</v>
      </c>
      <c r="BB31" s="65" t="n">
        <f aca="false">-BB25*Inputs!$E$32</f>
        <v>-34388.3695815546</v>
      </c>
      <c r="BC31" s="65" t="n">
        <f aca="false">-BC25*Inputs!$E$32</f>
        <v>-34388.3695815546</v>
      </c>
      <c r="BD31" s="65" t="n">
        <f aca="false">-BD25*Inputs!$E$32</f>
        <v>-34388.3695815546</v>
      </c>
      <c r="BE31" s="65" t="n">
        <f aca="false">-BE25*Inputs!$E$32</f>
        <v>-34388.3695815546</v>
      </c>
      <c r="BF31" s="65" t="n">
        <f aca="false">-BF25*Inputs!$E$32</f>
        <v>-34388.3695815546</v>
      </c>
      <c r="BG31" s="65" t="n">
        <f aca="false">-BG25*Inputs!$E$32</f>
        <v>-34388.3695815546</v>
      </c>
      <c r="BH31" s="65" t="n">
        <f aca="false">-BH25*Inputs!$E$32</f>
        <v>-34388.3695815546</v>
      </c>
      <c r="BI31" s="65" t="n">
        <f aca="false">-BI25*Inputs!$E$32</f>
        <v>-42895.7789690796</v>
      </c>
      <c r="BJ31" s="65" t="n">
        <f aca="false">-BJ25*Inputs!$E$32</f>
        <v>-42895.7789690796</v>
      </c>
    </row>
    <row r="32" customFormat="false" ht="15" hidden="false" customHeight="false" outlineLevel="0" collapsed="false">
      <c r="A32" s="6" t="s">
        <v>331</v>
      </c>
      <c r="C32" s="65" t="n">
        <f aca="false">-Inputs!$E$13*(1+Inputs!$E$14)^(C$5-1)*1</f>
        <v>-50000</v>
      </c>
      <c r="D32" s="65" t="n">
        <f aca="false">-Inputs!$E$13*(1+Inputs!$E$14)^(D$5-1)*1</f>
        <v>-50000</v>
      </c>
      <c r="E32" s="65" t="n">
        <f aca="false">-Inputs!$E$13*(1+Inputs!$E$14)^(E$5-1)*1</f>
        <v>-50000</v>
      </c>
      <c r="F32" s="65" t="n">
        <f aca="false">-Inputs!$E$13*(1+Inputs!$E$14)^(F$5-1)*1</f>
        <v>-50000</v>
      </c>
      <c r="G32" s="65" t="n">
        <f aca="false">-Inputs!$E$13*(1+Inputs!$E$14)^(G$5-1)*1</f>
        <v>-50000</v>
      </c>
      <c r="H32" s="65" t="n">
        <f aca="false">-Inputs!$E$13*(1+Inputs!$E$14)^(H$5-1)*1</f>
        <v>-50000</v>
      </c>
      <c r="I32" s="65" t="n">
        <f aca="false">-Inputs!$E$13*(1+Inputs!$E$14)^(I$5-1)*1</f>
        <v>-50000</v>
      </c>
      <c r="J32" s="65" t="n">
        <f aca="false">-Inputs!$E$13*(1+Inputs!$E$14)^(J$5-1)*1</f>
        <v>-50000</v>
      </c>
      <c r="K32" s="65" t="n">
        <f aca="false">-Inputs!$E$13*(1+Inputs!$E$14)^(K$5-1)*1</f>
        <v>-50000</v>
      </c>
      <c r="L32" s="65" t="n">
        <f aca="false">-Inputs!$E$13*(1+Inputs!$E$14)^(L$5-1)*1</f>
        <v>-50000</v>
      </c>
      <c r="M32" s="65" t="n">
        <f aca="false">-Inputs!$E$13*(1+Inputs!$E$14)^(M$5-1)*1</f>
        <v>-50000</v>
      </c>
      <c r="N32" s="65" t="n">
        <f aca="false">-Inputs!$E$13*(1+Inputs!$E$14)^(N$5-1)*1</f>
        <v>-50000</v>
      </c>
      <c r="O32" s="65" t="n">
        <f aca="false">-Inputs!$E$13*(1+Inputs!$E$14)^(O$5-1)*1</f>
        <v>-60000</v>
      </c>
      <c r="P32" s="65" t="n">
        <f aca="false">-Inputs!$E$13*(1+Inputs!$E$14)^(P$5-1)*1</f>
        <v>-60000</v>
      </c>
      <c r="Q32" s="65" t="n">
        <f aca="false">-Inputs!$E$13*(1+Inputs!$E$14)^(Q$5-1)*1</f>
        <v>-60000</v>
      </c>
      <c r="R32" s="65" t="n">
        <f aca="false">-Inputs!$E$13*(1+Inputs!$E$14)^(R$5-1)*1</f>
        <v>-60000</v>
      </c>
      <c r="S32" s="65" t="n">
        <f aca="false">-Inputs!$E$13*(1+Inputs!$E$14)^(S$5-1)*1</f>
        <v>-60000</v>
      </c>
      <c r="T32" s="65" t="n">
        <f aca="false">-Inputs!$E$13*(1+Inputs!$E$14)^(T$5-1)*1</f>
        <v>-60000</v>
      </c>
      <c r="U32" s="65" t="n">
        <f aca="false">-Inputs!$E$13*(1+Inputs!$E$14)^(U$5-1)*1</f>
        <v>-60000</v>
      </c>
      <c r="V32" s="65" t="n">
        <f aca="false">-Inputs!$E$13*(1+Inputs!$E$14)^(V$5-1)*1</f>
        <v>-60000</v>
      </c>
      <c r="W32" s="65" t="n">
        <f aca="false">-Inputs!$E$13*(1+Inputs!$E$14)^(W$5-1)*1</f>
        <v>-60000</v>
      </c>
      <c r="X32" s="65" t="n">
        <f aca="false">-Inputs!$E$13*(1+Inputs!$E$14)^(X$5-1)*1</f>
        <v>-60000</v>
      </c>
      <c r="Y32" s="65" t="n">
        <f aca="false">-Inputs!$E$13*(1+Inputs!$E$14)^(Y$5-1)*1</f>
        <v>-60000</v>
      </c>
      <c r="Z32" s="65" t="n">
        <f aca="false">-Inputs!$E$13*(1+Inputs!$E$14)^(Z$5-1)*1</f>
        <v>-60000</v>
      </c>
      <c r="AA32" s="65" t="n">
        <f aca="false">-Inputs!$E$13*(1+Inputs!$E$14)^(AA$5-1)*1</f>
        <v>-72000</v>
      </c>
      <c r="AB32" s="65" t="n">
        <f aca="false">-Inputs!$E$13*(1+Inputs!$E$14)^(AB$5-1)*1</f>
        <v>-72000</v>
      </c>
      <c r="AC32" s="65" t="n">
        <f aca="false">-Inputs!$E$13*(1+Inputs!$E$14)^(AC$5-1)*1</f>
        <v>-72000</v>
      </c>
      <c r="AD32" s="65" t="n">
        <f aca="false">-Inputs!$E$13*(1+Inputs!$E$14)^(AD$5-1)*1</f>
        <v>-72000</v>
      </c>
      <c r="AE32" s="65" t="n">
        <f aca="false">-Inputs!$E$13*(1+Inputs!$E$14)^(AE$5-1)*1</f>
        <v>-72000</v>
      </c>
      <c r="AF32" s="65" t="n">
        <f aca="false">-Inputs!$E$13*(1+Inputs!$E$14)^(AF$5-1)*1</f>
        <v>-72000</v>
      </c>
      <c r="AG32" s="65" t="n">
        <f aca="false">-Inputs!$E$13*(1+Inputs!$E$14)^(AG$5-1)*1</f>
        <v>-72000</v>
      </c>
      <c r="AH32" s="65" t="n">
        <f aca="false">-Inputs!$E$13*(1+Inputs!$E$14)^(AH$5-1)*1</f>
        <v>-72000</v>
      </c>
      <c r="AI32" s="65" t="n">
        <f aca="false">-Inputs!$E$13*(1+Inputs!$E$14)^(AI$5-1)*1</f>
        <v>-72000</v>
      </c>
      <c r="AJ32" s="65" t="n">
        <f aca="false">-Inputs!$E$13*(1+Inputs!$E$14)^(AJ$5-1)*1</f>
        <v>-72000</v>
      </c>
      <c r="AK32" s="65" t="n">
        <f aca="false">-Inputs!$E$13*(1+Inputs!$E$14)^(AK$5-1)*1</f>
        <v>-72000</v>
      </c>
      <c r="AL32" s="65" t="n">
        <f aca="false">-Inputs!$E$13*(1+Inputs!$E$14)^(AL$5-1)*1</f>
        <v>-72000</v>
      </c>
      <c r="AM32" s="65" t="n">
        <f aca="false">-Inputs!$E$13*(1+Inputs!$E$14)^(AM$5-1)*1</f>
        <v>-86400</v>
      </c>
      <c r="AN32" s="65" t="n">
        <f aca="false">-Inputs!$E$13*(1+Inputs!$E$14)^(AN$5-1)*1</f>
        <v>-86400</v>
      </c>
      <c r="AO32" s="65" t="n">
        <f aca="false">-Inputs!$E$13*(1+Inputs!$E$14)^(AO$5-1)*1</f>
        <v>-86400</v>
      </c>
      <c r="AP32" s="65" t="n">
        <f aca="false">-Inputs!$E$13*(1+Inputs!$E$14)^(AP$5-1)*1</f>
        <v>-86400</v>
      </c>
      <c r="AQ32" s="65" t="n">
        <f aca="false">-Inputs!$E$13*(1+Inputs!$E$14)^(AQ$5-1)*1</f>
        <v>-86400</v>
      </c>
      <c r="AR32" s="65" t="n">
        <f aca="false">-Inputs!$E$13*(1+Inputs!$E$14)^(AR$5-1)*1</f>
        <v>-86400</v>
      </c>
      <c r="AS32" s="65" t="n">
        <f aca="false">-Inputs!$E$13*(1+Inputs!$E$14)^(AS$5-1)*1</f>
        <v>-86400</v>
      </c>
      <c r="AT32" s="65" t="n">
        <f aca="false">-Inputs!$E$13*(1+Inputs!$E$14)^(AT$5-1)*1</f>
        <v>-86400</v>
      </c>
      <c r="AU32" s="65" t="n">
        <f aca="false">-Inputs!$E$13*(1+Inputs!$E$14)^(AU$5-1)*1</f>
        <v>-86400</v>
      </c>
      <c r="AV32" s="65" t="n">
        <f aca="false">-Inputs!$E$13*(1+Inputs!$E$14)^(AV$5-1)*1</f>
        <v>-86400</v>
      </c>
      <c r="AW32" s="65" t="n">
        <f aca="false">-Inputs!$E$13*(1+Inputs!$E$14)^(AW$5-1)*1</f>
        <v>-86400</v>
      </c>
      <c r="AX32" s="65" t="n">
        <f aca="false">-Inputs!$E$13*(1+Inputs!$E$14)^(AX$5-1)*1</f>
        <v>-86400</v>
      </c>
      <c r="AY32" s="65" t="n">
        <f aca="false">-Inputs!$E$13*(1+Inputs!$E$14)^(AY$5-1)*1</f>
        <v>-103680</v>
      </c>
      <c r="AZ32" s="65" t="n">
        <f aca="false">-Inputs!$E$13*(1+Inputs!$E$14)^(AZ$5-1)*1</f>
        <v>-103680</v>
      </c>
      <c r="BA32" s="65" t="n">
        <f aca="false">-Inputs!$E$13*(1+Inputs!$E$14)^(BA$5-1)*1</f>
        <v>-103680</v>
      </c>
      <c r="BB32" s="65" t="n">
        <f aca="false">-Inputs!$E$13*(1+Inputs!$E$14)^(BB$5-1)*1</f>
        <v>-103680</v>
      </c>
      <c r="BC32" s="65" t="n">
        <f aca="false">-Inputs!$E$13*(1+Inputs!$E$14)^(BC$5-1)*1</f>
        <v>-103680</v>
      </c>
      <c r="BD32" s="65" t="n">
        <f aca="false">-Inputs!$E$13*(1+Inputs!$E$14)^(BD$5-1)*1</f>
        <v>-103680</v>
      </c>
      <c r="BE32" s="65" t="n">
        <f aca="false">-Inputs!$E$13*(1+Inputs!$E$14)^(BE$5-1)*1</f>
        <v>-103680</v>
      </c>
      <c r="BF32" s="65" t="n">
        <f aca="false">-Inputs!$E$13*(1+Inputs!$E$14)^(BF$5-1)*1</f>
        <v>-103680</v>
      </c>
      <c r="BG32" s="65" t="n">
        <f aca="false">-Inputs!$E$13*(1+Inputs!$E$14)^(BG$5-1)*1</f>
        <v>-103680</v>
      </c>
      <c r="BH32" s="65" t="n">
        <f aca="false">-Inputs!$E$13*(1+Inputs!$E$14)^(BH$5-1)*1</f>
        <v>-103680</v>
      </c>
      <c r="BI32" s="65" t="n">
        <f aca="false">-Inputs!$E$13*(1+Inputs!$E$14)^(BI$5-1)*1</f>
        <v>-103680</v>
      </c>
      <c r="BJ32" s="65" t="n">
        <f aca="false">-Inputs!$E$13*(1+Inputs!$E$14)^(BJ$5-1)*1</f>
        <v>-103680</v>
      </c>
    </row>
    <row r="33" customFormat="false" ht="15" hidden="false" customHeight="false" outlineLevel="0" collapsed="false">
      <c r="A33" s="6" t="s">
        <v>332</v>
      </c>
      <c r="C33" s="67" t="n">
        <f aca="false">Headcount!C19</f>
        <v>-104841.666666667</v>
      </c>
      <c r="D33" s="67" t="n">
        <f aca="false">Headcount!D19</f>
        <v>-104841.666666667</v>
      </c>
      <c r="E33" s="67" t="n">
        <f aca="false">Headcount!E19</f>
        <v>-104841.666666667</v>
      </c>
      <c r="F33" s="67" t="n">
        <f aca="false">Headcount!F19</f>
        <v>-104841.666666667</v>
      </c>
      <c r="G33" s="67" t="n">
        <f aca="false">Headcount!G19</f>
        <v>-104841.666666667</v>
      </c>
      <c r="H33" s="67" t="n">
        <f aca="false">Headcount!H19</f>
        <v>-104841.666666667</v>
      </c>
      <c r="I33" s="67" t="n">
        <f aca="false">Headcount!I19</f>
        <v>-104841.666666667</v>
      </c>
      <c r="J33" s="67" t="n">
        <f aca="false">Headcount!J19</f>
        <v>-104841.666666667</v>
      </c>
      <c r="K33" s="67" t="n">
        <f aca="false">Headcount!K19</f>
        <v>-104841.666666667</v>
      </c>
      <c r="L33" s="67" t="n">
        <f aca="false">Headcount!L19</f>
        <v>-104841.666666667</v>
      </c>
      <c r="M33" s="67" t="n">
        <f aca="false">Headcount!M19</f>
        <v>-104841.666666667</v>
      </c>
      <c r="N33" s="67" t="n">
        <f aca="false">Headcount!N19</f>
        <v>-104841.666666667</v>
      </c>
      <c r="O33" s="67" t="n">
        <f aca="false">Headcount!O19</f>
        <v>-131548.595833333</v>
      </c>
      <c r="P33" s="67" t="n">
        <f aca="false">Headcount!P19</f>
        <v>-131548.595833333</v>
      </c>
      <c r="Q33" s="67" t="n">
        <f aca="false">Headcount!Q19</f>
        <v>-131548.595833333</v>
      </c>
      <c r="R33" s="67" t="n">
        <f aca="false">Headcount!R19</f>
        <v>-131548.595833333</v>
      </c>
      <c r="S33" s="67" t="n">
        <f aca="false">Headcount!S19</f>
        <v>-131548.595833333</v>
      </c>
      <c r="T33" s="67" t="n">
        <f aca="false">Headcount!T19</f>
        <v>-131548.595833333</v>
      </c>
      <c r="U33" s="67" t="n">
        <f aca="false">Headcount!U19</f>
        <v>-131548.595833333</v>
      </c>
      <c r="V33" s="67" t="n">
        <f aca="false">Headcount!V19</f>
        <v>-131548.595833333</v>
      </c>
      <c r="W33" s="67" t="n">
        <f aca="false">Headcount!W19</f>
        <v>-131548.595833333</v>
      </c>
      <c r="X33" s="67" t="n">
        <f aca="false">Headcount!X19</f>
        <v>-131548.595833333</v>
      </c>
      <c r="Y33" s="67" t="n">
        <f aca="false">Headcount!Y19</f>
        <v>-131548.595833333</v>
      </c>
      <c r="Z33" s="67" t="n">
        <f aca="false">Headcount!Z19</f>
        <v>-131548.595833333</v>
      </c>
      <c r="AA33" s="67" t="n">
        <f aca="false">Headcount!AA19</f>
        <v>-165384.386164583</v>
      </c>
      <c r="AB33" s="67" t="n">
        <f aca="false">Headcount!AB19</f>
        <v>-165384.386164583</v>
      </c>
      <c r="AC33" s="67" t="n">
        <f aca="false">Headcount!AC19</f>
        <v>-165384.386164583</v>
      </c>
      <c r="AD33" s="67" t="n">
        <f aca="false">Headcount!AD19</f>
        <v>-165384.386164583</v>
      </c>
      <c r="AE33" s="67" t="n">
        <f aca="false">Headcount!AE19</f>
        <v>-165384.386164583</v>
      </c>
      <c r="AF33" s="67" t="n">
        <f aca="false">Headcount!AF19</f>
        <v>-165384.386164583</v>
      </c>
      <c r="AG33" s="67" t="n">
        <f aca="false">Headcount!AG19</f>
        <v>-165384.386164583</v>
      </c>
      <c r="AH33" s="67" t="n">
        <f aca="false">Headcount!AH19</f>
        <v>-165384.386164583</v>
      </c>
      <c r="AI33" s="67" t="n">
        <f aca="false">Headcount!AI19</f>
        <v>-165384.386164583</v>
      </c>
      <c r="AJ33" s="67" t="n">
        <f aca="false">Headcount!AJ19</f>
        <v>-165384.386164583</v>
      </c>
      <c r="AK33" s="67" t="n">
        <f aca="false">Headcount!AK19</f>
        <v>-165384.386164583</v>
      </c>
      <c r="AL33" s="67" t="n">
        <f aca="false">Headcount!AL19</f>
        <v>-165384.386164583</v>
      </c>
      <c r="AM33" s="67" t="n">
        <f aca="false">Headcount!AM19</f>
        <v>-208341.015579049</v>
      </c>
      <c r="AN33" s="67" t="n">
        <f aca="false">Headcount!AN19</f>
        <v>-208341.015579049</v>
      </c>
      <c r="AO33" s="67" t="n">
        <f aca="false">Headcount!AO19</f>
        <v>-208341.015579049</v>
      </c>
      <c r="AP33" s="67" t="n">
        <f aca="false">Headcount!AP19</f>
        <v>-208341.015579049</v>
      </c>
      <c r="AQ33" s="67" t="n">
        <f aca="false">Headcount!AQ19</f>
        <v>-208341.015579049</v>
      </c>
      <c r="AR33" s="67" t="n">
        <f aca="false">Headcount!AR19</f>
        <v>-208341.015579049</v>
      </c>
      <c r="AS33" s="67" t="n">
        <f aca="false">Headcount!AS19</f>
        <v>-208341.015579049</v>
      </c>
      <c r="AT33" s="67" t="n">
        <f aca="false">Headcount!AT19</f>
        <v>-208341.015579049</v>
      </c>
      <c r="AU33" s="67" t="n">
        <f aca="false">Headcount!AU19</f>
        <v>-208341.015579049</v>
      </c>
      <c r="AV33" s="67" t="n">
        <f aca="false">Headcount!AV19</f>
        <v>-208341.015579049</v>
      </c>
      <c r="AW33" s="67" t="n">
        <f aca="false">Headcount!AW19</f>
        <v>-208341.015579049</v>
      </c>
      <c r="AX33" s="67" t="n">
        <f aca="false">Headcount!AX19</f>
        <v>-208341.015579049</v>
      </c>
      <c r="AY33" s="67" t="n">
        <f aca="false">Headcount!AY19</f>
        <v>-262990.962741368</v>
      </c>
      <c r="AZ33" s="67" t="n">
        <f aca="false">Headcount!AZ19</f>
        <v>-262990.962741368</v>
      </c>
      <c r="BA33" s="67" t="n">
        <f aca="false">Headcount!BA19</f>
        <v>-262990.962741368</v>
      </c>
      <c r="BB33" s="67" t="n">
        <f aca="false">Headcount!BB19</f>
        <v>-262990.962741368</v>
      </c>
      <c r="BC33" s="67" t="n">
        <f aca="false">Headcount!BC19</f>
        <v>-262990.962741368</v>
      </c>
      <c r="BD33" s="67" t="n">
        <f aca="false">Headcount!BD19</f>
        <v>-262990.962741368</v>
      </c>
      <c r="BE33" s="67" t="n">
        <f aca="false">Headcount!BE19</f>
        <v>-262990.962741368</v>
      </c>
      <c r="BF33" s="67" t="n">
        <f aca="false">Headcount!BF19</f>
        <v>-262990.962741368</v>
      </c>
      <c r="BG33" s="67" t="n">
        <f aca="false">Headcount!BG19</f>
        <v>-262990.962741368</v>
      </c>
      <c r="BH33" s="67" t="n">
        <f aca="false">Headcount!BH19</f>
        <v>-262990.962741368</v>
      </c>
      <c r="BI33" s="67" t="n">
        <f aca="false">Headcount!BI19</f>
        <v>-262990.962741368</v>
      </c>
      <c r="BJ33" s="67" t="n">
        <f aca="false">Headcount!BJ19</f>
        <v>-262990.962741368</v>
      </c>
    </row>
    <row r="34" customFormat="false" ht="15" hidden="false" customHeight="false" outlineLevel="0" collapsed="false">
      <c r="A34" s="6" t="s">
        <v>333</v>
      </c>
      <c r="C34" s="65" t="n">
        <f aca="false">-C19*Inputs!$E$20*Inputs!$E$23/12*1</f>
        <v>-10000</v>
      </c>
      <c r="D34" s="65" t="n">
        <f aca="false">-D19*Inputs!$E$20*Inputs!$E$23/12*1</f>
        <v>-10000</v>
      </c>
      <c r="E34" s="65" t="n">
        <f aca="false">-E19*Inputs!$E$20*Inputs!$E$23/12*1</f>
        <v>-10000</v>
      </c>
      <c r="F34" s="65" t="n">
        <f aca="false">-F19*Inputs!$E$20*Inputs!$E$23/12*1</f>
        <v>-10000</v>
      </c>
      <c r="G34" s="65" t="n">
        <f aca="false">-G19*Inputs!$E$20*Inputs!$E$23/12*1</f>
        <v>-10000</v>
      </c>
      <c r="H34" s="65" t="n">
        <f aca="false">-H19*Inputs!$E$20*Inputs!$E$23/12*1</f>
        <v>-10000</v>
      </c>
      <c r="I34" s="65" t="n">
        <f aca="false">-I19*Inputs!$E$20*Inputs!$E$23/12*1</f>
        <v>-10000</v>
      </c>
      <c r="J34" s="65" t="n">
        <f aca="false">-J19*Inputs!$E$20*Inputs!$E$23/12*1</f>
        <v>-10000</v>
      </c>
      <c r="K34" s="65" t="n">
        <f aca="false">-K19*Inputs!$E$20*Inputs!$E$23/12*1</f>
        <v>-10000</v>
      </c>
      <c r="L34" s="65" t="n">
        <f aca="false">-L19*Inputs!$E$20*Inputs!$E$23/12*1</f>
        <v>-10000</v>
      </c>
      <c r="M34" s="65" t="n">
        <f aca="false">-M19*Inputs!$E$20*Inputs!$E$23/12*1</f>
        <v>-10000</v>
      </c>
      <c r="N34" s="65" t="n">
        <f aca="false">-N19*Inputs!$E$20*Inputs!$E$23/12*1</f>
        <v>-10000</v>
      </c>
      <c r="O34" s="65" t="n">
        <f aca="false">-O19*Inputs!$E$20*Inputs!$E$23/12*1</f>
        <v>-15000</v>
      </c>
      <c r="P34" s="65" t="n">
        <f aca="false">-P19*Inputs!$E$20*Inputs!$E$23/12*1</f>
        <v>-15000</v>
      </c>
      <c r="Q34" s="65" t="n">
        <f aca="false">-Q19*Inputs!$E$20*Inputs!$E$23/12*1</f>
        <v>-15000</v>
      </c>
      <c r="R34" s="65" t="n">
        <f aca="false">-R19*Inputs!$E$20*Inputs!$E$23/12*1</f>
        <v>-15000</v>
      </c>
      <c r="S34" s="65" t="n">
        <f aca="false">-S19*Inputs!$E$20*Inputs!$E$23/12*1</f>
        <v>-15000</v>
      </c>
      <c r="T34" s="65" t="n">
        <f aca="false">-T19*Inputs!$E$20*Inputs!$E$23/12*1</f>
        <v>-15000</v>
      </c>
      <c r="U34" s="65" t="n">
        <f aca="false">-U19*Inputs!$E$20*Inputs!$E$23/12*1</f>
        <v>-15000</v>
      </c>
      <c r="V34" s="65" t="n">
        <f aca="false">-V19*Inputs!$E$20*Inputs!$E$23/12*1</f>
        <v>-15000</v>
      </c>
      <c r="W34" s="65" t="n">
        <f aca="false">-W19*Inputs!$E$20*Inputs!$E$23/12*1</f>
        <v>-15000</v>
      </c>
      <c r="X34" s="65" t="n">
        <f aca="false">-X19*Inputs!$E$20*Inputs!$E$23/12*1</f>
        <v>-15000</v>
      </c>
      <c r="Y34" s="65" t="n">
        <f aca="false">-Y19*Inputs!$E$20*Inputs!$E$23/12*1</f>
        <v>-15000</v>
      </c>
      <c r="Z34" s="65" t="n">
        <f aca="false">-Z19*Inputs!$E$20*Inputs!$E$23/12*1</f>
        <v>-15000</v>
      </c>
      <c r="AA34" s="65" t="n">
        <f aca="false">-AA19*Inputs!$E$20*Inputs!$E$23/12*1</f>
        <v>-20000</v>
      </c>
      <c r="AB34" s="65" t="n">
        <f aca="false">-AB19*Inputs!$E$20*Inputs!$E$23/12*1</f>
        <v>-20000</v>
      </c>
      <c r="AC34" s="65" t="n">
        <f aca="false">-AC19*Inputs!$E$20*Inputs!$E$23/12*1</f>
        <v>-20000</v>
      </c>
      <c r="AD34" s="65" t="n">
        <f aca="false">-AD19*Inputs!$E$20*Inputs!$E$23/12*1</f>
        <v>-20000</v>
      </c>
      <c r="AE34" s="65" t="n">
        <f aca="false">-AE19*Inputs!$E$20*Inputs!$E$23/12*1</f>
        <v>-20000</v>
      </c>
      <c r="AF34" s="65" t="n">
        <f aca="false">-AF19*Inputs!$E$20*Inputs!$E$23/12*1</f>
        <v>-20000</v>
      </c>
      <c r="AG34" s="65" t="n">
        <f aca="false">-AG19*Inputs!$E$20*Inputs!$E$23/12*1</f>
        <v>-20000</v>
      </c>
      <c r="AH34" s="65" t="n">
        <f aca="false">-AH19*Inputs!$E$20*Inputs!$E$23/12*1</f>
        <v>-20000</v>
      </c>
      <c r="AI34" s="65" t="n">
        <f aca="false">-AI19*Inputs!$E$20*Inputs!$E$23/12*1</f>
        <v>-20000</v>
      </c>
      <c r="AJ34" s="65" t="n">
        <f aca="false">-AJ19*Inputs!$E$20*Inputs!$E$23/12*1</f>
        <v>-20000</v>
      </c>
      <c r="AK34" s="65" t="n">
        <f aca="false">-AK19*Inputs!$E$20*Inputs!$E$23/12*1</f>
        <v>-20000</v>
      </c>
      <c r="AL34" s="65" t="n">
        <f aca="false">-AL19*Inputs!$E$20*Inputs!$E$23/12*1</f>
        <v>-20000</v>
      </c>
      <c r="AM34" s="65" t="n">
        <f aca="false">-AM19*Inputs!$E$20*Inputs!$E$23/12*1</f>
        <v>-25000</v>
      </c>
      <c r="AN34" s="65" t="n">
        <f aca="false">-AN19*Inputs!$E$20*Inputs!$E$23/12*1</f>
        <v>-25000</v>
      </c>
      <c r="AO34" s="65" t="n">
        <f aca="false">-AO19*Inputs!$E$20*Inputs!$E$23/12*1</f>
        <v>-25000</v>
      </c>
      <c r="AP34" s="65" t="n">
        <f aca="false">-AP19*Inputs!$E$20*Inputs!$E$23/12*1</f>
        <v>-25000</v>
      </c>
      <c r="AQ34" s="65" t="n">
        <f aca="false">-AQ19*Inputs!$E$20*Inputs!$E$23/12*1</f>
        <v>-25000</v>
      </c>
      <c r="AR34" s="65" t="n">
        <f aca="false">-AR19*Inputs!$E$20*Inputs!$E$23/12*1</f>
        <v>-25000</v>
      </c>
      <c r="AS34" s="65" t="n">
        <f aca="false">-AS19*Inputs!$E$20*Inputs!$E$23/12*1</f>
        <v>-25000</v>
      </c>
      <c r="AT34" s="65" t="n">
        <f aca="false">-AT19*Inputs!$E$20*Inputs!$E$23/12*1</f>
        <v>-25000</v>
      </c>
      <c r="AU34" s="65" t="n">
        <f aca="false">-AU19*Inputs!$E$20*Inputs!$E$23/12*1</f>
        <v>-25000</v>
      </c>
      <c r="AV34" s="65" t="n">
        <f aca="false">-AV19*Inputs!$E$20*Inputs!$E$23/12*1</f>
        <v>-25000</v>
      </c>
      <c r="AW34" s="65" t="n">
        <f aca="false">-AW19*Inputs!$E$20*Inputs!$E$23/12*1</f>
        <v>-25000</v>
      </c>
      <c r="AX34" s="65" t="n">
        <f aca="false">-AX19*Inputs!$E$20*Inputs!$E$23/12*1</f>
        <v>-25000</v>
      </c>
      <c r="AY34" s="65" t="n">
        <f aca="false">-AY19*Inputs!$E$20*Inputs!$E$23/12*1</f>
        <v>-30000</v>
      </c>
      <c r="AZ34" s="65" t="n">
        <f aca="false">-AZ19*Inputs!$E$20*Inputs!$E$23/12*1</f>
        <v>-30000</v>
      </c>
      <c r="BA34" s="65" t="n">
        <f aca="false">-BA19*Inputs!$E$20*Inputs!$E$23/12*1</f>
        <v>-30000</v>
      </c>
      <c r="BB34" s="65" t="n">
        <f aca="false">-BB19*Inputs!$E$20*Inputs!$E$23/12*1</f>
        <v>-30000</v>
      </c>
      <c r="BC34" s="65" t="n">
        <f aca="false">-BC19*Inputs!$E$20*Inputs!$E$23/12*1</f>
        <v>-30000</v>
      </c>
      <c r="BD34" s="65" t="n">
        <f aca="false">-BD19*Inputs!$E$20*Inputs!$E$23/12*1</f>
        <v>-30000</v>
      </c>
      <c r="BE34" s="65" t="n">
        <f aca="false">-BE19*Inputs!$E$20*Inputs!$E$23/12*1</f>
        <v>-30000</v>
      </c>
      <c r="BF34" s="65" t="n">
        <f aca="false">-BF19*Inputs!$E$20*Inputs!$E$23/12*1</f>
        <v>-30000</v>
      </c>
      <c r="BG34" s="65" t="n">
        <f aca="false">-BG19*Inputs!$E$20*Inputs!$E$23/12*1</f>
        <v>-30000</v>
      </c>
      <c r="BH34" s="65" t="n">
        <f aca="false">-BH19*Inputs!$E$20*Inputs!$E$23/12*1</f>
        <v>-30000</v>
      </c>
      <c r="BI34" s="65" t="n">
        <f aca="false">-BI19*Inputs!$E$20*Inputs!$E$23/12*1</f>
        <v>-30000</v>
      </c>
      <c r="BJ34" s="65" t="n">
        <f aca="false">-BJ19*Inputs!$E$20*Inputs!$E$23/12*1</f>
        <v>-30000</v>
      </c>
    </row>
    <row r="35" customFormat="false" ht="15" hidden="false" customHeight="false" outlineLevel="0" collapsed="false">
      <c r="A35" s="6" t="s">
        <v>334</v>
      </c>
      <c r="C35" s="65" t="n">
        <f aca="false">-C19*Inputs!$E$24*1</f>
        <v>-5000</v>
      </c>
      <c r="D35" s="65" t="n">
        <f aca="false">-D19*Inputs!$E$24*1</f>
        <v>-5000</v>
      </c>
      <c r="E35" s="65" t="n">
        <f aca="false">-E19*Inputs!$E$24*1</f>
        <v>-5000</v>
      </c>
      <c r="F35" s="65" t="n">
        <f aca="false">-F19*Inputs!$E$24*1</f>
        <v>-5000</v>
      </c>
      <c r="G35" s="65" t="n">
        <f aca="false">-G19*Inputs!$E$24*1</f>
        <v>-5000</v>
      </c>
      <c r="H35" s="65" t="n">
        <f aca="false">-H19*Inputs!$E$24*1</f>
        <v>-5000</v>
      </c>
      <c r="I35" s="65" t="n">
        <f aca="false">-I19*Inputs!$E$24*1</f>
        <v>-5000</v>
      </c>
      <c r="J35" s="65" t="n">
        <f aca="false">-J19*Inputs!$E$24*1</f>
        <v>-5000</v>
      </c>
      <c r="K35" s="65" t="n">
        <f aca="false">-K19*Inputs!$E$24*1</f>
        <v>-5000</v>
      </c>
      <c r="L35" s="65" t="n">
        <f aca="false">-L19*Inputs!$E$24*1</f>
        <v>-5000</v>
      </c>
      <c r="M35" s="65" t="n">
        <f aca="false">-M19*Inputs!$E$24*1</f>
        <v>-5000</v>
      </c>
      <c r="N35" s="65" t="n">
        <f aca="false">-N19*Inputs!$E$24*1</f>
        <v>-5000</v>
      </c>
      <c r="O35" s="65" t="n">
        <f aca="false">-O19*Inputs!$E$24*1</f>
        <v>-7500</v>
      </c>
      <c r="P35" s="65" t="n">
        <f aca="false">-P19*Inputs!$E$24*1</f>
        <v>-7500</v>
      </c>
      <c r="Q35" s="65" t="n">
        <f aca="false">-Q19*Inputs!$E$24*1</f>
        <v>-7500</v>
      </c>
      <c r="R35" s="65" t="n">
        <f aca="false">-R19*Inputs!$E$24*1</f>
        <v>-7500</v>
      </c>
      <c r="S35" s="65" t="n">
        <f aca="false">-S19*Inputs!$E$24*1</f>
        <v>-7500</v>
      </c>
      <c r="T35" s="65" t="n">
        <f aca="false">-T19*Inputs!$E$24*1</f>
        <v>-7500</v>
      </c>
      <c r="U35" s="65" t="n">
        <f aca="false">-U19*Inputs!$E$24*1</f>
        <v>-7500</v>
      </c>
      <c r="V35" s="65" t="n">
        <f aca="false">-V19*Inputs!$E$24*1</f>
        <v>-7500</v>
      </c>
      <c r="W35" s="65" t="n">
        <f aca="false">-W19*Inputs!$E$24*1</f>
        <v>-7500</v>
      </c>
      <c r="X35" s="65" t="n">
        <f aca="false">-X19*Inputs!$E$24*1</f>
        <v>-7500</v>
      </c>
      <c r="Y35" s="65" t="n">
        <f aca="false">-Y19*Inputs!$E$24*1</f>
        <v>-7500</v>
      </c>
      <c r="Z35" s="65" t="n">
        <f aca="false">-Z19*Inputs!$E$24*1</f>
        <v>-7500</v>
      </c>
      <c r="AA35" s="65" t="n">
        <f aca="false">-AA19*Inputs!$E$24*1</f>
        <v>-10000</v>
      </c>
      <c r="AB35" s="65" t="n">
        <f aca="false">-AB19*Inputs!$E$24*1</f>
        <v>-10000</v>
      </c>
      <c r="AC35" s="65" t="n">
        <f aca="false">-AC19*Inputs!$E$24*1</f>
        <v>-10000</v>
      </c>
      <c r="AD35" s="65" t="n">
        <f aca="false">-AD19*Inputs!$E$24*1</f>
        <v>-10000</v>
      </c>
      <c r="AE35" s="65" t="n">
        <f aca="false">-AE19*Inputs!$E$24*1</f>
        <v>-10000</v>
      </c>
      <c r="AF35" s="65" t="n">
        <f aca="false">-AF19*Inputs!$E$24*1</f>
        <v>-10000</v>
      </c>
      <c r="AG35" s="65" t="n">
        <f aca="false">-AG19*Inputs!$E$24*1</f>
        <v>-10000</v>
      </c>
      <c r="AH35" s="65" t="n">
        <f aca="false">-AH19*Inputs!$E$24*1</f>
        <v>-10000</v>
      </c>
      <c r="AI35" s="65" t="n">
        <f aca="false">-AI19*Inputs!$E$24*1</f>
        <v>-10000</v>
      </c>
      <c r="AJ35" s="65" t="n">
        <f aca="false">-AJ19*Inputs!$E$24*1</f>
        <v>-10000</v>
      </c>
      <c r="AK35" s="65" t="n">
        <f aca="false">-AK19*Inputs!$E$24*1</f>
        <v>-10000</v>
      </c>
      <c r="AL35" s="65" t="n">
        <f aca="false">-AL19*Inputs!$E$24*1</f>
        <v>-10000</v>
      </c>
      <c r="AM35" s="65" t="n">
        <f aca="false">-AM19*Inputs!$E$24*1</f>
        <v>-12500</v>
      </c>
      <c r="AN35" s="65" t="n">
        <f aca="false">-AN19*Inputs!$E$24*1</f>
        <v>-12500</v>
      </c>
      <c r="AO35" s="65" t="n">
        <f aca="false">-AO19*Inputs!$E$24*1</f>
        <v>-12500</v>
      </c>
      <c r="AP35" s="65" t="n">
        <f aca="false">-AP19*Inputs!$E$24*1</f>
        <v>-12500</v>
      </c>
      <c r="AQ35" s="65" t="n">
        <f aca="false">-AQ19*Inputs!$E$24*1</f>
        <v>-12500</v>
      </c>
      <c r="AR35" s="65" t="n">
        <f aca="false">-AR19*Inputs!$E$24*1</f>
        <v>-12500</v>
      </c>
      <c r="AS35" s="65" t="n">
        <f aca="false">-AS19*Inputs!$E$24*1</f>
        <v>-12500</v>
      </c>
      <c r="AT35" s="65" t="n">
        <f aca="false">-AT19*Inputs!$E$24*1</f>
        <v>-12500</v>
      </c>
      <c r="AU35" s="65" t="n">
        <f aca="false">-AU19*Inputs!$E$24*1</f>
        <v>-12500</v>
      </c>
      <c r="AV35" s="65" t="n">
        <f aca="false">-AV19*Inputs!$E$24*1</f>
        <v>-12500</v>
      </c>
      <c r="AW35" s="65" t="n">
        <f aca="false">-AW19*Inputs!$E$24*1</f>
        <v>-12500</v>
      </c>
      <c r="AX35" s="65" t="n">
        <f aca="false">-AX19*Inputs!$E$24*1</f>
        <v>-12500</v>
      </c>
      <c r="AY35" s="65" t="n">
        <f aca="false">-AY19*Inputs!$E$24*1</f>
        <v>-15000</v>
      </c>
      <c r="AZ35" s="65" t="n">
        <f aca="false">-AZ19*Inputs!$E$24*1</f>
        <v>-15000</v>
      </c>
      <c r="BA35" s="65" t="n">
        <f aca="false">-BA19*Inputs!$E$24*1</f>
        <v>-15000</v>
      </c>
      <c r="BB35" s="65" t="n">
        <f aca="false">-BB19*Inputs!$E$24*1</f>
        <v>-15000</v>
      </c>
      <c r="BC35" s="65" t="n">
        <f aca="false">-BC19*Inputs!$E$24*1</f>
        <v>-15000</v>
      </c>
      <c r="BD35" s="65" t="n">
        <f aca="false">-BD19*Inputs!$E$24*1</f>
        <v>-15000</v>
      </c>
      <c r="BE35" s="65" t="n">
        <f aca="false">-BE19*Inputs!$E$24*1</f>
        <v>-15000</v>
      </c>
      <c r="BF35" s="65" t="n">
        <f aca="false">-BF19*Inputs!$E$24*1</f>
        <v>-15000</v>
      </c>
      <c r="BG35" s="65" t="n">
        <f aca="false">-BG19*Inputs!$E$24*1</f>
        <v>-15000</v>
      </c>
      <c r="BH35" s="65" t="n">
        <f aca="false">-BH19*Inputs!$E$24*1</f>
        <v>-15000</v>
      </c>
      <c r="BI35" s="65" t="n">
        <f aca="false">-BI19*Inputs!$E$24*1</f>
        <v>-15000</v>
      </c>
      <c r="BJ35" s="65" t="n">
        <f aca="false">-BJ19*Inputs!$E$24*1</f>
        <v>-15000</v>
      </c>
    </row>
    <row r="36" customFormat="false" ht="15" hidden="false" customHeight="false" outlineLevel="0" collapsed="false">
      <c r="A36" s="6" t="s">
        <v>335</v>
      </c>
      <c r="C36" s="65" t="n">
        <f aca="false">-Inputs!$E$33*1</f>
        <v>-4000</v>
      </c>
      <c r="D36" s="65" t="n">
        <f aca="false">-Inputs!$E$33*1</f>
        <v>-4000</v>
      </c>
      <c r="E36" s="65" t="n">
        <f aca="false">-Inputs!$E$33*1</f>
        <v>-4000</v>
      </c>
      <c r="F36" s="65" t="n">
        <f aca="false">-Inputs!$E$33*1</f>
        <v>-4000</v>
      </c>
      <c r="G36" s="65" t="n">
        <f aca="false">-Inputs!$E$33*1</f>
        <v>-4000</v>
      </c>
      <c r="H36" s="65" t="n">
        <f aca="false">-Inputs!$E$33*1</f>
        <v>-4000</v>
      </c>
      <c r="I36" s="65" t="n">
        <f aca="false">-Inputs!$E$33*1</f>
        <v>-4000</v>
      </c>
      <c r="J36" s="65" t="n">
        <f aca="false">-Inputs!$E$33*1</f>
        <v>-4000</v>
      </c>
      <c r="K36" s="65" t="n">
        <f aca="false">-Inputs!$E$33*1</f>
        <v>-4000</v>
      </c>
      <c r="L36" s="65" t="n">
        <f aca="false">-Inputs!$E$33*1</f>
        <v>-4000</v>
      </c>
      <c r="M36" s="65" t="n">
        <f aca="false">-Inputs!$E$33*1</f>
        <v>-4000</v>
      </c>
      <c r="N36" s="65" t="n">
        <f aca="false">-Inputs!$E$33*1</f>
        <v>-4000</v>
      </c>
      <c r="O36" s="65" t="n">
        <f aca="false">-Inputs!$E$33*1</f>
        <v>-4000</v>
      </c>
      <c r="P36" s="65" t="n">
        <f aca="false">-Inputs!$E$33*1</f>
        <v>-4000</v>
      </c>
      <c r="Q36" s="65" t="n">
        <f aca="false">-Inputs!$E$33*1</f>
        <v>-4000</v>
      </c>
      <c r="R36" s="65" t="n">
        <f aca="false">-Inputs!$E$33*1</f>
        <v>-4000</v>
      </c>
      <c r="S36" s="65" t="n">
        <f aca="false">-Inputs!$E$33*1</f>
        <v>-4000</v>
      </c>
      <c r="T36" s="65" t="n">
        <f aca="false">-Inputs!$E$33*1</f>
        <v>-4000</v>
      </c>
      <c r="U36" s="65" t="n">
        <f aca="false">-Inputs!$E$33*1</f>
        <v>-4000</v>
      </c>
      <c r="V36" s="65" t="n">
        <f aca="false">-Inputs!$E$33*1</f>
        <v>-4000</v>
      </c>
      <c r="W36" s="65" t="n">
        <f aca="false">-Inputs!$E$33*1</f>
        <v>-4000</v>
      </c>
      <c r="X36" s="65" t="n">
        <f aca="false">-Inputs!$E$33*1</f>
        <v>-4000</v>
      </c>
      <c r="Y36" s="65" t="n">
        <f aca="false">-Inputs!$E$33*1</f>
        <v>-4000</v>
      </c>
      <c r="Z36" s="65" t="n">
        <f aca="false">-Inputs!$E$33*1</f>
        <v>-4000</v>
      </c>
      <c r="AA36" s="65" t="n">
        <f aca="false">-Inputs!$E$33*1</f>
        <v>-4000</v>
      </c>
      <c r="AB36" s="65" t="n">
        <f aca="false">-Inputs!$E$33*1</f>
        <v>-4000</v>
      </c>
      <c r="AC36" s="65" t="n">
        <f aca="false">-Inputs!$E$33*1</f>
        <v>-4000</v>
      </c>
      <c r="AD36" s="65" t="n">
        <f aca="false">-Inputs!$E$33*1</f>
        <v>-4000</v>
      </c>
      <c r="AE36" s="65" t="n">
        <f aca="false">-Inputs!$E$33*1</f>
        <v>-4000</v>
      </c>
      <c r="AF36" s="65" t="n">
        <f aca="false">-Inputs!$E$33*1</f>
        <v>-4000</v>
      </c>
      <c r="AG36" s="65" t="n">
        <f aca="false">-Inputs!$E$33*1</f>
        <v>-4000</v>
      </c>
      <c r="AH36" s="65" t="n">
        <f aca="false">-Inputs!$E$33*1</f>
        <v>-4000</v>
      </c>
      <c r="AI36" s="65" t="n">
        <f aca="false">-Inputs!$E$33*1</f>
        <v>-4000</v>
      </c>
      <c r="AJ36" s="65" t="n">
        <f aca="false">-Inputs!$E$33*1</f>
        <v>-4000</v>
      </c>
      <c r="AK36" s="65" t="n">
        <f aca="false">-Inputs!$E$33*1</f>
        <v>-4000</v>
      </c>
      <c r="AL36" s="65" t="n">
        <f aca="false">-Inputs!$E$33*1</f>
        <v>-4000</v>
      </c>
      <c r="AM36" s="65" t="n">
        <f aca="false">-Inputs!$E$33*1</f>
        <v>-4000</v>
      </c>
      <c r="AN36" s="65" t="n">
        <f aca="false">-Inputs!$E$33*1</f>
        <v>-4000</v>
      </c>
      <c r="AO36" s="65" t="n">
        <f aca="false">-Inputs!$E$33*1</f>
        <v>-4000</v>
      </c>
      <c r="AP36" s="65" t="n">
        <f aca="false">-Inputs!$E$33*1</f>
        <v>-4000</v>
      </c>
      <c r="AQ36" s="65" t="n">
        <f aca="false">-Inputs!$E$33*1</f>
        <v>-4000</v>
      </c>
      <c r="AR36" s="65" t="n">
        <f aca="false">-Inputs!$E$33*1</f>
        <v>-4000</v>
      </c>
      <c r="AS36" s="65" t="n">
        <f aca="false">-Inputs!$E$33*1</f>
        <v>-4000</v>
      </c>
      <c r="AT36" s="65" t="n">
        <f aca="false">-Inputs!$E$33*1</f>
        <v>-4000</v>
      </c>
      <c r="AU36" s="65" t="n">
        <f aca="false">-Inputs!$E$33*1</f>
        <v>-4000</v>
      </c>
      <c r="AV36" s="65" t="n">
        <f aca="false">-Inputs!$E$33*1</f>
        <v>-4000</v>
      </c>
      <c r="AW36" s="65" t="n">
        <f aca="false">-Inputs!$E$33*1</f>
        <v>-4000</v>
      </c>
      <c r="AX36" s="65" t="n">
        <f aca="false">-Inputs!$E$33*1</f>
        <v>-4000</v>
      </c>
      <c r="AY36" s="65" t="n">
        <f aca="false">-Inputs!$E$33*1</f>
        <v>-4000</v>
      </c>
      <c r="AZ36" s="65" t="n">
        <f aca="false">-Inputs!$E$33*1</f>
        <v>-4000</v>
      </c>
      <c r="BA36" s="65" t="n">
        <f aca="false">-Inputs!$E$33*1</f>
        <v>-4000</v>
      </c>
      <c r="BB36" s="65" t="n">
        <f aca="false">-Inputs!$E$33*1</f>
        <v>-4000</v>
      </c>
      <c r="BC36" s="65" t="n">
        <f aca="false">-Inputs!$E$33*1</f>
        <v>-4000</v>
      </c>
      <c r="BD36" s="65" t="n">
        <f aca="false">-Inputs!$E$33*1</f>
        <v>-4000</v>
      </c>
      <c r="BE36" s="65" t="n">
        <f aca="false">-Inputs!$E$33*1</f>
        <v>-4000</v>
      </c>
      <c r="BF36" s="65" t="n">
        <f aca="false">-Inputs!$E$33*1</f>
        <v>-4000</v>
      </c>
      <c r="BG36" s="65" t="n">
        <f aca="false">-Inputs!$E$33*1</f>
        <v>-4000</v>
      </c>
      <c r="BH36" s="65" t="n">
        <f aca="false">-Inputs!$E$33*1</f>
        <v>-4000</v>
      </c>
      <c r="BI36" s="65" t="n">
        <f aca="false">-Inputs!$E$33*1</f>
        <v>-4000</v>
      </c>
      <c r="BJ36" s="65" t="n">
        <f aca="false">-Inputs!$E$33*1</f>
        <v>-4000</v>
      </c>
    </row>
    <row r="37" customFormat="false" ht="15" hidden="false" customHeight="false" outlineLevel="0" collapsed="false">
      <c r="A37" s="6" t="s">
        <v>336</v>
      </c>
      <c r="C37" s="65" t="n">
        <f aca="false">-Inputs!$E$34*1</f>
        <v>-8000</v>
      </c>
      <c r="D37" s="65" t="n">
        <f aca="false">-Inputs!$E$34*1</f>
        <v>-8000</v>
      </c>
      <c r="E37" s="65" t="n">
        <f aca="false">-Inputs!$E$34*1</f>
        <v>-8000</v>
      </c>
      <c r="F37" s="65" t="n">
        <f aca="false">-Inputs!$E$34*1</f>
        <v>-8000</v>
      </c>
      <c r="G37" s="65" t="n">
        <f aca="false">-Inputs!$E$34*1</f>
        <v>-8000</v>
      </c>
      <c r="H37" s="65" t="n">
        <f aca="false">-Inputs!$E$34*1</f>
        <v>-8000</v>
      </c>
      <c r="I37" s="65" t="n">
        <f aca="false">-Inputs!$E$34*1</f>
        <v>-8000</v>
      </c>
      <c r="J37" s="65" t="n">
        <f aca="false">-Inputs!$E$34*1</f>
        <v>-8000</v>
      </c>
      <c r="K37" s="65" t="n">
        <f aca="false">-Inputs!$E$34*1</f>
        <v>-8000</v>
      </c>
      <c r="L37" s="65" t="n">
        <f aca="false">-Inputs!$E$34*1</f>
        <v>-8000</v>
      </c>
      <c r="M37" s="65" t="n">
        <f aca="false">-Inputs!$E$34*1</f>
        <v>-8000</v>
      </c>
      <c r="N37" s="65" t="n">
        <f aca="false">-Inputs!$E$34*1</f>
        <v>-8000</v>
      </c>
      <c r="O37" s="65" t="n">
        <f aca="false">-Inputs!$E$34*1</f>
        <v>-8000</v>
      </c>
      <c r="P37" s="65" t="n">
        <f aca="false">-Inputs!$E$34*1</f>
        <v>-8000</v>
      </c>
      <c r="Q37" s="65" t="n">
        <f aca="false">-Inputs!$E$34*1</f>
        <v>-8000</v>
      </c>
      <c r="R37" s="65" t="n">
        <f aca="false">-Inputs!$E$34*1</f>
        <v>-8000</v>
      </c>
      <c r="S37" s="65" t="n">
        <f aca="false">-Inputs!$E$34*1</f>
        <v>-8000</v>
      </c>
      <c r="T37" s="65" t="n">
        <f aca="false">-Inputs!$E$34*1</f>
        <v>-8000</v>
      </c>
      <c r="U37" s="65" t="n">
        <f aca="false">-Inputs!$E$34*1</f>
        <v>-8000</v>
      </c>
      <c r="V37" s="65" t="n">
        <f aca="false">-Inputs!$E$34*1</f>
        <v>-8000</v>
      </c>
      <c r="W37" s="65" t="n">
        <f aca="false">-Inputs!$E$34*1</f>
        <v>-8000</v>
      </c>
      <c r="X37" s="65" t="n">
        <f aca="false">-Inputs!$E$34*1</f>
        <v>-8000</v>
      </c>
      <c r="Y37" s="65" t="n">
        <f aca="false">-Inputs!$E$34*1</f>
        <v>-8000</v>
      </c>
      <c r="Z37" s="65" t="n">
        <f aca="false">-Inputs!$E$34*1</f>
        <v>-8000</v>
      </c>
      <c r="AA37" s="65" t="n">
        <f aca="false">-Inputs!$E$34*1</f>
        <v>-8000</v>
      </c>
      <c r="AB37" s="65" t="n">
        <f aca="false">-Inputs!$E$34*1</f>
        <v>-8000</v>
      </c>
      <c r="AC37" s="65" t="n">
        <f aca="false">-Inputs!$E$34*1</f>
        <v>-8000</v>
      </c>
      <c r="AD37" s="65" t="n">
        <f aca="false">-Inputs!$E$34*1</f>
        <v>-8000</v>
      </c>
      <c r="AE37" s="65" t="n">
        <f aca="false">-Inputs!$E$34*1</f>
        <v>-8000</v>
      </c>
      <c r="AF37" s="65" t="n">
        <f aca="false">-Inputs!$E$34*1</f>
        <v>-8000</v>
      </c>
      <c r="AG37" s="65" t="n">
        <f aca="false">-Inputs!$E$34*1</f>
        <v>-8000</v>
      </c>
      <c r="AH37" s="65" t="n">
        <f aca="false">-Inputs!$E$34*1</f>
        <v>-8000</v>
      </c>
      <c r="AI37" s="65" t="n">
        <f aca="false">-Inputs!$E$34*1</f>
        <v>-8000</v>
      </c>
      <c r="AJ37" s="65" t="n">
        <f aca="false">-Inputs!$E$34*1</f>
        <v>-8000</v>
      </c>
      <c r="AK37" s="65" t="n">
        <f aca="false">-Inputs!$E$34*1</f>
        <v>-8000</v>
      </c>
      <c r="AL37" s="65" t="n">
        <f aca="false">-Inputs!$E$34*1</f>
        <v>-8000</v>
      </c>
      <c r="AM37" s="65" t="n">
        <f aca="false">-Inputs!$E$34*1</f>
        <v>-8000</v>
      </c>
      <c r="AN37" s="65" t="n">
        <f aca="false">-Inputs!$E$34*1</f>
        <v>-8000</v>
      </c>
      <c r="AO37" s="65" t="n">
        <f aca="false">-Inputs!$E$34*1</f>
        <v>-8000</v>
      </c>
      <c r="AP37" s="65" t="n">
        <f aca="false">-Inputs!$E$34*1</f>
        <v>-8000</v>
      </c>
      <c r="AQ37" s="65" t="n">
        <f aca="false">-Inputs!$E$34*1</f>
        <v>-8000</v>
      </c>
      <c r="AR37" s="65" t="n">
        <f aca="false">-Inputs!$E$34*1</f>
        <v>-8000</v>
      </c>
      <c r="AS37" s="65" t="n">
        <f aca="false">-Inputs!$E$34*1</f>
        <v>-8000</v>
      </c>
      <c r="AT37" s="65" t="n">
        <f aca="false">-Inputs!$E$34*1</f>
        <v>-8000</v>
      </c>
      <c r="AU37" s="65" t="n">
        <f aca="false">-Inputs!$E$34*1</f>
        <v>-8000</v>
      </c>
      <c r="AV37" s="65" t="n">
        <f aca="false">-Inputs!$E$34*1</f>
        <v>-8000</v>
      </c>
      <c r="AW37" s="65" t="n">
        <f aca="false">-Inputs!$E$34*1</f>
        <v>-8000</v>
      </c>
      <c r="AX37" s="65" t="n">
        <f aca="false">-Inputs!$E$34*1</f>
        <v>-8000</v>
      </c>
      <c r="AY37" s="65" t="n">
        <f aca="false">-Inputs!$E$34*1</f>
        <v>-8000</v>
      </c>
      <c r="AZ37" s="65" t="n">
        <f aca="false">-Inputs!$E$34*1</f>
        <v>-8000</v>
      </c>
      <c r="BA37" s="65" t="n">
        <f aca="false">-Inputs!$E$34*1</f>
        <v>-8000</v>
      </c>
      <c r="BB37" s="65" t="n">
        <f aca="false">-Inputs!$E$34*1</f>
        <v>-8000</v>
      </c>
      <c r="BC37" s="65" t="n">
        <f aca="false">-Inputs!$E$34*1</f>
        <v>-8000</v>
      </c>
      <c r="BD37" s="65" t="n">
        <f aca="false">-Inputs!$E$34*1</f>
        <v>-8000</v>
      </c>
      <c r="BE37" s="65" t="n">
        <f aca="false">-Inputs!$E$34*1</f>
        <v>-8000</v>
      </c>
      <c r="BF37" s="65" t="n">
        <f aca="false">-Inputs!$E$34*1</f>
        <v>-8000</v>
      </c>
      <c r="BG37" s="65" t="n">
        <f aca="false">-Inputs!$E$34*1</f>
        <v>-8000</v>
      </c>
      <c r="BH37" s="65" t="n">
        <f aca="false">-Inputs!$E$34*1</f>
        <v>-8000</v>
      </c>
      <c r="BI37" s="65" t="n">
        <f aca="false">-Inputs!$E$34*1</f>
        <v>-8000</v>
      </c>
      <c r="BJ37" s="65" t="n">
        <f aca="false">-Inputs!$E$34*1</f>
        <v>-8000</v>
      </c>
    </row>
    <row r="38" customFormat="false" ht="15" hidden="false" customHeight="false" outlineLevel="0" collapsed="false">
      <c r="A38" s="110" t="s">
        <v>77</v>
      </c>
      <c r="C38" s="66" t="n">
        <f aca="false">C30+C31+C32+C33+C34+C35+C36+C37</f>
        <v>-238213.400238095</v>
      </c>
      <c r="D38" s="66" t="n">
        <f aca="false">D30+D31+D32+D33+D34+D35+D36+D37</f>
        <v>-238213.400238095</v>
      </c>
      <c r="E38" s="66" t="n">
        <f aca="false">E30+E31+E32+E33+E34+E35+E36+E37</f>
        <v>-238213.400238095</v>
      </c>
      <c r="F38" s="66" t="n">
        <f aca="false">F30+F31+F32+F33+F34+F35+F36+F37</f>
        <v>-238213.400238095</v>
      </c>
      <c r="G38" s="66" t="n">
        <f aca="false">G30+G31+G32+G33+G34+G35+G36+G37</f>
        <v>-238213.400238095</v>
      </c>
      <c r="H38" s="66" t="n">
        <f aca="false">H30+H31+H32+H33+H34+H35+H36+H37</f>
        <v>-238213.400238095</v>
      </c>
      <c r="I38" s="66" t="n">
        <f aca="false">I30+I31+I32+I33+I34+I35+I36+I37</f>
        <v>-238213.400238095</v>
      </c>
      <c r="J38" s="66" t="n">
        <f aca="false">J30+J31+J32+J33+J34+J35+J36+J37</f>
        <v>-238213.400238095</v>
      </c>
      <c r="K38" s="66" t="n">
        <f aca="false">K30+K31+K32+K33+K34+K35+K36+K37</f>
        <v>-238213.400238095</v>
      </c>
      <c r="L38" s="66" t="n">
        <f aca="false">L30+L31+L32+L33+L34+L35+L36+L37</f>
        <v>-238213.400238095</v>
      </c>
      <c r="M38" s="66" t="n">
        <f aca="false">M30+M31+M32+M33+M34+M35+M36+M37</f>
        <v>-249518.570238095</v>
      </c>
      <c r="N38" s="66" t="n">
        <f aca="false">N30+N31+N32+N33+N34+N35+N36+N37</f>
        <v>-249518.570238095</v>
      </c>
      <c r="O38" s="66" t="n">
        <f aca="false">O30+O31+O32+O33+O34+O35+O36+O37</f>
        <v>-296104.084440476</v>
      </c>
      <c r="P38" s="66" t="n">
        <f aca="false">P30+P31+P32+P33+P34+P35+P36+P37</f>
        <v>-296104.084440476</v>
      </c>
      <c r="Q38" s="66" t="n">
        <f aca="false">Q30+Q31+Q32+Q33+Q34+Q35+Q36+Q37</f>
        <v>-296104.084440476</v>
      </c>
      <c r="R38" s="66" t="n">
        <f aca="false">R30+R31+R32+R33+R34+R35+R36+R37</f>
        <v>-296104.084440476</v>
      </c>
      <c r="S38" s="66" t="n">
        <f aca="false">S30+S31+S32+S33+S34+S35+S36+S37</f>
        <v>-296104.084440476</v>
      </c>
      <c r="T38" s="66" t="n">
        <f aca="false">T30+T31+T32+T33+T34+T35+T36+T37</f>
        <v>-296104.084440476</v>
      </c>
      <c r="U38" s="66" t="n">
        <f aca="false">U30+U31+U32+U33+U34+U35+U36+U37</f>
        <v>-296104.084440476</v>
      </c>
      <c r="V38" s="66" t="n">
        <f aca="false">V30+V31+V32+V33+V34+V35+V36+V37</f>
        <v>-296104.084440476</v>
      </c>
      <c r="W38" s="66" t="n">
        <f aca="false">W30+W31+W32+W33+W34+W35+W36+W37</f>
        <v>-296104.084440476</v>
      </c>
      <c r="X38" s="66" t="n">
        <f aca="false">X30+X31+X32+X33+X34+X35+X36+X37</f>
        <v>-296104.084440476</v>
      </c>
      <c r="Y38" s="66" t="n">
        <f aca="false">Y30+Y31+Y32+Y33+Y34+Y35+Y36+Y37</f>
        <v>-310543.184940476</v>
      </c>
      <c r="Z38" s="66" t="n">
        <f aca="false">Z30+Z31+Z32+Z33+Z34+Z35+Z36+Z37</f>
        <v>-310543.184940476</v>
      </c>
      <c r="AA38" s="66" t="n">
        <f aca="false">AA30+AA31+AA32+AA33+AA34+AA35+AA36+AA37</f>
        <v>-366070.605964583</v>
      </c>
      <c r="AB38" s="66" t="n">
        <f aca="false">AB30+AB31+AB32+AB33+AB34+AB35+AB36+AB37</f>
        <v>-366070.605964583</v>
      </c>
      <c r="AC38" s="66" t="n">
        <f aca="false">AC30+AC31+AC32+AC33+AC34+AC35+AC36+AC37</f>
        <v>-366070.605964583</v>
      </c>
      <c r="AD38" s="66" t="n">
        <f aca="false">AD30+AD31+AD32+AD33+AD34+AD35+AD36+AD37</f>
        <v>-366070.605964583</v>
      </c>
      <c r="AE38" s="66" t="n">
        <f aca="false">AE30+AE31+AE32+AE33+AE34+AE35+AE36+AE37</f>
        <v>-366070.605964583</v>
      </c>
      <c r="AF38" s="66" t="n">
        <f aca="false">AF30+AF31+AF32+AF33+AF34+AF35+AF36+AF37</f>
        <v>-366070.605964583</v>
      </c>
      <c r="AG38" s="66" t="n">
        <f aca="false">AG30+AG31+AG32+AG33+AG34+AG35+AG36+AG37</f>
        <v>-366070.605964583</v>
      </c>
      <c r="AH38" s="66" t="n">
        <f aca="false">AH30+AH31+AH32+AH33+AH34+AH35+AH36+AH37</f>
        <v>-366070.605964583</v>
      </c>
      <c r="AI38" s="66" t="n">
        <f aca="false">AI30+AI31+AI32+AI33+AI34+AI35+AI36+AI37</f>
        <v>-366070.605964583</v>
      </c>
      <c r="AJ38" s="66" t="n">
        <f aca="false">AJ30+AJ31+AJ32+AJ33+AJ34+AJ35+AJ36+AJ37</f>
        <v>-366070.605964583</v>
      </c>
      <c r="AK38" s="66" t="n">
        <f aca="false">AK30+AK31+AK32+AK33+AK34+AK35+AK36+AK37</f>
        <v>-384339.767164583</v>
      </c>
      <c r="AL38" s="66" t="n">
        <f aca="false">AL30+AL31+AL32+AL33+AL34+AL35+AL36+AL37</f>
        <v>-384339.767164583</v>
      </c>
      <c r="AM38" s="66" t="n">
        <f aca="false">AM30+AM31+AM32+AM33+AM34+AM35+AM36+AM37</f>
        <v>-451191.220485478</v>
      </c>
      <c r="AN38" s="66" t="n">
        <f aca="false">AN30+AN31+AN32+AN33+AN34+AN35+AN36+AN37</f>
        <v>-451191.220485478</v>
      </c>
      <c r="AO38" s="66" t="n">
        <f aca="false">AO30+AO31+AO32+AO33+AO34+AO35+AO36+AO37</f>
        <v>-451191.220485478</v>
      </c>
      <c r="AP38" s="66" t="n">
        <f aca="false">AP30+AP31+AP32+AP33+AP34+AP35+AP36+AP37</f>
        <v>-451191.220485478</v>
      </c>
      <c r="AQ38" s="66" t="n">
        <f aca="false">AQ30+AQ31+AQ32+AQ33+AQ34+AQ35+AQ36+AQ37</f>
        <v>-451191.220485478</v>
      </c>
      <c r="AR38" s="66" t="n">
        <f aca="false">AR30+AR31+AR32+AR33+AR34+AR35+AR36+AR37</f>
        <v>-451191.220485478</v>
      </c>
      <c r="AS38" s="66" t="n">
        <f aca="false">AS30+AS31+AS32+AS33+AS34+AS35+AS36+AS37</f>
        <v>-451191.220485478</v>
      </c>
      <c r="AT38" s="66" t="n">
        <f aca="false">AT30+AT31+AT32+AT33+AT34+AT35+AT36+AT37</f>
        <v>-451191.220485478</v>
      </c>
      <c r="AU38" s="66" t="n">
        <f aca="false">AU30+AU31+AU32+AU33+AU34+AU35+AU36+AU37</f>
        <v>-451191.220485478</v>
      </c>
      <c r="AV38" s="66" t="n">
        <f aca="false">AV30+AV31+AV32+AV33+AV34+AV35+AV36+AV37</f>
        <v>-451191.220485478</v>
      </c>
      <c r="AW38" s="66" t="n">
        <f aca="false">AW30+AW31+AW32+AW33+AW34+AW35+AW36+AW37</f>
        <v>-474160.401015478</v>
      </c>
      <c r="AX38" s="66" t="n">
        <f aca="false">AX30+AX31+AX32+AX33+AX34+AX35+AX36+AX37</f>
        <v>-474160.401015478</v>
      </c>
      <c r="AY38" s="66" t="n">
        <f aca="false">AY30+AY31+AY32+AY33+AY34+AY35+AY36+AY37</f>
        <v>-555368.618037209</v>
      </c>
      <c r="AZ38" s="66" t="n">
        <f aca="false">AZ30+AZ31+AZ32+AZ33+AZ34+AZ35+AZ36+AZ37</f>
        <v>-555368.618037209</v>
      </c>
      <c r="BA38" s="66" t="n">
        <f aca="false">BA30+BA31+BA32+BA33+BA34+BA35+BA36+BA37</f>
        <v>-555368.618037209</v>
      </c>
      <c r="BB38" s="66" t="n">
        <f aca="false">BB30+BB31+BB32+BB33+BB34+BB35+BB36+BB37</f>
        <v>-555368.618037209</v>
      </c>
      <c r="BC38" s="66" t="n">
        <f aca="false">BC30+BC31+BC32+BC33+BC34+BC35+BC36+BC37</f>
        <v>-555368.618037209</v>
      </c>
      <c r="BD38" s="66" t="n">
        <f aca="false">BD30+BD31+BD32+BD33+BD34+BD35+BD36+BD37</f>
        <v>-555368.618037209</v>
      </c>
      <c r="BE38" s="66" t="n">
        <f aca="false">BE30+BE31+BE32+BE33+BE34+BE35+BE36+BE37</f>
        <v>-555368.618037209</v>
      </c>
      <c r="BF38" s="66" t="n">
        <f aca="false">BF30+BF31+BF32+BF33+BF34+BF35+BF36+BF37</f>
        <v>-555368.618037209</v>
      </c>
      <c r="BG38" s="66" t="n">
        <f aca="false">BG30+BG31+BG32+BG33+BG34+BG35+BG36+BG37</f>
        <v>-555368.618037209</v>
      </c>
      <c r="BH38" s="66" t="n">
        <f aca="false">BH30+BH31+BH32+BH33+BH34+BH35+BH36+BH37</f>
        <v>-555368.618037209</v>
      </c>
      <c r="BI38" s="66" t="n">
        <f aca="false">BI30+BI31+BI32+BI33+BI34+BI35+BI36+BI37</f>
        <v>-584126.027424734</v>
      </c>
      <c r="BJ38" s="66" t="n">
        <f aca="false">BJ30+BJ31+BJ32+BJ33+BJ34+BJ35+BJ36+BJ37</f>
        <v>-584126.027424734</v>
      </c>
    </row>
    <row r="39" customFormat="false" ht="15" hidden="false" customHeight="false" outlineLevel="0" collapsed="false">
      <c r="A39" s="110" t="s">
        <v>48</v>
      </c>
      <c r="C39" s="66" t="n">
        <f aca="false">C27+C38</f>
        <v>18640.8011904762</v>
      </c>
      <c r="D39" s="66" t="n">
        <f aca="false">D27+D38</f>
        <v>18640.8011904762</v>
      </c>
      <c r="E39" s="66" t="n">
        <f aca="false">E27+E38</f>
        <v>18640.8011904762</v>
      </c>
      <c r="F39" s="66" t="n">
        <f aca="false">F27+F38</f>
        <v>18640.8011904762</v>
      </c>
      <c r="G39" s="66" t="n">
        <f aca="false">G27+G38</f>
        <v>18640.8011904762</v>
      </c>
      <c r="H39" s="66" t="n">
        <f aca="false">H27+H38</f>
        <v>18640.8011904762</v>
      </c>
      <c r="I39" s="66" t="n">
        <f aca="false">I27+I38</f>
        <v>18640.8011904762</v>
      </c>
      <c r="J39" s="66" t="n">
        <f aca="false">J27+J38</f>
        <v>18640.8011904762</v>
      </c>
      <c r="K39" s="66" t="n">
        <f aca="false">K27+K38</f>
        <v>18640.8011904762</v>
      </c>
      <c r="L39" s="66" t="n">
        <f aca="false">L27+L38</f>
        <v>18640.8011904762</v>
      </c>
      <c r="M39" s="66" t="n">
        <f aca="false">M27+M38</f>
        <v>65543.8511904763</v>
      </c>
      <c r="N39" s="66" t="n">
        <f aca="false">N27+N38</f>
        <v>65543.8511904763</v>
      </c>
      <c r="O39" s="66" t="n">
        <f aca="false">O27+O38</f>
        <v>37767.1714880953</v>
      </c>
      <c r="P39" s="66" t="n">
        <f aca="false">P27+P38</f>
        <v>37767.1714880953</v>
      </c>
      <c r="Q39" s="66" t="n">
        <f aca="false">Q27+Q38</f>
        <v>37767.1714880953</v>
      </c>
      <c r="R39" s="66" t="n">
        <f aca="false">R27+R38</f>
        <v>37767.1714880953</v>
      </c>
      <c r="S39" s="66" t="n">
        <f aca="false">S27+S38</f>
        <v>37767.1714880953</v>
      </c>
      <c r="T39" s="66" t="n">
        <f aca="false">T27+T38</f>
        <v>37767.1714880953</v>
      </c>
      <c r="U39" s="66" t="n">
        <f aca="false">U27+U38</f>
        <v>37767.1714880953</v>
      </c>
      <c r="V39" s="66" t="n">
        <f aca="false">V27+V38</f>
        <v>37767.1714880953</v>
      </c>
      <c r="W39" s="66" t="n">
        <f aca="false">W27+W38</f>
        <v>37767.1714880953</v>
      </c>
      <c r="X39" s="66" t="n">
        <f aca="false">X27+X38</f>
        <v>37767.1714880953</v>
      </c>
      <c r="Y39" s="66" t="n">
        <f aca="false">Y27+Y38</f>
        <v>102036.013988095</v>
      </c>
      <c r="Z39" s="66" t="n">
        <f aca="false">Z27+Z38</f>
        <v>102036.013988095</v>
      </c>
      <c r="AA39" s="66" t="n">
        <f aca="false">AA27+AA38</f>
        <v>59051.5482639882</v>
      </c>
      <c r="AB39" s="66" t="n">
        <f aca="false">AB27+AB38</f>
        <v>59051.5482639882</v>
      </c>
      <c r="AC39" s="66" t="n">
        <f aca="false">AC27+AC38</f>
        <v>59051.5482639882</v>
      </c>
      <c r="AD39" s="66" t="n">
        <f aca="false">AD27+AD38</f>
        <v>59051.5482639882</v>
      </c>
      <c r="AE39" s="66" t="n">
        <f aca="false">AE27+AE38</f>
        <v>59051.5482639882</v>
      </c>
      <c r="AF39" s="66" t="n">
        <f aca="false">AF27+AF38</f>
        <v>59051.5482639882</v>
      </c>
      <c r="AG39" s="66" t="n">
        <f aca="false">AG27+AG38</f>
        <v>59051.5482639882</v>
      </c>
      <c r="AH39" s="66" t="n">
        <f aca="false">AH27+AH38</f>
        <v>59051.5482639882</v>
      </c>
      <c r="AI39" s="66" t="n">
        <f aca="false">AI27+AI38</f>
        <v>59051.5482639882</v>
      </c>
      <c r="AJ39" s="66" t="n">
        <f aca="false">AJ27+AJ38</f>
        <v>59051.5482639882</v>
      </c>
      <c r="AK39" s="66" t="n">
        <f aca="false">AK27+AK38</f>
        <v>143426.170263988</v>
      </c>
      <c r="AL39" s="66" t="n">
        <f aca="false">AL27+AL38</f>
        <v>143426.170263988</v>
      </c>
      <c r="AM39" s="66" t="n">
        <f aca="false">AM27+AM38</f>
        <v>82827.0267530941</v>
      </c>
      <c r="AN39" s="66" t="n">
        <f aca="false">AN27+AN38</f>
        <v>82827.0267530941</v>
      </c>
      <c r="AO39" s="66" t="n">
        <f aca="false">AO27+AO38</f>
        <v>82827.0267530941</v>
      </c>
      <c r="AP39" s="66" t="n">
        <f aca="false">AP27+AP38</f>
        <v>82827.0267530941</v>
      </c>
      <c r="AQ39" s="66" t="n">
        <f aca="false">AQ27+AQ38</f>
        <v>82827.0267530941</v>
      </c>
      <c r="AR39" s="66" t="n">
        <f aca="false">AR27+AR38</f>
        <v>82827.0267530941</v>
      </c>
      <c r="AS39" s="66" t="n">
        <f aca="false">AS27+AS38</f>
        <v>82827.0267530941</v>
      </c>
      <c r="AT39" s="66" t="n">
        <f aca="false">AT27+AT38</f>
        <v>82827.0267530941</v>
      </c>
      <c r="AU39" s="66" t="n">
        <f aca="false">AU27+AU38</f>
        <v>82827.0267530941</v>
      </c>
      <c r="AV39" s="66" t="n">
        <f aca="false">AV27+AV38</f>
        <v>82827.0267530941</v>
      </c>
      <c r="AW39" s="66" t="n">
        <f aca="false">AW27+AW38</f>
        <v>190728.669803094</v>
      </c>
      <c r="AX39" s="66" t="n">
        <f aca="false">AX27+AX38</f>
        <v>190728.669803094</v>
      </c>
      <c r="AY39" s="66" t="n">
        <f aca="false">AY27+AY38</f>
        <v>109473.193872848</v>
      </c>
      <c r="AZ39" s="66" t="n">
        <f aca="false">AZ27+AZ38</f>
        <v>109473.193872848</v>
      </c>
      <c r="BA39" s="66" t="n">
        <f aca="false">BA27+BA38</f>
        <v>109473.193872848</v>
      </c>
      <c r="BB39" s="66" t="n">
        <f aca="false">BB27+BB38</f>
        <v>109473.193872848</v>
      </c>
      <c r="BC39" s="66" t="n">
        <f aca="false">BC27+BC38</f>
        <v>109473.193872848</v>
      </c>
      <c r="BD39" s="66" t="n">
        <f aca="false">BD27+BD38</f>
        <v>109473.193872848</v>
      </c>
      <c r="BE39" s="66" t="n">
        <f aca="false">BE27+BE38</f>
        <v>109473.193872848</v>
      </c>
      <c r="BF39" s="66" t="n">
        <f aca="false">BF27+BF38</f>
        <v>109473.193872848</v>
      </c>
      <c r="BG39" s="66" t="n">
        <f aca="false">BG27+BG38</f>
        <v>109473.193872848</v>
      </c>
      <c r="BH39" s="66" t="n">
        <f aca="false">BH27+BH38</f>
        <v>109473.193872848</v>
      </c>
      <c r="BI39" s="66" t="n">
        <f aca="false">BI27+BI38</f>
        <v>245192.365977473</v>
      </c>
      <c r="BJ39" s="66" t="n">
        <f aca="false">BJ27+BJ38</f>
        <v>245192.365977473</v>
      </c>
    </row>
    <row r="41" customFormat="false" ht="15.75" hidden="false" customHeight="true" outlineLevel="0" collapsed="false">
      <c r="A41" s="7" t="s">
        <v>418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customFormat="false" ht="15" hidden="false" customHeight="false" outlineLevel="0" collapsed="false">
      <c r="A42" s="4" t="s">
        <v>79</v>
      </c>
      <c r="C42" s="71" t="n">
        <f aca="false">C39+C53</f>
        <v>14474.1345238095</v>
      </c>
      <c r="D42" s="71" t="n">
        <f aca="false">D39+D53</f>
        <v>14474.1345238095</v>
      </c>
      <c r="E42" s="71" t="n">
        <f aca="false">E39+E53</f>
        <v>14474.1345238095</v>
      </c>
      <c r="F42" s="71" t="n">
        <f aca="false">F39+F53</f>
        <v>14474.1345238095</v>
      </c>
      <c r="G42" s="71" t="n">
        <f aca="false">G39+G53</f>
        <v>14474.1345238095</v>
      </c>
      <c r="H42" s="71" t="n">
        <f aca="false">H39+H53</f>
        <v>14474.1345238095</v>
      </c>
      <c r="I42" s="71" t="n">
        <f aca="false">I39+I53</f>
        <v>14474.1345238095</v>
      </c>
      <c r="J42" s="71" t="n">
        <f aca="false">J39+J53</f>
        <v>14474.1345238095</v>
      </c>
      <c r="K42" s="71" t="n">
        <f aca="false">K39+K53</f>
        <v>14474.1345238095</v>
      </c>
      <c r="L42" s="71" t="n">
        <f aca="false">L39+L53</f>
        <v>14474.1345238095</v>
      </c>
      <c r="M42" s="71" t="n">
        <f aca="false">M39+M53</f>
        <v>61377.1845238097</v>
      </c>
      <c r="N42" s="71" t="n">
        <f aca="false">N39+N53</f>
        <v>61377.1845238097</v>
      </c>
      <c r="O42" s="71" t="n">
        <f aca="false">O39+O53</f>
        <v>31814.7905357143</v>
      </c>
      <c r="P42" s="71" t="n">
        <f aca="false">P39+P53</f>
        <v>31814.7905357143</v>
      </c>
      <c r="Q42" s="71" t="n">
        <f aca="false">Q39+Q53</f>
        <v>31814.7905357143</v>
      </c>
      <c r="R42" s="71" t="n">
        <f aca="false">R39+R53</f>
        <v>31814.7905357143</v>
      </c>
      <c r="S42" s="71" t="n">
        <f aca="false">S39+S53</f>
        <v>31814.7905357143</v>
      </c>
      <c r="T42" s="71" t="n">
        <f aca="false">T39+T53</f>
        <v>31814.7905357143</v>
      </c>
      <c r="U42" s="71" t="n">
        <f aca="false">U39+U53</f>
        <v>31814.7905357143</v>
      </c>
      <c r="V42" s="71" t="n">
        <f aca="false">V39+V53</f>
        <v>31814.7905357143</v>
      </c>
      <c r="W42" s="71" t="n">
        <f aca="false">W39+W53</f>
        <v>31814.7905357143</v>
      </c>
      <c r="X42" s="71" t="n">
        <f aca="false">X39+X53</f>
        <v>31814.7905357143</v>
      </c>
      <c r="Y42" s="71" t="n">
        <f aca="false">Y39+Y53</f>
        <v>96083.6330357143</v>
      </c>
      <c r="Z42" s="71" t="n">
        <f aca="false">Z39+Z53</f>
        <v>96083.6330357143</v>
      </c>
      <c r="AA42" s="71" t="n">
        <f aca="false">AA39+AA53</f>
        <v>51313.4530258929</v>
      </c>
      <c r="AB42" s="71" t="n">
        <f aca="false">AB39+AB53</f>
        <v>51313.4530258929</v>
      </c>
      <c r="AC42" s="71" t="n">
        <f aca="false">AC39+AC53</f>
        <v>51313.4530258929</v>
      </c>
      <c r="AD42" s="71" t="n">
        <f aca="false">AD39+AD53</f>
        <v>51313.4530258929</v>
      </c>
      <c r="AE42" s="71" t="n">
        <f aca="false">AE39+AE53</f>
        <v>51313.4530258929</v>
      </c>
      <c r="AF42" s="71" t="n">
        <f aca="false">AF39+AF53</f>
        <v>51313.4530258929</v>
      </c>
      <c r="AG42" s="71" t="n">
        <f aca="false">AG39+AG53</f>
        <v>51313.4530258929</v>
      </c>
      <c r="AH42" s="71" t="n">
        <f aca="false">AH39+AH53</f>
        <v>51313.4530258929</v>
      </c>
      <c r="AI42" s="71" t="n">
        <f aca="false">AI39+AI53</f>
        <v>51313.4530258929</v>
      </c>
      <c r="AJ42" s="71" t="n">
        <f aca="false">AJ39+AJ53</f>
        <v>51313.4530258929</v>
      </c>
      <c r="AK42" s="71" t="n">
        <f aca="false">AK39+AK53</f>
        <v>135688.075025893</v>
      </c>
      <c r="AL42" s="71" t="n">
        <f aca="false">AL39+AL53</f>
        <v>135688.075025893</v>
      </c>
      <c r="AM42" s="71" t="n">
        <f aca="false">AM39+AM53</f>
        <v>73303.2172292845</v>
      </c>
      <c r="AN42" s="71" t="n">
        <f aca="false">AN39+AN53</f>
        <v>73303.2172292845</v>
      </c>
      <c r="AO42" s="71" t="n">
        <f aca="false">AO39+AO53</f>
        <v>73303.2172292845</v>
      </c>
      <c r="AP42" s="71" t="n">
        <f aca="false">AP39+AP53</f>
        <v>73303.2172292845</v>
      </c>
      <c r="AQ42" s="71" t="n">
        <f aca="false">AQ39+AQ53</f>
        <v>73303.2172292845</v>
      </c>
      <c r="AR42" s="71" t="n">
        <f aca="false">AR39+AR53</f>
        <v>73303.2172292845</v>
      </c>
      <c r="AS42" s="71" t="n">
        <f aca="false">AS39+AS53</f>
        <v>73303.2172292845</v>
      </c>
      <c r="AT42" s="71" t="n">
        <f aca="false">AT39+AT53</f>
        <v>73303.2172292845</v>
      </c>
      <c r="AU42" s="71" t="n">
        <f aca="false">AU39+AU53</f>
        <v>73303.2172292845</v>
      </c>
      <c r="AV42" s="71" t="n">
        <f aca="false">AV39+AV53</f>
        <v>73303.2172292845</v>
      </c>
      <c r="AW42" s="71" t="n">
        <f aca="false">AW39+AW53</f>
        <v>181204.860279284</v>
      </c>
      <c r="AX42" s="71" t="n">
        <f aca="false">AX39+AX53</f>
        <v>181204.860279284</v>
      </c>
      <c r="AY42" s="71" t="n">
        <f aca="false">AY39+AY53</f>
        <v>98163.6700633239</v>
      </c>
      <c r="AZ42" s="71" t="n">
        <f aca="false">AZ39+AZ53</f>
        <v>98163.6700633239</v>
      </c>
      <c r="BA42" s="71" t="n">
        <f aca="false">BA39+BA53</f>
        <v>98163.6700633239</v>
      </c>
      <c r="BB42" s="71" t="n">
        <f aca="false">BB39+BB53</f>
        <v>98163.6700633239</v>
      </c>
      <c r="BC42" s="71" t="n">
        <f aca="false">BC39+BC53</f>
        <v>98163.6700633239</v>
      </c>
      <c r="BD42" s="71" t="n">
        <f aca="false">BD39+BD53</f>
        <v>98163.6700633239</v>
      </c>
      <c r="BE42" s="71" t="n">
        <f aca="false">BE39+BE53</f>
        <v>98163.6700633239</v>
      </c>
      <c r="BF42" s="71" t="n">
        <f aca="false">BF39+BF53</f>
        <v>98163.6700633239</v>
      </c>
      <c r="BG42" s="71" t="n">
        <f aca="false">BG39+BG53</f>
        <v>98163.6700633239</v>
      </c>
      <c r="BH42" s="71" t="n">
        <f aca="false">BH39+BH53</f>
        <v>98163.6700633239</v>
      </c>
      <c r="BI42" s="71" t="n">
        <f aca="false">BI39+BI53</f>
        <v>233882.842167949</v>
      </c>
      <c r="BJ42" s="71" t="n">
        <f aca="false">BJ39+BJ53</f>
        <v>233882.842167949</v>
      </c>
    </row>
    <row r="43" customFormat="false" ht="15" hidden="false" customHeight="false" outlineLevel="0" collapsed="false">
      <c r="A43" s="6" t="s">
        <v>419</v>
      </c>
      <c r="C43" s="65" t="n">
        <f aca="false">-(C58+C59+C61)/2*Inputs!$E$60/12</f>
        <v>-3333.33333333333</v>
      </c>
      <c r="D43" s="65" t="n">
        <f aca="false">-(D58+D59+D61)/2*Inputs!$E$60/12</f>
        <v>-3305.55555555556</v>
      </c>
      <c r="E43" s="65" t="n">
        <f aca="false">-(E58+E59+E61)/2*Inputs!$E$60/12</f>
        <v>-3250</v>
      </c>
      <c r="F43" s="65" t="n">
        <f aca="false">-(F58+F59+F61)/2*Inputs!$E$60/12</f>
        <v>-3194.44444444445</v>
      </c>
      <c r="G43" s="65" t="n">
        <f aca="false">-(G58+G59+G61)/2*Inputs!$E$60/12</f>
        <v>-3138.88888888889</v>
      </c>
      <c r="H43" s="65" t="n">
        <f aca="false">-(H58+H59+H61)/2*Inputs!$E$60/12</f>
        <v>-3083.33333333333</v>
      </c>
      <c r="I43" s="65" t="n">
        <f aca="false">-(I58+I59+I61)/2*Inputs!$E$60/12</f>
        <v>-3027.77777777778</v>
      </c>
      <c r="J43" s="65" t="n">
        <f aca="false">-(J58+J59+J61)/2*Inputs!$E$60/12</f>
        <v>-2972.22222222222</v>
      </c>
      <c r="K43" s="65" t="n">
        <f aca="false">-(K58+K59+K61)/2*Inputs!$E$60/12</f>
        <v>-2916.66666666667</v>
      </c>
      <c r="L43" s="65" t="n">
        <f aca="false">-(L58+L59+L61)/2*Inputs!$E$60/12</f>
        <v>-2861.11111111111</v>
      </c>
      <c r="M43" s="65" t="n">
        <f aca="false">-(M58+M59+M61)/2*Inputs!$E$60/12</f>
        <v>-2805.55555555556</v>
      </c>
      <c r="N43" s="65" t="n">
        <f aca="false">-(N58+N59+N61)/2*Inputs!$E$60/12</f>
        <v>-2750</v>
      </c>
      <c r="O43" s="65" t="n">
        <f aca="false">-(O58+O59+O61)/2*Inputs!$E$60/12</f>
        <v>-2694.44444444445</v>
      </c>
      <c r="P43" s="65" t="n">
        <f aca="false">-(P58+P59+P61)/2*Inputs!$E$60/12</f>
        <v>-2638.88888888889</v>
      </c>
      <c r="Q43" s="65" t="n">
        <f aca="false">-(Q58+Q59+Q61)/2*Inputs!$E$60/12</f>
        <v>-2583.33333333334</v>
      </c>
      <c r="R43" s="65" t="n">
        <f aca="false">-(R58+R59+R61)/2*Inputs!$E$60/12</f>
        <v>-2527.77777777778</v>
      </c>
      <c r="S43" s="65" t="n">
        <f aca="false">-(S58+S59+S61)/2*Inputs!$E$60/12</f>
        <v>-2472.22222222222</v>
      </c>
      <c r="T43" s="65" t="n">
        <f aca="false">-(T58+T59+T61)/2*Inputs!$E$60/12</f>
        <v>-2416.66666666667</v>
      </c>
      <c r="U43" s="65" t="n">
        <f aca="false">-(U58+U59+U61)/2*Inputs!$E$60/12</f>
        <v>-2361.11111111111</v>
      </c>
      <c r="V43" s="65" t="n">
        <f aca="false">-(V58+V59+V61)/2*Inputs!$E$60/12</f>
        <v>-2305.55555555556</v>
      </c>
      <c r="W43" s="65" t="n">
        <f aca="false">-(W58+W59+W61)/2*Inputs!$E$60/12</f>
        <v>-2250</v>
      </c>
      <c r="X43" s="65" t="n">
        <f aca="false">-(X58+X59+X61)/2*Inputs!$E$60/12</f>
        <v>-2194.44444444445</v>
      </c>
      <c r="Y43" s="65" t="n">
        <f aca="false">-(Y58+Y59+Y61)/2*Inputs!$E$60/12</f>
        <v>-2138.88888888889</v>
      </c>
      <c r="Z43" s="65" t="n">
        <f aca="false">-(Z58+Z59+Z61)/2*Inputs!$E$60/12</f>
        <v>-2083.33333333334</v>
      </c>
      <c r="AA43" s="65" t="n">
        <f aca="false">-(AA58+AA59+AA61)/2*Inputs!$E$60/12</f>
        <v>-2027.77777777778</v>
      </c>
      <c r="AB43" s="65" t="n">
        <f aca="false">-(AB58+AB59+AB61)/2*Inputs!$E$60/12</f>
        <v>-1972.22222222223</v>
      </c>
      <c r="AC43" s="65" t="n">
        <f aca="false">-(AC58+AC59+AC61)/2*Inputs!$E$60/12</f>
        <v>-1916.66666666667</v>
      </c>
      <c r="AD43" s="65" t="n">
        <f aca="false">-(AD58+AD59+AD61)/2*Inputs!$E$60/12</f>
        <v>-1861.11111111111</v>
      </c>
      <c r="AE43" s="65" t="n">
        <f aca="false">-(AE58+AE59+AE61)/2*Inputs!$E$60/12</f>
        <v>-1805.55555555556</v>
      </c>
      <c r="AF43" s="65" t="n">
        <f aca="false">-(AF58+AF59+AF61)/2*Inputs!$E$60/12</f>
        <v>-1750</v>
      </c>
      <c r="AG43" s="65" t="n">
        <f aca="false">-(AG58+AG59+AG61)/2*Inputs!$E$60/12</f>
        <v>-1694.44444444445</v>
      </c>
      <c r="AH43" s="65" t="n">
        <f aca="false">-(AH58+AH59+AH61)/2*Inputs!$E$60/12</f>
        <v>-1638.88888888889</v>
      </c>
      <c r="AI43" s="65" t="n">
        <f aca="false">-(AI58+AI59+AI61)/2*Inputs!$E$60/12</f>
        <v>-1583.33333333334</v>
      </c>
      <c r="AJ43" s="65" t="n">
        <f aca="false">-(AJ58+AJ59+AJ61)/2*Inputs!$E$60/12</f>
        <v>-1527.77777777778</v>
      </c>
      <c r="AK43" s="65" t="n">
        <f aca="false">-(AK58+AK59+AK61)/2*Inputs!$E$60/12</f>
        <v>-1472.22222222223</v>
      </c>
      <c r="AL43" s="65" t="n">
        <f aca="false">-(AL58+AL59+AL61)/2*Inputs!$E$60/12</f>
        <v>-1416.66666666667</v>
      </c>
      <c r="AM43" s="65" t="n">
        <f aca="false">-(AM58+AM59+AM61)/2*Inputs!$E$60/12</f>
        <v>-1361.11111111111</v>
      </c>
      <c r="AN43" s="65" t="n">
        <f aca="false">-(AN58+AN59+AN61)/2*Inputs!$E$60/12</f>
        <v>-1305.55555555556</v>
      </c>
      <c r="AO43" s="65" t="n">
        <f aca="false">-(AO58+AO59+AO61)/2*Inputs!$E$60/12</f>
        <v>-1250</v>
      </c>
      <c r="AP43" s="65" t="n">
        <f aca="false">-(AP58+AP59+AP61)/2*Inputs!$E$60/12</f>
        <v>-1194.44444444445</v>
      </c>
      <c r="AQ43" s="65" t="n">
        <f aca="false">-(AQ58+AQ59+AQ61)/2*Inputs!$E$60/12</f>
        <v>-1138.88888888889</v>
      </c>
      <c r="AR43" s="65" t="n">
        <f aca="false">-(AR58+AR59+AR61)/2*Inputs!$E$60/12</f>
        <v>-1083.33333333334</v>
      </c>
      <c r="AS43" s="65" t="n">
        <f aca="false">-(AS58+AS59+AS61)/2*Inputs!$E$60/12</f>
        <v>-1027.77777777778</v>
      </c>
      <c r="AT43" s="65" t="n">
        <f aca="false">-(AT58+AT59+AT61)/2*Inputs!$E$60/12</f>
        <v>-972.222222222225</v>
      </c>
      <c r="AU43" s="65" t="n">
        <f aca="false">-(AU58+AU59+AU61)/2*Inputs!$E$60/12</f>
        <v>-916.666666666669</v>
      </c>
      <c r="AV43" s="65" t="n">
        <f aca="false">-(AV58+AV59+AV61)/2*Inputs!$E$60/12</f>
        <v>-861.111111111114</v>
      </c>
      <c r="AW43" s="65" t="n">
        <f aca="false">-(AW58+AW59+AW61)/2*Inputs!$E$60/12</f>
        <v>-805.555555555558</v>
      </c>
      <c r="AX43" s="65" t="n">
        <f aca="false">-(AX58+AX59+AX61)/2*Inputs!$E$60/12</f>
        <v>-750.000000000003</v>
      </c>
      <c r="AY43" s="65" t="n">
        <f aca="false">-(AY58+AY59+AY61)/2*Inputs!$E$60/12</f>
        <v>-694.444444444447</v>
      </c>
      <c r="AZ43" s="65" t="n">
        <f aca="false">-(AZ58+AZ59+AZ61)/2*Inputs!$E$60/12</f>
        <v>-638.888888888892</v>
      </c>
      <c r="BA43" s="65" t="n">
        <f aca="false">-(BA58+BA59+BA61)/2*Inputs!$E$60/12</f>
        <v>-583.333333333336</v>
      </c>
      <c r="BB43" s="65" t="n">
        <f aca="false">-(BB58+BB59+BB61)/2*Inputs!$E$60/12</f>
        <v>-527.777777777781</v>
      </c>
      <c r="BC43" s="65" t="n">
        <f aca="false">-(BC58+BC59+BC61)/2*Inputs!$E$60/12</f>
        <v>-472.222222222225</v>
      </c>
      <c r="BD43" s="65" t="n">
        <f aca="false">-(BD58+BD59+BD61)/2*Inputs!$E$60/12</f>
        <v>-416.666666666669</v>
      </c>
      <c r="BE43" s="65" t="n">
        <f aca="false">-(BE58+BE59+BE61)/2*Inputs!$E$60/12</f>
        <v>-361.111111111114</v>
      </c>
      <c r="BF43" s="65" t="n">
        <f aca="false">-(BF58+BF59+BF61)/2*Inputs!$E$60/12</f>
        <v>-305.555555555558</v>
      </c>
      <c r="BG43" s="65" t="n">
        <f aca="false">-(BG58+BG59+BG61)/2*Inputs!$E$60/12</f>
        <v>-250.000000000003</v>
      </c>
      <c r="BH43" s="65" t="n">
        <f aca="false">-(BH58+BH59+BH61)/2*Inputs!$E$60/12</f>
        <v>-194.444444444447</v>
      </c>
      <c r="BI43" s="65" t="n">
        <f aca="false">-(BI58+BI59+BI61)/2*Inputs!$E$60/12</f>
        <v>-138.888888888892</v>
      </c>
      <c r="BJ43" s="65" t="n">
        <f aca="false">-(BJ58+BJ59+BJ61)/2*Inputs!$E$60/12</f>
        <v>-83.3333333333361</v>
      </c>
    </row>
    <row r="44" customFormat="false" ht="15" hidden="false" customHeight="false" outlineLevel="0" collapsed="false">
      <c r="A44" s="110" t="s">
        <v>81</v>
      </c>
      <c r="C44" s="66" t="n">
        <f aca="false">C42+C43</f>
        <v>11140.8011904762</v>
      </c>
      <c r="D44" s="66" t="n">
        <f aca="false">D42+D43</f>
        <v>11168.5789682539</v>
      </c>
      <c r="E44" s="66" t="n">
        <f aca="false">E42+E43</f>
        <v>11224.1345238095</v>
      </c>
      <c r="F44" s="66" t="n">
        <f aca="false">F42+F43</f>
        <v>11279.6900793651</v>
      </c>
      <c r="G44" s="66" t="n">
        <f aca="false">G42+G43</f>
        <v>11335.2456349206</v>
      </c>
      <c r="H44" s="66" t="n">
        <f aca="false">H42+H43</f>
        <v>11390.8011904762</v>
      </c>
      <c r="I44" s="66" t="n">
        <f aca="false">I42+I43</f>
        <v>11446.3567460317</v>
      </c>
      <c r="J44" s="66" t="n">
        <f aca="false">J42+J43</f>
        <v>11501.9123015873</v>
      </c>
      <c r="K44" s="66" t="n">
        <f aca="false">K42+K43</f>
        <v>11557.4678571428</v>
      </c>
      <c r="L44" s="66" t="n">
        <f aca="false">L42+L43</f>
        <v>11613.0234126984</v>
      </c>
      <c r="M44" s="66" t="n">
        <f aca="false">M42+M43</f>
        <v>58571.6289682541</v>
      </c>
      <c r="N44" s="66" t="n">
        <f aca="false">N42+N43</f>
        <v>58627.1845238097</v>
      </c>
      <c r="O44" s="66" t="n">
        <f aca="false">O42+O43</f>
        <v>29120.3460912699</v>
      </c>
      <c r="P44" s="66" t="n">
        <f aca="false">P42+P43</f>
        <v>29175.9016468254</v>
      </c>
      <c r="Q44" s="66" t="n">
        <f aca="false">Q42+Q43</f>
        <v>29231.457202381</v>
      </c>
      <c r="R44" s="66" t="n">
        <f aca="false">R42+R43</f>
        <v>29287.0127579365</v>
      </c>
      <c r="S44" s="66" t="n">
        <f aca="false">S42+S43</f>
        <v>29342.5683134921</v>
      </c>
      <c r="T44" s="66" t="n">
        <f aca="false">T42+T43</f>
        <v>29398.1238690476</v>
      </c>
      <c r="U44" s="66" t="n">
        <f aca="false">U42+U43</f>
        <v>29453.6794246032</v>
      </c>
      <c r="V44" s="66" t="n">
        <f aca="false">V42+V43</f>
        <v>29509.2349801587</v>
      </c>
      <c r="W44" s="66" t="n">
        <f aca="false">W42+W43</f>
        <v>29564.7905357143</v>
      </c>
      <c r="X44" s="66" t="n">
        <f aca="false">X42+X43</f>
        <v>29620.3460912698</v>
      </c>
      <c r="Y44" s="66" t="n">
        <f aca="false">Y42+Y43</f>
        <v>93944.7441468254</v>
      </c>
      <c r="Z44" s="66" t="n">
        <f aca="false">Z42+Z43</f>
        <v>94000.299702381</v>
      </c>
      <c r="AA44" s="66" t="n">
        <f aca="false">AA42+AA43</f>
        <v>49285.6752481152</v>
      </c>
      <c r="AB44" s="66" t="n">
        <f aca="false">AB42+AB43</f>
        <v>49341.2308036707</v>
      </c>
      <c r="AC44" s="66" t="n">
        <f aca="false">AC42+AC43</f>
        <v>49396.7863592263</v>
      </c>
      <c r="AD44" s="66" t="n">
        <f aca="false">AD42+AD43</f>
        <v>49452.3419147818</v>
      </c>
      <c r="AE44" s="66" t="n">
        <f aca="false">AE42+AE43</f>
        <v>49507.8974703374</v>
      </c>
      <c r="AF44" s="66" t="n">
        <f aca="false">AF42+AF43</f>
        <v>49563.4530258929</v>
      </c>
      <c r="AG44" s="66" t="n">
        <f aca="false">AG42+AG43</f>
        <v>49619.0085814485</v>
      </c>
      <c r="AH44" s="66" t="n">
        <f aca="false">AH42+AH43</f>
        <v>49674.564137004</v>
      </c>
      <c r="AI44" s="66" t="n">
        <f aca="false">AI42+AI43</f>
        <v>49730.1196925596</v>
      </c>
      <c r="AJ44" s="66" t="n">
        <f aca="false">AJ42+AJ43</f>
        <v>49785.6752481152</v>
      </c>
      <c r="AK44" s="66" t="n">
        <f aca="false">AK42+AK43</f>
        <v>134215.852803671</v>
      </c>
      <c r="AL44" s="66" t="n">
        <f aca="false">AL42+AL43</f>
        <v>134271.408359226</v>
      </c>
      <c r="AM44" s="66" t="n">
        <f aca="false">AM42+AM43</f>
        <v>71942.1061181734</v>
      </c>
      <c r="AN44" s="66" t="n">
        <f aca="false">AN42+AN43</f>
        <v>71997.661673729</v>
      </c>
      <c r="AO44" s="66" t="n">
        <f aca="false">AO42+AO43</f>
        <v>72053.2172292845</v>
      </c>
      <c r="AP44" s="66" t="n">
        <f aca="false">AP42+AP43</f>
        <v>72108.7727848401</v>
      </c>
      <c r="AQ44" s="66" t="n">
        <f aca="false">AQ42+AQ43</f>
        <v>72164.3283403956</v>
      </c>
      <c r="AR44" s="66" t="n">
        <f aca="false">AR42+AR43</f>
        <v>72219.8838959512</v>
      </c>
      <c r="AS44" s="66" t="n">
        <f aca="false">AS42+AS43</f>
        <v>72275.4394515067</v>
      </c>
      <c r="AT44" s="66" t="n">
        <f aca="false">AT42+AT43</f>
        <v>72330.9950070623</v>
      </c>
      <c r="AU44" s="66" t="n">
        <f aca="false">AU42+AU43</f>
        <v>72386.5505626179</v>
      </c>
      <c r="AV44" s="66" t="n">
        <f aca="false">AV42+AV43</f>
        <v>72442.1061181734</v>
      </c>
      <c r="AW44" s="66" t="n">
        <f aca="false">AW42+AW43</f>
        <v>180399.304723729</v>
      </c>
      <c r="AX44" s="66" t="n">
        <f aca="false">AX42+AX43</f>
        <v>180454.860279284</v>
      </c>
      <c r="AY44" s="66" t="n">
        <f aca="false">AY42+AY43</f>
        <v>97469.2256188794</v>
      </c>
      <c r="AZ44" s="66" t="n">
        <f aca="false">AZ42+AZ43</f>
        <v>97524.781174435</v>
      </c>
      <c r="BA44" s="66" t="n">
        <f aca="false">BA42+BA43</f>
        <v>97580.3367299906</v>
      </c>
      <c r="BB44" s="66" t="n">
        <f aca="false">BB42+BB43</f>
        <v>97635.8922855461</v>
      </c>
      <c r="BC44" s="66" t="n">
        <f aca="false">BC42+BC43</f>
        <v>97691.4478411017</v>
      </c>
      <c r="BD44" s="66" t="n">
        <f aca="false">BD42+BD43</f>
        <v>97747.0033966572</v>
      </c>
      <c r="BE44" s="66" t="n">
        <f aca="false">BE42+BE43</f>
        <v>97802.5589522128</v>
      </c>
      <c r="BF44" s="66" t="n">
        <f aca="false">BF42+BF43</f>
        <v>97858.1145077683</v>
      </c>
      <c r="BG44" s="66" t="n">
        <f aca="false">BG42+BG43</f>
        <v>97913.6700633239</v>
      </c>
      <c r="BH44" s="66" t="n">
        <f aca="false">BH42+BH43</f>
        <v>97969.2256188794</v>
      </c>
      <c r="BI44" s="66" t="n">
        <f aca="false">BI42+BI43</f>
        <v>233743.95327906</v>
      </c>
      <c r="BJ44" s="66" t="n">
        <f aca="false">BJ42+BJ43</f>
        <v>233799.508834616</v>
      </c>
    </row>
    <row r="45" customFormat="false" ht="15" hidden="false" customHeight="false" outlineLevel="0" collapsed="false">
      <c r="A45" s="117" t="s">
        <v>420</v>
      </c>
      <c r="C45" s="65" t="n">
        <f aca="false">C44</f>
        <v>11140.8011904762</v>
      </c>
      <c r="D45" s="65" t="n">
        <f aca="false">C45+D44</f>
        <v>22309.3801587301</v>
      </c>
      <c r="E45" s="65" t="n">
        <f aca="false">D45+E44</f>
        <v>33533.5146825396</v>
      </c>
      <c r="F45" s="65" t="n">
        <f aca="false">E45+F44</f>
        <v>44813.2047619047</v>
      </c>
      <c r="G45" s="65" t="n">
        <f aca="false">F45+G44</f>
        <v>56148.4503968253</v>
      </c>
      <c r="H45" s="65" t="n">
        <f aca="false">G45+H44</f>
        <v>67539.2515873014</v>
      </c>
      <c r="I45" s="65" t="n">
        <f aca="false">H45+I44</f>
        <v>78985.6083333332</v>
      </c>
      <c r="J45" s="65" t="n">
        <f aca="false">I45+J44</f>
        <v>90487.5206349204</v>
      </c>
      <c r="K45" s="65" t="n">
        <f aca="false">J45+K44</f>
        <v>102044.988492063</v>
      </c>
      <c r="L45" s="65" t="n">
        <f aca="false">K45+L44</f>
        <v>113658.011904762</v>
      </c>
      <c r="M45" s="65" t="n">
        <f aca="false">L45+M44</f>
        <v>172229.640873016</v>
      </c>
      <c r="N45" s="65" t="n">
        <f aca="false">M45+N44</f>
        <v>230856.825396825</v>
      </c>
      <c r="O45" s="65" t="n">
        <f aca="false">N45+O44</f>
        <v>259977.171488095</v>
      </c>
      <c r="P45" s="65" t="n">
        <f aca="false">O45+P44</f>
        <v>289153.073134921</v>
      </c>
      <c r="Q45" s="65" t="n">
        <f aca="false">P45+Q44</f>
        <v>318384.530337302</v>
      </c>
      <c r="R45" s="65" t="n">
        <f aca="false">Q45+R44</f>
        <v>347671.543095238</v>
      </c>
      <c r="S45" s="65" t="n">
        <f aca="false">R45+S44</f>
        <v>377014.11140873</v>
      </c>
      <c r="T45" s="65" t="n">
        <f aca="false">S45+T44</f>
        <v>406412.235277778</v>
      </c>
      <c r="U45" s="65" t="n">
        <f aca="false">T45+U44</f>
        <v>435865.914702381</v>
      </c>
      <c r="V45" s="65" t="n">
        <f aca="false">U45+V44</f>
        <v>465375.14968254</v>
      </c>
      <c r="W45" s="65" t="n">
        <f aca="false">V45+W44</f>
        <v>494939.940218254</v>
      </c>
      <c r="X45" s="65" t="n">
        <f aca="false">W45+X44</f>
        <v>524560.286309524</v>
      </c>
      <c r="Y45" s="65" t="n">
        <f aca="false">X45+Y44</f>
        <v>618505.030456349</v>
      </c>
      <c r="Z45" s="65" t="n">
        <f aca="false">Y45+Z44</f>
        <v>712505.33015873</v>
      </c>
      <c r="AA45" s="65" t="n">
        <f aca="false">Z45+AA44</f>
        <v>761791.005406845</v>
      </c>
      <c r="AB45" s="65" t="n">
        <f aca="false">AA45+AB44</f>
        <v>811132.236210516</v>
      </c>
      <c r="AC45" s="65" t="n">
        <f aca="false">AB45+AC44</f>
        <v>860529.022569742</v>
      </c>
      <c r="AD45" s="65" t="n">
        <f aca="false">AC45+AD44</f>
        <v>909981.364484524</v>
      </c>
      <c r="AE45" s="65" t="n">
        <f aca="false">AD45+AE44</f>
        <v>959489.261954862</v>
      </c>
      <c r="AF45" s="65" t="n">
        <f aca="false">AE45+AF44</f>
        <v>1009052.71498075</v>
      </c>
      <c r="AG45" s="65" t="n">
        <f aca="false">AF45+AG44</f>
        <v>1058671.7235622</v>
      </c>
      <c r="AH45" s="65" t="n">
        <f aca="false">AG45+AH44</f>
        <v>1108346.28769921</v>
      </c>
      <c r="AI45" s="65" t="n">
        <f aca="false">AH45+AI44</f>
        <v>1158076.40739177</v>
      </c>
      <c r="AJ45" s="65" t="n">
        <f aca="false">AI45+AJ44</f>
        <v>1207862.08263988</v>
      </c>
      <c r="AK45" s="65" t="n">
        <f aca="false">AJ45+AK44</f>
        <v>1342077.93544355</v>
      </c>
      <c r="AL45" s="65" t="n">
        <f aca="false">AK45+AL44</f>
        <v>1476349.34380278</v>
      </c>
      <c r="AM45" s="65" t="n">
        <f aca="false">AL45+AM44</f>
        <v>1548291.44992095</v>
      </c>
      <c r="AN45" s="65" t="n">
        <f aca="false">AM45+AN44</f>
        <v>1620289.11159468</v>
      </c>
      <c r="AO45" s="65" t="n">
        <f aca="false">AN45+AO44</f>
        <v>1692342.32882397</v>
      </c>
      <c r="AP45" s="65" t="n">
        <f aca="false">AO45+AP44</f>
        <v>1764451.10160881</v>
      </c>
      <c r="AQ45" s="65" t="n">
        <f aca="false">AP45+AQ44</f>
        <v>1836615.4299492</v>
      </c>
      <c r="AR45" s="65" t="n">
        <f aca="false">AQ45+AR44</f>
        <v>1908835.31384515</v>
      </c>
      <c r="AS45" s="65" t="n">
        <f aca="false">AR45+AS44</f>
        <v>1981110.75329666</v>
      </c>
      <c r="AT45" s="65" t="n">
        <f aca="false">AS45+AT44</f>
        <v>2053441.74830372</v>
      </c>
      <c r="AU45" s="65" t="n">
        <f aca="false">AT45+AU44</f>
        <v>2125828.29886634</v>
      </c>
      <c r="AV45" s="65" t="n">
        <f aca="false">AU45+AV44</f>
        <v>2198270.40498451</v>
      </c>
      <c r="AW45" s="65" t="n">
        <f aca="false">AV45+AW44</f>
        <v>2378669.70970824</v>
      </c>
      <c r="AX45" s="65" t="n">
        <f aca="false">AW45+AX44</f>
        <v>2559124.56998753</v>
      </c>
      <c r="AY45" s="65" t="n">
        <f aca="false">AX45+AY44</f>
        <v>2656593.79560641</v>
      </c>
      <c r="AZ45" s="65" t="n">
        <f aca="false">AY45+AZ44</f>
        <v>2754118.57678084</v>
      </c>
      <c r="BA45" s="65" t="n">
        <f aca="false">AZ45+BA44</f>
        <v>2851698.91351083</v>
      </c>
      <c r="BB45" s="65" t="n">
        <f aca="false">BA45+BB44</f>
        <v>2949334.80579638</v>
      </c>
      <c r="BC45" s="65" t="n">
        <f aca="false">BB45+BC44</f>
        <v>3047026.25363748</v>
      </c>
      <c r="BD45" s="65" t="n">
        <f aca="false">BC45+BD44</f>
        <v>3144773.25703414</v>
      </c>
      <c r="BE45" s="65" t="n">
        <f aca="false">BD45+BE44</f>
        <v>3242575.81598635</v>
      </c>
      <c r="BF45" s="65" t="n">
        <f aca="false">BE45+BF44</f>
        <v>3340433.93049412</v>
      </c>
      <c r="BG45" s="65" t="n">
        <f aca="false">BF45+BG44</f>
        <v>3438347.60055744</v>
      </c>
      <c r="BH45" s="65" t="n">
        <f aca="false">BG45+BH44</f>
        <v>3536316.82617632</v>
      </c>
      <c r="BI45" s="65" t="n">
        <f aca="false">BH45+BI44</f>
        <v>3770060.77945538</v>
      </c>
      <c r="BJ45" s="65" t="n">
        <f aca="false">BI45+BJ44</f>
        <v>4003860.28829</v>
      </c>
    </row>
    <row r="46" customFormat="false" ht="15" hidden="false" customHeight="false" outlineLevel="0" collapsed="false">
      <c r="A46" s="117" t="s">
        <v>421</v>
      </c>
      <c r="C46" s="65" t="n">
        <f aca="false">MAX(0,C45)</f>
        <v>11140.8011904762</v>
      </c>
      <c r="D46" s="65" t="n">
        <f aca="false">MAX(C46,D45)</f>
        <v>22309.3801587301</v>
      </c>
      <c r="E46" s="65" t="n">
        <f aca="false">MAX(D46,E45)</f>
        <v>33533.5146825396</v>
      </c>
      <c r="F46" s="65" t="n">
        <f aca="false">MAX(E46,F45)</f>
        <v>44813.2047619047</v>
      </c>
      <c r="G46" s="65" t="n">
        <f aca="false">MAX(F46,G45)</f>
        <v>56148.4503968253</v>
      </c>
      <c r="H46" s="65" t="n">
        <f aca="false">MAX(G46,H45)</f>
        <v>67539.2515873014</v>
      </c>
      <c r="I46" s="65" t="n">
        <f aca="false">MAX(H46,I45)</f>
        <v>78985.6083333332</v>
      </c>
      <c r="J46" s="65" t="n">
        <f aca="false">MAX(I46,J45)</f>
        <v>90487.5206349204</v>
      </c>
      <c r="K46" s="65" t="n">
        <f aca="false">MAX(J46,K45)</f>
        <v>102044.988492063</v>
      </c>
      <c r="L46" s="65" t="n">
        <f aca="false">MAX(K46,L45)</f>
        <v>113658.011904762</v>
      </c>
      <c r="M46" s="65" t="n">
        <f aca="false">MAX(L46,M45)</f>
        <v>172229.640873016</v>
      </c>
      <c r="N46" s="65" t="n">
        <f aca="false">MAX(M46,N45)</f>
        <v>230856.825396825</v>
      </c>
      <c r="O46" s="65" t="n">
        <f aca="false">MAX(N46,O45)</f>
        <v>259977.171488095</v>
      </c>
      <c r="P46" s="65" t="n">
        <f aca="false">MAX(O46,P45)</f>
        <v>289153.073134921</v>
      </c>
      <c r="Q46" s="65" t="n">
        <f aca="false">MAX(P46,Q45)</f>
        <v>318384.530337302</v>
      </c>
      <c r="R46" s="65" t="n">
        <f aca="false">MAX(Q46,R45)</f>
        <v>347671.543095238</v>
      </c>
      <c r="S46" s="65" t="n">
        <f aca="false">MAX(R46,S45)</f>
        <v>377014.11140873</v>
      </c>
      <c r="T46" s="65" t="n">
        <f aca="false">MAX(S46,T45)</f>
        <v>406412.235277778</v>
      </c>
      <c r="U46" s="65" t="n">
        <f aca="false">MAX(T46,U45)</f>
        <v>435865.914702381</v>
      </c>
      <c r="V46" s="65" t="n">
        <f aca="false">MAX(U46,V45)</f>
        <v>465375.14968254</v>
      </c>
      <c r="W46" s="65" t="n">
        <f aca="false">MAX(V46,W45)</f>
        <v>494939.940218254</v>
      </c>
      <c r="X46" s="65" t="n">
        <f aca="false">MAX(W46,X45)</f>
        <v>524560.286309524</v>
      </c>
      <c r="Y46" s="65" t="n">
        <f aca="false">MAX(X46,Y45)</f>
        <v>618505.030456349</v>
      </c>
      <c r="Z46" s="65" t="n">
        <f aca="false">MAX(Y46,Z45)</f>
        <v>712505.33015873</v>
      </c>
      <c r="AA46" s="65" t="n">
        <f aca="false">MAX(Z46,AA45)</f>
        <v>761791.005406845</v>
      </c>
      <c r="AB46" s="65" t="n">
        <f aca="false">MAX(AA46,AB45)</f>
        <v>811132.236210516</v>
      </c>
      <c r="AC46" s="65" t="n">
        <f aca="false">MAX(AB46,AC45)</f>
        <v>860529.022569742</v>
      </c>
      <c r="AD46" s="65" t="n">
        <f aca="false">MAX(AC46,AD45)</f>
        <v>909981.364484524</v>
      </c>
      <c r="AE46" s="65" t="n">
        <f aca="false">MAX(AD46,AE45)</f>
        <v>959489.261954862</v>
      </c>
      <c r="AF46" s="65" t="n">
        <f aca="false">MAX(AE46,AF45)</f>
        <v>1009052.71498075</v>
      </c>
      <c r="AG46" s="65" t="n">
        <f aca="false">MAX(AF46,AG45)</f>
        <v>1058671.7235622</v>
      </c>
      <c r="AH46" s="65" t="n">
        <f aca="false">MAX(AG46,AH45)</f>
        <v>1108346.28769921</v>
      </c>
      <c r="AI46" s="65" t="n">
        <f aca="false">MAX(AH46,AI45)</f>
        <v>1158076.40739177</v>
      </c>
      <c r="AJ46" s="65" t="n">
        <f aca="false">MAX(AI46,AJ45)</f>
        <v>1207862.08263988</v>
      </c>
      <c r="AK46" s="65" t="n">
        <f aca="false">MAX(AJ46,AK45)</f>
        <v>1342077.93544355</v>
      </c>
      <c r="AL46" s="65" t="n">
        <f aca="false">MAX(AK46,AL45)</f>
        <v>1476349.34380278</v>
      </c>
      <c r="AM46" s="65" t="n">
        <f aca="false">MAX(AL46,AM45)</f>
        <v>1548291.44992095</v>
      </c>
      <c r="AN46" s="65" t="n">
        <f aca="false">MAX(AM46,AN45)</f>
        <v>1620289.11159468</v>
      </c>
      <c r="AO46" s="65" t="n">
        <f aca="false">MAX(AN46,AO45)</f>
        <v>1692342.32882397</v>
      </c>
      <c r="AP46" s="65" t="n">
        <f aca="false">MAX(AO46,AP45)</f>
        <v>1764451.10160881</v>
      </c>
      <c r="AQ46" s="65" t="n">
        <f aca="false">MAX(AP46,AQ45)</f>
        <v>1836615.4299492</v>
      </c>
      <c r="AR46" s="65" t="n">
        <f aca="false">MAX(AQ46,AR45)</f>
        <v>1908835.31384515</v>
      </c>
      <c r="AS46" s="65" t="n">
        <f aca="false">MAX(AR46,AS45)</f>
        <v>1981110.75329666</v>
      </c>
      <c r="AT46" s="65" t="n">
        <f aca="false">MAX(AS46,AT45)</f>
        <v>2053441.74830372</v>
      </c>
      <c r="AU46" s="65" t="n">
        <f aca="false">MAX(AT46,AU45)</f>
        <v>2125828.29886634</v>
      </c>
      <c r="AV46" s="65" t="n">
        <f aca="false">MAX(AU46,AV45)</f>
        <v>2198270.40498451</v>
      </c>
      <c r="AW46" s="65" t="n">
        <f aca="false">MAX(AV46,AW45)</f>
        <v>2378669.70970824</v>
      </c>
      <c r="AX46" s="65" t="n">
        <f aca="false">MAX(AW46,AX45)</f>
        <v>2559124.56998753</v>
      </c>
      <c r="AY46" s="65" t="n">
        <f aca="false">MAX(AX46,AY45)</f>
        <v>2656593.79560641</v>
      </c>
      <c r="AZ46" s="65" t="n">
        <f aca="false">MAX(AY46,AZ45)</f>
        <v>2754118.57678084</v>
      </c>
      <c r="BA46" s="65" t="n">
        <f aca="false">MAX(AZ46,BA45)</f>
        <v>2851698.91351083</v>
      </c>
      <c r="BB46" s="65" t="n">
        <f aca="false">MAX(BA46,BB45)</f>
        <v>2949334.80579638</v>
      </c>
      <c r="BC46" s="65" t="n">
        <f aca="false">MAX(BB46,BC45)</f>
        <v>3047026.25363748</v>
      </c>
      <c r="BD46" s="65" t="n">
        <f aca="false">MAX(BC46,BD45)</f>
        <v>3144773.25703414</v>
      </c>
      <c r="BE46" s="65" t="n">
        <f aca="false">MAX(BD46,BE45)</f>
        <v>3242575.81598635</v>
      </c>
      <c r="BF46" s="65" t="n">
        <f aca="false">MAX(BE46,BF45)</f>
        <v>3340433.93049412</v>
      </c>
      <c r="BG46" s="65" t="n">
        <f aca="false">MAX(BF46,BG45)</f>
        <v>3438347.60055744</v>
      </c>
      <c r="BH46" s="65" t="n">
        <f aca="false">MAX(BG46,BH45)</f>
        <v>3536316.82617632</v>
      </c>
      <c r="BI46" s="65" t="n">
        <f aca="false">MAX(BH46,BI45)</f>
        <v>3770060.77945538</v>
      </c>
      <c r="BJ46" s="65" t="n">
        <f aca="false">MAX(BI46,BJ45)</f>
        <v>4003860.28829</v>
      </c>
    </row>
    <row r="47" customFormat="false" ht="15" hidden="false" customHeight="false" outlineLevel="0" collapsed="false">
      <c r="A47" s="6" t="s">
        <v>82</v>
      </c>
      <c r="C47" s="65" t="n">
        <f aca="false">-C46*Inputs!$E$70</f>
        <v>-2339.56824999999</v>
      </c>
      <c r="D47" s="65" t="n">
        <f aca="false">-(D46-C46)*Inputs!$E$70</f>
        <v>-2345.40158333333</v>
      </c>
      <c r="E47" s="65" t="n">
        <f aca="false">-(E46-D46)*Inputs!$E$70</f>
        <v>-2357.06825</v>
      </c>
      <c r="F47" s="65" t="n">
        <f aca="false">-(F46-E46)*Inputs!$E$70</f>
        <v>-2368.73491666666</v>
      </c>
      <c r="G47" s="65" t="n">
        <f aca="false">-(G46-F46)*Inputs!$E$70</f>
        <v>-2380.40158333333</v>
      </c>
      <c r="H47" s="65" t="n">
        <f aca="false">-(H46-G46)*Inputs!$E$70</f>
        <v>-2392.06824999999</v>
      </c>
      <c r="I47" s="65" t="n">
        <f aca="false">-(I46-H46)*Inputs!$E$70</f>
        <v>-2403.73491666666</v>
      </c>
      <c r="J47" s="65" t="n">
        <f aca="false">-(J46-I46)*Inputs!$E$70</f>
        <v>-2415.40158333333</v>
      </c>
      <c r="K47" s="65" t="n">
        <f aca="false">-(K46-J46)*Inputs!$E$70</f>
        <v>-2427.06824999999</v>
      </c>
      <c r="L47" s="65" t="n">
        <f aca="false">-(L46-K46)*Inputs!$E$70</f>
        <v>-2438.73491666666</v>
      </c>
      <c r="M47" s="65" t="n">
        <f aca="false">-(M46-L46)*Inputs!$E$70</f>
        <v>-12300.0420833334</v>
      </c>
      <c r="N47" s="65" t="n">
        <f aca="false">-(N46-M46)*Inputs!$E$70</f>
        <v>-12311.70875</v>
      </c>
      <c r="O47" s="65" t="n">
        <f aca="false">-(O46-N46)*Inputs!$E$70</f>
        <v>-6115.27267916667</v>
      </c>
      <c r="P47" s="65" t="n">
        <f aca="false">-(P46-O46)*Inputs!$E$70</f>
        <v>-6126.93934583334</v>
      </c>
      <c r="Q47" s="65" t="n">
        <f aca="false">-(Q46-P46)*Inputs!$E$70</f>
        <v>-6138.60601250001</v>
      </c>
      <c r="R47" s="65" t="n">
        <f aca="false">-(R46-Q46)*Inputs!$E$70</f>
        <v>-6150.27267916666</v>
      </c>
      <c r="S47" s="65" t="n">
        <f aca="false">-(S46-R46)*Inputs!$E$70</f>
        <v>-6161.93934583333</v>
      </c>
      <c r="T47" s="65" t="n">
        <f aca="false">-(T46-S46)*Inputs!$E$70</f>
        <v>-6173.6060125</v>
      </c>
      <c r="U47" s="65" t="n">
        <f aca="false">-(U46-T46)*Inputs!$E$70</f>
        <v>-6185.27267916667</v>
      </c>
      <c r="V47" s="65" t="n">
        <f aca="false">-(V46-U46)*Inputs!$E$70</f>
        <v>-6196.93934583334</v>
      </c>
      <c r="W47" s="65" t="n">
        <f aca="false">-(W46-V46)*Inputs!$E$70</f>
        <v>-6208.6060125</v>
      </c>
      <c r="X47" s="65" t="n">
        <f aca="false">-(X46-W46)*Inputs!$E$70</f>
        <v>-6220.27267916666</v>
      </c>
      <c r="Y47" s="65" t="n">
        <f aca="false">-(Y46-X46)*Inputs!$E$70</f>
        <v>-19728.3962708333</v>
      </c>
      <c r="Z47" s="65" t="n">
        <f aca="false">-(Z46-Y46)*Inputs!$E$70</f>
        <v>-19740.0629375</v>
      </c>
      <c r="AA47" s="65" t="n">
        <f aca="false">-(AA46-Z46)*Inputs!$E$70</f>
        <v>-10349.9918021042</v>
      </c>
      <c r="AB47" s="65" t="n">
        <f aca="false">-(AB46-AA46)*Inputs!$E$70</f>
        <v>-10361.6584687709</v>
      </c>
      <c r="AC47" s="65" t="n">
        <f aca="false">-(AC46-AB46)*Inputs!$E$70</f>
        <v>-10373.3251354375</v>
      </c>
      <c r="AD47" s="65" t="n">
        <f aca="false">-(AD46-AC46)*Inputs!$E$70</f>
        <v>-10384.9918021042</v>
      </c>
      <c r="AE47" s="65" t="n">
        <f aca="false">-(AE46-AD46)*Inputs!$E$70</f>
        <v>-10396.6584687708</v>
      </c>
      <c r="AF47" s="65" t="n">
        <f aca="false">-(AF46-AE46)*Inputs!$E$70</f>
        <v>-10408.3251354375</v>
      </c>
      <c r="AG47" s="65" t="n">
        <f aca="false">-(AG46-AF46)*Inputs!$E$70</f>
        <v>-10419.9918021042</v>
      </c>
      <c r="AH47" s="65" t="n">
        <f aca="false">-(AH46-AG46)*Inputs!$E$70</f>
        <v>-10431.6584687709</v>
      </c>
      <c r="AI47" s="65" t="n">
        <f aca="false">-(AI46-AH46)*Inputs!$E$70</f>
        <v>-10443.3251354375</v>
      </c>
      <c r="AJ47" s="65" t="n">
        <f aca="false">-(AJ46-AI46)*Inputs!$E$70</f>
        <v>-10454.9918021042</v>
      </c>
      <c r="AK47" s="65" t="n">
        <f aca="false">-(AK46-AJ46)*Inputs!$E$70</f>
        <v>-28185.3290887709</v>
      </c>
      <c r="AL47" s="65" t="n">
        <f aca="false">-(AL46-AK46)*Inputs!$E$70</f>
        <v>-28196.9957554375</v>
      </c>
      <c r="AM47" s="65" t="n">
        <f aca="false">-(AM46-AL46)*Inputs!$E$70</f>
        <v>-15107.8422848164</v>
      </c>
      <c r="AN47" s="65" t="n">
        <f aca="false">-(AN46-AM46)*Inputs!$E$70</f>
        <v>-15119.5089514831</v>
      </c>
      <c r="AO47" s="65" t="n">
        <f aca="false">-(AO46-AN46)*Inputs!$E$70</f>
        <v>-15131.1756181498</v>
      </c>
      <c r="AP47" s="65" t="n">
        <f aca="false">-(AP46-AO46)*Inputs!$E$70</f>
        <v>-15142.8422848164</v>
      </c>
      <c r="AQ47" s="65" t="n">
        <f aca="false">-(AQ46-AP46)*Inputs!$E$70</f>
        <v>-15154.5089514831</v>
      </c>
      <c r="AR47" s="65" t="n">
        <f aca="false">-(AR46-AQ46)*Inputs!$E$70</f>
        <v>-15166.1756181497</v>
      </c>
      <c r="AS47" s="65" t="n">
        <f aca="false">-(AS46-AR46)*Inputs!$E$70</f>
        <v>-15177.8422848164</v>
      </c>
      <c r="AT47" s="65" t="n">
        <f aca="false">-(AT46-AS46)*Inputs!$E$70</f>
        <v>-15189.5089514831</v>
      </c>
      <c r="AU47" s="65" t="n">
        <f aca="false">-(AU46-AT46)*Inputs!$E$70</f>
        <v>-15201.1756181497</v>
      </c>
      <c r="AV47" s="65" t="n">
        <f aca="false">-(AV46-AU46)*Inputs!$E$70</f>
        <v>-15212.8422848164</v>
      </c>
      <c r="AW47" s="65" t="n">
        <f aca="false">-(AW46-AV46)*Inputs!$E$70</f>
        <v>-37883.8539919831</v>
      </c>
      <c r="AX47" s="65" t="n">
        <f aca="false">-(AX46-AW46)*Inputs!$E$70</f>
        <v>-37895.5206586497</v>
      </c>
      <c r="AY47" s="65" t="n">
        <f aca="false">-(AY46-AX46)*Inputs!$E$70</f>
        <v>-20468.5373799647</v>
      </c>
      <c r="AZ47" s="65" t="n">
        <f aca="false">-(AZ46-AY46)*Inputs!$E$70</f>
        <v>-20480.2040466313</v>
      </c>
      <c r="BA47" s="65" t="n">
        <f aca="false">-(BA46-AZ46)*Inputs!$E$70</f>
        <v>-20491.8707132981</v>
      </c>
      <c r="BB47" s="65" t="n">
        <f aca="false">-(BB46-BA46)*Inputs!$E$70</f>
        <v>-20503.5373799647</v>
      </c>
      <c r="BC47" s="65" t="n">
        <f aca="false">-(BC46-BB46)*Inputs!$E$70</f>
        <v>-20515.2040466314</v>
      </c>
      <c r="BD47" s="65" t="n">
        <f aca="false">-(BD46-BC46)*Inputs!$E$70</f>
        <v>-20526.870713298</v>
      </c>
      <c r="BE47" s="65" t="n">
        <f aca="false">-(BE46-BD46)*Inputs!$E$70</f>
        <v>-20538.5373799647</v>
      </c>
      <c r="BF47" s="65" t="n">
        <f aca="false">-(BF46-BE46)*Inputs!$E$70</f>
        <v>-20550.2040466313</v>
      </c>
      <c r="BG47" s="65" t="n">
        <f aca="false">-(BG46-BF46)*Inputs!$E$70</f>
        <v>-20561.870713298</v>
      </c>
      <c r="BH47" s="65" t="n">
        <f aca="false">-(BH46-BG46)*Inputs!$E$70</f>
        <v>-20573.5373799647</v>
      </c>
      <c r="BI47" s="65" t="n">
        <f aca="false">-(BI46-BH46)*Inputs!$E$70</f>
        <v>-49086.2301886026</v>
      </c>
      <c r="BJ47" s="65" t="n">
        <f aca="false">-(BJ46-BI46)*Inputs!$E$70</f>
        <v>-49097.8968552692</v>
      </c>
    </row>
    <row r="48" customFormat="false" ht="15" hidden="false" customHeight="false" outlineLevel="0" collapsed="false">
      <c r="A48" s="110" t="s">
        <v>50</v>
      </c>
      <c r="C48" s="66" t="n">
        <f aca="false">C44+C47</f>
        <v>8801.23294047617</v>
      </c>
      <c r="D48" s="66" t="n">
        <f aca="false">D44+D47</f>
        <v>8823.17738492062</v>
      </c>
      <c r="E48" s="66" t="n">
        <f aca="false">E44+E47</f>
        <v>8867.0662738095</v>
      </c>
      <c r="F48" s="66" t="n">
        <f aca="false">F44+F47</f>
        <v>8910.95516269839</v>
      </c>
      <c r="G48" s="66" t="n">
        <f aca="false">G44+G47</f>
        <v>8954.84405158728</v>
      </c>
      <c r="H48" s="66" t="n">
        <f aca="false">H44+H47</f>
        <v>8998.73294047617</v>
      </c>
      <c r="I48" s="66" t="n">
        <f aca="false">I44+I47</f>
        <v>9042.62182936506</v>
      </c>
      <c r="J48" s="66" t="n">
        <f aca="false">J44+J47</f>
        <v>9086.51071825395</v>
      </c>
      <c r="K48" s="66" t="n">
        <f aca="false">K44+K47</f>
        <v>9130.39960714284</v>
      </c>
      <c r="L48" s="66" t="n">
        <f aca="false">L44+L47</f>
        <v>9174.28849603172</v>
      </c>
      <c r="M48" s="66" t="n">
        <f aca="false">M44+M47</f>
        <v>46271.5868849208</v>
      </c>
      <c r="N48" s="66" t="n">
        <f aca="false">N44+N47</f>
        <v>46315.4757738096</v>
      </c>
      <c r="O48" s="66" t="n">
        <f aca="false">O44+O47</f>
        <v>23005.0734121032</v>
      </c>
      <c r="P48" s="66" t="n">
        <f aca="false">P44+P47</f>
        <v>23048.9623009921</v>
      </c>
      <c r="Q48" s="66" t="n">
        <f aca="false">Q44+Q47</f>
        <v>23092.851189881</v>
      </c>
      <c r="R48" s="66" t="n">
        <f aca="false">R44+R47</f>
        <v>23136.7400787699</v>
      </c>
      <c r="S48" s="66" t="n">
        <f aca="false">S44+S47</f>
        <v>23180.6289676587</v>
      </c>
      <c r="T48" s="66" t="n">
        <f aca="false">T44+T47</f>
        <v>23224.5178565476</v>
      </c>
      <c r="U48" s="66" t="n">
        <f aca="false">U44+U47</f>
        <v>23268.4067454365</v>
      </c>
      <c r="V48" s="66" t="n">
        <f aca="false">V44+V47</f>
        <v>23312.2956343254</v>
      </c>
      <c r="W48" s="66" t="n">
        <f aca="false">W44+W47</f>
        <v>23356.1845232143</v>
      </c>
      <c r="X48" s="66" t="n">
        <f aca="false">X44+X47</f>
        <v>23400.0734121032</v>
      </c>
      <c r="Y48" s="66" t="n">
        <f aca="false">Y44+Y47</f>
        <v>74216.3478759921</v>
      </c>
      <c r="Z48" s="66" t="n">
        <f aca="false">Z44+Z47</f>
        <v>74260.236764881</v>
      </c>
      <c r="AA48" s="66" t="n">
        <f aca="false">AA44+AA47</f>
        <v>38935.683446011</v>
      </c>
      <c r="AB48" s="66" t="n">
        <f aca="false">AB44+AB47</f>
        <v>38979.5723348999</v>
      </c>
      <c r="AC48" s="66" t="n">
        <f aca="false">AC44+AC47</f>
        <v>39023.4612237888</v>
      </c>
      <c r="AD48" s="66" t="n">
        <f aca="false">AD44+AD47</f>
        <v>39067.3501126776</v>
      </c>
      <c r="AE48" s="66" t="n">
        <f aca="false">AE44+AE47</f>
        <v>39111.2390015665</v>
      </c>
      <c r="AF48" s="66" t="n">
        <f aca="false">AF44+AF47</f>
        <v>39155.1278904554</v>
      </c>
      <c r="AG48" s="66" t="n">
        <f aca="false">AG44+AG47</f>
        <v>39199.0167793443</v>
      </c>
      <c r="AH48" s="66" t="n">
        <f aca="false">AH44+AH47</f>
        <v>39242.9056682332</v>
      </c>
      <c r="AI48" s="66" t="n">
        <f aca="false">AI44+AI47</f>
        <v>39286.7945571221</v>
      </c>
      <c r="AJ48" s="66" t="n">
        <f aca="false">AJ44+AJ47</f>
        <v>39330.683446011</v>
      </c>
      <c r="AK48" s="66" t="n">
        <f aca="false">AK44+AK47</f>
        <v>106030.5237149</v>
      </c>
      <c r="AL48" s="66" t="n">
        <f aca="false">AL44+AL47</f>
        <v>106074.412603789</v>
      </c>
      <c r="AM48" s="66" t="n">
        <f aca="false">AM44+AM47</f>
        <v>56834.263833357</v>
      </c>
      <c r="AN48" s="66" t="n">
        <f aca="false">AN44+AN47</f>
        <v>56878.1527222459</v>
      </c>
      <c r="AO48" s="66" t="n">
        <f aca="false">AO44+AO47</f>
        <v>56922.0416111348</v>
      </c>
      <c r="AP48" s="66" t="n">
        <f aca="false">AP44+AP47</f>
        <v>56965.9305000237</v>
      </c>
      <c r="AQ48" s="66" t="n">
        <f aca="false">AQ44+AQ47</f>
        <v>57009.8193889126</v>
      </c>
      <c r="AR48" s="66" t="n">
        <f aca="false">AR44+AR47</f>
        <v>57053.7082778015</v>
      </c>
      <c r="AS48" s="66" t="n">
        <f aca="false">AS44+AS47</f>
        <v>57097.5971666903</v>
      </c>
      <c r="AT48" s="66" t="n">
        <f aca="false">AT44+AT47</f>
        <v>57141.4860555792</v>
      </c>
      <c r="AU48" s="66" t="n">
        <f aca="false">AU44+AU47</f>
        <v>57185.3749444681</v>
      </c>
      <c r="AV48" s="66" t="n">
        <f aca="false">AV44+AV47</f>
        <v>57229.263833357</v>
      </c>
      <c r="AW48" s="66" t="n">
        <f aca="false">AW44+AW47</f>
        <v>142515.450731746</v>
      </c>
      <c r="AX48" s="66" t="n">
        <f aca="false">AX44+AX47</f>
        <v>142559.339620635</v>
      </c>
      <c r="AY48" s="66" t="n">
        <f aca="false">AY44+AY47</f>
        <v>77000.6882389148</v>
      </c>
      <c r="AZ48" s="66" t="n">
        <f aca="false">AZ44+AZ47</f>
        <v>77044.5771278037</v>
      </c>
      <c r="BA48" s="66" t="n">
        <f aca="false">BA44+BA47</f>
        <v>77088.4660166925</v>
      </c>
      <c r="BB48" s="66" t="n">
        <f aca="false">BB44+BB47</f>
        <v>77132.3549055814</v>
      </c>
      <c r="BC48" s="66" t="n">
        <f aca="false">BC44+BC47</f>
        <v>77176.2437944703</v>
      </c>
      <c r="BD48" s="66" t="n">
        <f aca="false">BD44+BD47</f>
        <v>77220.1326833592</v>
      </c>
      <c r="BE48" s="66" t="n">
        <f aca="false">BE44+BE47</f>
        <v>77264.0215722481</v>
      </c>
      <c r="BF48" s="66" t="n">
        <f aca="false">BF44+BF47</f>
        <v>77307.910461137</v>
      </c>
      <c r="BG48" s="66" t="n">
        <f aca="false">BG44+BG47</f>
        <v>77351.7993500259</v>
      </c>
      <c r="BH48" s="66" t="n">
        <f aca="false">BH44+BH47</f>
        <v>77395.6882389148</v>
      </c>
      <c r="BI48" s="66" t="n">
        <f aca="false">BI44+BI47</f>
        <v>184657.723090457</v>
      </c>
      <c r="BJ48" s="66" t="n">
        <f aca="false">BJ44+BJ47</f>
        <v>184701.611979346</v>
      </c>
    </row>
    <row r="50" customFormat="false" ht="15.75" hidden="false" customHeight="true" outlineLevel="0" collapsed="false">
      <c r="A50" s="7" t="s">
        <v>422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customFormat="false" ht="15" hidden="false" customHeight="false" outlineLevel="0" collapsed="false">
      <c r="A51" s="6" t="s">
        <v>423</v>
      </c>
      <c r="C51" s="65" t="n">
        <f aca="false">IF(C$4=1,Inputs!$E$35+Inputs!$E$18*Inputs!$E$25,0)+IF(AND(C$4&gt;1,MOD(C$4-1,12)=0),Inputs!$E$19*Inputs!$E$25,0)</f>
        <v>350000</v>
      </c>
      <c r="D51" s="65" t="n">
        <f aca="false">IF(D$4=1,Inputs!$E$35+Inputs!$E$18*Inputs!$E$25,0)+IF(AND(D$4&gt;1,MOD(D$4-1,12)=0),Inputs!$E$19*Inputs!$E$25,0)</f>
        <v>0</v>
      </c>
      <c r="E51" s="65" t="n">
        <f aca="false">IF(E$4=1,Inputs!$E$35+Inputs!$E$18*Inputs!$E$25,0)+IF(AND(E$4&gt;1,MOD(E$4-1,12)=0),Inputs!$E$19*Inputs!$E$25,0)</f>
        <v>0</v>
      </c>
      <c r="F51" s="65" t="n">
        <f aca="false">IF(F$4=1,Inputs!$E$35+Inputs!$E$18*Inputs!$E$25,0)+IF(AND(F$4&gt;1,MOD(F$4-1,12)=0),Inputs!$E$19*Inputs!$E$25,0)</f>
        <v>0</v>
      </c>
      <c r="G51" s="65" t="n">
        <f aca="false">IF(G$4=1,Inputs!$E$35+Inputs!$E$18*Inputs!$E$25,0)+IF(AND(G$4&gt;1,MOD(G$4-1,12)=0),Inputs!$E$19*Inputs!$E$25,0)</f>
        <v>0</v>
      </c>
      <c r="H51" s="65" t="n">
        <f aca="false">IF(H$4=1,Inputs!$E$35+Inputs!$E$18*Inputs!$E$25,0)+IF(AND(H$4&gt;1,MOD(H$4-1,12)=0),Inputs!$E$19*Inputs!$E$25,0)</f>
        <v>0</v>
      </c>
      <c r="I51" s="65" t="n">
        <f aca="false">IF(I$4=1,Inputs!$E$35+Inputs!$E$18*Inputs!$E$25,0)+IF(AND(I$4&gt;1,MOD(I$4-1,12)=0),Inputs!$E$19*Inputs!$E$25,0)</f>
        <v>0</v>
      </c>
      <c r="J51" s="65" t="n">
        <f aca="false">IF(J$4=1,Inputs!$E$35+Inputs!$E$18*Inputs!$E$25,0)+IF(AND(J$4&gt;1,MOD(J$4-1,12)=0),Inputs!$E$19*Inputs!$E$25,0)</f>
        <v>0</v>
      </c>
      <c r="K51" s="65" t="n">
        <f aca="false">IF(K$4=1,Inputs!$E$35+Inputs!$E$18*Inputs!$E$25,0)+IF(AND(K$4&gt;1,MOD(K$4-1,12)=0),Inputs!$E$19*Inputs!$E$25,0)</f>
        <v>0</v>
      </c>
      <c r="L51" s="65" t="n">
        <f aca="false">IF(L$4=1,Inputs!$E$35+Inputs!$E$18*Inputs!$E$25,0)+IF(AND(L$4&gt;1,MOD(L$4-1,12)=0),Inputs!$E$19*Inputs!$E$25,0)</f>
        <v>0</v>
      </c>
      <c r="M51" s="65" t="n">
        <f aca="false">IF(M$4=1,Inputs!$E$35+Inputs!$E$18*Inputs!$E$25,0)+IF(AND(M$4&gt;1,MOD(M$4-1,12)=0),Inputs!$E$19*Inputs!$E$25,0)</f>
        <v>0</v>
      </c>
      <c r="N51" s="65" t="n">
        <f aca="false">IF(N$4=1,Inputs!$E$35+Inputs!$E$18*Inputs!$E$25,0)+IF(AND(N$4&gt;1,MOD(N$4-1,12)=0),Inputs!$E$19*Inputs!$E$25,0)</f>
        <v>0</v>
      </c>
      <c r="O51" s="65" t="n">
        <f aca="false">IF(O$4=1,Inputs!$E$35+Inputs!$E$18*Inputs!$E$25,0)+IF(AND(O$4&gt;1,MOD(O$4-1,12)=0),Inputs!$E$19*Inputs!$E$25,0)</f>
        <v>150000</v>
      </c>
      <c r="P51" s="65" t="n">
        <f aca="false">IF(P$4=1,Inputs!$E$35+Inputs!$E$18*Inputs!$E$25,0)+IF(AND(P$4&gt;1,MOD(P$4-1,12)=0),Inputs!$E$19*Inputs!$E$25,0)</f>
        <v>0</v>
      </c>
      <c r="Q51" s="65" t="n">
        <f aca="false">IF(Q$4=1,Inputs!$E$35+Inputs!$E$18*Inputs!$E$25,0)+IF(AND(Q$4&gt;1,MOD(Q$4-1,12)=0),Inputs!$E$19*Inputs!$E$25,0)</f>
        <v>0</v>
      </c>
      <c r="R51" s="65" t="n">
        <f aca="false">IF(R$4=1,Inputs!$E$35+Inputs!$E$18*Inputs!$E$25,0)+IF(AND(R$4&gt;1,MOD(R$4-1,12)=0),Inputs!$E$19*Inputs!$E$25,0)</f>
        <v>0</v>
      </c>
      <c r="S51" s="65" t="n">
        <f aca="false">IF(S$4=1,Inputs!$E$35+Inputs!$E$18*Inputs!$E$25,0)+IF(AND(S$4&gt;1,MOD(S$4-1,12)=0),Inputs!$E$19*Inputs!$E$25,0)</f>
        <v>0</v>
      </c>
      <c r="T51" s="65" t="n">
        <f aca="false">IF(T$4=1,Inputs!$E$35+Inputs!$E$18*Inputs!$E$25,0)+IF(AND(T$4&gt;1,MOD(T$4-1,12)=0),Inputs!$E$19*Inputs!$E$25,0)</f>
        <v>0</v>
      </c>
      <c r="U51" s="65" t="n">
        <f aca="false">IF(U$4=1,Inputs!$E$35+Inputs!$E$18*Inputs!$E$25,0)+IF(AND(U$4&gt;1,MOD(U$4-1,12)=0),Inputs!$E$19*Inputs!$E$25,0)</f>
        <v>0</v>
      </c>
      <c r="V51" s="65" t="n">
        <f aca="false">IF(V$4=1,Inputs!$E$35+Inputs!$E$18*Inputs!$E$25,0)+IF(AND(V$4&gt;1,MOD(V$4-1,12)=0),Inputs!$E$19*Inputs!$E$25,0)</f>
        <v>0</v>
      </c>
      <c r="W51" s="65" t="n">
        <f aca="false">IF(W$4=1,Inputs!$E$35+Inputs!$E$18*Inputs!$E$25,0)+IF(AND(W$4&gt;1,MOD(W$4-1,12)=0),Inputs!$E$19*Inputs!$E$25,0)</f>
        <v>0</v>
      </c>
      <c r="X51" s="65" t="n">
        <f aca="false">IF(X$4=1,Inputs!$E$35+Inputs!$E$18*Inputs!$E$25,0)+IF(AND(X$4&gt;1,MOD(X$4-1,12)=0),Inputs!$E$19*Inputs!$E$25,0)</f>
        <v>0</v>
      </c>
      <c r="Y51" s="65" t="n">
        <f aca="false">IF(Y$4=1,Inputs!$E$35+Inputs!$E$18*Inputs!$E$25,0)+IF(AND(Y$4&gt;1,MOD(Y$4-1,12)=0),Inputs!$E$19*Inputs!$E$25,0)</f>
        <v>0</v>
      </c>
      <c r="Z51" s="65" t="n">
        <f aca="false">IF(Z$4=1,Inputs!$E$35+Inputs!$E$18*Inputs!$E$25,0)+IF(AND(Z$4&gt;1,MOD(Z$4-1,12)=0),Inputs!$E$19*Inputs!$E$25,0)</f>
        <v>0</v>
      </c>
      <c r="AA51" s="65" t="n">
        <f aca="false">IF(AA$4=1,Inputs!$E$35+Inputs!$E$18*Inputs!$E$25,0)+IF(AND(AA$4&gt;1,MOD(AA$4-1,12)=0),Inputs!$E$19*Inputs!$E$25,0)</f>
        <v>150000</v>
      </c>
      <c r="AB51" s="65" t="n">
        <f aca="false">IF(AB$4=1,Inputs!$E$35+Inputs!$E$18*Inputs!$E$25,0)+IF(AND(AB$4&gt;1,MOD(AB$4-1,12)=0),Inputs!$E$19*Inputs!$E$25,0)</f>
        <v>0</v>
      </c>
      <c r="AC51" s="65" t="n">
        <f aca="false">IF(AC$4=1,Inputs!$E$35+Inputs!$E$18*Inputs!$E$25,0)+IF(AND(AC$4&gt;1,MOD(AC$4-1,12)=0),Inputs!$E$19*Inputs!$E$25,0)</f>
        <v>0</v>
      </c>
      <c r="AD51" s="65" t="n">
        <f aca="false">IF(AD$4=1,Inputs!$E$35+Inputs!$E$18*Inputs!$E$25,0)+IF(AND(AD$4&gt;1,MOD(AD$4-1,12)=0),Inputs!$E$19*Inputs!$E$25,0)</f>
        <v>0</v>
      </c>
      <c r="AE51" s="65" t="n">
        <f aca="false">IF(AE$4=1,Inputs!$E$35+Inputs!$E$18*Inputs!$E$25,0)+IF(AND(AE$4&gt;1,MOD(AE$4-1,12)=0),Inputs!$E$19*Inputs!$E$25,0)</f>
        <v>0</v>
      </c>
      <c r="AF51" s="65" t="n">
        <f aca="false">IF(AF$4=1,Inputs!$E$35+Inputs!$E$18*Inputs!$E$25,0)+IF(AND(AF$4&gt;1,MOD(AF$4-1,12)=0),Inputs!$E$19*Inputs!$E$25,0)</f>
        <v>0</v>
      </c>
      <c r="AG51" s="65" t="n">
        <f aca="false">IF(AG$4=1,Inputs!$E$35+Inputs!$E$18*Inputs!$E$25,0)+IF(AND(AG$4&gt;1,MOD(AG$4-1,12)=0),Inputs!$E$19*Inputs!$E$25,0)</f>
        <v>0</v>
      </c>
      <c r="AH51" s="65" t="n">
        <f aca="false">IF(AH$4=1,Inputs!$E$35+Inputs!$E$18*Inputs!$E$25,0)+IF(AND(AH$4&gt;1,MOD(AH$4-1,12)=0),Inputs!$E$19*Inputs!$E$25,0)</f>
        <v>0</v>
      </c>
      <c r="AI51" s="65" t="n">
        <f aca="false">IF(AI$4=1,Inputs!$E$35+Inputs!$E$18*Inputs!$E$25,0)+IF(AND(AI$4&gt;1,MOD(AI$4-1,12)=0),Inputs!$E$19*Inputs!$E$25,0)</f>
        <v>0</v>
      </c>
      <c r="AJ51" s="65" t="n">
        <f aca="false">IF(AJ$4=1,Inputs!$E$35+Inputs!$E$18*Inputs!$E$25,0)+IF(AND(AJ$4&gt;1,MOD(AJ$4-1,12)=0),Inputs!$E$19*Inputs!$E$25,0)</f>
        <v>0</v>
      </c>
      <c r="AK51" s="65" t="n">
        <f aca="false">IF(AK$4=1,Inputs!$E$35+Inputs!$E$18*Inputs!$E$25,0)+IF(AND(AK$4&gt;1,MOD(AK$4-1,12)=0),Inputs!$E$19*Inputs!$E$25,0)</f>
        <v>0</v>
      </c>
      <c r="AL51" s="65" t="n">
        <f aca="false">IF(AL$4=1,Inputs!$E$35+Inputs!$E$18*Inputs!$E$25,0)+IF(AND(AL$4&gt;1,MOD(AL$4-1,12)=0),Inputs!$E$19*Inputs!$E$25,0)</f>
        <v>0</v>
      </c>
      <c r="AM51" s="65" t="n">
        <f aca="false">IF(AM$4=1,Inputs!$E$35+Inputs!$E$18*Inputs!$E$25,0)+IF(AND(AM$4&gt;1,MOD(AM$4-1,12)=0),Inputs!$E$19*Inputs!$E$25,0)</f>
        <v>150000</v>
      </c>
      <c r="AN51" s="65" t="n">
        <f aca="false">IF(AN$4=1,Inputs!$E$35+Inputs!$E$18*Inputs!$E$25,0)+IF(AND(AN$4&gt;1,MOD(AN$4-1,12)=0),Inputs!$E$19*Inputs!$E$25,0)</f>
        <v>0</v>
      </c>
      <c r="AO51" s="65" t="n">
        <f aca="false">IF(AO$4=1,Inputs!$E$35+Inputs!$E$18*Inputs!$E$25,0)+IF(AND(AO$4&gt;1,MOD(AO$4-1,12)=0),Inputs!$E$19*Inputs!$E$25,0)</f>
        <v>0</v>
      </c>
      <c r="AP51" s="65" t="n">
        <f aca="false">IF(AP$4=1,Inputs!$E$35+Inputs!$E$18*Inputs!$E$25,0)+IF(AND(AP$4&gt;1,MOD(AP$4-1,12)=0),Inputs!$E$19*Inputs!$E$25,0)</f>
        <v>0</v>
      </c>
      <c r="AQ51" s="65" t="n">
        <f aca="false">IF(AQ$4=1,Inputs!$E$35+Inputs!$E$18*Inputs!$E$25,0)+IF(AND(AQ$4&gt;1,MOD(AQ$4-1,12)=0),Inputs!$E$19*Inputs!$E$25,0)</f>
        <v>0</v>
      </c>
      <c r="AR51" s="65" t="n">
        <f aca="false">IF(AR$4=1,Inputs!$E$35+Inputs!$E$18*Inputs!$E$25,0)+IF(AND(AR$4&gt;1,MOD(AR$4-1,12)=0),Inputs!$E$19*Inputs!$E$25,0)</f>
        <v>0</v>
      </c>
      <c r="AS51" s="65" t="n">
        <f aca="false">IF(AS$4=1,Inputs!$E$35+Inputs!$E$18*Inputs!$E$25,0)+IF(AND(AS$4&gt;1,MOD(AS$4-1,12)=0),Inputs!$E$19*Inputs!$E$25,0)</f>
        <v>0</v>
      </c>
      <c r="AT51" s="65" t="n">
        <f aca="false">IF(AT$4=1,Inputs!$E$35+Inputs!$E$18*Inputs!$E$25,0)+IF(AND(AT$4&gt;1,MOD(AT$4-1,12)=0),Inputs!$E$19*Inputs!$E$25,0)</f>
        <v>0</v>
      </c>
      <c r="AU51" s="65" t="n">
        <f aca="false">IF(AU$4=1,Inputs!$E$35+Inputs!$E$18*Inputs!$E$25,0)+IF(AND(AU$4&gt;1,MOD(AU$4-1,12)=0),Inputs!$E$19*Inputs!$E$25,0)</f>
        <v>0</v>
      </c>
      <c r="AV51" s="65" t="n">
        <f aca="false">IF(AV$4=1,Inputs!$E$35+Inputs!$E$18*Inputs!$E$25,0)+IF(AND(AV$4&gt;1,MOD(AV$4-1,12)=0),Inputs!$E$19*Inputs!$E$25,0)</f>
        <v>0</v>
      </c>
      <c r="AW51" s="65" t="n">
        <f aca="false">IF(AW$4=1,Inputs!$E$35+Inputs!$E$18*Inputs!$E$25,0)+IF(AND(AW$4&gt;1,MOD(AW$4-1,12)=0),Inputs!$E$19*Inputs!$E$25,0)</f>
        <v>0</v>
      </c>
      <c r="AX51" s="65" t="n">
        <f aca="false">IF(AX$4=1,Inputs!$E$35+Inputs!$E$18*Inputs!$E$25,0)+IF(AND(AX$4&gt;1,MOD(AX$4-1,12)=0),Inputs!$E$19*Inputs!$E$25,0)</f>
        <v>0</v>
      </c>
      <c r="AY51" s="65" t="n">
        <f aca="false">IF(AY$4=1,Inputs!$E$35+Inputs!$E$18*Inputs!$E$25,0)+IF(AND(AY$4&gt;1,MOD(AY$4-1,12)=0),Inputs!$E$19*Inputs!$E$25,0)</f>
        <v>150000</v>
      </c>
      <c r="AZ51" s="65" t="n">
        <f aca="false">IF(AZ$4=1,Inputs!$E$35+Inputs!$E$18*Inputs!$E$25,0)+IF(AND(AZ$4&gt;1,MOD(AZ$4-1,12)=0),Inputs!$E$19*Inputs!$E$25,0)</f>
        <v>0</v>
      </c>
      <c r="BA51" s="65" t="n">
        <f aca="false">IF(BA$4=1,Inputs!$E$35+Inputs!$E$18*Inputs!$E$25,0)+IF(AND(BA$4&gt;1,MOD(BA$4-1,12)=0),Inputs!$E$19*Inputs!$E$25,0)</f>
        <v>0</v>
      </c>
      <c r="BB51" s="65" t="n">
        <f aca="false">IF(BB$4=1,Inputs!$E$35+Inputs!$E$18*Inputs!$E$25,0)+IF(AND(BB$4&gt;1,MOD(BB$4-1,12)=0),Inputs!$E$19*Inputs!$E$25,0)</f>
        <v>0</v>
      </c>
      <c r="BC51" s="65" t="n">
        <f aca="false">IF(BC$4=1,Inputs!$E$35+Inputs!$E$18*Inputs!$E$25,0)+IF(AND(BC$4&gt;1,MOD(BC$4-1,12)=0),Inputs!$E$19*Inputs!$E$25,0)</f>
        <v>0</v>
      </c>
      <c r="BD51" s="65" t="n">
        <f aca="false">IF(BD$4=1,Inputs!$E$35+Inputs!$E$18*Inputs!$E$25,0)+IF(AND(BD$4&gt;1,MOD(BD$4-1,12)=0),Inputs!$E$19*Inputs!$E$25,0)</f>
        <v>0</v>
      </c>
      <c r="BE51" s="65" t="n">
        <f aca="false">IF(BE$4=1,Inputs!$E$35+Inputs!$E$18*Inputs!$E$25,0)+IF(AND(BE$4&gt;1,MOD(BE$4-1,12)=0),Inputs!$E$19*Inputs!$E$25,0)</f>
        <v>0</v>
      </c>
      <c r="BF51" s="65" t="n">
        <f aca="false">IF(BF$4=1,Inputs!$E$35+Inputs!$E$18*Inputs!$E$25,0)+IF(AND(BF$4&gt;1,MOD(BF$4-1,12)=0),Inputs!$E$19*Inputs!$E$25,0)</f>
        <v>0</v>
      </c>
      <c r="BG51" s="65" t="n">
        <f aca="false">IF(BG$4=1,Inputs!$E$35+Inputs!$E$18*Inputs!$E$25,0)+IF(AND(BG$4&gt;1,MOD(BG$4-1,12)=0),Inputs!$E$19*Inputs!$E$25,0)</f>
        <v>0</v>
      </c>
      <c r="BH51" s="65" t="n">
        <f aca="false">IF(BH$4=1,Inputs!$E$35+Inputs!$E$18*Inputs!$E$25,0)+IF(AND(BH$4&gt;1,MOD(BH$4-1,12)=0),Inputs!$E$19*Inputs!$E$25,0)</f>
        <v>0</v>
      </c>
      <c r="BI51" s="65" t="n">
        <f aca="false">IF(BI$4=1,Inputs!$E$35+Inputs!$E$18*Inputs!$E$25,0)+IF(AND(BI$4&gt;1,MOD(BI$4-1,12)=0),Inputs!$E$19*Inputs!$E$25,0)</f>
        <v>0</v>
      </c>
      <c r="BJ51" s="65" t="n">
        <f aca="false">IF(BJ$4=1,Inputs!$E$35+Inputs!$E$18*Inputs!$E$25,0)+IF(AND(BJ$4&gt;1,MOD(BJ$4-1,12)=0),Inputs!$E$19*Inputs!$E$25,0)</f>
        <v>0</v>
      </c>
    </row>
    <row r="52" customFormat="false" ht="15" hidden="false" customHeight="false" outlineLevel="0" collapsed="false">
      <c r="A52" s="6" t="s">
        <v>424</v>
      </c>
      <c r="C52" s="65" t="n">
        <f aca="false">C51</f>
        <v>350000</v>
      </c>
      <c r="D52" s="65" t="n">
        <f aca="false">C52+D51</f>
        <v>350000</v>
      </c>
      <c r="E52" s="65" t="n">
        <f aca="false">D52+E51</f>
        <v>350000</v>
      </c>
      <c r="F52" s="65" t="n">
        <f aca="false">E52+F51</f>
        <v>350000</v>
      </c>
      <c r="G52" s="65" t="n">
        <f aca="false">F52+G51</f>
        <v>350000</v>
      </c>
      <c r="H52" s="65" t="n">
        <f aca="false">G52+H51</f>
        <v>350000</v>
      </c>
      <c r="I52" s="65" t="n">
        <f aca="false">H52+I51</f>
        <v>350000</v>
      </c>
      <c r="J52" s="65" t="n">
        <f aca="false">I52+J51</f>
        <v>350000</v>
      </c>
      <c r="K52" s="65" t="n">
        <f aca="false">J52+K51</f>
        <v>350000</v>
      </c>
      <c r="L52" s="65" t="n">
        <f aca="false">K52+L51</f>
        <v>350000</v>
      </c>
      <c r="M52" s="65" t="n">
        <f aca="false">L52+M51</f>
        <v>350000</v>
      </c>
      <c r="N52" s="65" t="n">
        <f aca="false">M52+N51</f>
        <v>350000</v>
      </c>
      <c r="O52" s="65" t="n">
        <f aca="false">N52+O51</f>
        <v>500000</v>
      </c>
      <c r="P52" s="65" t="n">
        <f aca="false">O52+P51</f>
        <v>500000</v>
      </c>
      <c r="Q52" s="65" t="n">
        <f aca="false">P52+Q51</f>
        <v>500000</v>
      </c>
      <c r="R52" s="65" t="n">
        <f aca="false">Q52+R51</f>
        <v>500000</v>
      </c>
      <c r="S52" s="65" t="n">
        <f aca="false">R52+S51</f>
        <v>500000</v>
      </c>
      <c r="T52" s="65" t="n">
        <f aca="false">S52+T51</f>
        <v>500000</v>
      </c>
      <c r="U52" s="65" t="n">
        <f aca="false">T52+U51</f>
        <v>500000</v>
      </c>
      <c r="V52" s="65" t="n">
        <f aca="false">U52+V51</f>
        <v>500000</v>
      </c>
      <c r="W52" s="65" t="n">
        <f aca="false">V52+W51</f>
        <v>500000</v>
      </c>
      <c r="X52" s="65" t="n">
        <f aca="false">W52+X51</f>
        <v>500000</v>
      </c>
      <c r="Y52" s="65" t="n">
        <f aca="false">X52+Y51</f>
        <v>500000</v>
      </c>
      <c r="Z52" s="65" t="n">
        <f aca="false">Y52+Z51</f>
        <v>500000</v>
      </c>
      <c r="AA52" s="65" t="n">
        <f aca="false">Z52+AA51</f>
        <v>650000</v>
      </c>
      <c r="AB52" s="65" t="n">
        <f aca="false">AA52+AB51</f>
        <v>650000</v>
      </c>
      <c r="AC52" s="65" t="n">
        <f aca="false">AB52+AC51</f>
        <v>650000</v>
      </c>
      <c r="AD52" s="65" t="n">
        <f aca="false">AC52+AD51</f>
        <v>650000</v>
      </c>
      <c r="AE52" s="65" t="n">
        <f aca="false">AD52+AE51</f>
        <v>650000</v>
      </c>
      <c r="AF52" s="65" t="n">
        <f aca="false">AE52+AF51</f>
        <v>650000</v>
      </c>
      <c r="AG52" s="65" t="n">
        <f aca="false">AF52+AG51</f>
        <v>650000</v>
      </c>
      <c r="AH52" s="65" t="n">
        <f aca="false">AG52+AH51</f>
        <v>650000</v>
      </c>
      <c r="AI52" s="65" t="n">
        <f aca="false">AH52+AI51</f>
        <v>650000</v>
      </c>
      <c r="AJ52" s="65" t="n">
        <f aca="false">AI52+AJ51</f>
        <v>650000</v>
      </c>
      <c r="AK52" s="65" t="n">
        <f aca="false">AJ52+AK51</f>
        <v>650000</v>
      </c>
      <c r="AL52" s="65" t="n">
        <f aca="false">AK52+AL51</f>
        <v>650000</v>
      </c>
      <c r="AM52" s="65" t="n">
        <f aca="false">AL52+AM51</f>
        <v>800000</v>
      </c>
      <c r="AN52" s="65" t="n">
        <f aca="false">AM52+AN51</f>
        <v>800000</v>
      </c>
      <c r="AO52" s="65" t="n">
        <f aca="false">AN52+AO51</f>
        <v>800000</v>
      </c>
      <c r="AP52" s="65" t="n">
        <f aca="false">AO52+AP51</f>
        <v>800000</v>
      </c>
      <c r="AQ52" s="65" t="n">
        <f aca="false">AP52+AQ51</f>
        <v>800000</v>
      </c>
      <c r="AR52" s="65" t="n">
        <f aca="false">AQ52+AR51</f>
        <v>800000</v>
      </c>
      <c r="AS52" s="65" t="n">
        <f aca="false">AR52+AS51</f>
        <v>800000</v>
      </c>
      <c r="AT52" s="65" t="n">
        <f aca="false">AS52+AT51</f>
        <v>800000</v>
      </c>
      <c r="AU52" s="65" t="n">
        <f aca="false">AT52+AU51</f>
        <v>800000</v>
      </c>
      <c r="AV52" s="65" t="n">
        <f aca="false">AU52+AV51</f>
        <v>800000</v>
      </c>
      <c r="AW52" s="65" t="n">
        <f aca="false">AV52+AW51</f>
        <v>800000</v>
      </c>
      <c r="AX52" s="65" t="n">
        <f aca="false">AW52+AX51</f>
        <v>800000</v>
      </c>
      <c r="AY52" s="65" t="n">
        <f aca="false">AX52+AY51</f>
        <v>950000</v>
      </c>
      <c r="AZ52" s="65" t="n">
        <f aca="false">AY52+AZ51</f>
        <v>950000</v>
      </c>
      <c r="BA52" s="65" t="n">
        <f aca="false">AZ52+BA51</f>
        <v>950000</v>
      </c>
      <c r="BB52" s="65" t="n">
        <f aca="false">BA52+BB51</f>
        <v>950000</v>
      </c>
      <c r="BC52" s="65" t="n">
        <f aca="false">BB52+BC51</f>
        <v>950000</v>
      </c>
      <c r="BD52" s="65" t="n">
        <f aca="false">BC52+BD51</f>
        <v>950000</v>
      </c>
      <c r="BE52" s="65" t="n">
        <f aca="false">BD52+BE51</f>
        <v>950000</v>
      </c>
      <c r="BF52" s="65" t="n">
        <f aca="false">BE52+BF51</f>
        <v>950000</v>
      </c>
      <c r="BG52" s="65" t="n">
        <f aca="false">BF52+BG51</f>
        <v>950000</v>
      </c>
      <c r="BH52" s="65" t="n">
        <f aca="false">BG52+BH51</f>
        <v>950000</v>
      </c>
      <c r="BI52" s="65" t="n">
        <f aca="false">BH52+BI51</f>
        <v>950000</v>
      </c>
      <c r="BJ52" s="65" t="n">
        <f aca="false">BI52+BJ51</f>
        <v>950000</v>
      </c>
    </row>
    <row r="53" customFormat="false" ht="15" hidden="false" customHeight="false" outlineLevel="0" collapsed="false">
      <c r="A53" s="6" t="s">
        <v>78</v>
      </c>
      <c r="C53" s="65" t="n">
        <f aca="false">-MIN(C52/MAX(1,Inputs!$E$69*12),C51)</f>
        <v>-4166.66666666667</v>
      </c>
      <c r="D53" s="65" t="n">
        <f aca="false">-MIN(D52/MAX(1,Inputs!$E$69*12),C55+D51)</f>
        <v>-4166.66666666667</v>
      </c>
      <c r="E53" s="65" t="n">
        <f aca="false">-MIN(E52/MAX(1,Inputs!$E$69*12),D55+E51)</f>
        <v>-4166.66666666667</v>
      </c>
      <c r="F53" s="65" t="n">
        <f aca="false">-MIN(F52/MAX(1,Inputs!$E$69*12),E55+F51)</f>
        <v>-4166.66666666667</v>
      </c>
      <c r="G53" s="65" t="n">
        <f aca="false">-MIN(G52/MAX(1,Inputs!$E$69*12),F55+G51)</f>
        <v>-4166.66666666667</v>
      </c>
      <c r="H53" s="65" t="n">
        <f aca="false">-MIN(H52/MAX(1,Inputs!$E$69*12),G55+H51)</f>
        <v>-4166.66666666667</v>
      </c>
      <c r="I53" s="65" t="n">
        <f aca="false">-MIN(I52/MAX(1,Inputs!$E$69*12),H55+I51)</f>
        <v>-4166.66666666667</v>
      </c>
      <c r="J53" s="65" t="n">
        <f aca="false">-MIN(J52/MAX(1,Inputs!$E$69*12),I55+J51)</f>
        <v>-4166.66666666667</v>
      </c>
      <c r="K53" s="65" t="n">
        <f aca="false">-MIN(K52/MAX(1,Inputs!$E$69*12),J55+K51)</f>
        <v>-4166.66666666667</v>
      </c>
      <c r="L53" s="65" t="n">
        <f aca="false">-MIN(L52/MAX(1,Inputs!$E$69*12),K55+L51)</f>
        <v>-4166.66666666667</v>
      </c>
      <c r="M53" s="65" t="n">
        <f aca="false">-MIN(M52/MAX(1,Inputs!$E$69*12),L55+M51)</f>
        <v>-4166.66666666667</v>
      </c>
      <c r="N53" s="65" t="n">
        <f aca="false">-MIN(N52/MAX(1,Inputs!$E$69*12),M55+N51)</f>
        <v>-4166.66666666667</v>
      </c>
      <c r="O53" s="65" t="n">
        <f aca="false">-MIN(O52/MAX(1,Inputs!$E$69*12),N55+O51)</f>
        <v>-5952.38095238095</v>
      </c>
      <c r="P53" s="65" t="n">
        <f aca="false">-MIN(P52/MAX(1,Inputs!$E$69*12),O55+P51)</f>
        <v>-5952.38095238095</v>
      </c>
      <c r="Q53" s="65" t="n">
        <f aca="false">-MIN(Q52/MAX(1,Inputs!$E$69*12),P55+Q51)</f>
        <v>-5952.38095238095</v>
      </c>
      <c r="R53" s="65" t="n">
        <f aca="false">-MIN(R52/MAX(1,Inputs!$E$69*12),Q55+R51)</f>
        <v>-5952.38095238095</v>
      </c>
      <c r="S53" s="65" t="n">
        <f aca="false">-MIN(S52/MAX(1,Inputs!$E$69*12),R55+S51)</f>
        <v>-5952.38095238095</v>
      </c>
      <c r="T53" s="65" t="n">
        <f aca="false">-MIN(T52/MAX(1,Inputs!$E$69*12),S55+T51)</f>
        <v>-5952.38095238095</v>
      </c>
      <c r="U53" s="65" t="n">
        <f aca="false">-MIN(U52/MAX(1,Inputs!$E$69*12),T55+U51)</f>
        <v>-5952.38095238095</v>
      </c>
      <c r="V53" s="65" t="n">
        <f aca="false">-MIN(V52/MAX(1,Inputs!$E$69*12),U55+V51)</f>
        <v>-5952.38095238095</v>
      </c>
      <c r="W53" s="65" t="n">
        <f aca="false">-MIN(W52/MAX(1,Inputs!$E$69*12),V55+W51)</f>
        <v>-5952.38095238095</v>
      </c>
      <c r="X53" s="65" t="n">
        <f aca="false">-MIN(X52/MAX(1,Inputs!$E$69*12),W55+X51)</f>
        <v>-5952.38095238095</v>
      </c>
      <c r="Y53" s="65" t="n">
        <f aca="false">-MIN(Y52/MAX(1,Inputs!$E$69*12),X55+Y51)</f>
        <v>-5952.38095238095</v>
      </c>
      <c r="Z53" s="65" t="n">
        <f aca="false">-MIN(Z52/MAX(1,Inputs!$E$69*12),Y55+Z51)</f>
        <v>-5952.38095238095</v>
      </c>
      <c r="AA53" s="65" t="n">
        <f aca="false">-MIN(AA52/MAX(1,Inputs!$E$69*12),Z55+AA51)</f>
        <v>-7738.09523809524</v>
      </c>
      <c r="AB53" s="65" t="n">
        <f aca="false">-MIN(AB52/MAX(1,Inputs!$E$69*12),AA55+AB51)</f>
        <v>-7738.09523809524</v>
      </c>
      <c r="AC53" s="65" t="n">
        <f aca="false">-MIN(AC52/MAX(1,Inputs!$E$69*12),AB55+AC51)</f>
        <v>-7738.09523809524</v>
      </c>
      <c r="AD53" s="65" t="n">
        <f aca="false">-MIN(AD52/MAX(1,Inputs!$E$69*12),AC55+AD51)</f>
        <v>-7738.09523809524</v>
      </c>
      <c r="AE53" s="65" t="n">
        <f aca="false">-MIN(AE52/MAX(1,Inputs!$E$69*12),AD55+AE51)</f>
        <v>-7738.09523809524</v>
      </c>
      <c r="AF53" s="65" t="n">
        <f aca="false">-MIN(AF52/MAX(1,Inputs!$E$69*12),AE55+AF51)</f>
        <v>-7738.09523809524</v>
      </c>
      <c r="AG53" s="65" t="n">
        <f aca="false">-MIN(AG52/MAX(1,Inputs!$E$69*12),AF55+AG51)</f>
        <v>-7738.09523809524</v>
      </c>
      <c r="AH53" s="65" t="n">
        <f aca="false">-MIN(AH52/MAX(1,Inputs!$E$69*12),AG55+AH51)</f>
        <v>-7738.09523809524</v>
      </c>
      <c r="AI53" s="65" t="n">
        <f aca="false">-MIN(AI52/MAX(1,Inputs!$E$69*12),AH55+AI51)</f>
        <v>-7738.09523809524</v>
      </c>
      <c r="AJ53" s="65" t="n">
        <f aca="false">-MIN(AJ52/MAX(1,Inputs!$E$69*12),AI55+AJ51)</f>
        <v>-7738.09523809524</v>
      </c>
      <c r="AK53" s="65" t="n">
        <f aca="false">-MIN(AK52/MAX(1,Inputs!$E$69*12),AJ55+AK51)</f>
        <v>-7738.09523809524</v>
      </c>
      <c r="AL53" s="65" t="n">
        <f aca="false">-MIN(AL52/MAX(1,Inputs!$E$69*12),AK55+AL51)</f>
        <v>-7738.09523809524</v>
      </c>
      <c r="AM53" s="65" t="n">
        <f aca="false">-MIN(AM52/MAX(1,Inputs!$E$69*12),AL55+AM51)</f>
        <v>-9523.80952380952</v>
      </c>
      <c r="AN53" s="65" t="n">
        <f aca="false">-MIN(AN52/MAX(1,Inputs!$E$69*12),AM55+AN51)</f>
        <v>-9523.80952380952</v>
      </c>
      <c r="AO53" s="65" t="n">
        <f aca="false">-MIN(AO52/MAX(1,Inputs!$E$69*12),AN55+AO51)</f>
        <v>-9523.80952380952</v>
      </c>
      <c r="AP53" s="65" t="n">
        <f aca="false">-MIN(AP52/MAX(1,Inputs!$E$69*12),AO55+AP51)</f>
        <v>-9523.80952380952</v>
      </c>
      <c r="AQ53" s="65" t="n">
        <f aca="false">-MIN(AQ52/MAX(1,Inputs!$E$69*12),AP55+AQ51)</f>
        <v>-9523.80952380952</v>
      </c>
      <c r="AR53" s="65" t="n">
        <f aca="false">-MIN(AR52/MAX(1,Inputs!$E$69*12),AQ55+AR51)</f>
        <v>-9523.80952380952</v>
      </c>
      <c r="AS53" s="65" t="n">
        <f aca="false">-MIN(AS52/MAX(1,Inputs!$E$69*12),AR55+AS51)</f>
        <v>-9523.80952380952</v>
      </c>
      <c r="AT53" s="65" t="n">
        <f aca="false">-MIN(AT52/MAX(1,Inputs!$E$69*12),AS55+AT51)</f>
        <v>-9523.80952380952</v>
      </c>
      <c r="AU53" s="65" t="n">
        <f aca="false">-MIN(AU52/MAX(1,Inputs!$E$69*12),AT55+AU51)</f>
        <v>-9523.80952380952</v>
      </c>
      <c r="AV53" s="65" t="n">
        <f aca="false">-MIN(AV52/MAX(1,Inputs!$E$69*12),AU55+AV51)</f>
        <v>-9523.80952380952</v>
      </c>
      <c r="AW53" s="65" t="n">
        <f aca="false">-MIN(AW52/MAX(1,Inputs!$E$69*12),AV55+AW51)</f>
        <v>-9523.80952380952</v>
      </c>
      <c r="AX53" s="65" t="n">
        <f aca="false">-MIN(AX52/MAX(1,Inputs!$E$69*12),AW55+AX51)</f>
        <v>-9523.80952380952</v>
      </c>
      <c r="AY53" s="65" t="n">
        <f aca="false">-MIN(AY52/MAX(1,Inputs!$E$69*12),AX55+AY51)</f>
        <v>-11309.5238095238</v>
      </c>
      <c r="AZ53" s="65" t="n">
        <f aca="false">-MIN(AZ52/MAX(1,Inputs!$E$69*12),AY55+AZ51)</f>
        <v>-11309.5238095238</v>
      </c>
      <c r="BA53" s="65" t="n">
        <f aca="false">-MIN(BA52/MAX(1,Inputs!$E$69*12),AZ55+BA51)</f>
        <v>-11309.5238095238</v>
      </c>
      <c r="BB53" s="65" t="n">
        <f aca="false">-MIN(BB52/MAX(1,Inputs!$E$69*12),BA55+BB51)</f>
        <v>-11309.5238095238</v>
      </c>
      <c r="BC53" s="65" t="n">
        <f aca="false">-MIN(BC52/MAX(1,Inputs!$E$69*12),BB55+BC51)</f>
        <v>-11309.5238095238</v>
      </c>
      <c r="BD53" s="65" t="n">
        <f aca="false">-MIN(BD52/MAX(1,Inputs!$E$69*12),BC55+BD51)</f>
        <v>-11309.5238095238</v>
      </c>
      <c r="BE53" s="65" t="n">
        <f aca="false">-MIN(BE52/MAX(1,Inputs!$E$69*12),BD55+BE51)</f>
        <v>-11309.5238095238</v>
      </c>
      <c r="BF53" s="65" t="n">
        <f aca="false">-MIN(BF52/MAX(1,Inputs!$E$69*12),BE55+BF51)</f>
        <v>-11309.5238095238</v>
      </c>
      <c r="BG53" s="65" t="n">
        <f aca="false">-MIN(BG52/MAX(1,Inputs!$E$69*12),BF55+BG51)</f>
        <v>-11309.5238095238</v>
      </c>
      <c r="BH53" s="65" t="n">
        <f aca="false">-MIN(BH52/MAX(1,Inputs!$E$69*12),BG55+BH51)</f>
        <v>-11309.5238095238</v>
      </c>
      <c r="BI53" s="65" t="n">
        <f aca="false">-MIN(BI52/MAX(1,Inputs!$E$69*12),BH55+BI51)</f>
        <v>-11309.5238095238</v>
      </c>
      <c r="BJ53" s="65" t="n">
        <f aca="false">-MIN(BJ52/MAX(1,Inputs!$E$69*12),BI55+BJ51)</f>
        <v>-11309.5238095238</v>
      </c>
    </row>
    <row r="54" customFormat="false" ht="15" hidden="false" customHeight="false" outlineLevel="0" collapsed="false">
      <c r="A54" s="6" t="s">
        <v>425</v>
      </c>
      <c r="C54" s="65" t="n">
        <f aca="false">C53</f>
        <v>-4166.66666666667</v>
      </c>
      <c r="D54" s="65" t="n">
        <f aca="false">C54+D53</f>
        <v>-8333.33333333333</v>
      </c>
      <c r="E54" s="65" t="n">
        <f aca="false">D54+E53</f>
        <v>-12500</v>
      </c>
      <c r="F54" s="65" t="n">
        <f aca="false">E54+F53</f>
        <v>-16666.6666666667</v>
      </c>
      <c r="G54" s="65" t="n">
        <f aca="false">F54+G53</f>
        <v>-20833.3333333333</v>
      </c>
      <c r="H54" s="65" t="n">
        <f aca="false">G54+H53</f>
        <v>-25000</v>
      </c>
      <c r="I54" s="65" t="n">
        <f aca="false">H54+I53</f>
        <v>-29166.6666666667</v>
      </c>
      <c r="J54" s="65" t="n">
        <f aca="false">I54+J53</f>
        <v>-33333.3333333333</v>
      </c>
      <c r="K54" s="65" t="n">
        <f aca="false">J54+K53</f>
        <v>-37500</v>
      </c>
      <c r="L54" s="65" t="n">
        <f aca="false">K54+L53</f>
        <v>-41666.6666666667</v>
      </c>
      <c r="M54" s="65" t="n">
        <f aca="false">L54+M53</f>
        <v>-45833.3333333333</v>
      </c>
      <c r="N54" s="65" t="n">
        <f aca="false">M54+N53</f>
        <v>-50000</v>
      </c>
      <c r="O54" s="65" t="n">
        <f aca="false">N54+O53</f>
        <v>-55952.380952381</v>
      </c>
      <c r="P54" s="65" t="n">
        <f aca="false">O54+P53</f>
        <v>-61904.7619047619</v>
      </c>
      <c r="Q54" s="65" t="n">
        <f aca="false">P54+Q53</f>
        <v>-67857.1428571429</v>
      </c>
      <c r="R54" s="65" t="n">
        <f aca="false">Q54+R53</f>
        <v>-73809.5238095238</v>
      </c>
      <c r="S54" s="65" t="n">
        <f aca="false">R54+S53</f>
        <v>-79761.9047619048</v>
      </c>
      <c r="T54" s="65" t="n">
        <f aca="false">S54+T53</f>
        <v>-85714.2857142857</v>
      </c>
      <c r="U54" s="65" t="n">
        <f aca="false">T54+U53</f>
        <v>-91666.6666666666</v>
      </c>
      <c r="V54" s="65" t="n">
        <f aca="false">U54+V53</f>
        <v>-97619.0476190476</v>
      </c>
      <c r="W54" s="65" t="n">
        <f aca="false">V54+W53</f>
        <v>-103571.428571429</v>
      </c>
      <c r="X54" s="65" t="n">
        <f aca="false">W54+X53</f>
        <v>-109523.809523809</v>
      </c>
      <c r="Y54" s="65" t="n">
        <f aca="false">X54+Y53</f>
        <v>-115476.19047619</v>
      </c>
      <c r="Z54" s="65" t="n">
        <f aca="false">Y54+Z53</f>
        <v>-121428.571428571</v>
      </c>
      <c r="AA54" s="65" t="n">
        <f aca="false">Z54+AA53</f>
        <v>-129166.666666667</v>
      </c>
      <c r="AB54" s="65" t="n">
        <f aca="false">AA54+AB53</f>
        <v>-136904.761904762</v>
      </c>
      <c r="AC54" s="65" t="n">
        <f aca="false">AB54+AC53</f>
        <v>-144642.857142857</v>
      </c>
      <c r="AD54" s="65" t="n">
        <f aca="false">AC54+AD53</f>
        <v>-152380.952380952</v>
      </c>
      <c r="AE54" s="65" t="n">
        <f aca="false">AD54+AE53</f>
        <v>-160119.047619048</v>
      </c>
      <c r="AF54" s="65" t="n">
        <f aca="false">AE54+AF53</f>
        <v>-167857.142857143</v>
      </c>
      <c r="AG54" s="65" t="n">
        <f aca="false">AF54+AG53</f>
        <v>-175595.238095238</v>
      </c>
      <c r="AH54" s="65" t="n">
        <f aca="false">AG54+AH53</f>
        <v>-183333.333333333</v>
      </c>
      <c r="AI54" s="65" t="n">
        <f aca="false">AH54+AI53</f>
        <v>-191071.428571429</v>
      </c>
      <c r="AJ54" s="65" t="n">
        <f aca="false">AI54+AJ53</f>
        <v>-198809.523809524</v>
      </c>
      <c r="AK54" s="65" t="n">
        <f aca="false">AJ54+AK53</f>
        <v>-206547.619047619</v>
      </c>
      <c r="AL54" s="65" t="n">
        <f aca="false">AK54+AL53</f>
        <v>-214285.714285714</v>
      </c>
      <c r="AM54" s="65" t="n">
        <f aca="false">AL54+AM53</f>
        <v>-223809.523809524</v>
      </c>
      <c r="AN54" s="65" t="n">
        <f aca="false">AM54+AN53</f>
        <v>-233333.333333333</v>
      </c>
      <c r="AO54" s="65" t="n">
        <f aca="false">AN54+AO53</f>
        <v>-242857.142857143</v>
      </c>
      <c r="AP54" s="65" t="n">
        <f aca="false">AO54+AP53</f>
        <v>-252380.952380952</v>
      </c>
      <c r="AQ54" s="65" t="n">
        <f aca="false">AP54+AQ53</f>
        <v>-261904.761904762</v>
      </c>
      <c r="AR54" s="65" t="n">
        <f aca="false">AQ54+AR53</f>
        <v>-271428.571428571</v>
      </c>
      <c r="AS54" s="65" t="n">
        <f aca="false">AR54+AS53</f>
        <v>-280952.380952381</v>
      </c>
      <c r="AT54" s="65" t="n">
        <f aca="false">AS54+AT53</f>
        <v>-290476.19047619</v>
      </c>
      <c r="AU54" s="65" t="n">
        <f aca="false">AT54+AU53</f>
        <v>-300000</v>
      </c>
      <c r="AV54" s="65" t="n">
        <f aca="false">AU54+AV53</f>
        <v>-309523.809523809</v>
      </c>
      <c r="AW54" s="65" t="n">
        <f aca="false">AV54+AW53</f>
        <v>-319047.619047619</v>
      </c>
      <c r="AX54" s="65" t="n">
        <f aca="false">AW54+AX53</f>
        <v>-328571.428571429</v>
      </c>
      <c r="AY54" s="65" t="n">
        <f aca="false">AX54+AY53</f>
        <v>-339880.952380952</v>
      </c>
      <c r="AZ54" s="65" t="n">
        <f aca="false">AY54+AZ53</f>
        <v>-351190.476190476</v>
      </c>
      <c r="BA54" s="65" t="n">
        <f aca="false">AZ54+BA53</f>
        <v>-362500</v>
      </c>
      <c r="BB54" s="65" t="n">
        <f aca="false">BA54+BB53</f>
        <v>-373809.523809524</v>
      </c>
      <c r="BC54" s="65" t="n">
        <f aca="false">BB54+BC53</f>
        <v>-385119.047619047</v>
      </c>
      <c r="BD54" s="65" t="n">
        <f aca="false">BC54+BD53</f>
        <v>-396428.571428571</v>
      </c>
      <c r="BE54" s="65" t="n">
        <f aca="false">BD54+BE53</f>
        <v>-407738.095238095</v>
      </c>
      <c r="BF54" s="65" t="n">
        <f aca="false">BE54+BF53</f>
        <v>-419047.619047619</v>
      </c>
      <c r="BG54" s="65" t="n">
        <f aca="false">BF54+BG53</f>
        <v>-430357.142857143</v>
      </c>
      <c r="BH54" s="65" t="n">
        <f aca="false">BG54+BH53</f>
        <v>-441666.666666666</v>
      </c>
      <c r="BI54" s="65" t="n">
        <f aca="false">BH54+BI53</f>
        <v>-452976.19047619</v>
      </c>
      <c r="BJ54" s="65" t="n">
        <f aca="false">BI54+BJ53</f>
        <v>-464285.714285714</v>
      </c>
    </row>
    <row r="55" customFormat="false" ht="15" hidden="false" customHeight="false" outlineLevel="0" collapsed="false">
      <c r="A55" s="4" t="s">
        <v>92</v>
      </c>
      <c r="C55" s="71" t="n">
        <f aca="false">C52+C54</f>
        <v>345833.333333333</v>
      </c>
      <c r="D55" s="71" t="n">
        <f aca="false">D52+D54</f>
        <v>341666.666666667</v>
      </c>
      <c r="E55" s="71" t="n">
        <f aca="false">E52+E54</f>
        <v>337500</v>
      </c>
      <c r="F55" s="71" t="n">
        <f aca="false">F52+F54</f>
        <v>333333.333333333</v>
      </c>
      <c r="G55" s="71" t="n">
        <f aca="false">G52+G54</f>
        <v>329166.666666667</v>
      </c>
      <c r="H55" s="71" t="n">
        <f aca="false">H52+H54</f>
        <v>325000</v>
      </c>
      <c r="I55" s="71" t="n">
        <f aca="false">I52+I54</f>
        <v>320833.333333333</v>
      </c>
      <c r="J55" s="71" t="n">
        <f aca="false">J52+J54</f>
        <v>316666.666666667</v>
      </c>
      <c r="K55" s="71" t="n">
        <f aca="false">K52+K54</f>
        <v>312500</v>
      </c>
      <c r="L55" s="71" t="n">
        <f aca="false">L52+L54</f>
        <v>308333.333333333</v>
      </c>
      <c r="M55" s="71" t="n">
        <f aca="false">M52+M54</f>
        <v>304166.666666667</v>
      </c>
      <c r="N55" s="71" t="n">
        <f aca="false">N52+N54</f>
        <v>300000</v>
      </c>
      <c r="O55" s="71" t="n">
        <f aca="false">O52+O54</f>
        <v>444047.619047619</v>
      </c>
      <c r="P55" s="71" t="n">
        <f aca="false">P52+P54</f>
        <v>438095.238095238</v>
      </c>
      <c r="Q55" s="71" t="n">
        <f aca="false">Q52+Q54</f>
        <v>432142.857142857</v>
      </c>
      <c r="R55" s="71" t="n">
        <f aca="false">R52+R54</f>
        <v>426190.476190476</v>
      </c>
      <c r="S55" s="71" t="n">
        <f aca="false">S52+S54</f>
        <v>420238.095238095</v>
      </c>
      <c r="T55" s="71" t="n">
        <f aca="false">T52+T54</f>
        <v>414285.714285714</v>
      </c>
      <c r="U55" s="71" t="n">
        <f aca="false">U52+U54</f>
        <v>408333.333333333</v>
      </c>
      <c r="V55" s="71" t="n">
        <f aca="false">V52+V54</f>
        <v>402380.952380952</v>
      </c>
      <c r="W55" s="71" t="n">
        <f aca="false">W52+W54</f>
        <v>396428.571428572</v>
      </c>
      <c r="X55" s="71" t="n">
        <f aca="false">X52+X54</f>
        <v>390476.190476191</v>
      </c>
      <c r="Y55" s="71" t="n">
        <f aca="false">Y52+Y54</f>
        <v>384523.80952381</v>
      </c>
      <c r="Z55" s="71" t="n">
        <f aca="false">Z52+Z54</f>
        <v>378571.428571429</v>
      </c>
      <c r="AA55" s="71" t="n">
        <f aca="false">AA52+AA54</f>
        <v>520833.333333333</v>
      </c>
      <c r="AB55" s="71" t="n">
        <f aca="false">AB52+AB54</f>
        <v>513095.238095238</v>
      </c>
      <c r="AC55" s="71" t="n">
        <f aca="false">AC52+AC54</f>
        <v>505357.142857143</v>
      </c>
      <c r="AD55" s="71" t="n">
        <f aca="false">AD52+AD54</f>
        <v>497619.047619048</v>
      </c>
      <c r="AE55" s="71" t="n">
        <f aca="false">AE52+AE54</f>
        <v>489880.952380952</v>
      </c>
      <c r="AF55" s="71" t="n">
        <f aca="false">AF52+AF54</f>
        <v>482142.857142857</v>
      </c>
      <c r="AG55" s="71" t="n">
        <f aca="false">AG52+AG54</f>
        <v>474404.761904762</v>
      </c>
      <c r="AH55" s="71" t="n">
        <f aca="false">AH52+AH54</f>
        <v>466666.666666667</v>
      </c>
      <c r="AI55" s="71" t="n">
        <f aca="false">AI52+AI54</f>
        <v>458928.571428572</v>
      </c>
      <c r="AJ55" s="71" t="n">
        <f aca="false">AJ52+AJ54</f>
        <v>451190.476190476</v>
      </c>
      <c r="AK55" s="71" t="n">
        <f aca="false">AK52+AK54</f>
        <v>443452.380952381</v>
      </c>
      <c r="AL55" s="71" t="n">
        <f aca="false">AL52+AL54</f>
        <v>435714.285714286</v>
      </c>
      <c r="AM55" s="71" t="n">
        <f aca="false">AM52+AM54</f>
        <v>576190.476190476</v>
      </c>
      <c r="AN55" s="71" t="n">
        <f aca="false">AN52+AN54</f>
        <v>566666.666666667</v>
      </c>
      <c r="AO55" s="71" t="n">
        <f aca="false">AO52+AO54</f>
        <v>557142.857142857</v>
      </c>
      <c r="AP55" s="71" t="n">
        <f aca="false">AP52+AP54</f>
        <v>547619.047619048</v>
      </c>
      <c r="AQ55" s="71" t="n">
        <f aca="false">AQ52+AQ54</f>
        <v>538095.238095238</v>
      </c>
      <c r="AR55" s="71" t="n">
        <f aca="false">AR52+AR54</f>
        <v>528571.428571429</v>
      </c>
      <c r="AS55" s="71" t="n">
        <f aca="false">AS52+AS54</f>
        <v>519047.619047619</v>
      </c>
      <c r="AT55" s="71" t="n">
        <f aca="false">AT52+AT54</f>
        <v>509523.80952381</v>
      </c>
      <c r="AU55" s="71" t="n">
        <f aca="false">AU52+AU54</f>
        <v>500000</v>
      </c>
      <c r="AV55" s="71" t="n">
        <f aca="false">AV52+AV54</f>
        <v>490476.190476191</v>
      </c>
      <c r="AW55" s="71" t="n">
        <f aca="false">AW52+AW54</f>
        <v>480952.380952381</v>
      </c>
      <c r="AX55" s="71" t="n">
        <f aca="false">AX52+AX54</f>
        <v>471428.571428572</v>
      </c>
      <c r="AY55" s="71" t="n">
        <f aca="false">AY52+AY54</f>
        <v>610119.047619048</v>
      </c>
      <c r="AZ55" s="71" t="n">
        <f aca="false">AZ52+AZ54</f>
        <v>598809.523809524</v>
      </c>
      <c r="BA55" s="71" t="n">
        <f aca="false">BA52+BA54</f>
        <v>587500</v>
      </c>
      <c r="BB55" s="71" t="n">
        <f aca="false">BB52+BB54</f>
        <v>576190.476190476</v>
      </c>
      <c r="BC55" s="71" t="n">
        <f aca="false">BC52+BC54</f>
        <v>564880.952380953</v>
      </c>
      <c r="BD55" s="71" t="n">
        <f aca="false">BD52+BD54</f>
        <v>553571.428571429</v>
      </c>
      <c r="BE55" s="71" t="n">
        <f aca="false">BE52+BE54</f>
        <v>542261.904761905</v>
      </c>
      <c r="BF55" s="71" t="n">
        <f aca="false">BF52+BF54</f>
        <v>530952.380952381</v>
      </c>
      <c r="BG55" s="71" t="n">
        <f aca="false">BG52+BG54</f>
        <v>519642.857142857</v>
      </c>
      <c r="BH55" s="71" t="n">
        <f aca="false">BH52+BH54</f>
        <v>508333.333333334</v>
      </c>
      <c r="BI55" s="71" t="n">
        <f aca="false">BI52+BI54</f>
        <v>497023.80952381</v>
      </c>
      <c r="BJ55" s="71" t="n">
        <f aca="false">BJ52+BJ54</f>
        <v>485714.285714286</v>
      </c>
    </row>
    <row r="57" customFormat="false" ht="15.75" hidden="false" customHeight="true" outlineLevel="0" collapsed="false">
      <c r="A57" s="7" t="s">
        <v>426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customFormat="false" ht="15" hidden="false" customHeight="false" outlineLevel="0" collapsed="false">
      <c r="A58" s="6" t="s">
        <v>427</v>
      </c>
      <c r="C58" s="65" t="n">
        <f aca="false">0</f>
        <v>0</v>
      </c>
      <c r="D58" s="65" t="n">
        <f aca="false">C61</f>
        <v>500000</v>
      </c>
      <c r="E58" s="65" t="n">
        <f aca="false">D61</f>
        <v>491666.666666667</v>
      </c>
      <c r="F58" s="65" t="n">
        <f aca="false">E61</f>
        <v>483333.333333333</v>
      </c>
      <c r="G58" s="65" t="n">
        <f aca="false">F61</f>
        <v>475000</v>
      </c>
      <c r="H58" s="65" t="n">
        <f aca="false">G61</f>
        <v>466666.666666667</v>
      </c>
      <c r="I58" s="65" t="n">
        <f aca="false">H61</f>
        <v>458333.333333333</v>
      </c>
      <c r="J58" s="65" t="n">
        <f aca="false">I61</f>
        <v>450000</v>
      </c>
      <c r="K58" s="65" t="n">
        <f aca="false">J61</f>
        <v>441666.666666667</v>
      </c>
      <c r="L58" s="65" t="n">
        <f aca="false">K61</f>
        <v>433333.333333334</v>
      </c>
      <c r="M58" s="65" t="n">
        <f aca="false">L61</f>
        <v>425000</v>
      </c>
      <c r="N58" s="65" t="n">
        <f aca="false">M61</f>
        <v>416666.666666667</v>
      </c>
      <c r="O58" s="65" t="n">
        <f aca="false">N61</f>
        <v>408333.333333334</v>
      </c>
      <c r="P58" s="65" t="n">
        <f aca="false">O61</f>
        <v>400000</v>
      </c>
      <c r="Q58" s="65" t="n">
        <f aca="false">P61</f>
        <v>391666.666666667</v>
      </c>
      <c r="R58" s="65" t="n">
        <f aca="false">Q61</f>
        <v>383333.333333334</v>
      </c>
      <c r="S58" s="65" t="n">
        <f aca="false">R61</f>
        <v>375000</v>
      </c>
      <c r="T58" s="65" t="n">
        <f aca="false">S61</f>
        <v>366666.666666667</v>
      </c>
      <c r="U58" s="65" t="n">
        <f aca="false">T61</f>
        <v>358333.333333334</v>
      </c>
      <c r="V58" s="65" t="n">
        <f aca="false">U61</f>
        <v>350000</v>
      </c>
      <c r="W58" s="65" t="n">
        <f aca="false">V61</f>
        <v>341666.666666667</v>
      </c>
      <c r="X58" s="65" t="n">
        <f aca="false">W61</f>
        <v>333333.333333334</v>
      </c>
      <c r="Y58" s="65" t="n">
        <f aca="false">X61</f>
        <v>325000</v>
      </c>
      <c r="Z58" s="65" t="n">
        <f aca="false">Y61</f>
        <v>316666.666666667</v>
      </c>
      <c r="AA58" s="65" t="n">
        <f aca="false">Z61</f>
        <v>308333.333333334</v>
      </c>
      <c r="AB58" s="65" t="n">
        <f aca="false">AA61</f>
        <v>300000</v>
      </c>
      <c r="AC58" s="65" t="n">
        <f aca="false">AB61</f>
        <v>291666.666666667</v>
      </c>
      <c r="AD58" s="65" t="n">
        <f aca="false">AC61</f>
        <v>283333.333333334</v>
      </c>
      <c r="AE58" s="65" t="n">
        <f aca="false">AD61</f>
        <v>275000.000000001</v>
      </c>
      <c r="AF58" s="65" t="n">
        <f aca="false">AE61</f>
        <v>266666.666666667</v>
      </c>
      <c r="AG58" s="65" t="n">
        <f aca="false">AF61</f>
        <v>258333.333333334</v>
      </c>
      <c r="AH58" s="65" t="n">
        <f aca="false">AG61</f>
        <v>250000.000000001</v>
      </c>
      <c r="AI58" s="65" t="n">
        <f aca="false">AH61</f>
        <v>241666.666666667</v>
      </c>
      <c r="AJ58" s="65" t="n">
        <f aca="false">AI61</f>
        <v>233333.333333334</v>
      </c>
      <c r="AK58" s="65" t="n">
        <f aca="false">AJ61</f>
        <v>225000.000000001</v>
      </c>
      <c r="AL58" s="65" t="n">
        <f aca="false">AK61</f>
        <v>216666.666666667</v>
      </c>
      <c r="AM58" s="65" t="n">
        <f aca="false">AL61</f>
        <v>208333.333333334</v>
      </c>
      <c r="AN58" s="65" t="n">
        <f aca="false">AM61</f>
        <v>200000</v>
      </c>
      <c r="AO58" s="65" t="n">
        <f aca="false">AN61</f>
        <v>191666.666666667</v>
      </c>
      <c r="AP58" s="65" t="n">
        <f aca="false">AO61</f>
        <v>183333.333333334</v>
      </c>
      <c r="AQ58" s="65" t="n">
        <f aca="false">AP61</f>
        <v>175000</v>
      </c>
      <c r="AR58" s="65" t="n">
        <f aca="false">AQ61</f>
        <v>166666.666666667</v>
      </c>
      <c r="AS58" s="65" t="n">
        <f aca="false">AR61</f>
        <v>158333.333333334</v>
      </c>
      <c r="AT58" s="65" t="n">
        <f aca="false">AS61</f>
        <v>150000</v>
      </c>
      <c r="AU58" s="65" t="n">
        <f aca="false">AT61</f>
        <v>141666.666666667</v>
      </c>
      <c r="AV58" s="65" t="n">
        <f aca="false">AU61</f>
        <v>133333.333333334</v>
      </c>
      <c r="AW58" s="65" t="n">
        <f aca="false">AV61</f>
        <v>125000</v>
      </c>
      <c r="AX58" s="65" t="n">
        <f aca="false">AW61</f>
        <v>116666.666666667</v>
      </c>
      <c r="AY58" s="65" t="n">
        <f aca="false">AX61</f>
        <v>108333.333333334</v>
      </c>
      <c r="AZ58" s="65" t="n">
        <f aca="false">AY61</f>
        <v>100000</v>
      </c>
      <c r="BA58" s="65" t="n">
        <f aca="false">AZ61</f>
        <v>91666.6666666671</v>
      </c>
      <c r="BB58" s="65" t="n">
        <f aca="false">BA61</f>
        <v>83333.3333333338</v>
      </c>
      <c r="BC58" s="65" t="n">
        <f aca="false">BB61</f>
        <v>75000.0000000004</v>
      </c>
      <c r="BD58" s="65" t="n">
        <f aca="false">BC61</f>
        <v>66666.6666666671</v>
      </c>
      <c r="BE58" s="65" t="n">
        <f aca="false">BD61</f>
        <v>58333.3333333338</v>
      </c>
      <c r="BF58" s="65" t="n">
        <f aca="false">BE61</f>
        <v>50000.0000000004</v>
      </c>
      <c r="BG58" s="65" t="n">
        <f aca="false">BF61</f>
        <v>41666.6666666671</v>
      </c>
      <c r="BH58" s="65" t="n">
        <f aca="false">BG61</f>
        <v>33333.3333333338</v>
      </c>
      <c r="BI58" s="65" t="n">
        <f aca="false">BH61</f>
        <v>25000.0000000004</v>
      </c>
      <c r="BJ58" s="65" t="n">
        <f aca="false">BI61</f>
        <v>16666.6666666671</v>
      </c>
    </row>
    <row r="59" customFormat="false" ht="15" hidden="false" customHeight="false" outlineLevel="0" collapsed="false">
      <c r="A59" s="6" t="s">
        <v>85</v>
      </c>
      <c r="C59" s="65" t="n">
        <f aca="false">IF(C$4=1,Inputs!$E$59,0)</f>
        <v>500000</v>
      </c>
      <c r="D59" s="65" t="n">
        <f aca="false">IF(D$4=1,Inputs!$E$59,0)</f>
        <v>0</v>
      </c>
      <c r="E59" s="65" t="n">
        <f aca="false">IF(E$4=1,Inputs!$E$59,0)</f>
        <v>0</v>
      </c>
      <c r="F59" s="65" t="n">
        <f aca="false">IF(F$4=1,Inputs!$E$59,0)</f>
        <v>0</v>
      </c>
      <c r="G59" s="65" t="n">
        <f aca="false">IF(G$4=1,Inputs!$E$59,0)</f>
        <v>0</v>
      </c>
      <c r="H59" s="65" t="n">
        <f aca="false">IF(H$4=1,Inputs!$E$59,0)</f>
        <v>0</v>
      </c>
      <c r="I59" s="65" t="n">
        <f aca="false">IF(I$4=1,Inputs!$E$59,0)</f>
        <v>0</v>
      </c>
      <c r="J59" s="65" t="n">
        <f aca="false">IF(J$4=1,Inputs!$E$59,0)</f>
        <v>0</v>
      </c>
      <c r="K59" s="65" t="n">
        <f aca="false">IF(K$4=1,Inputs!$E$59,0)</f>
        <v>0</v>
      </c>
      <c r="L59" s="65" t="n">
        <f aca="false">IF(L$4=1,Inputs!$E$59,0)</f>
        <v>0</v>
      </c>
      <c r="M59" s="65" t="n">
        <f aca="false">IF(M$4=1,Inputs!$E$59,0)</f>
        <v>0</v>
      </c>
      <c r="N59" s="65" t="n">
        <f aca="false">IF(N$4=1,Inputs!$E$59,0)</f>
        <v>0</v>
      </c>
      <c r="O59" s="65" t="n">
        <f aca="false">IF(O$4=1,Inputs!$E$59,0)</f>
        <v>0</v>
      </c>
      <c r="P59" s="65" t="n">
        <f aca="false">IF(P$4=1,Inputs!$E$59,0)</f>
        <v>0</v>
      </c>
      <c r="Q59" s="65" t="n">
        <f aca="false">IF(Q$4=1,Inputs!$E$59,0)</f>
        <v>0</v>
      </c>
      <c r="R59" s="65" t="n">
        <f aca="false">IF(R$4=1,Inputs!$E$59,0)</f>
        <v>0</v>
      </c>
      <c r="S59" s="65" t="n">
        <f aca="false">IF(S$4=1,Inputs!$E$59,0)</f>
        <v>0</v>
      </c>
      <c r="T59" s="65" t="n">
        <f aca="false">IF(T$4=1,Inputs!$E$59,0)</f>
        <v>0</v>
      </c>
      <c r="U59" s="65" t="n">
        <f aca="false">IF(U$4=1,Inputs!$E$59,0)</f>
        <v>0</v>
      </c>
      <c r="V59" s="65" t="n">
        <f aca="false">IF(V$4=1,Inputs!$E$59,0)</f>
        <v>0</v>
      </c>
      <c r="W59" s="65" t="n">
        <f aca="false">IF(W$4=1,Inputs!$E$59,0)</f>
        <v>0</v>
      </c>
      <c r="X59" s="65" t="n">
        <f aca="false">IF(X$4=1,Inputs!$E$59,0)</f>
        <v>0</v>
      </c>
      <c r="Y59" s="65" t="n">
        <f aca="false">IF(Y$4=1,Inputs!$E$59,0)</f>
        <v>0</v>
      </c>
      <c r="Z59" s="65" t="n">
        <f aca="false">IF(Z$4=1,Inputs!$E$59,0)</f>
        <v>0</v>
      </c>
      <c r="AA59" s="65" t="n">
        <f aca="false">IF(AA$4=1,Inputs!$E$59,0)</f>
        <v>0</v>
      </c>
      <c r="AB59" s="65" t="n">
        <f aca="false">IF(AB$4=1,Inputs!$E$59,0)</f>
        <v>0</v>
      </c>
      <c r="AC59" s="65" t="n">
        <f aca="false">IF(AC$4=1,Inputs!$E$59,0)</f>
        <v>0</v>
      </c>
      <c r="AD59" s="65" t="n">
        <f aca="false">IF(AD$4=1,Inputs!$E$59,0)</f>
        <v>0</v>
      </c>
      <c r="AE59" s="65" t="n">
        <f aca="false">IF(AE$4=1,Inputs!$E$59,0)</f>
        <v>0</v>
      </c>
      <c r="AF59" s="65" t="n">
        <f aca="false">IF(AF$4=1,Inputs!$E$59,0)</f>
        <v>0</v>
      </c>
      <c r="AG59" s="65" t="n">
        <f aca="false">IF(AG$4=1,Inputs!$E$59,0)</f>
        <v>0</v>
      </c>
      <c r="AH59" s="65" t="n">
        <f aca="false">IF(AH$4=1,Inputs!$E$59,0)</f>
        <v>0</v>
      </c>
      <c r="AI59" s="65" t="n">
        <f aca="false">IF(AI$4=1,Inputs!$E$59,0)</f>
        <v>0</v>
      </c>
      <c r="AJ59" s="65" t="n">
        <f aca="false">IF(AJ$4=1,Inputs!$E$59,0)</f>
        <v>0</v>
      </c>
      <c r="AK59" s="65" t="n">
        <f aca="false">IF(AK$4=1,Inputs!$E$59,0)</f>
        <v>0</v>
      </c>
      <c r="AL59" s="65" t="n">
        <f aca="false">IF(AL$4=1,Inputs!$E$59,0)</f>
        <v>0</v>
      </c>
      <c r="AM59" s="65" t="n">
        <f aca="false">IF(AM$4=1,Inputs!$E$59,0)</f>
        <v>0</v>
      </c>
      <c r="AN59" s="65" t="n">
        <f aca="false">IF(AN$4=1,Inputs!$E$59,0)</f>
        <v>0</v>
      </c>
      <c r="AO59" s="65" t="n">
        <f aca="false">IF(AO$4=1,Inputs!$E$59,0)</f>
        <v>0</v>
      </c>
      <c r="AP59" s="65" t="n">
        <f aca="false">IF(AP$4=1,Inputs!$E$59,0)</f>
        <v>0</v>
      </c>
      <c r="AQ59" s="65" t="n">
        <f aca="false">IF(AQ$4=1,Inputs!$E$59,0)</f>
        <v>0</v>
      </c>
      <c r="AR59" s="65" t="n">
        <f aca="false">IF(AR$4=1,Inputs!$E$59,0)</f>
        <v>0</v>
      </c>
      <c r="AS59" s="65" t="n">
        <f aca="false">IF(AS$4=1,Inputs!$E$59,0)</f>
        <v>0</v>
      </c>
      <c r="AT59" s="65" t="n">
        <f aca="false">IF(AT$4=1,Inputs!$E$59,0)</f>
        <v>0</v>
      </c>
      <c r="AU59" s="65" t="n">
        <f aca="false">IF(AU$4=1,Inputs!$E$59,0)</f>
        <v>0</v>
      </c>
      <c r="AV59" s="65" t="n">
        <f aca="false">IF(AV$4=1,Inputs!$E$59,0)</f>
        <v>0</v>
      </c>
      <c r="AW59" s="65" t="n">
        <f aca="false">IF(AW$4=1,Inputs!$E$59,0)</f>
        <v>0</v>
      </c>
      <c r="AX59" s="65" t="n">
        <f aca="false">IF(AX$4=1,Inputs!$E$59,0)</f>
        <v>0</v>
      </c>
      <c r="AY59" s="65" t="n">
        <f aca="false">IF(AY$4=1,Inputs!$E$59,0)</f>
        <v>0</v>
      </c>
      <c r="AZ59" s="65" t="n">
        <f aca="false">IF(AZ$4=1,Inputs!$E$59,0)</f>
        <v>0</v>
      </c>
      <c r="BA59" s="65" t="n">
        <f aca="false">IF(BA$4=1,Inputs!$E$59,0)</f>
        <v>0</v>
      </c>
      <c r="BB59" s="65" t="n">
        <f aca="false">IF(BB$4=1,Inputs!$E$59,0)</f>
        <v>0</v>
      </c>
      <c r="BC59" s="65" t="n">
        <f aca="false">IF(BC$4=1,Inputs!$E$59,0)</f>
        <v>0</v>
      </c>
      <c r="BD59" s="65" t="n">
        <f aca="false">IF(BD$4=1,Inputs!$E$59,0)</f>
        <v>0</v>
      </c>
      <c r="BE59" s="65" t="n">
        <f aca="false">IF(BE$4=1,Inputs!$E$59,0)</f>
        <v>0</v>
      </c>
      <c r="BF59" s="65" t="n">
        <f aca="false">IF(BF$4=1,Inputs!$E$59,0)</f>
        <v>0</v>
      </c>
      <c r="BG59" s="65" t="n">
        <f aca="false">IF(BG$4=1,Inputs!$E$59,0)</f>
        <v>0</v>
      </c>
      <c r="BH59" s="65" t="n">
        <f aca="false">IF(BH$4=1,Inputs!$E$59,0)</f>
        <v>0</v>
      </c>
      <c r="BI59" s="65" t="n">
        <f aca="false">IF(BI$4=1,Inputs!$E$59,0)</f>
        <v>0</v>
      </c>
      <c r="BJ59" s="65" t="n">
        <f aca="false">IF(BJ$4=1,Inputs!$E$59,0)</f>
        <v>0</v>
      </c>
    </row>
    <row r="60" customFormat="false" ht="15" hidden="false" customHeight="false" outlineLevel="0" collapsed="false">
      <c r="A60" s="6" t="s">
        <v>86</v>
      </c>
      <c r="C60" s="65" t="n">
        <f aca="false">-MIN(C58,Inputs!$E$59/MAX(1,Inputs!$E$61*12))</f>
        <v>-0</v>
      </c>
      <c r="D60" s="65" t="n">
        <f aca="false">-MIN(D58,Inputs!$E$59/MAX(1,Inputs!$E$61*12))</f>
        <v>-8333.33333333333</v>
      </c>
      <c r="E60" s="65" t="n">
        <f aca="false">-MIN(E58,Inputs!$E$59/MAX(1,Inputs!$E$61*12))</f>
        <v>-8333.33333333333</v>
      </c>
      <c r="F60" s="65" t="n">
        <f aca="false">-MIN(F58,Inputs!$E$59/MAX(1,Inputs!$E$61*12))</f>
        <v>-8333.33333333333</v>
      </c>
      <c r="G60" s="65" t="n">
        <f aca="false">-MIN(G58,Inputs!$E$59/MAX(1,Inputs!$E$61*12))</f>
        <v>-8333.33333333333</v>
      </c>
      <c r="H60" s="65" t="n">
        <f aca="false">-MIN(H58,Inputs!$E$59/MAX(1,Inputs!$E$61*12))</f>
        <v>-8333.33333333333</v>
      </c>
      <c r="I60" s="65" t="n">
        <f aca="false">-MIN(I58,Inputs!$E$59/MAX(1,Inputs!$E$61*12))</f>
        <v>-8333.33333333333</v>
      </c>
      <c r="J60" s="65" t="n">
        <f aca="false">-MIN(J58,Inputs!$E$59/MAX(1,Inputs!$E$61*12))</f>
        <v>-8333.33333333333</v>
      </c>
      <c r="K60" s="65" t="n">
        <f aca="false">-MIN(K58,Inputs!$E$59/MAX(1,Inputs!$E$61*12))</f>
        <v>-8333.33333333333</v>
      </c>
      <c r="L60" s="65" t="n">
        <f aca="false">-MIN(L58,Inputs!$E$59/MAX(1,Inputs!$E$61*12))</f>
        <v>-8333.33333333333</v>
      </c>
      <c r="M60" s="65" t="n">
        <f aca="false">-MIN(M58,Inputs!$E$59/MAX(1,Inputs!$E$61*12))</f>
        <v>-8333.33333333333</v>
      </c>
      <c r="N60" s="65" t="n">
        <f aca="false">-MIN(N58,Inputs!$E$59/MAX(1,Inputs!$E$61*12))</f>
        <v>-8333.33333333333</v>
      </c>
      <c r="O60" s="65" t="n">
        <f aca="false">-MIN(O58,Inputs!$E$59/MAX(1,Inputs!$E$61*12))</f>
        <v>-8333.33333333333</v>
      </c>
      <c r="P60" s="65" t="n">
        <f aca="false">-MIN(P58,Inputs!$E$59/MAX(1,Inputs!$E$61*12))</f>
        <v>-8333.33333333333</v>
      </c>
      <c r="Q60" s="65" t="n">
        <f aca="false">-MIN(Q58,Inputs!$E$59/MAX(1,Inputs!$E$61*12))</f>
        <v>-8333.33333333333</v>
      </c>
      <c r="R60" s="65" t="n">
        <f aca="false">-MIN(R58,Inputs!$E$59/MAX(1,Inputs!$E$61*12))</f>
        <v>-8333.33333333333</v>
      </c>
      <c r="S60" s="65" t="n">
        <f aca="false">-MIN(S58,Inputs!$E$59/MAX(1,Inputs!$E$61*12))</f>
        <v>-8333.33333333333</v>
      </c>
      <c r="T60" s="65" t="n">
        <f aca="false">-MIN(T58,Inputs!$E$59/MAX(1,Inputs!$E$61*12))</f>
        <v>-8333.33333333333</v>
      </c>
      <c r="U60" s="65" t="n">
        <f aca="false">-MIN(U58,Inputs!$E$59/MAX(1,Inputs!$E$61*12))</f>
        <v>-8333.33333333333</v>
      </c>
      <c r="V60" s="65" t="n">
        <f aca="false">-MIN(V58,Inputs!$E$59/MAX(1,Inputs!$E$61*12))</f>
        <v>-8333.33333333333</v>
      </c>
      <c r="W60" s="65" t="n">
        <f aca="false">-MIN(W58,Inputs!$E$59/MAX(1,Inputs!$E$61*12))</f>
        <v>-8333.33333333333</v>
      </c>
      <c r="X60" s="65" t="n">
        <f aca="false">-MIN(X58,Inputs!$E$59/MAX(1,Inputs!$E$61*12))</f>
        <v>-8333.33333333333</v>
      </c>
      <c r="Y60" s="65" t="n">
        <f aca="false">-MIN(Y58,Inputs!$E$59/MAX(1,Inputs!$E$61*12))</f>
        <v>-8333.33333333333</v>
      </c>
      <c r="Z60" s="65" t="n">
        <f aca="false">-MIN(Z58,Inputs!$E$59/MAX(1,Inputs!$E$61*12))</f>
        <v>-8333.33333333333</v>
      </c>
      <c r="AA60" s="65" t="n">
        <f aca="false">-MIN(AA58,Inputs!$E$59/MAX(1,Inputs!$E$61*12))</f>
        <v>-8333.33333333333</v>
      </c>
      <c r="AB60" s="65" t="n">
        <f aca="false">-MIN(AB58,Inputs!$E$59/MAX(1,Inputs!$E$61*12))</f>
        <v>-8333.33333333333</v>
      </c>
      <c r="AC60" s="65" t="n">
        <f aca="false">-MIN(AC58,Inputs!$E$59/MAX(1,Inputs!$E$61*12))</f>
        <v>-8333.33333333333</v>
      </c>
      <c r="AD60" s="65" t="n">
        <f aca="false">-MIN(AD58,Inputs!$E$59/MAX(1,Inputs!$E$61*12))</f>
        <v>-8333.33333333333</v>
      </c>
      <c r="AE60" s="65" t="n">
        <f aca="false">-MIN(AE58,Inputs!$E$59/MAX(1,Inputs!$E$61*12))</f>
        <v>-8333.33333333333</v>
      </c>
      <c r="AF60" s="65" t="n">
        <f aca="false">-MIN(AF58,Inputs!$E$59/MAX(1,Inputs!$E$61*12))</f>
        <v>-8333.33333333333</v>
      </c>
      <c r="AG60" s="65" t="n">
        <f aca="false">-MIN(AG58,Inputs!$E$59/MAX(1,Inputs!$E$61*12))</f>
        <v>-8333.33333333333</v>
      </c>
      <c r="AH60" s="65" t="n">
        <f aca="false">-MIN(AH58,Inputs!$E$59/MAX(1,Inputs!$E$61*12))</f>
        <v>-8333.33333333333</v>
      </c>
      <c r="AI60" s="65" t="n">
        <f aca="false">-MIN(AI58,Inputs!$E$59/MAX(1,Inputs!$E$61*12))</f>
        <v>-8333.33333333333</v>
      </c>
      <c r="AJ60" s="65" t="n">
        <f aca="false">-MIN(AJ58,Inputs!$E$59/MAX(1,Inputs!$E$61*12))</f>
        <v>-8333.33333333333</v>
      </c>
      <c r="AK60" s="65" t="n">
        <f aca="false">-MIN(AK58,Inputs!$E$59/MAX(1,Inputs!$E$61*12))</f>
        <v>-8333.33333333333</v>
      </c>
      <c r="AL60" s="65" t="n">
        <f aca="false">-MIN(AL58,Inputs!$E$59/MAX(1,Inputs!$E$61*12))</f>
        <v>-8333.33333333333</v>
      </c>
      <c r="AM60" s="65" t="n">
        <f aca="false">-MIN(AM58,Inputs!$E$59/MAX(1,Inputs!$E$61*12))</f>
        <v>-8333.33333333333</v>
      </c>
      <c r="AN60" s="65" t="n">
        <f aca="false">-MIN(AN58,Inputs!$E$59/MAX(1,Inputs!$E$61*12))</f>
        <v>-8333.33333333333</v>
      </c>
      <c r="AO60" s="65" t="n">
        <f aca="false">-MIN(AO58,Inputs!$E$59/MAX(1,Inputs!$E$61*12))</f>
        <v>-8333.33333333333</v>
      </c>
      <c r="AP60" s="65" t="n">
        <f aca="false">-MIN(AP58,Inputs!$E$59/MAX(1,Inputs!$E$61*12))</f>
        <v>-8333.33333333333</v>
      </c>
      <c r="AQ60" s="65" t="n">
        <f aca="false">-MIN(AQ58,Inputs!$E$59/MAX(1,Inputs!$E$61*12))</f>
        <v>-8333.33333333333</v>
      </c>
      <c r="AR60" s="65" t="n">
        <f aca="false">-MIN(AR58,Inputs!$E$59/MAX(1,Inputs!$E$61*12))</f>
        <v>-8333.33333333333</v>
      </c>
      <c r="AS60" s="65" t="n">
        <f aca="false">-MIN(AS58,Inputs!$E$59/MAX(1,Inputs!$E$61*12))</f>
        <v>-8333.33333333333</v>
      </c>
      <c r="AT60" s="65" t="n">
        <f aca="false">-MIN(AT58,Inputs!$E$59/MAX(1,Inputs!$E$61*12))</f>
        <v>-8333.33333333333</v>
      </c>
      <c r="AU60" s="65" t="n">
        <f aca="false">-MIN(AU58,Inputs!$E$59/MAX(1,Inputs!$E$61*12))</f>
        <v>-8333.33333333333</v>
      </c>
      <c r="AV60" s="65" t="n">
        <f aca="false">-MIN(AV58,Inputs!$E$59/MAX(1,Inputs!$E$61*12))</f>
        <v>-8333.33333333333</v>
      </c>
      <c r="AW60" s="65" t="n">
        <f aca="false">-MIN(AW58,Inputs!$E$59/MAX(1,Inputs!$E$61*12))</f>
        <v>-8333.33333333333</v>
      </c>
      <c r="AX60" s="65" t="n">
        <f aca="false">-MIN(AX58,Inputs!$E$59/MAX(1,Inputs!$E$61*12))</f>
        <v>-8333.33333333333</v>
      </c>
      <c r="AY60" s="65" t="n">
        <f aca="false">-MIN(AY58,Inputs!$E$59/MAX(1,Inputs!$E$61*12))</f>
        <v>-8333.33333333333</v>
      </c>
      <c r="AZ60" s="65" t="n">
        <f aca="false">-MIN(AZ58,Inputs!$E$59/MAX(1,Inputs!$E$61*12))</f>
        <v>-8333.33333333333</v>
      </c>
      <c r="BA60" s="65" t="n">
        <f aca="false">-MIN(BA58,Inputs!$E$59/MAX(1,Inputs!$E$61*12))</f>
        <v>-8333.33333333333</v>
      </c>
      <c r="BB60" s="65" t="n">
        <f aca="false">-MIN(BB58,Inputs!$E$59/MAX(1,Inputs!$E$61*12))</f>
        <v>-8333.33333333333</v>
      </c>
      <c r="BC60" s="65" t="n">
        <f aca="false">-MIN(BC58,Inputs!$E$59/MAX(1,Inputs!$E$61*12))</f>
        <v>-8333.33333333333</v>
      </c>
      <c r="BD60" s="65" t="n">
        <f aca="false">-MIN(BD58,Inputs!$E$59/MAX(1,Inputs!$E$61*12))</f>
        <v>-8333.33333333333</v>
      </c>
      <c r="BE60" s="65" t="n">
        <f aca="false">-MIN(BE58,Inputs!$E$59/MAX(1,Inputs!$E$61*12))</f>
        <v>-8333.33333333333</v>
      </c>
      <c r="BF60" s="65" t="n">
        <f aca="false">-MIN(BF58,Inputs!$E$59/MAX(1,Inputs!$E$61*12))</f>
        <v>-8333.33333333333</v>
      </c>
      <c r="BG60" s="65" t="n">
        <f aca="false">-MIN(BG58,Inputs!$E$59/MAX(1,Inputs!$E$61*12))</f>
        <v>-8333.33333333333</v>
      </c>
      <c r="BH60" s="65" t="n">
        <f aca="false">-MIN(BH58,Inputs!$E$59/MAX(1,Inputs!$E$61*12))</f>
        <v>-8333.33333333333</v>
      </c>
      <c r="BI60" s="65" t="n">
        <f aca="false">-MIN(BI58,Inputs!$E$59/MAX(1,Inputs!$E$61*12))</f>
        <v>-8333.33333333333</v>
      </c>
      <c r="BJ60" s="65" t="n">
        <f aca="false">-MIN(BJ58,Inputs!$E$59/MAX(1,Inputs!$E$61*12))</f>
        <v>-8333.33333333333</v>
      </c>
    </row>
    <row r="61" customFormat="false" ht="15" hidden="false" customHeight="false" outlineLevel="0" collapsed="false">
      <c r="A61" s="4" t="s">
        <v>428</v>
      </c>
      <c r="C61" s="71" t="n">
        <f aca="false">C58+C59+C60</f>
        <v>500000</v>
      </c>
      <c r="D61" s="71" t="n">
        <f aca="false">D58+D59+D60</f>
        <v>491666.666666667</v>
      </c>
      <c r="E61" s="71" t="n">
        <f aca="false">E58+E59+E60</f>
        <v>483333.333333333</v>
      </c>
      <c r="F61" s="71" t="n">
        <f aca="false">F58+F59+F60</f>
        <v>475000</v>
      </c>
      <c r="G61" s="71" t="n">
        <f aca="false">G58+G59+G60</f>
        <v>466666.666666667</v>
      </c>
      <c r="H61" s="71" t="n">
        <f aca="false">H58+H59+H60</f>
        <v>458333.333333333</v>
      </c>
      <c r="I61" s="71" t="n">
        <f aca="false">I58+I59+I60</f>
        <v>450000</v>
      </c>
      <c r="J61" s="71" t="n">
        <f aca="false">J58+J59+J60</f>
        <v>441666.666666667</v>
      </c>
      <c r="K61" s="71" t="n">
        <f aca="false">K58+K59+K60</f>
        <v>433333.333333334</v>
      </c>
      <c r="L61" s="71" t="n">
        <f aca="false">L58+L59+L60</f>
        <v>425000</v>
      </c>
      <c r="M61" s="71" t="n">
        <f aca="false">M58+M59+M60</f>
        <v>416666.666666667</v>
      </c>
      <c r="N61" s="71" t="n">
        <f aca="false">N58+N59+N60</f>
        <v>408333.333333334</v>
      </c>
      <c r="O61" s="71" t="n">
        <f aca="false">O58+O59+O60</f>
        <v>400000</v>
      </c>
      <c r="P61" s="71" t="n">
        <f aca="false">P58+P59+P60</f>
        <v>391666.666666667</v>
      </c>
      <c r="Q61" s="71" t="n">
        <f aca="false">Q58+Q59+Q60</f>
        <v>383333.333333334</v>
      </c>
      <c r="R61" s="71" t="n">
        <f aca="false">R58+R59+R60</f>
        <v>375000</v>
      </c>
      <c r="S61" s="71" t="n">
        <f aca="false">S58+S59+S60</f>
        <v>366666.666666667</v>
      </c>
      <c r="T61" s="71" t="n">
        <f aca="false">T58+T59+T60</f>
        <v>358333.333333334</v>
      </c>
      <c r="U61" s="71" t="n">
        <f aca="false">U58+U59+U60</f>
        <v>350000</v>
      </c>
      <c r="V61" s="71" t="n">
        <f aca="false">V58+V59+V60</f>
        <v>341666.666666667</v>
      </c>
      <c r="W61" s="71" t="n">
        <f aca="false">W58+W59+W60</f>
        <v>333333.333333334</v>
      </c>
      <c r="X61" s="71" t="n">
        <f aca="false">X58+X59+X60</f>
        <v>325000</v>
      </c>
      <c r="Y61" s="71" t="n">
        <f aca="false">Y58+Y59+Y60</f>
        <v>316666.666666667</v>
      </c>
      <c r="Z61" s="71" t="n">
        <f aca="false">Z58+Z59+Z60</f>
        <v>308333.333333334</v>
      </c>
      <c r="AA61" s="71" t="n">
        <f aca="false">AA58+AA59+AA60</f>
        <v>300000</v>
      </c>
      <c r="AB61" s="71" t="n">
        <f aca="false">AB58+AB59+AB60</f>
        <v>291666.666666667</v>
      </c>
      <c r="AC61" s="71" t="n">
        <f aca="false">AC58+AC59+AC60</f>
        <v>283333.333333334</v>
      </c>
      <c r="AD61" s="71" t="n">
        <f aca="false">AD58+AD59+AD60</f>
        <v>275000.000000001</v>
      </c>
      <c r="AE61" s="71" t="n">
        <f aca="false">AE58+AE59+AE60</f>
        <v>266666.666666667</v>
      </c>
      <c r="AF61" s="71" t="n">
        <f aca="false">AF58+AF59+AF60</f>
        <v>258333.333333334</v>
      </c>
      <c r="AG61" s="71" t="n">
        <f aca="false">AG58+AG59+AG60</f>
        <v>250000.000000001</v>
      </c>
      <c r="AH61" s="71" t="n">
        <f aca="false">AH58+AH59+AH60</f>
        <v>241666.666666667</v>
      </c>
      <c r="AI61" s="71" t="n">
        <f aca="false">AI58+AI59+AI60</f>
        <v>233333.333333334</v>
      </c>
      <c r="AJ61" s="71" t="n">
        <f aca="false">AJ58+AJ59+AJ60</f>
        <v>225000.000000001</v>
      </c>
      <c r="AK61" s="71" t="n">
        <f aca="false">AK58+AK59+AK60</f>
        <v>216666.666666667</v>
      </c>
      <c r="AL61" s="71" t="n">
        <f aca="false">AL58+AL59+AL60</f>
        <v>208333.333333334</v>
      </c>
      <c r="AM61" s="71" t="n">
        <f aca="false">AM58+AM59+AM60</f>
        <v>200000</v>
      </c>
      <c r="AN61" s="71" t="n">
        <f aca="false">AN58+AN59+AN60</f>
        <v>191666.666666667</v>
      </c>
      <c r="AO61" s="71" t="n">
        <f aca="false">AO58+AO59+AO60</f>
        <v>183333.333333334</v>
      </c>
      <c r="AP61" s="71" t="n">
        <f aca="false">AP58+AP59+AP60</f>
        <v>175000</v>
      </c>
      <c r="AQ61" s="71" t="n">
        <f aca="false">AQ58+AQ59+AQ60</f>
        <v>166666.666666667</v>
      </c>
      <c r="AR61" s="71" t="n">
        <f aca="false">AR58+AR59+AR60</f>
        <v>158333.333333334</v>
      </c>
      <c r="AS61" s="71" t="n">
        <f aca="false">AS58+AS59+AS60</f>
        <v>150000</v>
      </c>
      <c r="AT61" s="71" t="n">
        <f aca="false">AT58+AT59+AT60</f>
        <v>141666.666666667</v>
      </c>
      <c r="AU61" s="71" t="n">
        <f aca="false">AU58+AU59+AU60</f>
        <v>133333.333333334</v>
      </c>
      <c r="AV61" s="71" t="n">
        <f aca="false">AV58+AV59+AV60</f>
        <v>125000</v>
      </c>
      <c r="AW61" s="71" t="n">
        <f aca="false">AW58+AW59+AW60</f>
        <v>116666.666666667</v>
      </c>
      <c r="AX61" s="71" t="n">
        <f aca="false">AX58+AX59+AX60</f>
        <v>108333.333333334</v>
      </c>
      <c r="AY61" s="71" t="n">
        <f aca="false">AY58+AY59+AY60</f>
        <v>100000</v>
      </c>
      <c r="AZ61" s="71" t="n">
        <f aca="false">AZ58+AZ59+AZ60</f>
        <v>91666.6666666671</v>
      </c>
      <c r="BA61" s="71" t="n">
        <f aca="false">BA58+BA59+BA60</f>
        <v>83333.3333333338</v>
      </c>
      <c r="BB61" s="71" t="n">
        <f aca="false">BB58+BB59+BB60</f>
        <v>75000.0000000004</v>
      </c>
      <c r="BC61" s="71" t="n">
        <f aca="false">BC58+BC59+BC60</f>
        <v>66666.6666666671</v>
      </c>
      <c r="BD61" s="71" t="n">
        <f aca="false">BD58+BD59+BD60</f>
        <v>58333.3333333338</v>
      </c>
      <c r="BE61" s="71" t="n">
        <f aca="false">BE58+BE59+BE60</f>
        <v>50000.0000000004</v>
      </c>
      <c r="BF61" s="71" t="n">
        <f aca="false">BF58+BF59+BF60</f>
        <v>41666.6666666671</v>
      </c>
      <c r="BG61" s="71" t="n">
        <f aca="false">BG58+BG59+BG60</f>
        <v>33333.3333333338</v>
      </c>
      <c r="BH61" s="71" t="n">
        <f aca="false">BH58+BH59+BH60</f>
        <v>25000.0000000004</v>
      </c>
      <c r="BI61" s="71" t="n">
        <f aca="false">BI58+BI59+BI60</f>
        <v>16666.6666666671</v>
      </c>
      <c r="BJ61" s="71" t="n">
        <f aca="false">BJ58+BJ59+BJ60</f>
        <v>8333.33333333375</v>
      </c>
    </row>
    <row r="63" customFormat="false" ht="15.75" hidden="false" customHeight="true" outlineLevel="0" collapsed="false">
      <c r="A63" s="7" t="s">
        <v>313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customFormat="false" ht="15" hidden="false" customHeight="false" outlineLevel="0" collapsed="false">
      <c r="A64" s="6" t="s">
        <v>90</v>
      </c>
      <c r="C64" s="65" t="n">
        <f aca="false">C25*Inputs!$E$64/30</f>
        <v>29523.4714285714</v>
      </c>
      <c r="D64" s="65" t="n">
        <f aca="false">D25*Inputs!$E$64/30</f>
        <v>29523.4714285714</v>
      </c>
      <c r="E64" s="65" t="n">
        <f aca="false">E25*Inputs!$E$64/30</f>
        <v>29523.4714285714</v>
      </c>
      <c r="F64" s="65" t="n">
        <f aca="false">F25*Inputs!$E$64/30</f>
        <v>29523.4714285714</v>
      </c>
      <c r="G64" s="65" t="n">
        <f aca="false">G25*Inputs!$E$64/30</f>
        <v>29523.4714285714</v>
      </c>
      <c r="H64" s="65" t="n">
        <f aca="false">H25*Inputs!$E$64/30</f>
        <v>29523.4714285714</v>
      </c>
      <c r="I64" s="65" t="n">
        <f aca="false">I25*Inputs!$E$64/30</f>
        <v>29523.4714285714</v>
      </c>
      <c r="J64" s="65" t="n">
        <f aca="false">J25*Inputs!$E$64/30</f>
        <v>29523.4714285714</v>
      </c>
      <c r="K64" s="65" t="n">
        <f aca="false">K25*Inputs!$E$64/30</f>
        <v>29523.4714285714</v>
      </c>
      <c r="L64" s="65" t="n">
        <f aca="false">L25*Inputs!$E$64/30</f>
        <v>29523.4714285714</v>
      </c>
      <c r="M64" s="65" t="n">
        <f aca="false">M25*Inputs!$E$64/30</f>
        <v>36214.0714285714</v>
      </c>
      <c r="N64" s="65" t="n">
        <f aca="false">N25*Inputs!$E$64/30</f>
        <v>36214.0714285714</v>
      </c>
      <c r="O64" s="65" t="n">
        <f aca="false">O25*Inputs!$E$64/30</f>
        <v>38376.0064285714</v>
      </c>
      <c r="P64" s="65" t="n">
        <f aca="false">P25*Inputs!$E$64/30</f>
        <v>38376.0064285714</v>
      </c>
      <c r="Q64" s="65" t="n">
        <f aca="false">Q25*Inputs!$E$64/30</f>
        <v>38376.0064285714</v>
      </c>
      <c r="R64" s="65" t="n">
        <f aca="false">R25*Inputs!$E$64/30</f>
        <v>38376.0064285714</v>
      </c>
      <c r="S64" s="65" t="n">
        <f aca="false">S25*Inputs!$E$64/30</f>
        <v>38376.0064285714</v>
      </c>
      <c r="T64" s="65" t="n">
        <f aca="false">T25*Inputs!$E$64/30</f>
        <v>38376.0064285714</v>
      </c>
      <c r="U64" s="65" t="n">
        <f aca="false">U25*Inputs!$E$64/30</f>
        <v>38376.0064285714</v>
      </c>
      <c r="V64" s="65" t="n">
        <f aca="false">V25*Inputs!$E$64/30</f>
        <v>38376.0064285714</v>
      </c>
      <c r="W64" s="65" t="n">
        <f aca="false">W25*Inputs!$E$64/30</f>
        <v>38376.0064285714</v>
      </c>
      <c r="X64" s="65" t="n">
        <f aca="false">X25*Inputs!$E$64/30</f>
        <v>38376.0064285714</v>
      </c>
      <c r="Y64" s="65" t="n">
        <f aca="false">Y25*Inputs!$E$64/30</f>
        <v>47422.8964285714</v>
      </c>
      <c r="Z64" s="65" t="n">
        <f aca="false">Z25*Inputs!$E$64/30</f>
        <v>47422.8964285714</v>
      </c>
      <c r="AA64" s="65" t="n">
        <f aca="false">AA25*Inputs!$E$64/30</f>
        <v>48864.6154285714</v>
      </c>
      <c r="AB64" s="65" t="n">
        <f aca="false">AB25*Inputs!$E$64/30</f>
        <v>48864.6154285714</v>
      </c>
      <c r="AC64" s="65" t="n">
        <f aca="false">AC25*Inputs!$E$64/30</f>
        <v>48864.6154285714</v>
      </c>
      <c r="AD64" s="65" t="n">
        <f aca="false">AD25*Inputs!$E$64/30</f>
        <v>48864.6154285714</v>
      </c>
      <c r="AE64" s="65" t="n">
        <f aca="false">AE25*Inputs!$E$64/30</f>
        <v>48864.6154285714</v>
      </c>
      <c r="AF64" s="65" t="n">
        <f aca="false">AF25*Inputs!$E$64/30</f>
        <v>48864.6154285714</v>
      </c>
      <c r="AG64" s="65" t="n">
        <f aca="false">AG25*Inputs!$E$64/30</f>
        <v>48864.6154285714</v>
      </c>
      <c r="AH64" s="65" t="n">
        <f aca="false">AH25*Inputs!$E$64/30</f>
        <v>48864.6154285714</v>
      </c>
      <c r="AI64" s="65" t="n">
        <f aca="false">AI25*Inputs!$E$64/30</f>
        <v>48864.6154285714</v>
      </c>
      <c r="AJ64" s="65" t="n">
        <f aca="false">AJ25*Inputs!$E$64/30</f>
        <v>48864.6154285714</v>
      </c>
      <c r="AK64" s="65" t="n">
        <f aca="false">AK25*Inputs!$E$64/30</f>
        <v>60662.7514285714</v>
      </c>
      <c r="AL64" s="65" t="n">
        <f aca="false">AL25*Inputs!$E$64/30</f>
        <v>60662.7514285714</v>
      </c>
      <c r="AM64" s="65" t="n">
        <f aca="false">AM25*Inputs!$E$64/30</f>
        <v>61381.4077285714</v>
      </c>
      <c r="AN64" s="65" t="n">
        <f aca="false">AN25*Inputs!$E$64/30</f>
        <v>61381.4077285714</v>
      </c>
      <c r="AO64" s="65" t="n">
        <f aca="false">AO25*Inputs!$E$64/30</f>
        <v>61381.4077285714</v>
      </c>
      <c r="AP64" s="65" t="n">
        <f aca="false">AP25*Inputs!$E$64/30</f>
        <v>61381.4077285714</v>
      </c>
      <c r="AQ64" s="65" t="n">
        <f aca="false">AQ25*Inputs!$E$64/30</f>
        <v>61381.4077285714</v>
      </c>
      <c r="AR64" s="65" t="n">
        <f aca="false">AR25*Inputs!$E$64/30</f>
        <v>61381.4077285714</v>
      </c>
      <c r="AS64" s="65" t="n">
        <f aca="false">AS25*Inputs!$E$64/30</f>
        <v>61381.4077285714</v>
      </c>
      <c r="AT64" s="65" t="n">
        <f aca="false">AT25*Inputs!$E$64/30</f>
        <v>61381.4077285714</v>
      </c>
      <c r="AU64" s="65" t="n">
        <f aca="false">AU25*Inputs!$E$64/30</f>
        <v>61381.4077285714</v>
      </c>
      <c r="AV64" s="65" t="n">
        <f aca="false">AV25*Inputs!$E$64/30</f>
        <v>61381.4077285714</v>
      </c>
      <c r="AW64" s="65" t="n">
        <f aca="false">AW25*Inputs!$E$64/30</f>
        <v>76424.0311285714</v>
      </c>
      <c r="AX64" s="65" t="n">
        <f aca="false">AX25*Inputs!$E$64/30</f>
        <v>76424.0311285714</v>
      </c>
      <c r="AY64" s="65" t="n">
        <f aca="false">AY25*Inputs!$E$64/30</f>
        <v>76418.5990701214</v>
      </c>
      <c r="AZ64" s="65" t="n">
        <f aca="false">AZ25*Inputs!$E$64/30</f>
        <v>76418.5990701214</v>
      </c>
      <c r="BA64" s="65" t="n">
        <f aca="false">BA25*Inputs!$E$64/30</f>
        <v>76418.5990701214</v>
      </c>
      <c r="BB64" s="65" t="n">
        <f aca="false">BB25*Inputs!$E$64/30</f>
        <v>76418.5990701214</v>
      </c>
      <c r="BC64" s="65" t="n">
        <f aca="false">BC25*Inputs!$E$64/30</f>
        <v>76418.5990701214</v>
      </c>
      <c r="BD64" s="65" t="n">
        <f aca="false">BD25*Inputs!$E$64/30</f>
        <v>76418.5990701214</v>
      </c>
      <c r="BE64" s="65" t="n">
        <f aca="false">BE25*Inputs!$E$64/30</f>
        <v>76418.5990701214</v>
      </c>
      <c r="BF64" s="65" t="n">
        <f aca="false">BF25*Inputs!$E$64/30</f>
        <v>76418.5990701214</v>
      </c>
      <c r="BG64" s="65" t="n">
        <f aca="false">BG25*Inputs!$E$64/30</f>
        <v>76418.5990701214</v>
      </c>
      <c r="BH64" s="65" t="n">
        <f aca="false">BH25*Inputs!$E$64/30</f>
        <v>76418.5990701214</v>
      </c>
      <c r="BI64" s="65" t="n">
        <f aca="false">BI25*Inputs!$E$64/30</f>
        <v>95323.9532646214</v>
      </c>
      <c r="BJ64" s="65" t="n">
        <f aca="false">BJ25*Inputs!$E$64/30</f>
        <v>95323.9532646214</v>
      </c>
    </row>
    <row r="65" customFormat="false" ht="15" hidden="false" customHeight="false" outlineLevel="0" collapsed="false">
      <c r="A65" s="6" t="s">
        <v>91</v>
      </c>
      <c r="C65" s="65" t="n">
        <f aca="false">-C26*Inputs!$E$65/30</f>
        <v>464994.675</v>
      </c>
      <c r="D65" s="65" t="n">
        <f aca="false">-D26*Inputs!$E$65/30</f>
        <v>464994.675</v>
      </c>
      <c r="E65" s="65" t="n">
        <f aca="false">-E26*Inputs!$E$65/30</f>
        <v>464994.675</v>
      </c>
      <c r="F65" s="65" t="n">
        <f aca="false">-F26*Inputs!$E$65/30</f>
        <v>464994.675</v>
      </c>
      <c r="G65" s="65" t="n">
        <f aca="false">-G26*Inputs!$E$65/30</f>
        <v>464994.675</v>
      </c>
      <c r="H65" s="65" t="n">
        <f aca="false">-H26*Inputs!$E$65/30</f>
        <v>464994.675</v>
      </c>
      <c r="I65" s="65" t="n">
        <f aca="false">-I26*Inputs!$E$65/30</f>
        <v>464994.675</v>
      </c>
      <c r="J65" s="65" t="n">
        <f aca="false">-J26*Inputs!$E$65/30</f>
        <v>464994.675</v>
      </c>
      <c r="K65" s="65" t="n">
        <f aca="false">-K26*Inputs!$E$65/30</f>
        <v>464994.675</v>
      </c>
      <c r="L65" s="65" t="n">
        <f aca="false">-L26*Inputs!$E$65/30</f>
        <v>464994.675</v>
      </c>
      <c r="M65" s="65" t="n">
        <f aca="false">-M26*Inputs!$E$65/30</f>
        <v>570371.625</v>
      </c>
      <c r="N65" s="65" t="n">
        <f aca="false">-N26*Inputs!$E$65/30</f>
        <v>570371.625</v>
      </c>
      <c r="O65" s="65" t="n">
        <f aca="false">-O26*Inputs!$E$65/30</f>
        <v>604422.10125</v>
      </c>
      <c r="P65" s="65" t="n">
        <f aca="false">-P26*Inputs!$E$65/30</f>
        <v>604422.10125</v>
      </c>
      <c r="Q65" s="65" t="n">
        <f aca="false">-Q26*Inputs!$E$65/30</f>
        <v>604422.10125</v>
      </c>
      <c r="R65" s="65" t="n">
        <f aca="false">-R26*Inputs!$E$65/30</f>
        <v>604422.10125</v>
      </c>
      <c r="S65" s="65" t="n">
        <f aca="false">-S26*Inputs!$E$65/30</f>
        <v>604422.10125</v>
      </c>
      <c r="T65" s="65" t="n">
        <f aca="false">-T26*Inputs!$E$65/30</f>
        <v>604422.10125</v>
      </c>
      <c r="U65" s="65" t="n">
        <f aca="false">-U26*Inputs!$E$65/30</f>
        <v>604422.10125</v>
      </c>
      <c r="V65" s="65" t="n">
        <f aca="false">-V26*Inputs!$E$65/30</f>
        <v>604422.10125</v>
      </c>
      <c r="W65" s="65" t="n">
        <f aca="false">-W26*Inputs!$E$65/30</f>
        <v>604422.10125</v>
      </c>
      <c r="X65" s="65" t="n">
        <f aca="false">-X26*Inputs!$E$65/30</f>
        <v>604422.10125</v>
      </c>
      <c r="Y65" s="65" t="n">
        <f aca="false">-Y26*Inputs!$E$65/30</f>
        <v>746910.61875</v>
      </c>
      <c r="Z65" s="65" t="n">
        <f aca="false">-Z26*Inputs!$E$65/30</f>
        <v>746910.61875</v>
      </c>
      <c r="AA65" s="65" t="n">
        <f aca="false">-AA26*Inputs!$E$65/30</f>
        <v>769617.693</v>
      </c>
      <c r="AB65" s="65" t="n">
        <f aca="false">-AB26*Inputs!$E$65/30</f>
        <v>769617.693</v>
      </c>
      <c r="AC65" s="65" t="n">
        <f aca="false">-AC26*Inputs!$E$65/30</f>
        <v>769617.693</v>
      </c>
      <c r="AD65" s="65" t="n">
        <f aca="false">-AD26*Inputs!$E$65/30</f>
        <v>769617.693</v>
      </c>
      <c r="AE65" s="65" t="n">
        <f aca="false">-AE26*Inputs!$E$65/30</f>
        <v>769617.693</v>
      </c>
      <c r="AF65" s="65" t="n">
        <f aca="false">-AF26*Inputs!$E$65/30</f>
        <v>769617.693</v>
      </c>
      <c r="AG65" s="65" t="n">
        <f aca="false">-AG26*Inputs!$E$65/30</f>
        <v>769617.693</v>
      </c>
      <c r="AH65" s="65" t="n">
        <f aca="false">-AH26*Inputs!$E$65/30</f>
        <v>769617.693</v>
      </c>
      <c r="AI65" s="65" t="n">
        <f aca="false">-AI26*Inputs!$E$65/30</f>
        <v>769617.693</v>
      </c>
      <c r="AJ65" s="65" t="n">
        <f aca="false">-AJ26*Inputs!$E$65/30</f>
        <v>769617.693</v>
      </c>
      <c r="AK65" s="65" t="n">
        <f aca="false">-AK26*Inputs!$E$65/30</f>
        <v>955438.335</v>
      </c>
      <c r="AL65" s="65" t="n">
        <f aca="false">-AL26*Inputs!$E$65/30</f>
        <v>955438.335</v>
      </c>
      <c r="AM65" s="65" t="n">
        <f aca="false">-AM26*Inputs!$E$65/30</f>
        <v>966757.171725</v>
      </c>
      <c r="AN65" s="65" t="n">
        <f aca="false">-AN26*Inputs!$E$65/30</f>
        <v>966757.171725</v>
      </c>
      <c r="AO65" s="65" t="n">
        <f aca="false">-AO26*Inputs!$E$65/30</f>
        <v>966757.171725</v>
      </c>
      <c r="AP65" s="65" t="n">
        <f aca="false">-AP26*Inputs!$E$65/30</f>
        <v>966757.171725</v>
      </c>
      <c r="AQ65" s="65" t="n">
        <f aca="false">-AQ26*Inputs!$E$65/30</f>
        <v>966757.171725</v>
      </c>
      <c r="AR65" s="65" t="n">
        <f aca="false">-AR26*Inputs!$E$65/30</f>
        <v>966757.171725</v>
      </c>
      <c r="AS65" s="65" t="n">
        <f aca="false">-AS26*Inputs!$E$65/30</f>
        <v>966757.171725</v>
      </c>
      <c r="AT65" s="65" t="n">
        <f aca="false">-AT26*Inputs!$E$65/30</f>
        <v>966757.171725</v>
      </c>
      <c r="AU65" s="65" t="n">
        <f aca="false">-AU26*Inputs!$E$65/30</f>
        <v>966757.171725</v>
      </c>
      <c r="AV65" s="65" t="n">
        <f aca="false">-AV26*Inputs!$E$65/30</f>
        <v>966757.171725</v>
      </c>
      <c r="AW65" s="65" t="n">
        <f aca="false">-AW26*Inputs!$E$65/30</f>
        <v>1203678.490275</v>
      </c>
      <c r="AX65" s="65" t="n">
        <f aca="false">-AX26*Inputs!$E$65/30</f>
        <v>1203678.490275</v>
      </c>
      <c r="AY65" s="65" t="n">
        <f aca="false">-AY26*Inputs!$E$65/30</f>
        <v>1203592.93535441</v>
      </c>
      <c r="AZ65" s="65" t="n">
        <f aca="false">-AZ26*Inputs!$E$65/30</f>
        <v>1203592.93535441</v>
      </c>
      <c r="BA65" s="65" t="n">
        <f aca="false">-BA26*Inputs!$E$65/30</f>
        <v>1203592.93535441</v>
      </c>
      <c r="BB65" s="65" t="n">
        <f aca="false">-BB26*Inputs!$E$65/30</f>
        <v>1203592.93535441</v>
      </c>
      <c r="BC65" s="65" t="n">
        <f aca="false">-BC26*Inputs!$E$65/30</f>
        <v>1203592.93535441</v>
      </c>
      <c r="BD65" s="65" t="n">
        <f aca="false">-BD26*Inputs!$E$65/30</f>
        <v>1203592.93535441</v>
      </c>
      <c r="BE65" s="65" t="n">
        <f aca="false">-BE26*Inputs!$E$65/30</f>
        <v>1203592.93535441</v>
      </c>
      <c r="BF65" s="65" t="n">
        <f aca="false">-BF26*Inputs!$E$65/30</f>
        <v>1203592.93535441</v>
      </c>
      <c r="BG65" s="65" t="n">
        <f aca="false">-BG26*Inputs!$E$65/30</f>
        <v>1203592.93535441</v>
      </c>
      <c r="BH65" s="65" t="n">
        <f aca="false">-BH26*Inputs!$E$65/30</f>
        <v>1203592.93535441</v>
      </c>
      <c r="BI65" s="65" t="n">
        <f aca="false">-BI26*Inputs!$E$65/30</f>
        <v>1501352.26391779</v>
      </c>
      <c r="BJ65" s="65" t="n">
        <f aca="false">-BJ26*Inputs!$E$65/30</f>
        <v>1501352.26391779</v>
      </c>
    </row>
    <row r="66" customFormat="false" ht="15" hidden="false" customHeight="false" outlineLevel="0" collapsed="false">
      <c r="A66" s="6" t="s">
        <v>94</v>
      </c>
      <c r="C66" s="65" t="n">
        <f aca="false">-C26*Inputs!$E$66/30</f>
        <v>185997.87</v>
      </c>
      <c r="D66" s="65" t="n">
        <f aca="false">-D26*Inputs!$E$66/30</f>
        <v>185997.87</v>
      </c>
      <c r="E66" s="65" t="n">
        <f aca="false">-E26*Inputs!$E$66/30</f>
        <v>185997.87</v>
      </c>
      <c r="F66" s="65" t="n">
        <f aca="false">-F26*Inputs!$E$66/30</f>
        <v>185997.87</v>
      </c>
      <c r="G66" s="65" t="n">
        <f aca="false">-G26*Inputs!$E$66/30</f>
        <v>185997.87</v>
      </c>
      <c r="H66" s="65" t="n">
        <f aca="false">-H26*Inputs!$E$66/30</f>
        <v>185997.87</v>
      </c>
      <c r="I66" s="65" t="n">
        <f aca="false">-I26*Inputs!$E$66/30</f>
        <v>185997.87</v>
      </c>
      <c r="J66" s="65" t="n">
        <f aca="false">-J26*Inputs!$E$66/30</f>
        <v>185997.87</v>
      </c>
      <c r="K66" s="65" t="n">
        <f aca="false">-K26*Inputs!$E$66/30</f>
        <v>185997.87</v>
      </c>
      <c r="L66" s="65" t="n">
        <f aca="false">-L26*Inputs!$E$66/30</f>
        <v>185997.87</v>
      </c>
      <c r="M66" s="65" t="n">
        <f aca="false">-M26*Inputs!$E$66/30</f>
        <v>228148.65</v>
      </c>
      <c r="N66" s="65" t="n">
        <f aca="false">-N26*Inputs!$E$66/30</f>
        <v>228148.65</v>
      </c>
      <c r="O66" s="65" t="n">
        <f aca="false">-O26*Inputs!$E$66/30</f>
        <v>241768.8405</v>
      </c>
      <c r="P66" s="65" t="n">
        <f aca="false">-P26*Inputs!$E$66/30</f>
        <v>241768.8405</v>
      </c>
      <c r="Q66" s="65" t="n">
        <f aca="false">-Q26*Inputs!$E$66/30</f>
        <v>241768.8405</v>
      </c>
      <c r="R66" s="65" t="n">
        <f aca="false">-R26*Inputs!$E$66/30</f>
        <v>241768.8405</v>
      </c>
      <c r="S66" s="65" t="n">
        <f aca="false">-S26*Inputs!$E$66/30</f>
        <v>241768.8405</v>
      </c>
      <c r="T66" s="65" t="n">
        <f aca="false">-T26*Inputs!$E$66/30</f>
        <v>241768.8405</v>
      </c>
      <c r="U66" s="65" t="n">
        <f aca="false">-U26*Inputs!$E$66/30</f>
        <v>241768.8405</v>
      </c>
      <c r="V66" s="65" t="n">
        <f aca="false">-V26*Inputs!$E$66/30</f>
        <v>241768.8405</v>
      </c>
      <c r="W66" s="65" t="n">
        <f aca="false">-W26*Inputs!$E$66/30</f>
        <v>241768.8405</v>
      </c>
      <c r="X66" s="65" t="n">
        <f aca="false">-X26*Inputs!$E$66/30</f>
        <v>241768.8405</v>
      </c>
      <c r="Y66" s="65" t="n">
        <f aca="false">-Y26*Inputs!$E$66/30</f>
        <v>298764.2475</v>
      </c>
      <c r="Z66" s="65" t="n">
        <f aca="false">-Z26*Inputs!$E$66/30</f>
        <v>298764.2475</v>
      </c>
      <c r="AA66" s="65" t="n">
        <f aca="false">-AA26*Inputs!$E$66/30</f>
        <v>307847.0772</v>
      </c>
      <c r="AB66" s="65" t="n">
        <f aca="false">-AB26*Inputs!$E$66/30</f>
        <v>307847.0772</v>
      </c>
      <c r="AC66" s="65" t="n">
        <f aca="false">-AC26*Inputs!$E$66/30</f>
        <v>307847.0772</v>
      </c>
      <c r="AD66" s="65" t="n">
        <f aca="false">-AD26*Inputs!$E$66/30</f>
        <v>307847.0772</v>
      </c>
      <c r="AE66" s="65" t="n">
        <f aca="false">-AE26*Inputs!$E$66/30</f>
        <v>307847.0772</v>
      </c>
      <c r="AF66" s="65" t="n">
        <f aca="false">-AF26*Inputs!$E$66/30</f>
        <v>307847.0772</v>
      </c>
      <c r="AG66" s="65" t="n">
        <f aca="false">-AG26*Inputs!$E$66/30</f>
        <v>307847.0772</v>
      </c>
      <c r="AH66" s="65" t="n">
        <f aca="false">-AH26*Inputs!$E$66/30</f>
        <v>307847.0772</v>
      </c>
      <c r="AI66" s="65" t="n">
        <f aca="false">-AI26*Inputs!$E$66/30</f>
        <v>307847.0772</v>
      </c>
      <c r="AJ66" s="65" t="n">
        <f aca="false">-AJ26*Inputs!$E$66/30</f>
        <v>307847.0772</v>
      </c>
      <c r="AK66" s="65" t="n">
        <f aca="false">-AK26*Inputs!$E$66/30</f>
        <v>382175.334</v>
      </c>
      <c r="AL66" s="65" t="n">
        <f aca="false">-AL26*Inputs!$E$66/30</f>
        <v>382175.334</v>
      </c>
      <c r="AM66" s="65" t="n">
        <f aca="false">-AM26*Inputs!$E$66/30</f>
        <v>386702.86869</v>
      </c>
      <c r="AN66" s="65" t="n">
        <f aca="false">-AN26*Inputs!$E$66/30</f>
        <v>386702.86869</v>
      </c>
      <c r="AO66" s="65" t="n">
        <f aca="false">-AO26*Inputs!$E$66/30</f>
        <v>386702.86869</v>
      </c>
      <c r="AP66" s="65" t="n">
        <f aca="false">-AP26*Inputs!$E$66/30</f>
        <v>386702.86869</v>
      </c>
      <c r="AQ66" s="65" t="n">
        <f aca="false">-AQ26*Inputs!$E$66/30</f>
        <v>386702.86869</v>
      </c>
      <c r="AR66" s="65" t="n">
        <f aca="false">-AR26*Inputs!$E$66/30</f>
        <v>386702.86869</v>
      </c>
      <c r="AS66" s="65" t="n">
        <f aca="false">-AS26*Inputs!$E$66/30</f>
        <v>386702.86869</v>
      </c>
      <c r="AT66" s="65" t="n">
        <f aca="false">-AT26*Inputs!$E$66/30</f>
        <v>386702.86869</v>
      </c>
      <c r="AU66" s="65" t="n">
        <f aca="false">-AU26*Inputs!$E$66/30</f>
        <v>386702.86869</v>
      </c>
      <c r="AV66" s="65" t="n">
        <f aca="false">-AV26*Inputs!$E$66/30</f>
        <v>386702.86869</v>
      </c>
      <c r="AW66" s="65" t="n">
        <f aca="false">-AW26*Inputs!$E$66/30</f>
        <v>481471.39611</v>
      </c>
      <c r="AX66" s="65" t="n">
        <f aca="false">-AX26*Inputs!$E$66/30</f>
        <v>481471.39611</v>
      </c>
      <c r="AY66" s="65" t="n">
        <f aca="false">-AY26*Inputs!$E$66/30</f>
        <v>481437.174141765</v>
      </c>
      <c r="AZ66" s="65" t="n">
        <f aca="false">-AZ26*Inputs!$E$66/30</f>
        <v>481437.174141765</v>
      </c>
      <c r="BA66" s="65" t="n">
        <f aca="false">-BA26*Inputs!$E$66/30</f>
        <v>481437.174141765</v>
      </c>
      <c r="BB66" s="65" t="n">
        <f aca="false">-BB26*Inputs!$E$66/30</f>
        <v>481437.174141765</v>
      </c>
      <c r="BC66" s="65" t="n">
        <f aca="false">-BC26*Inputs!$E$66/30</f>
        <v>481437.174141765</v>
      </c>
      <c r="BD66" s="65" t="n">
        <f aca="false">-BD26*Inputs!$E$66/30</f>
        <v>481437.174141765</v>
      </c>
      <c r="BE66" s="65" t="n">
        <f aca="false">-BE26*Inputs!$E$66/30</f>
        <v>481437.174141765</v>
      </c>
      <c r="BF66" s="65" t="n">
        <f aca="false">-BF26*Inputs!$E$66/30</f>
        <v>481437.174141765</v>
      </c>
      <c r="BG66" s="65" t="n">
        <f aca="false">-BG26*Inputs!$E$66/30</f>
        <v>481437.174141765</v>
      </c>
      <c r="BH66" s="65" t="n">
        <f aca="false">-BH26*Inputs!$E$66/30</f>
        <v>481437.174141765</v>
      </c>
      <c r="BI66" s="65" t="n">
        <f aca="false">-BI26*Inputs!$E$66/30</f>
        <v>600540.905567115</v>
      </c>
      <c r="BJ66" s="65" t="n">
        <f aca="false">-BJ26*Inputs!$E$66/30</f>
        <v>600540.905567115</v>
      </c>
    </row>
    <row r="67" customFormat="false" ht="15" hidden="false" customHeight="false" outlineLevel="0" collapsed="false">
      <c r="A67" s="6" t="s">
        <v>338</v>
      </c>
      <c r="C67" s="65" t="n">
        <f aca="false">-C64</f>
        <v>-29523.4714285714</v>
      </c>
      <c r="D67" s="65" t="n">
        <f aca="false">C64-D64</f>
        <v>0</v>
      </c>
      <c r="E67" s="65" t="n">
        <f aca="false">D64-E64</f>
        <v>0</v>
      </c>
      <c r="F67" s="65" t="n">
        <f aca="false">E64-F64</f>
        <v>0</v>
      </c>
      <c r="G67" s="65" t="n">
        <f aca="false">F64-G64</f>
        <v>0</v>
      </c>
      <c r="H67" s="65" t="n">
        <f aca="false">G64-H64</f>
        <v>0</v>
      </c>
      <c r="I67" s="65" t="n">
        <f aca="false">H64-I64</f>
        <v>0</v>
      </c>
      <c r="J67" s="65" t="n">
        <f aca="false">I64-J64</f>
        <v>0</v>
      </c>
      <c r="K67" s="65" t="n">
        <f aca="false">J64-K64</f>
        <v>0</v>
      </c>
      <c r="L67" s="65" t="n">
        <f aca="false">K64-L64</f>
        <v>0</v>
      </c>
      <c r="M67" s="65" t="n">
        <f aca="false">L64-M64</f>
        <v>-6690.60000000002</v>
      </c>
      <c r="N67" s="65" t="n">
        <f aca="false">M64-N64</f>
        <v>0</v>
      </c>
      <c r="O67" s="65" t="n">
        <f aca="false">N64-O64</f>
        <v>-2161.93499999999</v>
      </c>
      <c r="P67" s="65" t="n">
        <f aca="false">O64-P64</f>
        <v>0</v>
      </c>
      <c r="Q67" s="65" t="n">
        <f aca="false">P64-Q64</f>
        <v>0</v>
      </c>
      <c r="R67" s="65" t="n">
        <f aca="false">Q64-R64</f>
        <v>0</v>
      </c>
      <c r="S67" s="65" t="n">
        <f aca="false">R64-S64</f>
        <v>0</v>
      </c>
      <c r="T67" s="65" t="n">
        <f aca="false">S64-T64</f>
        <v>0</v>
      </c>
      <c r="U67" s="65" t="n">
        <f aca="false">T64-U64</f>
        <v>0</v>
      </c>
      <c r="V67" s="65" t="n">
        <f aca="false">U64-V64</f>
        <v>0</v>
      </c>
      <c r="W67" s="65" t="n">
        <f aca="false">V64-W64</f>
        <v>0</v>
      </c>
      <c r="X67" s="65" t="n">
        <f aca="false">W64-X64</f>
        <v>0</v>
      </c>
      <c r="Y67" s="65" t="n">
        <f aca="false">X64-Y64</f>
        <v>-9046.89</v>
      </c>
      <c r="Z67" s="65" t="n">
        <f aca="false">Y64-Z64</f>
        <v>0</v>
      </c>
      <c r="AA67" s="65" t="n">
        <f aca="false">Z64-AA64</f>
        <v>-1441.719</v>
      </c>
      <c r="AB67" s="65" t="n">
        <f aca="false">AA64-AB64</f>
        <v>0</v>
      </c>
      <c r="AC67" s="65" t="n">
        <f aca="false">AB64-AC64</f>
        <v>0</v>
      </c>
      <c r="AD67" s="65" t="n">
        <f aca="false">AC64-AD64</f>
        <v>0</v>
      </c>
      <c r="AE67" s="65" t="n">
        <f aca="false">AD64-AE64</f>
        <v>0</v>
      </c>
      <c r="AF67" s="65" t="n">
        <f aca="false">AE64-AF64</f>
        <v>0</v>
      </c>
      <c r="AG67" s="65" t="n">
        <f aca="false">AF64-AG64</f>
        <v>0</v>
      </c>
      <c r="AH67" s="65" t="n">
        <f aca="false">AG64-AH64</f>
        <v>0</v>
      </c>
      <c r="AI67" s="65" t="n">
        <f aca="false">AH64-AI64</f>
        <v>0</v>
      </c>
      <c r="AJ67" s="65" t="n">
        <f aca="false">AI64-AJ64</f>
        <v>0</v>
      </c>
      <c r="AK67" s="65" t="n">
        <f aca="false">AJ64-AK64</f>
        <v>-11798.136</v>
      </c>
      <c r="AL67" s="65" t="n">
        <f aca="false">AK64-AL64</f>
        <v>0</v>
      </c>
      <c r="AM67" s="65" t="n">
        <f aca="false">AL64-AM64</f>
        <v>-718.65630000001</v>
      </c>
      <c r="AN67" s="65" t="n">
        <f aca="false">AM64-AN64</f>
        <v>0</v>
      </c>
      <c r="AO67" s="65" t="n">
        <f aca="false">AN64-AO64</f>
        <v>0</v>
      </c>
      <c r="AP67" s="65" t="n">
        <f aca="false">AO64-AP64</f>
        <v>0</v>
      </c>
      <c r="AQ67" s="65" t="n">
        <f aca="false">AP64-AQ64</f>
        <v>0</v>
      </c>
      <c r="AR67" s="65" t="n">
        <f aca="false">AQ64-AR64</f>
        <v>0</v>
      </c>
      <c r="AS67" s="65" t="n">
        <f aca="false">AR64-AS64</f>
        <v>0</v>
      </c>
      <c r="AT67" s="65" t="n">
        <f aca="false">AS64-AT64</f>
        <v>0</v>
      </c>
      <c r="AU67" s="65" t="n">
        <f aca="false">AT64-AU64</f>
        <v>0</v>
      </c>
      <c r="AV67" s="65" t="n">
        <f aca="false">AU64-AV64</f>
        <v>0</v>
      </c>
      <c r="AW67" s="65" t="n">
        <f aca="false">AV64-AW64</f>
        <v>-15042.6234</v>
      </c>
      <c r="AX67" s="65" t="n">
        <f aca="false">AW64-AX64</f>
        <v>0</v>
      </c>
      <c r="AY67" s="65" t="n">
        <f aca="false">AX64-AY64</f>
        <v>5.43205844999466</v>
      </c>
      <c r="AZ67" s="65" t="n">
        <f aca="false">AY64-AZ64</f>
        <v>0</v>
      </c>
      <c r="BA67" s="65" t="n">
        <f aca="false">AZ64-BA64</f>
        <v>0</v>
      </c>
      <c r="BB67" s="65" t="n">
        <f aca="false">BA64-BB64</f>
        <v>0</v>
      </c>
      <c r="BC67" s="65" t="n">
        <f aca="false">BB64-BC64</f>
        <v>0</v>
      </c>
      <c r="BD67" s="65" t="n">
        <f aca="false">BC64-BD64</f>
        <v>0</v>
      </c>
      <c r="BE67" s="65" t="n">
        <f aca="false">BD64-BE64</f>
        <v>0</v>
      </c>
      <c r="BF67" s="65" t="n">
        <f aca="false">BE64-BF64</f>
        <v>0</v>
      </c>
      <c r="BG67" s="65" t="n">
        <f aca="false">BF64-BG64</f>
        <v>0</v>
      </c>
      <c r="BH67" s="65" t="n">
        <f aca="false">BG64-BH64</f>
        <v>0</v>
      </c>
      <c r="BI67" s="65" t="n">
        <f aca="false">BH64-BI64</f>
        <v>-18905.3541945</v>
      </c>
      <c r="BJ67" s="65" t="n">
        <f aca="false">BI64-BJ64</f>
        <v>0</v>
      </c>
    </row>
    <row r="68" customFormat="false" ht="15" hidden="false" customHeight="false" outlineLevel="0" collapsed="false">
      <c r="A68" s="6" t="s">
        <v>339</v>
      </c>
      <c r="C68" s="65" t="n">
        <f aca="false">-C65</f>
        <v>-464994.675</v>
      </c>
      <c r="D68" s="65" t="n">
        <f aca="false">C65-D65</f>
        <v>0</v>
      </c>
      <c r="E68" s="65" t="n">
        <f aca="false">D65-E65</f>
        <v>0</v>
      </c>
      <c r="F68" s="65" t="n">
        <f aca="false">E65-F65</f>
        <v>0</v>
      </c>
      <c r="G68" s="65" t="n">
        <f aca="false">F65-G65</f>
        <v>0</v>
      </c>
      <c r="H68" s="65" t="n">
        <f aca="false">G65-H65</f>
        <v>0</v>
      </c>
      <c r="I68" s="65" t="n">
        <f aca="false">H65-I65</f>
        <v>0</v>
      </c>
      <c r="J68" s="65" t="n">
        <f aca="false">I65-J65</f>
        <v>0</v>
      </c>
      <c r="K68" s="65" t="n">
        <f aca="false">J65-K65</f>
        <v>0</v>
      </c>
      <c r="L68" s="65" t="n">
        <f aca="false">K65-L65</f>
        <v>0</v>
      </c>
      <c r="M68" s="65" t="n">
        <f aca="false">L65-M65</f>
        <v>-105376.95</v>
      </c>
      <c r="N68" s="65" t="n">
        <f aca="false">M65-N65</f>
        <v>0</v>
      </c>
      <c r="O68" s="65" t="n">
        <f aca="false">N65-O65</f>
        <v>-34050.47625</v>
      </c>
      <c r="P68" s="65" t="n">
        <f aca="false">O65-P65</f>
        <v>0</v>
      </c>
      <c r="Q68" s="65" t="n">
        <f aca="false">P65-Q65</f>
        <v>0</v>
      </c>
      <c r="R68" s="65" t="n">
        <f aca="false">Q65-R65</f>
        <v>0</v>
      </c>
      <c r="S68" s="65" t="n">
        <f aca="false">R65-S65</f>
        <v>0</v>
      </c>
      <c r="T68" s="65" t="n">
        <f aca="false">S65-T65</f>
        <v>0</v>
      </c>
      <c r="U68" s="65" t="n">
        <f aca="false">T65-U65</f>
        <v>0</v>
      </c>
      <c r="V68" s="65" t="n">
        <f aca="false">U65-V65</f>
        <v>0</v>
      </c>
      <c r="W68" s="65" t="n">
        <f aca="false">V65-W65</f>
        <v>0</v>
      </c>
      <c r="X68" s="65" t="n">
        <f aca="false">W65-X65</f>
        <v>0</v>
      </c>
      <c r="Y68" s="65" t="n">
        <f aca="false">X65-Y65</f>
        <v>-142488.5175</v>
      </c>
      <c r="Z68" s="65" t="n">
        <f aca="false">Y65-Z65</f>
        <v>0</v>
      </c>
      <c r="AA68" s="65" t="n">
        <f aca="false">Z65-AA65</f>
        <v>-22707.0742499999</v>
      </c>
      <c r="AB68" s="65" t="n">
        <f aca="false">AA65-AB65</f>
        <v>0</v>
      </c>
      <c r="AC68" s="65" t="n">
        <f aca="false">AB65-AC65</f>
        <v>0</v>
      </c>
      <c r="AD68" s="65" t="n">
        <f aca="false">AC65-AD65</f>
        <v>0</v>
      </c>
      <c r="AE68" s="65" t="n">
        <f aca="false">AD65-AE65</f>
        <v>0</v>
      </c>
      <c r="AF68" s="65" t="n">
        <f aca="false">AE65-AF65</f>
        <v>0</v>
      </c>
      <c r="AG68" s="65" t="n">
        <f aca="false">AF65-AG65</f>
        <v>0</v>
      </c>
      <c r="AH68" s="65" t="n">
        <f aca="false">AG65-AH65</f>
        <v>0</v>
      </c>
      <c r="AI68" s="65" t="n">
        <f aca="false">AH65-AI65</f>
        <v>0</v>
      </c>
      <c r="AJ68" s="65" t="n">
        <f aca="false">AI65-AJ65</f>
        <v>0</v>
      </c>
      <c r="AK68" s="65" t="n">
        <f aca="false">AJ65-AK65</f>
        <v>-185820.642</v>
      </c>
      <c r="AL68" s="65" t="n">
        <f aca="false">AK65-AL65</f>
        <v>0</v>
      </c>
      <c r="AM68" s="65" t="n">
        <f aca="false">AL65-AM65</f>
        <v>-11318.8367250002</v>
      </c>
      <c r="AN68" s="65" t="n">
        <f aca="false">AM65-AN65</f>
        <v>0</v>
      </c>
      <c r="AO68" s="65" t="n">
        <f aca="false">AN65-AO65</f>
        <v>0</v>
      </c>
      <c r="AP68" s="65" t="n">
        <f aca="false">AO65-AP65</f>
        <v>0</v>
      </c>
      <c r="AQ68" s="65" t="n">
        <f aca="false">AP65-AQ65</f>
        <v>0</v>
      </c>
      <c r="AR68" s="65" t="n">
        <f aca="false">AQ65-AR65</f>
        <v>0</v>
      </c>
      <c r="AS68" s="65" t="n">
        <f aca="false">AR65-AS65</f>
        <v>0</v>
      </c>
      <c r="AT68" s="65" t="n">
        <f aca="false">AS65-AT65</f>
        <v>0</v>
      </c>
      <c r="AU68" s="65" t="n">
        <f aca="false">AT65-AU65</f>
        <v>0</v>
      </c>
      <c r="AV68" s="65" t="n">
        <f aca="false">AU65-AV65</f>
        <v>0</v>
      </c>
      <c r="AW68" s="65" t="n">
        <f aca="false">AV65-AW65</f>
        <v>-236921.31855</v>
      </c>
      <c r="AX68" s="65" t="n">
        <f aca="false">AW65-AX65</f>
        <v>0</v>
      </c>
      <c r="AY68" s="65" t="n">
        <f aca="false">AX65-AY65</f>
        <v>85.5549205874559</v>
      </c>
      <c r="AZ68" s="65" t="n">
        <f aca="false">AY65-AZ65</f>
        <v>0</v>
      </c>
      <c r="BA68" s="65" t="n">
        <f aca="false">AZ65-BA65</f>
        <v>0</v>
      </c>
      <c r="BB68" s="65" t="n">
        <f aca="false">BA65-BB65</f>
        <v>0</v>
      </c>
      <c r="BC68" s="65" t="n">
        <f aca="false">BB65-BC65</f>
        <v>0</v>
      </c>
      <c r="BD68" s="65" t="n">
        <f aca="false">BC65-BD65</f>
        <v>0</v>
      </c>
      <c r="BE68" s="65" t="n">
        <f aca="false">BD65-BE65</f>
        <v>0</v>
      </c>
      <c r="BF68" s="65" t="n">
        <f aca="false">BE65-BF65</f>
        <v>0</v>
      </c>
      <c r="BG68" s="65" t="n">
        <f aca="false">BF65-BG65</f>
        <v>0</v>
      </c>
      <c r="BH68" s="65" t="n">
        <f aca="false">BG65-BH65</f>
        <v>0</v>
      </c>
      <c r="BI68" s="65" t="n">
        <f aca="false">BH65-BI65</f>
        <v>-297759.328563375</v>
      </c>
      <c r="BJ68" s="65" t="n">
        <f aca="false">BI65-BJ65</f>
        <v>0</v>
      </c>
    </row>
    <row r="69" customFormat="false" ht="15" hidden="false" customHeight="false" outlineLevel="0" collapsed="false">
      <c r="A69" s="6" t="s">
        <v>340</v>
      </c>
      <c r="C69" s="65" t="n">
        <f aca="false">C66</f>
        <v>185997.87</v>
      </c>
      <c r="D69" s="65" t="n">
        <f aca="false">D66-C66</f>
        <v>0</v>
      </c>
      <c r="E69" s="65" t="n">
        <f aca="false">E66-D66</f>
        <v>0</v>
      </c>
      <c r="F69" s="65" t="n">
        <f aca="false">F66-E66</f>
        <v>0</v>
      </c>
      <c r="G69" s="65" t="n">
        <f aca="false">G66-F66</f>
        <v>0</v>
      </c>
      <c r="H69" s="65" t="n">
        <f aca="false">H66-G66</f>
        <v>0</v>
      </c>
      <c r="I69" s="65" t="n">
        <f aca="false">I66-H66</f>
        <v>0</v>
      </c>
      <c r="J69" s="65" t="n">
        <f aca="false">J66-I66</f>
        <v>0</v>
      </c>
      <c r="K69" s="65" t="n">
        <f aca="false">K66-J66</f>
        <v>0</v>
      </c>
      <c r="L69" s="65" t="n">
        <f aca="false">L66-K66</f>
        <v>0</v>
      </c>
      <c r="M69" s="65" t="n">
        <f aca="false">M66-L66</f>
        <v>42150.7800000001</v>
      </c>
      <c r="N69" s="65" t="n">
        <f aca="false">N66-M66</f>
        <v>0</v>
      </c>
      <c r="O69" s="65" t="n">
        <f aca="false">O66-N66</f>
        <v>13620.1905</v>
      </c>
      <c r="P69" s="65" t="n">
        <f aca="false">P66-O66</f>
        <v>0</v>
      </c>
      <c r="Q69" s="65" t="n">
        <f aca="false">Q66-P66</f>
        <v>0</v>
      </c>
      <c r="R69" s="65" t="n">
        <f aca="false">R66-Q66</f>
        <v>0</v>
      </c>
      <c r="S69" s="65" t="n">
        <f aca="false">S66-R66</f>
        <v>0</v>
      </c>
      <c r="T69" s="65" t="n">
        <f aca="false">T66-S66</f>
        <v>0</v>
      </c>
      <c r="U69" s="65" t="n">
        <f aca="false">U66-T66</f>
        <v>0</v>
      </c>
      <c r="V69" s="65" t="n">
        <f aca="false">V66-U66</f>
        <v>0</v>
      </c>
      <c r="W69" s="65" t="n">
        <f aca="false">W66-V66</f>
        <v>0</v>
      </c>
      <c r="X69" s="65" t="n">
        <f aca="false">X66-W66</f>
        <v>0</v>
      </c>
      <c r="Y69" s="65" t="n">
        <f aca="false">Y66-X66</f>
        <v>56995.407</v>
      </c>
      <c r="Z69" s="65" t="n">
        <f aca="false">Z66-Y66</f>
        <v>0</v>
      </c>
      <c r="AA69" s="65" t="n">
        <f aca="false">AA66-Z66</f>
        <v>9082.8297</v>
      </c>
      <c r="AB69" s="65" t="n">
        <f aca="false">AB66-AA66</f>
        <v>0</v>
      </c>
      <c r="AC69" s="65" t="n">
        <f aca="false">AC66-AB66</f>
        <v>0</v>
      </c>
      <c r="AD69" s="65" t="n">
        <f aca="false">AD66-AC66</f>
        <v>0</v>
      </c>
      <c r="AE69" s="65" t="n">
        <f aca="false">AE66-AD66</f>
        <v>0</v>
      </c>
      <c r="AF69" s="65" t="n">
        <f aca="false">AF66-AE66</f>
        <v>0</v>
      </c>
      <c r="AG69" s="65" t="n">
        <f aca="false">AG66-AF66</f>
        <v>0</v>
      </c>
      <c r="AH69" s="65" t="n">
        <f aca="false">AH66-AG66</f>
        <v>0</v>
      </c>
      <c r="AI69" s="65" t="n">
        <f aca="false">AI66-AH66</f>
        <v>0</v>
      </c>
      <c r="AJ69" s="65" t="n">
        <f aca="false">AJ66-AI66</f>
        <v>0</v>
      </c>
      <c r="AK69" s="65" t="n">
        <f aca="false">AK66-AJ66</f>
        <v>74328.2568</v>
      </c>
      <c r="AL69" s="65" t="n">
        <f aca="false">AL66-AK66</f>
        <v>0</v>
      </c>
      <c r="AM69" s="65" t="n">
        <f aca="false">AM66-AL66</f>
        <v>4527.53469000006</v>
      </c>
      <c r="AN69" s="65" t="n">
        <f aca="false">AN66-AM66</f>
        <v>0</v>
      </c>
      <c r="AO69" s="65" t="n">
        <f aca="false">AO66-AN66</f>
        <v>0</v>
      </c>
      <c r="AP69" s="65" t="n">
        <f aca="false">AP66-AO66</f>
        <v>0</v>
      </c>
      <c r="AQ69" s="65" t="n">
        <f aca="false">AQ66-AP66</f>
        <v>0</v>
      </c>
      <c r="AR69" s="65" t="n">
        <f aca="false">AR66-AQ66</f>
        <v>0</v>
      </c>
      <c r="AS69" s="65" t="n">
        <f aca="false">AS66-AR66</f>
        <v>0</v>
      </c>
      <c r="AT69" s="65" t="n">
        <f aca="false">AT66-AS66</f>
        <v>0</v>
      </c>
      <c r="AU69" s="65" t="n">
        <f aca="false">AU66-AT66</f>
        <v>0</v>
      </c>
      <c r="AV69" s="65" t="n">
        <f aca="false">AV66-AU66</f>
        <v>0</v>
      </c>
      <c r="AW69" s="65" t="n">
        <f aca="false">AW66-AV66</f>
        <v>94768.5274199999</v>
      </c>
      <c r="AX69" s="65" t="n">
        <f aca="false">AX66-AW66</f>
        <v>0</v>
      </c>
      <c r="AY69" s="65" t="n">
        <f aca="false">AY66-AX66</f>
        <v>-34.2219682349823</v>
      </c>
      <c r="AZ69" s="65" t="n">
        <f aca="false">AZ66-AY66</f>
        <v>0</v>
      </c>
      <c r="BA69" s="65" t="n">
        <f aca="false">BA66-AZ66</f>
        <v>0</v>
      </c>
      <c r="BB69" s="65" t="n">
        <f aca="false">BB66-BA66</f>
        <v>0</v>
      </c>
      <c r="BC69" s="65" t="n">
        <f aca="false">BC66-BB66</f>
        <v>0</v>
      </c>
      <c r="BD69" s="65" t="n">
        <f aca="false">BD66-BC66</f>
        <v>0</v>
      </c>
      <c r="BE69" s="65" t="n">
        <f aca="false">BE66-BD66</f>
        <v>0</v>
      </c>
      <c r="BF69" s="65" t="n">
        <f aca="false">BF66-BE66</f>
        <v>0</v>
      </c>
      <c r="BG69" s="65" t="n">
        <f aca="false">BG66-BF66</f>
        <v>0</v>
      </c>
      <c r="BH69" s="65" t="n">
        <f aca="false">BH66-BG66</f>
        <v>0</v>
      </c>
      <c r="BI69" s="65" t="n">
        <f aca="false">BI66-BH66</f>
        <v>119103.73142535</v>
      </c>
      <c r="BJ69" s="65" t="n">
        <f aca="false">BJ66-BI66</f>
        <v>0</v>
      </c>
    </row>
    <row r="71" customFormat="false" ht="15.75" hidden="false" customHeight="true" outlineLevel="0" collapsed="false">
      <c r="A71" s="7" t="s">
        <v>429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customFormat="false" ht="15" hidden="false" customHeight="false" outlineLevel="0" collapsed="false">
      <c r="A72" s="4" t="s">
        <v>52</v>
      </c>
      <c r="C72" s="71" t="n">
        <f aca="false">C48-C53+C67+C68+C69</f>
        <v>-295552.376821429</v>
      </c>
      <c r="D72" s="71" t="n">
        <f aca="false">D48-D53+D67+D68+D69</f>
        <v>12989.8440515873</v>
      </c>
      <c r="E72" s="71" t="n">
        <f aca="false">E48-E53+E67+E68+E69</f>
        <v>13033.7329404762</v>
      </c>
      <c r="F72" s="71" t="n">
        <f aca="false">F48-F53+F67+F68+F69</f>
        <v>13077.6218293651</v>
      </c>
      <c r="G72" s="71" t="n">
        <f aca="false">G48-G53+G67+G68+G69</f>
        <v>13121.5107182539</v>
      </c>
      <c r="H72" s="71" t="n">
        <f aca="false">H48-H53+H67+H68+H69</f>
        <v>13165.3996071428</v>
      </c>
      <c r="I72" s="71" t="n">
        <f aca="false">I48-I53+I67+I68+I69</f>
        <v>13209.2884960317</v>
      </c>
      <c r="J72" s="71" t="n">
        <f aca="false">J48-J53+J67+J68+J69</f>
        <v>13253.1773849206</v>
      </c>
      <c r="K72" s="71" t="n">
        <f aca="false">K48-K53+K67+K68+K69</f>
        <v>13297.0662738095</v>
      </c>
      <c r="L72" s="71" t="n">
        <f aca="false">L48-L53+L67+L68+L69</f>
        <v>13340.9551626984</v>
      </c>
      <c r="M72" s="71" t="n">
        <f aca="false">M48-M53+M67+M68+M69</f>
        <v>-19478.5164484127</v>
      </c>
      <c r="N72" s="71" t="n">
        <f aca="false">N48-N53+N67+N68+N69</f>
        <v>50482.1424404763</v>
      </c>
      <c r="O72" s="71" t="n">
        <f aca="false">O48-O53+O67+O68+O69</f>
        <v>6365.23361448417</v>
      </c>
      <c r="P72" s="71" t="n">
        <f aca="false">P48-P53+P67+P68+P69</f>
        <v>29001.343253373</v>
      </c>
      <c r="Q72" s="71" t="n">
        <f aca="false">Q48-Q53+Q67+Q68+Q69</f>
        <v>29045.2321422619</v>
      </c>
      <c r="R72" s="71" t="n">
        <f aca="false">R48-R53+R67+R68+R69</f>
        <v>29089.1210311508</v>
      </c>
      <c r="S72" s="71" t="n">
        <f aca="false">S48-S53+S67+S68+S69</f>
        <v>29133.0099200397</v>
      </c>
      <c r="T72" s="71" t="n">
        <f aca="false">T48-T53+T67+T68+T69</f>
        <v>29176.8988089286</v>
      </c>
      <c r="U72" s="71" t="n">
        <f aca="false">U48-U53+U67+U68+U69</f>
        <v>29220.7876978175</v>
      </c>
      <c r="V72" s="71" t="n">
        <f aca="false">V48-V53+V67+V68+V69</f>
        <v>29264.6765867064</v>
      </c>
      <c r="W72" s="71" t="n">
        <f aca="false">W48-W53+W67+W68+W69</f>
        <v>29308.5654755952</v>
      </c>
      <c r="X72" s="71" t="n">
        <f aca="false">X48-X53+X67+X68+X69</f>
        <v>29352.4543644841</v>
      </c>
      <c r="Y72" s="71" t="n">
        <f aca="false">Y48-Y53+Y67+Y68+Y69</f>
        <v>-14371.2716716269</v>
      </c>
      <c r="Z72" s="71" t="n">
        <f aca="false">Z48-Z53+Z67+Z68+Z69</f>
        <v>80212.6177172619</v>
      </c>
      <c r="AA72" s="71" t="n">
        <f aca="false">AA48-AA53+AA67+AA68+AA69</f>
        <v>31607.8151341063</v>
      </c>
      <c r="AB72" s="71" t="n">
        <f aca="false">AB48-AB53+AB67+AB68+AB69</f>
        <v>46717.6675729951</v>
      </c>
      <c r="AC72" s="71" t="n">
        <f aca="false">AC48-AC53+AC67+AC68+AC69</f>
        <v>46761.556461884</v>
      </c>
      <c r="AD72" s="71" t="n">
        <f aca="false">AD48-AD53+AD67+AD68+AD69</f>
        <v>46805.4453507729</v>
      </c>
      <c r="AE72" s="71" t="n">
        <f aca="false">AE48-AE53+AE67+AE68+AE69</f>
        <v>46849.3342396618</v>
      </c>
      <c r="AF72" s="71" t="n">
        <f aca="false">AF48-AF53+AF67+AF68+AF69</f>
        <v>46893.2231285506</v>
      </c>
      <c r="AG72" s="71" t="n">
        <f aca="false">AG48-AG53+AG67+AG68+AG69</f>
        <v>46937.1120174396</v>
      </c>
      <c r="AH72" s="71" t="n">
        <f aca="false">AH48-AH53+AH67+AH68+AH69</f>
        <v>46981.0009063284</v>
      </c>
      <c r="AI72" s="71" t="n">
        <f aca="false">AI48-AI53+AI67+AI68+AI69</f>
        <v>47024.8897952173</v>
      </c>
      <c r="AJ72" s="71" t="n">
        <f aca="false">AJ48-AJ53+AJ67+AJ68+AJ69</f>
        <v>47068.7786841062</v>
      </c>
      <c r="AK72" s="71" t="n">
        <f aca="false">AK48-AK53+AK67+AK68+AK69</f>
        <v>-9521.90224700479</v>
      </c>
      <c r="AL72" s="71" t="n">
        <f aca="false">AL48-AL53+AL67+AL68+AL69</f>
        <v>113812.507841884</v>
      </c>
      <c r="AM72" s="71" t="n">
        <f aca="false">AM48-AM53+AM67+AM68+AM69</f>
        <v>58848.1150221664</v>
      </c>
      <c r="AN72" s="71" t="n">
        <f aca="false">AN48-AN53+AN67+AN68+AN69</f>
        <v>66401.9622460554</v>
      </c>
      <c r="AO72" s="71" t="n">
        <f aca="false">AO48-AO53+AO67+AO68+AO69</f>
        <v>66445.8511349443</v>
      </c>
      <c r="AP72" s="71" t="n">
        <f aca="false">AP48-AP53+AP67+AP68+AP69</f>
        <v>66489.7400238332</v>
      </c>
      <c r="AQ72" s="71" t="n">
        <f aca="false">AQ48-AQ53+AQ67+AQ68+AQ69</f>
        <v>66533.6289127221</v>
      </c>
      <c r="AR72" s="71" t="n">
        <f aca="false">AR48-AR53+AR67+AR68+AR69</f>
        <v>66577.517801611</v>
      </c>
      <c r="AS72" s="71" t="n">
        <f aca="false">AS48-AS53+AS67+AS68+AS69</f>
        <v>66621.4066904998</v>
      </c>
      <c r="AT72" s="71" t="n">
        <f aca="false">AT48-AT53+AT67+AT68+AT69</f>
        <v>66665.2955793887</v>
      </c>
      <c r="AU72" s="71" t="n">
        <f aca="false">AU48-AU53+AU67+AU68+AU69</f>
        <v>66709.1844682776</v>
      </c>
      <c r="AV72" s="71" t="n">
        <f aca="false">AV48-AV53+AV67+AV68+AV69</f>
        <v>66753.0733571665</v>
      </c>
      <c r="AW72" s="71" t="n">
        <f aca="false">AW48-AW53+AW67+AW68+AW69</f>
        <v>-5156.15427444465</v>
      </c>
      <c r="AX72" s="71" t="n">
        <f aca="false">AX48-AX53+AX67+AX68+AX69</f>
        <v>152083.149144444</v>
      </c>
      <c r="AY72" s="71" t="n">
        <f aca="false">AY48-AY53+AY67+AY68+AY69</f>
        <v>88366.9770592411</v>
      </c>
      <c r="AZ72" s="71" t="n">
        <f aca="false">AZ48-AZ53+AZ67+AZ68+AZ69</f>
        <v>88354.1009373275</v>
      </c>
      <c r="BA72" s="71" t="n">
        <f aca="false">BA48-BA53+BA67+BA68+BA69</f>
        <v>88397.9898262163</v>
      </c>
      <c r="BB72" s="71" t="n">
        <f aca="false">BB48-BB53+BB67+BB68+BB69</f>
        <v>88441.8787151052</v>
      </c>
      <c r="BC72" s="71" t="n">
        <f aca="false">BC48-BC53+BC67+BC68+BC69</f>
        <v>88485.7676039941</v>
      </c>
      <c r="BD72" s="71" t="n">
        <f aca="false">BD48-BD53+BD67+BD68+BD69</f>
        <v>88529.656492883</v>
      </c>
      <c r="BE72" s="71" t="n">
        <f aca="false">BE48-BE53+BE67+BE68+BE69</f>
        <v>88573.5453817719</v>
      </c>
      <c r="BF72" s="71" t="n">
        <f aca="false">BF48-BF53+BF67+BF68+BF69</f>
        <v>88617.4342706608</v>
      </c>
      <c r="BG72" s="71" t="n">
        <f aca="false">BG48-BG53+BG67+BG68+BG69</f>
        <v>88661.3231595497</v>
      </c>
      <c r="BH72" s="71" t="n">
        <f aca="false">BH48-BH53+BH67+BH68+BH69</f>
        <v>88705.2120484386</v>
      </c>
      <c r="BI72" s="71" t="n">
        <f aca="false">BI48-BI53+BI67+BI68+BI69</f>
        <v>-1593.70443254372</v>
      </c>
      <c r="BJ72" s="71" t="n">
        <f aca="false">BJ48-BJ53+BJ67+BJ68+BJ69</f>
        <v>196011.13578887</v>
      </c>
    </row>
    <row r="73" customFormat="false" ht="15" hidden="false" customHeight="false" outlineLevel="0" collapsed="false">
      <c r="A73" s="6" t="s">
        <v>430</v>
      </c>
      <c r="C73" s="65" t="n">
        <f aca="false">-C51</f>
        <v>-350000</v>
      </c>
      <c r="D73" s="65" t="n">
        <f aca="false">-D51</f>
        <v>-0</v>
      </c>
      <c r="E73" s="65" t="n">
        <f aca="false">-E51</f>
        <v>-0</v>
      </c>
      <c r="F73" s="65" t="n">
        <f aca="false">-F51</f>
        <v>-0</v>
      </c>
      <c r="G73" s="65" t="n">
        <f aca="false">-G51</f>
        <v>-0</v>
      </c>
      <c r="H73" s="65" t="n">
        <f aca="false">-H51</f>
        <v>-0</v>
      </c>
      <c r="I73" s="65" t="n">
        <f aca="false">-I51</f>
        <v>-0</v>
      </c>
      <c r="J73" s="65" t="n">
        <f aca="false">-J51</f>
        <v>-0</v>
      </c>
      <c r="K73" s="65" t="n">
        <f aca="false">-K51</f>
        <v>-0</v>
      </c>
      <c r="L73" s="65" t="n">
        <f aca="false">-L51</f>
        <v>-0</v>
      </c>
      <c r="M73" s="65" t="n">
        <f aca="false">-M51</f>
        <v>-0</v>
      </c>
      <c r="N73" s="65" t="n">
        <f aca="false">-N51</f>
        <v>-0</v>
      </c>
      <c r="O73" s="65" t="n">
        <f aca="false">-O51</f>
        <v>-150000</v>
      </c>
      <c r="P73" s="65" t="n">
        <f aca="false">-P51</f>
        <v>-0</v>
      </c>
      <c r="Q73" s="65" t="n">
        <f aca="false">-Q51</f>
        <v>-0</v>
      </c>
      <c r="R73" s="65" t="n">
        <f aca="false">-R51</f>
        <v>-0</v>
      </c>
      <c r="S73" s="65" t="n">
        <f aca="false">-S51</f>
        <v>-0</v>
      </c>
      <c r="T73" s="65" t="n">
        <f aca="false">-T51</f>
        <v>-0</v>
      </c>
      <c r="U73" s="65" t="n">
        <f aca="false">-U51</f>
        <v>-0</v>
      </c>
      <c r="V73" s="65" t="n">
        <f aca="false">-V51</f>
        <v>-0</v>
      </c>
      <c r="W73" s="65" t="n">
        <f aca="false">-W51</f>
        <v>-0</v>
      </c>
      <c r="X73" s="65" t="n">
        <f aca="false">-X51</f>
        <v>-0</v>
      </c>
      <c r="Y73" s="65" t="n">
        <f aca="false">-Y51</f>
        <v>-0</v>
      </c>
      <c r="Z73" s="65" t="n">
        <f aca="false">-Z51</f>
        <v>-0</v>
      </c>
      <c r="AA73" s="65" t="n">
        <f aca="false">-AA51</f>
        <v>-150000</v>
      </c>
      <c r="AB73" s="65" t="n">
        <f aca="false">-AB51</f>
        <v>-0</v>
      </c>
      <c r="AC73" s="65" t="n">
        <f aca="false">-AC51</f>
        <v>-0</v>
      </c>
      <c r="AD73" s="65" t="n">
        <f aca="false">-AD51</f>
        <v>-0</v>
      </c>
      <c r="AE73" s="65" t="n">
        <f aca="false">-AE51</f>
        <v>-0</v>
      </c>
      <c r="AF73" s="65" t="n">
        <f aca="false">-AF51</f>
        <v>-0</v>
      </c>
      <c r="AG73" s="65" t="n">
        <f aca="false">-AG51</f>
        <v>-0</v>
      </c>
      <c r="AH73" s="65" t="n">
        <f aca="false">-AH51</f>
        <v>-0</v>
      </c>
      <c r="AI73" s="65" t="n">
        <f aca="false">-AI51</f>
        <v>-0</v>
      </c>
      <c r="AJ73" s="65" t="n">
        <f aca="false">-AJ51</f>
        <v>-0</v>
      </c>
      <c r="AK73" s="65" t="n">
        <f aca="false">-AK51</f>
        <v>-0</v>
      </c>
      <c r="AL73" s="65" t="n">
        <f aca="false">-AL51</f>
        <v>-0</v>
      </c>
      <c r="AM73" s="65" t="n">
        <f aca="false">-AM51</f>
        <v>-150000</v>
      </c>
      <c r="AN73" s="65" t="n">
        <f aca="false">-AN51</f>
        <v>-0</v>
      </c>
      <c r="AO73" s="65" t="n">
        <f aca="false">-AO51</f>
        <v>-0</v>
      </c>
      <c r="AP73" s="65" t="n">
        <f aca="false">-AP51</f>
        <v>-0</v>
      </c>
      <c r="AQ73" s="65" t="n">
        <f aca="false">-AQ51</f>
        <v>-0</v>
      </c>
      <c r="AR73" s="65" t="n">
        <f aca="false">-AR51</f>
        <v>-0</v>
      </c>
      <c r="AS73" s="65" t="n">
        <f aca="false">-AS51</f>
        <v>-0</v>
      </c>
      <c r="AT73" s="65" t="n">
        <f aca="false">-AT51</f>
        <v>-0</v>
      </c>
      <c r="AU73" s="65" t="n">
        <f aca="false">-AU51</f>
        <v>-0</v>
      </c>
      <c r="AV73" s="65" t="n">
        <f aca="false">-AV51</f>
        <v>-0</v>
      </c>
      <c r="AW73" s="65" t="n">
        <f aca="false">-AW51</f>
        <v>-0</v>
      </c>
      <c r="AX73" s="65" t="n">
        <f aca="false">-AX51</f>
        <v>-0</v>
      </c>
      <c r="AY73" s="65" t="n">
        <f aca="false">-AY51</f>
        <v>-150000</v>
      </c>
      <c r="AZ73" s="65" t="n">
        <f aca="false">-AZ51</f>
        <v>-0</v>
      </c>
      <c r="BA73" s="65" t="n">
        <f aca="false">-BA51</f>
        <v>-0</v>
      </c>
      <c r="BB73" s="65" t="n">
        <f aca="false">-BB51</f>
        <v>-0</v>
      </c>
      <c r="BC73" s="65" t="n">
        <f aca="false">-BC51</f>
        <v>-0</v>
      </c>
      <c r="BD73" s="65" t="n">
        <f aca="false">-BD51</f>
        <v>-0</v>
      </c>
      <c r="BE73" s="65" t="n">
        <f aca="false">-BE51</f>
        <v>-0</v>
      </c>
      <c r="BF73" s="65" t="n">
        <f aca="false">-BF51</f>
        <v>-0</v>
      </c>
      <c r="BG73" s="65" t="n">
        <f aca="false">-BG51</f>
        <v>-0</v>
      </c>
      <c r="BH73" s="65" t="n">
        <f aca="false">-BH51</f>
        <v>-0</v>
      </c>
      <c r="BI73" s="65" t="n">
        <f aca="false">-BI51</f>
        <v>-0</v>
      </c>
      <c r="BJ73" s="65" t="n">
        <f aca="false">-BJ51</f>
        <v>-0</v>
      </c>
    </row>
    <row r="74" customFormat="false" ht="15" hidden="false" customHeight="false" outlineLevel="0" collapsed="false">
      <c r="A74" s="6" t="s">
        <v>64</v>
      </c>
      <c r="C74" s="65" t="n">
        <f aca="false">IF(C$4=1,Inputs!$E$58,0)</f>
        <v>1500000</v>
      </c>
      <c r="D74" s="65" t="n">
        <f aca="false">IF(D$4=1,Inputs!$E$58,0)</f>
        <v>0</v>
      </c>
      <c r="E74" s="65" t="n">
        <f aca="false">IF(E$4=1,Inputs!$E$58,0)</f>
        <v>0</v>
      </c>
      <c r="F74" s="65" t="n">
        <f aca="false">IF(F$4=1,Inputs!$E$58,0)</f>
        <v>0</v>
      </c>
      <c r="G74" s="65" t="n">
        <f aca="false">IF(G$4=1,Inputs!$E$58,0)</f>
        <v>0</v>
      </c>
      <c r="H74" s="65" t="n">
        <f aca="false">IF(H$4=1,Inputs!$E$58,0)</f>
        <v>0</v>
      </c>
      <c r="I74" s="65" t="n">
        <f aca="false">IF(I$4=1,Inputs!$E$58,0)</f>
        <v>0</v>
      </c>
      <c r="J74" s="65" t="n">
        <f aca="false">IF(J$4=1,Inputs!$E$58,0)</f>
        <v>0</v>
      </c>
      <c r="K74" s="65" t="n">
        <f aca="false">IF(K$4=1,Inputs!$E$58,0)</f>
        <v>0</v>
      </c>
      <c r="L74" s="65" t="n">
        <f aca="false">IF(L$4=1,Inputs!$E$58,0)</f>
        <v>0</v>
      </c>
      <c r="M74" s="65" t="n">
        <f aca="false">IF(M$4=1,Inputs!$E$58,0)</f>
        <v>0</v>
      </c>
      <c r="N74" s="65" t="n">
        <f aca="false">IF(N$4=1,Inputs!$E$58,0)</f>
        <v>0</v>
      </c>
      <c r="O74" s="65" t="n">
        <f aca="false">IF(O$4=1,Inputs!$E$58,0)</f>
        <v>0</v>
      </c>
      <c r="P74" s="65" t="n">
        <f aca="false">IF(P$4=1,Inputs!$E$58,0)</f>
        <v>0</v>
      </c>
      <c r="Q74" s="65" t="n">
        <f aca="false">IF(Q$4=1,Inputs!$E$58,0)</f>
        <v>0</v>
      </c>
      <c r="R74" s="65" t="n">
        <f aca="false">IF(R$4=1,Inputs!$E$58,0)</f>
        <v>0</v>
      </c>
      <c r="S74" s="65" t="n">
        <f aca="false">IF(S$4=1,Inputs!$E$58,0)</f>
        <v>0</v>
      </c>
      <c r="T74" s="65" t="n">
        <f aca="false">IF(T$4=1,Inputs!$E$58,0)</f>
        <v>0</v>
      </c>
      <c r="U74" s="65" t="n">
        <f aca="false">IF(U$4=1,Inputs!$E$58,0)</f>
        <v>0</v>
      </c>
      <c r="V74" s="65" t="n">
        <f aca="false">IF(V$4=1,Inputs!$E$58,0)</f>
        <v>0</v>
      </c>
      <c r="W74" s="65" t="n">
        <f aca="false">IF(W$4=1,Inputs!$E$58,0)</f>
        <v>0</v>
      </c>
      <c r="X74" s="65" t="n">
        <f aca="false">IF(X$4=1,Inputs!$E$58,0)</f>
        <v>0</v>
      </c>
      <c r="Y74" s="65" t="n">
        <f aca="false">IF(Y$4=1,Inputs!$E$58,0)</f>
        <v>0</v>
      </c>
      <c r="Z74" s="65" t="n">
        <f aca="false">IF(Z$4=1,Inputs!$E$58,0)</f>
        <v>0</v>
      </c>
      <c r="AA74" s="65" t="n">
        <f aca="false">IF(AA$4=1,Inputs!$E$58,0)</f>
        <v>0</v>
      </c>
      <c r="AB74" s="65" t="n">
        <f aca="false">IF(AB$4=1,Inputs!$E$58,0)</f>
        <v>0</v>
      </c>
      <c r="AC74" s="65" t="n">
        <f aca="false">IF(AC$4=1,Inputs!$E$58,0)</f>
        <v>0</v>
      </c>
      <c r="AD74" s="65" t="n">
        <f aca="false">IF(AD$4=1,Inputs!$E$58,0)</f>
        <v>0</v>
      </c>
      <c r="AE74" s="65" t="n">
        <f aca="false">IF(AE$4=1,Inputs!$E$58,0)</f>
        <v>0</v>
      </c>
      <c r="AF74" s="65" t="n">
        <f aca="false">IF(AF$4=1,Inputs!$E$58,0)</f>
        <v>0</v>
      </c>
      <c r="AG74" s="65" t="n">
        <f aca="false">IF(AG$4=1,Inputs!$E$58,0)</f>
        <v>0</v>
      </c>
      <c r="AH74" s="65" t="n">
        <f aca="false">IF(AH$4=1,Inputs!$E$58,0)</f>
        <v>0</v>
      </c>
      <c r="AI74" s="65" t="n">
        <f aca="false">IF(AI$4=1,Inputs!$E$58,0)</f>
        <v>0</v>
      </c>
      <c r="AJ74" s="65" t="n">
        <f aca="false">IF(AJ$4=1,Inputs!$E$58,0)</f>
        <v>0</v>
      </c>
      <c r="AK74" s="65" t="n">
        <f aca="false">IF(AK$4=1,Inputs!$E$58,0)</f>
        <v>0</v>
      </c>
      <c r="AL74" s="65" t="n">
        <f aca="false">IF(AL$4=1,Inputs!$E$58,0)</f>
        <v>0</v>
      </c>
      <c r="AM74" s="65" t="n">
        <f aca="false">IF(AM$4=1,Inputs!$E$58,0)</f>
        <v>0</v>
      </c>
      <c r="AN74" s="65" t="n">
        <f aca="false">IF(AN$4=1,Inputs!$E$58,0)</f>
        <v>0</v>
      </c>
      <c r="AO74" s="65" t="n">
        <f aca="false">IF(AO$4=1,Inputs!$E$58,0)</f>
        <v>0</v>
      </c>
      <c r="AP74" s="65" t="n">
        <f aca="false">IF(AP$4=1,Inputs!$E$58,0)</f>
        <v>0</v>
      </c>
      <c r="AQ74" s="65" t="n">
        <f aca="false">IF(AQ$4=1,Inputs!$E$58,0)</f>
        <v>0</v>
      </c>
      <c r="AR74" s="65" t="n">
        <f aca="false">IF(AR$4=1,Inputs!$E$58,0)</f>
        <v>0</v>
      </c>
      <c r="AS74" s="65" t="n">
        <f aca="false">IF(AS$4=1,Inputs!$E$58,0)</f>
        <v>0</v>
      </c>
      <c r="AT74" s="65" t="n">
        <f aca="false">IF(AT$4=1,Inputs!$E$58,0)</f>
        <v>0</v>
      </c>
      <c r="AU74" s="65" t="n">
        <f aca="false">IF(AU$4=1,Inputs!$E$58,0)</f>
        <v>0</v>
      </c>
      <c r="AV74" s="65" t="n">
        <f aca="false">IF(AV$4=1,Inputs!$E$58,0)</f>
        <v>0</v>
      </c>
      <c r="AW74" s="65" t="n">
        <f aca="false">IF(AW$4=1,Inputs!$E$58,0)</f>
        <v>0</v>
      </c>
      <c r="AX74" s="65" t="n">
        <f aca="false">IF(AX$4=1,Inputs!$E$58,0)</f>
        <v>0</v>
      </c>
      <c r="AY74" s="65" t="n">
        <f aca="false">IF(AY$4=1,Inputs!$E$58,0)</f>
        <v>0</v>
      </c>
      <c r="AZ74" s="65" t="n">
        <f aca="false">IF(AZ$4=1,Inputs!$E$58,0)</f>
        <v>0</v>
      </c>
      <c r="BA74" s="65" t="n">
        <f aca="false">IF(BA$4=1,Inputs!$E$58,0)</f>
        <v>0</v>
      </c>
      <c r="BB74" s="65" t="n">
        <f aca="false">IF(BB$4=1,Inputs!$E$58,0)</f>
        <v>0</v>
      </c>
      <c r="BC74" s="65" t="n">
        <f aca="false">IF(BC$4=1,Inputs!$E$58,0)</f>
        <v>0</v>
      </c>
      <c r="BD74" s="65" t="n">
        <f aca="false">IF(BD$4=1,Inputs!$E$58,0)</f>
        <v>0</v>
      </c>
      <c r="BE74" s="65" t="n">
        <f aca="false">IF(BE$4=1,Inputs!$E$58,0)</f>
        <v>0</v>
      </c>
      <c r="BF74" s="65" t="n">
        <f aca="false">IF(BF$4=1,Inputs!$E$58,0)</f>
        <v>0</v>
      </c>
      <c r="BG74" s="65" t="n">
        <f aca="false">IF(BG$4=1,Inputs!$E$58,0)</f>
        <v>0</v>
      </c>
      <c r="BH74" s="65" t="n">
        <f aca="false">IF(BH$4=1,Inputs!$E$58,0)</f>
        <v>0</v>
      </c>
      <c r="BI74" s="65" t="n">
        <f aca="false">IF(BI$4=1,Inputs!$E$58,0)</f>
        <v>0</v>
      </c>
      <c r="BJ74" s="65" t="n">
        <f aca="false">IF(BJ$4=1,Inputs!$E$58,0)</f>
        <v>0</v>
      </c>
    </row>
    <row r="75" customFormat="false" ht="15" hidden="false" customHeight="false" outlineLevel="0" collapsed="false">
      <c r="A75" s="6" t="s">
        <v>54</v>
      </c>
      <c r="C75" s="65" t="n">
        <f aca="false">C74+C59+C60</f>
        <v>2000000</v>
      </c>
      <c r="D75" s="65" t="n">
        <f aca="false">D74+D59+D60</f>
        <v>-8333.33333333333</v>
      </c>
      <c r="E75" s="65" t="n">
        <f aca="false">E74+E59+E60</f>
        <v>-8333.33333333333</v>
      </c>
      <c r="F75" s="65" t="n">
        <f aca="false">F74+F59+F60</f>
        <v>-8333.33333333333</v>
      </c>
      <c r="G75" s="65" t="n">
        <f aca="false">G74+G59+G60</f>
        <v>-8333.33333333333</v>
      </c>
      <c r="H75" s="65" t="n">
        <f aca="false">H74+H59+H60</f>
        <v>-8333.33333333333</v>
      </c>
      <c r="I75" s="65" t="n">
        <f aca="false">I74+I59+I60</f>
        <v>-8333.33333333333</v>
      </c>
      <c r="J75" s="65" t="n">
        <f aca="false">J74+J59+J60</f>
        <v>-8333.33333333333</v>
      </c>
      <c r="K75" s="65" t="n">
        <f aca="false">K74+K59+K60</f>
        <v>-8333.33333333333</v>
      </c>
      <c r="L75" s="65" t="n">
        <f aca="false">L74+L59+L60</f>
        <v>-8333.33333333333</v>
      </c>
      <c r="M75" s="65" t="n">
        <f aca="false">M74+M59+M60</f>
        <v>-8333.33333333333</v>
      </c>
      <c r="N75" s="65" t="n">
        <f aca="false">N74+N59+N60</f>
        <v>-8333.33333333333</v>
      </c>
      <c r="O75" s="65" t="n">
        <f aca="false">O74+O59+O60</f>
        <v>-8333.33333333333</v>
      </c>
      <c r="P75" s="65" t="n">
        <f aca="false">P74+P59+P60</f>
        <v>-8333.33333333333</v>
      </c>
      <c r="Q75" s="65" t="n">
        <f aca="false">Q74+Q59+Q60</f>
        <v>-8333.33333333333</v>
      </c>
      <c r="R75" s="65" t="n">
        <f aca="false">R74+R59+R60</f>
        <v>-8333.33333333333</v>
      </c>
      <c r="S75" s="65" t="n">
        <f aca="false">S74+S59+S60</f>
        <v>-8333.33333333333</v>
      </c>
      <c r="T75" s="65" t="n">
        <f aca="false">T74+T59+T60</f>
        <v>-8333.33333333333</v>
      </c>
      <c r="U75" s="65" t="n">
        <f aca="false">U74+U59+U60</f>
        <v>-8333.33333333333</v>
      </c>
      <c r="V75" s="65" t="n">
        <f aca="false">V74+V59+V60</f>
        <v>-8333.33333333333</v>
      </c>
      <c r="W75" s="65" t="n">
        <f aca="false">W74+W59+W60</f>
        <v>-8333.33333333333</v>
      </c>
      <c r="X75" s="65" t="n">
        <f aca="false">X74+X59+X60</f>
        <v>-8333.33333333333</v>
      </c>
      <c r="Y75" s="65" t="n">
        <f aca="false">Y74+Y59+Y60</f>
        <v>-8333.33333333333</v>
      </c>
      <c r="Z75" s="65" t="n">
        <f aca="false">Z74+Z59+Z60</f>
        <v>-8333.33333333333</v>
      </c>
      <c r="AA75" s="65" t="n">
        <f aca="false">AA74+AA59+AA60</f>
        <v>-8333.33333333333</v>
      </c>
      <c r="AB75" s="65" t="n">
        <f aca="false">AB74+AB59+AB60</f>
        <v>-8333.33333333333</v>
      </c>
      <c r="AC75" s="65" t="n">
        <f aca="false">AC74+AC59+AC60</f>
        <v>-8333.33333333333</v>
      </c>
      <c r="AD75" s="65" t="n">
        <f aca="false">AD74+AD59+AD60</f>
        <v>-8333.33333333333</v>
      </c>
      <c r="AE75" s="65" t="n">
        <f aca="false">AE74+AE59+AE60</f>
        <v>-8333.33333333333</v>
      </c>
      <c r="AF75" s="65" t="n">
        <f aca="false">AF74+AF59+AF60</f>
        <v>-8333.33333333333</v>
      </c>
      <c r="AG75" s="65" t="n">
        <f aca="false">AG74+AG59+AG60</f>
        <v>-8333.33333333333</v>
      </c>
      <c r="AH75" s="65" t="n">
        <f aca="false">AH74+AH59+AH60</f>
        <v>-8333.33333333333</v>
      </c>
      <c r="AI75" s="65" t="n">
        <f aca="false">AI74+AI59+AI60</f>
        <v>-8333.33333333333</v>
      </c>
      <c r="AJ75" s="65" t="n">
        <f aca="false">AJ74+AJ59+AJ60</f>
        <v>-8333.33333333333</v>
      </c>
      <c r="AK75" s="65" t="n">
        <f aca="false">AK74+AK59+AK60</f>
        <v>-8333.33333333333</v>
      </c>
      <c r="AL75" s="65" t="n">
        <f aca="false">AL74+AL59+AL60</f>
        <v>-8333.33333333333</v>
      </c>
      <c r="AM75" s="65" t="n">
        <f aca="false">AM74+AM59+AM60</f>
        <v>-8333.33333333333</v>
      </c>
      <c r="AN75" s="65" t="n">
        <f aca="false">AN74+AN59+AN60</f>
        <v>-8333.33333333333</v>
      </c>
      <c r="AO75" s="65" t="n">
        <f aca="false">AO74+AO59+AO60</f>
        <v>-8333.33333333333</v>
      </c>
      <c r="AP75" s="65" t="n">
        <f aca="false">AP74+AP59+AP60</f>
        <v>-8333.33333333333</v>
      </c>
      <c r="AQ75" s="65" t="n">
        <f aca="false">AQ74+AQ59+AQ60</f>
        <v>-8333.33333333333</v>
      </c>
      <c r="AR75" s="65" t="n">
        <f aca="false">AR74+AR59+AR60</f>
        <v>-8333.33333333333</v>
      </c>
      <c r="AS75" s="65" t="n">
        <f aca="false">AS74+AS59+AS60</f>
        <v>-8333.33333333333</v>
      </c>
      <c r="AT75" s="65" t="n">
        <f aca="false">AT74+AT59+AT60</f>
        <v>-8333.33333333333</v>
      </c>
      <c r="AU75" s="65" t="n">
        <f aca="false">AU74+AU59+AU60</f>
        <v>-8333.33333333333</v>
      </c>
      <c r="AV75" s="65" t="n">
        <f aca="false">AV74+AV59+AV60</f>
        <v>-8333.33333333333</v>
      </c>
      <c r="AW75" s="65" t="n">
        <f aca="false">AW74+AW59+AW60</f>
        <v>-8333.33333333333</v>
      </c>
      <c r="AX75" s="65" t="n">
        <f aca="false">AX74+AX59+AX60</f>
        <v>-8333.33333333333</v>
      </c>
      <c r="AY75" s="65" t="n">
        <f aca="false">AY74+AY59+AY60</f>
        <v>-8333.33333333333</v>
      </c>
      <c r="AZ75" s="65" t="n">
        <f aca="false">AZ74+AZ59+AZ60</f>
        <v>-8333.33333333333</v>
      </c>
      <c r="BA75" s="65" t="n">
        <f aca="false">BA74+BA59+BA60</f>
        <v>-8333.33333333333</v>
      </c>
      <c r="BB75" s="65" t="n">
        <f aca="false">BB74+BB59+BB60</f>
        <v>-8333.33333333333</v>
      </c>
      <c r="BC75" s="65" t="n">
        <f aca="false">BC74+BC59+BC60</f>
        <v>-8333.33333333333</v>
      </c>
      <c r="BD75" s="65" t="n">
        <f aca="false">BD74+BD59+BD60</f>
        <v>-8333.33333333333</v>
      </c>
      <c r="BE75" s="65" t="n">
        <f aca="false">BE74+BE59+BE60</f>
        <v>-8333.33333333333</v>
      </c>
      <c r="BF75" s="65" t="n">
        <f aca="false">BF74+BF59+BF60</f>
        <v>-8333.33333333333</v>
      </c>
      <c r="BG75" s="65" t="n">
        <f aca="false">BG74+BG59+BG60</f>
        <v>-8333.33333333333</v>
      </c>
      <c r="BH75" s="65" t="n">
        <f aca="false">BH74+BH59+BH60</f>
        <v>-8333.33333333333</v>
      </c>
      <c r="BI75" s="65" t="n">
        <f aca="false">BI74+BI59+BI60</f>
        <v>-8333.33333333333</v>
      </c>
      <c r="BJ75" s="65" t="n">
        <f aca="false">BJ74+BJ59+BJ60</f>
        <v>-8333.33333333333</v>
      </c>
    </row>
    <row r="76" customFormat="false" ht="15" hidden="false" customHeight="false" outlineLevel="0" collapsed="false">
      <c r="A76" s="110" t="s">
        <v>431</v>
      </c>
      <c r="C76" s="66" t="n">
        <f aca="false">C72+C73+C75</f>
        <v>1354447.62317857</v>
      </c>
      <c r="D76" s="66" t="n">
        <f aca="false">D72+D73+D75</f>
        <v>4656.51071825395</v>
      </c>
      <c r="E76" s="66" t="n">
        <f aca="false">E72+E73+E75</f>
        <v>4700.39960714284</v>
      </c>
      <c r="F76" s="66" t="n">
        <f aca="false">F72+F73+F75</f>
        <v>4744.28849603173</v>
      </c>
      <c r="G76" s="66" t="n">
        <f aca="false">G72+G73+G75</f>
        <v>4788.17738492061</v>
      </c>
      <c r="H76" s="66" t="n">
        <f aca="false">H72+H73+H75</f>
        <v>4832.0662738095</v>
      </c>
      <c r="I76" s="66" t="n">
        <f aca="false">I72+I73+I75</f>
        <v>4875.95516269839</v>
      </c>
      <c r="J76" s="66" t="n">
        <f aca="false">J72+J73+J75</f>
        <v>4919.84405158728</v>
      </c>
      <c r="K76" s="66" t="n">
        <f aca="false">K72+K73+K75</f>
        <v>4963.73294047617</v>
      </c>
      <c r="L76" s="66" t="n">
        <f aca="false">L72+L73+L75</f>
        <v>5007.62182936506</v>
      </c>
      <c r="M76" s="66" t="n">
        <f aca="false">M72+M73+M75</f>
        <v>-27811.849781746</v>
      </c>
      <c r="N76" s="66" t="n">
        <f aca="false">N72+N73+N75</f>
        <v>42148.809107143</v>
      </c>
      <c r="O76" s="66" t="n">
        <f aca="false">O72+O73+O75</f>
        <v>-151968.099718849</v>
      </c>
      <c r="P76" s="66" t="n">
        <f aca="false">P72+P73+P75</f>
        <v>20668.0099200397</v>
      </c>
      <c r="Q76" s="66" t="n">
        <f aca="false">Q72+Q73+Q75</f>
        <v>20711.8988089286</v>
      </c>
      <c r="R76" s="66" t="n">
        <f aca="false">R72+R73+R75</f>
        <v>20755.7876978175</v>
      </c>
      <c r="S76" s="66" t="n">
        <f aca="false">S72+S73+S75</f>
        <v>20799.6765867064</v>
      </c>
      <c r="T76" s="66" t="n">
        <f aca="false">T72+T73+T75</f>
        <v>20843.5654755952</v>
      </c>
      <c r="U76" s="66" t="n">
        <f aca="false">U72+U73+U75</f>
        <v>20887.4543644841</v>
      </c>
      <c r="V76" s="66" t="n">
        <f aca="false">V72+V73+V75</f>
        <v>20931.343253373</v>
      </c>
      <c r="W76" s="66" t="n">
        <f aca="false">W72+W73+W75</f>
        <v>20975.2321422619</v>
      </c>
      <c r="X76" s="66" t="n">
        <f aca="false">X72+X73+X75</f>
        <v>21019.1210311508</v>
      </c>
      <c r="Y76" s="66" t="n">
        <f aca="false">Y72+Y73+Y75</f>
        <v>-22704.6050049603</v>
      </c>
      <c r="Z76" s="66" t="n">
        <f aca="false">Z72+Z73+Z75</f>
        <v>71879.2843839286</v>
      </c>
      <c r="AA76" s="66" t="n">
        <f aca="false">AA72+AA73+AA75</f>
        <v>-126725.518199227</v>
      </c>
      <c r="AB76" s="66" t="n">
        <f aca="false">AB72+AB73+AB75</f>
        <v>38384.3342396618</v>
      </c>
      <c r="AC76" s="66" t="n">
        <f aca="false">AC72+AC73+AC75</f>
        <v>38428.2231285507</v>
      </c>
      <c r="AD76" s="66" t="n">
        <f aca="false">AD72+AD73+AD75</f>
        <v>38472.1120174395</v>
      </c>
      <c r="AE76" s="66" t="n">
        <f aca="false">AE72+AE73+AE75</f>
        <v>38516.0009063284</v>
      </c>
      <c r="AF76" s="66" t="n">
        <f aca="false">AF72+AF73+AF75</f>
        <v>38559.8897952173</v>
      </c>
      <c r="AG76" s="66" t="n">
        <f aca="false">AG72+AG73+AG75</f>
        <v>38603.7786841062</v>
      </c>
      <c r="AH76" s="66" t="n">
        <f aca="false">AH72+AH73+AH75</f>
        <v>38647.6675729951</v>
      </c>
      <c r="AI76" s="66" t="n">
        <f aca="false">AI72+AI73+AI75</f>
        <v>38691.556461884</v>
      </c>
      <c r="AJ76" s="66" t="n">
        <f aca="false">AJ72+AJ73+AJ75</f>
        <v>38735.4453507729</v>
      </c>
      <c r="AK76" s="66" t="n">
        <f aca="false">AK72+AK73+AK75</f>
        <v>-17855.2355803381</v>
      </c>
      <c r="AL76" s="66" t="n">
        <f aca="false">AL72+AL73+AL75</f>
        <v>105479.174508551</v>
      </c>
      <c r="AM76" s="66" t="n">
        <f aca="false">AM72+AM73+AM75</f>
        <v>-99485.2183111669</v>
      </c>
      <c r="AN76" s="66" t="n">
        <f aca="false">AN72+AN73+AN75</f>
        <v>58068.628912722</v>
      </c>
      <c r="AO76" s="66" t="n">
        <f aca="false">AO72+AO73+AO75</f>
        <v>58112.517801611</v>
      </c>
      <c r="AP76" s="66" t="n">
        <f aca="false">AP72+AP73+AP75</f>
        <v>58156.4066904998</v>
      </c>
      <c r="AQ76" s="66" t="n">
        <f aca="false">AQ72+AQ73+AQ75</f>
        <v>58200.2955793887</v>
      </c>
      <c r="AR76" s="66" t="n">
        <f aca="false">AR72+AR73+AR75</f>
        <v>58244.1844682776</v>
      </c>
      <c r="AS76" s="66" t="n">
        <f aca="false">AS72+AS73+AS75</f>
        <v>58288.0733571665</v>
      </c>
      <c r="AT76" s="66" t="n">
        <f aca="false">AT72+AT73+AT75</f>
        <v>58331.9622460554</v>
      </c>
      <c r="AU76" s="66" t="n">
        <f aca="false">AU72+AU73+AU75</f>
        <v>58375.8511349443</v>
      </c>
      <c r="AV76" s="66" t="n">
        <f aca="false">AV72+AV73+AV75</f>
        <v>58419.7400238332</v>
      </c>
      <c r="AW76" s="66" t="n">
        <f aca="false">AW72+AW73+AW75</f>
        <v>-13489.487607778</v>
      </c>
      <c r="AX76" s="66" t="n">
        <f aca="false">AX72+AX73+AX75</f>
        <v>143749.815811111</v>
      </c>
      <c r="AY76" s="66" t="n">
        <f aca="false">AY72+AY73+AY75</f>
        <v>-69966.3562740923</v>
      </c>
      <c r="AZ76" s="66" t="n">
        <f aca="false">AZ72+AZ73+AZ75</f>
        <v>80020.7676039942</v>
      </c>
      <c r="BA76" s="66" t="n">
        <f aca="false">BA72+BA73+BA75</f>
        <v>80064.656492883</v>
      </c>
      <c r="BB76" s="66" t="n">
        <f aca="false">BB72+BB73+BB75</f>
        <v>80108.5453817719</v>
      </c>
      <c r="BC76" s="66" t="n">
        <f aca="false">BC72+BC73+BC75</f>
        <v>80152.4342706608</v>
      </c>
      <c r="BD76" s="66" t="n">
        <f aca="false">BD72+BD73+BD75</f>
        <v>80196.3231595497</v>
      </c>
      <c r="BE76" s="66" t="n">
        <f aca="false">BE72+BE73+BE75</f>
        <v>80240.2120484386</v>
      </c>
      <c r="BF76" s="66" t="n">
        <f aca="false">BF72+BF73+BF75</f>
        <v>80284.1009373275</v>
      </c>
      <c r="BG76" s="66" t="n">
        <f aca="false">BG72+BG73+BG75</f>
        <v>80327.9898262164</v>
      </c>
      <c r="BH76" s="66" t="n">
        <f aca="false">BH72+BH73+BH75</f>
        <v>80371.8787151053</v>
      </c>
      <c r="BI76" s="66" t="n">
        <f aca="false">BI72+BI73+BI75</f>
        <v>-9927.03776587705</v>
      </c>
      <c r="BJ76" s="66" t="n">
        <f aca="false">BJ72+BJ73+BJ75</f>
        <v>187677.802455537</v>
      </c>
    </row>
    <row r="77" customFormat="false" ht="15" hidden="false" customHeight="false" outlineLevel="0" collapsed="false">
      <c r="A77" s="6" t="s">
        <v>341</v>
      </c>
      <c r="C77" s="65" t="n">
        <f aca="false">0</f>
        <v>0</v>
      </c>
      <c r="D77" s="65" t="n">
        <f aca="false">C78</f>
        <v>1354447.62317857</v>
      </c>
      <c r="E77" s="65" t="n">
        <f aca="false">D78</f>
        <v>1359104.13389683</v>
      </c>
      <c r="F77" s="65" t="n">
        <f aca="false">E78</f>
        <v>1363804.53350397</v>
      </c>
      <c r="G77" s="65" t="n">
        <f aca="false">F78</f>
        <v>1368548.822</v>
      </c>
      <c r="H77" s="65" t="n">
        <f aca="false">G78</f>
        <v>1373336.99938492</v>
      </c>
      <c r="I77" s="65" t="n">
        <f aca="false">H78</f>
        <v>1378169.06565873</v>
      </c>
      <c r="J77" s="65" t="n">
        <f aca="false">I78</f>
        <v>1383045.02082143</v>
      </c>
      <c r="K77" s="65" t="n">
        <f aca="false">J78</f>
        <v>1387964.86487302</v>
      </c>
      <c r="L77" s="65" t="n">
        <f aca="false">K78</f>
        <v>1392928.59781349</v>
      </c>
      <c r="M77" s="65" t="n">
        <f aca="false">L78</f>
        <v>1397936.21964286</v>
      </c>
      <c r="N77" s="65" t="n">
        <f aca="false">M78</f>
        <v>1370124.36986111</v>
      </c>
      <c r="O77" s="65" t="n">
        <f aca="false">N78</f>
        <v>1412273.17896825</v>
      </c>
      <c r="P77" s="65" t="n">
        <f aca="false">O78</f>
        <v>1260305.0792494</v>
      </c>
      <c r="Q77" s="65" t="n">
        <f aca="false">P78</f>
        <v>1280973.08916944</v>
      </c>
      <c r="R77" s="65" t="n">
        <f aca="false">Q78</f>
        <v>1301684.98797837</v>
      </c>
      <c r="S77" s="65" t="n">
        <f aca="false">R78</f>
        <v>1322440.77567619</v>
      </c>
      <c r="T77" s="65" t="n">
        <f aca="false">S78</f>
        <v>1343240.4522629</v>
      </c>
      <c r="U77" s="65" t="n">
        <f aca="false">T78</f>
        <v>1364084.01773849</v>
      </c>
      <c r="V77" s="65" t="n">
        <f aca="false">U78</f>
        <v>1384971.47210298</v>
      </c>
      <c r="W77" s="65" t="n">
        <f aca="false">V78</f>
        <v>1405902.81535635</v>
      </c>
      <c r="X77" s="65" t="n">
        <f aca="false">W78</f>
        <v>1426878.04749861</v>
      </c>
      <c r="Y77" s="65" t="n">
        <f aca="false">X78</f>
        <v>1447897.16852976</v>
      </c>
      <c r="Z77" s="65" t="n">
        <f aca="false">Y78</f>
        <v>1425192.5635248</v>
      </c>
      <c r="AA77" s="65" t="n">
        <f aca="false">Z78</f>
        <v>1497071.84790873</v>
      </c>
      <c r="AB77" s="65" t="n">
        <f aca="false">AA78</f>
        <v>1370346.3297095</v>
      </c>
      <c r="AC77" s="65" t="n">
        <f aca="false">AB78</f>
        <v>1408730.66394917</v>
      </c>
      <c r="AD77" s="65" t="n">
        <f aca="false">AC78</f>
        <v>1447158.88707772</v>
      </c>
      <c r="AE77" s="65" t="n">
        <f aca="false">AD78</f>
        <v>1485630.99909516</v>
      </c>
      <c r="AF77" s="65" t="n">
        <f aca="false">AE78</f>
        <v>1524147.00000148</v>
      </c>
      <c r="AG77" s="65" t="n">
        <f aca="false">AF78</f>
        <v>1562706.8897967</v>
      </c>
      <c r="AH77" s="65" t="n">
        <f aca="false">AG78</f>
        <v>1601310.66848081</v>
      </c>
      <c r="AI77" s="65" t="n">
        <f aca="false">AH78</f>
        <v>1639958.3360538</v>
      </c>
      <c r="AJ77" s="65" t="n">
        <f aca="false">AI78</f>
        <v>1678649.89251569</v>
      </c>
      <c r="AK77" s="65" t="n">
        <f aca="false">AJ78</f>
        <v>1717385.33786646</v>
      </c>
      <c r="AL77" s="65" t="n">
        <f aca="false">AK78</f>
        <v>1699530.10228612</v>
      </c>
      <c r="AM77" s="65" t="n">
        <f aca="false">AL78</f>
        <v>1805009.27679467</v>
      </c>
      <c r="AN77" s="65" t="n">
        <f aca="false">AM78</f>
        <v>1705524.0584835</v>
      </c>
      <c r="AO77" s="65" t="n">
        <f aca="false">AN78</f>
        <v>1763592.68739623</v>
      </c>
      <c r="AP77" s="65" t="n">
        <f aca="false">AO78</f>
        <v>1821705.20519784</v>
      </c>
      <c r="AQ77" s="65" t="n">
        <f aca="false">AP78</f>
        <v>1879861.61188834</v>
      </c>
      <c r="AR77" s="65" t="n">
        <f aca="false">AQ78</f>
        <v>1938061.90746773</v>
      </c>
      <c r="AS77" s="65" t="n">
        <f aca="false">AR78</f>
        <v>1996306.091936</v>
      </c>
      <c r="AT77" s="65" t="n">
        <f aca="false">AS78</f>
        <v>2054594.16529317</v>
      </c>
      <c r="AU77" s="65" t="n">
        <f aca="false">AT78</f>
        <v>2112926.12753923</v>
      </c>
      <c r="AV77" s="65" t="n">
        <f aca="false">AU78</f>
        <v>2171301.97867417</v>
      </c>
      <c r="AW77" s="65" t="n">
        <f aca="false">AV78</f>
        <v>2229721.718698</v>
      </c>
      <c r="AX77" s="65" t="n">
        <f aca="false">AW78</f>
        <v>2216232.23109023</v>
      </c>
      <c r="AY77" s="65" t="n">
        <f aca="false">AX78</f>
        <v>2359982.04690134</v>
      </c>
      <c r="AZ77" s="65" t="n">
        <f aca="false">AY78</f>
        <v>2290015.69062724</v>
      </c>
      <c r="BA77" s="65" t="n">
        <f aca="false">AZ78</f>
        <v>2370036.45823124</v>
      </c>
      <c r="BB77" s="65" t="n">
        <f aca="false">BA78</f>
        <v>2450101.11472412</v>
      </c>
      <c r="BC77" s="65" t="n">
        <f aca="false">BB78</f>
        <v>2530209.66010589</v>
      </c>
      <c r="BD77" s="65" t="n">
        <f aca="false">BC78</f>
        <v>2610362.09437655</v>
      </c>
      <c r="BE77" s="65" t="n">
        <f aca="false">BD78</f>
        <v>2690558.4175361</v>
      </c>
      <c r="BF77" s="65" t="n">
        <f aca="false">BE78</f>
        <v>2770798.62958454</v>
      </c>
      <c r="BG77" s="65" t="n">
        <f aca="false">BF78</f>
        <v>2851082.73052187</v>
      </c>
      <c r="BH77" s="65" t="n">
        <f aca="false">BG78</f>
        <v>2931410.72034809</v>
      </c>
      <c r="BI77" s="65" t="n">
        <f aca="false">BH78</f>
        <v>3011782.59906319</v>
      </c>
      <c r="BJ77" s="65" t="n">
        <f aca="false">BI78</f>
        <v>3001855.56129731</v>
      </c>
    </row>
    <row r="78" customFormat="false" ht="15" hidden="false" customHeight="false" outlineLevel="0" collapsed="false">
      <c r="A78" s="110" t="s">
        <v>87</v>
      </c>
      <c r="C78" s="66" t="n">
        <f aca="false">C77+C76</f>
        <v>1354447.62317857</v>
      </c>
      <c r="D78" s="66" t="n">
        <f aca="false">D77+D76</f>
        <v>1359104.13389683</v>
      </c>
      <c r="E78" s="66" t="n">
        <f aca="false">E77+E76</f>
        <v>1363804.53350397</v>
      </c>
      <c r="F78" s="66" t="n">
        <f aca="false">F77+F76</f>
        <v>1368548.822</v>
      </c>
      <c r="G78" s="66" t="n">
        <f aca="false">G77+G76</f>
        <v>1373336.99938492</v>
      </c>
      <c r="H78" s="66" t="n">
        <f aca="false">H77+H76</f>
        <v>1378169.06565873</v>
      </c>
      <c r="I78" s="66" t="n">
        <f aca="false">I77+I76</f>
        <v>1383045.02082143</v>
      </c>
      <c r="J78" s="66" t="n">
        <f aca="false">J77+J76</f>
        <v>1387964.86487302</v>
      </c>
      <c r="K78" s="66" t="n">
        <f aca="false">K77+K76</f>
        <v>1392928.59781349</v>
      </c>
      <c r="L78" s="66" t="n">
        <f aca="false">L77+L76</f>
        <v>1397936.21964286</v>
      </c>
      <c r="M78" s="66" t="n">
        <f aca="false">M77+M76</f>
        <v>1370124.36986111</v>
      </c>
      <c r="N78" s="66" t="n">
        <f aca="false">N77+N76</f>
        <v>1412273.17896825</v>
      </c>
      <c r="O78" s="66" t="n">
        <f aca="false">O77+O76</f>
        <v>1260305.0792494</v>
      </c>
      <c r="P78" s="66" t="n">
        <f aca="false">P77+P76</f>
        <v>1280973.08916944</v>
      </c>
      <c r="Q78" s="66" t="n">
        <f aca="false">Q77+Q76</f>
        <v>1301684.98797837</v>
      </c>
      <c r="R78" s="66" t="n">
        <f aca="false">R77+R76</f>
        <v>1322440.77567619</v>
      </c>
      <c r="S78" s="66" t="n">
        <f aca="false">S77+S76</f>
        <v>1343240.4522629</v>
      </c>
      <c r="T78" s="66" t="n">
        <f aca="false">T77+T76</f>
        <v>1364084.01773849</v>
      </c>
      <c r="U78" s="66" t="n">
        <f aca="false">U77+U76</f>
        <v>1384971.47210298</v>
      </c>
      <c r="V78" s="66" t="n">
        <f aca="false">V77+V76</f>
        <v>1405902.81535635</v>
      </c>
      <c r="W78" s="66" t="n">
        <f aca="false">W77+W76</f>
        <v>1426878.04749861</v>
      </c>
      <c r="X78" s="66" t="n">
        <f aca="false">X77+X76</f>
        <v>1447897.16852976</v>
      </c>
      <c r="Y78" s="66" t="n">
        <f aca="false">Y77+Y76</f>
        <v>1425192.5635248</v>
      </c>
      <c r="Z78" s="66" t="n">
        <f aca="false">Z77+Z76</f>
        <v>1497071.84790873</v>
      </c>
      <c r="AA78" s="66" t="n">
        <f aca="false">AA77+AA76</f>
        <v>1370346.3297095</v>
      </c>
      <c r="AB78" s="66" t="n">
        <f aca="false">AB77+AB76</f>
        <v>1408730.66394917</v>
      </c>
      <c r="AC78" s="66" t="n">
        <f aca="false">AC77+AC76</f>
        <v>1447158.88707772</v>
      </c>
      <c r="AD78" s="66" t="n">
        <f aca="false">AD77+AD76</f>
        <v>1485630.99909516</v>
      </c>
      <c r="AE78" s="66" t="n">
        <f aca="false">AE77+AE76</f>
        <v>1524147.00000148</v>
      </c>
      <c r="AF78" s="66" t="n">
        <f aca="false">AF77+AF76</f>
        <v>1562706.8897967</v>
      </c>
      <c r="AG78" s="66" t="n">
        <f aca="false">AG77+AG76</f>
        <v>1601310.66848081</v>
      </c>
      <c r="AH78" s="66" t="n">
        <f aca="false">AH77+AH76</f>
        <v>1639958.3360538</v>
      </c>
      <c r="AI78" s="66" t="n">
        <f aca="false">AI77+AI76</f>
        <v>1678649.89251569</v>
      </c>
      <c r="AJ78" s="66" t="n">
        <f aca="false">AJ77+AJ76</f>
        <v>1717385.33786646</v>
      </c>
      <c r="AK78" s="66" t="n">
        <f aca="false">AK77+AK76</f>
        <v>1699530.10228612</v>
      </c>
      <c r="AL78" s="66" t="n">
        <f aca="false">AL77+AL76</f>
        <v>1805009.27679467</v>
      </c>
      <c r="AM78" s="66" t="n">
        <f aca="false">AM77+AM76</f>
        <v>1705524.0584835</v>
      </c>
      <c r="AN78" s="66" t="n">
        <f aca="false">AN77+AN76</f>
        <v>1763592.68739623</v>
      </c>
      <c r="AO78" s="66" t="n">
        <f aca="false">AO77+AO76</f>
        <v>1821705.20519784</v>
      </c>
      <c r="AP78" s="66" t="n">
        <f aca="false">AP77+AP76</f>
        <v>1879861.61188834</v>
      </c>
      <c r="AQ78" s="66" t="n">
        <f aca="false">AQ77+AQ76</f>
        <v>1938061.90746773</v>
      </c>
      <c r="AR78" s="66" t="n">
        <f aca="false">AR77+AR76</f>
        <v>1996306.091936</v>
      </c>
      <c r="AS78" s="66" t="n">
        <f aca="false">AS77+AS76</f>
        <v>2054594.16529317</v>
      </c>
      <c r="AT78" s="66" t="n">
        <f aca="false">AT77+AT76</f>
        <v>2112926.12753923</v>
      </c>
      <c r="AU78" s="66" t="n">
        <f aca="false">AU77+AU76</f>
        <v>2171301.97867417</v>
      </c>
      <c r="AV78" s="66" t="n">
        <f aca="false">AV77+AV76</f>
        <v>2229721.718698</v>
      </c>
      <c r="AW78" s="66" t="n">
        <f aca="false">AW77+AW76</f>
        <v>2216232.23109023</v>
      </c>
      <c r="AX78" s="66" t="n">
        <f aca="false">AX77+AX76</f>
        <v>2359982.04690134</v>
      </c>
      <c r="AY78" s="66" t="n">
        <f aca="false">AY77+AY76</f>
        <v>2290015.69062724</v>
      </c>
      <c r="AZ78" s="66" t="n">
        <f aca="false">AZ77+AZ76</f>
        <v>2370036.45823124</v>
      </c>
      <c r="BA78" s="66" t="n">
        <f aca="false">BA77+BA76</f>
        <v>2450101.11472412</v>
      </c>
      <c r="BB78" s="66" t="n">
        <f aca="false">BB77+BB76</f>
        <v>2530209.66010589</v>
      </c>
      <c r="BC78" s="66" t="n">
        <f aca="false">BC77+BC76</f>
        <v>2610362.09437655</v>
      </c>
      <c r="BD78" s="66" t="n">
        <f aca="false">BD77+BD76</f>
        <v>2690558.4175361</v>
      </c>
      <c r="BE78" s="66" t="n">
        <f aca="false">BE77+BE76</f>
        <v>2770798.62958454</v>
      </c>
      <c r="BF78" s="66" t="n">
        <f aca="false">BF77+BF76</f>
        <v>2851082.73052187</v>
      </c>
      <c r="BG78" s="66" t="n">
        <f aca="false">BG77+BG76</f>
        <v>2931410.72034809</v>
      </c>
      <c r="BH78" s="66" t="n">
        <f aca="false">BH77+BH76</f>
        <v>3011782.59906319</v>
      </c>
      <c r="BI78" s="66" t="n">
        <f aca="false">BI77+BI76</f>
        <v>3001855.56129731</v>
      </c>
      <c r="BJ78" s="66" t="n">
        <f aca="false">BJ77+BJ76</f>
        <v>3189533.36375285</v>
      </c>
    </row>
    <row r="79" customFormat="false" ht="15" hidden="false" customHeight="false" outlineLevel="0" collapsed="false">
      <c r="A79" s="117" t="s">
        <v>432</v>
      </c>
      <c r="C79" s="113" t="n">
        <f aca="false">IF(C39&gt;0,1,0)</f>
        <v>1</v>
      </c>
      <c r="D79" s="113" t="n">
        <f aca="false">IF(D39&gt;0,1,0)</f>
        <v>1</v>
      </c>
      <c r="E79" s="113" t="n">
        <f aca="false">IF(E39&gt;0,1,0)</f>
        <v>1</v>
      </c>
      <c r="F79" s="113" t="n">
        <f aca="false">IF(F39&gt;0,1,0)</f>
        <v>1</v>
      </c>
      <c r="G79" s="113" t="n">
        <f aca="false">IF(G39&gt;0,1,0)</f>
        <v>1</v>
      </c>
      <c r="H79" s="113" t="n">
        <f aca="false">IF(H39&gt;0,1,0)</f>
        <v>1</v>
      </c>
      <c r="I79" s="113" t="n">
        <f aca="false">IF(I39&gt;0,1,0)</f>
        <v>1</v>
      </c>
      <c r="J79" s="113" t="n">
        <f aca="false">IF(J39&gt;0,1,0)</f>
        <v>1</v>
      </c>
      <c r="K79" s="113" t="n">
        <f aca="false">IF(K39&gt;0,1,0)</f>
        <v>1</v>
      </c>
      <c r="L79" s="113" t="n">
        <f aca="false">IF(L39&gt;0,1,0)</f>
        <v>1</v>
      </c>
      <c r="M79" s="113" t="n">
        <f aca="false">IF(M39&gt;0,1,0)</f>
        <v>1</v>
      </c>
      <c r="N79" s="113" t="n">
        <f aca="false">IF(N39&gt;0,1,0)</f>
        <v>1</v>
      </c>
      <c r="O79" s="113" t="n">
        <f aca="false">IF(O39&gt;0,1,0)</f>
        <v>1</v>
      </c>
      <c r="P79" s="113" t="n">
        <f aca="false">IF(P39&gt;0,1,0)</f>
        <v>1</v>
      </c>
      <c r="Q79" s="113" t="n">
        <f aca="false">IF(Q39&gt;0,1,0)</f>
        <v>1</v>
      </c>
      <c r="R79" s="113" t="n">
        <f aca="false">IF(R39&gt;0,1,0)</f>
        <v>1</v>
      </c>
      <c r="S79" s="113" t="n">
        <f aca="false">IF(S39&gt;0,1,0)</f>
        <v>1</v>
      </c>
      <c r="T79" s="113" t="n">
        <f aca="false">IF(T39&gt;0,1,0)</f>
        <v>1</v>
      </c>
      <c r="U79" s="113" t="n">
        <f aca="false">IF(U39&gt;0,1,0)</f>
        <v>1</v>
      </c>
      <c r="V79" s="113" t="n">
        <f aca="false">IF(V39&gt;0,1,0)</f>
        <v>1</v>
      </c>
      <c r="W79" s="113" t="n">
        <f aca="false">IF(W39&gt;0,1,0)</f>
        <v>1</v>
      </c>
      <c r="X79" s="113" t="n">
        <f aca="false">IF(X39&gt;0,1,0)</f>
        <v>1</v>
      </c>
      <c r="Y79" s="113" t="n">
        <f aca="false">IF(Y39&gt;0,1,0)</f>
        <v>1</v>
      </c>
      <c r="Z79" s="113" t="n">
        <f aca="false">IF(Z39&gt;0,1,0)</f>
        <v>1</v>
      </c>
      <c r="AA79" s="113" t="n">
        <f aca="false">IF(AA39&gt;0,1,0)</f>
        <v>1</v>
      </c>
      <c r="AB79" s="113" t="n">
        <f aca="false">IF(AB39&gt;0,1,0)</f>
        <v>1</v>
      </c>
      <c r="AC79" s="113" t="n">
        <f aca="false">IF(AC39&gt;0,1,0)</f>
        <v>1</v>
      </c>
      <c r="AD79" s="113" t="n">
        <f aca="false">IF(AD39&gt;0,1,0)</f>
        <v>1</v>
      </c>
      <c r="AE79" s="113" t="n">
        <f aca="false">IF(AE39&gt;0,1,0)</f>
        <v>1</v>
      </c>
      <c r="AF79" s="113" t="n">
        <f aca="false">IF(AF39&gt;0,1,0)</f>
        <v>1</v>
      </c>
      <c r="AG79" s="113" t="n">
        <f aca="false">IF(AG39&gt;0,1,0)</f>
        <v>1</v>
      </c>
      <c r="AH79" s="113" t="n">
        <f aca="false">IF(AH39&gt;0,1,0)</f>
        <v>1</v>
      </c>
      <c r="AI79" s="113" t="n">
        <f aca="false">IF(AI39&gt;0,1,0)</f>
        <v>1</v>
      </c>
      <c r="AJ79" s="113" t="n">
        <f aca="false">IF(AJ39&gt;0,1,0)</f>
        <v>1</v>
      </c>
      <c r="AK79" s="113" t="n">
        <f aca="false">IF(AK39&gt;0,1,0)</f>
        <v>1</v>
      </c>
      <c r="AL79" s="113" t="n">
        <f aca="false">IF(AL39&gt;0,1,0)</f>
        <v>1</v>
      </c>
      <c r="AM79" s="113" t="n">
        <f aca="false">IF(AM39&gt;0,1,0)</f>
        <v>1</v>
      </c>
      <c r="AN79" s="113" t="n">
        <f aca="false">IF(AN39&gt;0,1,0)</f>
        <v>1</v>
      </c>
      <c r="AO79" s="113" t="n">
        <f aca="false">IF(AO39&gt;0,1,0)</f>
        <v>1</v>
      </c>
      <c r="AP79" s="113" t="n">
        <f aca="false">IF(AP39&gt;0,1,0)</f>
        <v>1</v>
      </c>
      <c r="AQ79" s="113" t="n">
        <f aca="false">IF(AQ39&gt;0,1,0)</f>
        <v>1</v>
      </c>
      <c r="AR79" s="113" t="n">
        <f aca="false">IF(AR39&gt;0,1,0)</f>
        <v>1</v>
      </c>
      <c r="AS79" s="113" t="n">
        <f aca="false">IF(AS39&gt;0,1,0)</f>
        <v>1</v>
      </c>
      <c r="AT79" s="113" t="n">
        <f aca="false">IF(AT39&gt;0,1,0)</f>
        <v>1</v>
      </c>
      <c r="AU79" s="113" t="n">
        <f aca="false">IF(AU39&gt;0,1,0)</f>
        <v>1</v>
      </c>
      <c r="AV79" s="113" t="n">
        <f aca="false">IF(AV39&gt;0,1,0)</f>
        <v>1</v>
      </c>
      <c r="AW79" s="113" t="n">
        <f aca="false">IF(AW39&gt;0,1,0)</f>
        <v>1</v>
      </c>
      <c r="AX79" s="113" t="n">
        <f aca="false">IF(AX39&gt;0,1,0)</f>
        <v>1</v>
      </c>
      <c r="AY79" s="113" t="n">
        <f aca="false">IF(AY39&gt;0,1,0)</f>
        <v>1</v>
      </c>
      <c r="AZ79" s="113" t="n">
        <f aca="false">IF(AZ39&gt;0,1,0)</f>
        <v>1</v>
      </c>
      <c r="BA79" s="113" t="n">
        <f aca="false">IF(BA39&gt;0,1,0)</f>
        <v>1</v>
      </c>
      <c r="BB79" s="113" t="n">
        <f aca="false">IF(BB39&gt;0,1,0)</f>
        <v>1</v>
      </c>
      <c r="BC79" s="113" t="n">
        <f aca="false">IF(BC39&gt;0,1,0)</f>
        <v>1</v>
      </c>
      <c r="BD79" s="113" t="n">
        <f aca="false">IF(BD39&gt;0,1,0)</f>
        <v>1</v>
      </c>
      <c r="BE79" s="113" t="n">
        <f aca="false">IF(BE39&gt;0,1,0)</f>
        <v>1</v>
      </c>
      <c r="BF79" s="113" t="n">
        <f aca="false">IF(BF39&gt;0,1,0)</f>
        <v>1</v>
      </c>
      <c r="BG79" s="113" t="n">
        <f aca="false">IF(BG39&gt;0,1,0)</f>
        <v>1</v>
      </c>
      <c r="BH79" s="113" t="n">
        <f aca="false">IF(BH39&gt;0,1,0)</f>
        <v>1</v>
      </c>
      <c r="BI79" s="113" t="n">
        <f aca="false">IF(BI39&gt;0,1,0)</f>
        <v>1</v>
      </c>
      <c r="BJ79" s="113" t="n">
        <f aca="false">IF(BJ39&gt;0,1,0)</f>
        <v>1</v>
      </c>
    </row>
    <row r="81" customFormat="false" ht="15.75" hidden="false" customHeight="true" outlineLevel="0" collapsed="false">
      <c r="A81" s="7" t="s">
        <v>433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customFormat="false" ht="15" hidden="false" customHeight="false" outlineLevel="0" collapsed="false">
      <c r="A82" s="117" t="s">
        <v>434</v>
      </c>
      <c r="C82" s="113" t="n">
        <f aca="false">IF(C48&gt;0,1,0)</f>
        <v>1</v>
      </c>
      <c r="D82" s="113" t="n">
        <f aca="false">IF(D48&gt;0,1,0)</f>
        <v>1</v>
      </c>
      <c r="E82" s="113" t="n">
        <f aca="false">IF(E48&gt;0,1,0)</f>
        <v>1</v>
      </c>
      <c r="F82" s="113" t="n">
        <f aca="false">IF(F48&gt;0,1,0)</f>
        <v>1</v>
      </c>
      <c r="G82" s="113" t="n">
        <f aca="false">IF(G48&gt;0,1,0)</f>
        <v>1</v>
      </c>
      <c r="H82" s="113" t="n">
        <f aca="false">IF(H48&gt;0,1,0)</f>
        <v>1</v>
      </c>
      <c r="I82" s="113" t="n">
        <f aca="false">IF(I48&gt;0,1,0)</f>
        <v>1</v>
      </c>
      <c r="J82" s="113" t="n">
        <f aca="false">IF(J48&gt;0,1,0)</f>
        <v>1</v>
      </c>
      <c r="K82" s="113" t="n">
        <f aca="false">IF(K48&gt;0,1,0)</f>
        <v>1</v>
      </c>
      <c r="L82" s="113" t="n">
        <f aca="false">IF(L48&gt;0,1,0)</f>
        <v>1</v>
      </c>
      <c r="M82" s="113" t="n">
        <f aca="false">IF(M48&gt;0,1,0)</f>
        <v>1</v>
      </c>
      <c r="N82" s="113" t="n">
        <f aca="false">IF(N48&gt;0,1,0)</f>
        <v>1</v>
      </c>
      <c r="O82" s="113" t="n">
        <f aca="false">IF(O48&gt;0,1,0)</f>
        <v>1</v>
      </c>
      <c r="P82" s="113" t="n">
        <f aca="false">IF(P48&gt;0,1,0)</f>
        <v>1</v>
      </c>
      <c r="Q82" s="113" t="n">
        <f aca="false">IF(Q48&gt;0,1,0)</f>
        <v>1</v>
      </c>
      <c r="R82" s="113" t="n">
        <f aca="false">IF(R48&gt;0,1,0)</f>
        <v>1</v>
      </c>
      <c r="S82" s="113" t="n">
        <f aca="false">IF(S48&gt;0,1,0)</f>
        <v>1</v>
      </c>
      <c r="T82" s="113" t="n">
        <f aca="false">IF(T48&gt;0,1,0)</f>
        <v>1</v>
      </c>
      <c r="U82" s="113" t="n">
        <f aca="false">IF(U48&gt;0,1,0)</f>
        <v>1</v>
      </c>
      <c r="V82" s="113" t="n">
        <f aca="false">IF(V48&gt;0,1,0)</f>
        <v>1</v>
      </c>
      <c r="W82" s="113" t="n">
        <f aca="false">IF(W48&gt;0,1,0)</f>
        <v>1</v>
      </c>
      <c r="X82" s="113" t="n">
        <f aca="false">IF(X48&gt;0,1,0)</f>
        <v>1</v>
      </c>
      <c r="Y82" s="113" t="n">
        <f aca="false">IF(Y48&gt;0,1,0)</f>
        <v>1</v>
      </c>
      <c r="Z82" s="113" t="n">
        <f aca="false">IF(Z48&gt;0,1,0)</f>
        <v>1</v>
      </c>
      <c r="AA82" s="113" t="n">
        <f aca="false">IF(AA48&gt;0,1,0)</f>
        <v>1</v>
      </c>
      <c r="AB82" s="113" t="n">
        <f aca="false">IF(AB48&gt;0,1,0)</f>
        <v>1</v>
      </c>
      <c r="AC82" s="113" t="n">
        <f aca="false">IF(AC48&gt;0,1,0)</f>
        <v>1</v>
      </c>
      <c r="AD82" s="113" t="n">
        <f aca="false">IF(AD48&gt;0,1,0)</f>
        <v>1</v>
      </c>
      <c r="AE82" s="113" t="n">
        <f aca="false">IF(AE48&gt;0,1,0)</f>
        <v>1</v>
      </c>
      <c r="AF82" s="113" t="n">
        <f aca="false">IF(AF48&gt;0,1,0)</f>
        <v>1</v>
      </c>
      <c r="AG82" s="113" t="n">
        <f aca="false">IF(AG48&gt;0,1,0)</f>
        <v>1</v>
      </c>
      <c r="AH82" s="113" t="n">
        <f aca="false">IF(AH48&gt;0,1,0)</f>
        <v>1</v>
      </c>
      <c r="AI82" s="113" t="n">
        <f aca="false">IF(AI48&gt;0,1,0)</f>
        <v>1</v>
      </c>
      <c r="AJ82" s="113" t="n">
        <f aca="false">IF(AJ48&gt;0,1,0)</f>
        <v>1</v>
      </c>
      <c r="AK82" s="113" t="n">
        <f aca="false">IF(AK48&gt;0,1,0)</f>
        <v>1</v>
      </c>
      <c r="AL82" s="113" t="n">
        <f aca="false">IF(AL48&gt;0,1,0)</f>
        <v>1</v>
      </c>
      <c r="AM82" s="113" t="n">
        <f aca="false">IF(AM48&gt;0,1,0)</f>
        <v>1</v>
      </c>
      <c r="AN82" s="113" t="n">
        <f aca="false">IF(AN48&gt;0,1,0)</f>
        <v>1</v>
      </c>
      <c r="AO82" s="113" t="n">
        <f aca="false">IF(AO48&gt;0,1,0)</f>
        <v>1</v>
      </c>
      <c r="AP82" s="113" t="n">
        <f aca="false">IF(AP48&gt;0,1,0)</f>
        <v>1</v>
      </c>
      <c r="AQ82" s="113" t="n">
        <f aca="false">IF(AQ48&gt;0,1,0)</f>
        <v>1</v>
      </c>
      <c r="AR82" s="113" t="n">
        <f aca="false">IF(AR48&gt;0,1,0)</f>
        <v>1</v>
      </c>
      <c r="AS82" s="113" t="n">
        <f aca="false">IF(AS48&gt;0,1,0)</f>
        <v>1</v>
      </c>
      <c r="AT82" s="113" t="n">
        <f aca="false">IF(AT48&gt;0,1,0)</f>
        <v>1</v>
      </c>
      <c r="AU82" s="113" t="n">
        <f aca="false">IF(AU48&gt;0,1,0)</f>
        <v>1</v>
      </c>
      <c r="AV82" s="113" t="n">
        <f aca="false">IF(AV48&gt;0,1,0)</f>
        <v>1</v>
      </c>
      <c r="AW82" s="113" t="n">
        <f aca="false">IF(AW48&gt;0,1,0)</f>
        <v>1</v>
      </c>
      <c r="AX82" s="113" t="n">
        <f aca="false">IF(AX48&gt;0,1,0)</f>
        <v>1</v>
      </c>
      <c r="AY82" s="113" t="n">
        <f aca="false">IF(AY48&gt;0,1,0)</f>
        <v>1</v>
      </c>
      <c r="AZ82" s="113" t="n">
        <f aca="false">IF(AZ48&gt;0,1,0)</f>
        <v>1</v>
      </c>
      <c r="BA82" s="113" t="n">
        <f aca="false">IF(BA48&gt;0,1,0)</f>
        <v>1</v>
      </c>
      <c r="BB82" s="113" t="n">
        <f aca="false">IF(BB48&gt;0,1,0)</f>
        <v>1</v>
      </c>
      <c r="BC82" s="113" t="n">
        <f aca="false">IF(BC48&gt;0,1,0)</f>
        <v>1</v>
      </c>
      <c r="BD82" s="113" t="n">
        <f aca="false">IF(BD48&gt;0,1,0)</f>
        <v>1</v>
      </c>
      <c r="BE82" s="113" t="n">
        <f aca="false">IF(BE48&gt;0,1,0)</f>
        <v>1</v>
      </c>
      <c r="BF82" s="113" t="n">
        <f aca="false">IF(BF48&gt;0,1,0)</f>
        <v>1</v>
      </c>
      <c r="BG82" s="113" t="n">
        <f aca="false">IF(BG48&gt;0,1,0)</f>
        <v>1</v>
      </c>
      <c r="BH82" s="113" t="n">
        <f aca="false">IF(BH48&gt;0,1,0)</f>
        <v>1</v>
      </c>
      <c r="BI82" s="113" t="n">
        <f aca="false">IF(BI48&gt;0,1,0)</f>
        <v>1</v>
      </c>
      <c r="BJ82" s="113" t="n">
        <f aca="false">IF(BJ48&gt;0,1,0)</f>
        <v>1</v>
      </c>
    </row>
    <row r="83" customFormat="false" ht="15" hidden="false" customHeight="false" outlineLevel="0" collapsed="false">
      <c r="A83" s="6" t="s">
        <v>435</v>
      </c>
      <c r="C83" s="65" t="n">
        <f aca="false">C72+C73</f>
        <v>-645552.376821429</v>
      </c>
      <c r="D83" s="65" t="n">
        <f aca="false">D72+D73</f>
        <v>12989.8440515873</v>
      </c>
      <c r="E83" s="65" t="n">
        <f aca="false">E72+E73</f>
        <v>13033.7329404762</v>
      </c>
      <c r="F83" s="65" t="n">
        <f aca="false">F72+F73</f>
        <v>13077.6218293651</v>
      </c>
      <c r="G83" s="65" t="n">
        <f aca="false">G72+G73</f>
        <v>13121.5107182539</v>
      </c>
      <c r="H83" s="65" t="n">
        <f aca="false">H72+H73</f>
        <v>13165.3996071428</v>
      </c>
      <c r="I83" s="65" t="n">
        <f aca="false">I72+I73</f>
        <v>13209.2884960317</v>
      </c>
      <c r="J83" s="65" t="n">
        <f aca="false">J72+J73</f>
        <v>13253.1773849206</v>
      </c>
      <c r="K83" s="65" t="n">
        <f aca="false">K72+K73</f>
        <v>13297.0662738095</v>
      </c>
      <c r="L83" s="65" t="n">
        <f aca="false">L72+L73</f>
        <v>13340.9551626984</v>
      </c>
      <c r="M83" s="65" t="n">
        <f aca="false">M72+M73</f>
        <v>-19478.5164484127</v>
      </c>
      <c r="N83" s="65" t="n">
        <f aca="false">N72+N73</f>
        <v>50482.1424404763</v>
      </c>
      <c r="O83" s="65" t="n">
        <f aca="false">O72+O73</f>
        <v>-143634.766385516</v>
      </c>
      <c r="P83" s="65" t="n">
        <f aca="false">P72+P73</f>
        <v>29001.343253373</v>
      </c>
      <c r="Q83" s="65" t="n">
        <f aca="false">Q72+Q73</f>
        <v>29045.2321422619</v>
      </c>
      <c r="R83" s="65" t="n">
        <f aca="false">R72+R73</f>
        <v>29089.1210311508</v>
      </c>
      <c r="S83" s="65" t="n">
        <f aca="false">S72+S73</f>
        <v>29133.0099200397</v>
      </c>
      <c r="T83" s="65" t="n">
        <f aca="false">T72+T73</f>
        <v>29176.8988089286</v>
      </c>
      <c r="U83" s="65" t="n">
        <f aca="false">U72+U73</f>
        <v>29220.7876978175</v>
      </c>
      <c r="V83" s="65" t="n">
        <f aca="false">V72+V73</f>
        <v>29264.6765867064</v>
      </c>
      <c r="W83" s="65" t="n">
        <f aca="false">W72+W73</f>
        <v>29308.5654755952</v>
      </c>
      <c r="X83" s="65" t="n">
        <f aca="false">X72+X73</f>
        <v>29352.4543644841</v>
      </c>
      <c r="Y83" s="65" t="n">
        <f aca="false">Y72+Y73</f>
        <v>-14371.2716716269</v>
      </c>
      <c r="Z83" s="65" t="n">
        <f aca="false">Z72+Z73</f>
        <v>80212.6177172619</v>
      </c>
      <c r="AA83" s="65" t="n">
        <f aca="false">AA72+AA73</f>
        <v>-118392.184865894</v>
      </c>
      <c r="AB83" s="65" t="n">
        <f aca="false">AB72+AB73</f>
        <v>46717.6675729951</v>
      </c>
      <c r="AC83" s="65" t="n">
        <f aca="false">AC72+AC73</f>
        <v>46761.556461884</v>
      </c>
      <c r="AD83" s="65" t="n">
        <f aca="false">AD72+AD73</f>
        <v>46805.4453507729</v>
      </c>
      <c r="AE83" s="65" t="n">
        <f aca="false">AE72+AE73</f>
        <v>46849.3342396618</v>
      </c>
      <c r="AF83" s="65" t="n">
        <f aca="false">AF72+AF73</f>
        <v>46893.2231285506</v>
      </c>
      <c r="AG83" s="65" t="n">
        <f aca="false">AG72+AG73</f>
        <v>46937.1120174396</v>
      </c>
      <c r="AH83" s="65" t="n">
        <f aca="false">AH72+AH73</f>
        <v>46981.0009063284</v>
      </c>
      <c r="AI83" s="65" t="n">
        <f aca="false">AI72+AI73</f>
        <v>47024.8897952173</v>
      </c>
      <c r="AJ83" s="65" t="n">
        <f aca="false">AJ72+AJ73</f>
        <v>47068.7786841062</v>
      </c>
      <c r="AK83" s="65" t="n">
        <f aca="false">AK72+AK73</f>
        <v>-9521.90224700479</v>
      </c>
      <c r="AL83" s="65" t="n">
        <f aca="false">AL72+AL73</f>
        <v>113812.507841884</v>
      </c>
      <c r="AM83" s="65" t="n">
        <f aca="false">AM72+AM73</f>
        <v>-91151.8849778336</v>
      </c>
      <c r="AN83" s="65" t="n">
        <f aca="false">AN72+AN73</f>
        <v>66401.9622460554</v>
      </c>
      <c r="AO83" s="65" t="n">
        <f aca="false">AO72+AO73</f>
        <v>66445.8511349443</v>
      </c>
      <c r="AP83" s="65" t="n">
        <f aca="false">AP72+AP73</f>
        <v>66489.7400238332</v>
      </c>
      <c r="AQ83" s="65" t="n">
        <f aca="false">AQ72+AQ73</f>
        <v>66533.6289127221</v>
      </c>
      <c r="AR83" s="65" t="n">
        <f aca="false">AR72+AR73</f>
        <v>66577.517801611</v>
      </c>
      <c r="AS83" s="65" t="n">
        <f aca="false">AS72+AS73</f>
        <v>66621.4066904998</v>
      </c>
      <c r="AT83" s="65" t="n">
        <f aca="false">AT72+AT73</f>
        <v>66665.2955793887</v>
      </c>
      <c r="AU83" s="65" t="n">
        <f aca="false">AU72+AU73</f>
        <v>66709.1844682776</v>
      </c>
      <c r="AV83" s="65" t="n">
        <f aca="false">AV72+AV73</f>
        <v>66753.0733571665</v>
      </c>
      <c r="AW83" s="65" t="n">
        <f aca="false">AW72+AW73</f>
        <v>-5156.15427444465</v>
      </c>
      <c r="AX83" s="65" t="n">
        <f aca="false">AX72+AX73</f>
        <v>152083.149144444</v>
      </c>
      <c r="AY83" s="65" t="n">
        <f aca="false">AY72+AY73</f>
        <v>-61633.0229407589</v>
      </c>
      <c r="AZ83" s="65" t="n">
        <f aca="false">AZ72+AZ73</f>
        <v>88354.1009373275</v>
      </c>
      <c r="BA83" s="65" t="n">
        <f aca="false">BA72+BA73</f>
        <v>88397.9898262163</v>
      </c>
      <c r="BB83" s="65" t="n">
        <f aca="false">BB72+BB73</f>
        <v>88441.8787151052</v>
      </c>
      <c r="BC83" s="65" t="n">
        <f aca="false">BC72+BC73</f>
        <v>88485.7676039941</v>
      </c>
      <c r="BD83" s="65" t="n">
        <f aca="false">BD72+BD73</f>
        <v>88529.656492883</v>
      </c>
      <c r="BE83" s="65" t="n">
        <f aca="false">BE72+BE73</f>
        <v>88573.5453817719</v>
      </c>
      <c r="BF83" s="65" t="n">
        <f aca="false">BF72+BF73</f>
        <v>88617.4342706608</v>
      </c>
      <c r="BG83" s="65" t="n">
        <f aca="false">BG72+BG73</f>
        <v>88661.3231595497</v>
      </c>
      <c r="BH83" s="65" t="n">
        <f aca="false">BH72+BH73</f>
        <v>88705.2120484386</v>
      </c>
      <c r="BI83" s="65" t="n">
        <f aca="false">BI72+BI73</f>
        <v>-1593.70443254372</v>
      </c>
      <c r="BJ83" s="65" t="n">
        <f aca="false">BJ72+BJ73</f>
        <v>196011.13578887</v>
      </c>
    </row>
    <row r="84" customFormat="false" ht="15" hidden="false" customHeight="false" outlineLevel="0" collapsed="false">
      <c r="A84" s="6" t="s">
        <v>436</v>
      </c>
      <c r="C84" s="65" t="n">
        <f aca="false">C83</f>
        <v>-645552.376821429</v>
      </c>
      <c r="D84" s="65" t="n">
        <f aca="false">C84+D83</f>
        <v>-632562.532769841</v>
      </c>
      <c r="E84" s="65" t="n">
        <f aca="false">D84+E83</f>
        <v>-619528.799829365</v>
      </c>
      <c r="F84" s="65" t="n">
        <f aca="false">E84+F83</f>
        <v>-606451.178</v>
      </c>
      <c r="G84" s="65" t="n">
        <f aca="false">F84+G83</f>
        <v>-593329.667281746</v>
      </c>
      <c r="H84" s="65" t="n">
        <f aca="false">G84+H83</f>
        <v>-580164.267674603</v>
      </c>
      <c r="I84" s="65" t="n">
        <f aca="false">H84+I83</f>
        <v>-566954.979178572</v>
      </c>
      <c r="J84" s="65" t="n">
        <f aca="false">I84+J83</f>
        <v>-553701.801793651</v>
      </c>
      <c r="K84" s="65" t="n">
        <f aca="false">J84+K83</f>
        <v>-540404.735519841</v>
      </c>
      <c r="L84" s="65" t="n">
        <f aca="false">K84+L83</f>
        <v>-527063.780357143</v>
      </c>
      <c r="M84" s="65" t="n">
        <f aca="false">L84+M83</f>
        <v>-546542.296805556</v>
      </c>
      <c r="N84" s="65" t="n">
        <f aca="false">M84+N83</f>
        <v>-496060.154365079</v>
      </c>
      <c r="O84" s="65" t="n">
        <f aca="false">N84+O83</f>
        <v>-639694.920750595</v>
      </c>
      <c r="P84" s="65" t="n">
        <f aca="false">O84+P83</f>
        <v>-610693.577497222</v>
      </c>
      <c r="Q84" s="65" t="n">
        <f aca="false">P84+Q83</f>
        <v>-581648.34535496</v>
      </c>
      <c r="R84" s="65" t="n">
        <f aca="false">Q84+R83</f>
        <v>-552559.22432381</v>
      </c>
      <c r="S84" s="65" t="n">
        <f aca="false">R84+S83</f>
        <v>-523426.21440377</v>
      </c>
      <c r="T84" s="65" t="n">
        <f aca="false">S84+T83</f>
        <v>-494249.315594841</v>
      </c>
      <c r="U84" s="65" t="n">
        <f aca="false">T84+U83</f>
        <v>-465028.527897024</v>
      </c>
      <c r="V84" s="65" t="n">
        <f aca="false">U84+V83</f>
        <v>-435763.851310317</v>
      </c>
      <c r="W84" s="65" t="n">
        <f aca="false">V84+W83</f>
        <v>-406455.285834722</v>
      </c>
      <c r="X84" s="65" t="n">
        <f aca="false">W84+X83</f>
        <v>-377102.831470238</v>
      </c>
      <c r="Y84" s="65" t="n">
        <f aca="false">X84+Y83</f>
        <v>-391474.103141865</v>
      </c>
      <c r="Z84" s="65" t="n">
        <f aca="false">Y84+Z83</f>
        <v>-311261.485424603</v>
      </c>
      <c r="AA84" s="65" t="n">
        <f aca="false">Z84+AA83</f>
        <v>-429653.670290497</v>
      </c>
      <c r="AB84" s="65" t="n">
        <f aca="false">AA84+AB83</f>
        <v>-382936.002717502</v>
      </c>
      <c r="AC84" s="65" t="n">
        <f aca="false">AB84+AC83</f>
        <v>-336174.446255618</v>
      </c>
      <c r="AD84" s="65" t="n">
        <f aca="false">AC84+AD83</f>
        <v>-289369.000904845</v>
      </c>
      <c r="AE84" s="65" t="n">
        <f aca="false">AD84+AE83</f>
        <v>-242519.666665183</v>
      </c>
      <c r="AF84" s="65" t="n">
        <f aca="false">AE84+AF83</f>
        <v>-195626.443536632</v>
      </c>
      <c r="AG84" s="65" t="n">
        <f aca="false">AF84+AG83</f>
        <v>-148689.331519193</v>
      </c>
      <c r="AH84" s="65" t="n">
        <f aca="false">AG84+AH83</f>
        <v>-101708.330612864</v>
      </c>
      <c r="AI84" s="65" t="n">
        <f aca="false">AH84+AI83</f>
        <v>-54683.4408176472</v>
      </c>
      <c r="AJ84" s="65" t="n">
        <f aca="false">AI84+AJ83</f>
        <v>-7614.66213354094</v>
      </c>
      <c r="AK84" s="65" t="n">
        <f aca="false">AJ84+AK83</f>
        <v>-17136.5643805457</v>
      </c>
      <c r="AL84" s="65" t="n">
        <f aca="false">AK84+AL83</f>
        <v>96675.9434613383</v>
      </c>
      <c r="AM84" s="65" t="n">
        <f aca="false">AL84+AM83</f>
        <v>5524.05848350468</v>
      </c>
      <c r="AN84" s="65" t="n">
        <f aca="false">AM84+AN83</f>
        <v>71926.0207295601</v>
      </c>
      <c r="AO84" s="65" t="n">
        <f aca="false">AN84+AO83</f>
        <v>138371.871864504</v>
      </c>
      <c r="AP84" s="65" t="n">
        <f aca="false">AO84+AP83</f>
        <v>204861.611888338</v>
      </c>
      <c r="AQ84" s="65" t="n">
        <f aca="false">AP84+AQ83</f>
        <v>271395.24080106</v>
      </c>
      <c r="AR84" s="65" t="n">
        <f aca="false">AQ84+AR83</f>
        <v>337972.758602671</v>
      </c>
      <c r="AS84" s="65" t="n">
        <f aca="false">AR84+AS83</f>
        <v>404594.165293171</v>
      </c>
      <c r="AT84" s="65" t="n">
        <f aca="false">AS84+AT83</f>
        <v>471259.460872559</v>
      </c>
      <c r="AU84" s="65" t="n">
        <f aca="false">AT84+AU83</f>
        <v>537968.645340837</v>
      </c>
      <c r="AV84" s="65" t="n">
        <f aca="false">AU84+AV83</f>
        <v>604721.718698003</v>
      </c>
      <c r="AW84" s="65" t="n">
        <f aca="false">AV84+AW83</f>
        <v>599565.564423559</v>
      </c>
      <c r="AX84" s="65" t="n">
        <f aca="false">AW84+AX83</f>
        <v>751648.713568003</v>
      </c>
      <c r="AY84" s="65" t="n">
        <f aca="false">AX84+AY83</f>
        <v>690015.690627244</v>
      </c>
      <c r="AZ84" s="65" t="n">
        <f aca="false">AY84+AZ83</f>
        <v>778369.791564571</v>
      </c>
      <c r="BA84" s="65" t="n">
        <f aca="false">AZ84+BA83</f>
        <v>866767.781390788</v>
      </c>
      <c r="BB84" s="65" t="n">
        <f aca="false">BA84+BB83</f>
        <v>955209.660105893</v>
      </c>
      <c r="BC84" s="65" t="n">
        <f aca="false">BB84+BC83</f>
        <v>1043695.42770989</v>
      </c>
      <c r="BD84" s="65" t="n">
        <f aca="false">BC84+BD83</f>
        <v>1132225.08420277</v>
      </c>
      <c r="BE84" s="65" t="n">
        <f aca="false">BD84+BE83</f>
        <v>1220798.62958454</v>
      </c>
      <c r="BF84" s="65" t="n">
        <f aca="false">BE84+BF83</f>
        <v>1309416.0638552</v>
      </c>
      <c r="BG84" s="65" t="n">
        <f aca="false">BF84+BG83</f>
        <v>1398077.38701475</v>
      </c>
      <c r="BH84" s="65" t="n">
        <f aca="false">BG84+BH83</f>
        <v>1486782.59906319</v>
      </c>
      <c r="BI84" s="65" t="n">
        <f aca="false">BH84+BI83</f>
        <v>1485188.89463065</v>
      </c>
      <c r="BJ84" s="65" t="n">
        <f aca="false">BI84+BJ83</f>
        <v>1681200.03041952</v>
      </c>
    </row>
    <row r="85" customFormat="false" ht="15" hidden="false" customHeight="false" outlineLevel="0" collapsed="false">
      <c r="A85" s="117" t="s">
        <v>437</v>
      </c>
      <c r="C85" s="65" t="n">
        <f aca="false">C84</f>
        <v>-645552.376821429</v>
      </c>
      <c r="D85" s="65" t="n">
        <f aca="false">MIN(C85,D84)</f>
        <v>-645552.376821429</v>
      </c>
      <c r="E85" s="65" t="n">
        <f aca="false">MIN(D85,E84)</f>
        <v>-645552.376821429</v>
      </c>
      <c r="F85" s="65" t="n">
        <f aca="false">MIN(E85,F84)</f>
        <v>-645552.376821429</v>
      </c>
      <c r="G85" s="65" t="n">
        <f aca="false">MIN(F85,G84)</f>
        <v>-645552.376821429</v>
      </c>
      <c r="H85" s="65" t="n">
        <f aca="false">MIN(G85,H84)</f>
        <v>-645552.376821429</v>
      </c>
      <c r="I85" s="65" t="n">
        <f aca="false">MIN(H85,I84)</f>
        <v>-645552.376821429</v>
      </c>
      <c r="J85" s="65" t="n">
        <f aca="false">MIN(I85,J84)</f>
        <v>-645552.376821429</v>
      </c>
      <c r="K85" s="65" t="n">
        <f aca="false">MIN(J85,K84)</f>
        <v>-645552.376821429</v>
      </c>
      <c r="L85" s="65" t="n">
        <f aca="false">MIN(K85,L84)</f>
        <v>-645552.376821429</v>
      </c>
      <c r="M85" s="65" t="n">
        <f aca="false">MIN(L85,M84)</f>
        <v>-645552.376821429</v>
      </c>
      <c r="N85" s="65" t="n">
        <f aca="false">MIN(M85,N84)</f>
        <v>-645552.376821429</v>
      </c>
      <c r="O85" s="65" t="n">
        <f aca="false">MIN(N85,O84)</f>
        <v>-645552.376821429</v>
      </c>
      <c r="P85" s="65" t="n">
        <f aca="false">MIN(O85,P84)</f>
        <v>-645552.376821429</v>
      </c>
      <c r="Q85" s="65" t="n">
        <f aca="false">MIN(P85,Q84)</f>
        <v>-645552.376821429</v>
      </c>
      <c r="R85" s="65" t="n">
        <f aca="false">MIN(Q85,R84)</f>
        <v>-645552.376821429</v>
      </c>
      <c r="S85" s="65" t="n">
        <f aca="false">MIN(R85,S84)</f>
        <v>-645552.376821429</v>
      </c>
      <c r="T85" s="65" t="n">
        <f aca="false">MIN(S85,T84)</f>
        <v>-645552.376821429</v>
      </c>
      <c r="U85" s="65" t="n">
        <f aca="false">MIN(T85,U84)</f>
        <v>-645552.376821429</v>
      </c>
      <c r="V85" s="65" t="n">
        <f aca="false">MIN(U85,V84)</f>
        <v>-645552.376821429</v>
      </c>
      <c r="W85" s="65" t="n">
        <f aca="false">MIN(V85,W84)</f>
        <v>-645552.376821429</v>
      </c>
      <c r="X85" s="65" t="n">
        <f aca="false">MIN(W85,X84)</f>
        <v>-645552.376821429</v>
      </c>
      <c r="Y85" s="65" t="n">
        <f aca="false">MIN(X85,Y84)</f>
        <v>-645552.376821429</v>
      </c>
      <c r="Z85" s="65" t="n">
        <f aca="false">MIN(Y85,Z84)</f>
        <v>-645552.376821429</v>
      </c>
      <c r="AA85" s="65" t="n">
        <f aca="false">MIN(Z85,AA84)</f>
        <v>-645552.376821429</v>
      </c>
      <c r="AB85" s="65" t="n">
        <f aca="false">MIN(AA85,AB84)</f>
        <v>-645552.376821429</v>
      </c>
      <c r="AC85" s="65" t="n">
        <f aca="false">MIN(AB85,AC84)</f>
        <v>-645552.376821429</v>
      </c>
      <c r="AD85" s="65" t="n">
        <f aca="false">MIN(AC85,AD84)</f>
        <v>-645552.376821429</v>
      </c>
      <c r="AE85" s="65" t="n">
        <f aca="false">MIN(AD85,AE84)</f>
        <v>-645552.376821429</v>
      </c>
      <c r="AF85" s="65" t="n">
        <f aca="false">MIN(AE85,AF84)</f>
        <v>-645552.376821429</v>
      </c>
      <c r="AG85" s="65" t="n">
        <f aca="false">MIN(AF85,AG84)</f>
        <v>-645552.376821429</v>
      </c>
      <c r="AH85" s="65" t="n">
        <f aca="false">MIN(AG85,AH84)</f>
        <v>-645552.376821429</v>
      </c>
      <c r="AI85" s="65" t="n">
        <f aca="false">MIN(AH85,AI84)</f>
        <v>-645552.376821429</v>
      </c>
      <c r="AJ85" s="65" t="n">
        <f aca="false">MIN(AI85,AJ84)</f>
        <v>-645552.376821429</v>
      </c>
      <c r="AK85" s="65" t="n">
        <f aca="false">MIN(AJ85,AK84)</f>
        <v>-645552.376821429</v>
      </c>
      <c r="AL85" s="65" t="n">
        <f aca="false">MIN(AK85,AL84)</f>
        <v>-645552.376821429</v>
      </c>
      <c r="AM85" s="65" t="n">
        <f aca="false">MIN(AL85,AM84)</f>
        <v>-645552.376821429</v>
      </c>
      <c r="AN85" s="65" t="n">
        <f aca="false">MIN(AM85,AN84)</f>
        <v>-645552.376821429</v>
      </c>
      <c r="AO85" s="65" t="n">
        <f aca="false">MIN(AN85,AO84)</f>
        <v>-645552.376821429</v>
      </c>
      <c r="AP85" s="65" t="n">
        <f aca="false">MIN(AO85,AP84)</f>
        <v>-645552.376821429</v>
      </c>
      <c r="AQ85" s="65" t="n">
        <f aca="false">MIN(AP85,AQ84)</f>
        <v>-645552.376821429</v>
      </c>
      <c r="AR85" s="65" t="n">
        <f aca="false">MIN(AQ85,AR84)</f>
        <v>-645552.376821429</v>
      </c>
      <c r="AS85" s="65" t="n">
        <f aca="false">MIN(AR85,AS84)</f>
        <v>-645552.376821429</v>
      </c>
      <c r="AT85" s="65" t="n">
        <f aca="false">MIN(AS85,AT84)</f>
        <v>-645552.376821429</v>
      </c>
      <c r="AU85" s="65" t="n">
        <f aca="false">MIN(AT85,AU84)</f>
        <v>-645552.376821429</v>
      </c>
      <c r="AV85" s="65" t="n">
        <f aca="false">MIN(AU85,AV84)</f>
        <v>-645552.376821429</v>
      </c>
      <c r="AW85" s="65" t="n">
        <f aca="false">MIN(AV85,AW84)</f>
        <v>-645552.376821429</v>
      </c>
      <c r="AX85" s="65" t="n">
        <f aca="false">MIN(AW85,AX84)</f>
        <v>-645552.376821429</v>
      </c>
      <c r="AY85" s="65" t="n">
        <f aca="false">MIN(AX85,AY84)</f>
        <v>-645552.376821429</v>
      </c>
      <c r="AZ85" s="65" t="n">
        <f aca="false">MIN(AY85,AZ84)</f>
        <v>-645552.376821429</v>
      </c>
      <c r="BA85" s="65" t="n">
        <f aca="false">MIN(AZ85,BA84)</f>
        <v>-645552.376821429</v>
      </c>
      <c r="BB85" s="65" t="n">
        <f aca="false">MIN(BA85,BB84)</f>
        <v>-645552.376821429</v>
      </c>
      <c r="BC85" s="65" t="n">
        <f aca="false">MIN(BB85,BC84)</f>
        <v>-645552.376821429</v>
      </c>
      <c r="BD85" s="65" t="n">
        <f aca="false">MIN(BC85,BD84)</f>
        <v>-645552.376821429</v>
      </c>
      <c r="BE85" s="65" t="n">
        <f aca="false">MIN(BD85,BE84)</f>
        <v>-645552.376821429</v>
      </c>
      <c r="BF85" s="65" t="n">
        <f aca="false">MIN(BE85,BF84)</f>
        <v>-645552.376821429</v>
      </c>
      <c r="BG85" s="65" t="n">
        <f aca="false">MIN(BF85,BG84)</f>
        <v>-645552.376821429</v>
      </c>
      <c r="BH85" s="65" t="n">
        <f aca="false">MIN(BG85,BH84)</f>
        <v>-645552.376821429</v>
      </c>
      <c r="BI85" s="65" t="n">
        <f aca="false">MIN(BH85,BI84)</f>
        <v>-645552.376821429</v>
      </c>
      <c r="BJ85" s="65" t="n">
        <f aca="false">MIN(BI85,BJ84)</f>
        <v>-645552.376821429</v>
      </c>
    </row>
    <row r="86" customFormat="false" ht="15" hidden="false" customHeight="false" outlineLevel="0" collapsed="false">
      <c r="A86" s="117" t="s">
        <v>438</v>
      </c>
      <c r="C86" s="113" t="n">
        <f aca="false">IF(AND(C84&gt;=0,C85&lt;0),1,0)</f>
        <v>0</v>
      </c>
      <c r="D86" s="113" t="n">
        <f aca="false">IF(AND(D84&gt;=0,D85&lt;0),1,0)</f>
        <v>0</v>
      </c>
      <c r="E86" s="113" t="n">
        <f aca="false">IF(AND(E84&gt;=0,E85&lt;0),1,0)</f>
        <v>0</v>
      </c>
      <c r="F86" s="113" t="n">
        <f aca="false">IF(AND(F84&gt;=0,F85&lt;0),1,0)</f>
        <v>0</v>
      </c>
      <c r="G86" s="113" t="n">
        <f aca="false">IF(AND(G84&gt;=0,G85&lt;0),1,0)</f>
        <v>0</v>
      </c>
      <c r="H86" s="113" t="n">
        <f aca="false">IF(AND(H84&gt;=0,H85&lt;0),1,0)</f>
        <v>0</v>
      </c>
      <c r="I86" s="113" t="n">
        <f aca="false">IF(AND(I84&gt;=0,I85&lt;0),1,0)</f>
        <v>0</v>
      </c>
      <c r="J86" s="113" t="n">
        <f aca="false">IF(AND(J84&gt;=0,J85&lt;0),1,0)</f>
        <v>0</v>
      </c>
      <c r="K86" s="113" t="n">
        <f aca="false">IF(AND(K84&gt;=0,K85&lt;0),1,0)</f>
        <v>0</v>
      </c>
      <c r="L86" s="113" t="n">
        <f aca="false">IF(AND(L84&gt;=0,L85&lt;0),1,0)</f>
        <v>0</v>
      </c>
      <c r="M86" s="113" t="n">
        <f aca="false">IF(AND(M84&gt;=0,M85&lt;0),1,0)</f>
        <v>0</v>
      </c>
      <c r="N86" s="113" t="n">
        <f aca="false">IF(AND(N84&gt;=0,N85&lt;0),1,0)</f>
        <v>0</v>
      </c>
      <c r="O86" s="113" t="n">
        <f aca="false">IF(AND(O84&gt;=0,O85&lt;0),1,0)</f>
        <v>0</v>
      </c>
      <c r="P86" s="113" t="n">
        <f aca="false">IF(AND(P84&gt;=0,P85&lt;0),1,0)</f>
        <v>0</v>
      </c>
      <c r="Q86" s="113" t="n">
        <f aca="false">IF(AND(Q84&gt;=0,Q85&lt;0),1,0)</f>
        <v>0</v>
      </c>
      <c r="R86" s="113" t="n">
        <f aca="false">IF(AND(R84&gt;=0,R85&lt;0),1,0)</f>
        <v>0</v>
      </c>
      <c r="S86" s="113" t="n">
        <f aca="false">IF(AND(S84&gt;=0,S85&lt;0),1,0)</f>
        <v>0</v>
      </c>
      <c r="T86" s="113" t="n">
        <f aca="false">IF(AND(T84&gt;=0,T85&lt;0),1,0)</f>
        <v>0</v>
      </c>
      <c r="U86" s="113" t="n">
        <f aca="false">IF(AND(U84&gt;=0,U85&lt;0),1,0)</f>
        <v>0</v>
      </c>
      <c r="V86" s="113" t="n">
        <f aca="false">IF(AND(V84&gt;=0,V85&lt;0),1,0)</f>
        <v>0</v>
      </c>
      <c r="W86" s="113" t="n">
        <f aca="false">IF(AND(W84&gt;=0,W85&lt;0),1,0)</f>
        <v>0</v>
      </c>
      <c r="X86" s="113" t="n">
        <f aca="false">IF(AND(X84&gt;=0,X85&lt;0),1,0)</f>
        <v>0</v>
      </c>
      <c r="Y86" s="113" t="n">
        <f aca="false">IF(AND(Y84&gt;=0,Y85&lt;0),1,0)</f>
        <v>0</v>
      </c>
      <c r="Z86" s="113" t="n">
        <f aca="false">IF(AND(Z84&gt;=0,Z85&lt;0),1,0)</f>
        <v>0</v>
      </c>
      <c r="AA86" s="113" t="n">
        <f aca="false">IF(AND(AA84&gt;=0,AA85&lt;0),1,0)</f>
        <v>0</v>
      </c>
      <c r="AB86" s="113" t="n">
        <f aca="false">IF(AND(AB84&gt;=0,AB85&lt;0),1,0)</f>
        <v>0</v>
      </c>
      <c r="AC86" s="113" t="n">
        <f aca="false">IF(AND(AC84&gt;=0,AC85&lt;0),1,0)</f>
        <v>0</v>
      </c>
      <c r="AD86" s="113" t="n">
        <f aca="false">IF(AND(AD84&gt;=0,AD85&lt;0),1,0)</f>
        <v>0</v>
      </c>
      <c r="AE86" s="113" t="n">
        <f aca="false">IF(AND(AE84&gt;=0,AE85&lt;0),1,0)</f>
        <v>0</v>
      </c>
      <c r="AF86" s="113" t="n">
        <f aca="false">IF(AND(AF84&gt;=0,AF85&lt;0),1,0)</f>
        <v>0</v>
      </c>
      <c r="AG86" s="113" t="n">
        <f aca="false">IF(AND(AG84&gt;=0,AG85&lt;0),1,0)</f>
        <v>0</v>
      </c>
      <c r="AH86" s="113" t="n">
        <f aca="false">IF(AND(AH84&gt;=0,AH85&lt;0),1,0)</f>
        <v>0</v>
      </c>
      <c r="AI86" s="113" t="n">
        <f aca="false">IF(AND(AI84&gt;=0,AI85&lt;0),1,0)</f>
        <v>0</v>
      </c>
      <c r="AJ86" s="113" t="n">
        <f aca="false">IF(AND(AJ84&gt;=0,AJ85&lt;0),1,0)</f>
        <v>0</v>
      </c>
      <c r="AK86" s="113" t="n">
        <f aca="false">IF(AND(AK84&gt;=0,AK85&lt;0),1,0)</f>
        <v>0</v>
      </c>
      <c r="AL86" s="113" t="n">
        <f aca="false">IF(AND(AL84&gt;=0,AL85&lt;0),1,0)</f>
        <v>1</v>
      </c>
      <c r="AM86" s="113" t="n">
        <f aca="false">IF(AND(AM84&gt;=0,AM85&lt;0),1,0)</f>
        <v>1</v>
      </c>
      <c r="AN86" s="113" t="n">
        <f aca="false">IF(AND(AN84&gt;=0,AN85&lt;0),1,0)</f>
        <v>1</v>
      </c>
      <c r="AO86" s="113" t="n">
        <f aca="false">IF(AND(AO84&gt;=0,AO85&lt;0),1,0)</f>
        <v>1</v>
      </c>
      <c r="AP86" s="113" t="n">
        <f aca="false">IF(AND(AP84&gt;=0,AP85&lt;0),1,0)</f>
        <v>1</v>
      </c>
      <c r="AQ86" s="113" t="n">
        <f aca="false">IF(AND(AQ84&gt;=0,AQ85&lt;0),1,0)</f>
        <v>1</v>
      </c>
      <c r="AR86" s="113" t="n">
        <f aca="false">IF(AND(AR84&gt;=0,AR85&lt;0),1,0)</f>
        <v>1</v>
      </c>
      <c r="AS86" s="113" t="n">
        <f aca="false">IF(AND(AS84&gt;=0,AS85&lt;0),1,0)</f>
        <v>1</v>
      </c>
      <c r="AT86" s="113" t="n">
        <f aca="false">IF(AND(AT84&gt;=0,AT85&lt;0),1,0)</f>
        <v>1</v>
      </c>
      <c r="AU86" s="113" t="n">
        <f aca="false">IF(AND(AU84&gt;=0,AU85&lt;0),1,0)</f>
        <v>1</v>
      </c>
      <c r="AV86" s="113" t="n">
        <f aca="false">IF(AND(AV84&gt;=0,AV85&lt;0),1,0)</f>
        <v>1</v>
      </c>
      <c r="AW86" s="113" t="n">
        <f aca="false">IF(AND(AW84&gt;=0,AW85&lt;0),1,0)</f>
        <v>1</v>
      </c>
      <c r="AX86" s="113" t="n">
        <f aca="false">IF(AND(AX84&gt;=0,AX85&lt;0),1,0)</f>
        <v>1</v>
      </c>
      <c r="AY86" s="113" t="n">
        <f aca="false">IF(AND(AY84&gt;=0,AY85&lt;0),1,0)</f>
        <v>1</v>
      </c>
      <c r="AZ86" s="113" t="n">
        <f aca="false">IF(AND(AZ84&gt;=0,AZ85&lt;0),1,0)</f>
        <v>1</v>
      </c>
      <c r="BA86" s="113" t="n">
        <f aca="false">IF(AND(BA84&gt;=0,BA85&lt;0),1,0)</f>
        <v>1</v>
      </c>
      <c r="BB86" s="113" t="n">
        <f aca="false">IF(AND(BB84&gt;=0,BB85&lt;0),1,0)</f>
        <v>1</v>
      </c>
      <c r="BC86" s="113" t="n">
        <f aca="false">IF(AND(BC84&gt;=0,BC85&lt;0),1,0)</f>
        <v>1</v>
      </c>
      <c r="BD86" s="113" t="n">
        <f aca="false">IF(AND(BD84&gt;=0,BD85&lt;0),1,0)</f>
        <v>1</v>
      </c>
      <c r="BE86" s="113" t="n">
        <f aca="false">IF(AND(BE84&gt;=0,BE85&lt;0),1,0)</f>
        <v>1</v>
      </c>
      <c r="BF86" s="113" t="n">
        <f aca="false">IF(AND(BF84&gt;=0,BF85&lt;0),1,0)</f>
        <v>1</v>
      </c>
      <c r="BG86" s="113" t="n">
        <f aca="false">IF(AND(BG84&gt;=0,BG85&lt;0),1,0)</f>
        <v>1</v>
      </c>
      <c r="BH86" s="113" t="n">
        <f aca="false">IF(AND(BH84&gt;=0,BH85&lt;0),1,0)</f>
        <v>1</v>
      </c>
      <c r="BI86" s="113" t="n">
        <f aca="false">IF(AND(BI84&gt;=0,BI85&lt;0),1,0)</f>
        <v>1</v>
      </c>
      <c r="BJ86" s="113" t="n">
        <f aca="false">IF(AND(BJ84&gt;=0,BJ85&lt;0),1,0)</f>
        <v>1</v>
      </c>
    </row>
    <row r="87" customFormat="false" ht="15" hidden="false" customHeight="false" outlineLevel="0" collapsed="false">
      <c r="A87" s="6" t="s">
        <v>439</v>
      </c>
      <c r="C87" s="65" t="n">
        <f aca="false">C72-C43*(1-Inputs!$E$70)+C73</f>
        <v>-642919.043488095</v>
      </c>
      <c r="D87" s="65" t="n">
        <f aca="false">D72-D43*(1-Inputs!$E$70)+D73</f>
        <v>15601.2329404762</v>
      </c>
      <c r="E87" s="65" t="n">
        <f aca="false">E72-E43*(1-Inputs!$E$70)+E73</f>
        <v>15601.2329404762</v>
      </c>
      <c r="F87" s="65" t="n">
        <f aca="false">F72-F43*(1-Inputs!$E$70)+F73</f>
        <v>15601.2329404762</v>
      </c>
      <c r="G87" s="65" t="n">
        <f aca="false">G72-G43*(1-Inputs!$E$70)+G73</f>
        <v>15601.2329404762</v>
      </c>
      <c r="H87" s="65" t="n">
        <f aca="false">H72-H43*(1-Inputs!$E$70)+H73</f>
        <v>15601.2329404762</v>
      </c>
      <c r="I87" s="65" t="n">
        <f aca="false">I72-I43*(1-Inputs!$E$70)+I73</f>
        <v>15601.2329404762</v>
      </c>
      <c r="J87" s="65" t="n">
        <f aca="false">J72-J43*(1-Inputs!$E$70)+J73</f>
        <v>15601.2329404762</v>
      </c>
      <c r="K87" s="65" t="n">
        <f aca="false">K72-K43*(1-Inputs!$E$70)+K73</f>
        <v>15601.2329404762</v>
      </c>
      <c r="L87" s="65" t="n">
        <f aca="false">L72-L43*(1-Inputs!$E$70)+L73</f>
        <v>15601.2329404762</v>
      </c>
      <c r="M87" s="65" t="n">
        <f aca="false">M72-M43*(1-Inputs!$E$70)+M73</f>
        <v>-17262.1275595238</v>
      </c>
      <c r="N87" s="65" t="n">
        <f aca="false">N72-N43*(1-Inputs!$E$70)+N73</f>
        <v>52654.6424404763</v>
      </c>
      <c r="O87" s="65" t="n">
        <f aca="false">O72-O43*(1-Inputs!$E$70)+O73</f>
        <v>-141506.155274405</v>
      </c>
      <c r="P87" s="65" t="n">
        <f aca="false">P72-P43*(1-Inputs!$E$70)+P73</f>
        <v>31086.0654755952</v>
      </c>
      <c r="Q87" s="65" t="n">
        <f aca="false">Q72-Q43*(1-Inputs!$E$70)+Q73</f>
        <v>31086.0654755952</v>
      </c>
      <c r="R87" s="65" t="n">
        <f aca="false">R72-R43*(1-Inputs!$E$70)+R73</f>
        <v>31086.0654755953</v>
      </c>
      <c r="S87" s="65" t="n">
        <f aca="false">S72-S43*(1-Inputs!$E$70)+S73</f>
        <v>31086.0654755953</v>
      </c>
      <c r="T87" s="65" t="n">
        <f aca="false">T72-T43*(1-Inputs!$E$70)+T73</f>
        <v>31086.0654755952</v>
      </c>
      <c r="U87" s="65" t="n">
        <f aca="false">U72-U43*(1-Inputs!$E$70)+U73</f>
        <v>31086.0654755953</v>
      </c>
      <c r="V87" s="65" t="n">
        <f aca="false">V72-V43*(1-Inputs!$E$70)+V73</f>
        <v>31086.0654755952</v>
      </c>
      <c r="W87" s="65" t="n">
        <f aca="false">W72-W43*(1-Inputs!$E$70)+W73</f>
        <v>31086.0654755952</v>
      </c>
      <c r="X87" s="65" t="n">
        <f aca="false">X72-X43*(1-Inputs!$E$70)+X73</f>
        <v>31086.0654755953</v>
      </c>
      <c r="Y87" s="65" t="n">
        <f aca="false">Y72-Y43*(1-Inputs!$E$70)+Y73</f>
        <v>-12681.5494494047</v>
      </c>
      <c r="Z87" s="65" t="n">
        <f aca="false">Z72-Z43*(1-Inputs!$E$70)+Z73</f>
        <v>81858.4510505953</v>
      </c>
      <c r="AA87" s="65" t="n">
        <f aca="false">AA72-AA43*(1-Inputs!$E$70)+AA73</f>
        <v>-116790.240421449</v>
      </c>
      <c r="AB87" s="65" t="n">
        <f aca="false">AB72-AB43*(1-Inputs!$E$70)+AB73</f>
        <v>48275.7231285507</v>
      </c>
      <c r="AC87" s="65" t="n">
        <f aca="false">AC72-AC43*(1-Inputs!$E$70)+AC73</f>
        <v>48275.7231285507</v>
      </c>
      <c r="AD87" s="65" t="n">
        <f aca="false">AD72-AD43*(1-Inputs!$E$70)+AD73</f>
        <v>48275.7231285506</v>
      </c>
      <c r="AE87" s="65" t="n">
        <f aca="false">AE72-AE43*(1-Inputs!$E$70)+AE73</f>
        <v>48275.7231285507</v>
      </c>
      <c r="AF87" s="65" t="n">
        <f aca="false">AF72-AF43*(1-Inputs!$E$70)+AF73</f>
        <v>48275.7231285506</v>
      </c>
      <c r="AG87" s="65" t="n">
        <f aca="false">AG72-AG43*(1-Inputs!$E$70)+AG73</f>
        <v>48275.7231285507</v>
      </c>
      <c r="AH87" s="65" t="n">
        <f aca="false">AH72-AH43*(1-Inputs!$E$70)+AH73</f>
        <v>48275.7231285507</v>
      </c>
      <c r="AI87" s="65" t="n">
        <f aca="false">AI72-AI43*(1-Inputs!$E$70)+AI73</f>
        <v>48275.7231285507</v>
      </c>
      <c r="AJ87" s="65" t="n">
        <f aca="false">AJ72-AJ43*(1-Inputs!$E$70)+AJ73</f>
        <v>48275.7231285507</v>
      </c>
      <c r="AK87" s="65" t="n">
        <f aca="false">AK72-AK43*(1-Inputs!$E$70)+AK73</f>
        <v>-8358.84669144924</v>
      </c>
      <c r="AL87" s="65" t="n">
        <f aca="false">AL72-AL43*(1-Inputs!$E$70)+AL73</f>
        <v>114931.674508551</v>
      </c>
      <c r="AM87" s="65" t="n">
        <f aca="false">AM72-AM43*(1-Inputs!$E$70)+AM73</f>
        <v>-90076.6072000558</v>
      </c>
      <c r="AN87" s="65" t="n">
        <f aca="false">AN72-AN43*(1-Inputs!$E$70)+AN73</f>
        <v>67433.3511349443</v>
      </c>
      <c r="AO87" s="65" t="n">
        <f aca="false">AO72-AO43*(1-Inputs!$E$70)+AO73</f>
        <v>67433.3511349443</v>
      </c>
      <c r="AP87" s="65" t="n">
        <f aca="false">AP72-AP43*(1-Inputs!$E$70)+AP73</f>
        <v>67433.3511349443</v>
      </c>
      <c r="AQ87" s="65" t="n">
        <f aca="false">AQ72-AQ43*(1-Inputs!$E$70)+AQ73</f>
        <v>67433.3511349443</v>
      </c>
      <c r="AR87" s="65" t="n">
        <f aca="false">AR72-AR43*(1-Inputs!$E$70)+AR73</f>
        <v>67433.3511349443</v>
      </c>
      <c r="AS87" s="65" t="n">
        <f aca="false">AS72-AS43*(1-Inputs!$E$70)+AS73</f>
        <v>67433.3511349443</v>
      </c>
      <c r="AT87" s="65" t="n">
        <f aca="false">AT72-AT43*(1-Inputs!$E$70)+AT73</f>
        <v>67433.3511349443</v>
      </c>
      <c r="AU87" s="65" t="n">
        <f aca="false">AU72-AU43*(1-Inputs!$E$70)+AU73</f>
        <v>67433.3511349443</v>
      </c>
      <c r="AV87" s="65" t="n">
        <f aca="false">AV72-AV43*(1-Inputs!$E$70)+AV73</f>
        <v>67433.3511349443</v>
      </c>
      <c r="AW87" s="65" t="n">
        <f aca="false">AW72-AW43*(1-Inputs!$E$70)+AW73</f>
        <v>-4519.76538555576</v>
      </c>
      <c r="AX87" s="65" t="n">
        <f aca="false">AX72-AX43*(1-Inputs!$E$70)+AX73</f>
        <v>152675.649144444</v>
      </c>
      <c r="AY87" s="65" t="n">
        <f aca="false">AY72-AY43*(1-Inputs!$E$70)+AY73</f>
        <v>-61084.4118296478</v>
      </c>
      <c r="AZ87" s="65" t="n">
        <f aca="false">AZ72-AZ43*(1-Inputs!$E$70)+AZ73</f>
        <v>88858.8231595497</v>
      </c>
      <c r="BA87" s="65" t="n">
        <f aca="false">BA72-BA43*(1-Inputs!$E$70)+BA73</f>
        <v>88858.8231595496</v>
      </c>
      <c r="BB87" s="65" t="n">
        <f aca="false">BB72-BB43*(1-Inputs!$E$70)+BB73</f>
        <v>88858.8231595497</v>
      </c>
      <c r="BC87" s="65" t="n">
        <f aca="false">BC72-BC43*(1-Inputs!$E$70)+BC73</f>
        <v>88858.8231595497</v>
      </c>
      <c r="BD87" s="65" t="n">
        <f aca="false">BD72-BD43*(1-Inputs!$E$70)+BD73</f>
        <v>88858.8231595497</v>
      </c>
      <c r="BE87" s="65" t="n">
        <f aca="false">BE72-BE43*(1-Inputs!$E$70)+BE73</f>
        <v>88858.8231595497</v>
      </c>
      <c r="BF87" s="65" t="n">
        <f aca="false">BF72-BF43*(1-Inputs!$E$70)+BF73</f>
        <v>88858.8231595497</v>
      </c>
      <c r="BG87" s="65" t="n">
        <f aca="false">BG72-BG43*(1-Inputs!$E$70)+BG73</f>
        <v>88858.8231595497</v>
      </c>
      <c r="BH87" s="65" t="n">
        <f aca="false">BH72-BH43*(1-Inputs!$E$70)+BH73</f>
        <v>88858.8231595497</v>
      </c>
      <c r="BI87" s="65" t="n">
        <f aca="false">BI72-BI43*(1-Inputs!$E$70)+BI73</f>
        <v>-1483.98221032149</v>
      </c>
      <c r="BJ87" s="65" t="n">
        <f aca="false">BJ72-BJ43*(1-Inputs!$E$70)+BJ73</f>
        <v>196076.969122204</v>
      </c>
    </row>
    <row r="89" customFormat="false" ht="15.75" hidden="false" customHeight="true" outlineLevel="0" collapsed="false">
      <c r="A89" s="7" t="s">
        <v>440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customFormat="false" ht="15" hidden="false" customHeight="false" outlineLevel="0" collapsed="false">
      <c r="A90" s="6" t="s">
        <v>97</v>
      </c>
      <c r="C90" s="65" t="n">
        <f aca="false">C74</f>
        <v>1500000</v>
      </c>
      <c r="D90" s="65" t="n">
        <f aca="false">C90+D74</f>
        <v>1500000</v>
      </c>
      <c r="E90" s="65" t="n">
        <f aca="false">D90+E74</f>
        <v>1500000</v>
      </c>
      <c r="F90" s="65" t="n">
        <f aca="false">E90+F74</f>
        <v>1500000</v>
      </c>
      <c r="G90" s="65" t="n">
        <f aca="false">F90+G74</f>
        <v>1500000</v>
      </c>
      <c r="H90" s="65" t="n">
        <f aca="false">G90+H74</f>
        <v>1500000</v>
      </c>
      <c r="I90" s="65" t="n">
        <f aca="false">H90+I74</f>
        <v>1500000</v>
      </c>
      <c r="J90" s="65" t="n">
        <f aca="false">I90+J74</f>
        <v>1500000</v>
      </c>
      <c r="K90" s="65" t="n">
        <f aca="false">J90+K74</f>
        <v>1500000</v>
      </c>
      <c r="L90" s="65" t="n">
        <f aca="false">K90+L74</f>
        <v>1500000</v>
      </c>
      <c r="M90" s="65" t="n">
        <f aca="false">L90+M74</f>
        <v>1500000</v>
      </c>
      <c r="N90" s="65" t="n">
        <f aca="false">M90+N74</f>
        <v>1500000</v>
      </c>
      <c r="O90" s="65" t="n">
        <f aca="false">N90+O74</f>
        <v>1500000</v>
      </c>
      <c r="P90" s="65" t="n">
        <f aca="false">O90+P74</f>
        <v>1500000</v>
      </c>
      <c r="Q90" s="65" t="n">
        <f aca="false">P90+Q74</f>
        <v>1500000</v>
      </c>
      <c r="R90" s="65" t="n">
        <f aca="false">Q90+R74</f>
        <v>1500000</v>
      </c>
      <c r="S90" s="65" t="n">
        <f aca="false">R90+S74</f>
        <v>1500000</v>
      </c>
      <c r="T90" s="65" t="n">
        <f aca="false">S90+T74</f>
        <v>1500000</v>
      </c>
      <c r="U90" s="65" t="n">
        <f aca="false">T90+U74</f>
        <v>1500000</v>
      </c>
      <c r="V90" s="65" t="n">
        <f aca="false">U90+V74</f>
        <v>1500000</v>
      </c>
      <c r="W90" s="65" t="n">
        <f aca="false">V90+W74</f>
        <v>1500000</v>
      </c>
      <c r="X90" s="65" t="n">
        <f aca="false">W90+X74</f>
        <v>1500000</v>
      </c>
      <c r="Y90" s="65" t="n">
        <f aca="false">X90+Y74</f>
        <v>1500000</v>
      </c>
      <c r="Z90" s="65" t="n">
        <f aca="false">Y90+Z74</f>
        <v>1500000</v>
      </c>
      <c r="AA90" s="65" t="n">
        <f aca="false">Z90+AA74</f>
        <v>1500000</v>
      </c>
      <c r="AB90" s="65" t="n">
        <f aca="false">AA90+AB74</f>
        <v>1500000</v>
      </c>
      <c r="AC90" s="65" t="n">
        <f aca="false">AB90+AC74</f>
        <v>1500000</v>
      </c>
      <c r="AD90" s="65" t="n">
        <f aca="false">AC90+AD74</f>
        <v>1500000</v>
      </c>
      <c r="AE90" s="65" t="n">
        <f aca="false">AD90+AE74</f>
        <v>1500000</v>
      </c>
      <c r="AF90" s="65" t="n">
        <f aca="false">AE90+AF74</f>
        <v>1500000</v>
      </c>
      <c r="AG90" s="65" t="n">
        <f aca="false">AF90+AG74</f>
        <v>1500000</v>
      </c>
      <c r="AH90" s="65" t="n">
        <f aca="false">AG90+AH74</f>
        <v>1500000</v>
      </c>
      <c r="AI90" s="65" t="n">
        <f aca="false">AH90+AI74</f>
        <v>1500000</v>
      </c>
      <c r="AJ90" s="65" t="n">
        <f aca="false">AI90+AJ74</f>
        <v>1500000</v>
      </c>
      <c r="AK90" s="65" t="n">
        <f aca="false">AJ90+AK74</f>
        <v>1500000</v>
      </c>
      <c r="AL90" s="65" t="n">
        <f aca="false">AK90+AL74</f>
        <v>1500000</v>
      </c>
      <c r="AM90" s="65" t="n">
        <f aca="false">AL90+AM74</f>
        <v>1500000</v>
      </c>
      <c r="AN90" s="65" t="n">
        <f aca="false">AM90+AN74</f>
        <v>1500000</v>
      </c>
      <c r="AO90" s="65" t="n">
        <f aca="false">AN90+AO74</f>
        <v>1500000</v>
      </c>
      <c r="AP90" s="65" t="n">
        <f aca="false">AO90+AP74</f>
        <v>1500000</v>
      </c>
      <c r="AQ90" s="65" t="n">
        <f aca="false">AP90+AQ74</f>
        <v>1500000</v>
      </c>
      <c r="AR90" s="65" t="n">
        <f aca="false">AQ90+AR74</f>
        <v>1500000</v>
      </c>
      <c r="AS90" s="65" t="n">
        <f aca="false">AR90+AS74</f>
        <v>1500000</v>
      </c>
      <c r="AT90" s="65" t="n">
        <f aca="false">AS90+AT74</f>
        <v>1500000</v>
      </c>
      <c r="AU90" s="65" t="n">
        <f aca="false">AT90+AU74</f>
        <v>1500000</v>
      </c>
      <c r="AV90" s="65" t="n">
        <f aca="false">AU90+AV74</f>
        <v>1500000</v>
      </c>
      <c r="AW90" s="65" t="n">
        <f aca="false">AV90+AW74</f>
        <v>1500000</v>
      </c>
      <c r="AX90" s="65" t="n">
        <f aca="false">AW90+AX74</f>
        <v>1500000</v>
      </c>
      <c r="AY90" s="65" t="n">
        <f aca="false">AX90+AY74</f>
        <v>1500000</v>
      </c>
      <c r="AZ90" s="65" t="n">
        <f aca="false">AY90+AZ74</f>
        <v>1500000</v>
      </c>
      <c r="BA90" s="65" t="n">
        <f aca="false">AZ90+BA74</f>
        <v>1500000</v>
      </c>
      <c r="BB90" s="65" t="n">
        <f aca="false">BA90+BB74</f>
        <v>1500000</v>
      </c>
      <c r="BC90" s="65" t="n">
        <f aca="false">BB90+BC74</f>
        <v>1500000</v>
      </c>
      <c r="BD90" s="65" t="n">
        <f aca="false">BC90+BD74</f>
        <v>1500000</v>
      </c>
      <c r="BE90" s="65" t="n">
        <f aca="false">BD90+BE74</f>
        <v>1500000</v>
      </c>
      <c r="BF90" s="65" t="n">
        <f aca="false">BE90+BF74</f>
        <v>1500000</v>
      </c>
      <c r="BG90" s="65" t="n">
        <f aca="false">BF90+BG74</f>
        <v>1500000</v>
      </c>
      <c r="BH90" s="65" t="n">
        <f aca="false">BG90+BH74</f>
        <v>1500000</v>
      </c>
      <c r="BI90" s="65" t="n">
        <f aca="false">BH90+BI74</f>
        <v>1500000</v>
      </c>
      <c r="BJ90" s="65" t="n">
        <f aca="false">BI90+BJ74</f>
        <v>1500000</v>
      </c>
    </row>
    <row r="91" customFormat="false" ht="15" hidden="false" customHeight="false" outlineLevel="0" collapsed="false">
      <c r="A91" s="6" t="s">
        <v>98</v>
      </c>
      <c r="C91" s="65" t="n">
        <f aca="false">C48</f>
        <v>8801.23294047617</v>
      </c>
      <c r="D91" s="65" t="n">
        <f aca="false">C91+D48</f>
        <v>17624.4103253968</v>
      </c>
      <c r="E91" s="65" t="n">
        <f aca="false">D91+E48</f>
        <v>26491.4765992063</v>
      </c>
      <c r="F91" s="65" t="n">
        <f aca="false">E91+F48</f>
        <v>35402.4317619047</v>
      </c>
      <c r="G91" s="65" t="n">
        <f aca="false">F91+G48</f>
        <v>44357.275813492</v>
      </c>
      <c r="H91" s="65" t="n">
        <f aca="false">G91+H48</f>
        <v>53356.0087539681</v>
      </c>
      <c r="I91" s="65" t="n">
        <f aca="false">H91+I48</f>
        <v>62398.6305833332</v>
      </c>
      <c r="J91" s="65" t="n">
        <f aca="false">I91+J48</f>
        <v>71485.1413015871</v>
      </c>
      <c r="K91" s="65" t="n">
        <f aca="false">J91+K48</f>
        <v>80615.54090873</v>
      </c>
      <c r="L91" s="65" t="n">
        <f aca="false">K91+L48</f>
        <v>89789.8294047617</v>
      </c>
      <c r="M91" s="65" t="n">
        <f aca="false">L91+M48</f>
        <v>136061.416289682</v>
      </c>
      <c r="N91" s="65" t="n">
        <f aca="false">M91+N48</f>
        <v>182376.892063492</v>
      </c>
      <c r="O91" s="65" t="n">
        <f aca="false">N91+O48</f>
        <v>205381.965475595</v>
      </c>
      <c r="P91" s="65" t="n">
        <f aca="false">O91+P48</f>
        <v>228430.927776587</v>
      </c>
      <c r="Q91" s="65" t="n">
        <f aca="false">P91+Q48</f>
        <v>251523.778966468</v>
      </c>
      <c r="R91" s="65" t="n">
        <f aca="false">Q91+R48</f>
        <v>274660.519045238</v>
      </c>
      <c r="S91" s="65" t="n">
        <f aca="false">R91+S48</f>
        <v>297841.148012897</v>
      </c>
      <c r="T91" s="65" t="n">
        <f aca="false">S91+T48</f>
        <v>321065.665869445</v>
      </c>
      <c r="U91" s="65" t="n">
        <f aca="false">T91+U48</f>
        <v>344334.072614881</v>
      </c>
      <c r="V91" s="65" t="n">
        <f aca="false">U91+V48</f>
        <v>367646.368249206</v>
      </c>
      <c r="W91" s="65" t="n">
        <f aca="false">V91+W48</f>
        <v>391002.552772421</v>
      </c>
      <c r="X91" s="65" t="n">
        <f aca="false">W91+X48</f>
        <v>414402.626184524</v>
      </c>
      <c r="Y91" s="65" t="n">
        <f aca="false">X91+Y48</f>
        <v>488618.974060516</v>
      </c>
      <c r="Z91" s="65" t="n">
        <f aca="false">Y91+Z48</f>
        <v>562879.210825397</v>
      </c>
      <c r="AA91" s="65" t="n">
        <f aca="false">Z91+AA48</f>
        <v>601814.894271408</v>
      </c>
      <c r="AB91" s="65" t="n">
        <f aca="false">AA91+AB48</f>
        <v>640794.466606308</v>
      </c>
      <c r="AC91" s="65" t="n">
        <f aca="false">AB91+AC48</f>
        <v>679817.927830097</v>
      </c>
      <c r="AD91" s="65" t="n">
        <f aca="false">AC91+AD48</f>
        <v>718885.277942774</v>
      </c>
      <c r="AE91" s="65" t="n">
        <f aca="false">AD91+AE48</f>
        <v>757996.516944341</v>
      </c>
      <c r="AF91" s="65" t="n">
        <f aca="false">AE91+AF48</f>
        <v>797151.644834796</v>
      </c>
      <c r="AG91" s="65" t="n">
        <f aca="false">AF91+AG48</f>
        <v>836350.661614141</v>
      </c>
      <c r="AH91" s="65" t="n">
        <f aca="false">AG91+AH48</f>
        <v>875593.567282374</v>
      </c>
      <c r="AI91" s="65" t="n">
        <f aca="false">AH91+AI48</f>
        <v>914880.361839496</v>
      </c>
      <c r="AJ91" s="65" t="n">
        <f aca="false">AI91+AJ48</f>
        <v>954211.045285507</v>
      </c>
      <c r="AK91" s="65" t="n">
        <f aca="false">AJ91+AK48</f>
        <v>1060241.56900041</v>
      </c>
      <c r="AL91" s="65" t="n">
        <f aca="false">AK91+AL48</f>
        <v>1166315.9816042</v>
      </c>
      <c r="AM91" s="65" t="n">
        <f aca="false">AL91+AM48</f>
        <v>1223150.24543755</v>
      </c>
      <c r="AN91" s="65" t="n">
        <f aca="false">AM91+AN48</f>
        <v>1280028.3981598</v>
      </c>
      <c r="AO91" s="65" t="n">
        <f aca="false">AN91+AO48</f>
        <v>1336950.43977093</v>
      </c>
      <c r="AP91" s="65" t="n">
        <f aca="false">AO91+AP48</f>
        <v>1393916.37027096</v>
      </c>
      <c r="AQ91" s="65" t="n">
        <f aca="false">AP91+AQ48</f>
        <v>1450926.18965987</v>
      </c>
      <c r="AR91" s="65" t="n">
        <f aca="false">AQ91+AR48</f>
        <v>1507979.89793767</v>
      </c>
      <c r="AS91" s="65" t="n">
        <f aca="false">AR91+AS48</f>
        <v>1565077.49510436</v>
      </c>
      <c r="AT91" s="65" t="n">
        <f aca="false">AS91+AT48</f>
        <v>1622218.98115994</v>
      </c>
      <c r="AU91" s="65" t="n">
        <f aca="false">AT91+AU48</f>
        <v>1679404.35610441</v>
      </c>
      <c r="AV91" s="65" t="n">
        <f aca="false">AU91+AV48</f>
        <v>1736633.61993777</v>
      </c>
      <c r="AW91" s="65" t="n">
        <f aca="false">AV91+AW48</f>
        <v>1879149.07066951</v>
      </c>
      <c r="AX91" s="65" t="n">
        <f aca="false">AW91+AX48</f>
        <v>2021708.41029015</v>
      </c>
      <c r="AY91" s="65" t="n">
        <f aca="false">AX91+AY48</f>
        <v>2098709.09852906</v>
      </c>
      <c r="AZ91" s="65" t="n">
        <f aca="false">AY91+AZ48</f>
        <v>2175753.67565686</v>
      </c>
      <c r="BA91" s="65" t="n">
        <f aca="false">AZ91+BA48</f>
        <v>2252842.14167356</v>
      </c>
      <c r="BB91" s="65" t="n">
        <f aca="false">BA91+BB48</f>
        <v>2329974.49657914</v>
      </c>
      <c r="BC91" s="65" t="n">
        <f aca="false">BB91+BC48</f>
        <v>2407150.74037361</v>
      </c>
      <c r="BD91" s="65" t="n">
        <f aca="false">BC91+BD48</f>
        <v>2484370.87305697</v>
      </c>
      <c r="BE91" s="65" t="n">
        <f aca="false">BD91+BE48</f>
        <v>2561634.89462922</v>
      </c>
      <c r="BF91" s="65" t="n">
        <f aca="false">BE91+BF48</f>
        <v>2638942.80509035</v>
      </c>
      <c r="BG91" s="65" t="n">
        <f aca="false">BF91+BG48</f>
        <v>2716294.60444038</v>
      </c>
      <c r="BH91" s="65" t="n">
        <f aca="false">BG91+BH48</f>
        <v>2793690.29267929</v>
      </c>
      <c r="BI91" s="65" t="n">
        <f aca="false">BH91+BI48</f>
        <v>2978348.01576975</v>
      </c>
      <c r="BJ91" s="65" t="n">
        <f aca="false">BI91+BJ48</f>
        <v>3163049.6277491</v>
      </c>
    </row>
    <row r="92" customFormat="false" ht="15" hidden="false" customHeight="false" outlineLevel="0" collapsed="false">
      <c r="A92" s="4" t="s">
        <v>93</v>
      </c>
      <c r="C92" s="71" t="n">
        <f aca="false">C78+C64+C65+C55</f>
        <v>2194799.10294048</v>
      </c>
      <c r="D92" s="71" t="n">
        <f aca="false">D78+D64+D65+D55</f>
        <v>2195288.94699206</v>
      </c>
      <c r="E92" s="71" t="n">
        <f aca="false">E78+E64+E65+E55</f>
        <v>2195822.67993254</v>
      </c>
      <c r="F92" s="71" t="n">
        <f aca="false">F78+F64+F65+F55</f>
        <v>2196400.3017619</v>
      </c>
      <c r="G92" s="71" t="n">
        <f aca="false">G78+G64+G65+G55</f>
        <v>2197021.81248016</v>
      </c>
      <c r="H92" s="71" t="n">
        <f aca="false">H78+H64+H65+H55</f>
        <v>2197687.2120873</v>
      </c>
      <c r="I92" s="71" t="n">
        <f aca="false">I78+I64+I65+I55</f>
        <v>2198396.50058333</v>
      </c>
      <c r="J92" s="71" t="n">
        <f aca="false">J78+J64+J65+J55</f>
        <v>2199149.67796825</v>
      </c>
      <c r="K92" s="71" t="n">
        <f aca="false">K78+K64+K65+K55</f>
        <v>2199946.74424206</v>
      </c>
      <c r="L92" s="71" t="n">
        <f aca="false">L78+L64+L65+L55</f>
        <v>2200787.69940476</v>
      </c>
      <c r="M92" s="71" t="n">
        <f aca="false">M78+M64+M65+M55</f>
        <v>2280876.73295635</v>
      </c>
      <c r="N92" s="71" t="n">
        <f aca="false">N78+N64+N65+N55</f>
        <v>2318858.87539683</v>
      </c>
      <c r="O92" s="71" t="n">
        <f aca="false">O78+O64+O65+O55</f>
        <v>2347150.8059756</v>
      </c>
      <c r="P92" s="71" t="n">
        <f aca="false">P78+P64+P65+P55</f>
        <v>2361866.43494325</v>
      </c>
      <c r="Q92" s="71" t="n">
        <f aca="false">Q78+Q64+Q65+Q55</f>
        <v>2376625.9527998</v>
      </c>
      <c r="R92" s="71" t="n">
        <f aca="false">R78+R64+R65+R55</f>
        <v>2391429.35954524</v>
      </c>
      <c r="S92" s="71" t="n">
        <f aca="false">S78+S64+S65+S55</f>
        <v>2406276.65517956</v>
      </c>
      <c r="T92" s="71" t="n">
        <f aca="false">T78+T64+T65+T55</f>
        <v>2421167.83970278</v>
      </c>
      <c r="U92" s="71" t="n">
        <f aca="false">U78+U64+U65+U55</f>
        <v>2436102.91311488</v>
      </c>
      <c r="V92" s="71" t="n">
        <f aca="false">V78+V64+V65+V55</f>
        <v>2451081.87541587</v>
      </c>
      <c r="W92" s="71" t="n">
        <f aca="false">W78+W64+W65+W55</f>
        <v>2466104.72660575</v>
      </c>
      <c r="X92" s="71" t="n">
        <f aca="false">X78+X64+X65+X55</f>
        <v>2481171.46668452</v>
      </c>
      <c r="Y92" s="71" t="n">
        <f aca="false">Y78+Y64+Y65+Y55</f>
        <v>2604049.88822718</v>
      </c>
      <c r="Z92" s="71" t="n">
        <f aca="false">Z78+Z64+Z65+Z55</f>
        <v>2669976.79165873</v>
      </c>
      <c r="AA92" s="71" t="n">
        <f aca="false">AA78+AA64+AA65+AA55</f>
        <v>2709661.97147141</v>
      </c>
      <c r="AB92" s="71" t="n">
        <f aca="false">AB78+AB64+AB65+AB55</f>
        <v>2740308.21047297</v>
      </c>
      <c r="AC92" s="71" t="n">
        <f aca="false">AC78+AC64+AC65+AC55</f>
        <v>2770998.33836343</v>
      </c>
      <c r="AD92" s="71" t="n">
        <f aca="false">AD78+AD64+AD65+AD55</f>
        <v>2801732.35514277</v>
      </c>
      <c r="AE92" s="71" t="n">
        <f aca="false">AE78+AE64+AE65+AE55</f>
        <v>2832510.26081101</v>
      </c>
      <c r="AF92" s="71" t="n">
        <f aca="false">AF78+AF64+AF65+AF55</f>
        <v>2863332.05536813</v>
      </c>
      <c r="AG92" s="71" t="n">
        <f aca="false">AG78+AG64+AG65+AG55</f>
        <v>2894197.73881414</v>
      </c>
      <c r="AH92" s="71" t="n">
        <f aca="false">AH78+AH64+AH65+AH55</f>
        <v>2925107.31114904</v>
      </c>
      <c r="AI92" s="71" t="n">
        <f aca="false">AI78+AI64+AI65+AI55</f>
        <v>2956060.77237283</v>
      </c>
      <c r="AJ92" s="71" t="n">
        <f aca="false">AJ78+AJ64+AJ65+AJ55</f>
        <v>2987058.12248551</v>
      </c>
      <c r="AK92" s="71" t="n">
        <f aca="false">AK78+AK64+AK65+AK55</f>
        <v>3159083.56966707</v>
      </c>
      <c r="AL92" s="71" t="n">
        <f aca="false">AL78+AL64+AL65+AL55</f>
        <v>3256824.64893753</v>
      </c>
      <c r="AM92" s="71" t="n">
        <f aca="false">AM78+AM64+AM65+AM55</f>
        <v>3309853.11412755</v>
      </c>
      <c r="AN92" s="71" t="n">
        <f aca="false">AN78+AN64+AN65+AN55</f>
        <v>3358397.93351647</v>
      </c>
      <c r="AO92" s="71" t="n">
        <f aca="false">AO78+AO64+AO65+AO55</f>
        <v>3406986.64179427</v>
      </c>
      <c r="AP92" s="71" t="n">
        <f aca="false">AP78+AP64+AP65+AP55</f>
        <v>3455619.23896096</v>
      </c>
      <c r="AQ92" s="71" t="n">
        <f aca="false">AQ78+AQ64+AQ65+AQ55</f>
        <v>3504295.72501654</v>
      </c>
      <c r="AR92" s="71" t="n">
        <f aca="false">AR78+AR64+AR65+AR55</f>
        <v>3553016.099961</v>
      </c>
      <c r="AS92" s="71" t="n">
        <f aca="false">AS78+AS64+AS65+AS55</f>
        <v>3601780.36379436</v>
      </c>
      <c r="AT92" s="71" t="n">
        <f aca="false">AT78+AT64+AT65+AT55</f>
        <v>3650588.51651661</v>
      </c>
      <c r="AU92" s="71" t="n">
        <f aca="false">AU78+AU64+AU65+AU55</f>
        <v>3699440.55812774</v>
      </c>
      <c r="AV92" s="71" t="n">
        <f aca="false">AV78+AV64+AV65+AV55</f>
        <v>3748336.48862777</v>
      </c>
      <c r="AW92" s="71" t="n">
        <f aca="false">AW78+AW64+AW65+AW55</f>
        <v>3977287.13344618</v>
      </c>
      <c r="AX92" s="71" t="n">
        <f aca="false">AX78+AX64+AX65+AX55</f>
        <v>4111513.13973348</v>
      </c>
      <c r="AY92" s="71" t="n">
        <f aca="false">AY78+AY64+AY65+AY55</f>
        <v>4180146.27267083</v>
      </c>
      <c r="AZ92" s="71" t="n">
        <f aca="false">AZ78+AZ64+AZ65+AZ55</f>
        <v>4248857.5164653</v>
      </c>
      <c r="BA92" s="71" t="n">
        <f aca="false">BA78+BA64+BA65+BA55</f>
        <v>4317612.64914866</v>
      </c>
      <c r="BB92" s="71" t="n">
        <f aca="false">BB78+BB64+BB65+BB55</f>
        <v>4386411.6707209</v>
      </c>
      <c r="BC92" s="71" t="n">
        <f aca="false">BC78+BC64+BC65+BC55</f>
        <v>4455254.58118204</v>
      </c>
      <c r="BD92" s="71" t="n">
        <f aca="false">BD78+BD64+BD65+BD55</f>
        <v>4524141.38053207</v>
      </c>
      <c r="BE92" s="71" t="n">
        <f aca="false">BE78+BE64+BE65+BE55</f>
        <v>4593072.06877098</v>
      </c>
      <c r="BF92" s="71" t="n">
        <f aca="false">BF78+BF64+BF65+BF55</f>
        <v>4662046.64589879</v>
      </c>
      <c r="BG92" s="71" t="n">
        <f aca="false">BG78+BG64+BG65+BG55</f>
        <v>4731065.11191548</v>
      </c>
      <c r="BH92" s="71" t="n">
        <f aca="false">BH78+BH64+BH65+BH55</f>
        <v>4800127.46682106</v>
      </c>
      <c r="BI92" s="71" t="n">
        <f aca="false">BI78+BI64+BI65+BI55</f>
        <v>5095555.58800353</v>
      </c>
      <c r="BJ92" s="71" t="n">
        <f aca="false">BJ78+BJ64+BJ65+BJ55</f>
        <v>5271923.86664955</v>
      </c>
    </row>
    <row r="93" customFormat="false" ht="15" hidden="false" customHeight="false" outlineLevel="0" collapsed="false">
      <c r="A93" s="6" t="s">
        <v>96</v>
      </c>
      <c r="C93" s="65" t="n">
        <f aca="false">C66+C61</f>
        <v>685997.87</v>
      </c>
      <c r="D93" s="65" t="n">
        <f aca="false">D66+D61</f>
        <v>677664.536666667</v>
      </c>
      <c r="E93" s="65" t="n">
        <f aca="false">E66+E61</f>
        <v>669331.203333333</v>
      </c>
      <c r="F93" s="65" t="n">
        <f aca="false">F66+F61</f>
        <v>660997.87</v>
      </c>
      <c r="G93" s="65" t="n">
        <f aca="false">G66+G61</f>
        <v>652664.536666667</v>
      </c>
      <c r="H93" s="65" t="n">
        <f aca="false">H66+H61</f>
        <v>644331.203333333</v>
      </c>
      <c r="I93" s="65" t="n">
        <f aca="false">I66+I61</f>
        <v>635997.87</v>
      </c>
      <c r="J93" s="65" t="n">
        <f aca="false">J66+J61</f>
        <v>627664.536666667</v>
      </c>
      <c r="K93" s="65" t="n">
        <f aca="false">K66+K61</f>
        <v>619331.203333334</v>
      </c>
      <c r="L93" s="65" t="n">
        <f aca="false">L66+L61</f>
        <v>610997.87</v>
      </c>
      <c r="M93" s="65" t="n">
        <f aca="false">M66+M61</f>
        <v>644815.316666667</v>
      </c>
      <c r="N93" s="65" t="n">
        <f aca="false">N66+N61</f>
        <v>636481.983333334</v>
      </c>
      <c r="O93" s="65" t="n">
        <f aca="false">O66+O61</f>
        <v>641768.8405</v>
      </c>
      <c r="P93" s="65" t="n">
        <f aca="false">P66+P61</f>
        <v>633435.507166667</v>
      </c>
      <c r="Q93" s="65" t="n">
        <f aca="false">Q66+Q61</f>
        <v>625102.173833334</v>
      </c>
      <c r="R93" s="65" t="n">
        <f aca="false">R66+R61</f>
        <v>616768.8405</v>
      </c>
      <c r="S93" s="65" t="n">
        <f aca="false">S66+S61</f>
        <v>608435.507166667</v>
      </c>
      <c r="T93" s="65" t="n">
        <f aca="false">T66+T61</f>
        <v>600102.173833334</v>
      </c>
      <c r="U93" s="65" t="n">
        <f aca="false">U66+U61</f>
        <v>591768.8405</v>
      </c>
      <c r="V93" s="65" t="n">
        <f aca="false">V66+V61</f>
        <v>583435.507166667</v>
      </c>
      <c r="W93" s="65" t="n">
        <f aca="false">W66+W61</f>
        <v>575102.173833334</v>
      </c>
      <c r="X93" s="65" t="n">
        <f aca="false">X66+X61</f>
        <v>566768.8405</v>
      </c>
      <c r="Y93" s="65" t="n">
        <f aca="false">Y66+Y61</f>
        <v>615430.914166667</v>
      </c>
      <c r="Z93" s="65" t="n">
        <f aca="false">Z66+Z61</f>
        <v>607097.580833334</v>
      </c>
      <c r="AA93" s="65" t="n">
        <f aca="false">AA66+AA61</f>
        <v>607847.0772</v>
      </c>
      <c r="AB93" s="65" t="n">
        <f aca="false">AB66+AB61</f>
        <v>599513.743866667</v>
      </c>
      <c r="AC93" s="65" t="n">
        <f aca="false">AC66+AC61</f>
        <v>591180.410533334</v>
      </c>
      <c r="AD93" s="65" t="n">
        <f aca="false">AD66+AD61</f>
        <v>582847.077200001</v>
      </c>
      <c r="AE93" s="65" t="n">
        <f aca="false">AE66+AE61</f>
        <v>574513.743866667</v>
      </c>
      <c r="AF93" s="65" t="n">
        <f aca="false">AF66+AF61</f>
        <v>566180.410533334</v>
      </c>
      <c r="AG93" s="65" t="n">
        <f aca="false">AG66+AG61</f>
        <v>557847.077200001</v>
      </c>
      <c r="AH93" s="65" t="n">
        <f aca="false">AH66+AH61</f>
        <v>549513.743866667</v>
      </c>
      <c r="AI93" s="65" t="n">
        <f aca="false">AI66+AI61</f>
        <v>541180.410533334</v>
      </c>
      <c r="AJ93" s="65" t="n">
        <f aca="false">AJ66+AJ61</f>
        <v>532847.077200001</v>
      </c>
      <c r="AK93" s="65" t="n">
        <f aca="false">AK66+AK61</f>
        <v>598842.000666667</v>
      </c>
      <c r="AL93" s="65" t="n">
        <f aca="false">AL66+AL61</f>
        <v>590508.667333334</v>
      </c>
      <c r="AM93" s="65" t="n">
        <f aca="false">AM66+AM61</f>
        <v>586702.868690001</v>
      </c>
      <c r="AN93" s="65" t="n">
        <f aca="false">AN66+AN61</f>
        <v>578369.535356667</v>
      </c>
      <c r="AO93" s="65" t="n">
        <f aca="false">AO66+AO61</f>
        <v>570036.202023334</v>
      </c>
      <c r="AP93" s="65" t="n">
        <f aca="false">AP66+AP61</f>
        <v>561702.868690001</v>
      </c>
      <c r="AQ93" s="65" t="n">
        <f aca="false">AQ66+AQ61</f>
        <v>553369.535356667</v>
      </c>
      <c r="AR93" s="65" t="n">
        <f aca="false">AR66+AR61</f>
        <v>545036.202023334</v>
      </c>
      <c r="AS93" s="65" t="n">
        <f aca="false">AS66+AS61</f>
        <v>536702.86869</v>
      </c>
      <c r="AT93" s="65" t="n">
        <f aca="false">AT66+AT61</f>
        <v>528369.535356667</v>
      </c>
      <c r="AU93" s="65" t="n">
        <f aca="false">AU66+AU61</f>
        <v>520036.202023334</v>
      </c>
      <c r="AV93" s="65" t="n">
        <f aca="false">AV66+AV61</f>
        <v>511702.86869</v>
      </c>
      <c r="AW93" s="65" t="n">
        <f aca="false">AW66+AW61</f>
        <v>598138.062776667</v>
      </c>
      <c r="AX93" s="65" t="n">
        <f aca="false">AX66+AX61</f>
        <v>589804.729443334</v>
      </c>
      <c r="AY93" s="65" t="n">
        <f aca="false">AY66+AY61</f>
        <v>581437.174141765</v>
      </c>
      <c r="AZ93" s="65" t="n">
        <f aca="false">AZ66+AZ61</f>
        <v>573103.840808432</v>
      </c>
      <c r="BA93" s="65" t="n">
        <f aca="false">BA66+BA61</f>
        <v>564770.507475099</v>
      </c>
      <c r="BB93" s="65" t="n">
        <f aca="false">BB66+BB61</f>
        <v>556437.174141766</v>
      </c>
      <c r="BC93" s="65" t="n">
        <f aca="false">BC66+BC61</f>
        <v>548103.840808432</v>
      </c>
      <c r="BD93" s="65" t="n">
        <f aca="false">BD66+BD61</f>
        <v>539770.507475099</v>
      </c>
      <c r="BE93" s="65" t="n">
        <f aca="false">BE66+BE61</f>
        <v>531437.174141766</v>
      </c>
      <c r="BF93" s="65" t="n">
        <f aca="false">BF66+BF61</f>
        <v>523103.840808432</v>
      </c>
      <c r="BG93" s="65" t="n">
        <f aca="false">BG66+BG61</f>
        <v>514770.507475099</v>
      </c>
      <c r="BH93" s="65" t="n">
        <f aca="false">BH66+BH61</f>
        <v>506437.174141765</v>
      </c>
      <c r="BI93" s="65" t="n">
        <f aca="false">BI66+BI61</f>
        <v>617207.572233782</v>
      </c>
      <c r="BJ93" s="65" t="n">
        <f aca="false">BJ66+BJ61</f>
        <v>608874.238900449</v>
      </c>
    </row>
    <row r="94" customFormat="false" ht="15" hidden="false" customHeight="false" outlineLevel="0" collapsed="false">
      <c r="A94" s="6" t="s">
        <v>99</v>
      </c>
      <c r="C94" s="65" t="n">
        <f aca="false">C90+C91</f>
        <v>1508801.23294048</v>
      </c>
      <c r="D94" s="65" t="n">
        <f aca="false">D90+D91</f>
        <v>1517624.4103254</v>
      </c>
      <c r="E94" s="65" t="n">
        <f aca="false">E90+E91</f>
        <v>1526491.47659921</v>
      </c>
      <c r="F94" s="65" t="n">
        <f aca="false">F90+F91</f>
        <v>1535402.4317619</v>
      </c>
      <c r="G94" s="65" t="n">
        <f aca="false">G90+G91</f>
        <v>1544357.27581349</v>
      </c>
      <c r="H94" s="65" t="n">
        <f aca="false">H90+H91</f>
        <v>1553356.00875397</v>
      </c>
      <c r="I94" s="65" t="n">
        <f aca="false">I90+I91</f>
        <v>1562398.63058333</v>
      </c>
      <c r="J94" s="65" t="n">
        <f aca="false">J90+J91</f>
        <v>1571485.14130159</v>
      </c>
      <c r="K94" s="65" t="n">
        <f aca="false">K90+K91</f>
        <v>1580615.54090873</v>
      </c>
      <c r="L94" s="65" t="n">
        <f aca="false">L90+L91</f>
        <v>1589789.82940476</v>
      </c>
      <c r="M94" s="65" t="n">
        <f aca="false">M90+M91</f>
        <v>1636061.41628968</v>
      </c>
      <c r="N94" s="65" t="n">
        <f aca="false">N90+N91</f>
        <v>1682376.89206349</v>
      </c>
      <c r="O94" s="65" t="n">
        <f aca="false">O90+O91</f>
        <v>1705381.9654756</v>
      </c>
      <c r="P94" s="65" t="n">
        <f aca="false">P90+P91</f>
        <v>1728430.92777659</v>
      </c>
      <c r="Q94" s="65" t="n">
        <f aca="false">Q90+Q91</f>
        <v>1751523.77896647</v>
      </c>
      <c r="R94" s="65" t="n">
        <f aca="false">R90+R91</f>
        <v>1774660.51904524</v>
      </c>
      <c r="S94" s="65" t="n">
        <f aca="false">S90+S91</f>
        <v>1797841.1480129</v>
      </c>
      <c r="T94" s="65" t="n">
        <f aca="false">T90+T91</f>
        <v>1821065.66586944</v>
      </c>
      <c r="U94" s="65" t="n">
        <f aca="false">U90+U91</f>
        <v>1844334.07261488</v>
      </c>
      <c r="V94" s="65" t="n">
        <f aca="false">V90+V91</f>
        <v>1867646.36824921</v>
      </c>
      <c r="W94" s="65" t="n">
        <f aca="false">W90+W91</f>
        <v>1891002.55277242</v>
      </c>
      <c r="X94" s="65" t="n">
        <f aca="false">X90+X91</f>
        <v>1914402.62618452</v>
      </c>
      <c r="Y94" s="65" t="n">
        <f aca="false">Y90+Y91</f>
        <v>1988618.97406052</v>
      </c>
      <c r="Z94" s="65" t="n">
        <f aca="false">Z90+Z91</f>
        <v>2062879.2108254</v>
      </c>
      <c r="AA94" s="65" t="n">
        <f aca="false">AA90+AA91</f>
        <v>2101814.89427141</v>
      </c>
      <c r="AB94" s="65" t="n">
        <f aca="false">AB90+AB91</f>
        <v>2140794.46660631</v>
      </c>
      <c r="AC94" s="65" t="n">
        <f aca="false">AC90+AC91</f>
        <v>2179817.9278301</v>
      </c>
      <c r="AD94" s="65" t="n">
        <f aca="false">AD90+AD91</f>
        <v>2218885.27794277</v>
      </c>
      <c r="AE94" s="65" t="n">
        <f aca="false">AE90+AE91</f>
        <v>2257996.51694434</v>
      </c>
      <c r="AF94" s="65" t="n">
        <f aca="false">AF90+AF91</f>
        <v>2297151.6448348</v>
      </c>
      <c r="AG94" s="65" t="n">
        <f aca="false">AG90+AG91</f>
        <v>2336350.66161414</v>
      </c>
      <c r="AH94" s="65" t="n">
        <f aca="false">AH90+AH91</f>
        <v>2375593.56728237</v>
      </c>
      <c r="AI94" s="65" t="n">
        <f aca="false">AI90+AI91</f>
        <v>2414880.3618395</v>
      </c>
      <c r="AJ94" s="65" t="n">
        <f aca="false">AJ90+AJ91</f>
        <v>2454211.04528551</v>
      </c>
      <c r="AK94" s="65" t="n">
        <f aca="false">AK90+AK91</f>
        <v>2560241.56900041</v>
      </c>
      <c r="AL94" s="65" t="n">
        <f aca="false">AL90+AL91</f>
        <v>2666315.9816042</v>
      </c>
      <c r="AM94" s="65" t="n">
        <f aca="false">AM90+AM91</f>
        <v>2723150.24543755</v>
      </c>
      <c r="AN94" s="65" t="n">
        <f aca="false">AN90+AN91</f>
        <v>2780028.3981598</v>
      </c>
      <c r="AO94" s="65" t="n">
        <f aca="false">AO90+AO91</f>
        <v>2836950.43977093</v>
      </c>
      <c r="AP94" s="65" t="n">
        <f aca="false">AP90+AP91</f>
        <v>2893916.37027096</v>
      </c>
      <c r="AQ94" s="65" t="n">
        <f aca="false">AQ90+AQ91</f>
        <v>2950926.18965987</v>
      </c>
      <c r="AR94" s="65" t="n">
        <f aca="false">AR90+AR91</f>
        <v>3007979.89793767</v>
      </c>
      <c r="AS94" s="65" t="n">
        <f aca="false">AS90+AS91</f>
        <v>3065077.49510436</v>
      </c>
      <c r="AT94" s="65" t="n">
        <f aca="false">AT90+AT91</f>
        <v>3122218.98115994</v>
      </c>
      <c r="AU94" s="65" t="n">
        <f aca="false">AU90+AU91</f>
        <v>3179404.35610441</v>
      </c>
      <c r="AV94" s="65" t="n">
        <f aca="false">AV90+AV91</f>
        <v>3236633.61993777</v>
      </c>
      <c r="AW94" s="65" t="n">
        <f aca="false">AW90+AW91</f>
        <v>3379149.07066951</v>
      </c>
      <c r="AX94" s="65" t="n">
        <f aca="false">AX90+AX91</f>
        <v>3521708.41029015</v>
      </c>
      <c r="AY94" s="65" t="n">
        <f aca="false">AY90+AY91</f>
        <v>3598709.09852906</v>
      </c>
      <c r="AZ94" s="65" t="n">
        <f aca="false">AZ90+AZ91</f>
        <v>3675753.67565686</v>
      </c>
      <c r="BA94" s="65" t="n">
        <f aca="false">BA90+BA91</f>
        <v>3752842.14167356</v>
      </c>
      <c r="BB94" s="65" t="n">
        <f aca="false">BB90+BB91</f>
        <v>3829974.49657914</v>
      </c>
      <c r="BC94" s="65" t="n">
        <f aca="false">BC90+BC91</f>
        <v>3907150.74037361</v>
      </c>
      <c r="BD94" s="65" t="n">
        <f aca="false">BD90+BD91</f>
        <v>3984370.87305697</v>
      </c>
      <c r="BE94" s="65" t="n">
        <f aca="false">BE90+BE91</f>
        <v>4061634.89462922</v>
      </c>
      <c r="BF94" s="65" t="n">
        <f aca="false">BF90+BF91</f>
        <v>4138942.80509035</v>
      </c>
      <c r="BG94" s="65" t="n">
        <f aca="false">BG90+BG91</f>
        <v>4216294.60444038</v>
      </c>
      <c r="BH94" s="65" t="n">
        <f aca="false">BH90+BH91</f>
        <v>4293690.29267929</v>
      </c>
      <c r="BI94" s="65" t="n">
        <f aca="false">BI90+BI91</f>
        <v>4478348.01576975</v>
      </c>
      <c r="BJ94" s="65" t="n">
        <f aca="false">BJ90+BJ91</f>
        <v>4663049.6277491</v>
      </c>
    </row>
    <row r="95" customFormat="false" ht="15" hidden="false" customHeight="false" outlineLevel="0" collapsed="false">
      <c r="A95" s="4" t="s">
        <v>100</v>
      </c>
      <c r="C95" s="71" t="n">
        <f aca="false">C93+C94</f>
        <v>2194799.10294048</v>
      </c>
      <c r="D95" s="71" t="n">
        <f aca="false">D93+D94</f>
        <v>2195288.94699206</v>
      </c>
      <c r="E95" s="71" t="n">
        <f aca="false">E93+E94</f>
        <v>2195822.67993254</v>
      </c>
      <c r="F95" s="71" t="n">
        <f aca="false">F93+F94</f>
        <v>2196400.3017619</v>
      </c>
      <c r="G95" s="71" t="n">
        <f aca="false">G93+G94</f>
        <v>2197021.81248016</v>
      </c>
      <c r="H95" s="71" t="n">
        <f aca="false">H93+H94</f>
        <v>2197687.2120873</v>
      </c>
      <c r="I95" s="71" t="n">
        <f aca="false">I93+I94</f>
        <v>2198396.50058333</v>
      </c>
      <c r="J95" s="71" t="n">
        <f aca="false">J93+J94</f>
        <v>2199149.67796825</v>
      </c>
      <c r="K95" s="71" t="n">
        <f aca="false">K93+K94</f>
        <v>2199946.74424206</v>
      </c>
      <c r="L95" s="71" t="n">
        <f aca="false">L93+L94</f>
        <v>2200787.69940476</v>
      </c>
      <c r="M95" s="71" t="n">
        <f aca="false">M93+M94</f>
        <v>2280876.73295635</v>
      </c>
      <c r="N95" s="71" t="n">
        <f aca="false">N93+N94</f>
        <v>2318858.87539683</v>
      </c>
      <c r="O95" s="71" t="n">
        <f aca="false">O93+O94</f>
        <v>2347150.8059756</v>
      </c>
      <c r="P95" s="71" t="n">
        <f aca="false">P93+P94</f>
        <v>2361866.43494325</v>
      </c>
      <c r="Q95" s="71" t="n">
        <f aca="false">Q93+Q94</f>
        <v>2376625.9527998</v>
      </c>
      <c r="R95" s="71" t="n">
        <f aca="false">R93+R94</f>
        <v>2391429.35954524</v>
      </c>
      <c r="S95" s="71" t="n">
        <f aca="false">S93+S94</f>
        <v>2406276.65517956</v>
      </c>
      <c r="T95" s="71" t="n">
        <f aca="false">T93+T94</f>
        <v>2421167.83970278</v>
      </c>
      <c r="U95" s="71" t="n">
        <f aca="false">U93+U94</f>
        <v>2436102.91311488</v>
      </c>
      <c r="V95" s="71" t="n">
        <f aca="false">V93+V94</f>
        <v>2451081.87541587</v>
      </c>
      <c r="W95" s="71" t="n">
        <f aca="false">W93+W94</f>
        <v>2466104.72660575</v>
      </c>
      <c r="X95" s="71" t="n">
        <f aca="false">X93+X94</f>
        <v>2481171.46668452</v>
      </c>
      <c r="Y95" s="71" t="n">
        <f aca="false">Y93+Y94</f>
        <v>2604049.88822718</v>
      </c>
      <c r="Z95" s="71" t="n">
        <f aca="false">Z93+Z94</f>
        <v>2669976.79165873</v>
      </c>
      <c r="AA95" s="71" t="n">
        <f aca="false">AA93+AA94</f>
        <v>2709661.97147141</v>
      </c>
      <c r="AB95" s="71" t="n">
        <f aca="false">AB93+AB94</f>
        <v>2740308.21047298</v>
      </c>
      <c r="AC95" s="71" t="n">
        <f aca="false">AC93+AC94</f>
        <v>2770998.33836343</v>
      </c>
      <c r="AD95" s="71" t="n">
        <f aca="false">AD93+AD94</f>
        <v>2801732.35514278</v>
      </c>
      <c r="AE95" s="71" t="n">
        <f aca="false">AE93+AE94</f>
        <v>2832510.26081101</v>
      </c>
      <c r="AF95" s="71" t="n">
        <f aca="false">AF93+AF94</f>
        <v>2863332.05536813</v>
      </c>
      <c r="AG95" s="71" t="n">
        <f aca="false">AG93+AG94</f>
        <v>2894197.73881414</v>
      </c>
      <c r="AH95" s="71" t="n">
        <f aca="false">AH93+AH94</f>
        <v>2925107.31114904</v>
      </c>
      <c r="AI95" s="71" t="n">
        <f aca="false">AI93+AI94</f>
        <v>2956060.77237283</v>
      </c>
      <c r="AJ95" s="71" t="n">
        <f aca="false">AJ93+AJ94</f>
        <v>2987058.12248551</v>
      </c>
      <c r="AK95" s="71" t="n">
        <f aca="false">AK93+AK94</f>
        <v>3159083.56966707</v>
      </c>
      <c r="AL95" s="71" t="n">
        <f aca="false">AL93+AL94</f>
        <v>3256824.64893753</v>
      </c>
      <c r="AM95" s="71" t="n">
        <f aca="false">AM93+AM94</f>
        <v>3309853.11412755</v>
      </c>
      <c r="AN95" s="71" t="n">
        <f aca="false">AN93+AN94</f>
        <v>3358397.93351647</v>
      </c>
      <c r="AO95" s="71" t="n">
        <f aca="false">AO93+AO94</f>
        <v>3406986.64179427</v>
      </c>
      <c r="AP95" s="71" t="n">
        <f aca="false">AP93+AP94</f>
        <v>3455619.23896096</v>
      </c>
      <c r="AQ95" s="71" t="n">
        <f aca="false">AQ93+AQ94</f>
        <v>3504295.72501654</v>
      </c>
      <c r="AR95" s="71" t="n">
        <f aca="false">AR93+AR94</f>
        <v>3553016.099961</v>
      </c>
      <c r="AS95" s="71" t="n">
        <f aca="false">AS93+AS94</f>
        <v>3601780.36379436</v>
      </c>
      <c r="AT95" s="71" t="n">
        <f aca="false">AT93+AT94</f>
        <v>3650588.51651661</v>
      </c>
      <c r="AU95" s="71" t="n">
        <f aca="false">AU93+AU94</f>
        <v>3699440.55812774</v>
      </c>
      <c r="AV95" s="71" t="n">
        <f aca="false">AV93+AV94</f>
        <v>3748336.48862777</v>
      </c>
      <c r="AW95" s="71" t="n">
        <f aca="false">AW93+AW94</f>
        <v>3977287.13344618</v>
      </c>
      <c r="AX95" s="71" t="n">
        <f aca="false">AX93+AX94</f>
        <v>4111513.13973348</v>
      </c>
      <c r="AY95" s="71" t="n">
        <f aca="false">AY93+AY94</f>
        <v>4180146.27267083</v>
      </c>
      <c r="AZ95" s="71" t="n">
        <f aca="false">AZ93+AZ94</f>
        <v>4248857.5164653</v>
      </c>
      <c r="BA95" s="71" t="n">
        <f aca="false">BA93+BA94</f>
        <v>4317612.64914866</v>
      </c>
      <c r="BB95" s="71" t="n">
        <f aca="false">BB93+BB94</f>
        <v>4386411.6707209</v>
      </c>
      <c r="BC95" s="71" t="n">
        <f aca="false">BC93+BC94</f>
        <v>4455254.58118204</v>
      </c>
      <c r="BD95" s="71" t="n">
        <f aca="false">BD93+BD94</f>
        <v>4524141.38053207</v>
      </c>
      <c r="BE95" s="71" t="n">
        <f aca="false">BE93+BE94</f>
        <v>4593072.06877098</v>
      </c>
      <c r="BF95" s="71" t="n">
        <f aca="false">BF93+BF94</f>
        <v>4662046.64589878</v>
      </c>
      <c r="BG95" s="71" t="n">
        <f aca="false">BG93+BG94</f>
        <v>4731065.11191548</v>
      </c>
      <c r="BH95" s="71" t="n">
        <f aca="false">BH93+BH94</f>
        <v>4800127.46682106</v>
      </c>
      <c r="BI95" s="71" t="n">
        <f aca="false">BI93+BI94</f>
        <v>5095555.58800353</v>
      </c>
      <c r="BJ95" s="71" t="n">
        <f aca="false">BJ93+BJ94</f>
        <v>5271923.86664955</v>
      </c>
    </row>
    <row r="96" customFormat="false" ht="15" hidden="false" customHeight="false" outlineLevel="0" collapsed="false">
      <c r="A96" s="6" t="s">
        <v>441</v>
      </c>
      <c r="C96" s="65" t="n">
        <f aca="false">C92-C95</f>
        <v>0</v>
      </c>
      <c r="D96" s="65" t="n">
        <f aca="false">D92-D95</f>
        <v>0</v>
      </c>
      <c r="E96" s="65" t="n">
        <f aca="false">E92-E95</f>
        <v>0</v>
      </c>
      <c r="F96" s="65" t="n">
        <f aca="false">F92-F95</f>
        <v>0</v>
      </c>
      <c r="G96" s="65" t="n">
        <f aca="false">G92-G95</f>
        <v>0</v>
      </c>
      <c r="H96" s="65" t="n">
        <f aca="false">H92-H95</f>
        <v>0</v>
      </c>
      <c r="I96" s="65" t="n">
        <f aca="false">I92-I95</f>
        <v>0</v>
      </c>
      <c r="J96" s="65" t="n">
        <f aca="false">J92-J95</f>
        <v>0</v>
      </c>
      <c r="K96" s="65" t="n">
        <f aca="false">K92-K95</f>
        <v>0</v>
      </c>
      <c r="L96" s="65" t="n">
        <f aca="false">L92-L95</f>
        <v>0</v>
      </c>
      <c r="M96" s="65" t="n">
        <f aca="false">M92-M95</f>
        <v>0</v>
      </c>
      <c r="N96" s="65" t="n">
        <f aca="false">N92-N95</f>
        <v>0</v>
      </c>
      <c r="O96" s="65" t="n">
        <f aca="false">O92-O95</f>
        <v>0</v>
      </c>
      <c r="P96" s="65" t="n">
        <f aca="false">P92-P95</f>
        <v>0</v>
      </c>
      <c r="Q96" s="65" t="n">
        <f aca="false">Q92-Q95</f>
        <v>0</v>
      </c>
      <c r="R96" s="65" t="n">
        <f aca="false">R92-R95</f>
        <v>0</v>
      </c>
      <c r="S96" s="65" t="n">
        <f aca="false">S92-S95</f>
        <v>0</v>
      </c>
      <c r="T96" s="65" t="n">
        <f aca="false">T92-T95</f>
        <v>0</v>
      </c>
      <c r="U96" s="65" t="n">
        <f aca="false">U92-U95</f>
        <v>0</v>
      </c>
      <c r="V96" s="65" t="n">
        <f aca="false">V92-V95</f>
        <v>0</v>
      </c>
      <c r="W96" s="65" t="n">
        <f aca="false">W92-W95</f>
        <v>0</v>
      </c>
      <c r="X96" s="65" t="n">
        <f aca="false">X92-X95</f>
        <v>0</v>
      </c>
      <c r="Y96" s="65" t="n">
        <f aca="false">Y92-Y95</f>
        <v>0</v>
      </c>
      <c r="Z96" s="65" t="n">
        <f aca="false">Z92-Z95</f>
        <v>0</v>
      </c>
      <c r="AA96" s="65" t="n">
        <f aca="false">AA92-AA95</f>
        <v>0</v>
      </c>
      <c r="AB96" s="65" t="n">
        <f aca="false">AB92-AB95</f>
        <v>0</v>
      </c>
      <c r="AC96" s="65" t="n">
        <f aca="false">AC92-AC95</f>
        <v>0</v>
      </c>
      <c r="AD96" s="65" t="n">
        <f aca="false">AD92-AD95</f>
        <v>0</v>
      </c>
      <c r="AE96" s="65" t="n">
        <f aca="false">AE92-AE95</f>
        <v>0</v>
      </c>
      <c r="AF96" s="65" t="n">
        <f aca="false">AF92-AF95</f>
        <v>0</v>
      </c>
      <c r="AG96" s="65" t="n">
        <f aca="false">AG92-AG95</f>
        <v>0</v>
      </c>
      <c r="AH96" s="65" t="n">
        <f aca="false">AH92-AH95</f>
        <v>0</v>
      </c>
      <c r="AI96" s="65" t="n">
        <f aca="false">AI92-AI95</f>
        <v>0</v>
      </c>
      <c r="AJ96" s="65" t="n">
        <f aca="false">AJ92-AJ95</f>
        <v>0</v>
      </c>
      <c r="AK96" s="65" t="n">
        <f aca="false">AK92-AK95</f>
        <v>0</v>
      </c>
      <c r="AL96" s="65" t="n">
        <f aca="false">AL92-AL95</f>
        <v>0</v>
      </c>
      <c r="AM96" s="65" t="n">
        <f aca="false">AM92-AM95</f>
        <v>0</v>
      </c>
      <c r="AN96" s="65" t="n">
        <f aca="false">AN92-AN95</f>
        <v>0</v>
      </c>
      <c r="AO96" s="65" t="n">
        <f aca="false">AO92-AO95</f>
        <v>0</v>
      </c>
      <c r="AP96" s="65" t="n">
        <f aca="false">AP92-AP95</f>
        <v>0</v>
      </c>
      <c r="AQ96" s="65" t="n">
        <f aca="false">AQ92-AQ95</f>
        <v>0</v>
      </c>
      <c r="AR96" s="65" t="n">
        <f aca="false">AR92-AR95</f>
        <v>0</v>
      </c>
      <c r="AS96" s="65" t="n">
        <f aca="false">AS92-AS95</f>
        <v>0</v>
      </c>
      <c r="AT96" s="65" t="n">
        <f aca="false">AT92-AT95</f>
        <v>0</v>
      </c>
      <c r="AU96" s="65" t="n">
        <f aca="false">AU92-AU95</f>
        <v>0</v>
      </c>
      <c r="AV96" s="65" t="n">
        <f aca="false">AV92-AV95</f>
        <v>0</v>
      </c>
      <c r="AW96" s="65" t="n">
        <f aca="false">AW92-AW95</f>
        <v>0</v>
      </c>
      <c r="AX96" s="65" t="n">
        <f aca="false">AX92-AX95</f>
        <v>0</v>
      </c>
      <c r="AY96" s="65" t="n">
        <f aca="false">AY92-AY95</f>
        <v>0</v>
      </c>
      <c r="AZ96" s="65" t="n">
        <f aca="false">AZ92-AZ95</f>
        <v>0</v>
      </c>
      <c r="BA96" s="65" t="n">
        <f aca="false">BA92-BA95</f>
        <v>0</v>
      </c>
      <c r="BB96" s="65" t="n">
        <f aca="false">BB92-BB95</f>
        <v>0</v>
      </c>
      <c r="BC96" s="65" t="n">
        <f aca="false">BC92-BC95</f>
        <v>0</v>
      </c>
      <c r="BD96" s="65" t="n">
        <f aca="false">BD92-BD95</f>
        <v>0</v>
      </c>
      <c r="BE96" s="65" t="n">
        <f aca="false">BE92-BE95</f>
        <v>0</v>
      </c>
      <c r="BF96" s="65" t="n">
        <f aca="false">BF92-BF95</f>
        <v>0</v>
      </c>
      <c r="BG96" s="65" t="n">
        <f aca="false">BG92-BG95</f>
        <v>0</v>
      </c>
      <c r="BH96" s="65" t="n">
        <f aca="false">BH92-BH95</f>
        <v>0</v>
      </c>
      <c r="BI96" s="65" t="n">
        <f aca="false">BI92-BI95</f>
        <v>0</v>
      </c>
      <c r="BJ96" s="65" t="n">
        <f aca="false">BJ92-BJ95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442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344</v>
      </c>
    </row>
    <row r="3" customFormat="false" ht="15" hidden="false" customHeight="false" outlineLevel="0" collapsed="false">
      <c r="A3" s="33" t="s">
        <v>345</v>
      </c>
      <c r="C3" s="50" t="s">
        <v>346</v>
      </c>
      <c r="D3" s="50" t="s">
        <v>347</v>
      </c>
      <c r="E3" s="50" t="s">
        <v>348</v>
      </c>
      <c r="F3" s="50" t="s">
        <v>349</v>
      </c>
      <c r="G3" s="50" t="s">
        <v>350</v>
      </c>
      <c r="H3" s="50" t="s">
        <v>351</v>
      </c>
      <c r="I3" s="50" t="s">
        <v>352</v>
      </c>
      <c r="J3" s="50" t="s">
        <v>353</v>
      </c>
      <c r="K3" s="50" t="s">
        <v>354</v>
      </c>
      <c r="L3" s="50" t="s">
        <v>355</v>
      </c>
      <c r="M3" s="50" t="s">
        <v>356</v>
      </c>
      <c r="N3" s="50" t="s">
        <v>357</v>
      </c>
      <c r="O3" s="50" t="s">
        <v>358</v>
      </c>
      <c r="P3" s="50" t="s">
        <v>359</v>
      </c>
      <c r="Q3" s="50" t="s">
        <v>360</v>
      </c>
      <c r="R3" s="50" t="s">
        <v>361</v>
      </c>
      <c r="S3" s="50" t="s">
        <v>362</v>
      </c>
      <c r="T3" s="50" t="s">
        <v>363</v>
      </c>
      <c r="U3" s="50" t="s">
        <v>364</v>
      </c>
      <c r="V3" s="50" t="s">
        <v>365</v>
      </c>
      <c r="W3" s="50" t="s">
        <v>366</v>
      </c>
      <c r="X3" s="50" t="s">
        <v>367</v>
      </c>
      <c r="Y3" s="50" t="s">
        <v>368</v>
      </c>
      <c r="Z3" s="50" t="s">
        <v>369</v>
      </c>
      <c r="AA3" s="50" t="s">
        <v>370</v>
      </c>
      <c r="AB3" s="50" t="s">
        <v>371</v>
      </c>
      <c r="AC3" s="50" t="s">
        <v>372</v>
      </c>
      <c r="AD3" s="50" t="s">
        <v>373</v>
      </c>
      <c r="AE3" s="50" t="s">
        <v>374</v>
      </c>
      <c r="AF3" s="50" t="s">
        <v>375</v>
      </c>
      <c r="AG3" s="50" t="s">
        <v>376</v>
      </c>
      <c r="AH3" s="50" t="s">
        <v>377</v>
      </c>
      <c r="AI3" s="50" t="s">
        <v>378</v>
      </c>
      <c r="AJ3" s="50" t="s">
        <v>379</v>
      </c>
      <c r="AK3" s="50" t="s">
        <v>380</v>
      </c>
      <c r="AL3" s="50" t="s">
        <v>381</v>
      </c>
      <c r="AM3" s="50" t="s">
        <v>382</v>
      </c>
      <c r="AN3" s="50" t="s">
        <v>383</v>
      </c>
      <c r="AO3" s="50" t="s">
        <v>384</v>
      </c>
      <c r="AP3" s="50" t="s">
        <v>385</v>
      </c>
      <c r="AQ3" s="50" t="s">
        <v>386</v>
      </c>
      <c r="AR3" s="50" t="s">
        <v>387</v>
      </c>
      <c r="AS3" s="50" t="s">
        <v>388</v>
      </c>
      <c r="AT3" s="50" t="s">
        <v>389</v>
      </c>
      <c r="AU3" s="50" t="s">
        <v>390</v>
      </c>
      <c r="AV3" s="50" t="s">
        <v>391</v>
      </c>
      <c r="AW3" s="50" t="s">
        <v>392</v>
      </c>
      <c r="AX3" s="50" t="s">
        <v>393</v>
      </c>
      <c r="AY3" s="50" t="s">
        <v>394</v>
      </c>
      <c r="AZ3" s="50" t="s">
        <v>395</v>
      </c>
      <c r="BA3" s="50" t="s">
        <v>396</v>
      </c>
      <c r="BB3" s="50" t="s">
        <v>397</v>
      </c>
      <c r="BC3" s="50" t="s">
        <v>398</v>
      </c>
      <c r="BD3" s="50" t="s">
        <v>399</v>
      </c>
      <c r="BE3" s="50" t="s">
        <v>400</v>
      </c>
      <c r="BF3" s="50" t="s">
        <v>401</v>
      </c>
      <c r="BG3" s="50" t="s">
        <v>402</v>
      </c>
      <c r="BH3" s="50" t="s">
        <v>403</v>
      </c>
      <c r="BI3" s="50" t="s">
        <v>404</v>
      </c>
      <c r="BJ3" s="50" t="s">
        <v>405</v>
      </c>
    </row>
    <row r="4" customFormat="false" ht="15" hidden="false" customHeight="false" outlineLevel="0" collapsed="false">
      <c r="A4" s="70" t="s">
        <v>406</v>
      </c>
      <c r="C4" s="70" t="n">
        <v>1</v>
      </c>
      <c r="D4" s="70" t="n">
        <v>2</v>
      </c>
      <c r="E4" s="70" t="n">
        <v>3</v>
      </c>
      <c r="F4" s="70" t="n">
        <v>4</v>
      </c>
      <c r="G4" s="70" t="n">
        <v>5</v>
      </c>
      <c r="H4" s="70" t="n">
        <v>6</v>
      </c>
      <c r="I4" s="70" t="n">
        <v>7</v>
      </c>
      <c r="J4" s="70" t="n">
        <v>8</v>
      </c>
      <c r="K4" s="70" t="n">
        <v>9</v>
      </c>
      <c r="L4" s="70" t="n">
        <v>10</v>
      </c>
      <c r="M4" s="70" t="n">
        <v>11</v>
      </c>
      <c r="N4" s="70" t="n">
        <v>12</v>
      </c>
      <c r="O4" s="70" t="n">
        <v>13</v>
      </c>
      <c r="P4" s="70" t="n">
        <v>14</v>
      </c>
      <c r="Q4" s="70" t="n">
        <v>15</v>
      </c>
      <c r="R4" s="70" t="n">
        <v>16</v>
      </c>
      <c r="S4" s="70" t="n">
        <v>17</v>
      </c>
      <c r="T4" s="70" t="n">
        <v>18</v>
      </c>
      <c r="U4" s="70" t="n">
        <v>19</v>
      </c>
      <c r="V4" s="70" t="n">
        <v>20</v>
      </c>
      <c r="W4" s="70" t="n">
        <v>21</v>
      </c>
      <c r="X4" s="70" t="n">
        <v>22</v>
      </c>
      <c r="Y4" s="70" t="n">
        <v>23</v>
      </c>
      <c r="Z4" s="70" t="n">
        <v>24</v>
      </c>
      <c r="AA4" s="70" t="n">
        <v>25</v>
      </c>
      <c r="AB4" s="70" t="n">
        <v>26</v>
      </c>
      <c r="AC4" s="70" t="n">
        <v>27</v>
      </c>
      <c r="AD4" s="70" t="n">
        <v>28</v>
      </c>
      <c r="AE4" s="70" t="n">
        <v>29</v>
      </c>
      <c r="AF4" s="70" t="n">
        <v>30</v>
      </c>
      <c r="AG4" s="70" t="n">
        <v>31</v>
      </c>
      <c r="AH4" s="70" t="n">
        <v>32</v>
      </c>
      <c r="AI4" s="70" t="n">
        <v>33</v>
      </c>
      <c r="AJ4" s="70" t="n">
        <v>34</v>
      </c>
      <c r="AK4" s="70" t="n">
        <v>35</v>
      </c>
      <c r="AL4" s="70" t="n">
        <v>36</v>
      </c>
      <c r="AM4" s="70" t="n">
        <v>37</v>
      </c>
      <c r="AN4" s="70" t="n">
        <v>38</v>
      </c>
      <c r="AO4" s="70" t="n">
        <v>39</v>
      </c>
      <c r="AP4" s="70" t="n">
        <v>40</v>
      </c>
      <c r="AQ4" s="70" t="n">
        <v>41</v>
      </c>
      <c r="AR4" s="70" t="n">
        <v>42</v>
      </c>
      <c r="AS4" s="70" t="n">
        <v>43</v>
      </c>
      <c r="AT4" s="70" t="n">
        <v>44</v>
      </c>
      <c r="AU4" s="70" t="n">
        <v>45</v>
      </c>
      <c r="AV4" s="70" t="n">
        <v>46</v>
      </c>
      <c r="AW4" s="70" t="n">
        <v>47</v>
      </c>
      <c r="AX4" s="70" t="n">
        <v>48</v>
      </c>
      <c r="AY4" s="70" t="n">
        <v>49</v>
      </c>
      <c r="AZ4" s="70" t="n">
        <v>50</v>
      </c>
      <c r="BA4" s="70" t="n">
        <v>51</v>
      </c>
      <c r="BB4" s="70" t="n">
        <v>52</v>
      </c>
      <c r="BC4" s="70" t="n">
        <v>53</v>
      </c>
      <c r="BD4" s="70" t="n">
        <v>54</v>
      </c>
      <c r="BE4" s="70" t="n">
        <v>55</v>
      </c>
      <c r="BF4" s="70" t="n">
        <v>56</v>
      </c>
      <c r="BG4" s="70" t="n">
        <v>57</v>
      </c>
      <c r="BH4" s="70" t="n">
        <v>58</v>
      </c>
      <c r="BI4" s="70" t="n">
        <v>59</v>
      </c>
      <c r="BJ4" s="70" t="n">
        <v>60</v>
      </c>
    </row>
    <row r="5" customFormat="false" ht="15" hidden="false" customHeight="false" outlineLevel="0" collapsed="false">
      <c r="A5" s="70" t="s">
        <v>154</v>
      </c>
      <c r="C5" s="70" t="n">
        <f aca="false">ROUNDUP(C4*1/12,0)</f>
        <v>1</v>
      </c>
      <c r="D5" s="70" t="n">
        <f aca="false">ROUNDUP(D4*1/12,0)</f>
        <v>1</v>
      </c>
      <c r="E5" s="70" t="n">
        <f aca="false">ROUNDUP(E4*1/12,0)</f>
        <v>1</v>
      </c>
      <c r="F5" s="70" t="n">
        <f aca="false">ROUNDUP(F4*1/12,0)</f>
        <v>1</v>
      </c>
      <c r="G5" s="70" t="n">
        <f aca="false">ROUNDUP(G4*1/12,0)</f>
        <v>1</v>
      </c>
      <c r="H5" s="70" t="n">
        <f aca="false">ROUNDUP(H4*1/12,0)</f>
        <v>1</v>
      </c>
      <c r="I5" s="70" t="n">
        <f aca="false">ROUNDUP(I4*1/12,0)</f>
        <v>1</v>
      </c>
      <c r="J5" s="70" t="n">
        <f aca="false">ROUNDUP(J4*1/12,0)</f>
        <v>1</v>
      </c>
      <c r="K5" s="70" t="n">
        <f aca="false">ROUNDUP(K4*1/12,0)</f>
        <v>1</v>
      </c>
      <c r="L5" s="70" t="n">
        <f aca="false">ROUNDUP(L4*1/12,0)</f>
        <v>1</v>
      </c>
      <c r="M5" s="70" t="n">
        <f aca="false">ROUNDUP(M4*1/12,0)</f>
        <v>1</v>
      </c>
      <c r="N5" s="70" t="n">
        <f aca="false">ROUNDUP(N4*1/12,0)</f>
        <v>1</v>
      </c>
      <c r="O5" s="70" t="n">
        <f aca="false">ROUNDUP(O4*1/12,0)</f>
        <v>2</v>
      </c>
      <c r="P5" s="70" t="n">
        <f aca="false">ROUNDUP(P4*1/12,0)</f>
        <v>2</v>
      </c>
      <c r="Q5" s="70" t="n">
        <f aca="false">ROUNDUP(Q4*1/12,0)</f>
        <v>2</v>
      </c>
      <c r="R5" s="70" t="n">
        <f aca="false">ROUNDUP(R4*1/12,0)</f>
        <v>2</v>
      </c>
      <c r="S5" s="70" t="n">
        <f aca="false">ROUNDUP(S4*1/12,0)</f>
        <v>2</v>
      </c>
      <c r="T5" s="70" t="n">
        <f aca="false">ROUNDUP(T4*1/12,0)</f>
        <v>2</v>
      </c>
      <c r="U5" s="70" t="n">
        <f aca="false">ROUNDUP(U4*1/12,0)</f>
        <v>2</v>
      </c>
      <c r="V5" s="70" t="n">
        <f aca="false">ROUNDUP(V4*1/12,0)</f>
        <v>2</v>
      </c>
      <c r="W5" s="70" t="n">
        <f aca="false">ROUNDUP(W4*1/12,0)</f>
        <v>2</v>
      </c>
      <c r="X5" s="70" t="n">
        <f aca="false">ROUNDUP(X4*1/12,0)</f>
        <v>2</v>
      </c>
      <c r="Y5" s="70" t="n">
        <f aca="false">ROUNDUP(Y4*1/12,0)</f>
        <v>2</v>
      </c>
      <c r="Z5" s="70" t="n">
        <f aca="false">ROUNDUP(Z4*1/12,0)</f>
        <v>2</v>
      </c>
      <c r="AA5" s="70" t="n">
        <f aca="false">ROUNDUP(AA4*1/12,0)</f>
        <v>3</v>
      </c>
      <c r="AB5" s="70" t="n">
        <f aca="false">ROUNDUP(AB4*1/12,0)</f>
        <v>3</v>
      </c>
      <c r="AC5" s="70" t="n">
        <f aca="false">ROUNDUP(AC4*1/12,0)</f>
        <v>3</v>
      </c>
      <c r="AD5" s="70" t="n">
        <f aca="false">ROUNDUP(AD4*1/12,0)</f>
        <v>3</v>
      </c>
      <c r="AE5" s="70" t="n">
        <f aca="false">ROUNDUP(AE4*1/12,0)</f>
        <v>3</v>
      </c>
      <c r="AF5" s="70" t="n">
        <f aca="false">ROUNDUP(AF4*1/12,0)</f>
        <v>3</v>
      </c>
      <c r="AG5" s="70" t="n">
        <f aca="false">ROUNDUP(AG4*1/12,0)</f>
        <v>3</v>
      </c>
      <c r="AH5" s="70" t="n">
        <f aca="false">ROUNDUP(AH4*1/12,0)</f>
        <v>3</v>
      </c>
      <c r="AI5" s="70" t="n">
        <f aca="false">ROUNDUP(AI4*1/12,0)</f>
        <v>3</v>
      </c>
      <c r="AJ5" s="70" t="n">
        <f aca="false">ROUNDUP(AJ4*1/12,0)</f>
        <v>3</v>
      </c>
      <c r="AK5" s="70" t="n">
        <f aca="false">ROUNDUP(AK4*1/12,0)</f>
        <v>3</v>
      </c>
      <c r="AL5" s="70" t="n">
        <f aca="false">ROUNDUP(AL4*1/12,0)</f>
        <v>3</v>
      </c>
      <c r="AM5" s="70" t="n">
        <f aca="false">ROUNDUP(AM4*1/12,0)</f>
        <v>4</v>
      </c>
      <c r="AN5" s="70" t="n">
        <f aca="false">ROUNDUP(AN4*1/12,0)</f>
        <v>4</v>
      </c>
      <c r="AO5" s="70" t="n">
        <f aca="false">ROUNDUP(AO4*1/12,0)</f>
        <v>4</v>
      </c>
      <c r="AP5" s="70" t="n">
        <f aca="false">ROUNDUP(AP4*1/12,0)</f>
        <v>4</v>
      </c>
      <c r="AQ5" s="70" t="n">
        <f aca="false">ROUNDUP(AQ4*1/12,0)</f>
        <v>4</v>
      </c>
      <c r="AR5" s="70" t="n">
        <f aca="false">ROUNDUP(AR4*1/12,0)</f>
        <v>4</v>
      </c>
      <c r="AS5" s="70" t="n">
        <f aca="false">ROUNDUP(AS4*1/12,0)</f>
        <v>4</v>
      </c>
      <c r="AT5" s="70" t="n">
        <f aca="false">ROUNDUP(AT4*1/12,0)</f>
        <v>4</v>
      </c>
      <c r="AU5" s="70" t="n">
        <f aca="false">ROUNDUP(AU4*1/12,0)</f>
        <v>4</v>
      </c>
      <c r="AV5" s="70" t="n">
        <f aca="false">ROUNDUP(AV4*1/12,0)</f>
        <v>4</v>
      </c>
      <c r="AW5" s="70" t="n">
        <f aca="false">ROUNDUP(AW4*1/12,0)</f>
        <v>4</v>
      </c>
      <c r="AX5" s="70" t="n">
        <f aca="false">ROUNDUP(AX4*1/12,0)</f>
        <v>4</v>
      </c>
      <c r="AY5" s="70" t="n">
        <f aca="false">ROUNDUP(AY4*1/12,0)</f>
        <v>5</v>
      </c>
      <c r="AZ5" s="70" t="n">
        <f aca="false">ROUNDUP(AZ4*1/12,0)</f>
        <v>5</v>
      </c>
      <c r="BA5" s="70" t="n">
        <f aca="false">ROUNDUP(BA4*1/12,0)</f>
        <v>5</v>
      </c>
      <c r="BB5" s="70" t="n">
        <f aca="false">ROUNDUP(BB4*1/12,0)</f>
        <v>5</v>
      </c>
      <c r="BC5" s="70" t="n">
        <f aca="false">ROUNDUP(BC4*1/12,0)</f>
        <v>5</v>
      </c>
      <c r="BD5" s="70" t="n">
        <f aca="false">ROUNDUP(BD4*1/12,0)</f>
        <v>5</v>
      </c>
      <c r="BE5" s="70" t="n">
        <f aca="false">ROUNDUP(BE4*1/12,0)</f>
        <v>5</v>
      </c>
      <c r="BF5" s="70" t="n">
        <f aca="false">ROUNDUP(BF4*1/12,0)</f>
        <v>5</v>
      </c>
      <c r="BG5" s="70" t="n">
        <f aca="false">ROUNDUP(BG4*1/12,0)</f>
        <v>5</v>
      </c>
      <c r="BH5" s="70" t="n">
        <f aca="false">ROUNDUP(BH4*1/12,0)</f>
        <v>5</v>
      </c>
      <c r="BI5" s="70" t="n">
        <f aca="false">ROUNDUP(BI4*1/12,0)</f>
        <v>5</v>
      </c>
      <c r="BJ5" s="70" t="n">
        <f aca="false">ROUNDUP(BJ4*1/12,0)</f>
        <v>5</v>
      </c>
    </row>
    <row r="7" customFormat="false" ht="15.75" hidden="false" customHeight="true" outlineLevel="0" collapsed="false">
      <c r="A7" s="7" t="s">
        <v>443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444</v>
      </c>
      <c r="C8" s="114" t="n">
        <f aca="false">Inputs!$E$38*(1+Inputs!$E$40)^(C$5-1)*MAX(0,MIN(1,C$4*1-Inputs!$E$41+1))/1</f>
        <v>6</v>
      </c>
      <c r="D8" s="114" t="n">
        <f aca="false">Inputs!$E$38*(1+Inputs!$E$40)^(D$5-1)*MAX(0,MIN(1,D$4*1-Inputs!$E$41+1))/1</f>
        <v>6</v>
      </c>
      <c r="E8" s="114" t="n">
        <f aca="false">Inputs!$E$38*(1+Inputs!$E$40)^(E$5-1)*MAX(0,MIN(1,E$4*1-Inputs!$E$41+1))/1</f>
        <v>6</v>
      </c>
      <c r="F8" s="114" t="n">
        <f aca="false">Inputs!$E$38*(1+Inputs!$E$40)^(F$5-1)*MAX(0,MIN(1,F$4*1-Inputs!$E$41+1))/1</f>
        <v>6</v>
      </c>
      <c r="G8" s="114" t="n">
        <f aca="false">Inputs!$E$38*(1+Inputs!$E$40)^(G$5-1)*MAX(0,MIN(1,G$4*1-Inputs!$E$41+1))/1</f>
        <v>6</v>
      </c>
      <c r="H8" s="114" t="n">
        <f aca="false">Inputs!$E$38*(1+Inputs!$E$40)^(H$5-1)*MAX(0,MIN(1,H$4*1-Inputs!$E$41+1))/1</f>
        <v>6</v>
      </c>
      <c r="I8" s="114" t="n">
        <f aca="false">Inputs!$E$38*(1+Inputs!$E$40)^(I$5-1)*MAX(0,MIN(1,I$4*1-Inputs!$E$41+1))/1</f>
        <v>6</v>
      </c>
      <c r="J8" s="114" t="n">
        <f aca="false">Inputs!$E$38*(1+Inputs!$E$40)^(J$5-1)*MAX(0,MIN(1,J$4*1-Inputs!$E$41+1))/1</f>
        <v>6</v>
      </c>
      <c r="K8" s="114" t="n">
        <f aca="false">Inputs!$E$38*(1+Inputs!$E$40)^(K$5-1)*MAX(0,MIN(1,K$4*1-Inputs!$E$41+1))/1</f>
        <v>6</v>
      </c>
      <c r="L8" s="114" t="n">
        <f aca="false">Inputs!$E$38*(1+Inputs!$E$40)^(L$5-1)*MAX(0,MIN(1,L$4*1-Inputs!$E$41+1))/1</f>
        <v>6</v>
      </c>
      <c r="M8" s="114" t="n">
        <f aca="false">Inputs!$E$38*(1+Inputs!$E$40)^(M$5-1)*MAX(0,MIN(1,M$4*1-Inputs!$E$41+1))/1</f>
        <v>6</v>
      </c>
      <c r="N8" s="114" t="n">
        <f aca="false">Inputs!$E$38*(1+Inputs!$E$40)^(N$5-1)*MAX(0,MIN(1,N$4*1-Inputs!$E$41+1))/1</f>
        <v>6</v>
      </c>
      <c r="O8" s="114" t="n">
        <f aca="false">Inputs!$E$38*(1+Inputs!$E$40)^(O$5-1)*MAX(0,MIN(1,O$4*1-Inputs!$E$41+1))/1</f>
        <v>7.2</v>
      </c>
      <c r="P8" s="114" t="n">
        <f aca="false">Inputs!$E$38*(1+Inputs!$E$40)^(P$5-1)*MAX(0,MIN(1,P$4*1-Inputs!$E$41+1))/1</f>
        <v>7.2</v>
      </c>
      <c r="Q8" s="114" t="n">
        <f aca="false">Inputs!$E$38*(1+Inputs!$E$40)^(Q$5-1)*MAX(0,MIN(1,Q$4*1-Inputs!$E$41+1))/1</f>
        <v>7.2</v>
      </c>
      <c r="R8" s="114" t="n">
        <f aca="false">Inputs!$E$38*(1+Inputs!$E$40)^(R$5-1)*MAX(0,MIN(1,R$4*1-Inputs!$E$41+1))/1</f>
        <v>7.2</v>
      </c>
      <c r="S8" s="114" t="n">
        <f aca="false">Inputs!$E$38*(1+Inputs!$E$40)^(S$5-1)*MAX(0,MIN(1,S$4*1-Inputs!$E$41+1))/1</f>
        <v>7.2</v>
      </c>
      <c r="T8" s="114" t="n">
        <f aca="false">Inputs!$E$38*(1+Inputs!$E$40)^(T$5-1)*MAX(0,MIN(1,T$4*1-Inputs!$E$41+1))/1</f>
        <v>7.2</v>
      </c>
      <c r="U8" s="114" t="n">
        <f aca="false">Inputs!$E$38*(1+Inputs!$E$40)^(U$5-1)*MAX(0,MIN(1,U$4*1-Inputs!$E$41+1))/1</f>
        <v>7.2</v>
      </c>
      <c r="V8" s="114" t="n">
        <f aca="false">Inputs!$E$38*(1+Inputs!$E$40)^(V$5-1)*MAX(0,MIN(1,V$4*1-Inputs!$E$41+1))/1</f>
        <v>7.2</v>
      </c>
      <c r="W8" s="114" t="n">
        <f aca="false">Inputs!$E$38*(1+Inputs!$E$40)^(W$5-1)*MAX(0,MIN(1,W$4*1-Inputs!$E$41+1))/1</f>
        <v>7.2</v>
      </c>
      <c r="X8" s="114" t="n">
        <f aca="false">Inputs!$E$38*(1+Inputs!$E$40)^(X$5-1)*MAX(0,MIN(1,X$4*1-Inputs!$E$41+1))/1</f>
        <v>7.2</v>
      </c>
      <c r="Y8" s="114" t="n">
        <f aca="false">Inputs!$E$38*(1+Inputs!$E$40)^(Y$5-1)*MAX(0,MIN(1,Y$4*1-Inputs!$E$41+1))/1</f>
        <v>7.2</v>
      </c>
      <c r="Z8" s="114" t="n">
        <f aca="false">Inputs!$E$38*(1+Inputs!$E$40)^(Z$5-1)*MAX(0,MIN(1,Z$4*1-Inputs!$E$41+1))/1</f>
        <v>7.2</v>
      </c>
      <c r="AA8" s="114" t="n">
        <f aca="false">Inputs!$E$38*(1+Inputs!$E$40)^(AA$5-1)*MAX(0,MIN(1,AA$4*1-Inputs!$E$41+1))/1</f>
        <v>8.64</v>
      </c>
      <c r="AB8" s="114" t="n">
        <f aca="false">Inputs!$E$38*(1+Inputs!$E$40)^(AB$5-1)*MAX(0,MIN(1,AB$4*1-Inputs!$E$41+1))/1</f>
        <v>8.64</v>
      </c>
      <c r="AC8" s="114" t="n">
        <f aca="false">Inputs!$E$38*(1+Inputs!$E$40)^(AC$5-1)*MAX(0,MIN(1,AC$4*1-Inputs!$E$41+1))/1</f>
        <v>8.64</v>
      </c>
      <c r="AD8" s="114" t="n">
        <f aca="false">Inputs!$E$38*(1+Inputs!$E$40)^(AD$5-1)*MAX(0,MIN(1,AD$4*1-Inputs!$E$41+1))/1</f>
        <v>8.64</v>
      </c>
      <c r="AE8" s="114" t="n">
        <f aca="false">Inputs!$E$38*(1+Inputs!$E$40)^(AE$5-1)*MAX(0,MIN(1,AE$4*1-Inputs!$E$41+1))/1</f>
        <v>8.64</v>
      </c>
      <c r="AF8" s="114" t="n">
        <f aca="false">Inputs!$E$38*(1+Inputs!$E$40)^(AF$5-1)*MAX(0,MIN(1,AF$4*1-Inputs!$E$41+1))/1</f>
        <v>8.64</v>
      </c>
      <c r="AG8" s="114" t="n">
        <f aca="false">Inputs!$E$38*(1+Inputs!$E$40)^(AG$5-1)*MAX(0,MIN(1,AG$4*1-Inputs!$E$41+1))/1</f>
        <v>8.64</v>
      </c>
      <c r="AH8" s="114" t="n">
        <f aca="false">Inputs!$E$38*(1+Inputs!$E$40)^(AH$5-1)*MAX(0,MIN(1,AH$4*1-Inputs!$E$41+1))/1</f>
        <v>8.64</v>
      </c>
      <c r="AI8" s="114" t="n">
        <f aca="false">Inputs!$E$38*(1+Inputs!$E$40)^(AI$5-1)*MAX(0,MIN(1,AI$4*1-Inputs!$E$41+1))/1</f>
        <v>8.64</v>
      </c>
      <c r="AJ8" s="114" t="n">
        <f aca="false">Inputs!$E$38*(1+Inputs!$E$40)^(AJ$5-1)*MAX(0,MIN(1,AJ$4*1-Inputs!$E$41+1))/1</f>
        <v>8.64</v>
      </c>
      <c r="AK8" s="114" t="n">
        <f aca="false">Inputs!$E$38*(1+Inputs!$E$40)^(AK$5-1)*MAX(0,MIN(1,AK$4*1-Inputs!$E$41+1))/1</f>
        <v>8.64</v>
      </c>
      <c r="AL8" s="114" t="n">
        <f aca="false">Inputs!$E$38*(1+Inputs!$E$40)^(AL$5-1)*MAX(0,MIN(1,AL$4*1-Inputs!$E$41+1))/1</f>
        <v>8.64</v>
      </c>
      <c r="AM8" s="114" t="n">
        <f aca="false">Inputs!$E$38*(1+Inputs!$E$40)^(AM$5-1)*MAX(0,MIN(1,AM$4*1-Inputs!$E$41+1))/1</f>
        <v>10.368</v>
      </c>
      <c r="AN8" s="114" t="n">
        <f aca="false">Inputs!$E$38*(1+Inputs!$E$40)^(AN$5-1)*MAX(0,MIN(1,AN$4*1-Inputs!$E$41+1))/1</f>
        <v>10.368</v>
      </c>
      <c r="AO8" s="114" t="n">
        <f aca="false">Inputs!$E$38*(1+Inputs!$E$40)^(AO$5-1)*MAX(0,MIN(1,AO$4*1-Inputs!$E$41+1))/1</f>
        <v>10.368</v>
      </c>
      <c r="AP8" s="114" t="n">
        <f aca="false">Inputs!$E$38*(1+Inputs!$E$40)^(AP$5-1)*MAX(0,MIN(1,AP$4*1-Inputs!$E$41+1))/1</f>
        <v>10.368</v>
      </c>
      <c r="AQ8" s="114" t="n">
        <f aca="false">Inputs!$E$38*(1+Inputs!$E$40)^(AQ$5-1)*MAX(0,MIN(1,AQ$4*1-Inputs!$E$41+1))/1</f>
        <v>10.368</v>
      </c>
      <c r="AR8" s="114" t="n">
        <f aca="false">Inputs!$E$38*(1+Inputs!$E$40)^(AR$5-1)*MAX(0,MIN(1,AR$4*1-Inputs!$E$41+1))/1</f>
        <v>10.368</v>
      </c>
      <c r="AS8" s="114" t="n">
        <f aca="false">Inputs!$E$38*(1+Inputs!$E$40)^(AS$5-1)*MAX(0,MIN(1,AS$4*1-Inputs!$E$41+1))/1</f>
        <v>10.368</v>
      </c>
      <c r="AT8" s="114" t="n">
        <f aca="false">Inputs!$E$38*(1+Inputs!$E$40)^(AT$5-1)*MAX(0,MIN(1,AT$4*1-Inputs!$E$41+1))/1</f>
        <v>10.368</v>
      </c>
      <c r="AU8" s="114" t="n">
        <f aca="false">Inputs!$E$38*(1+Inputs!$E$40)^(AU$5-1)*MAX(0,MIN(1,AU$4*1-Inputs!$E$41+1))/1</f>
        <v>10.368</v>
      </c>
      <c r="AV8" s="114" t="n">
        <f aca="false">Inputs!$E$38*(1+Inputs!$E$40)^(AV$5-1)*MAX(0,MIN(1,AV$4*1-Inputs!$E$41+1))/1</f>
        <v>10.368</v>
      </c>
      <c r="AW8" s="114" t="n">
        <f aca="false">Inputs!$E$38*(1+Inputs!$E$40)^(AW$5-1)*MAX(0,MIN(1,AW$4*1-Inputs!$E$41+1))/1</f>
        <v>10.368</v>
      </c>
      <c r="AX8" s="114" t="n">
        <f aca="false">Inputs!$E$38*(1+Inputs!$E$40)^(AX$5-1)*MAX(0,MIN(1,AX$4*1-Inputs!$E$41+1))/1</f>
        <v>10.368</v>
      </c>
      <c r="AY8" s="114" t="n">
        <f aca="false">Inputs!$E$38*(1+Inputs!$E$40)^(AY$5-1)*MAX(0,MIN(1,AY$4*1-Inputs!$E$41+1))/1</f>
        <v>12.4416</v>
      </c>
      <c r="AZ8" s="114" t="n">
        <f aca="false">Inputs!$E$38*(1+Inputs!$E$40)^(AZ$5-1)*MAX(0,MIN(1,AZ$4*1-Inputs!$E$41+1))/1</f>
        <v>12.4416</v>
      </c>
      <c r="BA8" s="114" t="n">
        <f aca="false">Inputs!$E$38*(1+Inputs!$E$40)^(BA$5-1)*MAX(0,MIN(1,BA$4*1-Inputs!$E$41+1))/1</f>
        <v>12.4416</v>
      </c>
      <c r="BB8" s="114" t="n">
        <f aca="false">Inputs!$E$38*(1+Inputs!$E$40)^(BB$5-1)*MAX(0,MIN(1,BB$4*1-Inputs!$E$41+1))/1</f>
        <v>12.4416</v>
      </c>
      <c r="BC8" s="114" t="n">
        <f aca="false">Inputs!$E$38*(1+Inputs!$E$40)^(BC$5-1)*MAX(0,MIN(1,BC$4*1-Inputs!$E$41+1))/1</f>
        <v>12.4416</v>
      </c>
      <c r="BD8" s="114" t="n">
        <f aca="false">Inputs!$E$38*(1+Inputs!$E$40)^(BD$5-1)*MAX(0,MIN(1,BD$4*1-Inputs!$E$41+1))/1</f>
        <v>12.4416</v>
      </c>
      <c r="BE8" s="114" t="n">
        <f aca="false">Inputs!$E$38*(1+Inputs!$E$40)^(BE$5-1)*MAX(0,MIN(1,BE$4*1-Inputs!$E$41+1))/1</f>
        <v>12.4416</v>
      </c>
      <c r="BF8" s="114" t="n">
        <f aca="false">Inputs!$E$38*(1+Inputs!$E$40)^(BF$5-1)*MAX(0,MIN(1,BF$4*1-Inputs!$E$41+1))/1</f>
        <v>12.4416</v>
      </c>
      <c r="BG8" s="114" t="n">
        <f aca="false">Inputs!$E$38*(1+Inputs!$E$40)^(BG$5-1)*MAX(0,MIN(1,BG$4*1-Inputs!$E$41+1))/1</f>
        <v>12.4416</v>
      </c>
      <c r="BH8" s="114" t="n">
        <f aca="false">Inputs!$E$38*(1+Inputs!$E$40)^(BH$5-1)*MAX(0,MIN(1,BH$4*1-Inputs!$E$41+1))/1</f>
        <v>12.4416</v>
      </c>
      <c r="BI8" s="114" t="n">
        <f aca="false">Inputs!$E$38*(1+Inputs!$E$40)^(BI$5-1)*MAX(0,MIN(1,BI$4*1-Inputs!$E$41+1))/1</f>
        <v>12.4416</v>
      </c>
      <c r="BJ8" s="114" t="n">
        <f aca="false">Inputs!$E$38*(1+Inputs!$E$40)^(BJ$5-1)*MAX(0,MIN(1,BJ$4*1-Inputs!$E$41+1))/1</f>
        <v>12.4416</v>
      </c>
    </row>
    <row r="9" customFormat="false" ht="15" hidden="false" customHeight="false" outlineLevel="0" collapsed="false">
      <c r="A9" s="6" t="s">
        <v>445</v>
      </c>
      <c r="C9" s="114" t="n">
        <f aca="false">Inputs!$E$42*(1+Inputs!$E$44)^(C$5-1)*MAX(0,MIN(1,C$4*1-Inputs!$E$45+1))/1</f>
        <v>4</v>
      </c>
      <c r="D9" s="114" t="n">
        <f aca="false">Inputs!$E$42*(1+Inputs!$E$44)^(D$5-1)*MAX(0,MIN(1,D$4*1-Inputs!$E$45+1))/1</f>
        <v>4</v>
      </c>
      <c r="E9" s="114" t="n">
        <f aca="false">Inputs!$E$42*(1+Inputs!$E$44)^(E$5-1)*MAX(0,MIN(1,E$4*1-Inputs!$E$45+1))/1</f>
        <v>4</v>
      </c>
      <c r="F9" s="114" t="n">
        <f aca="false">Inputs!$E$42*(1+Inputs!$E$44)^(F$5-1)*MAX(0,MIN(1,F$4*1-Inputs!$E$45+1))/1</f>
        <v>4</v>
      </c>
      <c r="G9" s="114" t="n">
        <f aca="false">Inputs!$E$42*(1+Inputs!$E$44)^(G$5-1)*MAX(0,MIN(1,G$4*1-Inputs!$E$45+1))/1</f>
        <v>4</v>
      </c>
      <c r="H9" s="114" t="n">
        <f aca="false">Inputs!$E$42*(1+Inputs!$E$44)^(H$5-1)*MAX(0,MIN(1,H$4*1-Inputs!$E$45+1))/1</f>
        <v>4</v>
      </c>
      <c r="I9" s="114" t="n">
        <f aca="false">Inputs!$E$42*(1+Inputs!$E$44)^(I$5-1)*MAX(0,MIN(1,I$4*1-Inputs!$E$45+1))/1</f>
        <v>4</v>
      </c>
      <c r="J9" s="114" t="n">
        <f aca="false">Inputs!$E$42*(1+Inputs!$E$44)^(J$5-1)*MAX(0,MIN(1,J$4*1-Inputs!$E$45+1))/1</f>
        <v>4</v>
      </c>
      <c r="K9" s="114" t="n">
        <f aca="false">Inputs!$E$42*(1+Inputs!$E$44)^(K$5-1)*MAX(0,MIN(1,K$4*1-Inputs!$E$45+1))/1</f>
        <v>4</v>
      </c>
      <c r="L9" s="114" t="n">
        <f aca="false">Inputs!$E$42*(1+Inputs!$E$44)^(L$5-1)*MAX(0,MIN(1,L$4*1-Inputs!$E$45+1))/1</f>
        <v>4</v>
      </c>
      <c r="M9" s="114" t="n">
        <f aca="false">Inputs!$E$42*(1+Inputs!$E$44)^(M$5-1)*MAX(0,MIN(1,M$4*1-Inputs!$E$45+1))/1</f>
        <v>4</v>
      </c>
      <c r="N9" s="114" t="n">
        <f aca="false">Inputs!$E$42*(1+Inputs!$E$44)^(N$5-1)*MAX(0,MIN(1,N$4*1-Inputs!$E$45+1))/1</f>
        <v>4</v>
      </c>
      <c r="O9" s="114" t="n">
        <f aca="false">Inputs!$E$42*(1+Inputs!$E$44)^(O$5-1)*MAX(0,MIN(1,O$4*1-Inputs!$E$45+1))/1</f>
        <v>4.8</v>
      </c>
      <c r="P9" s="114" t="n">
        <f aca="false">Inputs!$E$42*(1+Inputs!$E$44)^(P$5-1)*MAX(0,MIN(1,P$4*1-Inputs!$E$45+1))/1</f>
        <v>4.8</v>
      </c>
      <c r="Q9" s="114" t="n">
        <f aca="false">Inputs!$E$42*(1+Inputs!$E$44)^(Q$5-1)*MAX(0,MIN(1,Q$4*1-Inputs!$E$45+1))/1</f>
        <v>4.8</v>
      </c>
      <c r="R9" s="114" t="n">
        <f aca="false">Inputs!$E$42*(1+Inputs!$E$44)^(R$5-1)*MAX(0,MIN(1,R$4*1-Inputs!$E$45+1))/1</f>
        <v>4.8</v>
      </c>
      <c r="S9" s="114" t="n">
        <f aca="false">Inputs!$E$42*(1+Inputs!$E$44)^(S$5-1)*MAX(0,MIN(1,S$4*1-Inputs!$E$45+1))/1</f>
        <v>4.8</v>
      </c>
      <c r="T9" s="114" t="n">
        <f aca="false">Inputs!$E$42*(1+Inputs!$E$44)^(T$5-1)*MAX(0,MIN(1,T$4*1-Inputs!$E$45+1))/1</f>
        <v>4.8</v>
      </c>
      <c r="U9" s="114" t="n">
        <f aca="false">Inputs!$E$42*(1+Inputs!$E$44)^(U$5-1)*MAX(0,MIN(1,U$4*1-Inputs!$E$45+1))/1</f>
        <v>4.8</v>
      </c>
      <c r="V9" s="114" t="n">
        <f aca="false">Inputs!$E$42*(1+Inputs!$E$44)^(V$5-1)*MAX(0,MIN(1,V$4*1-Inputs!$E$45+1))/1</f>
        <v>4.8</v>
      </c>
      <c r="W9" s="114" t="n">
        <f aca="false">Inputs!$E$42*(1+Inputs!$E$44)^(W$5-1)*MAX(0,MIN(1,W$4*1-Inputs!$E$45+1))/1</f>
        <v>4.8</v>
      </c>
      <c r="X9" s="114" t="n">
        <f aca="false">Inputs!$E$42*(1+Inputs!$E$44)^(X$5-1)*MAX(0,MIN(1,X$4*1-Inputs!$E$45+1))/1</f>
        <v>4.8</v>
      </c>
      <c r="Y9" s="114" t="n">
        <f aca="false">Inputs!$E$42*(1+Inputs!$E$44)^(Y$5-1)*MAX(0,MIN(1,Y$4*1-Inputs!$E$45+1))/1</f>
        <v>4.8</v>
      </c>
      <c r="Z9" s="114" t="n">
        <f aca="false">Inputs!$E$42*(1+Inputs!$E$44)^(Z$5-1)*MAX(0,MIN(1,Z$4*1-Inputs!$E$45+1))/1</f>
        <v>4.8</v>
      </c>
      <c r="AA9" s="114" t="n">
        <f aca="false">Inputs!$E$42*(1+Inputs!$E$44)^(AA$5-1)*MAX(0,MIN(1,AA$4*1-Inputs!$E$45+1))/1</f>
        <v>5.76</v>
      </c>
      <c r="AB9" s="114" t="n">
        <f aca="false">Inputs!$E$42*(1+Inputs!$E$44)^(AB$5-1)*MAX(0,MIN(1,AB$4*1-Inputs!$E$45+1))/1</f>
        <v>5.76</v>
      </c>
      <c r="AC9" s="114" t="n">
        <f aca="false">Inputs!$E$42*(1+Inputs!$E$44)^(AC$5-1)*MAX(0,MIN(1,AC$4*1-Inputs!$E$45+1))/1</f>
        <v>5.76</v>
      </c>
      <c r="AD9" s="114" t="n">
        <f aca="false">Inputs!$E$42*(1+Inputs!$E$44)^(AD$5-1)*MAX(0,MIN(1,AD$4*1-Inputs!$E$45+1))/1</f>
        <v>5.76</v>
      </c>
      <c r="AE9" s="114" t="n">
        <f aca="false">Inputs!$E$42*(1+Inputs!$E$44)^(AE$5-1)*MAX(0,MIN(1,AE$4*1-Inputs!$E$45+1))/1</f>
        <v>5.76</v>
      </c>
      <c r="AF9" s="114" t="n">
        <f aca="false">Inputs!$E$42*(1+Inputs!$E$44)^(AF$5-1)*MAX(0,MIN(1,AF$4*1-Inputs!$E$45+1))/1</f>
        <v>5.76</v>
      </c>
      <c r="AG9" s="114" t="n">
        <f aca="false">Inputs!$E$42*(1+Inputs!$E$44)^(AG$5-1)*MAX(0,MIN(1,AG$4*1-Inputs!$E$45+1))/1</f>
        <v>5.76</v>
      </c>
      <c r="AH9" s="114" t="n">
        <f aca="false">Inputs!$E$42*(1+Inputs!$E$44)^(AH$5-1)*MAX(0,MIN(1,AH$4*1-Inputs!$E$45+1))/1</f>
        <v>5.76</v>
      </c>
      <c r="AI9" s="114" t="n">
        <f aca="false">Inputs!$E$42*(1+Inputs!$E$44)^(AI$5-1)*MAX(0,MIN(1,AI$4*1-Inputs!$E$45+1))/1</f>
        <v>5.76</v>
      </c>
      <c r="AJ9" s="114" t="n">
        <f aca="false">Inputs!$E$42*(1+Inputs!$E$44)^(AJ$5-1)*MAX(0,MIN(1,AJ$4*1-Inputs!$E$45+1))/1</f>
        <v>5.76</v>
      </c>
      <c r="AK9" s="114" t="n">
        <f aca="false">Inputs!$E$42*(1+Inputs!$E$44)^(AK$5-1)*MAX(0,MIN(1,AK$4*1-Inputs!$E$45+1))/1</f>
        <v>5.76</v>
      </c>
      <c r="AL9" s="114" t="n">
        <f aca="false">Inputs!$E$42*(1+Inputs!$E$44)^(AL$5-1)*MAX(0,MIN(1,AL$4*1-Inputs!$E$45+1))/1</f>
        <v>5.76</v>
      </c>
      <c r="AM9" s="114" t="n">
        <f aca="false">Inputs!$E$42*(1+Inputs!$E$44)^(AM$5-1)*MAX(0,MIN(1,AM$4*1-Inputs!$E$45+1))/1</f>
        <v>6.912</v>
      </c>
      <c r="AN9" s="114" t="n">
        <f aca="false">Inputs!$E$42*(1+Inputs!$E$44)^(AN$5-1)*MAX(0,MIN(1,AN$4*1-Inputs!$E$45+1))/1</f>
        <v>6.912</v>
      </c>
      <c r="AO9" s="114" t="n">
        <f aca="false">Inputs!$E$42*(1+Inputs!$E$44)^(AO$5-1)*MAX(0,MIN(1,AO$4*1-Inputs!$E$45+1))/1</f>
        <v>6.912</v>
      </c>
      <c r="AP9" s="114" t="n">
        <f aca="false">Inputs!$E$42*(1+Inputs!$E$44)^(AP$5-1)*MAX(0,MIN(1,AP$4*1-Inputs!$E$45+1))/1</f>
        <v>6.912</v>
      </c>
      <c r="AQ9" s="114" t="n">
        <f aca="false">Inputs!$E$42*(1+Inputs!$E$44)^(AQ$5-1)*MAX(0,MIN(1,AQ$4*1-Inputs!$E$45+1))/1</f>
        <v>6.912</v>
      </c>
      <c r="AR9" s="114" t="n">
        <f aca="false">Inputs!$E$42*(1+Inputs!$E$44)^(AR$5-1)*MAX(0,MIN(1,AR$4*1-Inputs!$E$45+1))/1</f>
        <v>6.912</v>
      </c>
      <c r="AS9" s="114" t="n">
        <f aca="false">Inputs!$E$42*(1+Inputs!$E$44)^(AS$5-1)*MAX(0,MIN(1,AS$4*1-Inputs!$E$45+1))/1</f>
        <v>6.912</v>
      </c>
      <c r="AT9" s="114" t="n">
        <f aca="false">Inputs!$E$42*(1+Inputs!$E$44)^(AT$5-1)*MAX(0,MIN(1,AT$4*1-Inputs!$E$45+1))/1</f>
        <v>6.912</v>
      </c>
      <c r="AU9" s="114" t="n">
        <f aca="false">Inputs!$E$42*(1+Inputs!$E$44)^(AU$5-1)*MAX(0,MIN(1,AU$4*1-Inputs!$E$45+1))/1</f>
        <v>6.912</v>
      </c>
      <c r="AV9" s="114" t="n">
        <f aca="false">Inputs!$E$42*(1+Inputs!$E$44)^(AV$5-1)*MAX(0,MIN(1,AV$4*1-Inputs!$E$45+1))/1</f>
        <v>6.912</v>
      </c>
      <c r="AW9" s="114" t="n">
        <f aca="false">Inputs!$E$42*(1+Inputs!$E$44)^(AW$5-1)*MAX(0,MIN(1,AW$4*1-Inputs!$E$45+1))/1</f>
        <v>6.912</v>
      </c>
      <c r="AX9" s="114" t="n">
        <f aca="false">Inputs!$E$42*(1+Inputs!$E$44)^(AX$5-1)*MAX(0,MIN(1,AX$4*1-Inputs!$E$45+1))/1</f>
        <v>6.912</v>
      </c>
      <c r="AY9" s="114" t="n">
        <f aca="false">Inputs!$E$42*(1+Inputs!$E$44)^(AY$5-1)*MAX(0,MIN(1,AY$4*1-Inputs!$E$45+1))/1</f>
        <v>8.2944</v>
      </c>
      <c r="AZ9" s="114" t="n">
        <f aca="false">Inputs!$E$42*(1+Inputs!$E$44)^(AZ$5-1)*MAX(0,MIN(1,AZ$4*1-Inputs!$E$45+1))/1</f>
        <v>8.2944</v>
      </c>
      <c r="BA9" s="114" t="n">
        <f aca="false">Inputs!$E$42*(1+Inputs!$E$44)^(BA$5-1)*MAX(0,MIN(1,BA$4*1-Inputs!$E$45+1))/1</f>
        <v>8.2944</v>
      </c>
      <c r="BB9" s="114" t="n">
        <f aca="false">Inputs!$E$42*(1+Inputs!$E$44)^(BB$5-1)*MAX(0,MIN(1,BB$4*1-Inputs!$E$45+1))/1</f>
        <v>8.2944</v>
      </c>
      <c r="BC9" s="114" t="n">
        <f aca="false">Inputs!$E$42*(1+Inputs!$E$44)^(BC$5-1)*MAX(0,MIN(1,BC$4*1-Inputs!$E$45+1))/1</f>
        <v>8.2944</v>
      </c>
      <c r="BD9" s="114" t="n">
        <f aca="false">Inputs!$E$42*(1+Inputs!$E$44)^(BD$5-1)*MAX(0,MIN(1,BD$4*1-Inputs!$E$45+1))/1</f>
        <v>8.2944</v>
      </c>
      <c r="BE9" s="114" t="n">
        <f aca="false">Inputs!$E$42*(1+Inputs!$E$44)^(BE$5-1)*MAX(0,MIN(1,BE$4*1-Inputs!$E$45+1))/1</f>
        <v>8.2944</v>
      </c>
      <c r="BF9" s="114" t="n">
        <f aca="false">Inputs!$E$42*(1+Inputs!$E$44)^(BF$5-1)*MAX(0,MIN(1,BF$4*1-Inputs!$E$45+1))/1</f>
        <v>8.2944</v>
      </c>
      <c r="BG9" s="114" t="n">
        <f aca="false">Inputs!$E$42*(1+Inputs!$E$44)^(BG$5-1)*MAX(0,MIN(1,BG$4*1-Inputs!$E$45+1))/1</f>
        <v>8.2944</v>
      </c>
      <c r="BH9" s="114" t="n">
        <f aca="false">Inputs!$E$42*(1+Inputs!$E$44)^(BH$5-1)*MAX(0,MIN(1,BH$4*1-Inputs!$E$45+1))/1</f>
        <v>8.2944</v>
      </c>
      <c r="BI9" s="114" t="n">
        <f aca="false">Inputs!$E$42*(1+Inputs!$E$44)^(BI$5-1)*MAX(0,MIN(1,BI$4*1-Inputs!$E$45+1))/1</f>
        <v>8.2944</v>
      </c>
      <c r="BJ9" s="114" t="n">
        <f aca="false">Inputs!$E$42*(1+Inputs!$E$44)^(BJ$5-1)*MAX(0,MIN(1,BJ$4*1-Inputs!$E$45+1))/1</f>
        <v>8.2944</v>
      </c>
    </row>
    <row r="10" customFormat="false" ht="15" hidden="false" customHeight="false" outlineLevel="0" collapsed="false">
      <c r="A10" s="6" t="s">
        <v>446</v>
      </c>
      <c r="C10" s="114" t="n">
        <f aca="false">Inputs!$E$46*(1+Inputs!$E$48)^(C$5-1)*MAX(0,MIN(1,C$4*1-Inputs!$E$49+1))/1</f>
        <v>8</v>
      </c>
      <c r="D10" s="114" t="n">
        <f aca="false">Inputs!$E$46*(1+Inputs!$E$48)^(D$5-1)*MAX(0,MIN(1,D$4*1-Inputs!$E$49+1))/1</f>
        <v>8</v>
      </c>
      <c r="E10" s="114" t="n">
        <f aca="false">Inputs!$E$46*(1+Inputs!$E$48)^(E$5-1)*MAX(0,MIN(1,E$4*1-Inputs!$E$49+1))/1</f>
        <v>8</v>
      </c>
      <c r="F10" s="114" t="n">
        <f aca="false">Inputs!$E$46*(1+Inputs!$E$48)^(F$5-1)*MAX(0,MIN(1,F$4*1-Inputs!$E$49+1))/1</f>
        <v>8</v>
      </c>
      <c r="G10" s="114" t="n">
        <f aca="false">Inputs!$E$46*(1+Inputs!$E$48)^(G$5-1)*MAX(0,MIN(1,G$4*1-Inputs!$E$49+1))/1</f>
        <v>8</v>
      </c>
      <c r="H10" s="114" t="n">
        <f aca="false">Inputs!$E$46*(1+Inputs!$E$48)^(H$5-1)*MAX(0,MIN(1,H$4*1-Inputs!$E$49+1))/1</f>
        <v>8</v>
      </c>
      <c r="I10" s="114" t="n">
        <f aca="false">Inputs!$E$46*(1+Inputs!$E$48)^(I$5-1)*MAX(0,MIN(1,I$4*1-Inputs!$E$49+1))/1</f>
        <v>8</v>
      </c>
      <c r="J10" s="114" t="n">
        <f aca="false">Inputs!$E$46*(1+Inputs!$E$48)^(J$5-1)*MAX(0,MIN(1,J$4*1-Inputs!$E$49+1))/1</f>
        <v>8</v>
      </c>
      <c r="K10" s="114" t="n">
        <f aca="false">Inputs!$E$46*(1+Inputs!$E$48)^(K$5-1)*MAX(0,MIN(1,K$4*1-Inputs!$E$49+1))/1</f>
        <v>8</v>
      </c>
      <c r="L10" s="114" t="n">
        <f aca="false">Inputs!$E$46*(1+Inputs!$E$48)^(L$5-1)*MAX(0,MIN(1,L$4*1-Inputs!$E$49+1))/1</f>
        <v>8</v>
      </c>
      <c r="M10" s="114" t="n">
        <f aca="false">Inputs!$E$46*(1+Inputs!$E$48)^(M$5-1)*MAX(0,MIN(1,M$4*1-Inputs!$E$49+1))/1</f>
        <v>8</v>
      </c>
      <c r="N10" s="114" t="n">
        <f aca="false">Inputs!$E$46*(1+Inputs!$E$48)^(N$5-1)*MAX(0,MIN(1,N$4*1-Inputs!$E$49+1))/1</f>
        <v>8</v>
      </c>
      <c r="O10" s="114" t="n">
        <f aca="false">Inputs!$E$46*(1+Inputs!$E$48)^(O$5-1)*MAX(0,MIN(1,O$4*1-Inputs!$E$49+1))/1</f>
        <v>10.4</v>
      </c>
      <c r="P10" s="114" t="n">
        <f aca="false">Inputs!$E$46*(1+Inputs!$E$48)^(P$5-1)*MAX(0,MIN(1,P$4*1-Inputs!$E$49+1))/1</f>
        <v>10.4</v>
      </c>
      <c r="Q10" s="114" t="n">
        <f aca="false">Inputs!$E$46*(1+Inputs!$E$48)^(Q$5-1)*MAX(0,MIN(1,Q$4*1-Inputs!$E$49+1))/1</f>
        <v>10.4</v>
      </c>
      <c r="R10" s="114" t="n">
        <f aca="false">Inputs!$E$46*(1+Inputs!$E$48)^(R$5-1)*MAX(0,MIN(1,R$4*1-Inputs!$E$49+1))/1</f>
        <v>10.4</v>
      </c>
      <c r="S10" s="114" t="n">
        <f aca="false">Inputs!$E$46*(1+Inputs!$E$48)^(S$5-1)*MAX(0,MIN(1,S$4*1-Inputs!$E$49+1))/1</f>
        <v>10.4</v>
      </c>
      <c r="T10" s="114" t="n">
        <f aca="false">Inputs!$E$46*(1+Inputs!$E$48)^(T$5-1)*MAX(0,MIN(1,T$4*1-Inputs!$E$49+1))/1</f>
        <v>10.4</v>
      </c>
      <c r="U10" s="114" t="n">
        <f aca="false">Inputs!$E$46*(1+Inputs!$E$48)^(U$5-1)*MAX(0,MIN(1,U$4*1-Inputs!$E$49+1))/1</f>
        <v>10.4</v>
      </c>
      <c r="V10" s="114" t="n">
        <f aca="false">Inputs!$E$46*(1+Inputs!$E$48)^(V$5-1)*MAX(0,MIN(1,V$4*1-Inputs!$E$49+1))/1</f>
        <v>10.4</v>
      </c>
      <c r="W10" s="114" t="n">
        <f aca="false">Inputs!$E$46*(1+Inputs!$E$48)^(W$5-1)*MAX(0,MIN(1,W$4*1-Inputs!$E$49+1))/1</f>
        <v>10.4</v>
      </c>
      <c r="X10" s="114" t="n">
        <f aca="false">Inputs!$E$46*(1+Inputs!$E$48)^(X$5-1)*MAX(0,MIN(1,X$4*1-Inputs!$E$49+1))/1</f>
        <v>10.4</v>
      </c>
      <c r="Y10" s="114" t="n">
        <f aca="false">Inputs!$E$46*(1+Inputs!$E$48)^(Y$5-1)*MAX(0,MIN(1,Y$4*1-Inputs!$E$49+1))/1</f>
        <v>10.4</v>
      </c>
      <c r="Z10" s="114" t="n">
        <f aca="false">Inputs!$E$46*(1+Inputs!$E$48)^(Z$5-1)*MAX(0,MIN(1,Z$4*1-Inputs!$E$49+1))/1</f>
        <v>10.4</v>
      </c>
      <c r="AA10" s="114" t="n">
        <f aca="false">Inputs!$E$46*(1+Inputs!$E$48)^(AA$5-1)*MAX(0,MIN(1,AA$4*1-Inputs!$E$49+1))/1</f>
        <v>13.52</v>
      </c>
      <c r="AB10" s="114" t="n">
        <f aca="false">Inputs!$E$46*(1+Inputs!$E$48)^(AB$5-1)*MAX(0,MIN(1,AB$4*1-Inputs!$E$49+1))/1</f>
        <v>13.52</v>
      </c>
      <c r="AC10" s="114" t="n">
        <f aca="false">Inputs!$E$46*(1+Inputs!$E$48)^(AC$5-1)*MAX(0,MIN(1,AC$4*1-Inputs!$E$49+1))/1</f>
        <v>13.52</v>
      </c>
      <c r="AD10" s="114" t="n">
        <f aca="false">Inputs!$E$46*(1+Inputs!$E$48)^(AD$5-1)*MAX(0,MIN(1,AD$4*1-Inputs!$E$49+1))/1</f>
        <v>13.52</v>
      </c>
      <c r="AE10" s="114" t="n">
        <f aca="false">Inputs!$E$46*(1+Inputs!$E$48)^(AE$5-1)*MAX(0,MIN(1,AE$4*1-Inputs!$E$49+1))/1</f>
        <v>13.52</v>
      </c>
      <c r="AF10" s="114" t="n">
        <f aca="false">Inputs!$E$46*(1+Inputs!$E$48)^(AF$5-1)*MAX(0,MIN(1,AF$4*1-Inputs!$E$49+1))/1</f>
        <v>13.52</v>
      </c>
      <c r="AG10" s="114" t="n">
        <f aca="false">Inputs!$E$46*(1+Inputs!$E$48)^(AG$5-1)*MAX(0,MIN(1,AG$4*1-Inputs!$E$49+1))/1</f>
        <v>13.52</v>
      </c>
      <c r="AH10" s="114" t="n">
        <f aca="false">Inputs!$E$46*(1+Inputs!$E$48)^(AH$5-1)*MAX(0,MIN(1,AH$4*1-Inputs!$E$49+1))/1</f>
        <v>13.52</v>
      </c>
      <c r="AI10" s="114" t="n">
        <f aca="false">Inputs!$E$46*(1+Inputs!$E$48)^(AI$5-1)*MAX(0,MIN(1,AI$4*1-Inputs!$E$49+1))/1</f>
        <v>13.52</v>
      </c>
      <c r="AJ10" s="114" t="n">
        <f aca="false">Inputs!$E$46*(1+Inputs!$E$48)^(AJ$5-1)*MAX(0,MIN(1,AJ$4*1-Inputs!$E$49+1))/1</f>
        <v>13.52</v>
      </c>
      <c r="AK10" s="114" t="n">
        <f aca="false">Inputs!$E$46*(1+Inputs!$E$48)^(AK$5-1)*MAX(0,MIN(1,AK$4*1-Inputs!$E$49+1))/1</f>
        <v>13.52</v>
      </c>
      <c r="AL10" s="114" t="n">
        <f aca="false">Inputs!$E$46*(1+Inputs!$E$48)^(AL$5-1)*MAX(0,MIN(1,AL$4*1-Inputs!$E$49+1))/1</f>
        <v>13.52</v>
      </c>
      <c r="AM10" s="114" t="n">
        <f aca="false">Inputs!$E$46*(1+Inputs!$E$48)^(AM$5-1)*MAX(0,MIN(1,AM$4*1-Inputs!$E$49+1))/1</f>
        <v>17.576</v>
      </c>
      <c r="AN10" s="114" t="n">
        <f aca="false">Inputs!$E$46*(1+Inputs!$E$48)^(AN$5-1)*MAX(0,MIN(1,AN$4*1-Inputs!$E$49+1))/1</f>
        <v>17.576</v>
      </c>
      <c r="AO10" s="114" t="n">
        <f aca="false">Inputs!$E$46*(1+Inputs!$E$48)^(AO$5-1)*MAX(0,MIN(1,AO$4*1-Inputs!$E$49+1))/1</f>
        <v>17.576</v>
      </c>
      <c r="AP10" s="114" t="n">
        <f aca="false">Inputs!$E$46*(1+Inputs!$E$48)^(AP$5-1)*MAX(0,MIN(1,AP$4*1-Inputs!$E$49+1))/1</f>
        <v>17.576</v>
      </c>
      <c r="AQ10" s="114" t="n">
        <f aca="false">Inputs!$E$46*(1+Inputs!$E$48)^(AQ$5-1)*MAX(0,MIN(1,AQ$4*1-Inputs!$E$49+1))/1</f>
        <v>17.576</v>
      </c>
      <c r="AR10" s="114" t="n">
        <f aca="false">Inputs!$E$46*(1+Inputs!$E$48)^(AR$5-1)*MAX(0,MIN(1,AR$4*1-Inputs!$E$49+1))/1</f>
        <v>17.576</v>
      </c>
      <c r="AS10" s="114" t="n">
        <f aca="false">Inputs!$E$46*(1+Inputs!$E$48)^(AS$5-1)*MAX(0,MIN(1,AS$4*1-Inputs!$E$49+1))/1</f>
        <v>17.576</v>
      </c>
      <c r="AT10" s="114" t="n">
        <f aca="false">Inputs!$E$46*(1+Inputs!$E$48)^(AT$5-1)*MAX(0,MIN(1,AT$4*1-Inputs!$E$49+1))/1</f>
        <v>17.576</v>
      </c>
      <c r="AU10" s="114" t="n">
        <f aca="false">Inputs!$E$46*(1+Inputs!$E$48)^(AU$5-1)*MAX(0,MIN(1,AU$4*1-Inputs!$E$49+1))/1</f>
        <v>17.576</v>
      </c>
      <c r="AV10" s="114" t="n">
        <f aca="false">Inputs!$E$46*(1+Inputs!$E$48)^(AV$5-1)*MAX(0,MIN(1,AV$4*1-Inputs!$E$49+1))/1</f>
        <v>17.576</v>
      </c>
      <c r="AW10" s="114" t="n">
        <f aca="false">Inputs!$E$46*(1+Inputs!$E$48)^(AW$5-1)*MAX(0,MIN(1,AW$4*1-Inputs!$E$49+1))/1</f>
        <v>17.576</v>
      </c>
      <c r="AX10" s="114" t="n">
        <f aca="false">Inputs!$E$46*(1+Inputs!$E$48)^(AX$5-1)*MAX(0,MIN(1,AX$4*1-Inputs!$E$49+1))/1</f>
        <v>17.576</v>
      </c>
      <c r="AY10" s="114" t="n">
        <f aca="false">Inputs!$E$46*(1+Inputs!$E$48)^(AY$5-1)*MAX(0,MIN(1,AY$4*1-Inputs!$E$49+1))/1</f>
        <v>22.8488</v>
      </c>
      <c r="AZ10" s="114" t="n">
        <f aca="false">Inputs!$E$46*(1+Inputs!$E$48)^(AZ$5-1)*MAX(0,MIN(1,AZ$4*1-Inputs!$E$49+1))/1</f>
        <v>22.8488</v>
      </c>
      <c r="BA10" s="114" t="n">
        <f aca="false">Inputs!$E$46*(1+Inputs!$E$48)^(BA$5-1)*MAX(0,MIN(1,BA$4*1-Inputs!$E$49+1))/1</f>
        <v>22.8488</v>
      </c>
      <c r="BB10" s="114" t="n">
        <f aca="false">Inputs!$E$46*(1+Inputs!$E$48)^(BB$5-1)*MAX(0,MIN(1,BB$4*1-Inputs!$E$49+1))/1</f>
        <v>22.8488</v>
      </c>
      <c r="BC10" s="114" t="n">
        <f aca="false">Inputs!$E$46*(1+Inputs!$E$48)^(BC$5-1)*MAX(0,MIN(1,BC$4*1-Inputs!$E$49+1))/1</f>
        <v>22.8488</v>
      </c>
      <c r="BD10" s="114" t="n">
        <f aca="false">Inputs!$E$46*(1+Inputs!$E$48)^(BD$5-1)*MAX(0,MIN(1,BD$4*1-Inputs!$E$49+1))/1</f>
        <v>22.8488</v>
      </c>
      <c r="BE10" s="114" t="n">
        <f aca="false">Inputs!$E$46*(1+Inputs!$E$48)^(BE$5-1)*MAX(0,MIN(1,BE$4*1-Inputs!$E$49+1))/1</f>
        <v>22.8488</v>
      </c>
      <c r="BF10" s="114" t="n">
        <f aca="false">Inputs!$E$46*(1+Inputs!$E$48)^(BF$5-1)*MAX(0,MIN(1,BF$4*1-Inputs!$E$49+1))/1</f>
        <v>22.8488</v>
      </c>
      <c r="BG10" s="114" t="n">
        <f aca="false">Inputs!$E$46*(1+Inputs!$E$48)^(BG$5-1)*MAX(0,MIN(1,BG$4*1-Inputs!$E$49+1))/1</f>
        <v>22.8488</v>
      </c>
      <c r="BH10" s="114" t="n">
        <f aca="false">Inputs!$E$46*(1+Inputs!$E$48)^(BH$5-1)*MAX(0,MIN(1,BH$4*1-Inputs!$E$49+1))/1</f>
        <v>22.8488</v>
      </c>
      <c r="BI10" s="114" t="n">
        <f aca="false">Inputs!$E$46*(1+Inputs!$E$48)^(BI$5-1)*MAX(0,MIN(1,BI$4*1-Inputs!$E$49+1))/1</f>
        <v>22.8488</v>
      </c>
      <c r="BJ10" s="114" t="n">
        <f aca="false">Inputs!$E$46*(1+Inputs!$E$48)^(BJ$5-1)*MAX(0,MIN(1,BJ$4*1-Inputs!$E$49+1))/1</f>
        <v>22.8488</v>
      </c>
    </row>
    <row r="11" customFormat="false" ht="15" hidden="false" customHeight="false" outlineLevel="0" collapsed="false">
      <c r="A11" s="6" t="s">
        <v>447</v>
      </c>
      <c r="C11" s="114" t="n">
        <f aca="false">Inputs!$E$50*(1+Inputs!$E$52)^(C$5-1)*MAX(0,MIN(1,C$4*1-Inputs!$E$53+1))/1</f>
        <v>3</v>
      </c>
      <c r="D11" s="114" t="n">
        <f aca="false">Inputs!$E$50*(1+Inputs!$E$52)^(D$5-1)*MAX(0,MIN(1,D$4*1-Inputs!$E$53+1))/1</f>
        <v>3</v>
      </c>
      <c r="E11" s="114" t="n">
        <f aca="false">Inputs!$E$50*(1+Inputs!$E$52)^(E$5-1)*MAX(0,MIN(1,E$4*1-Inputs!$E$53+1))/1</f>
        <v>3</v>
      </c>
      <c r="F11" s="114" t="n">
        <f aca="false">Inputs!$E$50*(1+Inputs!$E$52)^(F$5-1)*MAX(0,MIN(1,F$4*1-Inputs!$E$53+1))/1</f>
        <v>3</v>
      </c>
      <c r="G11" s="114" t="n">
        <f aca="false">Inputs!$E$50*(1+Inputs!$E$52)^(G$5-1)*MAX(0,MIN(1,G$4*1-Inputs!$E$53+1))/1</f>
        <v>3</v>
      </c>
      <c r="H11" s="114" t="n">
        <f aca="false">Inputs!$E$50*(1+Inputs!$E$52)^(H$5-1)*MAX(0,MIN(1,H$4*1-Inputs!$E$53+1))/1</f>
        <v>3</v>
      </c>
      <c r="I11" s="114" t="n">
        <f aca="false">Inputs!$E$50*(1+Inputs!$E$52)^(I$5-1)*MAX(0,MIN(1,I$4*1-Inputs!$E$53+1))/1</f>
        <v>3</v>
      </c>
      <c r="J11" s="114" t="n">
        <f aca="false">Inputs!$E$50*(1+Inputs!$E$52)^(J$5-1)*MAX(0,MIN(1,J$4*1-Inputs!$E$53+1))/1</f>
        <v>3</v>
      </c>
      <c r="K11" s="114" t="n">
        <f aca="false">Inputs!$E$50*(1+Inputs!$E$52)^(K$5-1)*MAX(0,MIN(1,K$4*1-Inputs!$E$53+1))/1</f>
        <v>3</v>
      </c>
      <c r="L11" s="114" t="n">
        <f aca="false">Inputs!$E$50*(1+Inputs!$E$52)^(L$5-1)*MAX(0,MIN(1,L$4*1-Inputs!$E$53+1))/1</f>
        <v>3</v>
      </c>
      <c r="M11" s="114" t="n">
        <f aca="false">Inputs!$E$50*(1+Inputs!$E$52)^(M$5-1)*MAX(0,MIN(1,M$4*1-Inputs!$E$53+1))/1</f>
        <v>3</v>
      </c>
      <c r="N11" s="114" t="n">
        <f aca="false">Inputs!$E$50*(1+Inputs!$E$52)^(N$5-1)*MAX(0,MIN(1,N$4*1-Inputs!$E$53+1))/1</f>
        <v>3</v>
      </c>
      <c r="O11" s="114" t="n">
        <f aca="false">Inputs!$E$50*(1+Inputs!$E$52)^(O$5-1)*MAX(0,MIN(1,O$4*1-Inputs!$E$53+1))/1</f>
        <v>3.45</v>
      </c>
      <c r="P11" s="114" t="n">
        <f aca="false">Inputs!$E$50*(1+Inputs!$E$52)^(P$5-1)*MAX(0,MIN(1,P$4*1-Inputs!$E$53+1))/1</f>
        <v>3.45</v>
      </c>
      <c r="Q11" s="114" t="n">
        <f aca="false">Inputs!$E$50*(1+Inputs!$E$52)^(Q$5-1)*MAX(0,MIN(1,Q$4*1-Inputs!$E$53+1))/1</f>
        <v>3.45</v>
      </c>
      <c r="R11" s="114" t="n">
        <f aca="false">Inputs!$E$50*(1+Inputs!$E$52)^(R$5-1)*MAX(0,MIN(1,R$4*1-Inputs!$E$53+1))/1</f>
        <v>3.45</v>
      </c>
      <c r="S11" s="114" t="n">
        <f aca="false">Inputs!$E$50*(1+Inputs!$E$52)^(S$5-1)*MAX(0,MIN(1,S$4*1-Inputs!$E$53+1))/1</f>
        <v>3.45</v>
      </c>
      <c r="T11" s="114" t="n">
        <f aca="false">Inputs!$E$50*(1+Inputs!$E$52)^(T$5-1)*MAX(0,MIN(1,T$4*1-Inputs!$E$53+1))/1</f>
        <v>3.45</v>
      </c>
      <c r="U11" s="114" t="n">
        <f aca="false">Inputs!$E$50*(1+Inputs!$E$52)^(U$5-1)*MAX(0,MIN(1,U$4*1-Inputs!$E$53+1))/1</f>
        <v>3.45</v>
      </c>
      <c r="V11" s="114" t="n">
        <f aca="false">Inputs!$E$50*(1+Inputs!$E$52)^(V$5-1)*MAX(0,MIN(1,V$4*1-Inputs!$E$53+1))/1</f>
        <v>3.45</v>
      </c>
      <c r="W11" s="114" t="n">
        <f aca="false">Inputs!$E$50*(1+Inputs!$E$52)^(W$5-1)*MAX(0,MIN(1,W$4*1-Inputs!$E$53+1))/1</f>
        <v>3.45</v>
      </c>
      <c r="X11" s="114" t="n">
        <f aca="false">Inputs!$E$50*(1+Inputs!$E$52)^(X$5-1)*MAX(0,MIN(1,X$4*1-Inputs!$E$53+1))/1</f>
        <v>3.45</v>
      </c>
      <c r="Y11" s="114" t="n">
        <f aca="false">Inputs!$E$50*(1+Inputs!$E$52)^(Y$5-1)*MAX(0,MIN(1,Y$4*1-Inputs!$E$53+1))/1</f>
        <v>3.45</v>
      </c>
      <c r="Z11" s="114" t="n">
        <f aca="false">Inputs!$E$50*(1+Inputs!$E$52)^(Z$5-1)*MAX(0,MIN(1,Z$4*1-Inputs!$E$53+1))/1</f>
        <v>3.45</v>
      </c>
      <c r="AA11" s="114" t="n">
        <f aca="false">Inputs!$E$50*(1+Inputs!$E$52)^(AA$5-1)*MAX(0,MIN(1,AA$4*1-Inputs!$E$53+1))/1</f>
        <v>3.9675</v>
      </c>
      <c r="AB11" s="114" t="n">
        <f aca="false">Inputs!$E$50*(1+Inputs!$E$52)^(AB$5-1)*MAX(0,MIN(1,AB$4*1-Inputs!$E$53+1))/1</f>
        <v>3.9675</v>
      </c>
      <c r="AC11" s="114" t="n">
        <f aca="false">Inputs!$E$50*(1+Inputs!$E$52)^(AC$5-1)*MAX(0,MIN(1,AC$4*1-Inputs!$E$53+1))/1</f>
        <v>3.9675</v>
      </c>
      <c r="AD11" s="114" t="n">
        <f aca="false">Inputs!$E$50*(1+Inputs!$E$52)^(AD$5-1)*MAX(0,MIN(1,AD$4*1-Inputs!$E$53+1))/1</f>
        <v>3.9675</v>
      </c>
      <c r="AE11" s="114" t="n">
        <f aca="false">Inputs!$E$50*(1+Inputs!$E$52)^(AE$5-1)*MAX(0,MIN(1,AE$4*1-Inputs!$E$53+1))/1</f>
        <v>3.9675</v>
      </c>
      <c r="AF11" s="114" t="n">
        <f aca="false">Inputs!$E$50*(1+Inputs!$E$52)^(AF$5-1)*MAX(0,MIN(1,AF$4*1-Inputs!$E$53+1))/1</f>
        <v>3.9675</v>
      </c>
      <c r="AG11" s="114" t="n">
        <f aca="false">Inputs!$E$50*(1+Inputs!$E$52)^(AG$5-1)*MAX(0,MIN(1,AG$4*1-Inputs!$E$53+1))/1</f>
        <v>3.9675</v>
      </c>
      <c r="AH11" s="114" t="n">
        <f aca="false">Inputs!$E$50*(1+Inputs!$E$52)^(AH$5-1)*MAX(0,MIN(1,AH$4*1-Inputs!$E$53+1))/1</f>
        <v>3.9675</v>
      </c>
      <c r="AI11" s="114" t="n">
        <f aca="false">Inputs!$E$50*(1+Inputs!$E$52)^(AI$5-1)*MAX(0,MIN(1,AI$4*1-Inputs!$E$53+1))/1</f>
        <v>3.9675</v>
      </c>
      <c r="AJ11" s="114" t="n">
        <f aca="false">Inputs!$E$50*(1+Inputs!$E$52)^(AJ$5-1)*MAX(0,MIN(1,AJ$4*1-Inputs!$E$53+1))/1</f>
        <v>3.9675</v>
      </c>
      <c r="AK11" s="114" t="n">
        <f aca="false">Inputs!$E$50*(1+Inputs!$E$52)^(AK$5-1)*MAX(0,MIN(1,AK$4*1-Inputs!$E$53+1))/1</f>
        <v>3.9675</v>
      </c>
      <c r="AL11" s="114" t="n">
        <f aca="false">Inputs!$E$50*(1+Inputs!$E$52)^(AL$5-1)*MAX(0,MIN(1,AL$4*1-Inputs!$E$53+1))/1</f>
        <v>3.9675</v>
      </c>
      <c r="AM11" s="114" t="n">
        <f aca="false">Inputs!$E$50*(1+Inputs!$E$52)^(AM$5-1)*MAX(0,MIN(1,AM$4*1-Inputs!$E$53+1))/1</f>
        <v>4.562625</v>
      </c>
      <c r="AN11" s="114" t="n">
        <f aca="false">Inputs!$E$50*(1+Inputs!$E$52)^(AN$5-1)*MAX(0,MIN(1,AN$4*1-Inputs!$E$53+1))/1</f>
        <v>4.562625</v>
      </c>
      <c r="AO11" s="114" t="n">
        <f aca="false">Inputs!$E$50*(1+Inputs!$E$52)^(AO$5-1)*MAX(0,MIN(1,AO$4*1-Inputs!$E$53+1))/1</f>
        <v>4.562625</v>
      </c>
      <c r="AP11" s="114" t="n">
        <f aca="false">Inputs!$E$50*(1+Inputs!$E$52)^(AP$5-1)*MAX(0,MIN(1,AP$4*1-Inputs!$E$53+1))/1</f>
        <v>4.562625</v>
      </c>
      <c r="AQ11" s="114" t="n">
        <f aca="false">Inputs!$E$50*(1+Inputs!$E$52)^(AQ$5-1)*MAX(0,MIN(1,AQ$4*1-Inputs!$E$53+1))/1</f>
        <v>4.562625</v>
      </c>
      <c r="AR11" s="114" t="n">
        <f aca="false">Inputs!$E$50*(1+Inputs!$E$52)^(AR$5-1)*MAX(0,MIN(1,AR$4*1-Inputs!$E$53+1))/1</f>
        <v>4.562625</v>
      </c>
      <c r="AS11" s="114" t="n">
        <f aca="false">Inputs!$E$50*(1+Inputs!$E$52)^(AS$5-1)*MAX(0,MIN(1,AS$4*1-Inputs!$E$53+1))/1</f>
        <v>4.562625</v>
      </c>
      <c r="AT11" s="114" t="n">
        <f aca="false">Inputs!$E$50*(1+Inputs!$E$52)^(AT$5-1)*MAX(0,MIN(1,AT$4*1-Inputs!$E$53+1))/1</f>
        <v>4.562625</v>
      </c>
      <c r="AU11" s="114" t="n">
        <f aca="false">Inputs!$E$50*(1+Inputs!$E$52)^(AU$5-1)*MAX(0,MIN(1,AU$4*1-Inputs!$E$53+1))/1</f>
        <v>4.562625</v>
      </c>
      <c r="AV11" s="114" t="n">
        <f aca="false">Inputs!$E$50*(1+Inputs!$E$52)^(AV$5-1)*MAX(0,MIN(1,AV$4*1-Inputs!$E$53+1))/1</f>
        <v>4.562625</v>
      </c>
      <c r="AW11" s="114" t="n">
        <f aca="false">Inputs!$E$50*(1+Inputs!$E$52)^(AW$5-1)*MAX(0,MIN(1,AW$4*1-Inputs!$E$53+1))/1</f>
        <v>4.562625</v>
      </c>
      <c r="AX11" s="114" t="n">
        <f aca="false">Inputs!$E$50*(1+Inputs!$E$52)^(AX$5-1)*MAX(0,MIN(1,AX$4*1-Inputs!$E$53+1))/1</f>
        <v>4.562625</v>
      </c>
      <c r="AY11" s="114" t="n">
        <f aca="false">Inputs!$E$50*(1+Inputs!$E$52)^(AY$5-1)*MAX(0,MIN(1,AY$4*1-Inputs!$E$53+1))/1</f>
        <v>5.24701875</v>
      </c>
      <c r="AZ11" s="114" t="n">
        <f aca="false">Inputs!$E$50*(1+Inputs!$E$52)^(AZ$5-1)*MAX(0,MIN(1,AZ$4*1-Inputs!$E$53+1))/1</f>
        <v>5.24701875</v>
      </c>
      <c r="BA11" s="114" t="n">
        <f aca="false">Inputs!$E$50*(1+Inputs!$E$52)^(BA$5-1)*MAX(0,MIN(1,BA$4*1-Inputs!$E$53+1))/1</f>
        <v>5.24701875</v>
      </c>
      <c r="BB11" s="114" t="n">
        <f aca="false">Inputs!$E$50*(1+Inputs!$E$52)^(BB$5-1)*MAX(0,MIN(1,BB$4*1-Inputs!$E$53+1))/1</f>
        <v>5.24701875</v>
      </c>
      <c r="BC11" s="114" t="n">
        <f aca="false">Inputs!$E$50*(1+Inputs!$E$52)^(BC$5-1)*MAX(0,MIN(1,BC$4*1-Inputs!$E$53+1))/1</f>
        <v>5.24701875</v>
      </c>
      <c r="BD11" s="114" t="n">
        <f aca="false">Inputs!$E$50*(1+Inputs!$E$52)^(BD$5-1)*MAX(0,MIN(1,BD$4*1-Inputs!$E$53+1))/1</f>
        <v>5.24701875</v>
      </c>
      <c r="BE11" s="114" t="n">
        <f aca="false">Inputs!$E$50*(1+Inputs!$E$52)^(BE$5-1)*MAX(0,MIN(1,BE$4*1-Inputs!$E$53+1))/1</f>
        <v>5.24701875</v>
      </c>
      <c r="BF11" s="114" t="n">
        <f aca="false">Inputs!$E$50*(1+Inputs!$E$52)^(BF$5-1)*MAX(0,MIN(1,BF$4*1-Inputs!$E$53+1))/1</f>
        <v>5.24701875</v>
      </c>
      <c r="BG11" s="114" t="n">
        <f aca="false">Inputs!$E$50*(1+Inputs!$E$52)^(BG$5-1)*MAX(0,MIN(1,BG$4*1-Inputs!$E$53+1))/1</f>
        <v>5.24701875</v>
      </c>
      <c r="BH11" s="114" t="n">
        <f aca="false">Inputs!$E$50*(1+Inputs!$E$52)^(BH$5-1)*MAX(0,MIN(1,BH$4*1-Inputs!$E$53+1))/1</f>
        <v>5.24701875</v>
      </c>
      <c r="BI11" s="114" t="n">
        <f aca="false">Inputs!$E$50*(1+Inputs!$E$52)^(BI$5-1)*MAX(0,MIN(1,BI$4*1-Inputs!$E$53+1))/1</f>
        <v>5.24701875</v>
      </c>
      <c r="BJ11" s="114" t="n">
        <f aca="false">Inputs!$E$50*(1+Inputs!$E$52)^(BJ$5-1)*MAX(0,MIN(1,BJ$4*1-Inputs!$E$53+1))/1</f>
        <v>5.24701875</v>
      </c>
    </row>
    <row r="12" customFormat="false" ht="15" hidden="false" customHeight="false" outlineLevel="0" collapsed="false">
      <c r="A12" s="110" t="s">
        <v>448</v>
      </c>
      <c r="C12" s="118" t="n">
        <f aca="false">C8+C9+C10+C11</f>
        <v>21</v>
      </c>
      <c r="D12" s="118" t="n">
        <f aca="false">D8+D9+D10+D11</f>
        <v>21</v>
      </c>
      <c r="E12" s="118" t="n">
        <f aca="false">E8+E9+E10+E11</f>
        <v>21</v>
      </c>
      <c r="F12" s="118" t="n">
        <f aca="false">F8+F9+F10+F11</f>
        <v>21</v>
      </c>
      <c r="G12" s="118" t="n">
        <f aca="false">G8+G9+G10+G11</f>
        <v>21</v>
      </c>
      <c r="H12" s="118" t="n">
        <f aca="false">H8+H9+H10+H11</f>
        <v>21</v>
      </c>
      <c r="I12" s="118" t="n">
        <f aca="false">I8+I9+I10+I11</f>
        <v>21</v>
      </c>
      <c r="J12" s="118" t="n">
        <f aca="false">J8+J9+J10+J11</f>
        <v>21</v>
      </c>
      <c r="K12" s="118" t="n">
        <f aca="false">K8+K9+K10+K11</f>
        <v>21</v>
      </c>
      <c r="L12" s="118" t="n">
        <f aca="false">L8+L9+L10+L11</f>
        <v>21</v>
      </c>
      <c r="M12" s="118" t="n">
        <f aca="false">M8+M9+M10+M11</f>
        <v>21</v>
      </c>
      <c r="N12" s="118" t="n">
        <f aca="false">N8+N9+N10+N11</f>
        <v>21</v>
      </c>
      <c r="O12" s="118" t="n">
        <f aca="false">O8+O9+O10+O11</f>
        <v>25.85</v>
      </c>
      <c r="P12" s="118" t="n">
        <f aca="false">P8+P9+P10+P11</f>
        <v>25.85</v>
      </c>
      <c r="Q12" s="118" t="n">
        <f aca="false">Q8+Q9+Q10+Q11</f>
        <v>25.85</v>
      </c>
      <c r="R12" s="118" t="n">
        <f aca="false">R8+R9+R10+R11</f>
        <v>25.85</v>
      </c>
      <c r="S12" s="118" t="n">
        <f aca="false">S8+S9+S10+S11</f>
        <v>25.85</v>
      </c>
      <c r="T12" s="118" t="n">
        <f aca="false">T8+T9+T10+T11</f>
        <v>25.85</v>
      </c>
      <c r="U12" s="118" t="n">
        <f aca="false">U8+U9+U10+U11</f>
        <v>25.85</v>
      </c>
      <c r="V12" s="118" t="n">
        <f aca="false">V8+V9+V10+V11</f>
        <v>25.85</v>
      </c>
      <c r="W12" s="118" t="n">
        <f aca="false">W8+W9+W10+W11</f>
        <v>25.85</v>
      </c>
      <c r="X12" s="118" t="n">
        <f aca="false">X8+X9+X10+X11</f>
        <v>25.85</v>
      </c>
      <c r="Y12" s="118" t="n">
        <f aca="false">Y8+Y9+Y10+Y11</f>
        <v>25.85</v>
      </c>
      <c r="Z12" s="118" t="n">
        <f aca="false">Z8+Z9+Z10+Z11</f>
        <v>25.85</v>
      </c>
      <c r="AA12" s="118" t="n">
        <f aca="false">AA8+AA9+AA10+AA11</f>
        <v>31.8875</v>
      </c>
      <c r="AB12" s="118" t="n">
        <f aca="false">AB8+AB9+AB10+AB11</f>
        <v>31.8875</v>
      </c>
      <c r="AC12" s="118" t="n">
        <f aca="false">AC8+AC9+AC10+AC11</f>
        <v>31.8875</v>
      </c>
      <c r="AD12" s="118" t="n">
        <f aca="false">AD8+AD9+AD10+AD11</f>
        <v>31.8875</v>
      </c>
      <c r="AE12" s="118" t="n">
        <f aca="false">AE8+AE9+AE10+AE11</f>
        <v>31.8875</v>
      </c>
      <c r="AF12" s="118" t="n">
        <f aca="false">AF8+AF9+AF10+AF11</f>
        <v>31.8875</v>
      </c>
      <c r="AG12" s="118" t="n">
        <f aca="false">AG8+AG9+AG10+AG11</f>
        <v>31.8875</v>
      </c>
      <c r="AH12" s="118" t="n">
        <f aca="false">AH8+AH9+AH10+AH11</f>
        <v>31.8875</v>
      </c>
      <c r="AI12" s="118" t="n">
        <f aca="false">AI8+AI9+AI10+AI11</f>
        <v>31.8875</v>
      </c>
      <c r="AJ12" s="118" t="n">
        <f aca="false">AJ8+AJ9+AJ10+AJ11</f>
        <v>31.8875</v>
      </c>
      <c r="AK12" s="118" t="n">
        <f aca="false">AK8+AK9+AK10+AK11</f>
        <v>31.8875</v>
      </c>
      <c r="AL12" s="118" t="n">
        <f aca="false">AL8+AL9+AL10+AL11</f>
        <v>31.8875</v>
      </c>
      <c r="AM12" s="118" t="n">
        <f aca="false">AM8+AM9+AM10+AM11</f>
        <v>39.418625</v>
      </c>
      <c r="AN12" s="118" t="n">
        <f aca="false">AN8+AN9+AN10+AN11</f>
        <v>39.418625</v>
      </c>
      <c r="AO12" s="118" t="n">
        <f aca="false">AO8+AO9+AO10+AO11</f>
        <v>39.418625</v>
      </c>
      <c r="AP12" s="118" t="n">
        <f aca="false">AP8+AP9+AP10+AP11</f>
        <v>39.418625</v>
      </c>
      <c r="AQ12" s="118" t="n">
        <f aca="false">AQ8+AQ9+AQ10+AQ11</f>
        <v>39.418625</v>
      </c>
      <c r="AR12" s="118" t="n">
        <f aca="false">AR8+AR9+AR10+AR11</f>
        <v>39.418625</v>
      </c>
      <c r="AS12" s="118" t="n">
        <f aca="false">AS8+AS9+AS10+AS11</f>
        <v>39.418625</v>
      </c>
      <c r="AT12" s="118" t="n">
        <f aca="false">AT8+AT9+AT10+AT11</f>
        <v>39.418625</v>
      </c>
      <c r="AU12" s="118" t="n">
        <f aca="false">AU8+AU9+AU10+AU11</f>
        <v>39.418625</v>
      </c>
      <c r="AV12" s="118" t="n">
        <f aca="false">AV8+AV9+AV10+AV11</f>
        <v>39.418625</v>
      </c>
      <c r="AW12" s="118" t="n">
        <f aca="false">AW8+AW9+AW10+AW11</f>
        <v>39.418625</v>
      </c>
      <c r="AX12" s="118" t="n">
        <f aca="false">AX8+AX9+AX10+AX11</f>
        <v>39.418625</v>
      </c>
      <c r="AY12" s="118" t="n">
        <f aca="false">AY8+AY9+AY10+AY11</f>
        <v>48.83181875</v>
      </c>
      <c r="AZ12" s="118" t="n">
        <f aca="false">AZ8+AZ9+AZ10+AZ11</f>
        <v>48.83181875</v>
      </c>
      <c r="BA12" s="118" t="n">
        <f aca="false">BA8+BA9+BA10+BA11</f>
        <v>48.83181875</v>
      </c>
      <c r="BB12" s="118" t="n">
        <f aca="false">BB8+BB9+BB10+BB11</f>
        <v>48.83181875</v>
      </c>
      <c r="BC12" s="118" t="n">
        <f aca="false">BC8+BC9+BC10+BC11</f>
        <v>48.83181875</v>
      </c>
      <c r="BD12" s="118" t="n">
        <f aca="false">BD8+BD9+BD10+BD11</f>
        <v>48.83181875</v>
      </c>
      <c r="BE12" s="118" t="n">
        <f aca="false">BE8+BE9+BE10+BE11</f>
        <v>48.83181875</v>
      </c>
      <c r="BF12" s="118" t="n">
        <f aca="false">BF8+BF9+BF10+BF11</f>
        <v>48.83181875</v>
      </c>
      <c r="BG12" s="118" t="n">
        <f aca="false">BG8+BG9+BG10+BG11</f>
        <v>48.83181875</v>
      </c>
      <c r="BH12" s="118" t="n">
        <f aca="false">BH8+BH9+BH10+BH11</f>
        <v>48.83181875</v>
      </c>
      <c r="BI12" s="118" t="n">
        <f aca="false">BI8+BI9+BI10+BI11</f>
        <v>48.83181875</v>
      </c>
      <c r="BJ12" s="118" t="n">
        <f aca="false">BJ8+BJ9+BJ10+BJ11</f>
        <v>48.83181875</v>
      </c>
    </row>
    <row r="14" customFormat="false" ht="15.75" hidden="false" customHeight="true" outlineLevel="0" collapsed="false">
      <c r="A14" s="7" t="s">
        <v>449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customFormat="false" ht="15" hidden="false" customHeight="false" outlineLevel="0" collapsed="false">
      <c r="A15" s="6" t="s">
        <v>450</v>
      </c>
      <c r="C15" s="65" t="n">
        <f aca="false">-C8*Inputs!$E$39/12*1*(1+Inputs!$E$54)*(1+Inputs!$E$55)^(C$5-1)</f>
        <v>-28750</v>
      </c>
      <c r="D15" s="65" t="n">
        <f aca="false">-D8*Inputs!$E$39/12*1*(1+Inputs!$E$54)*(1+Inputs!$E$55)^(D$5-1)</f>
        <v>-28750</v>
      </c>
      <c r="E15" s="65" t="n">
        <f aca="false">-E8*Inputs!$E$39/12*1*(1+Inputs!$E$54)*(1+Inputs!$E$55)^(E$5-1)</f>
        <v>-28750</v>
      </c>
      <c r="F15" s="65" t="n">
        <f aca="false">-F8*Inputs!$E$39/12*1*(1+Inputs!$E$54)*(1+Inputs!$E$55)^(F$5-1)</f>
        <v>-28750</v>
      </c>
      <c r="G15" s="65" t="n">
        <f aca="false">-G8*Inputs!$E$39/12*1*(1+Inputs!$E$54)*(1+Inputs!$E$55)^(G$5-1)</f>
        <v>-28750</v>
      </c>
      <c r="H15" s="65" t="n">
        <f aca="false">-H8*Inputs!$E$39/12*1*(1+Inputs!$E$54)*(1+Inputs!$E$55)^(H$5-1)</f>
        <v>-28750</v>
      </c>
      <c r="I15" s="65" t="n">
        <f aca="false">-I8*Inputs!$E$39/12*1*(1+Inputs!$E$54)*(1+Inputs!$E$55)^(I$5-1)</f>
        <v>-28750</v>
      </c>
      <c r="J15" s="65" t="n">
        <f aca="false">-J8*Inputs!$E$39/12*1*(1+Inputs!$E$54)*(1+Inputs!$E$55)^(J$5-1)</f>
        <v>-28750</v>
      </c>
      <c r="K15" s="65" t="n">
        <f aca="false">-K8*Inputs!$E$39/12*1*(1+Inputs!$E$54)*(1+Inputs!$E$55)^(K$5-1)</f>
        <v>-28750</v>
      </c>
      <c r="L15" s="65" t="n">
        <f aca="false">-L8*Inputs!$E$39/12*1*(1+Inputs!$E$54)*(1+Inputs!$E$55)^(L$5-1)</f>
        <v>-28750</v>
      </c>
      <c r="M15" s="65" t="n">
        <f aca="false">-M8*Inputs!$E$39/12*1*(1+Inputs!$E$54)*(1+Inputs!$E$55)^(M$5-1)</f>
        <v>-28750</v>
      </c>
      <c r="N15" s="65" t="n">
        <f aca="false">-N8*Inputs!$E$39/12*1*(1+Inputs!$E$54)*(1+Inputs!$E$55)^(N$5-1)</f>
        <v>-28750</v>
      </c>
      <c r="O15" s="65" t="n">
        <f aca="false">-O8*Inputs!$E$39/12*1*(1+Inputs!$E$54)*(1+Inputs!$E$55)^(O$5-1)</f>
        <v>-35535</v>
      </c>
      <c r="P15" s="65" t="n">
        <f aca="false">-P8*Inputs!$E$39/12*1*(1+Inputs!$E$54)*(1+Inputs!$E$55)^(P$5-1)</f>
        <v>-35535</v>
      </c>
      <c r="Q15" s="65" t="n">
        <f aca="false">-Q8*Inputs!$E$39/12*1*(1+Inputs!$E$54)*(1+Inputs!$E$55)^(Q$5-1)</f>
        <v>-35535</v>
      </c>
      <c r="R15" s="65" t="n">
        <f aca="false">-R8*Inputs!$E$39/12*1*(1+Inputs!$E$54)*(1+Inputs!$E$55)^(R$5-1)</f>
        <v>-35535</v>
      </c>
      <c r="S15" s="65" t="n">
        <f aca="false">-S8*Inputs!$E$39/12*1*(1+Inputs!$E$54)*(1+Inputs!$E$55)^(S$5-1)</f>
        <v>-35535</v>
      </c>
      <c r="T15" s="65" t="n">
        <f aca="false">-T8*Inputs!$E$39/12*1*(1+Inputs!$E$54)*(1+Inputs!$E$55)^(T$5-1)</f>
        <v>-35535</v>
      </c>
      <c r="U15" s="65" t="n">
        <f aca="false">-U8*Inputs!$E$39/12*1*(1+Inputs!$E$54)*(1+Inputs!$E$55)^(U$5-1)</f>
        <v>-35535</v>
      </c>
      <c r="V15" s="65" t="n">
        <f aca="false">-V8*Inputs!$E$39/12*1*(1+Inputs!$E$54)*(1+Inputs!$E$55)^(V$5-1)</f>
        <v>-35535</v>
      </c>
      <c r="W15" s="65" t="n">
        <f aca="false">-W8*Inputs!$E$39/12*1*(1+Inputs!$E$54)*(1+Inputs!$E$55)^(W$5-1)</f>
        <v>-35535</v>
      </c>
      <c r="X15" s="65" t="n">
        <f aca="false">-X8*Inputs!$E$39/12*1*(1+Inputs!$E$54)*(1+Inputs!$E$55)^(X$5-1)</f>
        <v>-35535</v>
      </c>
      <c r="Y15" s="65" t="n">
        <f aca="false">-Y8*Inputs!$E$39/12*1*(1+Inputs!$E$54)*(1+Inputs!$E$55)^(Y$5-1)</f>
        <v>-35535</v>
      </c>
      <c r="Z15" s="65" t="n">
        <f aca="false">-Z8*Inputs!$E$39/12*1*(1+Inputs!$E$54)*(1+Inputs!$E$55)^(Z$5-1)</f>
        <v>-35535</v>
      </c>
      <c r="AA15" s="65" t="n">
        <f aca="false">-AA8*Inputs!$E$39/12*1*(1+Inputs!$E$54)*(1+Inputs!$E$55)^(AA$5-1)</f>
        <v>-43921.26</v>
      </c>
      <c r="AB15" s="65" t="n">
        <f aca="false">-AB8*Inputs!$E$39/12*1*(1+Inputs!$E$54)*(1+Inputs!$E$55)^(AB$5-1)</f>
        <v>-43921.26</v>
      </c>
      <c r="AC15" s="65" t="n">
        <f aca="false">-AC8*Inputs!$E$39/12*1*(1+Inputs!$E$54)*(1+Inputs!$E$55)^(AC$5-1)</f>
        <v>-43921.26</v>
      </c>
      <c r="AD15" s="65" t="n">
        <f aca="false">-AD8*Inputs!$E$39/12*1*(1+Inputs!$E$54)*(1+Inputs!$E$55)^(AD$5-1)</f>
        <v>-43921.26</v>
      </c>
      <c r="AE15" s="65" t="n">
        <f aca="false">-AE8*Inputs!$E$39/12*1*(1+Inputs!$E$54)*(1+Inputs!$E$55)^(AE$5-1)</f>
        <v>-43921.26</v>
      </c>
      <c r="AF15" s="65" t="n">
        <f aca="false">-AF8*Inputs!$E$39/12*1*(1+Inputs!$E$54)*(1+Inputs!$E$55)^(AF$5-1)</f>
        <v>-43921.26</v>
      </c>
      <c r="AG15" s="65" t="n">
        <f aca="false">-AG8*Inputs!$E$39/12*1*(1+Inputs!$E$54)*(1+Inputs!$E$55)^(AG$5-1)</f>
        <v>-43921.26</v>
      </c>
      <c r="AH15" s="65" t="n">
        <f aca="false">-AH8*Inputs!$E$39/12*1*(1+Inputs!$E$54)*(1+Inputs!$E$55)^(AH$5-1)</f>
        <v>-43921.26</v>
      </c>
      <c r="AI15" s="65" t="n">
        <f aca="false">-AI8*Inputs!$E$39/12*1*(1+Inputs!$E$54)*(1+Inputs!$E$55)^(AI$5-1)</f>
        <v>-43921.26</v>
      </c>
      <c r="AJ15" s="65" t="n">
        <f aca="false">-AJ8*Inputs!$E$39/12*1*(1+Inputs!$E$54)*(1+Inputs!$E$55)^(AJ$5-1)</f>
        <v>-43921.26</v>
      </c>
      <c r="AK15" s="65" t="n">
        <f aca="false">-AK8*Inputs!$E$39/12*1*(1+Inputs!$E$54)*(1+Inputs!$E$55)^(AK$5-1)</f>
        <v>-43921.26</v>
      </c>
      <c r="AL15" s="65" t="n">
        <f aca="false">-AL8*Inputs!$E$39/12*1*(1+Inputs!$E$54)*(1+Inputs!$E$55)^(AL$5-1)</f>
        <v>-43921.26</v>
      </c>
      <c r="AM15" s="65" t="n">
        <f aca="false">-AM8*Inputs!$E$39/12*1*(1+Inputs!$E$54)*(1+Inputs!$E$55)^(AM$5-1)</f>
        <v>-54286.67736</v>
      </c>
      <c r="AN15" s="65" t="n">
        <f aca="false">-AN8*Inputs!$E$39/12*1*(1+Inputs!$E$54)*(1+Inputs!$E$55)^(AN$5-1)</f>
        <v>-54286.67736</v>
      </c>
      <c r="AO15" s="65" t="n">
        <f aca="false">-AO8*Inputs!$E$39/12*1*(1+Inputs!$E$54)*(1+Inputs!$E$55)^(AO$5-1)</f>
        <v>-54286.67736</v>
      </c>
      <c r="AP15" s="65" t="n">
        <f aca="false">-AP8*Inputs!$E$39/12*1*(1+Inputs!$E$54)*(1+Inputs!$E$55)^(AP$5-1)</f>
        <v>-54286.67736</v>
      </c>
      <c r="AQ15" s="65" t="n">
        <f aca="false">-AQ8*Inputs!$E$39/12*1*(1+Inputs!$E$54)*(1+Inputs!$E$55)^(AQ$5-1)</f>
        <v>-54286.67736</v>
      </c>
      <c r="AR15" s="65" t="n">
        <f aca="false">-AR8*Inputs!$E$39/12*1*(1+Inputs!$E$54)*(1+Inputs!$E$55)^(AR$5-1)</f>
        <v>-54286.67736</v>
      </c>
      <c r="AS15" s="65" t="n">
        <f aca="false">-AS8*Inputs!$E$39/12*1*(1+Inputs!$E$54)*(1+Inputs!$E$55)^(AS$5-1)</f>
        <v>-54286.67736</v>
      </c>
      <c r="AT15" s="65" t="n">
        <f aca="false">-AT8*Inputs!$E$39/12*1*(1+Inputs!$E$54)*(1+Inputs!$E$55)^(AT$5-1)</f>
        <v>-54286.67736</v>
      </c>
      <c r="AU15" s="65" t="n">
        <f aca="false">-AU8*Inputs!$E$39/12*1*(1+Inputs!$E$54)*(1+Inputs!$E$55)^(AU$5-1)</f>
        <v>-54286.67736</v>
      </c>
      <c r="AV15" s="65" t="n">
        <f aca="false">-AV8*Inputs!$E$39/12*1*(1+Inputs!$E$54)*(1+Inputs!$E$55)^(AV$5-1)</f>
        <v>-54286.67736</v>
      </c>
      <c r="AW15" s="65" t="n">
        <f aca="false">-AW8*Inputs!$E$39/12*1*(1+Inputs!$E$54)*(1+Inputs!$E$55)^(AW$5-1)</f>
        <v>-54286.67736</v>
      </c>
      <c r="AX15" s="65" t="n">
        <f aca="false">-AX8*Inputs!$E$39/12*1*(1+Inputs!$E$54)*(1+Inputs!$E$55)^(AX$5-1)</f>
        <v>-54286.67736</v>
      </c>
      <c r="AY15" s="65" t="n">
        <f aca="false">-AY8*Inputs!$E$39/12*1*(1+Inputs!$E$54)*(1+Inputs!$E$55)^(AY$5-1)</f>
        <v>-67098.33321696</v>
      </c>
      <c r="AZ15" s="65" t="n">
        <f aca="false">-AZ8*Inputs!$E$39/12*1*(1+Inputs!$E$54)*(1+Inputs!$E$55)^(AZ$5-1)</f>
        <v>-67098.33321696</v>
      </c>
      <c r="BA15" s="65" t="n">
        <f aca="false">-BA8*Inputs!$E$39/12*1*(1+Inputs!$E$54)*(1+Inputs!$E$55)^(BA$5-1)</f>
        <v>-67098.33321696</v>
      </c>
      <c r="BB15" s="65" t="n">
        <f aca="false">-BB8*Inputs!$E$39/12*1*(1+Inputs!$E$54)*(1+Inputs!$E$55)^(BB$5-1)</f>
        <v>-67098.33321696</v>
      </c>
      <c r="BC15" s="65" t="n">
        <f aca="false">-BC8*Inputs!$E$39/12*1*(1+Inputs!$E$54)*(1+Inputs!$E$55)^(BC$5-1)</f>
        <v>-67098.33321696</v>
      </c>
      <c r="BD15" s="65" t="n">
        <f aca="false">-BD8*Inputs!$E$39/12*1*(1+Inputs!$E$54)*(1+Inputs!$E$55)^(BD$5-1)</f>
        <v>-67098.33321696</v>
      </c>
      <c r="BE15" s="65" t="n">
        <f aca="false">-BE8*Inputs!$E$39/12*1*(1+Inputs!$E$54)*(1+Inputs!$E$55)^(BE$5-1)</f>
        <v>-67098.33321696</v>
      </c>
      <c r="BF15" s="65" t="n">
        <f aca="false">-BF8*Inputs!$E$39/12*1*(1+Inputs!$E$54)*(1+Inputs!$E$55)^(BF$5-1)</f>
        <v>-67098.33321696</v>
      </c>
      <c r="BG15" s="65" t="n">
        <f aca="false">-BG8*Inputs!$E$39/12*1*(1+Inputs!$E$54)*(1+Inputs!$E$55)^(BG$5-1)</f>
        <v>-67098.33321696</v>
      </c>
      <c r="BH15" s="65" t="n">
        <f aca="false">-BH8*Inputs!$E$39/12*1*(1+Inputs!$E$54)*(1+Inputs!$E$55)^(BH$5-1)</f>
        <v>-67098.33321696</v>
      </c>
      <c r="BI15" s="65" t="n">
        <f aca="false">-BI8*Inputs!$E$39/12*1*(1+Inputs!$E$54)*(1+Inputs!$E$55)^(BI$5-1)</f>
        <v>-67098.33321696</v>
      </c>
      <c r="BJ15" s="65" t="n">
        <f aca="false">-BJ8*Inputs!$E$39/12*1*(1+Inputs!$E$54)*(1+Inputs!$E$55)^(BJ$5-1)</f>
        <v>-67098.33321696</v>
      </c>
    </row>
    <row r="16" customFormat="false" ht="15" hidden="false" customHeight="false" outlineLevel="0" collapsed="false">
      <c r="A16" s="6" t="s">
        <v>451</v>
      </c>
      <c r="C16" s="65" t="n">
        <f aca="false">-C9*Inputs!$E$43/12*1*(1+Inputs!$E$54)*(1+Inputs!$E$55)^(C$5-1)</f>
        <v>-26833.3333333333</v>
      </c>
      <c r="D16" s="65" t="n">
        <f aca="false">-D9*Inputs!$E$43/12*1*(1+Inputs!$E$54)*(1+Inputs!$E$55)^(D$5-1)</f>
        <v>-26833.3333333333</v>
      </c>
      <c r="E16" s="65" t="n">
        <f aca="false">-E9*Inputs!$E$43/12*1*(1+Inputs!$E$54)*(1+Inputs!$E$55)^(E$5-1)</f>
        <v>-26833.3333333333</v>
      </c>
      <c r="F16" s="65" t="n">
        <f aca="false">-F9*Inputs!$E$43/12*1*(1+Inputs!$E$54)*(1+Inputs!$E$55)^(F$5-1)</f>
        <v>-26833.3333333333</v>
      </c>
      <c r="G16" s="65" t="n">
        <f aca="false">-G9*Inputs!$E$43/12*1*(1+Inputs!$E$54)*(1+Inputs!$E$55)^(G$5-1)</f>
        <v>-26833.3333333333</v>
      </c>
      <c r="H16" s="65" t="n">
        <f aca="false">-H9*Inputs!$E$43/12*1*(1+Inputs!$E$54)*(1+Inputs!$E$55)^(H$5-1)</f>
        <v>-26833.3333333333</v>
      </c>
      <c r="I16" s="65" t="n">
        <f aca="false">-I9*Inputs!$E$43/12*1*(1+Inputs!$E$54)*(1+Inputs!$E$55)^(I$5-1)</f>
        <v>-26833.3333333333</v>
      </c>
      <c r="J16" s="65" t="n">
        <f aca="false">-J9*Inputs!$E$43/12*1*(1+Inputs!$E$54)*(1+Inputs!$E$55)^(J$5-1)</f>
        <v>-26833.3333333333</v>
      </c>
      <c r="K16" s="65" t="n">
        <f aca="false">-K9*Inputs!$E$43/12*1*(1+Inputs!$E$54)*(1+Inputs!$E$55)^(K$5-1)</f>
        <v>-26833.3333333333</v>
      </c>
      <c r="L16" s="65" t="n">
        <f aca="false">-L9*Inputs!$E$43/12*1*(1+Inputs!$E$54)*(1+Inputs!$E$55)^(L$5-1)</f>
        <v>-26833.3333333333</v>
      </c>
      <c r="M16" s="65" t="n">
        <f aca="false">-M9*Inputs!$E$43/12*1*(1+Inputs!$E$54)*(1+Inputs!$E$55)^(M$5-1)</f>
        <v>-26833.3333333333</v>
      </c>
      <c r="N16" s="65" t="n">
        <f aca="false">-N9*Inputs!$E$43/12*1*(1+Inputs!$E$54)*(1+Inputs!$E$55)^(N$5-1)</f>
        <v>-26833.3333333333</v>
      </c>
      <c r="O16" s="65" t="n">
        <f aca="false">-O9*Inputs!$E$43/12*1*(1+Inputs!$E$54)*(1+Inputs!$E$55)^(O$5-1)</f>
        <v>-33166</v>
      </c>
      <c r="P16" s="65" t="n">
        <f aca="false">-P9*Inputs!$E$43/12*1*(1+Inputs!$E$54)*(1+Inputs!$E$55)^(P$5-1)</f>
        <v>-33166</v>
      </c>
      <c r="Q16" s="65" t="n">
        <f aca="false">-Q9*Inputs!$E$43/12*1*(1+Inputs!$E$54)*(1+Inputs!$E$55)^(Q$5-1)</f>
        <v>-33166</v>
      </c>
      <c r="R16" s="65" t="n">
        <f aca="false">-R9*Inputs!$E$43/12*1*(1+Inputs!$E$54)*(1+Inputs!$E$55)^(R$5-1)</f>
        <v>-33166</v>
      </c>
      <c r="S16" s="65" t="n">
        <f aca="false">-S9*Inputs!$E$43/12*1*(1+Inputs!$E$54)*(1+Inputs!$E$55)^(S$5-1)</f>
        <v>-33166</v>
      </c>
      <c r="T16" s="65" t="n">
        <f aca="false">-T9*Inputs!$E$43/12*1*(1+Inputs!$E$54)*(1+Inputs!$E$55)^(T$5-1)</f>
        <v>-33166</v>
      </c>
      <c r="U16" s="65" t="n">
        <f aca="false">-U9*Inputs!$E$43/12*1*(1+Inputs!$E$54)*(1+Inputs!$E$55)^(U$5-1)</f>
        <v>-33166</v>
      </c>
      <c r="V16" s="65" t="n">
        <f aca="false">-V9*Inputs!$E$43/12*1*(1+Inputs!$E$54)*(1+Inputs!$E$55)^(V$5-1)</f>
        <v>-33166</v>
      </c>
      <c r="W16" s="65" t="n">
        <f aca="false">-W9*Inputs!$E$43/12*1*(1+Inputs!$E$54)*(1+Inputs!$E$55)^(W$5-1)</f>
        <v>-33166</v>
      </c>
      <c r="X16" s="65" t="n">
        <f aca="false">-X9*Inputs!$E$43/12*1*(1+Inputs!$E$54)*(1+Inputs!$E$55)^(X$5-1)</f>
        <v>-33166</v>
      </c>
      <c r="Y16" s="65" t="n">
        <f aca="false">-Y9*Inputs!$E$43/12*1*(1+Inputs!$E$54)*(1+Inputs!$E$55)^(Y$5-1)</f>
        <v>-33166</v>
      </c>
      <c r="Z16" s="65" t="n">
        <f aca="false">-Z9*Inputs!$E$43/12*1*(1+Inputs!$E$54)*(1+Inputs!$E$55)^(Z$5-1)</f>
        <v>-33166</v>
      </c>
      <c r="AA16" s="65" t="n">
        <f aca="false">-AA9*Inputs!$E$43/12*1*(1+Inputs!$E$54)*(1+Inputs!$E$55)^(AA$5-1)</f>
        <v>-40993.176</v>
      </c>
      <c r="AB16" s="65" t="n">
        <f aca="false">-AB9*Inputs!$E$43/12*1*(1+Inputs!$E$54)*(1+Inputs!$E$55)^(AB$5-1)</f>
        <v>-40993.176</v>
      </c>
      <c r="AC16" s="65" t="n">
        <f aca="false">-AC9*Inputs!$E$43/12*1*(1+Inputs!$E$54)*(1+Inputs!$E$55)^(AC$5-1)</f>
        <v>-40993.176</v>
      </c>
      <c r="AD16" s="65" t="n">
        <f aca="false">-AD9*Inputs!$E$43/12*1*(1+Inputs!$E$54)*(1+Inputs!$E$55)^(AD$5-1)</f>
        <v>-40993.176</v>
      </c>
      <c r="AE16" s="65" t="n">
        <f aca="false">-AE9*Inputs!$E$43/12*1*(1+Inputs!$E$54)*(1+Inputs!$E$55)^(AE$5-1)</f>
        <v>-40993.176</v>
      </c>
      <c r="AF16" s="65" t="n">
        <f aca="false">-AF9*Inputs!$E$43/12*1*(1+Inputs!$E$54)*(1+Inputs!$E$55)^(AF$5-1)</f>
        <v>-40993.176</v>
      </c>
      <c r="AG16" s="65" t="n">
        <f aca="false">-AG9*Inputs!$E$43/12*1*(1+Inputs!$E$54)*(1+Inputs!$E$55)^(AG$5-1)</f>
        <v>-40993.176</v>
      </c>
      <c r="AH16" s="65" t="n">
        <f aca="false">-AH9*Inputs!$E$43/12*1*(1+Inputs!$E$54)*(1+Inputs!$E$55)^(AH$5-1)</f>
        <v>-40993.176</v>
      </c>
      <c r="AI16" s="65" t="n">
        <f aca="false">-AI9*Inputs!$E$43/12*1*(1+Inputs!$E$54)*(1+Inputs!$E$55)^(AI$5-1)</f>
        <v>-40993.176</v>
      </c>
      <c r="AJ16" s="65" t="n">
        <f aca="false">-AJ9*Inputs!$E$43/12*1*(1+Inputs!$E$54)*(1+Inputs!$E$55)^(AJ$5-1)</f>
        <v>-40993.176</v>
      </c>
      <c r="AK16" s="65" t="n">
        <f aca="false">-AK9*Inputs!$E$43/12*1*(1+Inputs!$E$54)*(1+Inputs!$E$55)^(AK$5-1)</f>
        <v>-40993.176</v>
      </c>
      <c r="AL16" s="65" t="n">
        <f aca="false">-AL9*Inputs!$E$43/12*1*(1+Inputs!$E$54)*(1+Inputs!$E$55)^(AL$5-1)</f>
        <v>-40993.176</v>
      </c>
      <c r="AM16" s="65" t="n">
        <f aca="false">-AM9*Inputs!$E$43/12*1*(1+Inputs!$E$54)*(1+Inputs!$E$55)^(AM$5-1)</f>
        <v>-50667.565536</v>
      </c>
      <c r="AN16" s="65" t="n">
        <f aca="false">-AN9*Inputs!$E$43/12*1*(1+Inputs!$E$54)*(1+Inputs!$E$55)^(AN$5-1)</f>
        <v>-50667.565536</v>
      </c>
      <c r="AO16" s="65" t="n">
        <f aca="false">-AO9*Inputs!$E$43/12*1*(1+Inputs!$E$54)*(1+Inputs!$E$55)^(AO$5-1)</f>
        <v>-50667.565536</v>
      </c>
      <c r="AP16" s="65" t="n">
        <f aca="false">-AP9*Inputs!$E$43/12*1*(1+Inputs!$E$54)*(1+Inputs!$E$55)^(AP$5-1)</f>
        <v>-50667.565536</v>
      </c>
      <c r="AQ16" s="65" t="n">
        <f aca="false">-AQ9*Inputs!$E$43/12*1*(1+Inputs!$E$54)*(1+Inputs!$E$55)^(AQ$5-1)</f>
        <v>-50667.565536</v>
      </c>
      <c r="AR16" s="65" t="n">
        <f aca="false">-AR9*Inputs!$E$43/12*1*(1+Inputs!$E$54)*(1+Inputs!$E$55)^(AR$5-1)</f>
        <v>-50667.565536</v>
      </c>
      <c r="AS16" s="65" t="n">
        <f aca="false">-AS9*Inputs!$E$43/12*1*(1+Inputs!$E$54)*(1+Inputs!$E$55)^(AS$5-1)</f>
        <v>-50667.565536</v>
      </c>
      <c r="AT16" s="65" t="n">
        <f aca="false">-AT9*Inputs!$E$43/12*1*(1+Inputs!$E$54)*(1+Inputs!$E$55)^(AT$5-1)</f>
        <v>-50667.565536</v>
      </c>
      <c r="AU16" s="65" t="n">
        <f aca="false">-AU9*Inputs!$E$43/12*1*(1+Inputs!$E$54)*(1+Inputs!$E$55)^(AU$5-1)</f>
        <v>-50667.565536</v>
      </c>
      <c r="AV16" s="65" t="n">
        <f aca="false">-AV9*Inputs!$E$43/12*1*(1+Inputs!$E$54)*(1+Inputs!$E$55)^(AV$5-1)</f>
        <v>-50667.565536</v>
      </c>
      <c r="AW16" s="65" t="n">
        <f aca="false">-AW9*Inputs!$E$43/12*1*(1+Inputs!$E$54)*(1+Inputs!$E$55)^(AW$5-1)</f>
        <v>-50667.565536</v>
      </c>
      <c r="AX16" s="65" t="n">
        <f aca="false">-AX9*Inputs!$E$43/12*1*(1+Inputs!$E$54)*(1+Inputs!$E$55)^(AX$5-1)</f>
        <v>-50667.565536</v>
      </c>
      <c r="AY16" s="65" t="n">
        <f aca="false">-AY9*Inputs!$E$43/12*1*(1+Inputs!$E$54)*(1+Inputs!$E$55)^(AY$5-1)</f>
        <v>-62625.111002496</v>
      </c>
      <c r="AZ16" s="65" t="n">
        <f aca="false">-AZ9*Inputs!$E$43/12*1*(1+Inputs!$E$54)*(1+Inputs!$E$55)^(AZ$5-1)</f>
        <v>-62625.111002496</v>
      </c>
      <c r="BA16" s="65" t="n">
        <f aca="false">-BA9*Inputs!$E$43/12*1*(1+Inputs!$E$54)*(1+Inputs!$E$55)^(BA$5-1)</f>
        <v>-62625.111002496</v>
      </c>
      <c r="BB16" s="65" t="n">
        <f aca="false">-BB9*Inputs!$E$43/12*1*(1+Inputs!$E$54)*(1+Inputs!$E$55)^(BB$5-1)</f>
        <v>-62625.111002496</v>
      </c>
      <c r="BC16" s="65" t="n">
        <f aca="false">-BC9*Inputs!$E$43/12*1*(1+Inputs!$E$54)*(1+Inputs!$E$55)^(BC$5-1)</f>
        <v>-62625.111002496</v>
      </c>
      <c r="BD16" s="65" t="n">
        <f aca="false">-BD9*Inputs!$E$43/12*1*(1+Inputs!$E$54)*(1+Inputs!$E$55)^(BD$5-1)</f>
        <v>-62625.111002496</v>
      </c>
      <c r="BE16" s="65" t="n">
        <f aca="false">-BE9*Inputs!$E$43/12*1*(1+Inputs!$E$54)*(1+Inputs!$E$55)^(BE$5-1)</f>
        <v>-62625.111002496</v>
      </c>
      <c r="BF16" s="65" t="n">
        <f aca="false">-BF9*Inputs!$E$43/12*1*(1+Inputs!$E$54)*(1+Inputs!$E$55)^(BF$5-1)</f>
        <v>-62625.111002496</v>
      </c>
      <c r="BG16" s="65" t="n">
        <f aca="false">-BG9*Inputs!$E$43/12*1*(1+Inputs!$E$54)*(1+Inputs!$E$55)^(BG$5-1)</f>
        <v>-62625.111002496</v>
      </c>
      <c r="BH16" s="65" t="n">
        <f aca="false">-BH9*Inputs!$E$43/12*1*(1+Inputs!$E$54)*(1+Inputs!$E$55)^(BH$5-1)</f>
        <v>-62625.111002496</v>
      </c>
      <c r="BI16" s="65" t="n">
        <f aca="false">-BI9*Inputs!$E$43/12*1*(1+Inputs!$E$54)*(1+Inputs!$E$55)^(BI$5-1)</f>
        <v>-62625.111002496</v>
      </c>
      <c r="BJ16" s="65" t="n">
        <f aca="false">-BJ9*Inputs!$E$43/12*1*(1+Inputs!$E$54)*(1+Inputs!$E$55)^(BJ$5-1)</f>
        <v>-62625.111002496</v>
      </c>
    </row>
    <row r="17" customFormat="false" ht="15" hidden="false" customHeight="false" outlineLevel="0" collapsed="false">
      <c r="A17" s="6" t="s">
        <v>452</v>
      </c>
      <c r="C17" s="65" t="n">
        <f aca="false">-C10*Inputs!$E$47/12*1*(1+Inputs!$E$54)*(1+Inputs!$E$55)^(C$5-1)</f>
        <v>-29133.3333333333</v>
      </c>
      <c r="D17" s="65" t="n">
        <f aca="false">-D10*Inputs!$E$47/12*1*(1+Inputs!$E$54)*(1+Inputs!$E$55)^(D$5-1)</f>
        <v>-29133.3333333333</v>
      </c>
      <c r="E17" s="65" t="n">
        <f aca="false">-E10*Inputs!$E$47/12*1*(1+Inputs!$E$54)*(1+Inputs!$E$55)^(E$5-1)</f>
        <v>-29133.3333333333</v>
      </c>
      <c r="F17" s="65" t="n">
        <f aca="false">-F10*Inputs!$E$47/12*1*(1+Inputs!$E$54)*(1+Inputs!$E$55)^(F$5-1)</f>
        <v>-29133.3333333333</v>
      </c>
      <c r="G17" s="65" t="n">
        <f aca="false">-G10*Inputs!$E$47/12*1*(1+Inputs!$E$54)*(1+Inputs!$E$55)^(G$5-1)</f>
        <v>-29133.3333333333</v>
      </c>
      <c r="H17" s="65" t="n">
        <f aca="false">-H10*Inputs!$E$47/12*1*(1+Inputs!$E$54)*(1+Inputs!$E$55)^(H$5-1)</f>
        <v>-29133.3333333333</v>
      </c>
      <c r="I17" s="65" t="n">
        <f aca="false">-I10*Inputs!$E$47/12*1*(1+Inputs!$E$54)*(1+Inputs!$E$55)^(I$5-1)</f>
        <v>-29133.3333333333</v>
      </c>
      <c r="J17" s="65" t="n">
        <f aca="false">-J10*Inputs!$E$47/12*1*(1+Inputs!$E$54)*(1+Inputs!$E$55)^(J$5-1)</f>
        <v>-29133.3333333333</v>
      </c>
      <c r="K17" s="65" t="n">
        <f aca="false">-K10*Inputs!$E$47/12*1*(1+Inputs!$E$54)*(1+Inputs!$E$55)^(K$5-1)</f>
        <v>-29133.3333333333</v>
      </c>
      <c r="L17" s="65" t="n">
        <f aca="false">-L10*Inputs!$E$47/12*1*(1+Inputs!$E$54)*(1+Inputs!$E$55)^(L$5-1)</f>
        <v>-29133.3333333333</v>
      </c>
      <c r="M17" s="65" t="n">
        <f aca="false">-M10*Inputs!$E$47/12*1*(1+Inputs!$E$54)*(1+Inputs!$E$55)^(M$5-1)</f>
        <v>-29133.3333333333</v>
      </c>
      <c r="N17" s="65" t="n">
        <f aca="false">-N10*Inputs!$E$47/12*1*(1+Inputs!$E$54)*(1+Inputs!$E$55)^(N$5-1)</f>
        <v>-29133.3333333333</v>
      </c>
      <c r="O17" s="65" t="n">
        <f aca="false">-O10*Inputs!$E$47/12*1*(1+Inputs!$E$54)*(1+Inputs!$E$55)^(O$5-1)</f>
        <v>-39009.5333333333</v>
      </c>
      <c r="P17" s="65" t="n">
        <f aca="false">-P10*Inputs!$E$47/12*1*(1+Inputs!$E$54)*(1+Inputs!$E$55)^(P$5-1)</f>
        <v>-39009.5333333333</v>
      </c>
      <c r="Q17" s="65" t="n">
        <f aca="false">-Q10*Inputs!$E$47/12*1*(1+Inputs!$E$54)*(1+Inputs!$E$55)^(Q$5-1)</f>
        <v>-39009.5333333333</v>
      </c>
      <c r="R17" s="65" t="n">
        <f aca="false">-R10*Inputs!$E$47/12*1*(1+Inputs!$E$54)*(1+Inputs!$E$55)^(R$5-1)</f>
        <v>-39009.5333333333</v>
      </c>
      <c r="S17" s="65" t="n">
        <f aca="false">-S10*Inputs!$E$47/12*1*(1+Inputs!$E$54)*(1+Inputs!$E$55)^(S$5-1)</f>
        <v>-39009.5333333333</v>
      </c>
      <c r="T17" s="65" t="n">
        <f aca="false">-T10*Inputs!$E$47/12*1*(1+Inputs!$E$54)*(1+Inputs!$E$55)^(T$5-1)</f>
        <v>-39009.5333333333</v>
      </c>
      <c r="U17" s="65" t="n">
        <f aca="false">-U10*Inputs!$E$47/12*1*(1+Inputs!$E$54)*(1+Inputs!$E$55)^(U$5-1)</f>
        <v>-39009.5333333333</v>
      </c>
      <c r="V17" s="65" t="n">
        <f aca="false">-V10*Inputs!$E$47/12*1*(1+Inputs!$E$54)*(1+Inputs!$E$55)^(V$5-1)</f>
        <v>-39009.5333333333</v>
      </c>
      <c r="W17" s="65" t="n">
        <f aca="false">-W10*Inputs!$E$47/12*1*(1+Inputs!$E$54)*(1+Inputs!$E$55)^(W$5-1)</f>
        <v>-39009.5333333333</v>
      </c>
      <c r="X17" s="65" t="n">
        <f aca="false">-X10*Inputs!$E$47/12*1*(1+Inputs!$E$54)*(1+Inputs!$E$55)^(X$5-1)</f>
        <v>-39009.5333333333</v>
      </c>
      <c r="Y17" s="65" t="n">
        <f aca="false">-Y10*Inputs!$E$47/12*1*(1+Inputs!$E$54)*(1+Inputs!$E$55)^(Y$5-1)</f>
        <v>-39009.5333333333</v>
      </c>
      <c r="Z17" s="65" t="n">
        <f aca="false">-Z10*Inputs!$E$47/12*1*(1+Inputs!$E$54)*(1+Inputs!$E$55)^(Z$5-1)</f>
        <v>-39009.5333333333</v>
      </c>
      <c r="AA17" s="65" t="n">
        <f aca="false">-AA10*Inputs!$E$47/12*1*(1+Inputs!$E$54)*(1+Inputs!$E$55)^(AA$5-1)</f>
        <v>-52233.7651333333</v>
      </c>
      <c r="AB17" s="65" t="n">
        <f aca="false">-AB10*Inputs!$E$47/12*1*(1+Inputs!$E$54)*(1+Inputs!$E$55)^(AB$5-1)</f>
        <v>-52233.7651333333</v>
      </c>
      <c r="AC17" s="65" t="n">
        <f aca="false">-AC10*Inputs!$E$47/12*1*(1+Inputs!$E$54)*(1+Inputs!$E$55)^(AC$5-1)</f>
        <v>-52233.7651333333</v>
      </c>
      <c r="AD17" s="65" t="n">
        <f aca="false">-AD10*Inputs!$E$47/12*1*(1+Inputs!$E$54)*(1+Inputs!$E$55)^(AD$5-1)</f>
        <v>-52233.7651333333</v>
      </c>
      <c r="AE17" s="65" t="n">
        <f aca="false">-AE10*Inputs!$E$47/12*1*(1+Inputs!$E$54)*(1+Inputs!$E$55)^(AE$5-1)</f>
        <v>-52233.7651333333</v>
      </c>
      <c r="AF17" s="65" t="n">
        <f aca="false">-AF10*Inputs!$E$47/12*1*(1+Inputs!$E$54)*(1+Inputs!$E$55)^(AF$5-1)</f>
        <v>-52233.7651333333</v>
      </c>
      <c r="AG17" s="65" t="n">
        <f aca="false">-AG10*Inputs!$E$47/12*1*(1+Inputs!$E$54)*(1+Inputs!$E$55)^(AG$5-1)</f>
        <v>-52233.7651333333</v>
      </c>
      <c r="AH17" s="65" t="n">
        <f aca="false">-AH10*Inputs!$E$47/12*1*(1+Inputs!$E$54)*(1+Inputs!$E$55)^(AH$5-1)</f>
        <v>-52233.7651333333</v>
      </c>
      <c r="AI17" s="65" t="n">
        <f aca="false">-AI10*Inputs!$E$47/12*1*(1+Inputs!$E$54)*(1+Inputs!$E$55)^(AI$5-1)</f>
        <v>-52233.7651333333</v>
      </c>
      <c r="AJ17" s="65" t="n">
        <f aca="false">-AJ10*Inputs!$E$47/12*1*(1+Inputs!$E$54)*(1+Inputs!$E$55)^(AJ$5-1)</f>
        <v>-52233.7651333333</v>
      </c>
      <c r="AK17" s="65" t="n">
        <f aca="false">-AK10*Inputs!$E$47/12*1*(1+Inputs!$E$54)*(1+Inputs!$E$55)^(AK$5-1)</f>
        <v>-52233.7651333333</v>
      </c>
      <c r="AL17" s="65" t="n">
        <f aca="false">-AL10*Inputs!$E$47/12*1*(1+Inputs!$E$54)*(1+Inputs!$E$55)^(AL$5-1)</f>
        <v>-52233.7651333333</v>
      </c>
      <c r="AM17" s="65" t="n">
        <f aca="false">-AM10*Inputs!$E$47/12*1*(1+Inputs!$E$54)*(1+Inputs!$E$55)^(AM$5-1)</f>
        <v>-69941.0115135333</v>
      </c>
      <c r="AN17" s="65" t="n">
        <f aca="false">-AN10*Inputs!$E$47/12*1*(1+Inputs!$E$54)*(1+Inputs!$E$55)^(AN$5-1)</f>
        <v>-69941.0115135333</v>
      </c>
      <c r="AO17" s="65" t="n">
        <f aca="false">-AO10*Inputs!$E$47/12*1*(1+Inputs!$E$54)*(1+Inputs!$E$55)^(AO$5-1)</f>
        <v>-69941.0115135333</v>
      </c>
      <c r="AP17" s="65" t="n">
        <f aca="false">-AP10*Inputs!$E$47/12*1*(1+Inputs!$E$54)*(1+Inputs!$E$55)^(AP$5-1)</f>
        <v>-69941.0115135333</v>
      </c>
      <c r="AQ17" s="65" t="n">
        <f aca="false">-AQ10*Inputs!$E$47/12*1*(1+Inputs!$E$54)*(1+Inputs!$E$55)^(AQ$5-1)</f>
        <v>-69941.0115135333</v>
      </c>
      <c r="AR17" s="65" t="n">
        <f aca="false">-AR10*Inputs!$E$47/12*1*(1+Inputs!$E$54)*(1+Inputs!$E$55)^(AR$5-1)</f>
        <v>-69941.0115135333</v>
      </c>
      <c r="AS17" s="65" t="n">
        <f aca="false">-AS10*Inputs!$E$47/12*1*(1+Inputs!$E$54)*(1+Inputs!$E$55)^(AS$5-1)</f>
        <v>-69941.0115135333</v>
      </c>
      <c r="AT17" s="65" t="n">
        <f aca="false">-AT10*Inputs!$E$47/12*1*(1+Inputs!$E$54)*(1+Inputs!$E$55)^(AT$5-1)</f>
        <v>-69941.0115135333</v>
      </c>
      <c r="AU17" s="65" t="n">
        <f aca="false">-AU10*Inputs!$E$47/12*1*(1+Inputs!$E$54)*(1+Inputs!$E$55)^(AU$5-1)</f>
        <v>-69941.0115135333</v>
      </c>
      <c r="AV17" s="65" t="n">
        <f aca="false">-AV10*Inputs!$E$47/12*1*(1+Inputs!$E$54)*(1+Inputs!$E$55)^(AV$5-1)</f>
        <v>-69941.0115135333</v>
      </c>
      <c r="AW17" s="65" t="n">
        <f aca="false">-AW10*Inputs!$E$47/12*1*(1+Inputs!$E$54)*(1+Inputs!$E$55)^(AW$5-1)</f>
        <v>-69941.0115135333</v>
      </c>
      <c r="AX17" s="65" t="n">
        <f aca="false">-AX10*Inputs!$E$47/12*1*(1+Inputs!$E$54)*(1+Inputs!$E$55)^(AX$5-1)</f>
        <v>-69941.0115135333</v>
      </c>
      <c r="AY17" s="65" t="n">
        <f aca="false">-AY10*Inputs!$E$47/12*1*(1+Inputs!$E$54)*(1+Inputs!$E$55)^(AY$5-1)</f>
        <v>-93651.0144166211</v>
      </c>
      <c r="AZ17" s="65" t="n">
        <f aca="false">-AZ10*Inputs!$E$47/12*1*(1+Inputs!$E$54)*(1+Inputs!$E$55)^(AZ$5-1)</f>
        <v>-93651.0144166211</v>
      </c>
      <c r="BA17" s="65" t="n">
        <f aca="false">-BA10*Inputs!$E$47/12*1*(1+Inputs!$E$54)*(1+Inputs!$E$55)^(BA$5-1)</f>
        <v>-93651.0144166211</v>
      </c>
      <c r="BB17" s="65" t="n">
        <f aca="false">-BB10*Inputs!$E$47/12*1*(1+Inputs!$E$54)*(1+Inputs!$E$55)^(BB$5-1)</f>
        <v>-93651.0144166211</v>
      </c>
      <c r="BC17" s="65" t="n">
        <f aca="false">-BC10*Inputs!$E$47/12*1*(1+Inputs!$E$54)*(1+Inputs!$E$55)^(BC$5-1)</f>
        <v>-93651.0144166211</v>
      </c>
      <c r="BD17" s="65" t="n">
        <f aca="false">-BD10*Inputs!$E$47/12*1*(1+Inputs!$E$54)*(1+Inputs!$E$55)^(BD$5-1)</f>
        <v>-93651.0144166211</v>
      </c>
      <c r="BE17" s="65" t="n">
        <f aca="false">-BE10*Inputs!$E$47/12*1*(1+Inputs!$E$54)*(1+Inputs!$E$55)^(BE$5-1)</f>
        <v>-93651.0144166211</v>
      </c>
      <c r="BF17" s="65" t="n">
        <f aca="false">-BF10*Inputs!$E$47/12*1*(1+Inputs!$E$54)*(1+Inputs!$E$55)^(BF$5-1)</f>
        <v>-93651.0144166211</v>
      </c>
      <c r="BG17" s="65" t="n">
        <f aca="false">-BG10*Inputs!$E$47/12*1*(1+Inputs!$E$54)*(1+Inputs!$E$55)^(BG$5-1)</f>
        <v>-93651.0144166211</v>
      </c>
      <c r="BH17" s="65" t="n">
        <f aca="false">-BH10*Inputs!$E$47/12*1*(1+Inputs!$E$54)*(1+Inputs!$E$55)^(BH$5-1)</f>
        <v>-93651.0144166211</v>
      </c>
      <c r="BI17" s="65" t="n">
        <f aca="false">-BI10*Inputs!$E$47/12*1*(1+Inputs!$E$54)*(1+Inputs!$E$55)^(BI$5-1)</f>
        <v>-93651.0144166211</v>
      </c>
      <c r="BJ17" s="65" t="n">
        <f aca="false">-BJ10*Inputs!$E$47/12*1*(1+Inputs!$E$54)*(1+Inputs!$E$55)^(BJ$5-1)</f>
        <v>-93651.0144166211</v>
      </c>
    </row>
    <row r="18" customFormat="false" ht="15" hidden="false" customHeight="false" outlineLevel="0" collapsed="false">
      <c r="A18" s="6" t="s">
        <v>453</v>
      </c>
      <c r="C18" s="65" t="n">
        <f aca="false">-C11*Inputs!$E$51/12*1*(1+Inputs!$E$54)*(1+Inputs!$E$55)^(C$5-1)</f>
        <v>-20125</v>
      </c>
      <c r="D18" s="65" t="n">
        <f aca="false">-D11*Inputs!$E$51/12*1*(1+Inputs!$E$54)*(1+Inputs!$E$55)^(D$5-1)</f>
        <v>-20125</v>
      </c>
      <c r="E18" s="65" t="n">
        <f aca="false">-E11*Inputs!$E$51/12*1*(1+Inputs!$E$54)*(1+Inputs!$E$55)^(E$5-1)</f>
        <v>-20125</v>
      </c>
      <c r="F18" s="65" t="n">
        <f aca="false">-F11*Inputs!$E$51/12*1*(1+Inputs!$E$54)*(1+Inputs!$E$55)^(F$5-1)</f>
        <v>-20125</v>
      </c>
      <c r="G18" s="65" t="n">
        <f aca="false">-G11*Inputs!$E$51/12*1*(1+Inputs!$E$54)*(1+Inputs!$E$55)^(G$5-1)</f>
        <v>-20125</v>
      </c>
      <c r="H18" s="65" t="n">
        <f aca="false">-H11*Inputs!$E$51/12*1*(1+Inputs!$E$54)*(1+Inputs!$E$55)^(H$5-1)</f>
        <v>-20125</v>
      </c>
      <c r="I18" s="65" t="n">
        <f aca="false">-I11*Inputs!$E$51/12*1*(1+Inputs!$E$54)*(1+Inputs!$E$55)^(I$5-1)</f>
        <v>-20125</v>
      </c>
      <c r="J18" s="65" t="n">
        <f aca="false">-J11*Inputs!$E$51/12*1*(1+Inputs!$E$54)*(1+Inputs!$E$55)^(J$5-1)</f>
        <v>-20125</v>
      </c>
      <c r="K18" s="65" t="n">
        <f aca="false">-K11*Inputs!$E$51/12*1*(1+Inputs!$E$54)*(1+Inputs!$E$55)^(K$5-1)</f>
        <v>-20125</v>
      </c>
      <c r="L18" s="65" t="n">
        <f aca="false">-L11*Inputs!$E$51/12*1*(1+Inputs!$E$54)*(1+Inputs!$E$55)^(L$5-1)</f>
        <v>-20125</v>
      </c>
      <c r="M18" s="65" t="n">
        <f aca="false">-M11*Inputs!$E$51/12*1*(1+Inputs!$E$54)*(1+Inputs!$E$55)^(M$5-1)</f>
        <v>-20125</v>
      </c>
      <c r="N18" s="65" t="n">
        <f aca="false">-N11*Inputs!$E$51/12*1*(1+Inputs!$E$54)*(1+Inputs!$E$55)^(N$5-1)</f>
        <v>-20125</v>
      </c>
      <c r="O18" s="65" t="n">
        <f aca="false">-O11*Inputs!$E$51/12*1*(1+Inputs!$E$54)*(1+Inputs!$E$55)^(O$5-1)</f>
        <v>-23838.0625</v>
      </c>
      <c r="P18" s="65" t="n">
        <f aca="false">-P11*Inputs!$E$51/12*1*(1+Inputs!$E$54)*(1+Inputs!$E$55)^(P$5-1)</f>
        <v>-23838.0625</v>
      </c>
      <c r="Q18" s="65" t="n">
        <f aca="false">-Q11*Inputs!$E$51/12*1*(1+Inputs!$E$54)*(1+Inputs!$E$55)^(Q$5-1)</f>
        <v>-23838.0625</v>
      </c>
      <c r="R18" s="65" t="n">
        <f aca="false">-R11*Inputs!$E$51/12*1*(1+Inputs!$E$54)*(1+Inputs!$E$55)^(R$5-1)</f>
        <v>-23838.0625</v>
      </c>
      <c r="S18" s="65" t="n">
        <f aca="false">-S11*Inputs!$E$51/12*1*(1+Inputs!$E$54)*(1+Inputs!$E$55)^(S$5-1)</f>
        <v>-23838.0625</v>
      </c>
      <c r="T18" s="65" t="n">
        <f aca="false">-T11*Inputs!$E$51/12*1*(1+Inputs!$E$54)*(1+Inputs!$E$55)^(T$5-1)</f>
        <v>-23838.0625</v>
      </c>
      <c r="U18" s="65" t="n">
        <f aca="false">-U11*Inputs!$E$51/12*1*(1+Inputs!$E$54)*(1+Inputs!$E$55)^(U$5-1)</f>
        <v>-23838.0625</v>
      </c>
      <c r="V18" s="65" t="n">
        <f aca="false">-V11*Inputs!$E$51/12*1*(1+Inputs!$E$54)*(1+Inputs!$E$55)^(V$5-1)</f>
        <v>-23838.0625</v>
      </c>
      <c r="W18" s="65" t="n">
        <f aca="false">-W11*Inputs!$E$51/12*1*(1+Inputs!$E$54)*(1+Inputs!$E$55)^(W$5-1)</f>
        <v>-23838.0625</v>
      </c>
      <c r="X18" s="65" t="n">
        <f aca="false">-X11*Inputs!$E$51/12*1*(1+Inputs!$E$54)*(1+Inputs!$E$55)^(X$5-1)</f>
        <v>-23838.0625</v>
      </c>
      <c r="Y18" s="65" t="n">
        <f aca="false">-Y11*Inputs!$E$51/12*1*(1+Inputs!$E$54)*(1+Inputs!$E$55)^(Y$5-1)</f>
        <v>-23838.0625</v>
      </c>
      <c r="Z18" s="65" t="n">
        <f aca="false">-Z11*Inputs!$E$51/12*1*(1+Inputs!$E$54)*(1+Inputs!$E$55)^(Z$5-1)</f>
        <v>-23838.0625</v>
      </c>
      <c r="AA18" s="65" t="n">
        <f aca="false">-AA11*Inputs!$E$51/12*1*(1+Inputs!$E$54)*(1+Inputs!$E$55)^(AA$5-1)</f>
        <v>-28236.18503125</v>
      </c>
      <c r="AB18" s="65" t="n">
        <f aca="false">-AB11*Inputs!$E$51/12*1*(1+Inputs!$E$54)*(1+Inputs!$E$55)^(AB$5-1)</f>
        <v>-28236.18503125</v>
      </c>
      <c r="AC18" s="65" t="n">
        <f aca="false">-AC11*Inputs!$E$51/12*1*(1+Inputs!$E$54)*(1+Inputs!$E$55)^(AC$5-1)</f>
        <v>-28236.18503125</v>
      </c>
      <c r="AD18" s="65" t="n">
        <f aca="false">-AD11*Inputs!$E$51/12*1*(1+Inputs!$E$54)*(1+Inputs!$E$55)^(AD$5-1)</f>
        <v>-28236.18503125</v>
      </c>
      <c r="AE18" s="65" t="n">
        <f aca="false">-AE11*Inputs!$E$51/12*1*(1+Inputs!$E$54)*(1+Inputs!$E$55)^(AE$5-1)</f>
        <v>-28236.18503125</v>
      </c>
      <c r="AF18" s="65" t="n">
        <f aca="false">-AF11*Inputs!$E$51/12*1*(1+Inputs!$E$54)*(1+Inputs!$E$55)^(AF$5-1)</f>
        <v>-28236.18503125</v>
      </c>
      <c r="AG18" s="65" t="n">
        <f aca="false">-AG11*Inputs!$E$51/12*1*(1+Inputs!$E$54)*(1+Inputs!$E$55)^(AG$5-1)</f>
        <v>-28236.18503125</v>
      </c>
      <c r="AH18" s="65" t="n">
        <f aca="false">-AH11*Inputs!$E$51/12*1*(1+Inputs!$E$54)*(1+Inputs!$E$55)^(AH$5-1)</f>
        <v>-28236.18503125</v>
      </c>
      <c r="AI18" s="65" t="n">
        <f aca="false">-AI11*Inputs!$E$51/12*1*(1+Inputs!$E$54)*(1+Inputs!$E$55)^(AI$5-1)</f>
        <v>-28236.18503125</v>
      </c>
      <c r="AJ18" s="65" t="n">
        <f aca="false">-AJ11*Inputs!$E$51/12*1*(1+Inputs!$E$54)*(1+Inputs!$E$55)^(AJ$5-1)</f>
        <v>-28236.18503125</v>
      </c>
      <c r="AK18" s="65" t="n">
        <f aca="false">-AK11*Inputs!$E$51/12*1*(1+Inputs!$E$54)*(1+Inputs!$E$55)^(AK$5-1)</f>
        <v>-28236.18503125</v>
      </c>
      <c r="AL18" s="65" t="n">
        <f aca="false">-AL11*Inputs!$E$51/12*1*(1+Inputs!$E$54)*(1+Inputs!$E$55)^(AL$5-1)</f>
        <v>-28236.18503125</v>
      </c>
      <c r="AM18" s="65" t="n">
        <f aca="false">-AM11*Inputs!$E$51/12*1*(1+Inputs!$E$54)*(1+Inputs!$E$55)^(AM$5-1)</f>
        <v>-33445.7611695156</v>
      </c>
      <c r="AN18" s="65" t="n">
        <f aca="false">-AN11*Inputs!$E$51/12*1*(1+Inputs!$E$54)*(1+Inputs!$E$55)^(AN$5-1)</f>
        <v>-33445.7611695156</v>
      </c>
      <c r="AO18" s="65" t="n">
        <f aca="false">-AO11*Inputs!$E$51/12*1*(1+Inputs!$E$54)*(1+Inputs!$E$55)^(AO$5-1)</f>
        <v>-33445.7611695156</v>
      </c>
      <c r="AP18" s="65" t="n">
        <f aca="false">-AP11*Inputs!$E$51/12*1*(1+Inputs!$E$54)*(1+Inputs!$E$55)^(AP$5-1)</f>
        <v>-33445.7611695156</v>
      </c>
      <c r="AQ18" s="65" t="n">
        <f aca="false">-AQ11*Inputs!$E$51/12*1*(1+Inputs!$E$54)*(1+Inputs!$E$55)^(AQ$5-1)</f>
        <v>-33445.7611695156</v>
      </c>
      <c r="AR18" s="65" t="n">
        <f aca="false">-AR11*Inputs!$E$51/12*1*(1+Inputs!$E$54)*(1+Inputs!$E$55)^(AR$5-1)</f>
        <v>-33445.7611695156</v>
      </c>
      <c r="AS18" s="65" t="n">
        <f aca="false">-AS11*Inputs!$E$51/12*1*(1+Inputs!$E$54)*(1+Inputs!$E$55)^(AS$5-1)</f>
        <v>-33445.7611695156</v>
      </c>
      <c r="AT18" s="65" t="n">
        <f aca="false">-AT11*Inputs!$E$51/12*1*(1+Inputs!$E$54)*(1+Inputs!$E$55)^(AT$5-1)</f>
        <v>-33445.7611695156</v>
      </c>
      <c r="AU18" s="65" t="n">
        <f aca="false">-AU11*Inputs!$E$51/12*1*(1+Inputs!$E$54)*(1+Inputs!$E$55)^(AU$5-1)</f>
        <v>-33445.7611695156</v>
      </c>
      <c r="AV18" s="65" t="n">
        <f aca="false">-AV11*Inputs!$E$51/12*1*(1+Inputs!$E$54)*(1+Inputs!$E$55)^(AV$5-1)</f>
        <v>-33445.7611695156</v>
      </c>
      <c r="AW18" s="65" t="n">
        <f aca="false">-AW11*Inputs!$E$51/12*1*(1+Inputs!$E$54)*(1+Inputs!$E$55)^(AW$5-1)</f>
        <v>-33445.7611695156</v>
      </c>
      <c r="AX18" s="65" t="n">
        <f aca="false">-AX11*Inputs!$E$51/12*1*(1+Inputs!$E$54)*(1+Inputs!$E$55)^(AX$5-1)</f>
        <v>-33445.7611695156</v>
      </c>
      <c r="AY18" s="65" t="n">
        <f aca="false">-AY11*Inputs!$E$51/12*1*(1+Inputs!$E$54)*(1+Inputs!$E$55)^(AY$5-1)</f>
        <v>-39616.5041052912</v>
      </c>
      <c r="AZ18" s="65" t="n">
        <f aca="false">-AZ11*Inputs!$E$51/12*1*(1+Inputs!$E$54)*(1+Inputs!$E$55)^(AZ$5-1)</f>
        <v>-39616.5041052912</v>
      </c>
      <c r="BA18" s="65" t="n">
        <f aca="false">-BA11*Inputs!$E$51/12*1*(1+Inputs!$E$54)*(1+Inputs!$E$55)^(BA$5-1)</f>
        <v>-39616.5041052912</v>
      </c>
      <c r="BB18" s="65" t="n">
        <f aca="false">-BB11*Inputs!$E$51/12*1*(1+Inputs!$E$54)*(1+Inputs!$E$55)^(BB$5-1)</f>
        <v>-39616.5041052912</v>
      </c>
      <c r="BC18" s="65" t="n">
        <f aca="false">-BC11*Inputs!$E$51/12*1*(1+Inputs!$E$54)*(1+Inputs!$E$55)^(BC$5-1)</f>
        <v>-39616.5041052912</v>
      </c>
      <c r="BD18" s="65" t="n">
        <f aca="false">-BD11*Inputs!$E$51/12*1*(1+Inputs!$E$54)*(1+Inputs!$E$55)^(BD$5-1)</f>
        <v>-39616.5041052912</v>
      </c>
      <c r="BE18" s="65" t="n">
        <f aca="false">-BE11*Inputs!$E$51/12*1*(1+Inputs!$E$54)*(1+Inputs!$E$55)^(BE$5-1)</f>
        <v>-39616.5041052912</v>
      </c>
      <c r="BF18" s="65" t="n">
        <f aca="false">-BF11*Inputs!$E$51/12*1*(1+Inputs!$E$54)*(1+Inputs!$E$55)^(BF$5-1)</f>
        <v>-39616.5041052912</v>
      </c>
      <c r="BG18" s="65" t="n">
        <f aca="false">-BG11*Inputs!$E$51/12*1*(1+Inputs!$E$54)*(1+Inputs!$E$55)^(BG$5-1)</f>
        <v>-39616.5041052912</v>
      </c>
      <c r="BH18" s="65" t="n">
        <f aca="false">-BH11*Inputs!$E$51/12*1*(1+Inputs!$E$54)*(1+Inputs!$E$55)^(BH$5-1)</f>
        <v>-39616.5041052912</v>
      </c>
      <c r="BI18" s="65" t="n">
        <f aca="false">-BI11*Inputs!$E$51/12*1*(1+Inputs!$E$54)*(1+Inputs!$E$55)^(BI$5-1)</f>
        <v>-39616.5041052912</v>
      </c>
      <c r="BJ18" s="65" t="n">
        <f aca="false">-BJ11*Inputs!$E$51/12*1*(1+Inputs!$E$54)*(1+Inputs!$E$55)^(BJ$5-1)</f>
        <v>-39616.5041052912</v>
      </c>
    </row>
    <row r="19" customFormat="false" ht="15" hidden="false" customHeight="false" outlineLevel="0" collapsed="false">
      <c r="A19" s="110" t="s">
        <v>454</v>
      </c>
      <c r="C19" s="66" t="n">
        <f aca="false">C15+C16+C17+C18</f>
        <v>-104841.666666667</v>
      </c>
      <c r="D19" s="66" t="n">
        <f aca="false">D15+D16+D17+D18</f>
        <v>-104841.666666667</v>
      </c>
      <c r="E19" s="66" t="n">
        <f aca="false">E15+E16+E17+E18</f>
        <v>-104841.666666667</v>
      </c>
      <c r="F19" s="66" t="n">
        <f aca="false">F15+F16+F17+F18</f>
        <v>-104841.666666667</v>
      </c>
      <c r="G19" s="66" t="n">
        <f aca="false">G15+G16+G17+G18</f>
        <v>-104841.666666667</v>
      </c>
      <c r="H19" s="66" t="n">
        <f aca="false">H15+H16+H17+H18</f>
        <v>-104841.666666667</v>
      </c>
      <c r="I19" s="66" t="n">
        <f aca="false">I15+I16+I17+I18</f>
        <v>-104841.666666667</v>
      </c>
      <c r="J19" s="66" t="n">
        <f aca="false">J15+J16+J17+J18</f>
        <v>-104841.666666667</v>
      </c>
      <c r="K19" s="66" t="n">
        <f aca="false">K15+K16+K17+K18</f>
        <v>-104841.666666667</v>
      </c>
      <c r="L19" s="66" t="n">
        <f aca="false">L15+L16+L17+L18</f>
        <v>-104841.666666667</v>
      </c>
      <c r="M19" s="66" t="n">
        <f aca="false">M15+M16+M17+M18</f>
        <v>-104841.666666667</v>
      </c>
      <c r="N19" s="66" t="n">
        <f aca="false">N15+N16+N17+N18</f>
        <v>-104841.666666667</v>
      </c>
      <c r="O19" s="66" t="n">
        <f aca="false">O15+O16+O17+O18</f>
        <v>-131548.595833333</v>
      </c>
      <c r="P19" s="66" t="n">
        <f aca="false">P15+P16+P17+P18</f>
        <v>-131548.595833333</v>
      </c>
      <c r="Q19" s="66" t="n">
        <f aca="false">Q15+Q16+Q17+Q18</f>
        <v>-131548.595833333</v>
      </c>
      <c r="R19" s="66" t="n">
        <f aca="false">R15+R16+R17+R18</f>
        <v>-131548.595833333</v>
      </c>
      <c r="S19" s="66" t="n">
        <f aca="false">S15+S16+S17+S18</f>
        <v>-131548.595833333</v>
      </c>
      <c r="T19" s="66" t="n">
        <f aca="false">T15+T16+T17+T18</f>
        <v>-131548.595833333</v>
      </c>
      <c r="U19" s="66" t="n">
        <f aca="false">U15+U16+U17+U18</f>
        <v>-131548.595833333</v>
      </c>
      <c r="V19" s="66" t="n">
        <f aca="false">V15+V16+V17+V18</f>
        <v>-131548.595833333</v>
      </c>
      <c r="W19" s="66" t="n">
        <f aca="false">W15+W16+W17+W18</f>
        <v>-131548.595833333</v>
      </c>
      <c r="X19" s="66" t="n">
        <f aca="false">X15+X16+X17+X18</f>
        <v>-131548.595833333</v>
      </c>
      <c r="Y19" s="66" t="n">
        <f aca="false">Y15+Y16+Y17+Y18</f>
        <v>-131548.595833333</v>
      </c>
      <c r="Z19" s="66" t="n">
        <f aca="false">Z15+Z16+Z17+Z18</f>
        <v>-131548.595833333</v>
      </c>
      <c r="AA19" s="66" t="n">
        <f aca="false">AA15+AA16+AA17+AA18</f>
        <v>-165384.386164583</v>
      </c>
      <c r="AB19" s="66" t="n">
        <f aca="false">AB15+AB16+AB17+AB18</f>
        <v>-165384.386164583</v>
      </c>
      <c r="AC19" s="66" t="n">
        <f aca="false">AC15+AC16+AC17+AC18</f>
        <v>-165384.386164583</v>
      </c>
      <c r="AD19" s="66" t="n">
        <f aca="false">AD15+AD16+AD17+AD18</f>
        <v>-165384.386164583</v>
      </c>
      <c r="AE19" s="66" t="n">
        <f aca="false">AE15+AE16+AE17+AE18</f>
        <v>-165384.386164583</v>
      </c>
      <c r="AF19" s="66" t="n">
        <f aca="false">AF15+AF16+AF17+AF18</f>
        <v>-165384.386164583</v>
      </c>
      <c r="AG19" s="66" t="n">
        <f aca="false">AG15+AG16+AG17+AG18</f>
        <v>-165384.386164583</v>
      </c>
      <c r="AH19" s="66" t="n">
        <f aca="false">AH15+AH16+AH17+AH18</f>
        <v>-165384.386164583</v>
      </c>
      <c r="AI19" s="66" t="n">
        <f aca="false">AI15+AI16+AI17+AI18</f>
        <v>-165384.386164583</v>
      </c>
      <c r="AJ19" s="66" t="n">
        <f aca="false">AJ15+AJ16+AJ17+AJ18</f>
        <v>-165384.386164583</v>
      </c>
      <c r="AK19" s="66" t="n">
        <f aca="false">AK15+AK16+AK17+AK18</f>
        <v>-165384.386164583</v>
      </c>
      <c r="AL19" s="66" t="n">
        <f aca="false">AL15+AL16+AL17+AL18</f>
        <v>-165384.386164583</v>
      </c>
      <c r="AM19" s="66" t="n">
        <f aca="false">AM15+AM16+AM17+AM18</f>
        <v>-208341.015579049</v>
      </c>
      <c r="AN19" s="66" t="n">
        <f aca="false">AN15+AN16+AN17+AN18</f>
        <v>-208341.015579049</v>
      </c>
      <c r="AO19" s="66" t="n">
        <f aca="false">AO15+AO16+AO17+AO18</f>
        <v>-208341.015579049</v>
      </c>
      <c r="AP19" s="66" t="n">
        <f aca="false">AP15+AP16+AP17+AP18</f>
        <v>-208341.015579049</v>
      </c>
      <c r="AQ19" s="66" t="n">
        <f aca="false">AQ15+AQ16+AQ17+AQ18</f>
        <v>-208341.015579049</v>
      </c>
      <c r="AR19" s="66" t="n">
        <f aca="false">AR15+AR16+AR17+AR18</f>
        <v>-208341.015579049</v>
      </c>
      <c r="AS19" s="66" t="n">
        <f aca="false">AS15+AS16+AS17+AS18</f>
        <v>-208341.015579049</v>
      </c>
      <c r="AT19" s="66" t="n">
        <f aca="false">AT15+AT16+AT17+AT18</f>
        <v>-208341.015579049</v>
      </c>
      <c r="AU19" s="66" t="n">
        <f aca="false">AU15+AU16+AU17+AU18</f>
        <v>-208341.015579049</v>
      </c>
      <c r="AV19" s="66" t="n">
        <f aca="false">AV15+AV16+AV17+AV18</f>
        <v>-208341.015579049</v>
      </c>
      <c r="AW19" s="66" t="n">
        <f aca="false">AW15+AW16+AW17+AW18</f>
        <v>-208341.015579049</v>
      </c>
      <c r="AX19" s="66" t="n">
        <f aca="false">AX15+AX16+AX17+AX18</f>
        <v>-208341.015579049</v>
      </c>
      <c r="AY19" s="66" t="n">
        <f aca="false">AY15+AY16+AY17+AY18</f>
        <v>-262990.962741368</v>
      </c>
      <c r="AZ19" s="66" t="n">
        <f aca="false">AZ15+AZ16+AZ17+AZ18</f>
        <v>-262990.962741368</v>
      </c>
      <c r="BA19" s="66" t="n">
        <f aca="false">BA15+BA16+BA17+BA18</f>
        <v>-262990.962741368</v>
      </c>
      <c r="BB19" s="66" t="n">
        <f aca="false">BB15+BB16+BB17+BB18</f>
        <v>-262990.962741368</v>
      </c>
      <c r="BC19" s="66" t="n">
        <f aca="false">BC15+BC16+BC17+BC18</f>
        <v>-262990.962741368</v>
      </c>
      <c r="BD19" s="66" t="n">
        <f aca="false">BD15+BD16+BD17+BD18</f>
        <v>-262990.962741368</v>
      </c>
      <c r="BE19" s="66" t="n">
        <f aca="false">BE15+BE16+BE17+BE18</f>
        <v>-262990.962741368</v>
      </c>
      <c r="BF19" s="66" t="n">
        <f aca="false">BF15+BF16+BF17+BF18</f>
        <v>-262990.962741368</v>
      </c>
      <c r="BG19" s="66" t="n">
        <f aca="false">BG15+BG16+BG17+BG18</f>
        <v>-262990.962741368</v>
      </c>
      <c r="BH19" s="66" t="n">
        <f aca="false">BH15+BH16+BH17+BH18</f>
        <v>-262990.962741368</v>
      </c>
      <c r="BI19" s="66" t="n">
        <f aca="false">BI15+BI16+BI17+BI18</f>
        <v>-262990.962741368</v>
      </c>
      <c r="BJ19" s="66" t="n">
        <f aca="false">BJ15+BJ16+BJ17+BJ18</f>
        <v>-262990.962741368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33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455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456</v>
      </c>
    </row>
    <row r="4" customFormat="false" ht="15.75" hidden="false" customHeight="true" outlineLevel="0" collapsed="false">
      <c r="A4" s="7" t="s">
        <v>457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345</v>
      </c>
      <c r="C5" s="50" t="s">
        <v>346</v>
      </c>
      <c r="D5" s="50" t="s">
        <v>347</v>
      </c>
      <c r="E5" s="50" t="s">
        <v>348</v>
      </c>
      <c r="F5" s="50" t="s">
        <v>349</v>
      </c>
      <c r="G5" s="50" t="s">
        <v>350</v>
      </c>
      <c r="H5" s="50" t="s">
        <v>351</v>
      </c>
      <c r="I5" s="50" t="s">
        <v>352</v>
      </c>
      <c r="J5" s="50" t="s">
        <v>353</v>
      </c>
      <c r="K5" s="50" t="s">
        <v>354</v>
      </c>
      <c r="L5" s="50" t="s">
        <v>355</v>
      </c>
      <c r="M5" s="50" t="s">
        <v>356</v>
      </c>
      <c r="N5" s="50" t="s">
        <v>357</v>
      </c>
      <c r="O5" s="50" t="s">
        <v>358</v>
      </c>
      <c r="P5" s="50" t="s">
        <v>359</v>
      </c>
      <c r="Q5" s="50" t="s">
        <v>360</v>
      </c>
      <c r="R5" s="50" t="s">
        <v>361</v>
      </c>
      <c r="S5" s="50" t="s">
        <v>362</v>
      </c>
      <c r="T5" s="50" t="s">
        <v>363</v>
      </c>
      <c r="U5" s="50" t="s">
        <v>364</v>
      </c>
      <c r="V5" s="50" t="s">
        <v>365</v>
      </c>
      <c r="W5" s="50" t="s">
        <v>366</v>
      </c>
      <c r="X5" s="50" t="s">
        <v>367</v>
      </c>
      <c r="Y5" s="50" t="s">
        <v>368</v>
      </c>
      <c r="Z5" s="50" t="s">
        <v>369</v>
      </c>
      <c r="AA5" s="50" t="s">
        <v>370</v>
      </c>
      <c r="AB5" s="50" t="s">
        <v>371</v>
      </c>
      <c r="AC5" s="50" t="s">
        <v>372</v>
      </c>
      <c r="AD5" s="50" t="s">
        <v>373</v>
      </c>
      <c r="AE5" s="50" t="s">
        <v>374</v>
      </c>
      <c r="AF5" s="50" t="s">
        <v>375</v>
      </c>
      <c r="AG5" s="50" t="s">
        <v>376</v>
      </c>
      <c r="AH5" s="50" t="s">
        <v>377</v>
      </c>
      <c r="AI5" s="50" t="s">
        <v>378</v>
      </c>
      <c r="AJ5" s="50" t="s">
        <v>379</v>
      </c>
      <c r="AK5" s="50" t="s">
        <v>380</v>
      </c>
      <c r="AL5" s="50" t="s">
        <v>381</v>
      </c>
      <c r="AM5" s="50" t="s">
        <v>382</v>
      </c>
      <c r="AN5" s="50" t="s">
        <v>383</v>
      </c>
      <c r="AO5" s="50" t="s">
        <v>384</v>
      </c>
      <c r="AP5" s="50" t="s">
        <v>385</v>
      </c>
      <c r="AQ5" s="50" t="s">
        <v>386</v>
      </c>
      <c r="AR5" s="50" t="s">
        <v>387</v>
      </c>
      <c r="AS5" s="50" t="s">
        <v>388</v>
      </c>
      <c r="AT5" s="50" t="s">
        <v>389</v>
      </c>
      <c r="AU5" s="50" t="s">
        <v>390</v>
      </c>
      <c r="AV5" s="50" t="s">
        <v>391</v>
      </c>
      <c r="AW5" s="50" t="s">
        <v>392</v>
      </c>
      <c r="AX5" s="50" t="s">
        <v>393</v>
      </c>
      <c r="AY5" s="50" t="s">
        <v>394</v>
      </c>
      <c r="AZ5" s="50" t="s">
        <v>395</v>
      </c>
      <c r="BA5" s="50" t="s">
        <v>396</v>
      </c>
      <c r="BB5" s="50" t="s">
        <v>397</v>
      </c>
      <c r="BC5" s="50" t="s">
        <v>398</v>
      </c>
      <c r="BD5" s="50" t="s">
        <v>399</v>
      </c>
      <c r="BE5" s="50" t="s">
        <v>400</v>
      </c>
      <c r="BF5" s="50" t="s">
        <v>401</v>
      </c>
      <c r="BG5" s="50" t="s">
        <v>402</v>
      </c>
      <c r="BH5" s="50" t="s">
        <v>403</v>
      </c>
      <c r="BI5" s="50" t="s">
        <v>404</v>
      </c>
      <c r="BJ5" s="50" t="s">
        <v>405</v>
      </c>
    </row>
    <row r="6" customFormat="false" ht="15" hidden="false" customHeight="false" outlineLevel="0" collapsed="false">
      <c r="A6" s="70" t="s">
        <v>406</v>
      </c>
      <c r="C6" s="70" t="n">
        <v>1</v>
      </c>
      <c r="D6" s="70" t="n">
        <v>2</v>
      </c>
      <c r="E6" s="70" t="n">
        <v>3</v>
      </c>
      <c r="F6" s="70" t="n">
        <v>4</v>
      </c>
      <c r="G6" s="70" t="n">
        <v>5</v>
      </c>
      <c r="H6" s="70" t="n">
        <v>6</v>
      </c>
      <c r="I6" s="70" t="n">
        <v>7</v>
      </c>
      <c r="J6" s="70" t="n">
        <v>8</v>
      </c>
      <c r="K6" s="70" t="n">
        <v>9</v>
      </c>
      <c r="L6" s="70" t="n">
        <v>10</v>
      </c>
      <c r="M6" s="70" t="n">
        <v>11</v>
      </c>
      <c r="N6" s="70" t="n">
        <v>12</v>
      </c>
      <c r="O6" s="70" t="n">
        <v>13</v>
      </c>
      <c r="P6" s="70" t="n">
        <v>14</v>
      </c>
      <c r="Q6" s="70" t="n">
        <v>15</v>
      </c>
      <c r="R6" s="70" t="n">
        <v>16</v>
      </c>
      <c r="S6" s="70" t="n">
        <v>17</v>
      </c>
      <c r="T6" s="70" t="n">
        <v>18</v>
      </c>
      <c r="U6" s="70" t="n">
        <v>19</v>
      </c>
      <c r="V6" s="70" t="n">
        <v>20</v>
      </c>
      <c r="W6" s="70" t="n">
        <v>21</v>
      </c>
      <c r="X6" s="70" t="n">
        <v>22</v>
      </c>
      <c r="Y6" s="70" t="n">
        <v>23</v>
      </c>
      <c r="Z6" s="70" t="n">
        <v>24</v>
      </c>
      <c r="AA6" s="70" t="n">
        <v>25</v>
      </c>
      <c r="AB6" s="70" t="n">
        <v>26</v>
      </c>
      <c r="AC6" s="70" t="n">
        <v>27</v>
      </c>
      <c r="AD6" s="70" t="n">
        <v>28</v>
      </c>
      <c r="AE6" s="70" t="n">
        <v>29</v>
      </c>
      <c r="AF6" s="70" t="n">
        <v>30</v>
      </c>
      <c r="AG6" s="70" t="n">
        <v>31</v>
      </c>
      <c r="AH6" s="70" t="n">
        <v>32</v>
      </c>
      <c r="AI6" s="70" t="n">
        <v>33</v>
      </c>
      <c r="AJ6" s="70" t="n">
        <v>34</v>
      </c>
      <c r="AK6" s="70" t="n">
        <v>35</v>
      </c>
      <c r="AL6" s="70" t="n">
        <v>36</v>
      </c>
      <c r="AM6" s="70" t="n">
        <v>37</v>
      </c>
      <c r="AN6" s="70" t="n">
        <v>38</v>
      </c>
      <c r="AO6" s="70" t="n">
        <v>39</v>
      </c>
      <c r="AP6" s="70" t="n">
        <v>40</v>
      </c>
      <c r="AQ6" s="70" t="n">
        <v>41</v>
      </c>
      <c r="AR6" s="70" t="n">
        <v>42</v>
      </c>
      <c r="AS6" s="70" t="n">
        <v>43</v>
      </c>
      <c r="AT6" s="70" t="n">
        <v>44</v>
      </c>
      <c r="AU6" s="70" t="n">
        <v>45</v>
      </c>
      <c r="AV6" s="70" t="n">
        <v>46</v>
      </c>
      <c r="AW6" s="70" t="n">
        <v>47</v>
      </c>
      <c r="AX6" s="70" t="n">
        <v>48</v>
      </c>
      <c r="AY6" s="70" t="n">
        <v>49</v>
      </c>
      <c r="AZ6" s="70" t="n">
        <v>50</v>
      </c>
      <c r="BA6" s="70" t="n">
        <v>51</v>
      </c>
      <c r="BB6" s="70" t="n">
        <v>52</v>
      </c>
      <c r="BC6" s="70" t="n">
        <v>53</v>
      </c>
      <c r="BD6" s="70" t="n">
        <v>54</v>
      </c>
      <c r="BE6" s="70" t="n">
        <v>55</v>
      </c>
      <c r="BF6" s="70" t="n">
        <v>56</v>
      </c>
      <c r="BG6" s="70" t="n">
        <v>57</v>
      </c>
      <c r="BH6" s="70" t="n">
        <v>58</v>
      </c>
      <c r="BI6" s="70" t="n">
        <v>59</v>
      </c>
      <c r="BJ6" s="70" t="n">
        <v>60</v>
      </c>
    </row>
    <row r="7" customFormat="false" ht="15" hidden="false" customHeight="false" outlineLevel="0" collapsed="false">
      <c r="A7" s="70" t="s">
        <v>154</v>
      </c>
      <c r="C7" s="70" t="n">
        <f aca="false">ROUNDUP(C6*1/12,0)</f>
        <v>1</v>
      </c>
      <c r="D7" s="70" t="n">
        <f aca="false">ROUNDUP(D6*1/12,0)</f>
        <v>1</v>
      </c>
      <c r="E7" s="70" t="n">
        <f aca="false">ROUNDUP(E6*1/12,0)</f>
        <v>1</v>
      </c>
      <c r="F7" s="70" t="n">
        <f aca="false">ROUNDUP(F6*1/12,0)</f>
        <v>1</v>
      </c>
      <c r="G7" s="70" t="n">
        <f aca="false">ROUNDUP(G6*1/12,0)</f>
        <v>1</v>
      </c>
      <c r="H7" s="70" t="n">
        <f aca="false">ROUNDUP(H6*1/12,0)</f>
        <v>1</v>
      </c>
      <c r="I7" s="70" t="n">
        <f aca="false">ROUNDUP(I6*1/12,0)</f>
        <v>1</v>
      </c>
      <c r="J7" s="70" t="n">
        <f aca="false">ROUNDUP(J6*1/12,0)</f>
        <v>1</v>
      </c>
      <c r="K7" s="70" t="n">
        <f aca="false">ROUNDUP(K6*1/12,0)</f>
        <v>1</v>
      </c>
      <c r="L7" s="70" t="n">
        <f aca="false">ROUNDUP(L6*1/12,0)</f>
        <v>1</v>
      </c>
      <c r="M7" s="70" t="n">
        <f aca="false">ROUNDUP(M6*1/12,0)</f>
        <v>1</v>
      </c>
      <c r="N7" s="70" t="n">
        <f aca="false">ROUNDUP(N6*1/12,0)</f>
        <v>1</v>
      </c>
      <c r="O7" s="70" t="n">
        <f aca="false">ROUNDUP(O6*1/12,0)</f>
        <v>2</v>
      </c>
      <c r="P7" s="70" t="n">
        <f aca="false">ROUNDUP(P6*1/12,0)</f>
        <v>2</v>
      </c>
      <c r="Q7" s="70" t="n">
        <f aca="false">ROUNDUP(Q6*1/12,0)</f>
        <v>2</v>
      </c>
      <c r="R7" s="70" t="n">
        <f aca="false">ROUNDUP(R6*1/12,0)</f>
        <v>2</v>
      </c>
      <c r="S7" s="70" t="n">
        <f aca="false">ROUNDUP(S6*1/12,0)</f>
        <v>2</v>
      </c>
      <c r="T7" s="70" t="n">
        <f aca="false">ROUNDUP(T6*1/12,0)</f>
        <v>2</v>
      </c>
      <c r="U7" s="70" t="n">
        <f aca="false">ROUNDUP(U6*1/12,0)</f>
        <v>2</v>
      </c>
      <c r="V7" s="70" t="n">
        <f aca="false">ROUNDUP(V6*1/12,0)</f>
        <v>2</v>
      </c>
      <c r="W7" s="70" t="n">
        <f aca="false">ROUNDUP(W6*1/12,0)</f>
        <v>2</v>
      </c>
      <c r="X7" s="70" t="n">
        <f aca="false">ROUNDUP(X6*1/12,0)</f>
        <v>2</v>
      </c>
      <c r="Y7" s="70" t="n">
        <f aca="false">ROUNDUP(Y6*1/12,0)</f>
        <v>2</v>
      </c>
      <c r="Z7" s="70" t="n">
        <f aca="false">ROUNDUP(Z6*1/12,0)</f>
        <v>2</v>
      </c>
      <c r="AA7" s="70" t="n">
        <f aca="false">ROUNDUP(AA6*1/12,0)</f>
        <v>3</v>
      </c>
      <c r="AB7" s="70" t="n">
        <f aca="false">ROUNDUP(AB6*1/12,0)</f>
        <v>3</v>
      </c>
      <c r="AC7" s="70" t="n">
        <f aca="false">ROUNDUP(AC6*1/12,0)</f>
        <v>3</v>
      </c>
      <c r="AD7" s="70" t="n">
        <f aca="false">ROUNDUP(AD6*1/12,0)</f>
        <v>3</v>
      </c>
      <c r="AE7" s="70" t="n">
        <f aca="false">ROUNDUP(AE6*1/12,0)</f>
        <v>3</v>
      </c>
      <c r="AF7" s="70" t="n">
        <f aca="false">ROUNDUP(AF6*1/12,0)</f>
        <v>3</v>
      </c>
      <c r="AG7" s="70" t="n">
        <f aca="false">ROUNDUP(AG6*1/12,0)</f>
        <v>3</v>
      </c>
      <c r="AH7" s="70" t="n">
        <f aca="false">ROUNDUP(AH6*1/12,0)</f>
        <v>3</v>
      </c>
      <c r="AI7" s="70" t="n">
        <f aca="false">ROUNDUP(AI6*1/12,0)</f>
        <v>3</v>
      </c>
      <c r="AJ7" s="70" t="n">
        <f aca="false">ROUNDUP(AJ6*1/12,0)</f>
        <v>3</v>
      </c>
      <c r="AK7" s="70" t="n">
        <f aca="false">ROUNDUP(AK6*1/12,0)</f>
        <v>3</v>
      </c>
      <c r="AL7" s="70" t="n">
        <f aca="false">ROUNDUP(AL6*1/12,0)</f>
        <v>3</v>
      </c>
      <c r="AM7" s="70" t="n">
        <f aca="false">ROUNDUP(AM6*1/12,0)</f>
        <v>4</v>
      </c>
      <c r="AN7" s="70" t="n">
        <f aca="false">ROUNDUP(AN6*1/12,0)</f>
        <v>4</v>
      </c>
      <c r="AO7" s="70" t="n">
        <f aca="false">ROUNDUP(AO6*1/12,0)</f>
        <v>4</v>
      </c>
      <c r="AP7" s="70" t="n">
        <f aca="false">ROUNDUP(AP6*1/12,0)</f>
        <v>4</v>
      </c>
      <c r="AQ7" s="70" t="n">
        <f aca="false">ROUNDUP(AQ6*1/12,0)</f>
        <v>4</v>
      </c>
      <c r="AR7" s="70" t="n">
        <f aca="false">ROUNDUP(AR6*1/12,0)</f>
        <v>4</v>
      </c>
      <c r="AS7" s="70" t="n">
        <f aca="false">ROUNDUP(AS6*1/12,0)</f>
        <v>4</v>
      </c>
      <c r="AT7" s="70" t="n">
        <f aca="false">ROUNDUP(AT6*1/12,0)</f>
        <v>4</v>
      </c>
      <c r="AU7" s="70" t="n">
        <f aca="false">ROUNDUP(AU6*1/12,0)</f>
        <v>4</v>
      </c>
      <c r="AV7" s="70" t="n">
        <f aca="false">ROUNDUP(AV6*1/12,0)</f>
        <v>4</v>
      </c>
      <c r="AW7" s="70" t="n">
        <f aca="false">ROUNDUP(AW6*1/12,0)</f>
        <v>4</v>
      </c>
      <c r="AX7" s="70" t="n">
        <f aca="false">ROUNDUP(AX6*1/12,0)</f>
        <v>4</v>
      </c>
      <c r="AY7" s="70" t="n">
        <f aca="false">ROUNDUP(AY6*1/12,0)</f>
        <v>5</v>
      </c>
      <c r="AZ7" s="70" t="n">
        <f aca="false">ROUNDUP(AZ6*1/12,0)</f>
        <v>5</v>
      </c>
      <c r="BA7" s="70" t="n">
        <f aca="false">ROUNDUP(BA6*1/12,0)</f>
        <v>5</v>
      </c>
      <c r="BB7" s="70" t="n">
        <f aca="false">ROUNDUP(BB6*1/12,0)</f>
        <v>5</v>
      </c>
      <c r="BC7" s="70" t="n">
        <f aca="false">ROUNDUP(BC6*1/12,0)</f>
        <v>5</v>
      </c>
      <c r="BD7" s="70" t="n">
        <f aca="false">ROUNDUP(BD6*1/12,0)</f>
        <v>5</v>
      </c>
      <c r="BE7" s="70" t="n">
        <f aca="false">ROUNDUP(BE6*1/12,0)</f>
        <v>5</v>
      </c>
      <c r="BF7" s="70" t="n">
        <f aca="false">ROUNDUP(BF6*1/12,0)</f>
        <v>5</v>
      </c>
      <c r="BG7" s="70" t="n">
        <f aca="false">ROUNDUP(BG6*1/12,0)</f>
        <v>5</v>
      </c>
      <c r="BH7" s="70" t="n">
        <f aca="false">ROUNDUP(BH6*1/12,0)</f>
        <v>5</v>
      </c>
      <c r="BI7" s="70" t="n">
        <f aca="false">ROUNDUP(BI6*1/12,0)</f>
        <v>5</v>
      </c>
      <c r="BJ7" s="70" t="n">
        <f aca="false">ROUNDUP(BJ6*1/12,0)</f>
        <v>5</v>
      </c>
    </row>
    <row r="9" customFormat="false" ht="15.75" hidden="false" customHeight="true" outlineLevel="0" collapsed="false">
      <c r="A9" s="7" t="s">
        <v>247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6" t="s">
        <v>407</v>
      </c>
      <c r="C10" s="76" t="n">
        <f aca="false">IF(MOD(C$6-1,12)&gt;=10,1+Inputs!$B$28,1-Inputs!$B$28/5)</f>
        <v>0.94</v>
      </c>
      <c r="D10" s="76" t="n">
        <f aca="false">IF(MOD(D$6-1,12)&gt;=10,1+Inputs!$B$28,1-Inputs!$B$28/5)</f>
        <v>0.94</v>
      </c>
      <c r="E10" s="76" t="n">
        <f aca="false">IF(MOD(E$6-1,12)&gt;=10,1+Inputs!$B$28,1-Inputs!$B$28/5)</f>
        <v>0.94</v>
      </c>
      <c r="F10" s="76" t="n">
        <f aca="false">IF(MOD(F$6-1,12)&gt;=10,1+Inputs!$B$28,1-Inputs!$B$28/5)</f>
        <v>0.94</v>
      </c>
      <c r="G10" s="76" t="n">
        <f aca="false">IF(MOD(G$6-1,12)&gt;=10,1+Inputs!$B$28,1-Inputs!$B$28/5)</f>
        <v>0.94</v>
      </c>
      <c r="H10" s="76" t="n">
        <f aca="false">IF(MOD(H$6-1,12)&gt;=10,1+Inputs!$B$28,1-Inputs!$B$28/5)</f>
        <v>0.94</v>
      </c>
      <c r="I10" s="76" t="n">
        <f aca="false">IF(MOD(I$6-1,12)&gt;=10,1+Inputs!$B$28,1-Inputs!$B$28/5)</f>
        <v>0.94</v>
      </c>
      <c r="J10" s="76" t="n">
        <f aca="false">IF(MOD(J$6-1,12)&gt;=10,1+Inputs!$B$28,1-Inputs!$B$28/5)</f>
        <v>0.94</v>
      </c>
      <c r="K10" s="76" t="n">
        <f aca="false">IF(MOD(K$6-1,12)&gt;=10,1+Inputs!$B$28,1-Inputs!$B$28/5)</f>
        <v>0.94</v>
      </c>
      <c r="L10" s="76" t="n">
        <f aca="false">IF(MOD(L$6-1,12)&gt;=10,1+Inputs!$B$28,1-Inputs!$B$28/5)</f>
        <v>0.94</v>
      </c>
      <c r="M10" s="76" t="n">
        <f aca="false">IF(MOD(M$6-1,12)&gt;=10,1+Inputs!$B$28,1-Inputs!$B$28/5)</f>
        <v>1.3</v>
      </c>
      <c r="N10" s="76" t="n">
        <f aca="false">IF(MOD(N$6-1,12)&gt;=10,1+Inputs!$B$28,1-Inputs!$B$28/5)</f>
        <v>1.3</v>
      </c>
      <c r="O10" s="76" t="n">
        <f aca="false">IF(MOD(O$6-1,12)&gt;=10,1+Inputs!$B$28,1-Inputs!$B$28/5)</f>
        <v>0.94</v>
      </c>
      <c r="P10" s="76" t="n">
        <f aca="false">IF(MOD(P$6-1,12)&gt;=10,1+Inputs!$B$28,1-Inputs!$B$28/5)</f>
        <v>0.94</v>
      </c>
      <c r="Q10" s="76" t="n">
        <f aca="false">IF(MOD(Q$6-1,12)&gt;=10,1+Inputs!$B$28,1-Inputs!$B$28/5)</f>
        <v>0.94</v>
      </c>
      <c r="R10" s="76" t="n">
        <f aca="false">IF(MOD(R$6-1,12)&gt;=10,1+Inputs!$B$28,1-Inputs!$B$28/5)</f>
        <v>0.94</v>
      </c>
      <c r="S10" s="76" t="n">
        <f aca="false">IF(MOD(S$6-1,12)&gt;=10,1+Inputs!$B$28,1-Inputs!$B$28/5)</f>
        <v>0.94</v>
      </c>
      <c r="T10" s="76" t="n">
        <f aca="false">IF(MOD(T$6-1,12)&gt;=10,1+Inputs!$B$28,1-Inputs!$B$28/5)</f>
        <v>0.94</v>
      </c>
      <c r="U10" s="76" t="n">
        <f aca="false">IF(MOD(U$6-1,12)&gt;=10,1+Inputs!$B$28,1-Inputs!$B$28/5)</f>
        <v>0.94</v>
      </c>
      <c r="V10" s="76" t="n">
        <f aca="false">IF(MOD(V$6-1,12)&gt;=10,1+Inputs!$B$28,1-Inputs!$B$28/5)</f>
        <v>0.94</v>
      </c>
      <c r="W10" s="76" t="n">
        <f aca="false">IF(MOD(W$6-1,12)&gt;=10,1+Inputs!$B$28,1-Inputs!$B$28/5)</f>
        <v>0.94</v>
      </c>
      <c r="X10" s="76" t="n">
        <f aca="false">IF(MOD(X$6-1,12)&gt;=10,1+Inputs!$B$28,1-Inputs!$B$28/5)</f>
        <v>0.94</v>
      </c>
      <c r="Y10" s="76" t="n">
        <f aca="false">IF(MOD(Y$6-1,12)&gt;=10,1+Inputs!$B$28,1-Inputs!$B$28/5)</f>
        <v>1.3</v>
      </c>
      <c r="Z10" s="76" t="n">
        <f aca="false">IF(MOD(Z$6-1,12)&gt;=10,1+Inputs!$B$28,1-Inputs!$B$28/5)</f>
        <v>1.3</v>
      </c>
      <c r="AA10" s="76" t="n">
        <f aca="false">IF(MOD(AA$6-1,12)&gt;=10,1+Inputs!$B$28,1-Inputs!$B$28/5)</f>
        <v>0.94</v>
      </c>
      <c r="AB10" s="76" t="n">
        <f aca="false">IF(MOD(AB$6-1,12)&gt;=10,1+Inputs!$B$28,1-Inputs!$B$28/5)</f>
        <v>0.94</v>
      </c>
      <c r="AC10" s="76" t="n">
        <f aca="false">IF(MOD(AC$6-1,12)&gt;=10,1+Inputs!$B$28,1-Inputs!$B$28/5)</f>
        <v>0.94</v>
      </c>
      <c r="AD10" s="76" t="n">
        <f aca="false">IF(MOD(AD$6-1,12)&gt;=10,1+Inputs!$B$28,1-Inputs!$B$28/5)</f>
        <v>0.94</v>
      </c>
      <c r="AE10" s="76" t="n">
        <f aca="false">IF(MOD(AE$6-1,12)&gt;=10,1+Inputs!$B$28,1-Inputs!$B$28/5)</f>
        <v>0.94</v>
      </c>
      <c r="AF10" s="76" t="n">
        <f aca="false">IF(MOD(AF$6-1,12)&gt;=10,1+Inputs!$B$28,1-Inputs!$B$28/5)</f>
        <v>0.94</v>
      </c>
      <c r="AG10" s="76" t="n">
        <f aca="false">IF(MOD(AG$6-1,12)&gt;=10,1+Inputs!$B$28,1-Inputs!$B$28/5)</f>
        <v>0.94</v>
      </c>
      <c r="AH10" s="76" t="n">
        <f aca="false">IF(MOD(AH$6-1,12)&gt;=10,1+Inputs!$B$28,1-Inputs!$B$28/5)</f>
        <v>0.94</v>
      </c>
      <c r="AI10" s="76" t="n">
        <f aca="false">IF(MOD(AI$6-1,12)&gt;=10,1+Inputs!$B$28,1-Inputs!$B$28/5)</f>
        <v>0.94</v>
      </c>
      <c r="AJ10" s="76" t="n">
        <f aca="false">IF(MOD(AJ$6-1,12)&gt;=10,1+Inputs!$B$28,1-Inputs!$B$28/5)</f>
        <v>0.94</v>
      </c>
      <c r="AK10" s="76" t="n">
        <f aca="false">IF(MOD(AK$6-1,12)&gt;=10,1+Inputs!$B$28,1-Inputs!$B$28/5)</f>
        <v>1.3</v>
      </c>
      <c r="AL10" s="76" t="n">
        <f aca="false">IF(MOD(AL$6-1,12)&gt;=10,1+Inputs!$B$28,1-Inputs!$B$28/5)</f>
        <v>1.3</v>
      </c>
      <c r="AM10" s="76" t="n">
        <f aca="false">IF(MOD(AM$6-1,12)&gt;=10,1+Inputs!$B$28,1-Inputs!$B$28/5)</f>
        <v>0.94</v>
      </c>
      <c r="AN10" s="76" t="n">
        <f aca="false">IF(MOD(AN$6-1,12)&gt;=10,1+Inputs!$B$28,1-Inputs!$B$28/5)</f>
        <v>0.94</v>
      </c>
      <c r="AO10" s="76" t="n">
        <f aca="false">IF(MOD(AO$6-1,12)&gt;=10,1+Inputs!$B$28,1-Inputs!$B$28/5)</f>
        <v>0.94</v>
      </c>
      <c r="AP10" s="76" t="n">
        <f aca="false">IF(MOD(AP$6-1,12)&gt;=10,1+Inputs!$B$28,1-Inputs!$B$28/5)</f>
        <v>0.94</v>
      </c>
      <c r="AQ10" s="76" t="n">
        <f aca="false">IF(MOD(AQ$6-1,12)&gt;=10,1+Inputs!$B$28,1-Inputs!$B$28/5)</f>
        <v>0.94</v>
      </c>
      <c r="AR10" s="76" t="n">
        <f aca="false">IF(MOD(AR$6-1,12)&gt;=10,1+Inputs!$B$28,1-Inputs!$B$28/5)</f>
        <v>0.94</v>
      </c>
      <c r="AS10" s="76" t="n">
        <f aca="false">IF(MOD(AS$6-1,12)&gt;=10,1+Inputs!$B$28,1-Inputs!$B$28/5)</f>
        <v>0.94</v>
      </c>
      <c r="AT10" s="76" t="n">
        <f aca="false">IF(MOD(AT$6-1,12)&gt;=10,1+Inputs!$B$28,1-Inputs!$B$28/5)</f>
        <v>0.94</v>
      </c>
      <c r="AU10" s="76" t="n">
        <f aca="false">IF(MOD(AU$6-1,12)&gt;=10,1+Inputs!$B$28,1-Inputs!$B$28/5)</f>
        <v>0.94</v>
      </c>
      <c r="AV10" s="76" t="n">
        <f aca="false">IF(MOD(AV$6-1,12)&gt;=10,1+Inputs!$B$28,1-Inputs!$B$28/5)</f>
        <v>0.94</v>
      </c>
      <c r="AW10" s="76" t="n">
        <f aca="false">IF(MOD(AW$6-1,12)&gt;=10,1+Inputs!$B$28,1-Inputs!$B$28/5)</f>
        <v>1.3</v>
      </c>
      <c r="AX10" s="76" t="n">
        <f aca="false">IF(MOD(AX$6-1,12)&gt;=10,1+Inputs!$B$28,1-Inputs!$B$28/5)</f>
        <v>1.3</v>
      </c>
      <c r="AY10" s="76" t="n">
        <f aca="false">IF(MOD(AY$6-1,12)&gt;=10,1+Inputs!$B$28,1-Inputs!$B$28/5)</f>
        <v>0.94</v>
      </c>
      <c r="AZ10" s="76" t="n">
        <f aca="false">IF(MOD(AZ$6-1,12)&gt;=10,1+Inputs!$B$28,1-Inputs!$B$28/5)</f>
        <v>0.94</v>
      </c>
      <c r="BA10" s="76" t="n">
        <f aca="false">IF(MOD(BA$6-1,12)&gt;=10,1+Inputs!$B$28,1-Inputs!$B$28/5)</f>
        <v>0.94</v>
      </c>
      <c r="BB10" s="76" t="n">
        <f aca="false">IF(MOD(BB$6-1,12)&gt;=10,1+Inputs!$B$28,1-Inputs!$B$28/5)</f>
        <v>0.94</v>
      </c>
      <c r="BC10" s="76" t="n">
        <f aca="false">IF(MOD(BC$6-1,12)&gt;=10,1+Inputs!$B$28,1-Inputs!$B$28/5)</f>
        <v>0.94</v>
      </c>
      <c r="BD10" s="76" t="n">
        <f aca="false">IF(MOD(BD$6-1,12)&gt;=10,1+Inputs!$B$28,1-Inputs!$B$28/5)</f>
        <v>0.94</v>
      </c>
      <c r="BE10" s="76" t="n">
        <f aca="false">IF(MOD(BE$6-1,12)&gt;=10,1+Inputs!$B$28,1-Inputs!$B$28/5)</f>
        <v>0.94</v>
      </c>
      <c r="BF10" s="76" t="n">
        <f aca="false">IF(MOD(BF$6-1,12)&gt;=10,1+Inputs!$B$28,1-Inputs!$B$28/5)</f>
        <v>0.94</v>
      </c>
      <c r="BG10" s="76" t="n">
        <f aca="false">IF(MOD(BG$6-1,12)&gt;=10,1+Inputs!$B$28,1-Inputs!$B$28/5)</f>
        <v>0.94</v>
      </c>
      <c r="BH10" s="76" t="n">
        <f aca="false">IF(MOD(BH$6-1,12)&gt;=10,1+Inputs!$B$28,1-Inputs!$B$28/5)</f>
        <v>0.94</v>
      </c>
      <c r="BI10" s="76" t="n">
        <f aca="false">IF(MOD(BI$6-1,12)&gt;=10,1+Inputs!$B$28,1-Inputs!$B$28/5)</f>
        <v>1.3</v>
      </c>
      <c r="BJ10" s="76" t="n">
        <f aca="false">IF(MOD(BJ$6-1,12)&gt;=10,1+Inputs!$B$28,1-Inputs!$B$28/5)</f>
        <v>1.3</v>
      </c>
    </row>
    <row r="11" customFormat="false" ht="15" hidden="false" customHeight="false" outlineLevel="0" collapsed="false">
      <c r="A11" s="6" t="s">
        <v>408</v>
      </c>
      <c r="C11" s="113" t="n">
        <f aca="false">Inputs!$B$7*(1+Inputs!$B$8)^(C$7-1)*1*C10</f>
        <v>61100</v>
      </c>
      <c r="D11" s="113" t="n">
        <f aca="false">Inputs!$B$7*(1+Inputs!$B$8)^(D$7-1)*1*D10</f>
        <v>61100</v>
      </c>
      <c r="E11" s="113" t="n">
        <f aca="false">Inputs!$B$7*(1+Inputs!$B$8)^(E$7-1)*1*E10</f>
        <v>61100</v>
      </c>
      <c r="F11" s="113" t="n">
        <f aca="false">Inputs!$B$7*(1+Inputs!$B$8)^(F$7-1)*1*F10</f>
        <v>61100</v>
      </c>
      <c r="G11" s="113" t="n">
        <f aca="false">Inputs!$B$7*(1+Inputs!$B$8)^(G$7-1)*1*G10</f>
        <v>61100</v>
      </c>
      <c r="H11" s="113" t="n">
        <f aca="false">Inputs!$B$7*(1+Inputs!$B$8)^(H$7-1)*1*H10</f>
        <v>61100</v>
      </c>
      <c r="I11" s="113" t="n">
        <f aca="false">Inputs!$B$7*(1+Inputs!$B$8)^(I$7-1)*1*I10</f>
        <v>61100</v>
      </c>
      <c r="J11" s="113" t="n">
        <f aca="false">Inputs!$B$7*(1+Inputs!$B$8)^(J$7-1)*1*J10</f>
        <v>61100</v>
      </c>
      <c r="K11" s="113" t="n">
        <f aca="false">Inputs!$B$7*(1+Inputs!$B$8)^(K$7-1)*1*K10</f>
        <v>61100</v>
      </c>
      <c r="L11" s="113" t="n">
        <f aca="false">Inputs!$B$7*(1+Inputs!$B$8)^(L$7-1)*1*L10</f>
        <v>61100</v>
      </c>
      <c r="M11" s="113" t="n">
        <f aca="false">Inputs!$B$7*(1+Inputs!$B$8)^(M$7-1)*1*M10</f>
        <v>84500</v>
      </c>
      <c r="N11" s="113" t="n">
        <f aca="false">Inputs!$B$7*(1+Inputs!$B$8)^(N$7-1)*1*N10</f>
        <v>84500</v>
      </c>
      <c r="O11" s="113" t="n">
        <f aca="false">Inputs!$B$7*(1+Inputs!$B$8)^(O$7-1)*1*O10</f>
        <v>67210</v>
      </c>
      <c r="P11" s="113" t="n">
        <f aca="false">Inputs!$B$7*(1+Inputs!$B$8)^(P$7-1)*1*P10</f>
        <v>67210</v>
      </c>
      <c r="Q11" s="113" t="n">
        <f aca="false">Inputs!$B$7*(1+Inputs!$B$8)^(Q$7-1)*1*Q10</f>
        <v>67210</v>
      </c>
      <c r="R11" s="113" t="n">
        <f aca="false">Inputs!$B$7*(1+Inputs!$B$8)^(R$7-1)*1*R10</f>
        <v>67210</v>
      </c>
      <c r="S11" s="113" t="n">
        <f aca="false">Inputs!$B$7*(1+Inputs!$B$8)^(S$7-1)*1*S10</f>
        <v>67210</v>
      </c>
      <c r="T11" s="113" t="n">
        <f aca="false">Inputs!$B$7*(1+Inputs!$B$8)^(T$7-1)*1*T10</f>
        <v>67210</v>
      </c>
      <c r="U11" s="113" t="n">
        <f aca="false">Inputs!$B$7*(1+Inputs!$B$8)^(U$7-1)*1*U10</f>
        <v>67210</v>
      </c>
      <c r="V11" s="113" t="n">
        <f aca="false">Inputs!$B$7*(1+Inputs!$B$8)^(V$7-1)*1*V10</f>
        <v>67210</v>
      </c>
      <c r="W11" s="113" t="n">
        <f aca="false">Inputs!$B$7*(1+Inputs!$B$8)^(W$7-1)*1*W10</f>
        <v>67210</v>
      </c>
      <c r="X11" s="113" t="n">
        <f aca="false">Inputs!$B$7*(1+Inputs!$B$8)^(X$7-1)*1*X10</f>
        <v>67210</v>
      </c>
      <c r="Y11" s="113" t="n">
        <f aca="false">Inputs!$B$7*(1+Inputs!$B$8)^(Y$7-1)*1*Y10</f>
        <v>92950</v>
      </c>
      <c r="Z11" s="113" t="n">
        <f aca="false">Inputs!$B$7*(1+Inputs!$B$8)^(Z$7-1)*1*Z10</f>
        <v>92950</v>
      </c>
      <c r="AA11" s="113" t="n">
        <f aca="false">Inputs!$B$7*(1+Inputs!$B$8)^(AA$7-1)*1*AA10</f>
        <v>73931</v>
      </c>
      <c r="AB11" s="113" t="n">
        <f aca="false">Inputs!$B$7*(1+Inputs!$B$8)^(AB$7-1)*1*AB10</f>
        <v>73931</v>
      </c>
      <c r="AC11" s="113" t="n">
        <f aca="false">Inputs!$B$7*(1+Inputs!$B$8)^(AC$7-1)*1*AC10</f>
        <v>73931</v>
      </c>
      <c r="AD11" s="113" t="n">
        <f aca="false">Inputs!$B$7*(1+Inputs!$B$8)^(AD$7-1)*1*AD10</f>
        <v>73931</v>
      </c>
      <c r="AE11" s="113" t="n">
        <f aca="false">Inputs!$B$7*(1+Inputs!$B$8)^(AE$7-1)*1*AE10</f>
        <v>73931</v>
      </c>
      <c r="AF11" s="113" t="n">
        <f aca="false">Inputs!$B$7*(1+Inputs!$B$8)^(AF$7-1)*1*AF10</f>
        <v>73931</v>
      </c>
      <c r="AG11" s="113" t="n">
        <f aca="false">Inputs!$B$7*(1+Inputs!$B$8)^(AG$7-1)*1*AG10</f>
        <v>73931</v>
      </c>
      <c r="AH11" s="113" t="n">
        <f aca="false">Inputs!$B$7*(1+Inputs!$B$8)^(AH$7-1)*1*AH10</f>
        <v>73931</v>
      </c>
      <c r="AI11" s="113" t="n">
        <f aca="false">Inputs!$B$7*(1+Inputs!$B$8)^(AI$7-1)*1*AI10</f>
        <v>73931</v>
      </c>
      <c r="AJ11" s="113" t="n">
        <f aca="false">Inputs!$B$7*(1+Inputs!$B$8)^(AJ$7-1)*1*AJ10</f>
        <v>73931</v>
      </c>
      <c r="AK11" s="113" t="n">
        <f aca="false">Inputs!$B$7*(1+Inputs!$B$8)^(AK$7-1)*1*AK10</f>
        <v>102245</v>
      </c>
      <c r="AL11" s="113" t="n">
        <f aca="false">Inputs!$B$7*(1+Inputs!$B$8)^(AL$7-1)*1*AL10</f>
        <v>102245</v>
      </c>
      <c r="AM11" s="113" t="n">
        <f aca="false">Inputs!$B$7*(1+Inputs!$B$8)^(AM$7-1)*1*AM10</f>
        <v>81324.1</v>
      </c>
      <c r="AN11" s="113" t="n">
        <f aca="false">Inputs!$B$7*(1+Inputs!$B$8)^(AN$7-1)*1*AN10</f>
        <v>81324.1</v>
      </c>
      <c r="AO11" s="113" t="n">
        <f aca="false">Inputs!$B$7*(1+Inputs!$B$8)^(AO$7-1)*1*AO10</f>
        <v>81324.1</v>
      </c>
      <c r="AP11" s="113" t="n">
        <f aca="false">Inputs!$B$7*(1+Inputs!$B$8)^(AP$7-1)*1*AP10</f>
        <v>81324.1</v>
      </c>
      <c r="AQ11" s="113" t="n">
        <f aca="false">Inputs!$B$7*(1+Inputs!$B$8)^(AQ$7-1)*1*AQ10</f>
        <v>81324.1</v>
      </c>
      <c r="AR11" s="113" t="n">
        <f aca="false">Inputs!$B$7*(1+Inputs!$B$8)^(AR$7-1)*1*AR10</f>
        <v>81324.1</v>
      </c>
      <c r="AS11" s="113" t="n">
        <f aca="false">Inputs!$B$7*(1+Inputs!$B$8)^(AS$7-1)*1*AS10</f>
        <v>81324.1</v>
      </c>
      <c r="AT11" s="113" t="n">
        <f aca="false">Inputs!$B$7*(1+Inputs!$B$8)^(AT$7-1)*1*AT10</f>
        <v>81324.1</v>
      </c>
      <c r="AU11" s="113" t="n">
        <f aca="false">Inputs!$B$7*(1+Inputs!$B$8)^(AU$7-1)*1*AU10</f>
        <v>81324.1</v>
      </c>
      <c r="AV11" s="113" t="n">
        <f aca="false">Inputs!$B$7*(1+Inputs!$B$8)^(AV$7-1)*1*AV10</f>
        <v>81324.1</v>
      </c>
      <c r="AW11" s="113" t="n">
        <f aca="false">Inputs!$B$7*(1+Inputs!$B$8)^(AW$7-1)*1*AW10</f>
        <v>112469.5</v>
      </c>
      <c r="AX11" s="113" t="n">
        <f aca="false">Inputs!$B$7*(1+Inputs!$B$8)^(AX$7-1)*1*AX10</f>
        <v>112469.5</v>
      </c>
      <c r="AY11" s="113" t="n">
        <f aca="false">Inputs!$B$7*(1+Inputs!$B$8)^(AY$7-1)*1*AY10</f>
        <v>89456.51</v>
      </c>
      <c r="AZ11" s="113" t="n">
        <f aca="false">Inputs!$B$7*(1+Inputs!$B$8)^(AZ$7-1)*1*AZ10</f>
        <v>89456.51</v>
      </c>
      <c r="BA11" s="113" t="n">
        <f aca="false">Inputs!$B$7*(1+Inputs!$B$8)^(BA$7-1)*1*BA10</f>
        <v>89456.51</v>
      </c>
      <c r="BB11" s="113" t="n">
        <f aca="false">Inputs!$B$7*(1+Inputs!$B$8)^(BB$7-1)*1*BB10</f>
        <v>89456.51</v>
      </c>
      <c r="BC11" s="113" t="n">
        <f aca="false">Inputs!$B$7*(1+Inputs!$B$8)^(BC$7-1)*1*BC10</f>
        <v>89456.51</v>
      </c>
      <c r="BD11" s="113" t="n">
        <f aca="false">Inputs!$B$7*(1+Inputs!$B$8)^(BD$7-1)*1*BD10</f>
        <v>89456.51</v>
      </c>
      <c r="BE11" s="113" t="n">
        <f aca="false">Inputs!$B$7*(1+Inputs!$B$8)^(BE$7-1)*1*BE10</f>
        <v>89456.51</v>
      </c>
      <c r="BF11" s="113" t="n">
        <f aca="false">Inputs!$B$7*(1+Inputs!$B$8)^(BF$7-1)*1*BF10</f>
        <v>89456.51</v>
      </c>
      <c r="BG11" s="113" t="n">
        <f aca="false">Inputs!$B$7*(1+Inputs!$B$8)^(BG$7-1)*1*BG10</f>
        <v>89456.51</v>
      </c>
      <c r="BH11" s="113" t="n">
        <f aca="false">Inputs!$B$7*(1+Inputs!$B$8)^(BH$7-1)*1*BH10</f>
        <v>89456.51</v>
      </c>
      <c r="BI11" s="113" t="n">
        <f aca="false">Inputs!$B$7*(1+Inputs!$B$8)^(BI$7-1)*1*BI10</f>
        <v>123716.45</v>
      </c>
      <c r="BJ11" s="113" t="n">
        <f aca="false">Inputs!$B$7*(1+Inputs!$B$8)^(BJ$7-1)*1*BJ10</f>
        <v>123716.45</v>
      </c>
    </row>
    <row r="12" customFormat="false" ht="15" hidden="false" customHeight="false" outlineLevel="0" collapsed="false">
      <c r="A12" s="6" t="s">
        <v>409</v>
      </c>
      <c r="C12" s="114" t="n">
        <f aca="false">C11*Inputs!$B$9</f>
        <v>1222</v>
      </c>
      <c r="D12" s="114" t="n">
        <f aca="false">D11*Inputs!$B$9</f>
        <v>1222</v>
      </c>
      <c r="E12" s="114" t="n">
        <f aca="false">E11*Inputs!$B$9</f>
        <v>1222</v>
      </c>
      <c r="F12" s="114" t="n">
        <f aca="false">F11*Inputs!$B$9</f>
        <v>1222</v>
      </c>
      <c r="G12" s="114" t="n">
        <f aca="false">G11*Inputs!$B$9</f>
        <v>1222</v>
      </c>
      <c r="H12" s="114" t="n">
        <f aca="false">H11*Inputs!$B$9</f>
        <v>1222</v>
      </c>
      <c r="I12" s="114" t="n">
        <f aca="false">I11*Inputs!$B$9</f>
        <v>1222</v>
      </c>
      <c r="J12" s="114" t="n">
        <f aca="false">J11*Inputs!$B$9</f>
        <v>1222</v>
      </c>
      <c r="K12" s="114" t="n">
        <f aca="false">K11*Inputs!$B$9</f>
        <v>1222</v>
      </c>
      <c r="L12" s="114" t="n">
        <f aca="false">L11*Inputs!$B$9</f>
        <v>1222</v>
      </c>
      <c r="M12" s="114" t="n">
        <f aca="false">M11*Inputs!$B$9</f>
        <v>1690</v>
      </c>
      <c r="N12" s="114" t="n">
        <f aca="false">N11*Inputs!$B$9</f>
        <v>1690</v>
      </c>
      <c r="O12" s="114" t="n">
        <f aca="false">O11*Inputs!$B$9</f>
        <v>1344.2</v>
      </c>
      <c r="P12" s="114" t="n">
        <f aca="false">P11*Inputs!$B$9</f>
        <v>1344.2</v>
      </c>
      <c r="Q12" s="114" t="n">
        <f aca="false">Q11*Inputs!$B$9</f>
        <v>1344.2</v>
      </c>
      <c r="R12" s="114" t="n">
        <f aca="false">R11*Inputs!$B$9</f>
        <v>1344.2</v>
      </c>
      <c r="S12" s="114" t="n">
        <f aca="false">S11*Inputs!$B$9</f>
        <v>1344.2</v>
      </c>
      <c r="T12" s="114" t="n">
        <f aca="false">T11*Inputs!$B$9</f>
        <v>1344.2</v>
      </c>
      <c r="U12" s="114" t="n">
        <f aca="false">U11*Inputs!$B$9</f>
        <v>1344.2</v>
      </c>
      <c r="V12" s="114" t="n">
        <f aca="false">V11*Inputs!$B$9</f>
        <v>1344.2</v>
      </c>
      <c r="W12" s="114" t="n">
        <f aca="false">W11*Inputs!$B$9</f>
        <v>1344.2</v>
      </c>
      <c r="X12" s="114" t="n">
        <f aca="false">X11*Inputs!$B$9</f>
        <v>1344.2</v>
      </c>
      <c r="Y12" s="114" t="n">
        <f aca="false">Y11*Inputs!$B$9</f>
        <v>1859</v>
      </c>
      <c r="Z12" s="114" t="n">
        <f aca="false">Z11*Inputs!$B$9</f>
        <v>1859</v>
      </c>
      <c r="AA12" s="114" t="n">
        <f aca="false">AA11*Inputs!$B$9</f>
        <v>1478.62</v>
      </c>
      <c r="AB12" s="114" t="n">
        <f aca="false">AB11*Inputs!$B$9</f>
        <v>1478.62</v>
      </c>
      <c r="AC12" s="114" t="n">
        <f aca="false">AC11*Inputs!$B$9</f>
        <v>1478.62</v>
      </c>
      <c r="AD12" s="114" t="n">
        <f aca="false">AD11*Inputs!$B$9</f>
        <v>1478.62</v>
      </c>
      <c r="AE12" s="114" t="n">
        <f aca="false">AE11*Inputs!$B$9</f>
        <v>1478.62</v>
      </c>
      <c r="AF12" s="114" t="n">
        <f aca="false">AF11*Inputs!$B$9</f>
        <v>1478.62</v>
      </c>
      <c r="AG12" s="114" t="n">
        <f aca="false">AG11*Inputs!$B$9</f>
        <v>1478.62</v>
      </c>
      <c r="AH12" s="114" t="n">
        <f aca="false">AH11*Inputs!$B$9</f>
        <v>1478.62</v>
      </c>
      <c r="AI12" s="114" t="n">
        <f aca="false">AI11*Inputs!$B$9</f>
        <v>1478.62</v>
      </c>
      <c r="AJ12" s="114" t="n">
        <f aca="false">AJ11*Inputs!$B$9</f>
        <v>1478.62</v>
      </c>
      <c r="AK12" s="114" t="n">
        <f aca="false">AK11*Inputs!$B$9</f>
        <v>2044.9</v>
      </c>
      <c r="AL12" s="114" t="n">
        <f aca="false">AL11*Inputs!$B$9</f>
        <v>2044.9</v>
      </c>
      <c r="AM12" s="114" t="n">
        <f aca="false">AM11*Inputs!$B$9</f>
        <v>1626.482</v>
      </c>
      <c r="AN12" s="114" t="n">
        <f aca="false">AN11*Inputs!$B$9</f>
        <v>1626.482</v>
      </c>
      <c r="AO12" s="114" t="n">
        <f aca="false">AO11*Inputs!$B$9</f>
        <v>1626.482</v>
      </c>
      <c r="AP12" s="114" t="n">
        <f aca="false">AP11*Inputs!$B$9</f>
        <v>1626.482</v>
      </c>
      <c r="AQ12" s="114" t="n">
        <f aca="false">AQ11*Inputs!$B$9</f>
        <v>1626.482</v>
      </c>
      <c r="AR12" s="114" t="n">
        <f aca="false">AR11*Inputs!$B$9</f>
        <v>1626.482</v>
      </c>
      <c r="AS12" s="114" t="n">
        <f aca="false">AS11*Inputs!$B$9</f>
        <v>1626.482</v>
      </c>
      <c r="AT12" s="114" t="n">
        <f aca="false">AT11*Inputs!$B$9</f>
        <v>1626.482</v>
      </c>
      <c r="AU12" s="114" t="n">
        <f aca="false">AU11*Inputs!$B$9</f>
        <v>1626.482</v>
      </c>
      <c r="AV12" s="114" t="n">
        <f aca="false">AV11*Inputs!$B$9</f>
        <v>1626.482</v>
      </c>
      <c r="AW12" s="114" t="n">
        <f aca="false">AW11*Inputs!$B$9</f>
        <v>2249.39</v>
      </c>
      <c r="AX12" s="114" t="n">
        <f aca="false">AX11*Inputs!$B$9</f>
        <v>2249.39</v>
      </c>
      <c r="AY12" s="114" t="n">
        <f aca="false">AY11*Inputs!$B$9</f>
        <v>1789.1302</v>
      </c>
      <c r="AZ12" s="114" t="n">
        <f aca="false">AZ11*Inputs!$B$9</f>
        <v>1789.1302</v>
      </c>
      <c r="BA12" s="114" t="n">
        <f aca="false">BA11*Inputs!$B$9</f>
        <v>1789.1302</v>
      </c>
      <c r="BB12" s="114" t="n">
        <f aca="false">BB11*Inputs!$B$9</f>
        <v>1789.1302</v>
      </c>
      <c r="BC12" s="114" t="n">
        <f aca="false">BC11*Inputs!$B$9</f>
        <v>1789.1302</v>
      </c>
      <c r="BD12" s="114" t="n">
        <f aca="false">BD11*Inputs!$B$9</f>
        <v>1789.1302</v>
      </c>
      <c r="BE12" s="114" t="n">
        <f aca="false">BE11*Inputs!$B$9</f>
        <v>1789.1302</v>
      </c>
      <c r="BF12" s="114" t="n">
        <f aca="false">BF11*Inputs!$B$9</f>
        <v>1789.1302</v>
      </c>
      <c r="BG12" s="114" t="n">
        <f aca="false">BG11*Inputs!$B$9</f>
        <v>1789.1302</v>
      </c>
      <c r="BH12" s="114" t="n">
        <f aca="false">BH11*Inputs!$B$9</f>
        <v>1789.1302</v>
      </c>
      <c r="BI12" s="114" t="n">
        <f aca="false">BI11*Inputs!$B$9</f>
        <v>2474.329</v>
      </c>
      <c r="BJ12" s="114" t="n">
        <f aca="false">BJ11*Inputs!$B$9</f>
        <v>2474.329</v>
      </c>
    </row>
    <row r="13" customFormat="false" ht="15" hidden="false" customHeight="false" outlineLevel="0" collapsed="false">
      <c r="A13" s="6" t="s">
        <v>410</v>
      </c>
      <c r="C13" s="114" t="n">
        <f aca="false">-C34/MAX(1,Inputs!$B$15)</f>
        <v>1388.88888888889</v>
      </c>
      <c r="D13" s="114" t="n">
        <f aca="false">-D34/MAX(1,Inputs!$B$15)</f>
        <v>1388.88888888889</v>
      </c>
      <c r="E13" s="114" t="n">
        <f aca="false">-E34/MAX(1,Inputs!$B$15)</f>
        <v>1388.88888888889</v>
      </c>
      <c r="F13" s="114" t="n">
        <f aca="false">-F34/MAX(1,Inputs!$B$15)</f>
        <v>1388.88888888889</v>
      </c>
      <c r="G13" s="114" t="n">
        <f aca="false">-G34/MAX(1,Inputs!$B$15)</f>
        <v>1388.88888888889</v>
      </c>
      <c r="H13" s="114" t="n">
        <f aca="false">-H34/MAX(1,Inputs!$B$15)</f>
        <v>1388.88888888889</v>
      </c>
      <c r="I13" s="114" t="n">
        <f aca="false">-I34/MAX(1,Inputs!$B$15)</f>
        <v>1388.88888888889</v>
      </c>
      <c r="J13" s="114" t="n">
        <f aca="false">-J34/MAX(1,Inputs!$B$15)</f>
        <v>1388.88888888889</v>
      </c>
      <c r="K13" s="114" t="n">
        <f aca="false">-K34/MAX(1,Inputs!$B$15)</f>
        <v>1388.88888888889</v>
      </c>
      <c r="L13" s="114" t="n">
        <f aca="false">-L34/MAX(1,Inputs!$B$15)</f>
        <v>1388.88888888889</v>
      </c>
      <c r="M13" s="114" t="n">
        <f aca="false">-M34/MAX(1,Inputs!$B$15)</f>
        <v>1388.88888888889</v>
      </c>
      <c r="N13" s="114" t="n">
        <f aca="false">-N34/MAX(1,Inputs!$B$15)</f>
        <v>1388.88888888889</v>
      </c>
      <c r="O13" s="114" t="n">
        <f aca="false">-O34/MAX(1,Inputs!$B$15)</f>
        <v>1666.66666666667</v>
      </c>
      <c r="P13" s="114" t="n">
        <f aca="false">-P34/MAX(1,Inputs!$B$15)</f>
        <v>1666.66666666667</v>
      </c>
      <c r="Q13" s="114" t="n">
        <f aca="false">-Q34/MAX(1,Inputs!$B$15)</f>
        <v>1666.66666666667</v>
      </c>
      <c r="R13" s="114" t="n">
        <f aca="false">-R34/MAX(1,Inputs!$B$15)</f>
        <v>1666.66666666667</v>
      </c>
      <c r="S13" s="114" t="n">
        <f aca="false">-S34/MAX(1,Inputs!$B$15)</f>
        <v>1666.66666666667</v>
      </c>
      <c r="T13" s="114" t="n">
        <f aca="false">-T34/MAX(1,Inputs!$B$15)</f>
        <v>1666.66666666667</v>
      </c>
      <c r="U13" s="114" t="n">
        <f aca="false">-U34/MAX(1,Inputs!$B$15)</f>
        <v>1666.66666666667</v>
      </c>
      <c r="V13" s="114" t="n">
        <f aca="false">-V34/MAX(1,Inputs!$B$15)</f>
        <v>1666.66666666667</v>
      </c>
      <c r="W13" s="114" t="n">
        <f aca="false">-W34/MAX(1,Inputs!$B$15)</f>
        <v>1666.66666666667</v>
      </c>
      <c r="X13" s="114" t="n">
        <f aca="false">-X34/MAX(1,Inputs!$B$15)</f>
        <v>1666.66666666667</v>
      </c>
      <c r="Y13" s="114" t="n">
        <f aca="false">-Y34/MAX(1,Inputs!$B$15)</f>
        <v>1666.66666666667</v>
      </c>
      <c r="Z13" s="114" t="n">
        <f aca="false">-Z34/MAX(1,Inputs!$B$15)</f>
        <v>1666.66666666667</v>
      </c>
      <c r="AA13" s="114" t="n">
        <f aca="false">-AA34/MAX(1,Inputs!$B$15)</f>
        <v>2000</v>
      </c>
      <c r="AB13" s="114" t="n">
        <f aca="false">-AB34/MAX(1,Inputs!$B$15)</f>
        <v>2000</v>
      </c>
      <c r="AC13" s="114" t="n">
        <f aca="false">-AC34/MAX(1,Inputs!$B$15)</f>
        <v>2000</v>
      </c>
      <c r="AD13" s="114" t="n">
        <f aca="false">-AD34/MAX(1,Inputs!$B$15)</f>
        <v>2000</v>
      </c>
      <c r="AE13" s="114" t="n">
        <f aca="false">-AE34/MAX(1,Inputs!$B$15)</f>
        <v>2000</v>
      </c>
      <c r="AF13" s="114" t="n">
        <f aca="false">-AF34/MAX(1,Inputs!$B$15)</f>
        <v>2000</v>
      </c>
      <c r="AG13" s="114" t="n">
        <f aca="false">-AG34/MAX(1,Inputs!$B$15)</f>
        <v>2000</v>
      </c>
      <c r="AH13" s="114" t="n">
        <f aca="false">-AH34/MAX(1,Inputs!$B$15)</f>
        <v>2000</v>
      </c>
      <c r="AI13" s="114" t="n">
        <f aca="false">-AI34/MAX(1,Inputs!$B$15)</f>
        <v>2000</v>
      </c>
      <c r="AJ13" s="114" t="n">
        <f aca="false">-AJ34/MAX(1,Inputs!$B$15)</f>
        <v>2000</v>
      </c>
      <c r="AK13" s="114" t="n">
        <f aca="false">-AK34/MAX(1,Inputs!$B$15)</f>
        <v>2000</v>
      </c>
      <c r="AL13" s="114" t="n">
        <f aca="false">-AL34/MAX(1,Inputs!$B$15)</f>
        <v>2000</v>
      </c>
      <c r="AM13" s="114" t="n">
        <f aca="false">-AM34/MAX(1,Inputs!$B$15)</f>
        <v>2400</v>
      </c>
      <c r="AN13" s="114" t="n">
        <f aca="false">-AN34/MAX(1,Inputs!$B$15)</f>
        <v>2400</v>
      </c>
      <c r="AO13" s="114" t="n">
        <f aca="false">-AO34/MAX(1,Inputs!$B$15)</f>
        <v>2400</v>
      </c>
      <c r="AP13" s="114" t="n">
        <f aca="false">-AP34/MAX(1,Inputs!$B$15)</f>
        <v>2400</v>
      </c>
      <c r="AQ13" s="114" t="n">
        <f aca="false">-AQ34/MAX(1,Inputs!$B$15)</f>
        <v>2400</v>
      </c>
      <c r="AR13" s="114" t="n">
        <f aca="false">-AR34/MAX(1,Inputs!$B$15)</f>
        <v>2400</v>
      </c>
      <c r="AS13" s="114" t="n">
        <f aca="false">-AS34/MAX(1,Inputs!$B$15)</f>
        <v>2400</v>
      </c>
      <c r="AT13" s="114" t="n">
        <f aca="false">-AT34/MAX(1,Inputs!$B$15)</f>
        <v>2400</v>
      </c>
      <c r="AU13" s="114" t="n">
        <f aca="false">-AU34/MAX(1,Inputs!$B$15)</f>
        <v>2400</v>
      </c>
      <c r="AV13" s="114" t="n">
        <f aca="false">-AV34/MAX(1,Inputs!$B$15)</f>
        <v>2400</v>
      </c>
      <c r="AW13" s="114" t="n">
        <f aca="false">-AW34/MAX(1,Inputs!$B$15)</f>
        <v>2400</v>
      </c>
      <c r="AX13" s="114" t="n">
        <f aca="false">-AX34/MAX(1,Inputs!$B$15)</f>
        <v>2400</v>
      </c>
      <c r="AY13" s="114" t="n">
        <f aca="false">-AY34/MAX(1,Inputs!$B$15)</f>
        <v>2880</v>
      </c>
      <c r="AZ13" s="114" t="n">
        <f aca="false">-AZ34/MAX(1,Inputs!$B$15)</f>
        <v>2880</v>
      </c>
      <c r="BA13" s="114" t="n">
        <f aca="false">-BA34/MAX(1,Inputs!$B$15)</f>
        <v>2880</v>
      </c>
      <c r="BB13" s="114" t="n">
        <f aca="false">-BB34/MAX(1,Inputs!$B$15)</f>
        <v>2880</v>
      </c>
      <c r="BC13" s="114" t="n">
        <f aca="false">-BC34/MAX(1,Inputs!$B$15)</f>
        <v>2880</v>
      </c>
      <c r="BD13" s="114" t="n">
        <f aca="false">-BD34/MAX(1,Inputs!$B$15)</f>
        <v>2880</v>
      </c>
      <c r="BE13" s="114" t="n">
        <f aca="false">-BE34/MAX(1,Inputs!$B$15)</f>
        <v>2880</v>
      </c>
      <c r="BF13" s="114" t="n">
        <f aca="false">-BF34/MAX(1,Inputs!$B$15)</f>
        <v>2880</v>
      </c>
      <c r="BG13" s="114" t="n">
        <f aca="false">-BG34/MAX(1,Inputs!$B$15)</f>
        <v>2880</v>
      </c>
      <c r="BH13" s="114" t="n">
        <f aca="false">-BH34/MAX(1,Inputs!$B$15)</f>
        <v>2880</v>
      </c>
      <c r="BI13" s="114" t="n">
        <f aca="false">-BI34/MAX(1,Inputs!$B$15)</f>
        <v>2880</v>
      </c>
      <c r="BJ13" s="114" t="n">
        <f aca="false">-BJ34/MAX(1,Inputs!$B$15)</f>
        <v>2880</v>
      </c>
    </row>
    <row r="14" customFormat="false" ht="15" hidden="false" customHeight="false" outlineLevel="0" collapsed="false">
      <c r="A14" s="6" t="s">
        <v>411</v>
      </c>
      <c r="C14" s="114" t="n">
        <f aca="false">C12+C13</f>
        <v>2610.88888888889</v>
      </c>
      <c r="D14" s="114" t="n">
        <f aca="false">D12+D13</f>
        <v>2610.88888888889</v>
      </c>
      <c r="E14" s="114" t="n">
        <f aca="false">E12+E13</f>
        <v>2610.88888888889</v>
      </c>
      <c r="F14" s="114" t="n">
        <f aca="false">F12+F13</f>
        <v>2610.88888888889</v>
      </c>
      <c r="G14" s="114" t="n">
        <f aca="false">G12+G13</f>
        <v>2610.88888888889</v>
      </c>
      <c r="H14" s="114" t="n">
        <f aca="false">H12+H13</f>
        <v>2610.88888888889</v>
      </c>
      <c r="I14" s="114" t="n">
        <f aca="false">I12+I13</f>
        <v>2610.88888888889</v>
      </c>
      <c r="J14" s="114" t="n">
        <f aca="false">J12+J13</f>
        <v>2610.88888888889</v>
      </c>
      <c r="K14" s="114" t="n">
        <f aca="false">K12+K13</f>
        <v>2610.88888888889</v>
      </c>
      <c r="L14" s="114" t="n">
        <f aca="false">L12+L13</f>
        <v>2610.88888888889</v>
      </c>
      <c r="M14" s="114" t="n">
        <f aca="false">M12+M13</f>
        <v>3078.88888888889</v>
      </c>
      <c r="N14" s="114" t="n">
        <f aca="false">N12+N13</f>
        <v>3078.88888888889</v>
      </c>
      <c r="O14" s="114" t="n">
        <f aca="false">O12+O13</f>
        <v>3010.86666666667</v>
      </c>
      <c r="P14" s="114" t="n">
        <f aca="false">P12+P13</f>
        <v>3010.86666666667</v>
      </c>
      <c r="Q14" s="114" t="n">
        <f aca="false">Q12+Q13</f>
        <v>3010.86666666667</v>
      </c>
      <c r="R14" s="114" t="n">
        <f aca="false">R12+R13</f>
        <v>3010.86666666667</v>
      </c>
      <c r="S14" s="114" t="n">
        <f aca="false">S12+S13</f>
        <v>3010.86666666667</v>
      </c>
      <c r="T14" s="114" t="n">
        <f aca="false">T12+T13</f>
        <v>3010.86666666667</v>
      </c>
      <c r="U14" s="114" t="n">
        <f aca="false">U12+U13</f>
        <v>3010.86666666667</v>
      </c>
      <c r="V14" s="114" t="n">
        <f aca="false">V12+V13</f>
        <v>3010.86666666667</v>
      </c>
      <c r="W14" s="114" t="n">
        <f aca="false">W12+W13</f>
        <v>3010.86666666667</v>
      </c>
      <c r="X14" s="114" t="n">
        <f aca="false">X12+X13</f>
        <v>3010.86666666667</v>
      </c>
      <c r="Y14" s="114" t="n">
        <f aca="false">Y12+Y13</f>
        <v>3525.66666666667</v>
      </c>
      <c r="Z14" s="114" t="n">
        <f aca="false">Z12+Z13</f>
        <v>3525.66666666667</v>
      </c>
      <c r="AA14" s="114" t="n">
        <f aca="false">AA12+AA13</f>
        <v>3478.62</v>
      </c>
      <c r="AB14" s="114" t="n">
        <f aca="false">AB12+AB13</f>
        <v>3478.62</v>
      </c>
      <c r="AC14" s="114" t="n">
        <f aca="false">AC12+AC13</f>
        <v>3478.62</v>
      </c>
      <c r="AD14" s="114" t="n">
        <f aca="false">AD12+AD13</f>
        <v>3478.62</v>
      </c>
      <c r="AE14" s="114" t="n">
        <f aca="false">AE12+AE13</f>
        <v>3478.62</v>
      </c>
      <c r="AF14" s="114" t="n">
        <f aca="false">AF12+AF13</f>
        <v>3478.62</v>
      </c>
      <c r="AG14" s="114" t="n">
        <f aca="false">AG12+AG13</f>
        <v>3478.62</v>
      </c>
      <c r="AH14" s="114" t="n">
        <f aca="false">AH12+AH13</f>
        <v>3478.62</v>
      </c>
      <c r="AI14" s="114" t="n">
        <f aca="false">AI12+AI13</f>
        <v>3478.62</v>
      </c>
      <c r="AJ14" s="114" t="n">
        <f aca="false">AJ12+AJ13</f>
        <v>3478.62</v>
      </c>
      <c r="AK14" s="114" t="n">
        <f aca="false">AK12+AK13</f>
        <v>4044.9</v>
      </c>
      <c r="AL14" s="114" t="n">
        <f aca="false">AL12+AL13</f>
        <v>4044.9</v>
      </c>
      <c r="AM14" s="114" t="n">
        <f aca="false">AM12+AM13</f>
        <v>4026.482</v>
      </c>
      <c r="AN14" s="114" t="n">
        <f aca="false">AN12+AN13</f>
        <v>4026.482</v>
      </c>
      <c r="AO14" s="114" t="n">
        <f aca="false">AO12+AO13</f>
        <v>4026.482</v>
      </c>
      <c r="AP14" s="114" t="n">
        <f aca="false">AP12+AP13</f>
        <v>4026.482</v>
      </c>
      <c r="AQ14" s="114" t="n">
        <f aca="false">AQ12+AQ13</f>
        <v>4026.482</v>
      </c>
      <c r="AR14" s="114" t="n">
        <f aca="false">AR12+AR13</f>
        <v>4026.482</v>
      </c>
      <c r="AS14" s="114" t="n">
        <f aca="false">AS12+AS13</f>
        <v>4026.482</v>
      </c>
      <c r="AT14" s="114" t="n">
        <f aca="false">AT12+AT13</f>
        <v>4026.482</v>
      </c>
      <c r="AU14" s="114" t="n">
        <f aca="false">AU12+AU13</f>
        <v>4026.482</v>
      </c>
      <c r="AV14" s="114" t="n">
        <f aca="false">AV12+AV13</f>
        <v>4026.482</v>
      </c>
      <c r="AW14" s="114" t="n">
        <f aca="false">AW12+AW13</f>
        <v>4649.39</v>
      </c>
      <c r="AX14" s="114" t="n">
        <f aca="false">AX12+AX13</f>
        <v>4649.39</v>
      </c>
      <c r="AY14" s="114" t="n">
        <f aca="false">AY12+AY13</f>
        <v>4669.1302</v>
      </c>
      <c r="AZ14" s="114" t="n">
        <f aca="false">AZ12+AZ13</f>
        <v>4669.1302</v>
      </c>
      <c r="BA14" s="114" t="n">
        <f aca="false">BA12+BA13</f>
        <v>4669.1302</v>
      </c>
      <c r="BB14" s="114" t="n">
        <f aca="false">BB12+BB13</f>
        <v>4669.1302</v>
      </c>
      <c r="BC14" s="114" t="n">
        <f aca="false">BC12+BC13</f>
        <v>4669.1302</v>
      </c>
      <c r="BD14" s="114" t="n">
        <f aca="false">BD12+BD13</f>
        <v>4669.1302</v>
      </c>
      <c r="BE14" s="114" t="n">
        <f aca="false">BE12+BE13</f>
        <v>4669.1302</v>
      </c>
      <c r="BF14" s="114" t="n">
        <f aca="false">BF12+BF13</f>
        <v>4669.1302</v>
      </c>
      <c r="BG14" s="114" t="n">
        <f aca="false">BG12+BG13</f>
        <v>4669.1302</v>
      </c>
      <c r="BH14" s="114" t="n">
        <f aca="false">BH12+BH13</f>
        <v>4669.1302</v>
      </c>
      <c r="BI14" s="114" t="n">
        <f aca="false">BI12+BI13</f>
        <v>5354.329</v>
      </c>
      <c r="BJ14" s="114" t="n">
        <f aca="false">BJ12+BJ13</f>
        <v>5354.329</v>
      </c>
    </row>
    <row r="15" customFormat="false" ht="15" hidden="false" customHeight="false" outlineLevel="0" collapsed="false">
      <c r="A15" s="6" t="s">
        <v>412</v>
      </c>
      <c r="C15" s="114" t="n">
        <f aca="false">C14*Inputs!$B$12</f>
        <v>1044.35555555556</v>
      </c>
      <c r="D15" s="114" t="n">
        <f aca="false">D14*Inputs!$B$12</f>
        <v>1044.35555555556</v>
      </c>
      <c r="E15" s="114" t="n">
        <f aca="false">E14*Inputs!$B$12</f>
        <v>1044.35555555556</v>
      </c>
      <c r="F15" s="114" t="n">
        <f aca="false">F14*Inputs!$B$12</f>
        <v>1044.35555555556</v>
      </c>
      <c r="G15" s="114" t="n">
        <f aca="false">G14*Inputs!$B$12</f>
        <v>1044.35555555556</v>
      </c>
      <c r="H15" s="114" t="n">
        <f aca="false">H14*Inputs!$B$12</f>
        <v>1044.35555555556</v>
      </c>
      <c r="I15" s="114" t="n">
        <f aca="false">I14*Inputs!$B$12</f>
        <v>1044.35555555556</v>
      </c>
      <c r="J15" s="114" t="n">
        <f aca="false">J14*Inputs!$B$12</f>
        <v>1044.35555555556</v>
      </c>
      <c r="K15" s="114" t="n">
        <f aca="false">K14*Inputs!$B$12</f>
        <v>1044.35555555556</v>
      </c>
      <c r="L15" s="114" t="n">
        <f aca="false">L14*Inputs!$B$12</f>
        <v>1044.35555555556</v>
      </c>
      <c r="M15" s="114" t="n">
        <f aca="false">M14*Inputs!$B$12</f>
        <v>1231.55555555556</v>
      </c>
      <c r="N15" s="114" t="n">
        <f aca="false">N14*Inputs!$B$12</f>
        <v>1231.55555555556</v>
      </c>
      <c r="O15" s="114" t="n">
        <f aca="false">O14*Inputs!$B$12</f>
        <v>1204.34666666667</v>
      </c>
      <c r="P15" s="114" t="n">
        <f aca="false">P14*Inputs!$B$12</f>
        <v>1204.34666666667</v>
      </c>
      <c r="Q15" s="114" t="n">
        <f aca="false">Q14*Inputs!$B$12</f>
        <v>1204.34666666667</v>
      </c>
      <c r="R15" s="114" t="n">
        <f aca="false">R14*Inputs!$B$12</f>
        <v>1204.34666666667</v>
      </c>
      <c r="S15" s="114" t="n">
        <f aca="false">S14*Inputs!$B$12</f>
        <v>1204.34666666667</v>
      </c>
      <c r="T15" s="114" t="n">
        <f aca="false">T14*Inputs!$B$12</f>
        <v>1204.34666666667</v>
      </c>
      <c r="U15" s="114" t="n">
        <f aca="false">U14*Inputs!$B$12</f>
        <v>1204.34666666667</v>
      </c>
      <c r="V15" s="114" t="n">
        <f aca="false">V14*Inputs!$B$12</f>
        <v>1204.34666666667</v>
      </c>
      <c r="W15" s="114" t="n">
        <f aca="false">W14*Inputs!$B$12</f>
        <v>1204.34666666667</v>
      </c>
      <c r="X15" s="114" t="n">
        <f aca="false">X14*Inputs!$B$12</f>
        <v>1204.34666666667</v>
      </c>
      <c r="Y15" s="114" t="n">
        <f aca="false">Y14*Inputs!$B$12</f>
        <v>1410.26666666667</v>
      </c>
      <c r="Z15" s="114" t="n">
        <f aca="false">Z14*Inputs!$B$12</f>
        <v>1410.26666666667</v>
      </c>
      <c r="AA15" s="114" t="n">
        <f aca="false">AA14*Inputs!$B$12</f>
        <v>1391.448</v>
      </c>
      <c r="AB15" s="114" t="n">
        <f aca="false">AB14*Inputs!$B$12</f>
        <v>1391.448</v>
      </c>
      <c r="AC15" s="114" t="n">
        <f aca="false">AC14*Inputs!$B$12</f>
        <v>1391.448</v>
      </c>
      <c r="AD15" s="114" t="n">
        <f aca="false">AD14*Inputs!$B$12</f>
        <v>1391.448</v>
      </c>
      <c r="AE15" s="114" t="n">
        <f aca="false">AE14*Inputs!$B$12</f>
        <v>1391.448</v>
      </c>
      <c r="AF15" s="114" t="n">
        <f aca="false">AF14*Inputs!$B$12</f>
        <v>1391.448</v>
      </c>
      <c r="AG15" s="114" t="n">
        <f aca="false">AG14*Inputs!$B$12</f>
        <v>1391.448</v>
      </c>
      <c r="AH15" s="114" t="n">
        <f aca="false">AH14*Inputs!$B$12</f>
        <v>1391.448</v>
      </c>
      <c r="AI15" s="114" t="n">
        <f aca="false">AI14*Inputs!$B$12</f>
        <v>1391.448</v>
      </c>
      <c r="AJ15" s="114" t="n">
        <f aca="false">AJ14*Inputs!$B$12</f>
        <v>1391.448</v>
      </c>
      <c r="AK15" s="114" t="n">
        <f aca="false">AK14*Inputs!$B$12</f>
        <v>1617.96</v>
      </c>
      <c r="AL15" s="114" t="n">
        <f aca="false">AL14*Inputs!$B$12</f>
        <v>1617.96</v>
      </c>
      <c r="AM15" s="114" t="n">
        <f aca="false">AM14*Inputs!$B$12</f>
        <v>1610.5928</v>
      </c>
      <c r="AN15" s="114" t="n">
        <f aca="false">AN14*Inputs!$B$12</f>
        <v>1610.5928</v>
      </c>
      <c r="AO15" s="114" t="n">
        <f aca="false">AO14*Inputs!$B$12</f>
        <v>1610.5928</v>
      </c>
      <c r="AP15" s="114" t="n">
        <f aca="false">AP14*Inputs!$B$12</f>
        <v>1610.5928</v>
      </c>
      <c r="AQ15" s="114" t="n">
        <f aca="false">AQ14*Inputs!$B$12</f>
        <v>1610.5928</v>
      </c>
      <c r="AR15" s="114" t="n">
        <f aca="false">AR14*Inputs!$B$12</f>
        <v>1610.5928</v>
      </c>
      <c r="AS15" s="114" t="n">
        <f aca="false">AS14*Inputs!$B$12</f>
        <v>1610.5928</v>
      </c>
      <c r="AT15" s="114" t="n">
        <f aca="false">AT14*Inputs!$B$12</f>
        <v>1610.5928</v>
      </c>
      <c r="AU15" s="114" t="n">
        <f aca="false">AU14*Inputs!$B$12</f>
        <v>1610.5928</v>
      </c>
      <c r="AV15" s="114" t="n">
        <f aca="false">AV14*Inputs!$B$12</f>
        <v>1610.5928</v>
      </c>
      <c r="AW15" s="114" t="n">
        <f aca="false">AW14*Inputs!$B$12</f>
        <v>1859.756</v>
      </c>
      <c r="AX15" s="114" t="n">
        <f aca="false">AX14*Inputs!$B$12</f>
        <v>1859.756</v>
      </c>
      <c r="AY15" s="114" t="n">
        <f aca="false">AY14*Inputs!$B$12</f>
        <v>1867.65208</v>
      </c>
      <c r="AZ15" s="114" t="n">
        <f aca="false">AZ14*Inputs!$B$12</f>
        <v>1867.65208</v>
      </c>
      <c r="BA15" s="114" t="n">
        <f aca="false">BA14*Inputs!$B$12</f>
        <v>1867.65208</v>
      </c>
      <c r="BB15" s="114" t="n">
        <f aca="false">BB14*Inputs!$B$12</f>
        <v>1867.65208</v>
      </c>
      <c r="BC15" s="114" t="n">
        <f aca="false">BC14*Inputs!$B$12</f>
        <v>1867.65208</v>
      </c>
      <c r="BD15" s="114" t="n">
        <f aca="false">BD14*Inputs!$B$12</f>
        <v>1867.65208</v>
      </c>
      <c r="BE15" s="114" t="n">
        <f aca="false">BE14*Inputs!$B$12</f>
        <v>1867.65208</v>
      </c>
      <c r="BF15" s="114" t="n">
        <f aca="false">BF14*Inputs!$B$12</f>
        <v>1867.65208</v>
      </c>
      <c r="BG15" s="114" t="n">
        <f aca="false">BG14*Inputs!$B$12</f>
        <v>1867.65208</v>
      </c>
      <c r="BH15" s="114" t="n">
        <f aca="false">BH14*Inputs!$B$12</f>
        <v>1867.65208</v>
      </c>
      <c r="BI15" s="114" t="n">
        <f aca="false">BI14*Inputs!$B$12</f>
        <v>2141.7316</v>
      </c>
      <c r="BJ15" s="114" t="n">
        <f aca="false">BJ14*Inputs!$B$12</f>
        <v>2141.7316</v>
      </c>
    </row>
    <row r="16" customFormat="false" ht="15" hidden="false" customHeight="false" outlineLevel="0" collapsed="false">
      <c r="A16" s="4" t="s">
        <v>60</v>
      </c>
      <c r="C16" s="115" t="n">
        <f aca="false">C14+C15</f>
        <v>3655.24444444444</v>
      </c>
      <c r="D16" s="115" t="n">
        <f aca="false">D14+D15</f>
        <v>3655.24444444444</v>
      </c>
      <c r="E16" s="115" t="n">
        <f aca="false">E14+E15</f>
        <v>3655.24444444444</v>
      </c>
      <c r="F16" s="115" t="n">
        <f aca="false">F14+F15</f>
        <v>3655.24444444444</v>
      </c>
      <c r="G16" s="115" t="n">
        <f aca="false">G14+G15</f>
        <v>3655.24444444444</v>
      </c>
      <c r="H16" s="115" t="n">
        <f aca="false">H14+H15</f>
        <v>3655.24444444444</v>
      </c>
      <c r="I16" s="115" t="n">
        <f aca="false">I14+I15</f>
        <v>3655.24444444444</v>
      </c>
      <c r="J16" s="115" t="n">
        <f aca="false">J14+J15</f>
        <v>3655.24444444444</v>
      </c>
      <c r="K16" s="115" t="n">
        <f aca="false">K14+K15</f>
        <v>3655.24444444444</v>
      </c>
      <c r="L16" s="115" t="n">
        <f aca="false">L14+L15</f>
        <v>3655.24444444444</v>
      </c>
      <c r="M16" s="115" t="n">
        <f aca="false">M14+M15</f>
        <v>4310.44444444444</v>
      </c>
      <c r="N16" s="115" t="n">
        <f aca="false">N14+N15</f>
        <v>4310.44444444444</v>
      </c>
      <c r="O16" s="115" t="n">
        <f aca="false">O14+O15</f>
        <v>4215.21333333333</v>
      </c>
      <c r="P16" s="115" t="n">
        <f aca="false">P14+P15</f>
        <v>4215.21333333333</v>
      </c>
      <c r="Q16" s="115" t="n">
        <f aca="false">Q14+Q15</f>
        <v>4215.21333333333</v>
      </c>
      <c r="R16" s="115" t="n">
        <f aca="false">R14+R15</f>
        <v>4215.21333333333</v>
      </c>
      <c r="S16" s="115" t="n">
        <f aca="false">S14+S15</f>
        <v>4215.21333333333</v>
      </c>
      <c r="T16" s="115" t="n">
        <f aca="false">T14+T15</f>
        <v>4215.21333333333</v>
      </c>
      <c r="U16" s="115" t="n">
        <f aca="false">U14+U15</f>
        <v>4215.21333333333</v>
      </c>
      <c r="V16" s="115" t="n">
        <f aca="false">V14+V15</f>
        <v>4215.21333333333</v>
      </c>
      <c r="W16" s="115" t="n">
        <f aca="false">W14+W15</f>
        <v>4215.21333333333</v>
      </c>
      <c r="X16" s="115" t="n">
        <f aca="false">X14+X15</f>
        <v>4215.21333333333</v>
      </c>
      <c r="Y16" s="115" t="n">
        <f aca="false">Y14+Y15</f>
        <v>4935.93333333333</v>
      </c>
      <c r="Z16" s="115" t="n">
        <f aca="false">Z14+Z15</f>
        <v>4935.93333333333</v>
      </c>
      <c r="AA16" s="115" t="n">
        <f aca="false">AA14+AA15</f>
        <v>4870.068</v>
      </c>
      <c r="AB16" s="115" t="n">
        <f aca="false">AB14+AB15</f>
        <v>4870.068</v>
      </c>
      <c r="AC16" s="115" t="n">
        <f aca="false">AC14+AC15</f>
        <v>4870.068</v>
      </c>
      <c r="AD16" s="115" t="n">
        <f aca="false">AD14+AD15</f>
        <v>4870.068</v>
      </c>
      <c r="AE16" s="115" t="n">
        <f aca="false">AE14+AE15</f>
        <v>4870.068</v>
      </c>
      <c r="AF16" s="115" t="n">
        <f aca="false">AF14+AF15</f>
        <v>4870.068</v>
      </c>
      <c r="AG16" s="115" t="n">
        <f aca="false">AG14+AG15</f>
        <v>4870.068</v>
      </c>
      <c r="AH16" s="115" t="n">
        <f aca="false">AH14+AH15</f>
        <v>4870.068</v>
      </c>
      <c r="AI16" s="115" t="n">
        <f aca="false">AI14+AI15</f>
        <v>4870.068</v>
      </c>
      <c r="AJ16" s="115" t="n">
        <f aca="false">AJ14+AJ15</f>
        <v>4870.068</v>
      </c>
      <c r="AK16" s="115" t="n">
        <f aca="false">AK14+AK15</f>
        <v>5662.86</v>
      </c>
      <c r="AL16" s="115" t="n">
        <f aca="false">AL14+AL15</f>
        <v>5662.86</v>
      </c>
      <c r="AM16" s="115" t="n">
        <f aca="false">AM14+AM15</f>
        <v>5637.0748</v>
      </c>
      <c r="AN16" s="115" t="n">
        <f aca="false">AN14+AN15</f>
        <v>5637.0748</v>
      </c>
      <c r="AO16" s="115" t="n">
        <f aca="false">AO14+AO15</f>
        <v>5637.0748</v>
      </c>
      <c r="AP16" s="115" t="n">
        <f aca="false">AP14+AP15</f>
        <v>5637.0748</v>
      </c>
      <c r="AQ16" s="115" t="n">
        <f aca="false">AQ14+AQ15</f>
        <v>5637.0748</v>
      </c>
      <c r="AR16" s="115" t="n">
        <f aca="false">AR14+AR15</f>
        <v>5637.0748</v>
      </c>
      <c r="AS16" s="115" t="n">
        <f aca="false">AS14+AS15</f>
        <v>5637.0748</v>
      </c>
      <c r="AT16" s="115" t="n">
        <f aca="false">AT14+AT15</f>
        <v>5637.0748</v>
      </c>
      <c r="AU16" s="115" t="n">
        <f aca="false">AU14+AU15</f>
        <v>5637.0748</v>
      </c>
      <c r="AV16" s="115" t="n">
        <f aca="false">AV14+AV15</f>
        <v>5637.0748</v>
      </c>
      <c r="AW16" s="115" t="n">
        <f aca="false">AW14+AW15</f>
        <v>6509.146</v>
      </c>
      <c r="AX16" s="115" t="n">
        <f aca="false">AX14+AX15</f>
        <v>6509.146</v>
      </c>
      <c r="AY16" s="115" t="n">
        <f aca="false">AY14+AY15</f>
        <v>6536.78228</v>
      </c>
      <c r="AZ16" s="115" t="n">
        <f aca="false">AZ14+AZ15</f>
        <v>6536.78228</v>
      </c>
      <c r="BA16" s="115" t="n">
        <f aca="false">BA14+BA15</f>
        <v>6536.78228</v>
      </c>
      <c r="BB16" s="115" t="n">
        <f aca="false">BB14+BB15</f>
        <v>6536.78228</v>
      </c>
      <c r="BC16" s="115" t="n">
        <f aca="false">BC14+BC15</f>
        <v>6536.78228</v>
      </c>
      <c r="BD16" s="115" t="n">
        <f aca="false">BD14+BD15</f>
        <v>6536.78228</v>
      </c>
      <c r="BE16" s="115" t="n">
        <f aca="false">BE14+BE15</f>
        <v>6536.78228</v>
      </c>
      <c r="BF16" s="115" t="n">
        <f aca="false">BF14+BF15</f>
        <v>6536.78228</v>
      </c>
      <c r="BG16" s="115" t="n">
        <f aca="false">BG14+BG15</f>
        <v>6536.78228</v>
      </c>
      <c r="BH16" s="115" t="n">
        <f aca="false">BH14+BH15</f>
        <v>6536.78228</v>
      </c>
      <c r="BI16" s="115" t="n">
        <f aca="false">BI14+BI15</f>
        <v>7496.0606</v>
      </c>
      <c r="BJ16" s="115" t="n">
        <f aca="false">BJ14+BJ15</f>
        <v>7496.0606</v>
      </c>
    </row>
    <row r="17" customFormat="false" ht="15" hidden="false" customHeight="false" outlineLevel="0" collapsed="false">
      <c r="A17" s="6" t="s">
        <v>413</v>
      </c>
      <c r="C17" s="116" t="n">
        <f aca="false">Inputs!$B$10*(1+Inputs!$B$11)^(C$7-1)</f>
        <v>65</v>
      </c>
      <c r="D17" s="116" t="n">
        <f aca="false">Inputs!$B$10*(1+Inputs!$B$11)^(D$7-1)</f>
        <v>65</v>
      </c>
      <c r="E17" s="116" t="n">
        <f aca="false">Inputs!$B$10*(1+Inputs!$B$11)^(E$7-1)</f>
        <v>65</v>
      </c>
      <c r="F17" s="116" t="n">
        <f aca="false">Inputs!$B$10*(1+Inputs!$B$11)^(F$7-1)</f>
        <v>65</v>
      </c>
      <c r="G17" s="116" t="n">
        <f aca="false">Inputs!$B$10*(1+Inputs!$B$11)^(G$7-1)</f>
        <v>65</v>
      </c>
      <c r="H17" s="116" t="n">
        <f aca="false">Inputs!$B$10*(1+Inputs!$B$11)^(H$7-1)</f>
        <v>65</v>
      </c>
      <c r="I17" s="116" t="n">
        <f aca="false">Inputs!$B$10*(1+Inputs!$B$11)^(I$7-1)</f>
        <v>65</v>
      </c>
      <c r="J17" s="116" t="n">
        <f aca="false">Inputs!$B$10*(1+Inputs!$B$11)^(J$7-1)</f>
        <v>65</v>
      </c>
      <c r="K17" s="116" t="n">
        <f aca="false">Inputs!$B$10*(1+Inputs!$B$11)^(K$7-1)</f>
        <v>65</v>
      </c>
      <c r="L17" s="116" t="n">
        <f aca="false">Inputs!$B$10*(1+Inputs!$B$11)^(L$7-1)</f>
        <v>65</v>
      </c>
      <c r="M17" s="116" t="n">
        <f aca="false">Inputs!$B$10*(1+Inputs!$B$11)^(M$7-1)</f>
        <v>65</v>
      </c>
      <c r="N17" s="116" t="n">
        <f aca="false">Inputs!$B$10*(1+Inputs!$B$11)^(N$7-1)</f>
        <v>65</v>
      </c>
      <c r="O17" s="116" t="n">
        <f aca="false">Inputs!$B$10*(1+Inputs!$B$11)^(O$7-1)</f>
        <v>65</v>
      </c>
      <c r="P17" s="116" t="n">
        <f aca="false">Inputs!$B$10*(1+Inputs!$B$11)^(P$7-1)</f>
        <v>65</v>
      </c>
      <c r="Q17" s="116" t="n">
        <f aca="false">Inputs!$B$10*(1+Inputs!$B$11)^(Q$7-1)</f>
        <v>65</v>
      </c>
      <c r="R17" s="116" t="n">
        <f aca="false">Inputs!$B$10*(1+Inputs!$B$11)^(R$7-1)</f>
        <v>65</v>
      </c>
      <c r="S17" s="116" t="n">
        <f aca="false">Inputs!$B$10*(1+Inputs!$B$11)^(S$7-1)</f>
        <v>65</v>
      </c>
      <c r="T17" s="116" t="n">
        <f aca="false">Inputs!$B$10*(1+Inputs!$B$11)^(T$7-1)</f>
        <v>65</v>
      </c>
      <c r="U17" s="116" t="n">
        <f aca="false">Inputs!$B$10*(1+Inputs!$B$11)^(U$7-1)</f>
        <v>65</v>
      </c>
      <c r="V17" s="116" t="n">
        <f aca="false">Inputs!$B$10*(1+Inputs!$B$11)^(V$7-1)</f>
        <v>65</v>
      </c>
      <c r="W17" s="116" t="n">
        <f aca="false">Inputs!$B$10*(1+Inputs!$B$11)^(W$7-1)</f>
        <v>65</v>
      </c>
      <c r="X17" s="116" t="n">
        <f aca="false">Inputs!$B$10*(1+Inputs!$B$11)^(X$7-1)</f>
        <v>65</v>
      </c>
      <c r="Y17" s="116" t="n">
        <f aca="false">Inputs!$B$10*(1+Inputs!$B$11)^(Y$7-1)</f>
        <v>65</v>
      </c>
      <c r="Z17" s="116" t="n">
        <f aca="false">Inputs!$B$10*(1+Inputs!$B$11)^(Z$7-1)</f>
        <v>65</v>
      </c>
      <c r="AA17" s="116" t="n">
        <f aca="false">Inputs!$B$10*(1+Inputs!$B$11)^(AA$7-1)</f>
        <v>65</v>
      </c>
      <c r="AB17" s="116" t="n">
        <f aca="false">Inputs!$B$10*(1+Inputs!$B$11)^(AB$7-1)</f>
        <v>65</v>
      </c>
      <c r="AC17" s="116" t="n">
        <f aca="false">Inputs!$B$10*(1+Inputs!$B$11)^(AC$7-1)</f>
        <v>65</v>
      </c>
      <c r="AD17" s="116" t="n">
        <f aca="false">Inputs!$B$10*(1+Inputs!$B$11)^(AD$7-1)</f>
        <v>65</v>
      </c>
      <c r="AE17" s="116" t="n">
        <f aca="false">Inputs!$B$10*(1+Inputs!$B$11)^(AE$7-1)</f>
        <v>65</v>
      </c>
      <c r="AF17" s="116" t="n">
        <f aca="false">Inputs!$B$10*(1+Inputs!$B$11)^(AF$7-1)</f>
        <v>65</v>
      </c>
      <c r="AG17" s="116" t="n">
        <f aca="false">Inputs!$B$10*(1+Inputs!$B$11)^(AG$7-1)</f>
        <v>65</v>
      </c>
      <c r="AH17" s="116" t="n">
        <f aca="false">Inputs!$B$10*(1+Inputs!$B$11)^(AH$7-1)</f>
        <v>65</v>
      </c>
      <c r="AI17" s="116" t="n">
        <f aca="false">Inputs!$B$10*(1+Inputs!$B$11)^(AI$7-1)</f>
        <v>65</v>
      </c>
      <c r="AJ17" s="116" t="n">
        <f aca="false">Inputs!$B$10*(1+Inputs!$B$11)^(AJ$7-1)</f>
        <v>65</v>
      </c>
      <c r="AK17" s="116" t="n">
        <f aca="false">Inputs!$B$10*(1+Inputs!$B$11)^(AK$7-1)</f>
        <v>65</v>
      </c>
      <c r="AL17" s="116" t="n">
        <f aca="false">Inputs!$B$10*(1+Inputs!$B$11)^(AL$7-1)</f>
        <v>65</v>
      </c>
      <c r="AM17" s="116" t="n">
        <f aca="false">Inputs!$B$10*(1+Inputs!$B$11)^(AM$7-1)</f>
        <v>65</v>
      </c>
      <c r="AN17" s="116" t="n">
        <f aca="false">Inputs!$B$10*(1+Inputs!$B$11)^(AN$7-1)</f>
        <v>65</v>
      </c>
      <c r="AO17" s="116" t="n">
        <f aca="false">Inputs!$B$10*(1+Inputs!$B$11)^(AO$7-1)</f>
        <v>65</v>
      </c>
      <c r="AP17" s="116" t="n">
        <f aca="false">Inputs!$B$10*(1+Inputs!$B$11)^(AP$7-1)</f>
        <v>65</v>
      </c>
      <c r="AQ17" s="116" t="n">
        <f aca="false">Inputs!$B$10*(1+Inputs!$B$11)^(AQ$7-1)</f>
        <v>65</v>
      </c>
      <c r="AR17" s="116" t="n">
        <f aca="false">Inputs!$B$10*(1+Inputs!$B$11)^(AR$7-1)</f>
        <v>65</v>
      </c>
      <c r="AS17" s="116" t="n">
        <f aca="false">Inputs!$B$10*(1+Inputs!$B$11)^(AS$7-1)</f>
        <v>65</v>
      </c>
      <c r="AT17" s="116" t="n">
        <f aca="false">Inputs!$B$10*(1+Inputs!$B$11)^(AT$7-1)</f>
        <v>65</v>
      </c>
      <c r="AU17" s="116" t="n">
        <f aca="false">Inputs!$B$10*(1+Inputs!$B$11)^(AU$7-1)</f>
        <v>65</v>
      </c>
      <c r="AV17" s="116" t="n">
        <f aca="false">Inputs!$B$10*(1+Inputs!$B$11)^(AV$7-1)</f>
        <v>65</v>
      </c>
      <c r="AW17" s="116" t="n">
        <f aca="false">Inputs!$B$10*(1+Inputs!$B$11)^(AW$7-1)</f>
        <v>65</v>
      </c>
      <c r="AX17" s="116" t="n">
        <f aca="false">Inputs!$B$10*(1+Inputs!$B$11)^(AX$7-1)</f>
        <v>65</v>
      </c>
      <c r="AY17" s="116" t="n">
        <f aca="false">Inputs!$B$10*(1+Inputs!$B$11)^(AY$7-1)</f>
        <v>65</v>
      </c>
      <c r="AZ17" s="116" t="n">
        <f aca="false">Inputs!$B$10*(1+Inputs!$B$11)^(AZ$7-1)</f>
        <v>65</v>
      </c>
      <c r="BA17" s="116" t="n">
        <f aca="false">Inputs!$B$10*(1+Inputs!$B$11)^(BA$7-1)</f>
        <v>65</v>
      </c>
      <c r="BB17" s="116" t="n">
        <f aca="false">Inputs!$B$10*(1+Inputs!$B$11)^(BB$7-1)</f>
        <v>65</v>
      </c>
      <c r="BC17" s="116" t="n">
        <f aca="false">Inputs!$B$10*(1+Inputs!$B$11)^(BC$7-1)</f>
        <v>65</v>
      </c>
      <c r="BD17" s="116" t="n">
        <f aca="false">Inputs!$B$10*(1+Inputs!$B$11)^(BD$7-1)</f>
        <v>65</v>
      </c>
      <c r="BE17" s="116" t="n">
        <f aca="false">Inputs!$B$10*(1+Inputs!$B$11)^(BE$7-1)</f>
        <v>65</v>
      </c>
      <c r="BF17" s="116" t="n">
        <f aca="false">Inputs!$B$10*(1+Inputs!$B$11)^(BF$7-1)</f>
        <v>65</v>
      </c>
      <c r="BG17" s="116" t="n">
        <f aca="false">Inputs!$B$10*(1+Inputs!$B$11)^(BG$7-1)</f>
        <v>65</v>
      </c>
      <c r="BH17" s="116" t="n">
        <f aca="false">Inputs!$B$10*(1+Inputs!$B$11)^(BH$7-1)</f>
        <v>65</v>
      </c>
      <c r="BI17" s="116" t="n">
        <f aca="false">Inputs!$B$10*(1+Inputs!$B$11)^(BI$7-1)</f>
        <v>65</v>
      </c>
      <c r="BJ17" s="116" t="n">
        <f aca="false">Inputs!$B$10*(1+Inputs!$B$11)^(BJ$7-1)</f>
        <v>65</v>
      </c>
    </row>
    <row r="18" customFormat="false" ht="15" hidden="false" customHeight="false" outlineLevel="0" collapsed="false">
      <c r="A18" s="4" t="s">
        <v>58</v>
      </c>
      <c r="C18" s="71" t="n">
        <f aca="false">C16*C17</f>
        <v>237590.888888889</v>
      </c>
      <c r="D18" s="71" t="n">
        <f aca="false">D16*D17</f>
        <v>237590.888888889</v>
      </c>
      <c r="E18" s="71" t="n">
        <f aca="false">E16*E17</f>
        <v>237590.888888889</v>
      </c>
      <c r="F18" s="71" t="n">
        <f aca="false">F16*F17</f>
        <v>237590.888888889</v>
      </c>
      <c r="G18" s="71" t="n">
        <f aca="false">G16*G17</f>
        <v>237590.888888889</v>
      </c>
      <c r="H18" s="71" t="n">
        <f aca="false">H16*H17</f>
        <v>237590.888888889</v>
      </c>
      <c r="I18" s="71" t="n">
        <f aca="false">I16*I17</f>
        <v>237590.888888889</v>
      </c>
      <c r="J18" s="71" t="n">
        <f aca="false">J16*J17</f>
        <v>237590.888888889</v>
      </c>
      <c r="K18" s="71" t="n">
        <f aca="false">K16*K17</f>
        <v>237590.888888889</v>
      </c>
      <c r="L18" s="71" t="n">
        <f aca="false">L16*L17</f>
        <v>237590.888888889</v>
      </c>
      <c r="M18" s="71" t="n">
        <f aca="false">M16*M17</f>
        <v>280178.888888889</v>
      </c>
      <c r="N18" s="71" t="n">
        <f aca="false">N16*N17</f>
        <v>280178.888888889</v>
      </c>
      <c r="O18" s="71" t="n">
        <f aca="false">O16*O17</f>
        <v>273988.866666667</v>
      </c>
      <c r="P18" s="71" t="n">
        <f aca="false">P16*P17</f>
        <v>273988.866666667</v>
      </c>
      <c r="Q18" s="71" t="n">
        <f aca="false">Q16*Q17</f>
        <v>273988.866666667</v>
      </c>
      <c r="R18" s="71" t="n">
        <f aca="false">R16*R17</f>
        <v>273988.866666667</v>
      </c>
      <c r="S18" s="71" t="n">
        <f aca="false">S16*S17</f>
        <v>273988.866666667</v>
      </c>
      <c r="T18" s="71" t="n">
        <f aca="false">T16*T17</f>
        <v>273988.866666667</v>
      </c>
      <c r="U18" s="71" t="n">
        <f aca="false">U16*U17</f>
        <v>273988.866666667</v>
      </c>
      <c r="V18" s="71" t="n">
        <f aca="false">V16*V17</f>
        <v>273988.866666667</v>
      </c>
      <c r="W18" s="71" t="n">
        <f aca="false">W16*W17</f>
        <v>273988.866666667</v>
      </c>
      <c r="X18" s="71" t="n">
        <f aca="false">X16*X17</f>
        <v>273988.866666667</v>
      </c>
      <c r="Y18" s="71" t="n">
        <f aca="false">Y16*Y17</f>
        <v>320835.666666667</v>
      </c>
      <c r="Z18" s="71" t="n">
        <f aca="false">Z16*Z17</f>
        <v>320835.666666667</v>
      </c>
      <c r="AA18" s="71" t="n">
        <f aca="false">AA16*AA17</f>
        <v>316554.42</v>
      </c>
      <c r="AB18" s="71" t="n">
        <f aca="false">AB16*AB17</f>
        <v>316554.42</v>
      </c>
      <c r="AC18" s="71" t="n">
        <f aca="false">AC16*AC17</f>
        <v>316554.42</v>
      </c>
      <c r="AD18" s="71" t="n">
        <f aca="false">AD16*AD17</f>
        <v>316554.42</v>
      </c>
      <c r="AE18" s="71" t="n">
        <f aca="false">AE16*AE17</f>
        <v>316554.42</v>
      </c>
      <c r="AF18" s="71" t="n">
        <f aca="false">AF16*AF17</f>
        <v>316554.42</v>
      </c>
      <c r="AG18" s="71" t="n">
        <f aca="false">AG16*AG17</f>
        <v>316554.42</v>
      </c>
      <c r="AH18" s="71" t="n">
        <f aca="false">AH16*AH17</f>
        <v>316554.42</v>
      </c>
      <c r="AI18" s="71" t="n">
        <f aca="false">AI16*AI17</f>
        <v>316554.42</v>
      </c>
      <c r="AJ18" s="71" t="n">
        <f aca="false">AJ16*AJ17</f>
        <v>316554.42</v>
      </c>
      <c r="AK18" s="71" t="n">
        <f aca="false">AK16*AK17</f>
        <v>368085.9</v>
      </c>
      <c r="AL18" s="71" t="n">
        <f aca="false">AL16*AL17</f>
        <v>368085.9</v>
      </c>
      <c r="AM18" s="71" t="n">
        <f aca="false">AM16*AM17</f>
        <v>366409.862</v>
      </c>
      <c r="AN18" s="71" t="n">
        <f aca="false">AN16*AN17</f>
        <v>366409.862</v>
      </c>
      <c r="AO18" s="71" t="n">
        <f aca="false">AO16*AO17</f>
        <v>366409.862</v>
      </c>
      <c r="AP18" s="71" t="n">
        <f aca="false">AP16*AP17</f>
        <v>366409.862</v>
      </c>
      <c r="AQ18" s="71" t="n">
        <f aca="false">AQ16*AQ17</f>
        <v>366409.862</v>
      </c>
      <c r="AR18" s="71" t="n">
        <f aca="false">AR16*AR17</f>
        <v>366409.862</v>
      </c>
      <c r="AS18" s="71" t="n">
        <f aca="false">AS16*AS17</f>
        <v>366409.862</v>
      </c>
      <c r="AT18" s="71" t="n">
        <f aca="false">AT16*AT17</f>
        <v>366409.862</v>
      </c>
      <c r="AU18" s="71" t="n">
        <f aca="false">AU16*AU17</f>
        <v>366409.862</v>
      </c>
      <c r="AV18" s="71" t="n">
        <f aca="false">AV16*AV17</f>
        <v>366409.862</v>
      </c>
      <c r="AW18" s="71" t="n">
        <f aca="false">AW16*AW17</f>
        <v>423094.49</v>
      </c>
      <c r="AX18" s="71" t="n">
        <f aca="false">AX16*AX17</f>
        <v>423094.49</v>
      </c>
      <c r="AY18" s="71" t="n">
        <f aca="false">AY16*AY17</f>
        <v>424890.8482</v>
      </c>
      <c r="AZ18" s="71" t="n">
        <f aca="false">AZ16*AZ17</f>
        <v>424890.8482</v>
      </c>
      <c r="BA18" s="71" t="n">
        <f aca="false">BA16*BA17</f>
        <v>424890.8482</v>
      </c>
      <c r="BB18" s="71" t="n">
        <f aca="false">BB16*BB17</f>
        <v>424890.8482</v>
      </c>
      <c r="BC18" s="71" t="n">
        <f aca="false">BC16*BC17</f>
        <v>424890.8482</v>
      </c>
      <c r="BD18" s="71" t="n">
        <f aca="false">BD16*BD17</f>
        <v>424890.8482</v>
      </c>
      <c r="BE18" s="71" t="n">
        <f aca="false">BE16*BE17</f>
        <v>424890.8482</v>
      </c>
      <c r="BF18" s="71" t="n">
        <f aca="false">BF16*BF17</f>
        <v>424890.8482</v>
      </c>
      <c r="BG18" s="71" t="n">
        <f aca="false">BG16*BG17</f>
        <v>424890.8482</v>
      </c>
      <c r="BH18" s="71" t="n">
        <f aca="false">BH16*BH17</f>
        <v>424890.8482</v>
      </c>
      <c r="BI18" s="71" t="n">
        <f aca="false">BI16*BI17</f>
        <v>487243.939</v>
      </c>
      <c r="BJ18" s="71" t="n">
        <f aca="false">BJ16*BJ17</f>
        <v>487243.939</v>
      </c>
    </row>
    <row r="20" customFormat="false" ht="15.75" hidden="false" customHeight="true" outlineLevel="0" collapsed="false">
      <c r="A20" s="7" t="s">
        <v>264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customFormat="false" ht="15" hidden="false" customHeight="false" outlineLevel="0" collapsed="false">
      <c r="A21" s="6" t="s">
        <v>414</v>
      </c>
      <c r="C21" s="113" t="n">
        <f aca="false">Inputs!$B$18+Inputs!$B$19*(C$7-1)</f>
        <v>2</v>
      </c>
      <c r="D21" s="113" t="n">
        <f aca="false">Inputs!$B$18+Inputs!$B$19*(D$7-1)</f>
        <v>2</v>
      </c>
      <c r="E21" s="113" t="n">
        <f aca="false">Inputs!$B$18+Inputs!$B$19*(E$7-1)</f>
        <v>2</v>
      </c>
      <c r="F21" s="113" t="n">
        <f aca="false">Inputs!$B$18+Inputs!$B$19*(F$7-1)</f>
        <v>2</v>
      </c>
      <c r="G21" s="113" t="n">
        <f aca="false">Inputs!$B$18+Inputs!$B$19*(G$7-1)</f>
        <v>2</v>
      </c>
      <c r="H21" s="113" t="n">
        <f aca="false">Inputs!$B$18+Inputs!$B$19*(H$7-1)</f>
        <v>2</v>
      </c>
      <c r="I21" s="113" t="n">
        <f aca="false">Inputs!$B$18+Inputs!$B$19*(I$7-1)</f>
        <v>2</v>
      </c>
      <c r="J21" s="113" t="n">
        <f aca="false">Inputs!$B$18+Inputs!$B$19*(J$7-1)</f>
        <v>2</v>
      </c>
      <c r="K21" s="113" t="n">
        <f aca="false">Inputs!$B$18+Inputs!$B$19*(K$7-1)</f>
        <v>2</v>
      </c>
      <c r="L21" s="113" t="n">
        <f aca="false">Inputs!$B$18+Inputs!$B$19*(L$7-1)</f>
        <v>2</v>
      </c>
      <c r="M21" s="113" t="n">
        <f aca="false">Inputs!$B$18+Inputs!$B$19*(M$7-1)</f>
        <v>2</v>
      </c>
      <c r="N21" s="113" t="n">
        <f aca="false">Inputs!$B$18+Inputs!$B$19*(N$7-1)</f>
        <v>2</v>
      </c>
      <c r="O21" s="113" t="n">
        <f aca="false">Inputs!$B$18+Inputs!$B$19*(O$7-1)</f>
        <v>3</v>
      </c>
      <c r="P21" s="113" t="n">
        <f aca="false">Inputs!$B$18+Inputs!$B$19*(P$7-1)</f>
        <v>3</v>
      </c>
      <c r="Q21" s="113" t="n">
        <f aca="false">Inputs!$B$18+Inputs!$B$19*(Q$7-1)</f>
        <v>3</v>
      </c>
      <c r="R21" s="113" t="n">
        <f aca="false">Inputs!$B$18+Inputs!$B$19*(R$7-1)</f>
        <v>3</v>
      </c>
      <c r="S21" s="113" t="n">
        <f aca="false">Inputs!$B$18+Inputs!$B$19*(S$7-1)</f>
        <v>3</v>
      </c>
      <c r="T21" s="113" t="n">
        <f aca="false">Inputs!$B$18+Inputs!$B$19*(T$7-1)</f>
        <v>3</v>
      </c>
      <c r="U21" s="113" t="n">
        <f aca="false">Inputs!$B$18+Inputs!$B$19*(U$7-1)</f>
        <v>3</v>
      </c>
      <c r="V21" s="113" t="n">
        <f aca="false">Inputs!$B$18+Inputs!$B$19*(V$7-1)</f>
        <v>3</v>
      </c>
      <c r="W21" s="113" t="n">
        <f aca="false">Inputs!$B$18+Inputs!$B$19*(W$7-1)</f>
        <v>3</v>
      </c>
      <c r="X21" s="113" t="n">
        <f aca="false">Inputs!$B$18+Inputs!$B$19*(X$7-1)</f>
        <v>3</v>
      </c>
      <c r="Y21" s="113" t="n">
        <f aca="false">Inputs!$B$18+Inputs!$B$19*(Y$7-1)</f>
        <v>3</v>
      </c>
      <c r="Z21" s="113" t="n">
        <f aca="false">Inputs!$B$18+Inputs!$B$19*(Z$7-1)</f>
        <v>3</v>
      </c>
      <c r="AA21" s="113" t="n">
        <f aca="false">Inputs!$B$18+Inputs!$B$19*(AA$7-1)</f>
        <v>4</v>
      </c>
      <c r="AB21" s="113" t="n">
        <f aca="false">Inputs!$B$18+Inputs!$B$19*(AB$7-1)</f>
        <v>4</v>
      </c>
      <c r="AC21" s="113" t="n">
        <f aca="false">Inputs!$B$18+Inputs!$B$19*(AC$7-1)</f>
        <v>4</v>
      </c>
      <c r="AD21" s="113" t="n">
        <f aca="false">Inputs!$B$18+Inputs!$B$19*(AD$7-1)</f>
        <v>4</v>
      </c>
      <c r="AE21" s="113" t="n">
        <f aca="false">Inputs!$B$18+Inputs!$B$19*(AE$7-1)</f>
        <v>4</v>
      </c>
      <c r="AF21" s="113" t="n">
        <f aca="false">Inputs!$B$18+Inputs!$B$19*(AF$7-1)</f>
        <v>4</v>
      </c>
      <c r="AG21" s="113" t="n">
        <f aca="false">Inputs!$B$18+Inputs!$B$19*(AG$7-1)</f>
        <v>4</v>
      </c>
      <c r="AH21" s="113" t="n">
        <f aca="false">Inputs!$B$18+Inputs!$B$19*(AH$7-1)</f>
        <v>4</v>
      </c>
      <c r="AI21" s="113" t="n">
        <f aca="false">Inputs!$B$18+Inputs!$B$19*(AI$7-1)</f>
        <v>4</v>
      </c>
      <c r="AJ21" s="113" t="n">
        <f aca="false">Inputs!$B$18+Inputs!$B$19*(AJ$7-1)</f>
        <v>4</v>
      </c>
      <c r="AK21" s="113" t="n">
        <f aca="false">Inputs!$B$18+Inputs!$B$19*(AK$7-1)</f>
        <v>4</v>
      </c>
      <c r="AL21" s="113" t="n">
        <f aca="false">Inputs!$B$18+Inputs!$B$19*(AL$7-1)</f>
        <v>4</v>
      </c>
      <c r="AM21" s="113" t="n">
        <f aca="false">Inputs!$B$18+Inputs!$B$19*(AM$7-1)</f>
        <v>5</v>
      </c>
      <c r="AN21" s="113" t="n">
        <f aca="false">Inputs!$B$18+Inputs!$B$19*(AN$7-1)</f>
        <v>5</v>
      </c>
      <c r="AO21" s="113" t="n">
        <f aca="false">Inputs!$B$18+Inputs!$B$19*(AO$7-1)</f>
        <v>5</v>
      </c>
      <c r="AP21" s="113" t="n">
        <f aca="false">Inputs!$B$18+Inputs!$B$19*(AP$7-1)</f>
        <v>5</v>
      </c>
      <c r="AQ21" s="113" t="n">
        <f aca="false">Inputs!$B$18+Inputs!$B$19*(AQ$7-1)</f>
        <v>5</v>
      </c>
      <c r="AR21" s="113" t="n">
        <f aca="false">Inputs!$B$18+Inputs!$B$19*(AR$7-1)</f>
        <v>5</v>
      </c>
      <c r="AS21" s="113" t="n">
        <f aca="false">Inputs!$B$18+Inputs!$B$19*(AS$7-1)</f>
        <v>5</v>
      </c>
      <c r="AT21" s="113" t="n">
        <f aca="false">Inputs!$B$18+Inputs!$B$19*(AT$7-1)</f>
        <v>5</v>
      </c>
      <c r="AU21" s="113" t="n">
        <f aca="false">Inputs!$B$18+Inputs!$B$19*(AU$7-1)</f>
        <v>5</v>
      </c>
      <c r="AV21" s="113" t="n">
        <f aca="false">Inputs!$B$18+Inputs!$B$19*(AV$7-1)</f>
        <v>5</v>
      </c>
      <c r="AW21" s="113" t="n">
        <f aca="false">Inputs!$B$18+Inputs!$B$19*(AW$7-1)</f>
        <v>5</v>
      </c>
      <c r="AX21" s="113" t="n">
        <f aca="false">Inputs!$B$18+Inputs!$B$19*(AX$7-1)</f>
        <v>5</v>
      </c>
      <c r="AY21" s="113" t="n">
        <f aca="false">Inputs!$B$18+Inputs!$B$19*(AY$7-1)</f>
        <v>6</v>
      </c>
      <c r="AZ21" s="113" t="n">
        <f aca="false">Inputs!$B$18+Inputs!$B$19*(AZ$7-1)</f>
        <v>6</v>
      </c>
      <c r="BA21" s="113" t="n">
        <f aca="false">Inputs!$B$18+Inputs!$B$19*(BA$7-1)</f>
        <v>6</v>
      </c>
      <c r="BB21" s="113" t="n">
        <f aca="false">Inputs!$B$18+Inputs!$B$19*(BB$7-1)</f>
        <v>6</v>
      </c>
      <c r="BC21" s="113" t="n">
        <f aca="false">Inputs!$B$18+Inputs!$B$19*(BC$7-1)</f>
        <v>6</v>
      </c>
      <c r="BD21" s="113" t="n">
        <f aca="false">Inputs!$B$18+Inputs!$B$19*(BD$7-1)</f>
        <v>6</v>
      </c>
      <c r="BE21" s="113" t="n">
        <f aca="false">Inputs!$B$18+Inputs!$B$19*(BE$7-1)</f>
        <v>6</v>
      </c>
      <c r="BF21" s="113" t="n">
        <f aca="false">Inputs!$B$18+Inputs!$B$19*(BF$7-1)</f>
        <v>6</v>
      </c>
      <c r="BG21" s="113" t="n">
        <f aca="false">Inputs!$B$18+Inputs!$B$19*(BG$7-1)</f>
        <v>6</v>
      </c>
      <c r="BH21" s="113" t="n">
        <f aca="false">Inputs!$B$18+Inputs!$B$19*(BH$7-1)</f>
        <v>6</v>
      </c>
      <c r="BI21" s="113" t="n">
        <f aca="false">Inputs!$B$18+Inputs!$B$19*(BI$7-1)</f>
        <v>6</v>
      </c>
      <c r="BJ21" s="113" t="n">
        <f aca="false">Inputs!$B$18+Inputs!$B$19*(BJ$7-1)</f>
        <v>6</v>
      </c>
    </row>
    <row r="22" customFormat="false" ht="15" hidden="false" customHeight="false" outlineLevel="0" collapsed="false">
      <c r="A22" s="4" t="s">
        <v>59</v>
      </c>
      <c r="C22" s="71" t="n">
        <f aca="false">C21*Inputs!$B$20*Inputs!$B$21*(1+Inputs!$B$22)^(C$7-1)/12*1*C10</f>
        <v>70500</v>
      </c>
      <c r="D22" s="71" t="n">
        <f aca="false">D21*Inputs!$B$20*Inputs!$B$21*(1+Inputs!$B$22)^(D$7-1)/12*1*D10</f>
        <v>70500</v>
      </c>
      <c r="E22" s="71" t="n">
        <f aca="false">E21*Inputs!$B$20*Inputs!$B$21*(1+Inputs!$B$22)^(E$7-1)/12*1*E10</f>
        <v>70500</v>
      </c>
      <c r="F22" s="71" t="n">
        <f aca="false">F21*Inputs!$B$20*Inputs!$B$21*(1+Inputs!$B$22)^(F$7-1)/12*1*F10</f>
        <v>70500</v>
      </c>
      <c r="G22" s="71" t="n">
        <f aca="false">G21*Inputs!$B$20*Inputs!$B$21*(1+Inputs!$B$22)^(G$7-1)/12*1*G10</f>
        <v>70500</v>
      </c>
      <c r="H22" s="71" t="n">
        <f aca="false">H21*Inputs!$B$20*Inputs!$B$21*(1+Inputs!$B$22)^(H$7-1)/12*1*H10</f>
        <v>70500</v>
      </c>
      <c r="I22" s="71" t="n">
        <f aca="false">I21*Inputs!$B$20*Inputs!$B$21*(1+Inputs!$B$22)^(I$7-1)/12*1*I10</f>
        <v>70500</v>
      </c>
      <c r="J22" s="71" t="n">
        <f aca="false">J21*Inputs!$B$20*Inputs!$B$21*(1+Inputs!$B$22)^(J$7-1)/12*1*J10</f>
        <v>70500</v>
      </c>
      <c r="K22" s="71" t="n">
        <f aca="false">K21*Inputs!$B$20*Inputs!$B$21*(1+Inputs!$B$22)^(K$7-1)/12*1*K10</f>
        <v>70500</v>
      </c>
      <c r="L22" s="71" t="n">
        <f aca="false">L21*Inputs!$B$20*Inputs!$B$21*(1+Inputs!$B$22)^(L$7-1)/12*1*L10</f>
        <v>70500</v>
      </c>
      <c r="M22" s="71" t="n">
        <f aca="false">M21*Inputs!$B$20*Inputs!$B$21*(1+Inputs!$B$22)^(M$7-1)/12*1*M10</f>
        <v>97500</v>
      </c>
      <c r="N22" s="71" t="n">
        <f aca="false">N21*Inputs!$B$20*Inputs!$B$21*(1+Inputs!$B$22)^(N$7-1)/12*1*N10</f>
        <v>97500</v>
      </c>
      <c r="O22" s="71" t="n">
        <f aca="false">O21*Inputs!$B$20*Inputs!$B$21*(1+Inputs!$B$22)^(O$7-1)/12*1*O10</f>
        <v>105750</v>
      </c>
      <c r="P22" s="71" t="n">
        <f aca="false">P21*Inputs!$B$20*Inputs!$B$21*(1+Inputs!$B$22)^(P$7-1)/12*1*P10</f>
        <v>105750</v>
      </c>
      <c r="Q22" s="71" t="n">
        <f aca="false">Q21*Inputs!$B$20*Inputs!$B$21*(1+Inputs!$B$22)^(Q$7-1)/12*1*Q10</f>
        <v>105750</v>
      </c>
      <c r="R22" s="71" t="n">
        <f aca="false">R21*Inputs!$B$20*Inputs!$B$21*(1+Inputs!$B$22)^(R$7-1)/12*1*R10</f>
        <v>105750</v>
      </c>
      <c r="S22" s="71" t="n">
        <f aca="false">S21*Inputs!$B$20*Inputs!$B$21*(1+Inputs!$B$22)^(S$7-1)/12*1*S10</f>
        <v>105750</v>
      </c>
      <c r="T22" s="71" t="n">
        <f aca="false">T21*Inputs!$B$20*Inputs!$B$21*(1+Inputs!$B$22)^(T$7-1)/12*1*T10</f>
        <v>105750</v>
      </c>
      <c r="U22" s="71" t="n">
        <f aca="false">U21*Inputs!$B$20*Inputs!$B$21*(1+Inputs!$B$22)^(U$7-1)/12*1*U10</f>
        <v>105750</v>
      </c>
      <c r="V22" s="71" t="n">
        <f aca="false">V21*Inputs!$B$20*Inputs!$B$21*(1+Inputs!$B$22)^(V$7-1)/12*1*V10</f>
        <v>105750</v>
      </c>
      <c r="W22" s="71" t="n">
        <f aca="false">W21*Inputs!$B$20*Inputs!$B$21*(1+Inputs!$B$22)^(W$7-1)/12*1*W10</f>
        <v>105750</v>
      </c>
      <c r="X22" s="71" t="n">
        <f aca="false">X21*Inputs!$B$20*Inputs!$B$21*(1+Inputs!$B$22)^(X$7-1)/12*1*X10</f>
        <v>105750</v>
      </c>
      <c r="Y22" s="71" t="n">
        <f aca="false">Y21*Inputs!$B$20*Inputs!$B$21*(1+Inputs!$B$22)^(Y$7-1)/12*1*Y10</f>
        <v>146250</v>
      </c>
      <c r="Z22" s="71" t="n">
        <f aca="false">Z21*Inputs!$B$20*Inputs!$B$21*(1+Inputs!$B$22)^(Z$7-1)/12*1*Z10</f>
        <v>146250</v>
      </c>
      <c r="AA22" s="71" t="n">
        <f aca="false">AA21*Inputs!$B$20*Inputs!$B$21*(1+Inputs!$B$22)^(AA$7-1)/12*1*AA10</f>
        <v>141000</v>
      </c>
      <c r="AB22" s="71" t="n">
        <f aca="false">AB21*Inputs!$B$20*Inputs!$B$21*(1+Inputs!$B$22)^(AB$7-1)/12*1*AB10</f>
        <v>141000</v>
      </c>
      <c r="AC22" s="71" t="n">
        <f aca="false">AC21*Inputs!$B$20*Inputs!$B$21*(1+Inputs!$B$22)^(AC$7-1)/12*1*AC10</f>
        <v>141000</v>
      </c>
      <c r="AD22" s="71" t="n">
        <f aca="false">AD21*Inputs!$B$20*Inputs!$B$21*(1+Inputs!$B$22)^(AD$7-1)/12*1*AD10</f>
        <v>141000</v>
      </c>
      <c r="AE22" s="71" t="n">
        <f aca="false">AE21*Inputs!$B$20*Inputs!$B$21*(1+Inputs!$B$22)^(AE$7-1)/12*1*AE10</f>
        <v>141000</v>
      </c>
      <c r="AF22" s="71" t="n">
        <f aca="false">AF21*Inputs!$B$20*Inputs!$B$21*(1+Inputs!$B$22)^(AF$7-1)/12*1*AF10</f>
        <v>141000</v>
      </c>
      <c r="AG22" s="71" t="n">
        <f aca="false">AG21*Inputs!$B$20*Inputs!$B$21*(1+Inputs!$B$22)^(AG$7-1)/12*1*AG10</f>
        <v>141000</v>
      </c>
      <c r="AH22" s="71" t="n">
        <f aca="false">AH21*Inputs!$B$20*Inputs!$B$21*(1+Inputs!$B$22)^(AH$7-1)/12*1*AH10</f>
        <v>141000</v>
      </c>
      <c r="AI22" s="71" t="n">
        <f aca="false">AI21*Inputs!$B$20*Inputs!$B$21*(1+Inputs!$B$22)^(AI$7-1)/12*1*AI10</f>
        <v>141000</v>
      </c>
      <c r="AJ22" s="71" t="n">
        <f aca="false">AJ21*Inputs!$B$20*Inputs!$B$21*(1+Inputs!$B$22)^(AJ$7-1)/12*1*AJ10</f>
        <v>141000</v>
      </c>
      <c r="AK22" s="71" t="n">
        <f aca="false">AK21*Inputs!$B$20*Inputs!$B$21*(1+Inputs!$B$22)^(AK$7-1)/12*1*AK10</f>
        <v>195000</v>
      </c>
      <c r="AL22" s="71" t="n">
        <f aca="false">AL21*Inputs!$B$20*Inputs!$B$21*(1+Inputs!$B$22)^(AL$7-1)/12*1*AL10</f>
        <v>195000</v>
      </c>
      <c r="AM22" s="71" t="n">
        <f aca="false">AM21*Inputs!$B$20*Inputs!$B$21*(1+Inputs!$B$22)^(AM$7-1)/12*1*AM10</f>
        <v>176250</v>
      </c>
      <c r="AN22" s="71" t="n">
        <f aca="false">AN21*Inputs!$B$20*Inputs!$B$21*(1+Inputs!$B$22)^(AN$7-1)/12*1*AN10</f>
        <v>176250</v>
      </c>
      <c r="AO22" s="71" t="n">
        <f aca="false">AO21*Inputs!$B$20*Inputs!$B$21*(1+Inputs!$B$22)^(AO$7-1)/12*1*AO10</f>
        <v>176250</v>
      </c>
      <c r="AP22" s="71" t="n">
        <f aca="false">AP21*Inputs!$B$20*Inputs!$B$21*(1+Inputs!$B$22)^(AP$7-1)/12*1*AP10</f>
        <v>176250</v>
      </c>
      <c r="AQ22" s="71" t="n">
        <f aca="false">AQ21*Inputs!$B$20*Inputs!$B$21*(1+Inputs!$B$22)^(AQ$7-1)/12*1*AQ10</f>
        <v>176250</v>
      </c>
      <c r="AR22" s="71" t="n">
        <f aca="false">AR21*Inputs!$B$20*Inputs!$B$21*(1+Inputs!$B$22)^(AR$7-1)/12*1*AR10</f>
        <v>176250</v>
      </c>
      <c r="AS22" s="71" t="n">
        <f aca="false">AS21*Inputs!$B$20*Inputs!$B$21*(1+Inputs!$B$22)^(AS$7-1)/12*1*AS10</f>
        <v>176250</v>
      </c>
      <c r="AT22" s="71" t="n">
        <f aca="false">AT21*Inputs!$B$20*Inputs!$B$21*(1+Inputs!$B$22)^(AT$7-1)/12*1*AT10</f>
        <v>176250</v>
      </c>
      <c r="AU22" s="71" t="n">
        <f aca="false">AU21*Inputs!$B$20*Inputs!$B$21*(1+Inputs!$B$22)^(AU$7-1)/12*1*AU10</f>
        <v>176250</v>
      </c>
      <c r="AV22" s="71" t="n">
        <f aca="false">AV21*Inputs!$B$20*Inputs!$B$21*(1+Inputs!$B$22)^(AV$7-1)/12*1*AV10</f>
        <v>176250</v>
      </c>
      <c r="AW22" s="71" t="n">
        <f aca="false">AW21*Inputs!$B$20*Inputs!$B$21*(1+Inputs!$B$22)^(AW$7-1)/12*1*AW10</f>
        <v>243750</v>
      </c>
      <c r="AX22" s="71" t="n">
        <f aca="false">AX21*Inputs!$B$20*Inputs!$B$21*(1+Inputs!$B$22)^(AX$7-1)/12*1*AX10</f>
        <v>243750</v>
      </c>
      <c r="AY22" s="71" t="n">
        <f aca="false">AY21*Inputs!$B$20*Inputs!$B$21*(1+Inputs!$B$22)^(AY$7-1)/12*1*AY10</f>
        <v>211500</v>
      </c>
      <c r="AZ22" s="71" t="n">
        <f aca="false">AZ21*Inputs!$B$20*Inputs!$B$21*(1+Inputs!$B$22)^(AZ$7-1)/12*1*AZ10</f>
        <v>211500</v>
      </c>
      <c r="BA22" s="71" t="n">
        <f aca="false">BA21*Inputs!$B$20*Inputs!$B$21*(1+Inputs!$B$22)^(BA$7-1)/12*1*BA10</f>
        <v>211500</v>
      </c>
      <c r="BB22" s="71" t="n">
        <f aca="false">BB21*Inputs!$B$20*Inputs!$B$21*(1+Inputs!$B$22)^(BB$7-1)/12*1*BB10</f>
        <v>211500</v>
      </c>
      <c r="BC22" s="71" t="n">
        <f aca="false">BC21*Inputs!$B$20*Inputs!$B$21*(1+Inputs!$B$22)^(BC$7-1)/12*1*BC10</f>
        <v>211500</v>
      </c>
      <c r="BD22" s="71" t="n">
        <f aca="false">BD21*Inputs!$B$20*Inputs!$B$21*(1+Inputs!$B$22)^(BD$7-1)/12*1*BD10</f>
        <v>211500</v>
      </c>
      <c r="BE22" s="71" t="n">
        <f aca="false">BE21*Inputs!$B$20*Inputs!$B$21*(1+Inputs!$B$22)^(BE$7-1)/12*1*BE10</f>
        <v>211500</v>
      </c>
      <c r="BF22" s="71" t="n">
        <f aca="false">BF21*Inputs!$B$20*Inputs!$B$21*(1+Inputs!$B$22)^(BF$7-1)/12*1*BF10</f>
        <v>211500</v>
      </c>
      <c r="BG22" s="71" t="n">
        <f aca="false">BG21*Inputs!$B$20*Inputs!$B$21*(1+Inputs!$B$22)^(BG$7-1)/12*1*BG10</f>
        <v>211500</v>
      </c>
      <c r="BH22" s="71" t="n">
        <f aca="false">BH21*Inputs!$B$20*Inputs!$B$21*(1+Inputs!$B$22)^(BH$7-1)/12*1*BH10</f>
        <v>211500</v>
      </c>
      <c r="BI22" s="71" t="n">
        <f aca="false">BI21*Inputs!$B$20*Inputs!$B$21*(1+Inputs!$B$22)^(BI$7-1)/12*1*BI10</f>
        <v>292500</v>
      </c>
      <c r="BJ22" s="71" t="n">
        <f aca="false">BJ21*Inputs!$B$20*Inputs!$B$21*(1+Inputs!$B$22)^(BJ$7-1)/12*1*BJ10</f>
        <v>292500</v>
      </c>
    </row>
    <row r="24" customFormat="false" ht="15.75" hidden="false" customHeight="true" outlineLevel="0" collapsed="false">
      <c r="A24" s="7" t="s">
        <v>415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110" t="s">
        <v>416</v>
      </c>
      <c r="C25" s="66" t="n">
        <f aca="false">C18+C22</f>
        <v>308090.888888889</v>
      </c>
      <c r="D25" s="66" t="n">
        <f aca="false">D18+D22</f>
        <v>308090.888888889</v>
      </c>
      <c r="E25" s="66" t="n">
        <f aca="false">E18+E22</f>
        <v>308090.888888889</v>
      </c>
      <c r="F25" s="66" t="n">
        <f aca="false">F18+F22</f>
        <v>308090.888888889</v>
      </c>
      <c r="G25" s="66" t="n">
        <f aca="false">G18+G22</f>
        <v>308090.888888889</v>
      </c>
      <c r="H25" s="66" t="n">
        <f aca="false">H18+H22</f>
        <v>308090.888888889</v>
      </c>
      <c r="I25" s="66" t="n">
        <f aca="false">I18+I22</f>
        <v>308090.888888889</v>
      </c>
      <c r="J25" s="66" t="n">
        <f aca="false">J18+J22</f>
        <v>308090.888888889</v>
      </c>
      <c r="K25" s="66" t="n">
        <f aca="false">K18+K22</f>
        <v>308090.888888889</v>
      </c>
      <c r="L25" s="66" t="n">
        <f aca="false">L18+L22</f>
        <v>308090.888888889</v>
      </c>
      <c r="M25" s="66" t="n">
        <f aca="false">M18+M22</f>
        <v>377678.888888889</v>
      </c>
      <c r="N25" s="66" t="n">
        <f aca="false">N18+N22</f>
        <v>377678.888888889</v>
      </c>
      <c r="O25" s="66" t="n">
        <f aca="false">O18+O22</f>
        <v>379738.866666667</v>
      </c>
      <c r="P25" s="66" t="n">
        <f aca="false">P18+P22</f>
        <v>379738.866666667</v>
      </c>
      <c r="Q25" s="66" t="n">
        <f aca="false">Q18+Q22</f>
        <v>379738.866666667</v>
      </c>
      <c r="R25" s="66" t="n">
        <f aca="false">R18+R22</f>
        <v>379738.866666667</v>
      </c>
      <c r="S25" s="66" t="n">
        <f aca="false">S18+S22</f>
        <v>379738.866666667</v>
      </c>
      <c r="T25" s="66" t="n">
        <f aca="false">T18+T22</f>
        <v>379738.866666667</v>
      </c>
      <c r="U25" s="66" t="n">
        <f aca="false">U18+U22</f>
        <v>379738.866666667</v>
      </c>
      <c r="V25" s="66" t="n">
        <f aca="false">V18+V22</f>
        <v>379738.866666667</v>
      </c>
      <c r="W25" s="66" t="n">
        <f aca="false">W18+W22</f>
        <v>379738.866666667</v>
      </c>
      <c r="X25" s="66" t="n">
        <f aca="false">X18+X22</f>
        <v>379738.866666667</v>
      </c>
      <c r="Y25" s="66" t="n">
        <f aca="false">Y18+Y22</f>
        <v>467085.666666667</v>
      </c>
      <c r="Z25" s="66" t="n">
        <f aca="false">Z18+Z22</f>
        <v>467085.666666667</v>
      </c>
      <c r="AA25" s="66" t="n">
        <f aca="false">AA18+AA22</f>
        <v>457554.42</v>
      </c>
      <c r="AB25" s="66" t="n">
        <f aca="false">AB18+AB22</f>
        <v>457554.42</v>
      </c>
      <c r="AC25" s="66" t="n">
        <f aca="false">AC18+AC22</f>
        <v>457554.42</v>
      </c>
      <c r="AD25" s="66" t="n">
        <f aca="false">AD18+AD22</f>
        <v>457554.42</v>
      </c>
      <c r="AE25" s="66" t="n">
        <f aca="false">AE18+AE22</f>
        <v>457554.42</v>
      </c>
      <c r="AF25" s="66" t="n">
        <f aca="false">AF18+AF22</f>
        <v>457554.42</v>
      </c>
      <c r="AG25" s="66" t="n">
        <f aca="false">AG18+AG22</f>
        <v>457554.42</v>
      </c>
      <c r="AH25" s="66" t="n">
        <f aca="false">AH18+AH22</f>
        <v>457554.42</v>
      </c>
      <c r="AI25" s="66" t="n">
        <f aca="false">AI18+AI22</f>
        <v>457554.42</v>
      </c>
      <c r="AJ25" s="66" t="n">
        <f aca="false">AJ18+AJ22</f>
        <v>457554.42</v>
      </c>
      <c r="AK25" s="66" t="n">
        <f aca="false">AK18+AK22</f>
        <v>563085.9</v>
      </c>
      <c r="AL25" s="66" t="n">
        <f aca="false">AL18+AL22</f>
        <v>563085.9</v>
      </c>
      <c r="AM25" s="66" t="n">
        <f aca="false">AM18+AM22</f>
        <v>542659.862</v>
      </c>
      <c r="AN25" s="66" t="n">
        <f aca="false">AN18+AN22</f>
        <v>542659.862</v>
      </c>
      <c r="AO25" s="66" t="n">
        <f aca="false">AO18+AO22</f>
        <v>542659.862</v>
      </c>
      <c r="AP25" s="66" t="n">
        <f aca="false">AP18+AP22</f>
        <v>542659.862</v>
      </c>
      <c r="AQ25" s="66" t="n">
        <f aca="false">AQ18+AQ22</f>
        <v>542659.862</v>
      </c>
      <c r="AR25" s="66" t="n">
        <f aca="false">AR18+AR22</f>
        <v>542659.862</v>
      </c>
      <c r="AS25" s="66" t="n">
        <f aca="false">AS18+AS22</f>
        <v>542659.862</v>
      </c>
      <c r="AT25" s="66" t="n">
        <f aca="false">AT18+AT22</f>
        <v>542659.862</v>
      </c>
      <c r="AU25" s="66" t="n">
        <f aca="false">AU18+AU22</f>
        <v>542659.862</v>
      </c>
      <c r="AV25" s="66" t="n">
        <f aca="false">AV18+AV22</f>
        <v>542659.862</v>
      </c>
      <c r="AW25" s="66" t="n">
        <f aca="false">AW18+AW22</f>
        <v>666844.49</v>
      </c>
      <c r="AX25" s="66" t="n">
        <f aca="false">AX18+AX22</f>
        <v>666844.49</v>
      </c>
      <c r="AY25" s="66" t="n">
        <f aca="false">AY18+AY22</f>
        <v>636390.8482</v>
      </c>
      <c r="AZ25" s="66" t="n">
        <f aca="false">AZ18+AZ22</f>
        <v>636390.8482</v>
      </c>
      <c r="BA25" s="66" t="n">
        <f aca="false">BA18+BA22</f>
        <v>636390.8482</v>
      </c>
      <c r="BB25" s="66" t="n">
        <f aca="false">BB18+BB22</f>
        <v>636390.8482</v>
      </c>
      <c r="BC25" s="66" t="n">
        <f aca="false">BC18+BC22</f>
        <v>636390.8482</v>
      </c>
      <c r="BD25" s="66" t="n">
        <f aca="false">BD18+BD22</f>
        <v>636390.8482</v>
      </c>
      <c r="BE25" s="66" t="n">
        <f aca="false">BE18+BE22</f>
        <v>636390.8482</v>
      </c>
      <c r="BF25" s="66" t="n">
        <f aca="false">BF18+BF22</f>
        <v>636390.8482</v>
      </c>
      <c r="BG25" s="66" t="n">
        <f aca="false">BG18+BG22</f>
        <v>636390.8482</v>
      </c>
      <c r="BH25" s="66" t="n">
        <f aca="false">BH18+BH22</f>
        <v>636390.8482</v>
      </c>
      <c r="BI25" s="66" t="n">
        <f aca="false">BI18+BI22</f>
        <v>779743.939</v>
      </c>
      <c r="BJ25" s="66" t="n">
        <f aca="false">BJ18+BJ22</f>
        <v>779743.939</v>
      </c>
    </row>
    <row r="26" customFormat="false" ht="15" hidden="false" customHeight="false" outlineLevel="0" collapsed="false">
      <c r="A26" s="6" t="s">
        <v>417</v>
      </c>
      <c r="C26" s="65" t="n">
        <f aca="false">-C25*Inputs!$B$29</f>
        <v>-36970.9066666667</v>
      </c>
      <c r="D26" s="65" t="n">
        <f aca="false">-D25*Inputs!$B$29</f>
        <v>-36970.9066666667</v>
      </c>
      <c r="E26" s="65" t="n">
        <f aca="false">-E25*Inputs!$B$29</f>
        <v>-36970.9066666667</v>
      </c>
      <c r="F26" s="65" t="n">
        <f aca="false">-F25*Inputs!$B$29</f>
        <v>-36970.9066666667</v>
      </c>
      <c r="G26" s="65" t="n">
        <f aca="false">-G25*Inputs!$B$29</f>
        <v>-36970.9066666667</v>
      </c>
      <c r="H26" s="65" t="n">
        <f aca="false">-H25*Inputs!$B$29</f>
        <v>-36970.9066666667</v>
      </c>
      <c r="I26" s="65" t="n">
        <f aca="false">-I25*Inputs!$B$29</f>
        <v>-36970.9066666667</v>
      </c>
      <c r="J26" s="65" t="n">
        <f aca="false">-J25*Inputs!$B$29</f>
        <v>-36970.9066666667</v>
      </c>
      <c r="K26" s="65" t="n">
        <f aca="false">-K25*Inputs!$B$29</f>
        <v>-36970.9066666667</v>
      </c>
      <c r="L26" s="65" t="n">
        <f aca="false">-L25*Inputs!$B$29</f>
        <v>-36970.9066666667</v>
      </c>
      <c r="M26" s="65" t="n">
        <f aca="false">-M25*Inputs!$B$29</f>
        <v>-45321.4666666667</v>
      </c>
      <c r="N26" s="65" t="n">
        <f aca="false">-N25*Inputs!$B$29</f>
        <v>-45321.4666666667</v>
      </c>
      <c r="O26" s="65" t="n">
        <f aca="false">-O25*Inputs!$B$29</f>
        <v>-45568.664</v>
      </c>
      <c r="P26" s="65" t="n">
        <f aca="false">-P25*Inputs!$B$29</f>
        <v>-45568.664</v>
      </c>
      <c r="Q26" s="65" t="n">
        <f aca="false">-Q25*Inputs!$B$29</f>
        <v>-45568.664</v>
      </c>
      <c r="R26" s="65" t="n">
        <f aca="false">-R25*Inputs!$B$29</f>
        <v>-45568.664</v>
      </c>
      <c r="S26" s="65" t="n">
        <f aca="false">-S25*Inputs!$B$29</f>
        <v>-45568.664</v>
      </c>
      <c r="T26" s="65" t="n">
        <f aca="false">-T25*Inputs!$B$29</f>
        <v>-45568.664</v>
      </c>
      <c r="U26" s="65" t="n">
        <f aca="false">-U25*Inputs!$B$29</f>
        <v>-45568.664</v>
      </c>
      <c r="V26" s="65" t="n">
        <f aca="false">-V25*Inputs!$B$29</f>
        <v>-45568.664</v>
      </c>
      <c r="W26" s="65" t="n">
        <f aca="false">-W25*Inputs!$B$29</f>
        <v>-45568.664</v>
      </c>
      <c r="X26" s="65" t="n">
        <f aca="false">-X25*Inputs!$B$29</f>
        <v>-45568.664</v>
      </c>
      <c r="Y26" s="65" t="n">
        <f aca="false">-Y25*Inputs!$B$29</f>
        <v>-56050.28</v>
      </c>
      <c r="Z26" s="65" t="n">
        <f aca="false">-Z25*Inputs!$B$29</f>
        <v>-56050.28</v>
      </c>
      <c r="AA26" s="65" t="n">
        <f aca="false">-AA25*Inputs!$B$29</f>
        <v>-54906.5304</v>
      </c>
      <c r="AB26" s="65" t="n">
        <f aca="false">-AB25*Inputs!$B$29</f>
        <v>-54906.5304</v>
      </c>
      <c r="AC26" s="65" t="n">
        <f aca="false">-AC25*Inputs!$B$29</f>
        <v>-54906.5304</v>
      </c>
      <c r="AD26" s="65" t="n">
        <f aca="false">-AD25*Inputs!$B$29</f>
        <v>-54906.5304</v>
      </c>
      <c r="AE26" s="65" t="n">
        <f aca="false">-AE25*Inputs!$B$29</f>
        <v>-54906.5304</v>
      </c>
      <c r="AF26" s="65" t="n">
        <f aca="false">-AF25*Inputs!$B$29</f>
        <v>-54906.5304</v>
      </c>
      <c r="AG26" s="65" t="n">
        <f aca="false">-AG25*Inputs!$B$29</f>
        <v>-54906.5304</v>
      </c>
      <c r="AH26" s="65" t="n">
        <f aca="false">-AH25*Inputs!$B$29</f>
        <v>-54906.5304</v>
      </c>
      <c r="AI26" s="65" t="n">
        <f aca="false">-AI25*Inputs!$B$29</f>
        <v>-54906.5304</v>
      </c>
      <c r="AJ26" s="65" t="n">
        <f aca="false">-AJ25*Inputs!$B$29</f>
        <v>-54906.5304</v>
      </c>
      <c r="AK26" s="65" t="n">
        <f aca="false">-AK25*Inputs!$B$29</f>
        <v>-67570.308</v>
      </c>
      <c r="AL26" s="65" t="n">
        <f aca="false">-AL25*Inputs!$B$29</f>
        <v>-67570.308</v>
      </c>
      <c r="AM26" s="65" t="n">
        <f aca="false">-AM25*Inputs!$B$29</f>
        <v>-65119.18344</v>
      </c>
      <c r="AN26" s="65" t="n">
        <f aca="false">-AN25*Inputs!$B$29</f>
        <v>-65119.18344</v>
      </c>
      <c r="AO26" s="65" t="n">
        <f aca="false">-AO25*Inputs!$B$29</f>
        <v>-65119.18344</v>
      </c>
      <c r="AP26" s="65" t="n">
        <f aca="false">-AP25*Inputs!$B$29</f>
        <v>-65119.18344</v>
      </c>
      <c r="AQ26" s="65" t="n">
        <f aca="false">-AQ25*Inputs!$B$29</f>
        <v>-65119.18344</v>
      </c>
      <c r="AR26" s="65" t="n">
        <f aca="false">-AR25*Inputs!$B$29</f>
        <v>-65119.18344</v>
      </c>
      <c r="AS26" s="65" t="n">
        <f aca="false">-AS25*Inputs!$B$29</f>
        <v>-65119.18344</v>
      </c>
      <c r="AT26" s="65" t="n">
        <f aca="false">-AT25*Inputs!$B$29</f>
        <v>-65119.18344</v>
      </c>
      <c r="AU26" s="65" t="n">
        <f aca="false">-AU25*Inputs!$B$29</f>
        <v>-65119.18344</v>
      </c>
      <c r="AV26" s="65" t="n">
        <f aca="false">-AV25*Inputs!$B$29</f>
        <v>-65119.18344</v>
      </c>
      <c r="AW26" s="65" t="n">
        <f aca="false">-AW25*Inputs!$B$29</f>
        <v>-80021.3388</v>
      </c>
      <c r="AX26" s="65" t="n">
        <f aca="false">-AX25*Inputs!$B$29</f>
        <v>-80021.3388</v>
      </c>
      <c r="AY26" s="65" t="n">
        <f aca="false">-AY25*Inputs!$B$29</f>
        <v>-76366.901784</v>
      </c>
      <c r="AZ26" s="65" t="n">
        <f aca="false">-AZ25*Inputs!$B$29</f>
        <v>-76366.901784</v>
      </c>
      <c r="BA26" s="65" t="n">
        <f aca="false">-BA25*Inputs!$B$29</f>
        <v>-76366.901784</v>
      </c>
      <c r="BB26" s="65" t="n">
        <f aca="false">-BB25*Inputs!$B$29</f>
        <v>-76366.901784</v>
      </c>
      <c r="BC26" s="65" t="n">
        <f aca="false">-BC25*Inputs!$B$29</f>
        <v>-76366.901784</v>
      </c>
      <c r="BD26" s="65" t="n">
        <f aca="false">-BD25*Inputs!$B$29</f>
        <v>-76366.901784</v>
      </c>
      <c r="BE26" s="65" t="n">
        <f aca="false">-BE25*Inputs!$B$29</f>
        <v>-76366.901784</v>
      </c>
      <c r="BF26" s="65" t="n">
        <f aca="false">-BF25*Inputs!$B$29</f>
        <v>-76366.901784</v>
      </c>
      <c r="BG26" s="65" t="n">
        <f aca="false">-BG25*Inputs!$B$29</f>
        <v>-76366.901784</v>
      </c>
      <c r="BH26" s="65" t="n">
        <f aca="false">-BH25*Inputs!$B$29</f>
        <v>-76366.901784</v>
      </c>
      <c r="BI26" s="65" t="n">
        <f aca="false">-BI25*Inputs!$B$29</f>
        <v>-93569.27268</v>
      </c>
      <c r="BJ26" s="65" t="n">
        <f aca="false">-BJ25*Inputs!$B$29</f>
        <v>-93569.27268</v>
      </c>
    </row>
    <row r="27" customFormat="false" ht="15" hidden="false" customHeight="false" outlineLevel="0" collapsed="false">
      <c r="A27" s="110" t="s">
        <v>239</v>
      </c>
      <c r="C27" s="66" t="n">
        <f aca="false">C25+C26</f>
        <v>271119.982222222</v>
      </c>
      <c r="D27" s="66" t="n">
        <f aca="false">D25+D26</f>
        <v>271119.982222222</v>
      </c>
      <c r="E27" s="66" t="n">
        <f aca="false">E25+E26</f>
        <v>271119.982222222</v>
      </c>
      <c r="F27" s="66" t="n">
        <f aca="false">F25+F26</f>
        <v>271119.982222222</v>
      </c>
      <c r="G27" s="66" t="n">
        <f aca="false">G25+G26</f>
        <v>271119.982222222</v>
      </c>
      <c r="H27" s="66" t="n">
        <f aca="false">H25+H26</f>
        <v>271119.982222222</v>
      </c>
      <c r="I27" s="66" t="n">
        <f aca="false">I25+I26</f>
        <v>271119.982222222</v>
      </c>
      <c r="J27" s="66" t="n">
        <f aca="false">J25+J26</f>
        <v>271119.982222222</v>
      </c>
      <c r="K27" s="66" t="n">
        <f aca="false">K25+K26</f>
        <v>271119.982222222</v>
      </c>
      <c r="L27" s="66" t="n">
        <f aca="false">L25+L26</f>
        <v>271119.982222222</v>
      </c>
      <c r="M27" s="66" t="n">
        <f aca="false">M25+M26</f>
        <v>332357.422222222</v>
      </c>
      <c r="N27" s="66" t="n">
        <f aca="false">N25+N26</f>
        <v>332357.422222222</v>
      </c>
      <c r="O27" s="66" t="n">
        <f aca="false">O25+O26</f>
        <v>334170.202666667</v>
      </c>
      <c r="P27" s="66" t="n">
        <f aca="false">P25+P26</f>
        <v>334170.202666667</v>
      </c>
      <c r="Q27" s="66" t="n">
        <f aca="false">Q25+Q26</f>
        <v>334170.202666667</v>
      </c>
      <c r="R27" s="66" t="n">
        <f aca="false">R25+R26</f>
        <v>334170.202666667</v>
      </c>
      <c r="S27" s="66" t="n">
        <f aca="false">S25+S26</f>
        <v>334170.202666667</v>
      </c>
      <c r="T27" s="66" t="n">
        <f aca="false">T25+T26</f>
        <v>334170.202666667</v>
      </c>
      <c r="U27" s="66" t="n">
        <f aca="false">U25+U26</f>
        <v>334170.202666667</v>
      </c>
      <c r="V27" s="66" t="n">
        <f aca="false">V25+V26</f>
        <v>334170.202666667</v>
      </c>
      <c r="W27" s="66" t="n">
        <f aca="false">W25+W26</f>
        <v>334170.202666667</v>
      </c>
      <c r="X27" s="66" t="n">
        <f aca="false">X25+X26</f>
        <v>334170.202666667</v>
      </c>
      <c r="Y27" s="66" t="n">
        <f aca="false">Y25+Y26</f>
        <v>411035.386666667</v>
      </c>
      <c r="Z27" s="66" t="n">
        <f aca="false">Z25+Z26</f>
        <v>411035.386666667</v>
      </c>
      <c r="AA27" s="66" t="n">
        <f aca="false">AA25+AA26</f>
        <v>402647.8896</v>
      </c>
      <c r="AB27" s="66" t="n">
        <f aca="false">AB25+AB26</f>
        <v>402647.8896</v>
      </c>
      <c r="AC27" s="66" t="n">
        <f aca="false">AC25+AC26</f>
        <v>402647.8896</v>
      </c>
      <c r="AD27" s="66" t="n">
        <f aca="false">AD25+AD26</f>
        <v>402647.8896</v>
      </c>
      <c r="AE27" s="66" t="n">
        <f aca="false">AE25+AE26</f>
        <v>402647.8896</v>
      </c>
      <c r="AF27" s="66" t="n">
        <f aca="false">AF25+AF26</f>
        <v>402647.8896</v>
      </c>
      <c r="AG27" s="66" t="n">
        <f aca="false">AG25+AG26</f>
        <v>402647.8896</v>
      </c>
      <c r="AH27" s="66" t="n">
        <f aca="false">AH25+AH26</f>
        <v>402647.8896</v>
      </c>
      <c r="AI27" s="66" t="n">
        <f aca="false">AI25+AI26</f>
        <v>402647.8896</v>
      </c>
      <c r="AJ27" s="66" t="n">
        <f aca="false">AJ25+AJ26</f>
        <v>402647.8896</v>
      </c>
      <c r="AK27" s="66" t="n">
        <f aca="false">AK25+AK26</f>
        <v>495515.592</v>
      </c>
      <c r="AL27" s="66" t="n">
        <f aca="false">AL25+AL26</f>
        <v>495515.592</v>
      </c>
      <c r="AM27" s="66" t="n">
        <f aca="false">AM25+AM26</f>
        <v>477540.67856</v>
      </c>
      <c r="AN27" s="66" t="n">
        <f aca="false">AN25+AN26</f>
        <v>477540.67856</v>
      </c>
      <c r="AO27" s="66" t="n">
        <f aca="false">AO25+AO26</f>
        <v>477540.67856</v>
      </c>
      <c r="AP27" s="66" t="n">
        <f aca="false">AP25+AP26</f>
        <v>477540.67856</v>
      </c>
      <c r="AQ27" s="66" t="n">
        <f aca="false">AQ25+AQ26</f>
        <v>477540.67856</v>
      </c>
      <c r="AR27" s="66" t="n">
        <f aca="false">AR25+AR26</f>
        <v>477540.67856</v>
      </c>
      <c r="AS27" s="66" t="n">
        <f aca="false">AS25+AS26</f>
        <v>477540.67856</v>
      </c>
      <c r="AT27" s="66" t="n">
        <f aca="false">AT25+AT26</f>
        <v>477540.67856</v>
      </c>
      <c r="AU27" s="66" t="n">
        <f aca="false">AU25+AU26</f>
        <v>477540.67856</v>
      </c>
      <c r="AV27" s="66" t="n">
        <f aca="false">AV25+AV26</f>
        <v>477540.67856</v>
      </c>
      <c r="AW27" s="66" t="n">
        <f aca="false">AW25+AW26</f>
        <v>586823.1512</v>
      </c>
      <c r="AX27" s="66" t="n">
        <f aca="false">AX25+AX26</f>
        <v>586823.1512</v>
      </c>
      <c r="AY27" s="66" t="n">
        <f aca="false">AY25+AY26</f>
        <v>560023.946416</v>
      </c>
      <c r="AZ27" s="66" t="n">
        <f aca="false">AZ25+AZ26</f>
        <v>560023.946416</v>
      </c>
      <c r="BA27" s="66" t="n">
        <f aca="false">BA25+BA26</f>
        <v>560023.946416</v>
      </c>
      <c r="BB27" s="66" t="n">
        <f aca="false">BB25+BB26</f>
        <v>560023.946416</v>
      </c>
      <c r="BC27" s="66" t="n">
        <f aca="false">BC25+BC26</f>
        <v>560023.946416</v>
      </c>
      <c r="BD27" s="66" t="n">
        <f aca="false">BD25+BD26</f>
        <v>560023.946416</v>
      </c>
      <c r="BE27" s="66" t="n">
        <f aca="false">BE25+BE26</f>
        <v>560023.946416</v>
      </c>
      <c r="BF27" s="66" t="n">
        <f aca="false">BF25+BF26</f>
        <v>560023.946416</v>
      </c>
      <c r="BG27" s="66" t="n">
        <f aca="false">BG25+BG26</f>
        <v>560023.946416</v>
      </c>
      <c r="BH27" s="66" t="n">
        <f aca="false">BH25+BH26</f>
        <v>560023.946416</v>
      </c>
      <c r="BI27" s="66" t="n">
        <f aca="false">BI25+BI26</f>
        <v>686174.66632</v>
      </c>
      <c r="BJ27" s="66" t="n">
        <f aca="false">BJ25+BJ26</f>
        <v>686174.66632</v>
      </c>
    </row>
    <row r="28" customFormat="false" ht="15" hidden="false" customHeight="false" outlineLevel="0" collapsed="false">
      <c r="A28" s="6" t="s">
        <v>76</v>
      </c>
      <c r="C28" s="65" t="n">
        <f aca="false">-C27*Inputs!$B$30</f>
        <v>-122003.992</v>
      </c>
      <c r="D28" s="65" t="n">
        <f aca="false">-D27*Inputs!$B$30</f>
        <v>-122003.992</v>
      </c>
      <c r="E28" s="65" t="n">
        <f aca="false">-E27*Inputs!$B$30</f>
        <v>-122003.992</v>
      </c>
      <c r="F28" s="65" t="n">
        <f aca="false">-F27*Inputs!$B$30</f>
        <v>-122003.992</v>
      </c>
      <c r="G28" s="65" t="n">
        <f aca="false">-G27*Inputs!$B$30</f>
        <v>-122003.992</v>
      </c>
      <c r="H28" s="65" t="n">
        <f aca="false">-H27*Inputs!$B$30</f>
        <v>-122003.992</v>
      </c>
      <c r="I28" s="65" t="n">
        <f aca="false">-I27*Inputs!$B$30</f>
        <v>-122003.992</v>
      </c>
      <c r="J28" s="65" t="n">
        <f aca="false">-J27*Inputs!$B$30</f>
        <v>-122003.992</v>
      </c>
      <c r="K28" s="65" t="n">
        <f aca="false">-K27*Inputs!$B$30</f>
        <v>-122003.992</v>
      </c>
      <c r="L28" s="65" t="n">
        <f aca="false">-L27*Inputs!$B$30</f>
        <v>-122003.992</v>
      </c>
      <c r="M28" s="65" t="n">
        <f aca="false">-M27*Inputs!$B$30</f>
        <v>-149560.84</v>
      </c>
      <c r="N28" s="65" t="n">
        <f aca="false">-N27*Inputs!$B$30</f>
        <v>-149560.84</v>
      </c>
      <c r="O28" s="65" t="n">
        <f aca="false">-O27*Inputs!$B$30</f>
        <v>-150376.5912</v>
      </c>
      <c r="P28" s="65" t="n">
        <f aca="false">-P27*Inputs!$B$30</f>
        <v>-150376.5912</v>
      </c>
      <c r="Q28" s="65" t="n">
        <f aca="false">-Q27*Inputs!$B$30</f>
        <v>-150376.5912</v>
      </c>
      <c r="R28" s="65" t="n">
        <f aca="false">-R27*Inputs!$B$30</f>
        <v>-150376.5912</v>
      </c>
      <c r="S28" s="65" t="n">
        <f aca="false">-S27*Inputs!$B$30</f>
        <v>-150376.5912</v>
      </c>
      <c r="T28" s="65" t="n">
        <f aca="false">-T27*Inputs!$B$30</f>
        <v>-150376.5912</v>
      </c>
      <c r="U28" s="65" t="n">
        <f aca="false">-U27*Inputs!$B$30</f>
        <v>-150376.5912</v>
      </c>
      <c r="V28" s="65" t="n">
        <f aca="false">-V27*Inputs!$B$30</f>
        <v>-150376.5912</v>
      </c>
      <c r="W28" s="65" t="n">
        <f aca="false">-W27*Inputs!$B$30</f>
        <v>-150376.5912</v>
      </c>
      <c r="X28" s="65" t="n">
        <f aca="false">-X27*Inputs!$B$30</f>
        <v>-150376.5912</v>
      </c>
      <c r="Y28" s="65" t="n">
        <f aca="false">-Y27*Inputs!$B$30</f>
        <v>-184965.924</v>
      </c>
      <c r="Z28" s="65" t="n">
        <f aca="false">-Z27*Inputs!$B$30</f>
        <v>-184965.924</v>
      </c>
      <c r="AA28" s="65" t="n">
        <f aca="false">-AA27*Inputs!$B$30</f>
        <v>-181191.55032</v>
      </c>
      <c r="AB28" s="65" t="n">
        <f aca="false">-AB27*Inputs!$B$30</f>
        <v>-181191.55032</v>
      </c>
      <c r="AC28" s="65" t="n">
        <f aca="false">-AC27*Inputs!$B$30</f>
        <v>-181191.55032</v>
      </c>
      <c r="AD28" s="65" t="n">
        <f aca="false">-AD27*Inputs!$B$30</f>
        <v>-181191.55032</v>
      </c>
      <c r="AE28" s="65" t="n">
        <f aca="false">-AE27*Inputs!$B$30</f>
        <v>-181191.55032</v>
      </c>
      <c r="AF28" s="65" t="n">
        <f aca="false">-AF27*Inputs!$B$30</f>
        <v>-181191.55032</v>
      </c>
      <c r="AG28" s="65" t="n">
        <f aca="false">-AG27*Inputs!$B$30</f>
        <v>-181191.55032</v>
      </c>
      <c r="AH28" s="65" t="n">
        <f aca="false">-AH27*Inputs!$B$30</f>
        <v>-181191.55032</v>
      </c>
      <c r="AI28" s="65" t="n">
        <f aca="false">-AI27*Inputs!$B$30</f>
        <v>-181191.55032</v>
      </c>
      <c r="AJ28" s="65" t="n">
        <f aca="false">-AJ27*Inputs!$B$30</f>
        <v>-181191.55032</v>
      </c>
      <c r="AK28" s="65" t="n">
        <f aca="false">-AK27*Inputs!$B$30</f>
        <v>-222982.0164</v>
      </c>
      <c r="AL28" s="65" t="n">
        <f aca="false">-AL27*Inputs!$B$30</f>
        <v>-222982.0164</v>
      </c>
      <c r="AM28" s="65" t="n">
        <f aca="false">-AM27*Inputs!$B$30</f>
        <v>-214893.305352</v>
      </c>
      <c r="AN28" s="65" t="n">
        <f aca="false">-AN27*Inputs!$B$30</f>
        <v>-214893.305352</v>
      </c>
      <c r="AO28" s="65" t="n">
        <f aca="false">-AO27*Inputs!$B$30</f>
        <v>-214893.305352</v>
      </c>
      <c r="AP28" s="65" t="n">
        <f aca="false">-AP27*Inputs!$B$30</f>
        <v>-214893.305352</v>
      </c>
      <c r="AQ28" s="65" t="n">
        <f aca="false">-AQ27*Inputs!$B$30</f>
        <v>-214893.305352</v>
      </c>
      <c r="AR28" s="65" t="n">
        <f aca="false">-AR27*Inputs!$B$30</f>
        <v>-214893.305352</v>
      </c>
      <c r="AS28" s="65" t="n">
        <f aca="false">-AS27*Inputs!$B$30</f>
        <v>-214893.305352</v>
      </c>
      <c r="AT28" s="65" t="n">
        <f aca="false">-AT27*Inputs!$B$30</f>
        <v>-214893.305352</v>
      </c>
      <c r="AU28" s="65" t="n">
        <f aca="false">-AU27*Inputs!$B$30</f>
        <v>-214893.305352</v>
      </c>
      <c r="AV28" s="65" t="n">
        <f aca="false">-AV27*Inputs!$B$30</f>
        <v>-214893.305352</v>
      </c>
      <c r="AW28" s="65" t="n">
        <f aca="false">-AW27*Inputs!$B$30</f>
        <v>-264070.41804</v>
      </c>
      <c r="AX28" s="65" t="n">
        <f aca="false">-AX27*Inputs!$B$30</f>
        <v>-264070.41804</v>
      </c>
      <c r="AY28" s="65" t="n">
        <f aca="false">-AY27*Inputs!$B$30</f>
        <v>-252010.7758872</v>
      </c>
      <c r="AZ28" s="65" t="n">
        <f aca="false">-AZ27*Inputs!$B$30</f>
        <v>-252010.7758872</v>
      </c>
      <c r="BA28" s="65" t="n">
        <f aca="false">-BA27*Inputs!$B$30</f>
        <v>-252010.7758872</v>
      </c>
      <c r="BB28" s="65" t="n">
        <f aca="false">-BB27*Inputs!$B$30</f>
        <v>-252010.7758872</v>
      </c>
      <c r="BC28" s="65" t="n">
        <f aca="false">-BC27*Inputs!$B$30</f>
        <v>-252010.7758872</v>
      </c>
      <c r="BD28" s="65" t="n">
        <f aca="false">-BD27*Inputs!$B$30</f>
        <v>-252010.7758872</v>
      </c>
      <c r="BE28" s="65" t="n">
        <f aca="false">-BE27*Inputs!$B$30</f>
        <v>-252010.7758872</v>
      </c>
      <c r="BF28" s="65" t="n">
        <f aca="false">-BF27*Inputs!$B$30</f>
        <v>-252010.7758872</v>
      </c>
      <c r="BG28" s="65" t="n">
        <f aca="false">-BG27*Inputs!$B$30</f>
        <v>-252010.7758872</v>
      </c>
      <c r="BH28" s="65" t="n">
        <f aca="false">-BH27*Inputs!$B$30</f>
        <v>-252010.7758872</v>
      </c>
      <c r="BI28" s="65" t="n">
        <f aca="false">-BI27*Inputs!$B$30</f>
        <v>-308778.599844</v>
      </c>
      <c r="BJ28" s="65" t="n">
        <f aca="false">-BJ27*Inputs!$B$30</f>
        <v>-308778.599844</v>
      </c>
    </row>
    <row r="29" customFormat="false" ht="15" hidden="false" customHeight="false" outlineLevel="0" collapsed="false">
      <c r="A29" s="110" t="s">
        <v>45</v>
      </c>
      <c r="C29" s="66" t="n">
        <f aca="false">C27+C28</f>
        <v>149115.990222222</v>
      </c>
      <c r="D29" s="66" t="n">
        <f aca="false">D27+D28</f>
        <v>149115.990222222</v>
      </c>
      <c r="E29" s="66" t="n">
        <f aca="false">E27+E28</f>
        <v>149115.990222222</v>
      </c>
      <c r="F29" s="66" t="n">
        <f aca="false">F27+F28</f>
        <v>149115.990222222</v>
      </c>
      <c r="G29" s="66" t="n">
        <f aca="false">G27+G28</f>
        <v>149115.990222222</v>
      </c>
      <c r="H29" s="66" t="n">
        <f aca="false">H27+H28</f>
        <v>149115.990222222</v>
      </c>
      <c r="I29" s="66" t="n">
        <f aca="false">I27+I28</f>
        <v>149115.990222222</v>
      </c>
      <c r="J29" s="66" t="n">
        <f aca="false">J27+J28</f>
        <v>149115.990222222</v>
      </c>
      <c r="K29" s="66" t="n">
        <f aca="false">K27+K28</f>
        <v>149115.990222222</v>
      </c>
      <c r="L29" s="66" t="n">
        <f aca="false">L27+L28</f>
        <v>149115.990222222</v>
      </c>
      <c r="M29" s="66" t="n">
        <f aca="false">M27+M28</f>
        <v>182796.582222222</v>
      </c>
      <c r="N29" s="66" t="n">
        <f aca="false">N27+N28</f>
        <v>182796.582222222</v>
      </c>
      <c r="O29" s="66" t="n">
        <f aca="false">O27+O28</f>
        <v>183793.611466667</v>
      </c>
      <c r="P29" s="66" t="n">
        <f aca="false">P27+P28</f>
        <v>183793.611466667</v>
      </c>
      <c r="Q29" s="66" t="n">
        <f aca="false">Q27+Q28</f>
        <v>183793.611466667</v>
      </c>
      <c r="R29" s="66" t="n">
        <f aca="false">R27+R28</f>
        <v>183793.611466667</v>
      </c>
      <c r="S29" s="66" t="n">
        <f aca="false">S27+S28</f>
        <v>183793.611466667</v>
      </c>
      <c r="T29" s="66" t="n">
        <f aca="false">T27+T28</f>
        <v>183793.611466667</v>
      </c>
      <c r="U29" s="66" t="n">
        <f aca="false">U27+U28</f>
        <v>183793.611466667</v>
      </c>
      <c r="V29" s="66" t="n">
        <f aca="false">V27+V28</f>
        <v>183793.611466667</v>
      </c>
      <c r="W29" s="66" t="n">
        <f aca="false">W27+W28</f>
        <v>183793.611466667</v>
      </c>
      <c r="X29" s="66" t="n">
        <f aca="false">X27+X28</f>
        <v>183793.611466667</v>
      </c>
      <c r="Y29" s="66" t="n">
        <f aca="false">Y27+Y28</f>
        <v>226069.462666667</v>
      </c>
      <c r="Z29" s="66" t="n">
        <f aca="false">Z27+Z28</f>
        <v>226069.462666667</v>
      </c>
      <c r="AA29" s="66" t="n">
        <f aca="false">AA27+AA28</f>
        <v>221456.33928</v>
      </c>
      <c r="AB29" s="66" t="n">
        <f aca="false">AB27+AB28</f>
        <v>221456.33928</v>
      </c>
      <c r="AC29" s="66" t="n">
        <f aca="false">AC27+AC28</f>
        <v>221456.33928</v>
      </c>
      <c r="AD29" s="66" t="n">
        <f aca="false">AD27+AD28</f>
        <v>221456.33928</v>
      </c>
      <c r="AE29" s="66" t="n">
        <f aca="false">AE27+AE28</f>
        <v>221456.33928</v>
      </c>
      <c r="AF29" s="66" t="n">
        <f aca="false">AF27+AF28</f>
        <v>221456.33928</v>
      </c>
      <c r="AG29" s="66" t="n">
        <f aca="false">AG27+AG28</f>
        <v>221456.33928</v>
      </c>
      <c r="AH29" s="66" t="n">
        <f aca="false">AH27+AH28</f>
        <v>221456.33928</v>
      </c>
      <c r="AI29" s="66" t="n">
        <f aca="false">AI27+AI28</f>
        <v>221456.33928</v>
      </c>
      <c r="AJ29" s="66" t="n">
        <f aca="false">AJ27+AJ28</f>
        <v>221456.33928</v>
      </c>
      <c r="AK29" s="66" t="n">
        <f aca="false">AK27+AK28</f>
        <v>272533.5756</v>
      </c>
      <c r="AL29" s="66" t="n">
        <f aca="false">AL27+AL28</f>
        <v>272533.5756</v>
      </c>
      <c r="AM29" s="66" t="n">
        <f aca="false">AM27+AM28</f>
        <v>262647.373208</v>
      </c>
      <c r="AN29" s="66" t="n">
        <f aca="false">AN27+AN28</f>
        <v>262647.373208</v>
      </c>
      <c r="AO29" s="66" t="n">
        <f aca="false">AO27+AO28</f>
        <v>262647.373208</v>
      </c>
      <c r="AP29" s="66" t="n">
        <f aca="false">AP27+AP28</f>
        <v>262647.373208</v>
      </c>
      <c r="AQ29" s="66" t="n">
        <f aca="false">AQ27+AQ28</f>
        <v>262647.373208</v>
      </c>
      <c r="AR29" s="66" t="n">
        <f aca="false">AR27+AR28</f>
        <v>262647.373208</v>
      </c>
      <c r="AS29" s="66" t="n">
        <f aca="false">AS27+AS28</f>
        <v>262647.373208</v>
      </c>
      <c r="AT29" s="66" t="n">
        <f aca="false">AT27+AT28</f>
        <v>262647.373208</v>
      </c>
      <c r="AU29" s="66" t="n">
        <f aca="false">AU27+AU28</f>
        <v>262647.373208</v>
      </c>
      <c r="AV29" s="66" t="n">
        <f aca="false">AV27+AV28</f>
        <v>262647.373208</v>
      </c>
      <c r="AW29" s="66" t="n">
        <f aca="false">AW27+AW28</f>
        <v>322752.73316</v>
      </c>
      <c r="AX29" s="66" t="n">
        <f aca="false">AX27+AX28</f>
        <v>322752.73316</v>
      </c>
      <c r="AY29" s="66" t="n">
        <f aca="false">AY27+AY28</f>
        <v>308013.1705288</v>
      </c>
      <c r="AZ29" s="66" t="n">
        <f aca="false">AZ27+AZ28</f>
        <v>308013.1705288</v>
      </c>
      <c r="BA29" s="66" t="n">
        <f aca="false">BA27+BA28</f>
        <v>308013.1705288</v>
      </c>
      <c r="BB29" s="66" t="n">
        <f aca="false">BB27+BB28</f>
        <v>308013.1705288</v>
      </c>
      <c r="BC29" s="66" t="n">
        <f aca="false">BC27+BC28</f>
        <v>308013.1705288</v>
      </c>
      <c r="BD29" s="66" t="n">
        <f aca="false">BD27+BD28</f>
        <v>308013.1705288</v>
      </c>
      <c r="BE29" s="66" t="n">
        <f aca="false">BE27+BE28</f>
        <v>308013.1705288</v>
      </c>
      <c r="BF29" s="66" t="n">
        <f aca="false">BF27+BF28</f>
        <v>308013.1705288</v>
      </c>
      <c r="BG29" s="66" t="n">
        <f aca="false">BG27+BG28</f>
        <v>308013.1705288</v>
      </c>
      <c r="BH29" s="66" t="n">
        <f aca="false">BH27+BH28</f>
        <v>308013.1705288</v>
      </c>
      <c r="BI29" s="66" t="n">
        <f aca="false">BI27+BI28</f>
        <v>377396.066476</v>
      </c>
      <c r="BJ29" s="66" t="n">
        <f aca="false">BJ27+BJ28</f>
        <v>377396.066476</v>
      </c>
    </row>
    <row r="31" customFormat="false" ht="15.75" hidden="false" customHeight="true" outlineLevel="0" collapsed="false">
      <c r="A31" s="7" t="s">
        <v>47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customFormat="false" ht="15" hidden="false" customHeight="false" outlineLevel="0" collapsed="false">
      <c r="A32" s="6" t="s">
        <v>329</v>
      </c>
      <c r="C32" s="65" t="n">
        <f aca="false">-C16*Inputs!$B$31</f>
        <v>-32897.2</v>
      </c>
      <c r="D32" s="65" t="n">
        <f aca="false">-D16*Inputs!$B$31</f>
        <v>-32897.2</v>
      </c>
      <c r="E32" s="65" t="n">
        <f aca="false">-E16*Inputs!$B$31</f>
        <v>-32897.2</v>
      </c>
      <c r="F32" s="65" t="n">
        <f aca="false">-F16*Inputs!$B$31</f>
        <v>-32897.2</v>
      </c>
      <c r="G32" s="65" t="n">
        <f aca="false">-G16*Inputs!$B$31</f>
        <v>-32897.2</v>
      </c>
      <c r="H32" s="65" t="n">
        <f aca="false">-H16*Inputs!$B$31</f>
        <v>-32897.2</v>
      </c>
      <c r="I32" s="65" t="n">
        <f aca="false">-I16*Inputs!$B$31</f>
        <v>-32897.2</v>
      </c>
      <c r="J32" s="65" t="n">
        <f aca="false">-J16*Inputs!$B$31</f>
        <v>-32897.2</v>
      </c>
      <c r="K32" s="65" t="n">
        <f aca="false">-K16*Inputs!$B$31</f>
        <v>-32897.2</v>
      </c>
      <c r="L32" s="65" t="n">
        <f aca="false">-L16*Inputs!$B$31</f>
        <v>-32897.2</v>
      </c>
      <c r="M32" s="65" t="n">
        <f aca="false">-M16*Inputs!$B$31</f>
        <v>-38794</v>
      </c>
      <c r="N32" s="65" t="n">
        <f aca="false">-N16*Inputs!$B$31</f>
        <v>-38794</v>
      </c>
      <c r="O32" s="65" t="n">
        <f aca="false">-O16*Inputs!$B$31</f>
        <v>-37936.92</v>
      </c>
      <c r="P32" s="65" t="n">
        <f aca="false">-P16*Inputs!$B$31</f>
        <v>-37936.92</v>
      </c>
      <c r="Q32" s="65" t="n">
        <f aca="false">-Q16*Inputs!$B$31</f>
        <v>-37936.92</v>
      </c>
      <c r="R32" s="65" t="n">
        <f aca="false">-R16*Inputs!$B$31</f>
        <v>-37936.92</v>
      </c>
      <c r="S32" s="65" t="n">
        <f aca="false">-S16*Inputs!$B$31</f>
        <v>-37936.92</v>
      </c>
      <c r="T32" s="65" t="n">
        <f aca="false">-T16*Inputs!$B$31</f>
        <v>-37936.92</v>
      </c>
      <c r="U32" s="65" t="n">
        <f aca="false">-U16*Inputs!$B$31</f>
        <v>-37936.92</v>
      </c>
      <c r="V32" s="65" t="n">
        <f aca="false">-V16*Inputs!$B$31</f>
        <v>-37936.92</v>
      </c>
      <c r="W32" s="65" t="n">
        <f aca="false">-W16*Inputs!$B$31</f>
        <v>-37936.92</v>
      </c>
      <c r="X32" s="65" t="n">
        <f aca="false">-X16*Inputs!$B$31</f>
        <v>-37936.92</v>
      </c>
      <c r="Y32" s="65" t="n">
        <f aca="false">-Y16*Inputs!$B$31</f>
        <v>-44423.4</v>
      </c>
      <c r="Z32" s="65" t="n">
        <f aca="false">-Z16*Inputs!$B$31</f>
        <v>-44423.4</v>
      </c>
      <c r="AA32" s="65" t="n">
        <f aca="false">-AA16*Inputs!$B$31</f>
        <v>-43830.612</v>
      </c>
      <c r="AB32" s="65" t="n">
        <f aca="false">-AB16*Inputs!$B$31</f>
        <v>-43830.612</v>
      </c>
      <c r="AC32" s="65" t="n">
        <f aca="false">-AC16*Inputs!$B$31</f>
        <v>-43830.612</v>
      </c>
      <c r="AD32" s="65" t="n">
        <f aca="false">-AD16*Inputs!$B$31</f>
        <v>-43830.612</v>
      </c>
      <c r="AE32" s="65" t="n">
        <f aca="false">-AE16*Inputs!$B$31</f>
        <v>-43830.612</v>
      </c>
      <c r="AF32" s="65" t="n">
        <f aca="false">-AF16*Inputs!$B$31</f>
        <v>-43830.612</v>
      </c>
      <c r="AG32" s="65" t="n">
        <f aca="false">-AG16*Inputs!$B$31</f>
        <v>-43830.612</v>
      </c>
      <c r="AH32" s="65" t="n">
        <f aca="false">-AH16*Inputs!$B$31</f>
        <v>-43830.612</v>
      </c>
      <c r="AI32" s="65" t="n">
        <f aca="false">-AI16*Inputs!$B$31</f>
        <v>-43830.612</v>
      </c>
      <c r="AJ32" s="65" t="n">
        <f aca="false">-AJ16*Inputs!$B$31</f>
        <v>-43830.612</v>
      </c>
      <c r="AK32" s="65" t="n">
        <f aca="false">-AK16*Inputs!$B$31</f>
        <v>-50965.74</v>
      </c>
      <c r="AL32" s="65" t="n">
        <f aca="false">-AL16*Inputs!$B$31</f>
        <v>-50965.74</v>
      </c>
      <c r="AM32" s="65" t="n">
        <f aca="false">-AM16*Inputs!$B$31</f>
        <v>-50733.6732</v>
      </c>
      <c r="AN32" s="65" t="n">
        <f aca="false">-AN16*Inputs!$B$31</f>
        <v>-50733.6732</v>
      </c>
      <c r="AO32" s="65" t="n">
        <f aca="false">-AO16*Inputs!$B$31</f>
        <v>-50733.6732</v>
      </c>
      <c r="AP32" s="65" t="n">
        <f aca="false">-AP16*Inputs!$B$31</f>
        <v>-50733.6732</v>
      </c>
      <c r="AQ32" s="65" t="n">
        <f aca="false">-AQ16*Inputs!$B$31</f>
        <v>-50733.6732</v>
      </c>
      <c r="AR32" s="65" t="n">
        <f aca="false">-AR16*Inputs!$B$31</f>
        <v>-50733.6732</v>
      </c>
      <c r="AS32" s="65" t="n">
        <f aca="false">-AS16*Inputs!$B$31</f>
        <v>-50733.6732</v>
      </c>
      <c r="AT32" s="65" t="n">
        <f aca="false">-AT16*Inputs!$B$31</f>
        <v>-50733.6732</v>
      </c>
      <c r="AU32" s="65" t="n">
        <f aca="false">-AU16*Inputs!$B$31</f>
        <v>-50733.6732</v>
      </c>
      <c r="AV32" s="65" t="n">
        <f aca="false">-AV16*Inputs!$B$31</f>
        <v>-50733.6732</v>
      </c>
      <c r="AW32" s="65" t="n">
        <f aca="false">-AW16*Inputs!$B$31</f>
        <v>-58582.314</v>
      </c>
      <c r="AX32" s="65" t="n">
        <f aca="false">-AX16*Inputs!$B$31</f>
        <v>-58582.314</v>
      </c>
      <c r="AY32" s="65" t="n">
        <f aca="false">-AY16*Inputs!$B$31</f>
        <v>-58831.04052</v>
      </c>
      <c r="AZ32" s="65" t="n">
        <f aca="false">-AZ16*Inputs!$B$31</f>
        <v>-58831.04052</v>
      </c>
      <c r="BA32" s="65" t="n">
        <f aca="false">-BA16*Inputs!$B$31</f>
        <v>-58831.04052</v>
      </c>
      <c r="BB32" s="65" t="n">
        <f aca="false">-BB16*Inputs!$B$31</f>
        <v>-58831.04052</v>
      </c>
      <c r="BC32" s="65" t="n">
        <f aca="false">-BC16*Inputs!$B$31</f>
        <v>-58831.04052</v>
      </c>
      <c r="BD32" s="65" t="n">
        <f aca="false">-BD16*Inputs!$B$31</f>
        <v>-58831.04052</v>
      </c>
      <c r="BE32" s="65" t="n">
        <f aca="false">-BE16*Inputs!$B$31</f>
        <v>-58831.04052</v>
      </c>
      <c r="BF32" s="65" t="n">
        <f aca="false">-BF16*Inputs!$B$31</f>
        <v>-58831.04052</v>
      </c>
      <c r="BG32" s="65" t="n">
        <f aca="false">-BG16*Inputs!$B$31</f>
        <v>-58831.04052</v>
      </c>
      <c r="BH32" s="65" t="n">
        <f aca="false">-BH16*Inputs!$B$31</f>
        <v>-58831.04052</v>
      </c>
      <c r="BI32" s="65" t="n">
        <f aca="false">-BI16*Inputs!$B$31</f>
        <v>-67464.5454</v>
      </c>
      <c r="BJ32" s="65" t="n">
        <f aca="false">-BJ16*Inputs!$B$31</f>
        <v>-67464.5454</v>
      </c>
    </row>
    <row r="33" customFormat="false" ht="15" hidden="false" customHeight="false" outlineLevel="0" collapsed="false">
      <c r="A33" s="6" t="s">
        <v>330</v>
      </c>
      <c r="C33" s="65" t="n">
        <f aca="false">-C27*Inputs!$B$32</f>
        <v>-8133.59946666667</v>
      </c>
      <c r="D33" s="65" t="n">
        <f aca="false">-D27*Inputs!$B$32</f>
        <v>-8133.59946666667</v>
      </c>
      <c r="E33" s="65" t="n">
        <f aca="false">-E27*Inputs!$B$32</f>
        <v>-8133.59946666667</v>
      </c>
      <c r="F33" s="65" t="n">
        <f aca="false">-F27*Inputs!$B$32</f>
        <v>-8133.59946666667</v>
      </c>
      <c r="G33" s="65" t="n">
        <f aca="false">-G27*Inputs!$B$32</f>
        <v>-8133.59946666667</v>
      </c>
      <c r="H33" s="65" t="n">
        <f aca="false">-H27*Inputs!$B$32</f>
        <v>-8133.59946666667</v>
      </c>
      <c r="I33" s="65" t="n">
        <f aca="false">-I27*Inputs!$B$32</f>
        <v>-8133.59946666667</v>
      </c>
      <c r="J33" s="65" t="n">
        <f aca="false">-J27*Inputs!$B$32</f>
        <v>-8133.59946666667</v>
      </c>
      <c r="K33" s="65" t="n">
        <f aca="false">-K27*Inputs!$B$32</f>
        <v>-8133.59946666667</v>
      </c>
      <c r="L33" s="65" t="n">
        <f aca="false">-L27*Inputs!$B$32</f>
        <v>-8133.59946666667</v>
      </c>
      <c r="M33" s="65" t="n">
        <f aca="false">-M27*Inputs!$B$32</f>
        <v>-9970.72266666667</v>
      </c>
      <c r="N33" s="65" t="n">
        <f aca="false">-N27*Inputs!$B$32</f>
        <v>-9970.72266666667</v>
      </c>
      <c r="O33" s="65" t="n">
        <f aca="false">-O27*Inputs!$B$32</f>
        <v>-10025.10608</v>
      </c>
      <c r="P33" s="65" t="n">
        <f aca="false">-P27*Inputs!$B$32</f>
        <v>-10025.10608</v>
      </c>
      <c r="Q33" s="65" t="n">
        <f aca="false">-Q27*Inputs!$B$32</f>
        <v>-10025.10608</v>
      </c>
      <c r="R33" s="65" t="n">
        <f aca="false">-R27*Inputs!$B$32</f>
        <v>-10025.10608</v>
      </c>
      <c r="S33" s="65" t="n">
        <f aca="false">-S27*Inputs!$B$32</f>
        <v>-10025.10608</v>
      </c>
      <c r="T33" s="65" t="n">
        <f aca="false">-T27*Inputs!$B$32</f>
        <v>-10025.10608</v>
      </c>
      <c r="U33" s="65" t="n">
        <f aca="false">-U27*Inputs!$B$32</f>
        <v>-10025.10608</v>
      </c>
      <c r="V33" s="65" t="n">
        <f aca="false">-V27*Inputs!$B$32</f>
        <v>-10025.10608</v>
      </c>
      <c r="W33" s="65" t="n">
        <f aca="false">-W27*Inputs!$B$32</f>
        <v>-10025.10608</v>
      </c>
      <c r="X33" s="65" t="n">
        <f aca="false">-X27*Inputs!$B$32</f>
        <v>-10025.10608</v>
      </c>
      <c r="Y33" s="65" t="n">
        <f aca="false">-Y27*Inputs!$B$32</f>
        <v>-12331.0616</v>
      </c>
      <c r="Z33" s="65" t="n">
        <f aca="false">-Z27*Inputs!$B$32</f>
        <v>-12331.0616</v>
      </c>
      <c r="AA33" s="65" t="n">
        <f aca="false">-AA27*Inputs!$B$32</f>
        <v>-12079.436688</v>
      </c>
      <c r="AB33" s="65" t="n">
        <f aca="false">-AB27*Inputs!$B$32</f>
        <v>-12079.436688</v>
      </c>
      <c r="AC33" s="65" t="n">
        <f aca="false">-AC27*Inputs!$B$32</f>
        <v>-12079.436688</v>
      </c>
      <c r="AD33" s="65" t="n">
        <f aca="false">-AD27*Inputs!$B$32</f>
        <v>-12079.436688</v>
      </c>
      <c r="AE33" s="65" t="n">
        <f aca="false">-AE27*Inputs!$B$32</f>
        <v>-12079.436688</v>
      </c>
      <c r="AF33" s="65" t="n">
        <f aca="false">-AF27*Inputs!$B$32</f>
        <v>-12079.436688</v>
      </c>
      <c r="AG33" s="65" t="n">
        <f aca="false">-AG27*Inputs!$B$32</f>
        <v>-12079.436688</v>
      </c>
      <c r="AH33" s="65" t="n">
        <f aca="false">-AH27*Inputs!$B$32</f>
        <v>-12079.436688</v>
      </c>
      <c r="AI33" s="65" t="n">
        <f aca="false">-AI27*Inputs!$B$32</f>
        <v>-12079.436688</v>
      </c>
      <c r="AJ33" s="65" t="n">
        <f aca="false">-AJ27*Inputs!$B$32</f>
        <v>-12079.436688</v>
      </c>
      <c r="AK33" s="65" t="n">
        <f aca="false">-AK27*Inputs!$B$32</f>
        <v>-14865.46776</v>
      </c>
      <c r="AL33" s="65" t="n">
        <f aca="false">-AL27*Inputs!$B$32</f>
        <v>-14865.46776</v>
      </c>
      <c r="AM33" s="65" t="n">
        <f aca="false">-AM27*Inputs!$B$32</f>
        <v>-14326.2203568</v>
      </c>
      <c r="AN33" s="65" t="n">
        <f aca="false">-AN27*Inputs!$B$32</f>
        <v>-14326.2203568</v>
      </c>
      <c r="AO33" s="65" t="n">
        <f aca="false">-AO27*Inputs!$B$32</f>
        <v>-14326.2203568</v>
      </c>
      <c r="AP33" s="65" t="n">
        <f aca="false">-AP27*Inputs!$B$32</f>
        <v>-14326.2203568</v>
      </c>
      <c r="AQ33" s="65" t="n">
        <f aca="false">-AQ27*Inputs!$B$32</f>
        <v>-14326.2203568</v>
      </c>
      <c r="AR33" s="65" t="n">
        <f aca="false">-AR27*Inputs!$B$32</f>
        <v>-14326.2203568</v>
      </c>
      <c r="AS33" s="65" t="n">
        <f aca="false">-AS27*Inputs!$B$32</f>
        <v>-14326.2203568</v>
      </c>
      <c r="AT33" s="65" t="n">
        <f aca="false">-AT27*Inputs!$B$32</f>
        <v>-14326.2203568</v>
      </c>
      <c r="AU33" s="65" t="n">
        <f aca="false">-AU27*Inputs!$B$32</f>
        <v>-14326.2203568</v>
      </c>
      <c r="AV33" s="65" t="n">
        <f aca="false">-AV27*Inputs!$B$32</f>
        <v>-14326.2203568</v>
      </c>
      <c r="AW33" s="65" t="n">
        <f aca="false">-AW27*Inputs!$B$32</f>
        <v>-17604.694536</v>
      </c>
      <c r="AX33" s="65" t="n">
        <f aca="false">-AX27*Inputs!$B$32</f>
        <v>-17604.694536</v>
      </c>
      <c r="AY33" s="65" t="n">
        <f aca="false">-AY27*Inputs!$B$32</f>
        <v>-16800.71839248</v>
      </c>
      <c r="AZ33" s="65" t="n">
        <f aca="false">-AZ27*Inputs!$B$32</f>
        <v>-16800.71839248</v>
      </c>
      <c r="BA33" s="65" t="n">
        <f aca="false">-BA27*Inputs!$B$32</f>
        <v>-16800.71839248</v>
      </c>
      <c r="BB33" s="65" t="n">
        <f aca="false">-BB27*Inputs!$B$32</f>
        <v>-16800.71839248</v>
      </c>
      <c r="BC33" s="65" t="n">
        <f aca="false">-BC27*Inputs!$B$32</f>
        <v>-16800.71839248</v>
      </c>
      <c r="BD33" s="65" t="n">
        <f aca="false">-BD27*Inputs!$B$32</f>
        <v>-16800.71839248</v>
      </c>
      <c r="BE33" s="65" t="n">
        <f aca="false">-BE27*Inputs!$B$32</f>
        <v>-16800.71839248</v>
      </c>
      <c r="BF33" s="65" t="n">
        <f aca="false">-BF27*Inputs!$B$32</f>
        <v>-16800.71839248</v>
      </c>
      <c r="BG33" s="65" t="n">
        <f aca="false">-BG27*Inputs!$B$32</f>
        <v>-16800.71839248</v>
      </c>
      <c r="BH33" s="65" t="n">
        <f aca="false">-BH27*Inputs!$B$32</f>
        <v>-16800.71839248</v>
      </c>
      <c r="BI33" s="65" t="n">
        <f aca="false">-BI27*Inputs!$B$32</f>
        <v>-20585.2399896</v>
      </c>
      <c r="BJ33" s="65" t="n">
        <f aca="false">-BJ27*Inputs!$B$32</f>
        <v>-20585.2399896</v>
      </c>
    </row>
    <row r="34" customFormat="false" ht="15" hidden="false" customHeight="false" outlineLevel="0" collapsed="false">
      <c r="A34" s="6" t="s">
        <v>331</v>
      </c>
      <c r="C34" s="65" t="n">
        <f aca="false">-Inputs!$B$13*(1+Inputs!$B$14)^(C$7-1)*1</f>
        <v>-50000</v>
      </c>
      <c r="D34" s="65" t="n">
        <f aca="false">-Inputs!$B$13*(1+Inputs!$B$14)^(D$7-1)*1</f>
        <v>-50000</v>
      </c>
      <c r="E34" s="65" t="n">
        <f aca="false">-Inputs!$B$13*(1+Inputs!$B$14)^(E$7-1)*1</f>
        <v>-50000</v>
      </c>
      <c r="F34" s="65" t="n">
        <f aca="false">-Inputs!$B$13*(1+Inputs!$B$14)^(F$7-1)*1</f>
        <v>-50000</v>
      </c>
      <c r="G34" s="65" t="n">
        <f aca="false">-Inputs!$B$13*(1+Inputs!$B$14)^(G$7-1)*1</f>
        <v>-50000</v>
      </c>
      <c r="H34" s="65" t="n">
        <f aca="false">-Inputs!$B$13*(1+Inputs!$B$14)^(H$7-1)*1</f>
        <v>-50000</v>
      </c>
      <c r="I34" s="65" t="n">
        <f aca="false">-Inputs!$B$13*(1+Inputs!$B$14)^(I$7-1)*1</f>
        <v>-50000</v>
      </c>
      <c r="J34" s="65" t="n">
        <f aca="false">-Inputs!$B$13*(1+Inputs!$B$14)^(J$7-1)*1</f>
        <v>-50000</v>
      </c>
      <c r="K34" s="65" t="n">
        <f aca="false">-Inputs!$B$13*(1+Inputs!$B$14)^(K$7-1)*1</f>
        <v>-50000</v>
      </c>
      <c r="L34" s="65" t="n">
        <f aca="false">-Inputs!$B$13*(1+Inputs!$B$14)^(L$7-1)*1</f>
        <v>-50000</v>
      </c>
      <c r="M34" s="65" t="n">
        <f aca="false">-Inputs!$B$13*(1+Inputs!$B$14)^(M$7-1)*1</f>
        <v>-50000</v>
      </c>
      <c r="N34" s="65" t="n">
        <f aca="false">-Inputs!$B$13*(1+Inputs!$B$14)^(N$7-1)*1</f>
        <v>-50000</v>
      </c>
      <c r="O34" s="65" t="n">
        <f aca="false">-Inputs!$B$13*(1+Inputs!$B$14)^(O$7-1)*1</f>
        <v>-60000</v>
      </c>
      <c r="P34" s="65" t="n">
        <f aca="false">-Inputs!$B$13*(1+Inputs!$B$14)^(P$7-1)*1</f>
        <v>-60000</v>
      </c>
      <c r="Q34" s="65" t="n">
        <f aca="false">-Inputs!$B$13*(1+Inputs!$B$14)^(Q$7-1)*1</f>
        <v>-60000</v>
      </c>
      <c r="R34" s="65" t="n">
        <f aca="false">-Inputs!$B$13*(1+Inputs!$B$14)^(R$7-1)*1</f>
        <v>-60000</v>
      </c>
      <c r="S34" s="65" t="n">
        <f aca="false">-Inputs!$B$13*(1+Inputs!$B$14)^(S$7-1)*1</f>
        <v>-60000</v>
      </c>
      <c r="T34" s="65" t="n">
        <f aca="false">-Inputs!$B$13*(1+Inputs!$B$14)^(T$7-1)*1</f>
        <v>-60000</v>
      </c>
      <c r="U34" s="65" t="n">
        <f aca="false">-Inputs!$B$13*(1+Inputs!$B$14)^(U$7-1)*1</f>
        <v>-60000</v>
      </c>
      <c r="V34" s="65" t="n">
        <f aca="false">-Inputs!$B$13*(1+Inputs!$B$14)^(V$7-1)*1</f>
        <v>-60000</v>
      </c>
      <c r="W34" s="65" t="n">
        <f aca="false">-Inputs!$B$13*(1+Inputs!$B$14)^(W$7-1)*1</f>
        <v>-60000</v>
      </c>
      <c r="X34" s="65" t="n">
        <f aca="false">-Inputs!$B$13*(1+Inputs!$B$14)^(X$7-1)*1</f>
        <v>-60000</v>
      </c>
      <c r="Y34" s="65" t="n">
        <f aca="false">-Inputs!$B$13*(1+Inputs!$B$14)^(Y$7-1)*1</f>
        <v>-60000</v>
      </c>
      <c r="Z34" s="65" t="n">
        <f aca="false">-Inputs!$B$13*(1+Inputs!$B$14)^(Z$7-1)*1</f>
        <v>-60000</v>
      </c>
      <c r="AA34" s="65" t="n">
        <f aca="false">-Inputs!$B$13*(1+Inputs!$B$14)^(AA$7-1)*1</f>
        <v>-72000</v>
      </c>
      <c r="AB34" s="65" t="n">
        <f aca="false">-Inputs!$B$13*(1+Inputs!$B$14)^(AB$7-1)*1</f>
        <v>-72000</v>
      </c>
      <c r="AC34" s="65" t="n">
        <f aca="false">-Inputs!$B$13*(1+Inputs!$B$14)^(AC$7-1)*1</f>
        <v>-72000</v>
      </c>
      <c r="AD34" s="65" t="n">
        <f aca="false">-Inputs!$B$13*(1+Inputs!$B$14)^(AD$7-1)*1</f>
        <v>-72000</v>
      </c>
      <c r="AE34" s="65" t="n">
        <f aca="false">-Inputs!$B$13*(1+Inputs!$B$14)^(AE$7-1)*1</f>
        <v>-72000</v>
      </c>
      <c r="AF34" s="65" t="n">
        <f aca="false">-Inputs!$B$13*(1+Inputs!$B$14)^(AF$7-1)*1</f>
        <v>-72000</v>
      </c>
      <c r="AG34" s="65" t="n">
        <f aca="false">-Inputs!$B$13*(1+Inputs!$B$14)^(AG$7-1)*1</f>
        <v>-72000</v>
      </c>
      <c r="AH34" s="65" t="n">
        <f aca="false">-Inputs!$B$13*(1+Inputs!$B$14)^(AH$7-1)*1</f>
        <v>-72000</v>
      </c>
      <c r="AI34" s="65" t="n">
        <f aca="false">-Inputs!$B$13*(1+Inputs!$B$14)^(AI$7-1)*1</f>
        <v>-72000</v>
      </c>
      <c r="AJ34" s="65" t="n">
        <f aca="false">-Inputs!$B$13*(1+Inputs!$B$14)^(AJ$7-1)*1</f>
        <v>-72000</v>
      </c>
      <c r="AK34" s="65" t="n">
        <f aca="false">-Inputs!$B$13*(1+Inputs!$B$14)^(AK$7-1)*1</f>
        <v>-72000</v>
      </c>
      <c r="AL34" s="65" t="n">
        <f aca="false">-Inputs!$B$13*(1+Inputs!$B$14)^(AL$7-1)*1</f>
        <v>-72000</v>
      </c>
      <c r="AM34" s="65" t="n">
        <f aca="false">-Inputs!$B$13*(1+Inputs!$B$14)^(AM$7-1)*1</f>
        <v>-86400</v>
      </c>
      <c r="AN34" s="65" t="n">
        <f aca="false">-Inputs!$B$13*(1+Inputs!$B$14)^(AN$7-1)*1</f>
        <v>-86400</v>
      </c>
      <c r="AO34" s="65" t="n">
        <f aca="false">-Inputs!$B$13*(1+Inputs!$B$14)^(AO$7-1)*1</f>
        <v>-86400</v>
      </c>
      <c r="AP34" s="65" t="n">
        <f aca="false">-Inputs!$B$13*(1+Inputs!$B$14)^(AP$7-1)*1</f>
        <v>-86400</v>
      </c>
      <c r="AQ34" s="65" t="n">
        <f aca="false">-Inputs!$B$13*(1+Inputs!$B$14)^(AQ$7-1)*1</f>
        <v>-86400</v>
      </c>
      <c r="AR34" s="65" t="n">
        <f aca="false">-Inputs!$B$13*(1+Inputs!$B$14)^(AR$7-1)*1</f>
        <v>-86400</v>
      </c>
      <c r="AS34" s="65" t="n">
        <f aca="false">-Inputs!$B$13*(1+Inputs!$B$14)^(AS$7-1)*1</f>
        <v>-86400</v>
      </c>
      <c r="AT34" s="65" t="n">
        <f aca="false">-Inputs!$B$13*(1+Inputs!$B$14)^(AT$7-1)*1</f>
        <v>-86400</v>
      </c>
      <c r="AU34" s="65" t="n">
        <f aca="false">-Inputs!$B$13*(1+Inputs!$B$14)^(AU$7-1)*1</f>
        <v>-86400</v>
      </c>
      <c r="AV34" s="65" t="n">
        <f aca="false">-Inputs!$B$13*(1+Inputs!$B$14)^(AV$7-1)*1</f>
        <v>-86400</v>
      </c>
      <c r="AW34" s="65" t="n">
        <f aca="false">-Inputs!$B$13*(1+Inputs!$B$14)^(AW$7-1)*1</f>
        <v>-86400</v>
      </c>
      <c r="AX34" s="65" t="n">
        <f aca="false">-Inputs!$B$13*(1+Inputs!$B$14)^(AX$7-1)*1</f>
        <v>-86400</v>
      </c>
      <c r="AY34" s="65" t="n">
        <f aca="false">-Inputs!$B$13*(1+Inputs!$B$14)^(AY$7-1)*1</f>
        <v>-103680</v>
      </c>
      <c r="AZ34" s="65" t="n">
        <f aca="false">-Inputs!$B$13*(1+Inputs!$B$14)^(AZ$7-1)*1</f>
        <v>-103680</v>
      </c>
      <c r="BA34" s="65" t="n">
        <f aca="false">-Inputs!$B$13*(1+Inputs!$B$14)^(BA$7-1)*1</f>
        <v>-103680</v>
      </c>
      <c r="BB34" s="65" t="n">
        <f aca="false">-Inputs!$B$13*(1+Inputs!$B$14)^(BB$7-1)*1</f>
        <v>-103680</v>
      </c>
      <c r="BC34" s="65" t="n">
        <f aca="false">-Inputs!$B$13*(1+Inputs!$B$14)^(BC$7-1)*1</f>
        <v>-103680</v>
      </c>
      <c r="BD34" s="65" t="n">
        <f aca="false">-Inputs!$B$13*(1+Inputs!$B$14)^(BD$7-1)*1</f>
        <v>-103680</v>
      </c>
      <c r="BE34" s="65" t="n">
        <f aca="false">-Inputs!$B$13*(1+Inputs!$B$14)^(BE$7-1)*1</f>
        <v>-103680</v>
      </c>
      <c r="BF34" s="65" t="n">
        <f aca="false">-Inputs!$B$13*(1+Inputs!$B$14)^(BF$7-1)*1</f>
        <v>-103680</v>
      </c>
      <c r="BG34" s="65" t="n">
        <f aca="false">-Inputs!$B$13*(1+Inputs!$B$14)^(BG$7-1)*1</f>
        <v>-103680</v>
      </c>
      <c r="BH34" s="65" t="n">
        <f aca="false">-Inputs!$B$13*(1+Inputs!$B$14)^(BH$7-1)*1</f>
        <v>-103680</v>
      </c>
      <c r="BI34" s="65" t="n">
        <f aca="false">-Inputs!$B$13*(1+Inputs!$B$14)^(BI$7-1)*1</f>
        <v>-103680</v>
      </c>
      <c r="BJ34" s="65" t="n">
        <f aca="false">-Inputs!$B$13*(1+Inputs!$B$14)^(BJ$7-1)*1</f>
        <v>-103680</v>
      </c>
    </row>
    <row r="35" customFormat="false" ht="15" hidden="false" customHeight="false" outlineLevel="0" collapsed="false">
      <c r="A35" s="6" t="s">
        <v>332</v>
      </c>
      <c r="C35" s="65" t="n">
        <f aca="false">C112</f>
        <v>-104841.666666667</v>
      </c>
      <c r="D35" s="65" t="n">
        <f aca="false">D112</f>
        <v>-104841.666666667</v>
      </c>
      <c r="E35" s="65" t="n">
        <f aca="false">E112</f>
        <v>-104841.666666667</v>
      </c>
      <c r="F35" s="65" t="n">
        <f aca="false">F112</f>
        <v>-104841.666666667</v>
      </c>
      <c r="G35" s="65" t="n">
        <f aca="false">G112</f>
        <v>-104841.666666667</v>
      </c>
      <c r="H35" s="65" t="n">
        <f aca="false">H112</f>
        <v>-104841.666666667</v>
      </c>
      <c r="I35" s="65" t="n">
        <f aca="false">I112</f>
        <v>-104841.666666667</v>
      </c>
      <c r="J35" s="65" t="n">
        <f aca="false">J112</f>
        <v>-104841.666666667</v>
      </c>
      <c r="K35" s="65" t="n">
        <f aca="false">K112</f>
        <v>-104841.666666667</v>
      </c>
      <c r="L35" s="65" t="n">
        <f aca="false">L112</f>
        <v>-104841.666666667</v>
      </c>
      <c r="M35" s="65" t="n">
        <f aca="false">M112</f>
        <v>-104841.666666667</v>
      </c>
      <c r="N35" s="65" t="n">
        <f aca="false">N112</f>
        <v>-104841.666666667</v>
      </c>
      <c r="O35" s="65" t="n">
        <f aca="false">O112</f>
        <v>-131548.595833333</v>
      </c>
      <c r="P35" s="65" t="n">
        <f aca="false">P112</f>
        <v>-131548.595833333</v>
      </c>
      <c r="Q35" s="65" t="n">
        <f aca="false">Q112</f>
        <v>-131548.595833333</v>
      </c>
      <c r="R35" s="65" t="n">
        <f aca="false">R112</f>
        <v>-131548.595833333</v>
      </c>
      <c r="S35" s="65" t="n">
        <f aca="false">S112</f>
        <v>-131548.595833333</v>
      </c>
      <c r="T35" s="65" t="n">
        <f aca="false">T112</f>
        <v>-131548.595833333</v>
      </c>
      <c r="U35" s="65" t="n">
        <f aca="false">U112</f>
        <v>-131548.595833333</v>
      </c>
      <c r="V35" s="65" t="n">
        <f aca="false">V112</f>
        <v>-131548.595833333</v>
      </c>
      <c r="W35" s="65" t="n">
        <f aca="false">W112</f>
        <v>-131548.595833333</v>
      </c>
      <c r="X35" s="65" t="n">
        <f aca="false">X112</f>
        <v>-131548.595833333</v>
      </c>
      <c r="Y35" s="65" t="n">
        <f aca="false">Y112</f>
        <v>-131548.595833333</v>
      </c>
      <c r="Z35" s="65" t="n">
        <f aca="false">Z112</f>
        <v>-131548.595833333</v>
      </c>
      <c r="AA35" s="65" t="n">
        <f aca="false">AA112</f>
        <v>-165384.386164583</v>
      </c>
      <c r="AB35" s="65" t="n">
        <f aca="false">AB112</f>
        <v>-165384.386164583</v>
      </c>
      <c r="AC35" s="65" t="n">
        <f aca="false">AC112</f>
        <v>-165384.386164583</v>
      </c>
      <c r="AD35" s="65" t="n">
        <f aca="false">AD112</f>
        <v>-165384.386164583</v>
      </c>
      <c r="AE35" s="65" t="n">
        <f aca="false">AE112</f>
        <v>-165384.386164583</v>
      </c>
      <c r="AF35" s="65" t="n">
        <f aca="false">AF112</f>
        <v>-165384.386164583</v>
      </c>
      <c r="AG35" s="65" t="n">
        <f aca="false">AG112</f>
        <v>-165384.386164583</v>
      </c>
      <c r="AH35" s="65" t="n">
        <f aca="false">AH112</f>
        <v>-165384.386164583</v>
      </c>
      <c r="AI35" s="65" t="n">
        <f aca="false">AI112</f>
        <v>-165384.386164583</v>
      </c>
      <c r="AJ35" s="65" t="n">
        <f aca="false">AJ112</f>
        <v>-165384.386164583</v>
      </c>
      <c r="AK35" s="65" t="n">
        <f aca="false">AK112</f>
        <v>-165384.386164583</v>
      </c>
      <c r="AL35" s="65" t="n">
        <f aca="false">AL112</f>
        <v>-165384.386164583</v>
      </c>
      <c r="AM35" s="65" t="n">
        <f aca="false">AM112</f>
        <v>-208341.015579049</v>
      </c>
      <c r="AN35" s="65" t="n">
        <f aca="false">AN112</f>
        <v>-208341.015579049</v>
      </c>
      <c r="AO35" s="65" t="n">
        <f aca="false">AO112</f>
        <v>-208341.015579049</v>
      </c>
      <c r="AP35" s="65" t="n">
        <f aca="false">AP112</f>
        <v>-208341.015579049</v>
      </c>
      <c r="AQ35" s="65" t="n">
        <f aca="false">AQ112</f>
        <v>-208341.015579049</v>
      </c>
      <c r="AR35" s="65" t="n">
        <f aca="false">AR112</f>
        <v>-208341.015579049</v>
      </c>
      <c r="AS35" s="65" t="n">
        <f aca="false">AS112</f>
        <v>-208341.015579049</v>
      </c>
      <c r="AT35" s="65" t="n">
        <f aca="false">AT112</f>
        <v>-208341.015579049</v>
      </c>
      <c r="AU35" s="65" t="n">
        <f aca="false">AU112</f>
        <v>-208341.015579049</v>
      </c>
      <c r="AV35" s="65" t="n">
        <f aca="false">AV112</f>
        <v>-208341.015579049</v>
      </c>
      <c r="AW35" s="65" t="n">
        <f aca="false">AW112</f>
        <v>-208341.015579049</v>
      </c>
      <c r="AX35" s="65" t="n">
        <f aca="false">AX112</f>
        <v>-208341.015579049</v>
      </c>
      <c r="AY35" s="65" t="n">
        <f aca="false">AY112</f>
        <v>-262990.962741368</v>
      </c>
      <c r="AZ35" s="65" t="n">
        <f aca="false">AZ112</f>
        <v>-262990.962741368</v>
      </c>
      <c r="BA35" s="65" t="n">
        <f aca="false">BA112</f>
        <v>-262990.962741368</v>
      </c>
      <c r="BB35" s="65" t="n">
        <f aca="false">BB112</f>
        <v>-262990.962741368</v>
      </c>
      <c r="BC35" s="65" t="n">
        <f aca="false">BC112</f>
        <v>-262990.962741368</v>
      </c>
      <c r="BD35" s="65" t="n">
        <f aca="false">BD112</f>
        <v>-262990.962741368</v>
      </c>
      <c r="BE35" s="65" t="n">
        <f aca="false">BE112</f>
        <v>-262990.962741368</v>
      </c>
      <c r="BF35" s="65" t="n">
        <f aca="false">BF112</f>
        <v>-262990.962741368</v>
      </c>
      <c r="BG35" s="65" t="n">
        <f aca="false">BG112</f>
        <v>-262990.962741368</v>
      </c>
      <c r="BH35" s="65" t="n">
        <f aca="false">BH112</f>
        <v>-262990.962741368</v>
      </c>
      <c r="BI35" s="65" t="n">
        <f aca="false">BI112</f>
        <v>-262990.962741368</v>
      </c>
      <c r="BJ35" s="65" t="n">
        <f aca="false">BJ112</f>
        <v>-262990.962741368</v>
      </c>
    </row>
    <row r="36" customFormat="false" ht="15" hidden="false" customHeight="false" outlineLevel="0" collapsed="false">
      <c r="A36" s="6" t="s">
        <v>333</v>
      </c>
      <c r="C36" s="65" t="n">
        <f aca="false">-C21*Inputs!$B$20*Inputs!$B$23/12*1</f>
        <v>-10000</v>
      </c>
      <c r="D36" s="65" t="n">
        <f aca="false">-D21*Inputs!$B$20*Inputs!$B$23/12*1</f>
        <v>-10000</v>
      </c>
      <c r="E36" s="65" t="n">
        <f aca="false">-E21*Inputs!$B$20*Inputs!$B$23/12*1</f>
        <v>-10000</v>
      </c>
      <c r="F36" s="65" t="n">
        <f aca="false">-F21*Inputs!$B$20*Inputs!$B$23/12*1</f>
        <v>-10000</v>
      </c>
      <c r="G36" s="65" t="n">
        <f aca="false">-G21*Inputs!$B$20*Inputs!$B$23/12*1</f>
        <v>-10000</v>
      </c>
      <c r="H36" s="65" t="n">
        <f aca="false">-H21*Inputs!$B$20*Inputs!$B$23/12*1</f>
        <v>-10000</v>
      </c>
      <c r="I36" s="65" t="n">
        <f aca="false">-I21*Inputs!$B$20*Inputs!$B$23/12*1</f>
        <v>-10000</v>
      </c>
      <c r="J36" s="65" t="n">
        <f aca="false">-J21*Inputs!$B$20*Inputs!$B$23/12*1</f>
        <v>-10000</v>
      </c>
      <c r="K36" s="65" t="n">
        <f aca="false">-K21*Inputs!$B$20*Inputs!$B$23/12*1</f>
        <v>-10000</v>
      </c>
      <c r="L36" s="65" t="n">
        <f aca="false">-L21*Inputs!$B$20*Inputs!$B$23/12*1</f>
        <v>-10000</v>
      </c>
      <c r="M36" s="65" t="n">
        <f aca="false">-M21*Inputs!$B$20*Inputs!$B$23/12*1</f>
        <v>-10000</v>
      </c>
      <c r="N36" s="65" t="n">
        <f aca="false">-N21*Inputs!$B$20*Inputs!$B$23/12*1</f>
        <v>-10000</v>
      </c>
      <c r="O36" s="65" t="n">
        <f aca="false">-O21*Inputs!$B$20*Inputs!$B$23/12*1</f>
        <v>-15000</v>
      </c>
      <c r="P36" s="65" t="n">
        <f aca="false">-P21*Inputs!$B$20*Inputs!$B$23/12*1</f>
        <v>-15000</v>
      </c>
      <c r="Q36" s="65" t="n">
        <f aca="false">-Q21*Inputs!$B$20*Inputs!$B$23/12*1</f>
        <v>-15000</v>
      </c>
      <c r="R36" s="65" t="n">
        <f aca="false">-R21*Inputs!$B$20*Inputs!$B$23/12*1</f>
        <v>-15000</v>
      </c>
      <c r="S36" s="65" t="n">
        <f aca="false">-S21*Inputs!$B$20*Inputs!$B$23/12*1</f>
        <v>-15000</v>
      </c>
      <c r="T36" s="65" t="n">
        <f aca="false">-T21*Inputs!$B$20*Inputs!$B$23/12*1</f>
        <v>-15000</v>
      </c>
      <c r="U36" s="65" t="n">
        <f aca="false">-U21*Inputs!$B$20*Inputs!$B$23/12*1</f>
        <v>-15000</v>
      </c>
      <c r="V36" s="65" t="n">
        <f aca="false">-V21*Inputs!$B$20*Inputs!$B$23/12*1</f>
        <v>-15000</v>
      </c>
      <c r="W36" s="65" t="n">
        <f aca="false">-W21*Inputs!$B$20*Inputs!$B$23/12*1</f>
        <v>-15000</v>
      </c>
      <c r="X36" s="65" t="n">
        <f aca="false">-X21*Inputs!$B$20*Inputs!$B$23/12*1</f>
        <v>-15000</v>
      </c>
      <c r="Y36" s="65" t="n">
        <f aca="false">-Y21*Inputs!$B$20*Inputs!$B$23/12*1</f>
        <v>-15000</v>
      </c>
      <c r="Z36" s="65" t="n">
        <f aca="false">-Z21*Inputs!$B$20*Inputs!$B$23/12*1</f>
        <v>-15000</v>
      </c>
      <c r="AA36" s="65" t="n">
        <f aca="false">-AA21*Inputs!$B$20*Inputs!$B$23/12*1</f>
        <v>-20000</v>
      </c>
      <c r="AB36" s="65" t="n">
        <f aca="false">-AB21*Inputs!$B$20*Inputs!$B$23/12*1</f>
        <v>-20000</v>
      </c>
      <c r="AC36" s="65" t="n">
        <f aca="false">-AC21*Inputs!$B$20*Inputs!$B$23/12*1</f>
        <v>-20000</v>
      </c>
      <c r="AD36" s="65" t="n">
        <f aca="false">-AD21*Inputs!$B$20*Inputs!$B$23/12*1</f>
        <v>-20000</v>
      </c>
      <c r="AE36" s="65" t="n">
        <f aca="false">-AE21*Inputs!$B$20*Inputs!$B$23/12*1</f>
        <v>-20000</v>
      </c>
      <c r="AF36" s="65" t="n">
        <f aca="false">-AF21*Inputs!$B$20*Inputs!$B$23/12*1</f>
        <v>-20000</v>
      </c>
      <c r="AG36" s="65" t="n">
        <f aca="false">-AG21*Inputs!$B$20*Inputs!$B$23/12*1</f>
        <v>-20000</v>
      </c>
      <c r="AH36" s="65" t="n">
        <f aca="false">-AH21*Inputs!$B$20*Inputs!$B$23/12*1</f>
        <v>-20000</v>
      </c>
      <c r="AI36" s="65" t="n">
        <f aca="false">-AI21*Inputs!$B$20*Inputs!$B$23/12*1</f>
        <v>-20000</v>
      </c>
      <c r="AJ36" s="65" t="n">
        <f aca="false">-AJ21*Inputs!$B$20*Inputs!$B$23/12*1</f>
        <v>-20000</v>
      </c>
      <c r="AK36" s="65" t="n">
        <f aca="false">-AK21*Inputs!$B$20*Inputs!$B$23/12*1</f>
        <v>-20000</v>
      </c>
      <c r="AL36" s="65" t="n">
        <f aca="false">-AL21*Inputs!$B$20*Inputs!$B$23/12*1</f>
        <v>-20000</v>
      </c>
      <c r="AM36" s="65" t="n">
        <f aca="false">-AM21*Inputs!$B$20*Inputs!$B$23/12*1</f>
        <v>-25000</v>
      </c>
      <c r="AN36" s="65" t="n">
        <f aca="false">-AN21*Inputs!$B$20*Inputs!$B$23/12*1</f>
        <v>-25000</v>
      </c>
      <c r="AO36" s="65" t="n">
        <f aca="false">-AO21*Inputs!$B$20*Inputs!$B$23/12*1</f>
        <v>-25000</v>
      </c>
      <c r="AP36" s="65" t="n">
        <f aca="false">-AP21*Inputs!$B$20*Inputs!$B$23/12*1</f>
        <v>-25000</v>
      </c>
      <c r="AQ36" s="65" t="n">
        <f aca="false">-AQ21*Inputs!$B$20*Inputs!$B$23/12*1</f>
        <v>-25000</v>
      </c>
      <c r="AR36" s="65" t="n">
        <f aca="false">-AR21*Inputs!$B$20*Inputs!$B$23/12*1</f>
        <v>-25000</v>
      </c>
      <c r="AS36" s="65" t="n">
        <f aca="false">-AS21*Inputs!$B$20*Inputs!$B$23/12*1</f>
        <v>-25000</v>
      </c>
      <c r="AT36" s="65" t="n">
        <f aca="false">-AT21*Inputs!$B$20*Inputs!$B$23/12*1</f>
        <v>-25000</v>
      </c>
      <c r="AU36" s="65" t="n">
        <f aca="false">-AU21*Inputs!$B$20*Inputs!$B$23/12*1</f>
        <v>-25000</v>
      </c>
      <c r="AV36" s="65" t="n">
        <f aca="false">-AV21*Inputs!$B$20*Inputs!$B$23/12*1</f>
        <v>-25000</v>
      </c>
      <c r="AW36" s="65" t="n">
        <f aca="false">-AW21*Inputs!$B$20*Inputs!$B$23/12*1</f>
        <v>-25000</v>
      </c>
      <c r="AX36" s="65" t="n">
        <f aca="false">-AX21*Inputs!$B$20*Inputs!$B$23/12*1</f>
        <v>-25000</v>
      </c>
      <c r="AY36" s="65" t="n">
        <f aca="false">-AY21*Inputs!$B$20*Inputs!$B$23/12*1</f>
        <v>-30000</v>
      </c>
      <c r="AZ36" s="65" t="n">
        <f aca="false">-AZ21*Inputs!$B$20*Inputs!$B$23/12*1</f>
        <v>-30000</v>
      </c>
      <c r="BA36" s="65" t="n">
        <f aca="false">-BA21*Inputs!$B$20*Inputs!$B$23/12*1</f>
        <v>-30000</v>
      </c>
      <c r="BB36" s="65" t="n">
        <f aca="false">-BB21*Inputs!$B$20*Inputs!$B$23/12*1</f>
        <v>-30000</v>
      </c>
      <c r="BC36" s="65" t="n">
        <f aca="false">-BC21*Inputs!$B$20*Inputs!$B$23/12*1</f>
        <v>-30000</v>
      </c>
      <c r="BD36" s="65" t="n">
        <f aca="false">-BD21*Inputs!$B$20*Inputs!$B$23/12*1</f>
        <v>-30000</v>
      </c>
      <c r="BE36" s="65" t="n">
        <f aca="false">-BE21*Inputs!$B$20*Inputs!$B$23/12*1</f>
        <v>-30000</v>
      </c>
      <c r="BF36" s="65" t="n">
        <f aca="false">-BF21*Inputs!$B$20*Inputs!$B$23/12*1</f>
        <v>-30000</v>
      </c>
      <c r="BG36" s="65" t="n">
        <f aca="false">-BG21*Inputs!$B$20*Inputs!$B$23/12*1</f>
        <v>-30000</v>
      </c>
      <c r="BH36" s="65" t="n">
        <f aca="false">-BH21*Inputs!$B$20*Inputs!$B$23/12*1</f>
        <v>-30000</v>
      </c>
      <c r="BI36" s="65" t="n">
        <f aca="false">-BI21*Inputs!$B$20*Inputs!$B$23/12*1</f>
        <v>-30000</v>
      </c>
      <c r="BJ36" s="65" t="n">
        <f aca="false">-BJ21*Inputs!$B$20*Inputs!$B$23/12*1</f>
        <v>-30000</v>
      </c>
    </row>
    <row r="37" customFormat="false" ht="15" hidden="false" customHeight="false" outlineLevel="0" collapsed="false">
      <c r="A37" s="6" t="s">
        <v>334</v>
      </c>
      <c r="C37" s="65" t="n">
        <f aca="false">-C21*Inputs!$B$24*1</f>
        <v>-5000</v>
      </c>
      <c r="D37" s="65" t="n">
        <f aca="false">-D21*Inputs!$B$24*1</f>
        <v>-5000</v>
      </c>
      <c r="E37" s="65" t="n">
        <f aca="false">-E21*Inputs!$B$24*1</f>
        <v>-5000</v>
      </c>
      <c r="F37" s="65" t="n">
        <f aca="false">-F21*Inputs!$B$24*1</f>
        <v>-5000</v>
      </c>
      <c r="G37" s="65" t="n">
        <f aca="false">-G21*Inputs!$B$24*1</f>
        <v>-5000</v>
      </c>
      <c r="H37" s="65" t="n">
        <f aca="false">-H21*Inputs!$B$24*1</f>
        <v>-5000</v>
      </c>
      <c r="I37" s="65" t="n">
        <f aca="false">-I21*Inputs!$B$24*1</f>
        <v>-5000</v>
      </c>
      <c r="J37" s="65" t="n">
        <f aca="false">-J21*Inputs!$B$24*1</f>
        <v>-5000</v>
      </c>
      <c r="K37" s="65" t="n">
        <f aca="false">-K21*Inputs!$B$24*1</f>
        <v>-5000</v>
      </c>
      <c r="L37" s="65" t="n">
        <f aca="false">-L21*Inputs!$B$24*1</f>
        <v>-5000</v>
      </c>
      <c r="M37" s="65" t="n">
        <f aca="false">-M21*Inputs!$B$24*1</f>
        <v>-5000</v>
      </c>
      <c r="N37" s="65" t="n">
        <f aca="false">-N21*Inputs!$B$24*1</f>
        <v>-5000</v>
      </c>
      <c r="O37" s="65" t="n">
        <f aca="false">-O21*Inputs!$B$24*1</f>
        <v>-7500</v>
      </c>
      <c r="P37" s="65" t="n">
        <f aca="false">-P21*Inputs!$B$24*1</f>
        <v>-7500</v>
      </c>
      <c r="Q37" s="65" t="n">
        <f aca="false">-Q21*Inputs!$B$24*1</f>
        <v>-7500</v>
      </c>
      <c r="R37" s="65" t="n">
        <f aca="false">-R21*Inputs!$B$24*1</f>
        <v>-7500</v>
      </c>
      <c r="S37" s="65" t="n">
        <f aca="false">-S21*Inputs!$B$24*1</f>
        <v>-7500</v>
      </c>
      <c r="T37" s="65" t="n">
        <f aca="false">-T21*Inputs!$B$24*1</f>
        <v>-7500</v>
      </c>
      <c r="U37" s="65" t="n">
        <f aca="false">-U21*Inputs!$B$24*1</f>
        <v>-7500</v>
      </c>
      <c r="V37" s="65" t="n">
        <f aca="false">-V21*Inputs!$B$24*1</f>
        <v>-7500</v>
      </c>
      <c r="W37" s="65" t="n">
        <f aca="false">-W21*Inputs!$B$24*1</f>
        <v>-7500</v>
      </c>
      <c r="X37" s="65" t="n">
        <f aca="false">-X21*Inputs!$B$24*1</f>
        <v>-7500</v>
      </c>
      <c r="Y37" s="65" t="n">
        <f aca="false">-Y21*Inputs!$B$24*1</f>
        <v>-7500</v>
      </c>
      <c r="Z37" s="65" t="n">
        <f aca="false">-Z21*Inputs!$B$24*1</f>
        <v>-7500</v>
      </c>
      <c r="AA37" s="65" t="n">
        <f aca="false">-AA21*Inputs!$B$24*1</f>
        <v>-10000</v>
      </c>
      <c r="AB37" s="65" t="n">
        <f aca="false">-AB21*Inputs!$B$24*1</f>
        <v>-10000</v>
      </c>
      <c r="AC37" s="65" t="n">
        <f aca="false">-AC21*Inputs!$B$24*1</f>
        <v>-10000</v>
      </c>
      <c r="AD37" s="65" t="n">
        <f aca="false">-AD21*Inputs!$B$24*1</f>
        <v>-10000</v>
      </c>
      <c r="AE37" s="65" t="n">
        <f aca="false">-AE21*Inputs!$B$24*1</f>
        <v>-10000</v>
      </c>
      <c r="AF37" s="65" t="n">
        <f aca="false">-AF21*Inputs!$B$24*1</f>
        <v>-10000</v>
      </c>
      <c r="AG37" s="65" t="n">
        <f aca="false">-AG21*Inputs!$B$24*1</f>
        <v>-10000</v>
      </c>
      <c r="AH37" s="65" t="n">
        <f aca="false">-AH21*Inputs!$B$24*1</f>
        <v>-10000</v>
      </c>
      <c r="AI37" s="65" t="n">
        <f aca="false">-AI21*Inputs!$B$24*1</f>
        <v>-10000</v>
      </c>
      <c r="AJ37" s="65" t="n">
        <f aca="false">-AJ21*Inputs!$B$24*1</f>
        <v>-10000</v>
      </c>
      <c r="AK37" s="65" t="n">
        <f aca="false">-AK21*Inputs!$B$24*1</f>
        <v>-10000</v>
      </c>
      <c r="AL37" s="65" t="n">
        <f aca="false">-AL21*Inputs!$B$24*1</f>
        <v>-10000</v>
      </c>
      <c r="AM37" s="65" t="n">
        <f aca="false">-AM21*Inputs!$B$24*1</f>
        <v>-12500</v>
      </c>
      <c r="AN37" s="65" t="n">
        <f aca="false">-AN21*Inputs!$B$24*1</f>
        <v>-12500</v>
      </c>
      <c r="AO37" s="65" t="n">
        <f aca="false">-AO21*Inputs!$B$24*1</f>
        <v>-12500</v>
      </c>
      <c r="AP37" s="65" t="n">
        <f aca="false">-AP21*Inputs!$B$24*1</f>
        <v>-12500</v>
      </c>
      <c r="AQ37" s="65" t="n">
        <f aca="false">-AQ21*Inputs!$B$24*1</f>
        <v>-12500</v>
      </c>
      <c r="AR37" s="65" t="n">
        <f aca="false">-AR21*Inputs!$B$24*1</f>
        <v>-12500</v>
      </c>
      <c r="AS37" s="65" t="n">
        <f aca="false">-AS21*Inputs!$B$24*1</f>
        <v>-12500</v>
      </c>
      <c r="AT37" s="65" t="n">
        <f aca="false">-AT21*Inputs!$B$24*1</f>
        <v>-12500</v>
      </c>
      <c r="AU37" s="65" t="n">
        <f aca="false">-AU21*Inputs!$B$24*1</f>
        <v>-12500</v>
      </c>
      <c r="AV37" s="65" t="n">
        <f aca="false">-AV21*Inputs!$B$24*1</f>
        <v>-12500</v>
      </c>
      <c r="AW37" s="65" t="n">
        <f aca="false">-AW21*Inputs!$B$24*1</f>
        <v>-12500</v>
      </c>
      <c r="AX37" s="65" t="n">
        <f aca="false">-AX21*Inputs!$B$24*1</f>
        <v>-12500</v>
      </c>
      <c r="AY37" s="65" t="n">
        <f aca="false">-AY21*Inputs!$B$24*1</f>
        <v>-15000</v>
      </c>
      <c r="AZ37" s="65" t="n">
        <f aca="false">-AZ21*Inputs!$B$24*1</f>
        <v>-15000</v>
      </c>
      <c r="BA37" s="65" t="n">
        <f aca="false">-BA21*Inputs!$B$24*1</f>
        <v>-15000</v>
      </c>
      <c r="BB37" s="65" t="n">
        <f aca="false">-BB21*Inputs!$B$24*1</f>
        <v>-15000</v>
      </c>
      <c r="BC37" s="65" t="n">
        <f aca="false">-BC21*Inputs!$B$24*1</f>
        <v>-15000</v>
      </c>
      <c r="BD37" s="65" t="n">
        <f aca="false">-BD21*Inputs!$B$24*1</f>
        <v>-15000</v>
      </c>
      <c r="BE37" s="65" t="n">
        <f aca="false">-BE21*Inputs!$B$24*1</f>
        <v>-15000</v>
      </c>
      <c r="BF37" s="65" t="n">
        <f aca="false">-BF21*Inputs!$B$24*1</f>
        <v>-15000</v>
      </c>
      <c r="BG37" s="65" t="n">
        <f aca="false">-BG21*Inputs!$B$24*1</f>
        <v>-15000</v>
      </c>
      <c r="BH37" s="65" t="n">
        <f aca="false">-BH21*Inputs!$B$24*1</f>
        <v>-15000</v>
      </c>
      <c r="BI37" s="65" t="n">
        <f aca="false">-BI21*Inputs!$B$24*1</f>
        <v>-15000</v>
      </c>
      <c r="BJ37" s="65" t="n">
        <f aca="false">-BJ21*Inputs!$B$24*1</f>
        <v>-15000</v>
      </c>
    </row>
    <row r="38" customFormat="false" ht="15" hidden="false" customHeight="false" outlineLevel="0" collapsed="false">
      <c r="A38" s="6" t="s">
        <v>335</v>
      </c>
      <c r="C38" s="65" t="n">
        <f aca="false">-Inputs!$B$33*1</f>
        <v>-4000</v>
      </c>
      <c r="D38" s="65" t="n">
        <f aca="false">-Inputs!$B$33*1</f>
        <v>-4000</v>
      </c>
      <c r="E38" s="65" t="n">
        <f aca="false">-Inputs!$B$33*1</f>
        <v>-4000</v>
      </c>
      <c r="F38" s="65" t="n">
        <f aca="false">-Inputs!$B$33*1</f>
        <v>-4000</v>
      </c>
      <c r="G38" s="65" t="n">
        <f aca="false">-Inputs!$B$33*1</f>
        <v>-4000</v>
      </c>
      <c r="H38" s="65" t="n">
        <f aca="false">-Inputs!$B$33*1</f>
        <v>-4000</v>
      </c>
      <c r="I38" s="65" t="n">
        <f aca="false">-Inputs!$B$33*1</f>
        <v>-4000</v>
      </c>
      <c r="J38" s="65" t="n">
        <f aca="false">-Inputs!$B$33*1</f>
        <v>-4000</v>
      </c>
      <c r="K38" s="65" t="n">
        <f aca="false">-Inputs!$B$33*1</f>
        <v>-4000</v>
      </c>
      <c r="L38" s="65" t="n">
        <f aca="false">-Inputs!$B$33*1</f>
        <v>-4000</v>
      </c>
      <c r="M38" s="65" t="n">
        <f aca="false">-Inputs!$B$33*1</f>
        <v>-4000</v>
      </c>
      <c r="N38" s="65" t="n">
        <f aca="false">-Inputs!$B$33*1</f>
        <v>-4000</v>
      </c>
      <c r="O38" s="65" t="n">
        <f aca="false">-Inputs!$B$33*1</f>
        <v>-4000</v>
      </c>
      <c r="P38" s="65" t="n">
        <f aca="false">-Inputs!$B$33*1</f>
        <v>-4000</v>
      </c>
      <c r="Q38" s="65" t="n">
        <f aca="false">-Inputs!$B$33*1</f>
        <v>-4000</v>
      </c>
      <c r="R38" s="65" t="n">
        <f aca="false">-Inputs!$B$33*1</f>
        <v>-4000</v>
      </c>
      <c r="S38" s="65" t="n">
        <f aca="false">-Inputs!$B$33*1</f>
        <v>-4000</v>
      </c>
      <c r="T38" s="65" t="n">
        <f aca="false">-Inputs!$B$33*1</f>
        <v>-4000</v>
      </c>
      <c r="U38" s="65" t="n">
        <f aca="false">-Inputs!$B$33*1</f>
        <v>-4000</v>
      </c>
      <c r="V38" s="65" t="n">
        <f aca="false">-Inputs!$B$33*1</f>
        <v>-4000</v>
      </c>
      <c r="W38" s="65" t="n">
        <f aca="false">-Inputs!$B$33*1</f>
        <v>-4000</v>
      </c>
      <c r="X38" s="65" t="n">
        <f aca="false">-Inputs!$B$33*1</f>
        <v>-4000</v>
      </c>
      <c r="Y38" s="65" t="n">
        <f aca="false">-Inputs!$B$33*1</f>
        <v>-4000</v>
      </c>
      <c r="Z38" s="65" t="n">
        <f aca="false">-Inputs!$B$33*1</f>
        <v>-4000</v>
      </c>
      <c r="AA38" s="65" t="n">
        <f aca="false">-Inputs!$B$33*1</f>
        <v>-4000</v>
      </c>
      <c r="AB38" s="65" t="n">
        <f aca="false">-Inputs!$B$33*1</f>
        <v>-4000</v>
      </c>
      <c r="AC38" s="65" t="n">
        <f aca="false">-Inputs!$B$33*1</f>
        <v>-4000</v>
      </c>
      <c r="AD38" s="65" t="n">
        <f aca="false">-Inputs!$B$33*1</f>
        <v>-4000</v>
      </c>
      <c r="AE38" s="65" t="n">
        <f aca="false">-Inputs!$B$33*1</f>
        <v>-4000</v>
      </c>
      <c r="AF38" s="65" t="n">
        <f aca="false">-Inputs!$B$33*1</f>
        <v>-4000</v>
      </c>
      <c r="AG38" s="65" t="n">
        <f aca="false">-Inputs!$B$33*1</f>
        <v>-4000</v>
      </c>
      <c r="AH38" s="65" t="n">
        <f aca="false">-Inputs!$B$33*1</f>
        <v>-4000</v>
      </c>
      <c r="AI38" s="65" t="n">
        <f aca="false">-Inputs!$B$33*1</f>
        <v>-4000</v>
      </c>
      <c r="AJ38" s="65" t="n">
        <f aca="false">-Inputs!$B$33*1</f>
        <v>-4000</v>
      </c>
      <c r="AK38" s="65" t="n">
        <f aca="false">-Inputs!$B$33*1</f>
        <v>-4000</v>
      </c>
      <c r="AL38" s="65" t="n">
        <f aca="false">-Inputs!$B$33*1</f>
        <v>-4000</v>
      </c>
      <c r="AM38" s="65" t="n">
        <f aca="false">-Inputs!$B$33*1</f>
        <v>-4000</v>
      </c>
      <c r="AN38" s="65" t="n">
        <f aca="false">-Inputs!$B$33*1</f>
        <v>-4000</v>
      </c>
      <c r="AO38" s="65" t="n">
        <f aca="false">-Inputs!$B$33*1</f>
        <v>-4000</v>
      </c>
      <c r="AP38" s="65" t="n">
        <f aca="false">-Inputs!$B$33*1</f>
        <v>-4000</v>
      </c>
      <c r="AQ38" s="65" t="n">
        <f aca="false">-Inputs!$B$33*1</f>
        <v>-4000</v>
      </c>
      <c r="AR38" s="65" t="n">
        <f aca="false">-Inputs!$B$33*1</f>
        <v>-4000</v>
      </c>
      <c r="AS38" s="65" t="n">
        <f aca="false">-Inputs!$B$33*1</f>
        <v>-4000</v>
      </c>
      <c r="AT38" s="65" t="n">
        <f aca="false">-Inputs!$B$33*1</f>
        <v>-4000</v>
      </c>
      <c r="AU38" s="65" t="n">
        <f aca="false">-Inputs!$B$33*1</f>
        <v>-4000</v>
      </c>
      <c r="AV38" s="65" t="n">
        <f aca="false">-Inputs!$B$33*1</f>
        <v>-4000</v>
      </c>
      <c r="AW38" s="65" t="n">
        <f aca="false">-Inputs!$B$33*1</f>
        <v>-4000</v>
      </c>
      <c r="AX38" s="65" t="n">
        <f aca="false">-Inputs!$B$33*1</f>
        <v>-4000</v>
      </c>
      <c r="AY38" s="65" t="n">
        <f aca="false">-Inputs!$B$33*1</f>
        <v>-4000</v>
      </c>
      <c r="AZ38" s="65" t="n">
        <f aca="false">-Inputs!$B$33*1</f>
        <v>-4000</v>
      </c>
      <c r="BA38" s="65" t="n">
        <f aca="false">-Inputs!$B$33*1</f>
        <v>-4000</v>
      </c>
      <c r="BB38" s="65" t="n">
        <f aca="false">-Inputs!$B$33*1</f>
        <v>-4000</v>
      </c>
      <c r="BC38" s="65" t="n">
        <f aca="false">-Inputs!$B$33*1</f>
        <v>-4000</v>
      </c>
      <c r="BD38" s="65" t="n">
        <f aca="false">-Inputs!$B$33*1</f>
        <v>-4000</v>
      </c>
      <c r="BE38" s="65" t="n">
        <f aca="false">-Inputs!$B$33*1</f>
        <v>-4000</v>
      </c>
      <c r="BF38" s="65" t="n">
        <f aca="false">-Inputs!$B$33*1</f>
        <v>-4000</v>
      </c>
      <c r="BG38" s="65" t="n">
        <f aca="false">-Inputs!$B$33*1</f>
        <v>-4000</v>
      </c>
      <c r="BH38" s="65" t="n">
        <f aca="false">-Inputs!$B$33*1</f>
        <v>-4000</v>
      </c>
      <c r="BI38" s="65" t="n">
        <f aca="false">-Inputs!$B$33*1</f>
        <v>-4000</v>
      </c>
      <c r="BJ38" s="65" t="n">
        <f aca="false">-Inputs!$B$33*1</f>
        <v>-4000</v>
      </c>
    </row>
    <row r="39" customFormat="false" ht="15" hidden="false" customHeight="false" outlineLevel="0" collapsed="false">
      <c r="A39" s="6" t="s">
        <v>336</v>
      </c>
      <c r="C39" s="65" t="n">
        <f aca="false">-Inputs!$B$34*1</f>
        <v>-8000</v>
      </c>
      <c r="D39" s="65" t="n">
        <f aca="false">-Inputs!$B$34*1</f>
        <v>-8000</v>
      </c>
      <c r="E39" s="65" t="n">
        <f aca="false">-Inputs!$B$34*1</f>
        <v>-8000</v>
      </c>
      <c r="F39" s="65" t="n">
        <f aca="false">-Inputs!$B$34*1</f>
        <v>-8000</v>
      </c>
      <c r="G39" s="65" t="n">
        <f aca="false">-Inputs!$B$34*1</f>
        <v>-8000</v>
      </c>
      <c r="H39" s="65" t="n">
        <f aca="false">-Inputs!$B$34*1</f>
        <v>-8000</v>
      </c>
      <c r="I39" s="65" t="n">
        <f aca="false">-Inputs!$B$34*1</f>
        <v>-8000</v>
      </c>
      <c r="J39" s="65" t="n">
        <f aca="false">-Inputs!$B$34*1</f>
        <v>-8000</v>
      </c>
      <c r="K39" s="65" t="n">
        <f aca="false">-Inputs!$B$34*1</f>
        <v>-8000</v>
      </c>
      <c r="L39" s="65" t="n">
        <f aca="false">-Inputs!$B$34*1</f>
        <v>-8000</v>
      </c>
      <c r="M39" s="65" t="n">
        <f aca="false">-Inputs!$B$34*1</f>
        <v>-8000</v>
      </c>
      <c r="N39" s="65" t="n">
        <f aca="false">-Inputs!$B$34*1</f>
        <v>-8000</v>
      </c>
      <c r="O39" s="65" t="n">
        <f aca="false">-Inputs!$B$34*1</f>
        <v>-8000</v>
      </c>
      <c r="P39" s="65" t="n">
        <f aca="false">-Inputs!$B$34*1</f>
        <v>-8000</v>
      </c>
      <c r="Q39" s="65" t="n">
        <f aca="false">-Inputs!$B$34*1</f>
        <v>-8000</v>
      </c>
      <c r="R39" s="65" t="n">
        <f aca="false">-Inputs!$B$34*1</f>
        <v>-8000</v>
      </c>
      <c r="S39" s="65" t="n">
        <f aca="false">-Inputs!$B$34*1</f>
        <v>-8000</v>
      </c>
      <c r="T39" s="65" t="n">
        <f aca="false">-Inputs!$B$34*1</f>
        <v>-8000</v>
      </c>
      <c r="U39" s="65" t="n">
        <f aca="false">-Inputs!$B$34*1</f>
        <v>-8000</v>
      </c>
      <c r="V39" s="65" t="n">
        <f aca="false">-Inputs!$B$34*1</f>
        <v>-8000</v>
      </c>
      <c r="W39" s="65" t="n">
        <f aca="false">-Inputs!$B$34*1</f>
        <v>-8000</v>
      </c>
      <c r="X39" s="65" t="n">
        <f aca="false">-Inputs!$B$34*1</f>
        <v>-8000</v>
      </c>
      <c r="Y39" s="65" t="n">
        <f aca="false">-Inputs!$B$34*1</f>
        <v>-8000</v>
      </c>
      <c r="Z39" s="65" t="n">
        <f aca="false">-Inputs!$B$34*1</f>
        <v>-8000</v>
      </c>
      <c r="AA39" s="65" t="n">
        <f aca="false">-Inputs!$B$34*1</f>
        <v>-8000</v>
      </c>
      <c r="AB39" s="65" t="n">
        <f aca="false">-Inputs!$B$34*1</f>
        <v>-8000</v>
      </c>
      <c r="AC39" s="65" t="n">
        <f aca="false">-Inputs!$B$34*1</f>
        <v>-8000</v>
      </c>
      <c r="AD39" s="65" t="n">
        <f aca="false">-Inputs!$B$34*1</f>
        <v>-8000</v>
      </c>
      <c r="AE39" s="65" t="n">
        <f aca="false">-Inputs!$B$34*1</f>
        <v>-8000</v>
      </c>
      <c r="AF39" s="65" t="n">
        <f aca="false">-Inputs!$B$34*1</f>
        <v>-8000</v>
      </c>
      <c r="AG39" s="65" t="n">
        <f aca="false">-Inputs!$B$34*1</f>
        <v>-8000</v>
      </c>
      <c r="AH39" s="65" t="n">
        <f aca="false">-Inputs!$B$34*1</f>
        <v>-8000</v>
      </c>
      <c r="AI39" s="65" t="n">
        <f aca="false">-Inputs!$B$34*1</f>
        <v>-8000</v>
      </c>
      <c r="AJ39" s="65" t="n">
        <f aca="false">-Inputs!$B$34*1</f>
        <v>-8000</v>
      </c>
      <c r="AK39" s="65" t="n">
        <f aca="false">-Inputs!$B$34*1</f>
        <v>-8000</v>
      </c>
      <c r="AL39" s="65" t="n">
        <f aca="false">-Inputs!$B$34*1</f>
        <v>-8000</v>
      </c>
      <c r="AM39" s="65" t="n">
        <f aca="false">-Inputs!$B$34*1</f>
        <v>-8000</v>
      </c>
      <c r="AN39" s="65" t="n">
        <f aca="false">-Inputs!$B$34*1</f>
        <v>-8000</v>
      </c>
      <c r="AO39" s="65" t="n">
        <f aca="false">-Inputs!$B$34*1</f>
        <v>-8000</v>
      </c>
      <c r="AP39" s="65" t="n">
        <f aca="false">-Inputs!$B$34*1</f>
        <v>-8000</v>
      </c>
      <c r="AQ39" s="65" t="n">
        <f aca="false">-Inputs!$B$34*1</f>
        <v>-8000</v>
      </c>
      <c r="AR39" s="65" t="n">
        <f aca="false">-Inputs!$B$34*1</f>
        <v>-8000</v>
      </c>
      <c r="AS39" s="65" t="n">
        <f aca="false">-Inputs!$B$34*1</f>
        <v>-8000</v>
      </c>
      <c r="AT39" s="65" t="n">
        <f aca="false">-Inputs!$B$34*1</f>
        <v>-8000</v>
      </c>
      <c r="AU39" s="65" t="n">
        <f aca="false">-Inputs!$B$34*1</f>
        <v>-8000</v>
      </c>
      <c r="AV39" s="65" t="n">
        <f aca="false">-Inputs!$B$34*1</f>
        <v>-8000</v>
      </c>
      <c r="AW39" s="65" t="n">
        <f aca="false">-Inputs!$B$34*1</f>
        <v>-8000</v>
      </c>
      <c r="AX39" s="65" t="n">
        <f aca="false">-Inputs!$B$34*1</f>
        <v>-8000</v>
      </c>
      <c r="AY39" s="65" t="n">
        <f aca="false">-Inputs!$B$34*1</f>
        <v>-8000</v>
      </c>
      <c r="AZ39" s="65" t="n">
        <f aca="false">-Inputs!$B$34*1</f>
        <v>-8000</v>
      </c>
      <c r="BA39" s="65" t="n">
        <f aca="false">-Inputs!$B$34*1</f>
        <v>-8000</v>
      </c>
      <c r="BB39" s="65" t="n">
        <f aca="false">-Inputs!$B$34*1</f>
        <v>-8000</v>
      </c>
      <c r="BC39" s="65" t="n">
        <f aca="false">-Inputs!$B$34*1</f>
        <v>-8000</v>
      </c>
      <c r="BD39" s="65" t="n">
        <f aca="false">-Inputs!$B$34*1</f>
        <v>-8000</v>
      </c>
      <c r="BE39" s="65" t="n">
        <f aca="false">-Inputs!$B$34*1</f>
        <v>-8000</v>
      </c>
      <c r="BF39" s="65" t="n">
        <f aca="false">-Inputs!$B$34*1</f>
        <v>-8000</v>
      </c>
      <c r="BG39" s="65" t="n">
        <f aca="false">-Inputs!$B$34*1</f>
        <v>-8000</v>
      </c>
      <c r="BH39" s="65" t="n">
        <f aca="false">-Inputs!$B$34*1</f>
        <v>-8000</v>
      </c>
      <c r="BI39" s="65" t="n">
        <f aca="false">-Inputs!$B$34*1</f>
        <v>-8000</v>
      </c>
      <c r="BJ39" s="65" t="n">
        <f aca="false">-Inputs!$B$34*1</f>
        <v>-8000</v>
      </c>
    </row>
    <row r="40" customFormat="false" ht="15" hidden="false" customHeight="false" outlineLevel="0" collapsed="false">
      <c r="A40" s="110" t="s">
        <v>77</v>
      </c>
      <c r="C40" s="66" t="n">
        <f aca="false">C32+C33+C34+C35+C36+C37+C38+C39</f>
        <v>-222872.466133333</v>
      </c>
      <c r="D40" s="66" t="n">
        <f aca="false">D32+D33+D34+D35+D36+D37+D38+D39</f>
        <v>-222872.466133333</v>
      </c>
      <c r="E40" s="66" t="n">
        <f aca="false">E32+E33+E34+E35+E36+E37+E38+E39</f>
        <v>-222872.466133333</v>
      </c>
      <c r="F40" s="66" t="n">
        <f aca="false">F32+F33+F34+F35+F36+F37+F38+F39</f>
        <v>-222872.466133333</v>
      </c>
      <c r="G40" s="66" t="n">
        <f aca="false">G32+G33+G34+G35+G36+G37+G38+G39</f>
        <v>-222872.466133333</v>
      </c>
      <c r="H40" s="66" t="n">
        <f aca="false">H32+H33+H34+H35+H36+H37+H38+H39</f>
        <v>-222872.466133333</v>
      </c>
      <c r="I40" s="66" t="n">
        <f aca="false">I32+I33+I34+I35+I36+I37+I38+I39</f>
        <v>-222872.466133333</v>
      </c>
      <c r="J40" s="66" t="n">
        <f aca="false">J32+J33+J34+J35+J36+J37+J38+J39</f>
        <v>-222872.466133333</v>
      </c>
      <c r="K40" s="66" t="n">
        <f aca="false">K32+K33+K34+K35+K36+K37+K38+K39</f>
        <v>-222872.466133333</v>
      </c>
      <c r="L40" s="66" t="n">
        <f aca="false">L32+L33+L34+L35+L36+L37+L38+L39</f>
        <v>-222872.466133333</v>
      </c>
      <c r="M40" s="66" t="n">
        <f aca="false">M32+M33+M34+M35+M36+M37+M38+M39</f>
        <v>-230606.389333333</v>
      </c>
      <c r="N40" s="66" t="n">
        <f aca="false">N32+N33+N34+N35+N36+N37+N38+N39</f>
        <v>-230606.389333333</v>
      </c>
      <c r="O40" s="66" t="n">
        <f aca="false">O32+O33+O34+O35+O36+O37+O38+O39</f>
        <v>-274010.621913333</v>
      </c>
      <c r="P40" s="66" t="n">
        <f aca="false">P32+P33+P34+P35+P36+P37+P38+P39</f>
        <v>-274010.621913333</v>
      </c>
      <c r="Q40" s="66" t="n">
        <f aca="false">Q32+Q33+Q34+Q35+Q36+Q37+Q38+Q39</f>
        <v>-274010.621913333</v>
      </c>
      <c r="R40" s="66" t="n">
        <f aca="false">R32+R33+R34+R35+R36+R37+R38+R39</f>
        <v>-274010.621913333</v>
      </c>
      <c r="S40" s="66" t="n">
        <f aca="false">S32+S33+S34+S35+S36+S37+S38+S39</f>
        <v>-274010.621913333</v>
      </c>
      <c r="T40" s="66" t="n">
        <f aca="false">T32+T33+T34+T35+T36+T37+T38+T39</f>
        <v>-274010.621913333</v>
      </c>
      <c r="U40" s="66" t="n">
        <f aca="false">U32+U33+U34+U35+U36+U37+U38+U39</f>
        <v>-274010.621913333</v>
      </c>
      <c r="V40" s="66" t="n">
        <f aca="false">V32+V33+V34+V35+V36+V37+V38+V39</f>
        <v>-274010.621913333</v>
      </c>
      <c r="W40" s="66" t="n">
        <f aca="false">W32+W33+W34+W35+W36+W37+W38+W39</f>
        <v>-274010.621913333</v>
      </c>
      <c r="X40" s="66" t="n">
        <f aca="false">X32+X33+X34+X35+X36+X37+X38+X39</f>
        <v>-274010.621913333</v>
      </c>
      <c r="Y40" s="66" t="n">
        <f aca="false">Y32+Y33+Y34+Y35+Y36+Y37+Y38+Y39</f>
        <v>-282803.057433333</v>
      </c>
      <c r="Z40" s="66" t="n">
        <f aca="false">Z32+Z33+Z34+Z35+Z36+Z37+Z38+Z39</f>
        <v>-282803.057433333</v>
      </c>
      <c r="AA40" s="66" t="n">
        <f aca="false">AA32+AA33+AA34+AA35+AA36+AA37+AA38+AA39</f>
        <v>-335294.434852583</v>
      </c>
      <c r="AB40" s="66" t="n">
        <f aca="false">AB32+AB33+AB34+AB35+AB36+AB37+AB38+AB39</f>
        <v>-335294.434852583</v>
      </c>
      <c r="AC40" s="66" t="n">
        <f aca="false">AC32+AC33+AC34+AC35+AC36+AC37+AC38+AC39</f>
        <v>-335294.434852583</v>
      </c>
      <c r="AD40" s="66" t="n">
        <f aca="false">AD32+AD33+AD34+AD35+AD36+AD37+AD38+AD39</f>
        <v>-335294.434852583</v>
      </c>
      <c r="AE40" s="66" t="n">
        <f aca="false">AE32+AE33+AE34+AE35+AE36+AE37+AE38+AE39</f>
        <v>-335294.434852583</v>
      </c>
      <c r="AF40" s="66" t="n">
        <f aca="false">AF32+AF33+AF34+AF35+AF36+AF37+AF38+AF39</f>
        <v>-335294.434852583</v>
      </c>
      <c r="AG40" s="66" t="n">
        <f aca="false">AG32+AG33+AG34+AG35+AG36+AG37+AG38+AG39</f>
        <v>-335294.434852583</v>
      </c>
      <c r="AH40" s="66" t="n">
        <f aca="false">AH32+AH33+AH34+AH35+AH36+AH37+AH38+AH39</f>
        <v>-335294.434852583</v>
      </c>
      <c r="AI40" s="66" t="n">
        <f aca="false">AI32+AI33+AI34+AI35+AI36+AI37+AI38+AI39</f>
        <v>-335294.434852583</v>
      </c>
      <c r="AJ40" s="66" t="n">
        <f aca="false">AJ32+AJ33+AJ34+AJ35+AJ36+AJ37+AJ38+AJ39</f>
        <v>-335294.434852583</v>
      </c>
      <c r="AK40" s="66" t="n">
        <f aca="false">AK32+AK33+AK34+AK35+AK36+AK37+AK38+AK39</f>
        <v>-345215.593924583</v>
      </c>
      <c r="AL40" s="66" t="n">
        <f aca="false">AL32+AL33+AL34+AL35+AL36+AL37+AL38+AL39</f>
        <v>-345215.593924583</v>
      </c>
      <c r="AM40" s="66" t="n">
        <f aca="false">AM32+AM33+AM34+AM35+AM36+AM37+AM38+AM39</f>
        <v>-409300.909135849</v>
      </c>
      <c r="AN40" s="66" t="n">
        <f aca="false">AN32+AN33+AN34+AN35+AN36+AN37+AN38+AN39</f>
        <v>-409300.909135849</v>
      </c>
      <c r="AO40" s="66" t="n">
        <f aca="false">AO32+AO33+AO34+AO35+AO36+AO37+AO38+AO39</f>
        <v>-409300.909135849</v>
      </c>
      <c r="AP40" s="66" t="n">
        <f aca="false">AP32+AP33+AP34+AP35+AP36+AP37+AP38+AP39</f>
        <v>-409300.909135849</v>
      </c>
      <c r="AQ40" s="66" t="n">
        <f aca="false">AQ32+AQ33+AQ34+AQ35+AQ36+AQ37+AQ38+AQ39</f>
        <v>-409300.909135849</v>
      </c>
      <c r="AR40" s="66" t="n">
        <f aca="false">AR32+AR33+AR34+AR35+AR36+AR37+AR38+AR39</f>
        <v>-409300.909135849</v>
      </c>
      <c r="AS40" s="66" t="n">
        <f aca="false">AS32+AS33+AS34+AS35+AS36+AS37+AS38+AS39</f>
        <v>-409300.909135849</v>
      </c>
      <c r="AT40" s="66" t="n">
        <f aca="false">AT32+AT33+AT34+AT35+AT36+AT37+AT38+AT39</f>
        <v>-409300.909135849</v>
      </c>
      <c r="AU40" s="66" t="n">
        <f aca="false">AU32+AU33+AU34+AU35+AU36+AU37+AU38+AU39</f>
        <v>-409300.909135849</v>
      </c>
      <c r="AV40" s="66" t="n">
        <f aca="false">AV32+AV33+AV34+AV35+AV36+AV37+AV38+AV39</f>
        <v>-409300.909135849</v>
      </c>
      <c r="AW40" s="66" t="n">
        <f aca="false">AW32+AW33+AW34+AW35+AW36+AW37+AW38+AW39</f>
        <v>-420428.024115049</v>
      </c>
      <c r="AX40" s="66" t="n">
        <f aca="false">AX32+AX33+AX34+AX35+AX36+AX37+AX38+AX39</f>
        <v>-420428.024115049</v>
      </c>
      <c r="AY40" s="66" t="n">
        <f aca="false">AY32+AY33+AY34+AY35+AY36+AY37+AY38+AY39</f>
        <v>-499302.721653848</v>
      </c>
      <c r="AZ40" s="66" t="n">
        <f aca="false">AZ32+AZ33+AZ34+AZ35+AZ36+AZ37+AZ38+AZ39</f>
        <v>-499302.721653848</v>
      </c>
      <c r="BA40" s="66" t="n">
        <f aca="false">BA32+BA33+BA34+BA35+BA36+BA37+BA38+BA39</f>
        <v>-499302.721653848</v>
      </c>
      <c r="BB40" s="66" t="n">
        <f aca="false">BB32+BB33+BB34+BB35+BB36+BB37+BB38+BB39</f>
        <v>-499302.721653848</v>
      </c>
      <c r="BC40" s="66" t="n">
        <f aca="false">BC32+BC33+BC34+BC35+BC36+BC37+BC38+BC39</f>
        <v>-499302.721653848</v>
      </c>
      <c r="BD40" s="66" t="n">
        <f aca="false">BD32+BD33+BD34+BD35+BD36+BD37+BD38+BD39</f>
        <v>-499302.721653848</v>
      </c>
      <c r="BE40" s="66" t="n">
        <f aca="false">BE32+BE33+BE34+BE35+BE36+BE37+BE38+BE39</f>
        <v>-499302.721653848</v>
      </c>
      <c r="BF40" s="66" t="n">
        <f aca="false">BF32+BF33+BF34+BF35+BF36+BF37+BF38+BF39</f>
        <v>-499302.721653848</v>
      </c>
      <c r="BG40" s="66" t="n">
        <f aca="false">BG32+BG33+BG34+BG35+BG36+BG37+BG38+BG39</f>
        <v>-499302.721653848</v>
      </c>
      <c r="BH40" s="66" t="n">
        <f aca="false">BH32+BH33+BH34+BH35+BH36+BH37+BH38+BH39</f>
        <v>-499302.721653848</v>
      </c>
      <c r="BI40" s="66" t="n">
        <f aca="false">BI32+BI33+BI34+BI35+BI36+BI37+BI38+BI39</f>
        <v>-511720.748130968</v>
      </c>
      <c r="BJ40" s="66" t="n">
        <f aca="false">BJ32+BJ33+BJ34+BJ35+BJ36+BJ37+BJ38+BJ39</f>
        <v>-511720.748130968</v>
      </c>
    </row>
    <row r="41" customFormat="false" ht="15" hidden="false" customHeight="false" outlineLevel="0" collapsed="false">
      <c r="A41" s="110" t="s">
        <v>48</v>
      </c>
      <c r="C41" s="66" t="n">
        <f aca="false">C29+C40</f>
        <v>-73756.4759111111</v>
      </c>
      <c r="D41" s="66" t="n">
        <f aca="false">D29+D40</f>
        <v>-73756.4759111111</v>
      </c>
      <c r="E41" s="66" t="n">
        <f aca="false">E29+E40</f>
        <v>-73756.4759111111</v>
      </c>
      <c r="F41" s="66" t="n">
        <f aca="false">F29+F40</f>
        <v>-73756.4759111111</v>
      </c>
      <c r="G41" s="66" t="n">
        <f aca="false">G29+G40</f>
        <v>-73756.4759111111</v>
      </c>
      <c r="H41" s="66" t="n">
        <f aca="false">H29+H40</f>
        <v>-73756.4759111111</v>
      </c>
      <c r="I41" s="66" t="n">
        <f aca="false">I29+I40</f>
        <v>-73756.4759111111</v>
      </c>
      <c r="J41" s="66" t="n">
        <f aca="false">J29+J40</f>
        <v>-73756.4759111111</v>
      </c>
      <c r="K41" s="66" t="n">
        <f aca="false">K29+K40</f>
        <v>-73756.4759111111</v>
      </c>
      <c r="L41" s="66" t="n">
        <f aca="false">L29+L40</f>
        <v>-73756.4759111111</v>
      </c>
      <c r="M41" s="66" t="n">
        <f aca="false">M29+M40</f>
        <v>-47809.8071111111</v>
      </c>
      <c r="N41" s="66" t="n">
        <f aca="false">N29+N40</f>
        <v>-47809.8071111111</v>
      </c>
      <c r="O41" s="66" t="n">
        <f aca="false">O29+O40</f>
        <v>-90217.0104466667</v>
      </c>
      <c r="P41" s="66" t="n">
        <f aca="false">P29+P40</f>
        <v>-90217.0104466667</v>
      </c>
      <c r="Q41" s="66" t="n">
        <f aca="false">Q29+Q40</f>
        <v>-90217.0104466667</v>
      </c>
      <c r="R41" s="66" t="n">
        <f aca="false">R29+R40</f>
        <v>-90217.0104466667</v>
      </c>
      <c r="S41" s="66" t="n">
        <f aca="false">S29+S40</f>
        <v>-90217.0104466667</v>
      </c>
      <c r="T41" s="66" t="n">
        <f aca="false">T29+T40</f>
        <v>-90217.0104466667</v>
      </c>
      <c r="U41" s="66" t="n">
        <f aca="false">U29+U40</f>
        <v>-90217.0104466667</v>
      </c>
      <c r="V41" s="66" t="n">
        <f aca="false">V29+V40</f>
        <v>-90217.0104466667</v>
      </c>
      <c r="W41" s="66" t="n">
        <f aca="false">W29+W40</f>
        <v>-90217.0104466667</v>
      </c>
      <c r="X41" s="66" t="n">
        <f aca="false">X29+X40</f>
        <v>-90217.0104466667</v>
      </c>
      <c r="Y41" s="66" t="n">
        <f aca="false">Y29+Y40</f>
        <v>-56733.5947666667</v>
      </c>
      <c r="Z41" s="66" t="n">
        <f aca="false">Z29+Z40</f>
        <v>-56733.5947666667</v>
      </c>
      <c r="AA41" s="66" t="n">
        <f aca="false">AA29+AA40</f>
        <v>-113838.095572583</v>
      </c>
      <c r="AB41" s="66" t="n">
        <f aca="false">AB29+AB40</f>
        <v>-113838.095572583</v>
      </c>
      <c r="AC41" s="66" t="n">
        <f aca="false">AC29+AC40</f>
        <v>-113838.095572583</v>
      </c>
      <c r="AD41" s="66" t="n">
        <f aca="false">AD29+AD40</f>
        <v>-113838.095572583</v>
      </c>
      <c r="AE41" s="66" t="n">
        <f aca="false">AE29+AE40</f>
        <v>-113838.095572583</v>
      </c>
      <c r="AF41" s="66" t="n">
        <f aca="false">AF29+AF40</f>
        <v>-113838.095572583</v>
      </c>
      <c r="AG41" s="66" t="n">
        <f aca="false">AG29+AG40</f>
        <v>-113838.095572583</v>
      </c>
      <c r="AH41" s="66" t="n">
        <f aca="false">AH29+AH40</f>
        <v>-113838.095572583</v>
      </c>
      <c r="AI41" s="66" t="n">
        <f aca="false">AI29+AI40</f>
        <v>-113838.095572583</v>
      </c>
      <c r="AJ41" s="66" t="n">
        <f aca="false">AJ29+AJ40</f>
        <v>-113838.095572583</v>
      </c>
      <c r="AK41" s="66" t="n">
        <f aca="false">AK29+AK40</f>
        <v>-72682.0183245834</v>
      </c>
      <c r="AL41" s="66" t="n">
        <f aca="false">AL29+AL40</f>
        <v>-72682.0183245834</v>
      </c>
      <c r="AM41" s="66" t="n">
        <f aca="false">AM29+AM40</f>
        <v>-146653.535927849</v>
      </c>
      <c r="AN41" s="66" t="n">
        <f aca="false">AN29+AN40</f>
        <v>-146653.535927849</v>
      </c>
      <c r="AO41" s="66" t="n">
        <f aca="false">AO29+AO40</f>
        <v>-146653.535927849</v>
      </c>
      <c r="AP41" s="66" t="n">
        <f aca="false">AP29+AP40</f>
        <v>-146653.535927849</v>
      </c>
      <c r="AQ41" s="66" t="n">
        <f aca="false">AQ29+AQ40</f>
        <v>-146653.535927849</v>
      </c>
      <c r="AR41" s="66" t="n">
        <f aca="false">AR29+AR40</f>
        <v>-146653.535927849</v>
      </c>
      <c r="AS41" s="66" t="n">
        <f aca="false">AS29+AS40</f>
        <v>-146653.535927849</v>
      </c>
      <c r="AT41" s="66" t="n">
        <f aca="false">AT29+AT40</f>
        <v>-146653.535927849</v>
      </c>
      <c r="AU41" s="66" t="n">
        <f aca="false">AU29+AU40</f>
        <v>-146653.535927849</v>
      </c>
      <c r="AV41" s="66" t="n">
        <f aca="false">AV29+AV40</f>
        <v>-146653.535927849</v>
      </c>
      <c r="AW41" s="66" t="n">
        <f aca="false">AW29+AW40</f>
        <v>-97675.290955049</v>
      </c>
      <c r="AX41" s="66" t="n">
        <f aca="false">AX29+AX40</f>
        <v>-97675.290955049</v>
      </c>
      <c r="AY41" s="66" t="n">
        <f aca="false">AY29+AY40</f>
        <v>-191289.551125048</v>
      </c>
      <c r="AZ41" s="66" t="n">
        <f aca="false">AZ29+AZ40</f>
        <v>-191289.551125048</v>
      </c>
      <c r="BA41" s="66" t="n">
        <f aca="false">BA29+BA40</f>
        <v>-191289.551125048</v>
      </c>
      <c r="BB41" s="66" t="n">
        <f aca="false">BB29+BB40</f>
        <v>-191289.551125048</v>
      </c>
      <c r="BC41" s="66" t="n">
        <f aca="false">BC29+BC40</f>
        <v>-191289.551125048</v>
      </c>
      <c r="BD41" s="66" t="n">
        <f aca="false">BD29+BD40</f>
        <v>-191289.551125048</v>
      </c>
      <c r="BE41" s="66" t="n">
        <f aca="false">BE29+BE40</f>
        <v>-191289.551125048</v>
      </c>
      <c r="BF41" s="66" t="n">
        <f aca="false">BF29+BF40</f>
        <v>-191289.551125048</v>
      </c>
      <c r="BG41" s="66" t="n">
        <f aca="false">BG29+BG40</f>
        <v>-191289.551125048</v>
      </c>
      <c r="BH41" s="66" t="n">
        <f aca="false">BH29+BH40</f>
        <v>-191289.551125048</v>
      </c>
      <c r="BI41" s="66" t="n">
        <f aca="false">BI29+BI40</f>
        <v>-134324.681654968</v>
      </c>
      <c r="BJ41" s="66" t="n">
        <f aca="false">BJ29+BJ40</f>
        <v>-134324.681654968</v>
      </c>
    </row>
    <row r="43" customFormat="false" ht="15.75" hidden="false" customHeight="true" outlineLevel="0" collapsed="false">
      <c r="A43" s="7" t="s">
        <v>418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customFormat="false" ht="15" hidden="false" customHeight="false" outlineLevel="0" collapsed="false">
      <c r="A44" s="4" t="s">
        <v>79</v>
      </c>
      <c r="C44" s="71" t="n">
        <f aca="false">C41+C55</f>
        <v>-77923.1425777778</v>
      </c>
      <c r="D44" s="71" t="n">
        <f aca="false">D41+D55</f>
        <v>-77923.1425777778</v>
      </c>
      <c r="E44" s="71" t="n">
        <f aca="false">E41+E55</f>
        <v>-77923.1425777778</v>
      </c>
      <c r="F44" s="71" t="n">
        <f aca="false">F41+F55</f>
        <v>-77923.1425777778</v>
      </c>
      <c r="G44" s="71" t="n">
        <f aca="false">G41+G55</f>
        <v>-77923.1425777778</v>
      </c>
      <c r="H44" s="71" t="n">
        <f aca="false">H41+H55</f>
        <v>-77923.1425777778</v>
      </c>
      <c r="I44" s="71" t="n">
        <f aca="false">I41+I55</f>
        <v>-77923.1425777778</v>
      </c>
      <c r="J44" s="71" t="n">
        <f aca="false">J41+J55</f>
        <v>-77923.1425777778</v>
      </c>
      <c r="K44" s="71" t="n">
        <f aca="false">K41+K55</f>
        <v>-77923.1425777778</v>
      </c>
      <c r="L44" s="71" t="n">
        <f aca="false">L41+L55</f>
        <v>-77923.1425777778</v>
      </c>
      <c r="M44" s="71" t="n">
        <f aca="false">M41+M55</f>
        <v>-51976.4737777778</v>
      </c>
      <c r="N44" s="71" t="n">
        <f aca="false">N41+N55</f>
        <v>-51976.4737777778</v>
      </c>
      <c r="O44" s="71" t="n">
        <f aca="false">O41+O55</f>
        <v>-96169.3913990476</v>
      </c>
      <c r="P44" s="71" t="n">
        <f aca="false">P41+P55</f>
        <v>-96169.3913990476</v>
      </c>
      <c r="Q44" s="71" t="n">
        <f aca="false">Q41+Q55</f>
        <v>-96169.3913990476</v>
      </c>
      <c r="R44" s="71" t="n">
        <f aca="false">R41+R55</f>
        <v>-96169.3913990476</v>
      </c>
      <c r="S44" s="71" t="n">
        <f aca="false">S41+S55</f>
        <v>-96169.3913990476</v>
      </c>
      <c r="T44" s="71" t="n">
        <f aca="false">T41+T55</f>
        <v>-96169.3913990476</v>
      </c>
      <c r="U44" s="71" t="n">
        <f aca="false">U41+U55</f>
        <v>-96169.3913990476</v>
      </c>
      <c r="V44" s="71" t="n">
        <f aca="false">V41+V55</f>
        <v>-96169.3913990476</v>
      </c>
      <c r="W44" s="71" t="n">
        <f aca="false">W41+W55</f>
        <v>-96169.3913990476</v>
      </c>
      <c r="X44" s="71" t="n">
        <f aca="false">X41+X55</f>
        <v>-96169.3913990476</v>
      </c>
      <c r="Y44" s="71" t="n">
        <f aca="false">Y41+Y55</f>
        <v>-62685.9757190476</v>
      </c>
      <c r="Z44" s="71" t="n">
        <f aca="false">Z41+Z55</f>
        <v>-62685.9757190476</v>
      </c>
      <c r="AA44" s="71" t="n">
        <f aca="false">AA41+AA55</f>
        <v>-121576.190810679</v>
      </c>
      <c r="AB44" s="71" t="n">
        <f aca="false">AB41+AB55</f>
        <v>-121576.190810679</v>
      </c>
      <c r="AC44" s="71" t="n">
        <f aca="false">AC41+AC55</f>
        <v>-121576.190810679</v>
      </c>
      <c r="AD44" s="71" t="n">
        <f aca="false">AD41+AD55</f>
        <v>-121576.190810679</v>
      </c>
      <c r="AE44" s="71" t="n">
        <f aca="false">AE41+AE55</f>
        <v>-121576.190810679</v>
      </c>
      <c r="AF44" s="71" t="n">
        <f aca="false">AF41+AF55</f>
        <v>-121576.190810679</v>
      </c>
      <c r="AG44" s="71" t="n">
        <f aca="false">AG41+AG55</f>
        <v>-121576.190810679</v>
      </c>
      <c r="AH44" s="71" t="n">
        <f aca="false">AH41+AH55</f>
        <v>-121576.190810679</v>
      </c>
      <c r="AI44" s="71" t="n">
        <f aca="false">AI41+AI55</f>
        <v>-121576.190810679</v>
      </c>
      <c r="AJ44" s="71" t="n">
        <f aca="false">AJ41+AJ55</f>
        <v>-121576.190810679</v>
      </c>
      <c r="AK44" s="71" t="n">
        <f aca="false">AK41+AK55</f>
        <v>-80420.1135626786</v>
      </c>
      <c r="AL44" s="71" t="n">
        <f aca="false">AL41+AL55</f>
        <v>-80420.1135626786</v>
      </c>
      <c r="AM44" s="71" t="n">
        <f aca="false">AM41+AM55</f>
        <v>-156177.345451658</v>
      </c>
      <c r="AN44" s="71" t="n">
        <f aca="false">AN41+AN55</f>
        <v>-156177.345451658</v>
      </c>
      <c r="AO44" s="71" t="n">
        <f aca="false">AO41+AO55</f>
        <v>-156177.345451658</v>
      </c>
      <c r="AP44" s="71" t="n">
        <f aca="false">AP41+AP55</f>
        <v>-156177.345451658</v>
      </c>
      <c r="AQ44" s="71" t="n">
        <f aca="false">AQ41+AQ55</f>
        <v>-156177.345451658</v>
      </c>
      <c r="AR44" s="71" t="n">
        <f aca="false">AR41+AR55</f>
        <v>-156177.345451658</v>
      </c>
      <c r="AS44" s="71" t="n">
        <f aca="false">AS41+AS55</f>
        <v>-156177.345451658</v>
      </c>
      <c r="AT44" s="71" t="n">
        <f aca="false">AT41+AT55</f>
        <v>-156177.345451658</v>
      </c>
      <c r="AU44" s="71" t="n">
        <f aca="false">AU41+AU55</f>
        <v>-156177.345451658</v>
      </c>
      <c r="AV44" s="71" t="n">
        <f aca="false">AV41+AV55</f>
        <v>-156177.345451658</v>
      </c>
      <c r="AW44" s="71" t="n">
        <f aca="false">AW41+AW55</f>
        <v>-107199.100478859</v>
      </c>
      <c r="AX44" s="71" t="n">
        <f aca="false">AX41+AX55</f>
        <v>-107199.100478859</v>
      </c>
      <c r="AY44" s="71" t="n">
        <f aca="false">AY41+AY55</f>
        <v>-202599.074934572</v>
      </c>
      <c r="AZ44" s="71" t="n">
        <f aca="false">AZ41+AZ55</f>
        <v>-202599.074934572</v>
      </c>
      <c r="BA44" s="71" t="n">
        <f aca="false">BA41+BA55</f>
        <v>-202599.074934572</v>
      </c>
      <c r="BB44" s="71" t="n">
        <f aca="false">BB41+BB55</f>
        <v>-202599.074934572</v>
      </c>
      <c r="BC44" s="71" t="n">
        <f aca="false">BC41+BC55</f>
        <v>-202599.074934572</v>
      </c>
      <c r="BD44" s="71" t="n">
        <f aca="false">BD41+BD55</f>
        <v>-202599.074934572</v>
      </c>
      <c r="BE44" s="71" t="n">
        <f aca="false">BE41+BE55</f>
        <v>-202599.074934572</v>
      </c>
      <c r="BF44" s="71" t="n">
        <f aca="false">BF41+BF55</f>
        <v>-202599.074934572</v>
      </c>
      <c r="BG44" s="71" t="n">
        <f aca="false">BG41+BG55</f>
        <v>-202599.074934572</v>
      </c>
      <c r="BH44" s="71" t="n">
        <f aca="false">BH41+BH55</f>
        <v>-202599.074934572</v>
      </c>
      <c r="BI44" s="71" t="n">
        <f aca="false">BI41+BI55</f>
        <v>-145634.205464492</v>
      </c>
      <c r="BJ44" s="71" t="n">
        <f aca="false">BJ41+BJ55</f>
        <v>-145634.205464492</v>
      </c>
    </row>
    <row r="45" customFormat="false" ht="15" hidden="false" customHeight="false" outlineLevel="0" collapsed="false">
      <c r="A45" s="6" t="s">
        <v>419</v>
      </c>
      <c r="C45" s="65" t="n">
        <f aca="false">-(C60+C61+C63)/2*Inputs!$B$60/12</f>
        <v>-3333.33333333333</v>
      </c>
      <c r="D45" s="65" t="n">
        <f aca="false">-(D60+D61+D63)/2*Inputs!$B$60/12</f>
        <v>-3305.55555555556</v>
      </c>
      <c r="E45" s="65" t="n">
        <f aca="false">-(E60+E61+E63)/2*Inputs!$B$60/12</f>
        <v>-3250</v>
      </c>
      <c r="F45" s="65" t="n">
        <f aca="false">-(F60+F61+F63)/2*Inputs!$B$60/12</f>
        <v>-3194.44444444445</v>
      </c>
      <c r="G45" s="65" t="n">
        <f aca="false">-(G60+G61+G63)/2*Inputs!$B$60/12</f>
        <v>-3138.88888888889</v>
      </c>
      <c r="H45" s="65" t="n">
        <f aca="false">-(H60+H61+H63)/2*Inputs!$B$60/12</f>
        <v>-3083.33333333333</v>
      </c>
      <c r="I45" s="65" t="n">
        <f aca="false">-(I60+I61+I63)/2*Inputs!$B$60/12</f>
        <v>-3027.77777777778</v>
      </c>
      <c r="J45" s="65" t="n">
        <f aca="false">-(J60+J61+J63)/2*Inputs!$B$60/12</f>
        <v>-2972.22222222222</v>
      </c>
      <c r="K45" s="65" t="n">
        <f aca="false">-(K60+K61+K63)/2*Inputs!$B$60/12</f>
        <v>-2916.66666666667</v>
      </c>
      <c r="L45" s="65" t="n">
        <f aca="false">-(L60+L61+L63)/2*Inputs!$B$60/12</f>
        <v>-2861.11111111111</v>
      </c>
      <c r="M45" s="65" t="n">
        <f aca="false">-(M60+M61+M63)/2*Inputs!$B$60/12</f>
        <v>-2805.55555555556</v>
      </c>
      <c r="N45" s="65" t="n">
        <f aca="false">-(N60+N61+N63)/2*Inputs!$B$60/12</f>
        <v>-2750</v>
      </c>
      <c r="O45" s="65" t="n">
        <f aca="false">-(O60+O61+O63)/2*Inputs!$B$60/12</f>
        <v>-2694.44444444445</v>
      </c>
      <c r="P45" s="65" t="n">
        <f aca="false">-(P60+P61+P63)/2*Inputs!$B$60/12</f>
        <v>-2638.88888888889</v>
      </c>
      <c r="Q45" s="65" t="n">
        <f aca="false">-(Q60+Q61+Q63)/2*Inputs!$B$60/12</f>
        <v>-2583.33333333334</v>
      </c>
      <c r="R45" s="65" t="n">
        <f aca="false">-(R60+R61+R63)/2*Inputs!$B$60/12</f>
        <v>-2527.77777777778</v>
      </c>
      <c r="S45" s="65" t="n">
        <f aca="false">-(S60+S61+S63)/2*Inputs!$B$60/12</f>
        <v>-2472.22222222222</v>
      </c>
      <c r="T45" s="65" t="n">
        <f aca="false">-(T60+T61+T63)/2*Inputs!$B$60/12</f>
        <v>-2416.66666666667</v>
      </c>
      <c r="U45" s="65" t="n">
        <f aca="false">-(U60+U61+U63)/2*Inputs!$B$60/12</f>
        <v>-2361.11111111111</v>
      </c>
      <c r="V45" s="65" t="n">
        <f aca="false">-(V60+V61+V63)/2*Inputs!$B$60/12</f>
        <v>-2305.55555555556</v>
      </c>
      <c r="W45" s="65" t="n">
        <f aca="false">-(W60+W61+W63)/2*Inputs!$B$60/12</f>
        <v>-2250</v>
      </c>
      <c r="X45" s="65" t="n">
        <f aca="false">-(X60+X61+X63)/2*Inputs!$B$60/12</f>
        <v>-2194.44444444445</v>
      </c>
      <c r="Y45" s="65" t="n">
        <f aca="false">-(Y60+Y61+Y63)/2*Inputs!$B$60/12</f>
        <v>-2138.88888888889</v>
      </c>
      <c r="Z45" s="65" t="n">
        <f aca="false">-(Z60+Z61+Z63)/2*Inputs!$B$60/12</f>
        <v>-2083.33333333334</v>
      </c>
      <c r="AA45" s="65" t="n">
        <f aca="false">-(AA60+AA61+AA63)/2*Inputs!$B$60/12</f>
        <v>-2027.77777777778</v>
      </c>
      <c r="AB45" s="65" t="n">
        <f aca="false">-(AB60+AB61+AB63)/2*Inputs!$B$60/12</f>
        <v>-1972.22222222223</v>
      </c>
      <c r="AC45" s="65" t="n">
        <f aca="false">-(AC60+AC61+AC63)/2*Inputs!$B$60/12</f>
        <v>-1916.66666666667</v>
      </c>
      <c r="AD45" s="65" t="n">
        <f aca="false">-(AD60+AD61+AD63)/2*Inputs!$B$60/12</f>
        <v>-1861.11111111111</v>
      </c>
      <c r="AE45" s="65" t="n">
        <f aca="false">-(AE60+AE61+AE63)/2*Inputs!$B$60/12</f>
        <v>-1805.55555555556</v>
      </c>
      <c r="AF45" s="65" t="n">
        <f aca="false">-(AF60+AF61+AF63)/2*Inputs!$B$60/12</f>
        <v>-1750</v>
      </c>
      <c r="AG45" s="65" t="n">
        <f aca="false">-(AG60+AG61+AG63)/2*Inputs!$B$60/12</f>
        <v>-1694.44444444445</v>
      </c>
      <c r="AH45" s="65" t="n">
        <f aca="false">-(AH60+AH61+AH63)/2*Inputs!$B$60/12</f>
        <v>-1638.88888888889</v>
      </c>
      <c r="AI45" s="65" t="n">
        <f aca="false">-(AI60+AI61+AI63)/2*Inputs!$B$60/12</f>
        <v>-1583.33333333334</v>
      </c>
      <c r="AJ45" s="65" t="n">
        <f aca="false">-(AJ60+AJ61+AJ63)/2*Inputs!$B$60/12</f>
        <v>-1527.77777777778</v>
      </c>
      <c r="AK45" s="65" t="n">
        <f aca="false">-(AK60+AK61+AK63)/2*Inputs!$B$60/12</f>
        <v>-1472.22222222223</v>
      </c>
      <c r="AL45" s="65" t="n">
        <f aca="false">-(AL60+AL61+AL63)/2*Inputs!$B$60/12</f>
        <v>-1416.66666666667</v>
      </c>
      <c r="AM45" s="65" t="n">
        <f aca="false">-(AM60+AM61+AM63)/2*Inputs!$B$60/12</f>
        <v>-1361.11111111111</v>
      </c>
      <c r="AN45" s="65" t="n">
        <f aca="false">-(AN60+AN61+AN63)/2*Inputs!$B$60/12</f>
        <v>-1305.55555555556</v>
      </c>
      <c r="AO45" s="65" t="n">
        <f aca="false">-(AO60+AO61+AO63)/2*Inputs!$B$60/12</f>
        <v>-1250</v>
      </c>
      <c r="AP45" s="65" t="n">
        <f aca="false">-(AP60+AP61+AP63)/2*Inputs!$B$60/12</f>
        <v>-1194.44444444445</v>
      </c>
      <c r="AQ45" s="65" t="n">
        <f aca="false">-(AQ60+AQ61+AQ63)/2*Inputs!$B$60/12</f>
        <v>-1138.88888888889</v>
      </c>
      <c r="AR45" s="65" t="n">
        <f aca="false">-(AR60+AR61+AR63)/2*Inputs!$B$60/12</f>
        <v>-1083.33333333334</v>
      </c>
      <c r="AS45" s="65" t="n">
        <f aca="false">-(AS60+AS61+AS63)/2*Inputs!$B$60/12</f>
        <v>-1027.77777777778</v>
      </c>
      <c r="AT45" s="65" t="n">
        <f aca="false">-(AT60+AT61+AT63)/2*Inputs!$B$60/12</f>
        <v>-972.222222222225</v>
      </c>
      <c r="AU45" s="65" t="n">
        <f aca="false">-(AU60+AU61+AU63)/2*Inputs!$B$60/12</f>
        <v>-916.666666666669</v>
      </c>
      <c r="AV45" s="65" t="n">
        <f aca="false">-(AV60+AV61+AV63)/2*Inputs!$B$60/12</f>
        <v>-861.111111111114</v>
      </c>
      <c r="AW45" s="65" t="n">
        <f aca="false">-(AW60+AW61+AW63)/2*Inputs!$B$60/12</f>
        <v>-805.555555555558</v>
      </c>
      <c r="AX45" s="65" t="n">
        <f aca="false">-(AX60+AX61+AX63)/2*Inputs!$B$60/12</f>
        <v>-750.000000000003</v>
      </c>
      <c r="AY45" s="65" t="n">
        <f aca="false">-(AY60+AY61+AY63)/2*Inputs!$B$60/12</f>
        <v>-694.444444444447</v>
      </c>
      <c r="AZ45" s="65" t="n">
        <f aca="false">-(AZ60+AZ61+AZ63)/2*Inputs!$B$60/12</f>
        <v>-638.888888888892</v>
      </c>
      <c r="BA45" s="65" t="n">
        <f aca="false">-(BA60+BA61+BA63)/2*Inputs!$B$60/12</f>
        <v>-583.333333333336</v>
      </c>
      <c r="BB45" s="65" t="n">
        <f aca="false">-(BB60+BB61+BB63)/2*Inputs!$B$60/12</f>
        <v>-527.777777777781</v>
      </c>
      <c r="BC45" s="65" t="n">
        <f aca="false">-(BC60+BC61+BC63)/2*Inputs!$B$60/12</f>
        <v>-472.222222222225</v>
      </c>
      <c r="BD45" s="65" t="n">
        <f aca="false">-(BD60+BD61+BD63)/2*Inputs!$B$60/12</f>
        <v>-416.666666666669</v>
      </c>
      <c r="BE45" s="65" t="n">
        <f aca="false">-(BE60+BE61+BE63)/2*Inputs!$B$60/12</f>
        <v>-361.111111111114</v>
      </c>
      <c r="BF45" s="65" t="n">
        <f aca="false">-(BF60+BF61+BF63)/2*Inputs!$B$60/12</f>
        <v>-305.555555555558</v>
      </c>
      <c r="BG45" s="65" t="n">
        <f aca="false">-(BG60+BG61+BG63)/2*Inputs!$B$60/12</f>
        <v>-250.000000000003</v>
      </c>
      <c r="BH45" s="65" t="n">
        <f aca="false">-(BH60+BH61+BH63)/2*Inputs!$B$60/12</f>
        <v>-194.444444444447</v>
      </c>
      <c r="BI45" s="65" t="n">
        <f aca="false">-(BI60+BI61+BI63)/2*Inputs!$B$60/12</f>
        <v>-138.888888888892</v>
      </c>
      <c r="BJ45" s="65" t="n">
        <f aca="false">-(BJ60+BJ61+BJ63)/2*Inputs!$B$60/12</f>
        <v>-83.3333333333361</v>
      </c>
    </row>
    <row r="46" customFormat="false" ht="15" hidden="false" customHeight="false" outlineLevel="0" collapsed="false">
      <c r="A46" s="110" t="s">
        <v>81</v>
      </c>
      <c r="C46" s="66" t="n">
        <f aca="false">C44+C45</f>
        <v>-81256.4759111111</v>
      </c>
      <c r="D46" s="66" t="n">
        <f aca="false">D44+D45</f>
        <v>-81228.6981333334</v>
      </c>
      <c r="E46" s="66" t="n">
        <f aca="false">E44+E45</f>
        <v>-81173.1425777778</v>
      </c>
      <c r="F46" s="66" t="n">
        <f aca="false">F44+F45</f>
        <v>-81117.5870222223</v>
      </c>
      <c r="G46" s="66" t="n">
        <f aca="false">G44+G45</f>
        <v>-81062.0314666667</v>
      </c>
      <c r="H46" s="66" t="n">
        <f aca="false">H44+H45</f>
        <v>-81006.4759111111</v>
      </c>
      <c r="I46" s="66" t="n">
        <f aca="false">I44+I45</f>
        <v>-80950.9203555556</v>
      </c>
      <c r="J46" s="66" t="n">
        <f aca="false">J44+J45</f>
        <v>-80895.3648</v>
      </c>
      <c r="K46" s="66" t="n">
        <f aca="false">K44+K45</f>
        <v>-80839.8092444445</v>
      </c>
      <c r="L46" s="66" t="n">
        <f aca="false">L44+L45</f>
        <v>-80784.2536888889</v>
      </c>
      <c r="M46" s="66" t="n">
        <f aca="false">M44+M45</f>
        <v>-54782.0293333333</v>
      </c>
      <c r="N46" s="66" t="n">
        <f aca="false">N44+N45</f>
        <v>-54726.4737777778</v>
      </c>
      <c r="O46" s="66" t="n">
        <f aca="false">O44+O45</f>
        <v>-98863.8358434921</v>
      </c>
      <c r="P46" s="66" t="n">
        <f aca="false">P44+P45</f>
        <v>-98808.2802879365</v>
      </c>
      <c r="Q46" s="66" t="n">
        <f aca="false">Q44+Q45</f>
        <v>-98752.7247323809</v>
      </c>
      <c r="R46" s="66" t="n">
        <f aca="false">R44+R45</f>
        <v>-98697.1691768254</v>
      </c>
      <c r="S46" s="66" t="n">
        <f aca="false">S44+S45</f>
        <v>-98641.6136212698</v>
      </c>
      <c r="T46" s="66" t="n">
        <f aca="false">T44+T45</f>
        <v>-98586.0580657143</v>
      </c>
      <c r="U46" s="66" t="n">
        <f aca="false">U44+U45</f>
        <v>-98530.5025101587</v>
      </c>
      <c r="V46" s="66" t="n">
        <f aca="false">V44+V45</f>
        <v>-98474.9469546032</v>
      </c>
      <c r="W46" s="66" t="n">
        <f aca="false">W44+W45</f>
        <v>-98419.3913990476</v>
      </c>
      <c r="X46" s="66" t="n">
        <f aca="false">X44+X45</f>
        <v>-98363.8358434921</v>
      </c>
      <c r="Y46" s="66" t="n">
        <f aca="false">Y44+Y45</f>
        <v>-64824.8646079365</v>
      </c>
      <c r="Z46" s="66" t="n">
        <f aca="false">Z44+Z45</f>
        <v>-64769.309052381</v>
      </c>
      <c r="AA46" s="66" t="n">
        <f aca="false">AA44+AA45</f>
        <v>-123603.968588456</v>
      </c>
      <c r="AB46" s="66" t="n">
        <f aca="false">AB44+AB45</f>
        <v>-123548.413032901</v>
      </c>
      <c r="AC46" s="66" t="n">
        <f aca="false">AC44+AC45</f>
        <v>-123492.857477345</v>
      </c>
      <c r="AD46" s="66" t="n">
        <f aca="false">AD44+AD45</f>
        <v>-123437.30192179</v>
      </c>
      <c r="AE46" s="66" t="n">
        <f aca="false">AE44+AE45</f>
        <v>-123381.746366234</v>
      </c>
      <c r="AF46" s="66" t="n">
        <f aca="false">AF44+AF45</f>
        <v>-123326.190810679</v>
      </c>
      <c r="AG46" s="66" t="n">
        <f aca="false">AG44+AG45</f>
        <v>-123270.635255123</v>
      </c>
      <c r="AH46" s="66" t="n">
        <f aca="false">AH44+AH45</f>
        <v>-123215.079699567</v>
      </c>
      <c r="AI46" s="66" t="n">
        <f aca="false">AI44+AI45</f>
        <v>-123159.524144012</v>
      </c>
      <c r="AJ46" s="66" t="n">
        <f aca="false">AJ44+AJ45</f>
        <v>-123103.968588456</v>
      </c>
      <c r="AK46" s="66" t="n">
        <f aca="false">AK44+AK45</f>
        <v>-81892.3357849008</v>
      </c>
      <c r="AL46" s="66" t="n">
        <f aca="false">AL44+AL45</f>
        <v>-81836.7802293453</v>
      </c>
      <c r="AM46" s="66" t="n">
        <f aca="false">AM44+AM45</f>
        <v>-157538.45656277</v>
      </c>
      <c r="AN46" s="66" t="n">
        <f aca="false">AN44+AN45</f>
        <v>-157482.901007214</v>
      </c>
      <c r="AO46" s="66" t="n">
        <f aca="false">AO44+AO45</f>
        <v>-157427.345451658</v>
      </c>
      <c r="AP46" s="66" t="n">
        <f aca="false">AP44+AP45</f>
        <v>-157371.789896103</v>
      </c>
      <c r="AQ46" s="66" t="n">
        <f aca="false">AQ44+AQ45</f>
        <v>-157316.234340547</v>
      </c>
      <c r="AR46" s="66" t="n">
        <f aca="false">AR44+AR45</f>
        <v>-157260.678784992</v>
      </c>
      <c r="AS46" s="66" t="n">
        <f aca="false">AS44+AS45</f>
        <v>-157205.123229436</v>
      </c>
      <c r="AT46" s="66" t="n">
        <f aca="false">AT44+AT45</f>
        <v>-157149.567673881</v>
      </c>
      <c r="AU46" s="66" t="n">
        <f aca="false">AU44+AU45</f>
        <v>-157094.012118325</v>
      </c>
      <c r="AV46" s="66" t="n">
        <f aca="false">AV44+AV45</f>
        <v>-157038.45656277</v>
      </c>
      <c r="AW46" s="66" t="n">
        <f aca="false">AW44+AW45</f>
        <v>-108004.656034414</v>
      </c>
      <c r="AX46" s="66" t="n">
        <f aca="false">AX44+AX45</f>
        <v>-107949.100478859</v>
      </c>
      <c r="AY46" s="66" t="n">
        <f aca="false">AY44+AY45</f>
        <v>-203293.519379017</v>
      </c>
      <c r="AZ46" s="66" t="n">
        <f aca="false">AZ44+AZ45</f>
        <v>-203237.963823461</v>
      </c>
      <c r="BA46" s="66" t="n">
        <f aca="false">BA44+BA45</f>
        <v>-203182.408267905</v>
      </c>
      <c r="BB46" s="66" t="n">
        <f aca="false">BB44+BB45</f>
        <v>-203126.85271235</v>
      </c>
      <c r="BC46" s="66" t="n">
        <f aca="false">BC44+BC45</f>
        <v>-203071.297156794</v>
      </c>
      <c r="BD46" s="66" t="n">
        <f aca="false">BD44+BD45</f>
        <v>-203015.741601239</v>
      </c>
      <c r="BE46" s="66" t="n">
        <f aca="false">BE44+BE45</f>
        <v>-202960.186045683</v>
      </c>
      <c r="BF46" s="66" t="n">
        <f aca="false">BF44+BF45</f>
        <v>-202904.630490128</v>
      </c>
      <c r="BG46" s="66" t="n">
        <f aca="false">BG44+BG45</f>
        <v>-202849.074934572</v>
      </c>
      <c r="BH46" s="66" t="n">
        <f aca="false">BH44+BH45</f>
        <v>-202793.519379017</v>
      </c>
      <c r="BI46" s="66" t="n">
        <f aca="false">BI44+BI45</f>
        <v>-145773.094353381</v>
      </c>
      <c r="BJ46" s="66" t="n">
        <f aca="false">BJ44+BJ45</f>
        <v>-145717.538797825</v>
      </c>
    </row>
    <row r="47" customFormat="false" ht="15" hidden="false" customHeight="false" outlineLevel="0" collapsed="false">
      <c r="A47" s="117" t="s">
        <v>420</v>
      </c>
      <c r="C47" s="65" t="n">
        <f aca="false">C46</f>
        <v>-81256.4759111111</v>
      </c>
      <c r="D47" s="65" t="n">
        <f aca="false">C47+D46</f>
        <v>-162485.174044445</v>
      </c>
      <c r="E47" s="65" t="n">
        <f aca="false">D47+E46</f>
        <v>-243658.316622222</v>
      </c>
      <c r="F47" s="65" t="n">
        <f aca="false">E47+F46</f>
        <v>-324775.903644445</v>
      </c>
      <c r="G47" s="65" t="n">
        <f aca="false">F47+G46</f>
        <v>-405837.935111111</v>
      </c>
      <c r="H47" s="65" t="n">
        <f aca="false">G47+H46</f>
        <v>-486844.411022222</v>
      </c>
      <c r="I47" s="65" t="n">
        <f aca="false">H47+I46</f>
        <v>-567795.331377778</v>
      </c>
      <c r="J47" s="65" t="n">
        <f aca="false">I47+J46</f>
        <v>-648690.696177778</v>
      </c>
      <c r="K47" s="65" t="n">
        <f aca="false">J47+K46</f>
        <v>-729530.505422222</v>
      </c>
      <c r="L47" s="65" t="n">
        <f aca="false">K47+L46</f>
        <v>-810314.759111111</v>
      </c>
      <c r="M47" s="65" t="n">
        <f aca="false">L47+M46</f>
        <v>-865096.788444445</v>
      </c>
      <c r="N47" s="65" t="n">
        <f aca="false">M47+N46</f>
        <v>-919823.262222222</v>
      </c>
      <c r="O47" s="65" t="n">
        <f aca="false">N47+O46</f>
        <v>-1018687.09806571</v>
      </c>
      <c r="P47" s="65" t="n">
        <f aca="false">O47+P46</f>
        <v>-1117495.37835365</v>
      </c>
      <c r="Q47" s="65" t="n">
        <f aca="false">P47+Q46</f>
        <v>-1216248.10308603</v>
      </c>
      <c r="R47" s="65" t="n">
        <f aca="false">Q47+R46</f>
        <v>-1314945.27226286</v>
      </c>
      <c r="S47" s="65" t="n">
        <f aca="false">R47+S46</f>
        <v>-1413586.88588413</v>
      </c>
      <c r="T47" s="65" t="n">
        <f aca="false">S47+T46</f>
        <v>-1512172.94394984</v>
      </c>
      <c r="U47" s="65" t="n">
        <f aca="false">T47+U46</f>
        <v>-1610703.44646</v>
      </c>
      <c r="V47" s="65" t="n">
        <f aca="false">U47+V46</f>
        <v>-1709178.3934146</v>
      </c>
      <c r="W47" s="65" t="n">
        <f aca="false">V47+W46</f>
        <v>-1807597.78481365</v>
      </c>
      <c r="X47" s="65" t="n">
        <f aca="false">W47+X46</f>
        <v>-1905961.62065714</v>
      </c>
      <c r="Y47" s="65" t="n">
        <f aca="false">X47+Y46</f>
        <v>-1970786.48526508</v>
      </c>
      <c r="Z47" s="65" t="n">
        <f aca="false">Y47+Z46</f>
        <v>-2035555.79431746</v>
      </c>
      <c r="AA47" s="65" t="n">
        <f aca="false">Z47+AA46</f>
        <v>-2159159.76290592</v>
      </c>
      <c r="AB47" s="65" t="n">
        <f aca="false">AA47+AB46</f>
        <v>-2282708.17593882</v>
      </c>
      <c r="AC47" s="65" t="n">
        <f aca="false">AB47+AC46</f>
        <v>-2406201.03341616</v>
      </c>
      <c r="AD47" s="65" t="n">
        <f aca="false">AC47+AD46</f>
        <v>-2529638.33533795</v>
      </c>
      <c r="AE47" s="65" t="n">
        <f aca="false">AD47+AE46</f>
        <v>-2653020.08170419</v>
      </c>
      <c r="AF47" s="65" t="n">
        <f aca="false">AE47+AF46</f>
        <v>-2776346.27251486</v>
      </c>
      <c r="AG47" s="65" t="n">
        <f aca="false">AF47+AG46</f>
        <v>-2899616.90776999</v>
      </c>
      <c r="AH47" s="65" t="n">
        <f aca="false">AG47+AH46</f>
        <v>-3022831.98746956</v>
      </c>
      <c r="AI47" s="65" t="n">
        <f aca="false">AH47+AI46</f>
        <v>-3145991.51161357</v>
      </c>
      <c r="AJ47" s="65" t="n">
        <f aca="false">AI47+AJ46</f>
        <v>-3269095.48020202</v>
      </c>
      <c r="AK47" s="65" t="n">
        <f aca="false">AJ47+AK46</f>
        <v>-3350987.81598692</v>
      </c>
      <c r="AL47" s="65" t="n">
        <f aca="false">AK47+AL46</f>
        <v>-3432824.59621627</v>
      </c>
      <c r="AM47" s="65" t="n">
        <f aca="false">AL47+AM46</f>
        <v>-3590363.05277904</v>
      </c>
      <c r="AN47" s="65" t="n">
        <f aca="false">AM47+AN46</f>
        <v>-3747845.95378625</v>
      </c>
      <c r="AO47" s="65" t="n">
        <f aca="false">AN47+AO46</f>
        <v>-3905273.29923791</v>
      </c>
      <c r="AP47" s="65" t="n">
        <f aca="false">AO47+AP46</f>
        <v>-4062645.08913402</v>
      </c>
      <c r="AQ47" s="65" t="n">
        <f aca="false">AP47+AQ46</f>
        <v>-4219961.32347456</v>
      </c>
      <c r="AR47" s="65" t="n">
        <f aca="false">AQ47+AR46</f>
        <v>-4377222.00225955</v>
      </c>
      <c r="AS47" s="65" t="n">
        <f aca="false">AR47+AS46</f>
        <v>-4534427.12548899</v>
      </c>
      <c r="AT47" s="65" t="n">
        <f aca="false">AS47+AT46</f>
        <v>-4691576.69316287</v>
      </c>
      <c r="AU47" s="65" t="n">
        <f aca="false">AT47+AU46</f>
        <v>-4848670.7052812</v>
      </c>
      <c r="AV47" s="65" t="n">
        <f aca="false">AU47+AV46</f>
        <v>-5005709.16184397</v>
      </c>
      <c r="AW47" s="65" t="n">
        <f aca="false">AV47+AW46</f>
        <v>-5113713.81787838</v>
      </c>
      <c r="AX47" s="65" t="n">
        <f aca="false">AW47+AX46</f>
        <v>-5221662.91835724</v>
      </c>
      <c r="AY47" s="65" t="n">
        <f aca="false">AX47+AY46</f>
        <v>-5424956.43773626</v>
      </c>
      <c r="AZ47" s="65" t="n">
        <f aca="false">AY47+AZ46</f>
        <v>-5628194.40155972</v>
      </c>
      <c r="BA47" s="65" t="n">
        <f aca="false">AZ47+BA46</f>
        <v>-5831376.80982762</v>
      </c>
      <c r="BB47" s="65" t="n">
        <f aca="false">BA47+BB46</f>
        <v>-6034503.66253997</v>
      </c>
      <c r="BC47" s="65" t="n">
        <f aca="false">BB47+BC46</f>
        <v>-6237574.95969677</v>
      </c>
      <c r="BD47" s="65" t="n">
        <f aca="false">BC47+BD46</f>
        <v>-6440590.70129801</v>
      </c>
      <c r="BE47" s="65" t="n">
        <f aca="false">BD47+BE46</f>
        <v>-6643550.88734369</v>
      </c>
      <c r="BF47" s="65" t="n">
        <f aca="false">BE47+BF46</f>
        <v>-6846455.51783382</v>
      </c>
      <c r="BG47" s="65" t="n">
        <f aca="false">BF47+BG46</f>
        <v>-7049304.59276839</v>
      </c>
      <c r="BH47" s="65" t="n">
        <f aca="false">BG47+BH46</f>
        <v>-7252098.11214741</v>
      </c>
      <c r="BI47" s="65" t="n">
        <f aca="false">BH47+BI46</f>
        <v>-7397871.20650079</v>
      </c>
      <c r="BJ47" s="65" t="n">
        <f aca="false">BI47+BJ46</f>
        <v>-7543588.74529861</v>
      </c>
    </row>
    <row r="48" customFormat="false" ht="15" hidden="false" customHeight="false" outlineLevel="0" collapsed="false">
      <c r="A48" s="117" t="s">
        <v>421</v>
      </c>
      <c r="C48" s="65" t="n">
        <f aca="false">MAX(0,C47)</f>
        <v>0</v>
      </c>
      <c r="D48" s="65" t="n">
        <f aca="false">MAX(C48,D47)</f>
        <v>0</v>
      </c>
      <c r="E48" s="65" t="n">
        <f aca="false">MAX(D48,E47)</f>
        <v>0</v>
      </c>
      <c r="F48" s="65" t="n">
        <f aca="false">MAX(E48,F47)</f>
        <v>0</v>
      </c>
      <c r="G48" s="65" t="n">
        <f aca="false">MAX(F48,G47)</f>
        <v>0</v>
      </c>
      <c r="H48" s="65" t="n">
        <f aca="false">MAX(G48,H47)</f>
        <v>0</v>
      </c>
      <c r="I48" s="65" t="n">
        <f aca="false">MAX(H48,I47)</f>
        <v>0</v>
      </c>
      <c r="J48" s="65" t="n">
        <f aca="false">MAX(I48,J47)</f>
        <v>0</v>
      </c>
      <c r="K48" s="65" t="n">
        <f aca="false">MAX(J48,K47)</f>
        <v>0</v>
      </c>
      <c r="L48" s="65" t="n">
        <f aca="false">MAX(K48,L47)</f>
        <v>0</v>
      </c>
      <c r="M48" s="65" t="n">
        <f aca="false">MAX(L48,M47)</f>
        <v>0</v>
      </c>
      <c r="N48" s="65" t="n">
        <f aca="false">MAX(M48,N47)</f>
        <v>0</v>
      </c>
      <c r="O48" s="65" t="n">
        <f aca="false">MAX(N48,O47)</f>
        <v>0</v>
      </c>
      <c r="P48" s="65" t="n">
        <f aca="false">MAX(O48,P47)</f>
        <v>0</v>
      </c>
      <c r="Q48" s="65" t="n">
        <f aca="false">MAX(P48,Q47)</f>
        <v>0</v>
      </c>
      <c r="R48" s="65" t="n">
        <f aca="false">MAX(Q48,R47)</f>
        <v>0</v>
      </c>
      <c r="S48" s="65" t="n">
        <f aca="false">MAX(R48,S47)</f>
        <v>0</v>
      </c>
      <c r="T48" s="65" t="n">
        <f aca="false">MAX(S48,T47)</f>
        <v>0</v>
      </c>
      <c r="U48" s="65" t="n">
        <f aca="false">MAX(T48,U47)</f>
        <v>0</v>
      </c>
      <c r="V48" s="65" t="n">
        <f aca="false">MAX(U48,V47)</f>
        <v>0</v>
      </c>
      <c r="W48" s="65" t="n">
        <f aca="false">MAX(V48,W47)</f>
        <v>0</v>
      </c>
      <c r="X48" s="65" t="n">
        <f aca="false">MAX(W48,X47)</f>
        <v>0</v>
      </c>
      <c r="Y48" s="65" t="n">
        <f aca="false">MAX(X48,Y47)</f>
        <v>0</v>
      </c>
      <c r="Z48" s="65" t="n">
        <f aca="false">MAX(Y48,Z47)</f>
        <v>0</v>
      </c>
      <c r="AA48" s="65" t="n">
        <f aca="false">MAX(Z48,AA47)</f>
        <v>0</v>
      </c>
      <c r="AB48" s="65" t="n">
        <f aca="false">MAX(AA48,AB47)</f>
        <v>0</v>
      </c>
      <c r="AC48" s="65" t="n">
        <f aca="false">MAX(AB48,AC47)</f>
        <v>0</v>
      </c>
      <c r="AD48" s="65" t="n">
        <f aca="false">MAX(AC48,AD47)</f>
        <v>0</v>
      </c>
      <c r="AE48" s="65" t="n">
        <f aca="false">MAX(AD48,AE47)</f>
        <v>0</v>
      </c>
      <c r="AF48" s="65" t="n">
        <f aca="false">MAX(AE48,AF47)</f>
        <v>0</v>
      </c>
      <c r="AG48" s="65" t="n">
        <f aca="false">MAX(AF48,AG47)</f>
        <v>0</v>
      </c>
      <c r="AH48" s="65" t="n">
        <f aca="false">MAX(AG48,AH47)</f>
        <v>0</v>
      </c>
      <c r="AI48" s="65" t="n">
        <f aca="false">MAX(AH48,AI47)</f>
        <v>0</v>
      </c>
      <c r="AJ48" s="65" t="n">
        <f aca="false">MAX(AI48,AJ47)</f>
        <v>0</v>
      </c>
      <c r="AK48" s="65" t="n">
        <f aca="false">MAX(AJ48,AK47)</f>
        <v>0</v>
      </c>
      <c r="AL48" s="65" t="n">
        <f aca="false">MAX(AK48,AL47)</f>
        <v>0</v>
      </c>
      <c r="AM48" s="65" t="n">
        <f aca="false">MAX(AL48,AM47)</f>
        <v>0</v>
      </c>
      <c r="AN48" s="65" t="n">
        <f aca="false">MAX(AM48,AN47)</f>
        <v>0</v>
      </c>
      <c r="AO48" s="65" t="n">
        <f aca="false">MAX(AN48,AO47)</f>
        <v>0</v>
      </c>
      <c r="AP48" s="65" t="n">
        <f aca="false">MAX(AO48,AP47)</f>
        <v>0</v>
      </c>
      <c r="AQ48" s="65" t="n">
        <f aca="false">MAX(AP48,AQ47)</f>
        <v>0</v>
      </c>
      <c r="AR48" s="65" t="n">
        <f aca="false">MAX(AQ48,AR47)</f>
        <v>0</v>
      </c>
      <c r="AS48" s="65" t="n">
        <f aca="false">MAX(AR48,AS47)</f>
        <v>0</v>
      </c>
      <c r="AT48" s="65" t="n">
        <f aca="false">MAX(AS48,AT47)</f>
        <v>0</v>
      </c>
      <c r="AU48" s="65" t="n">
        <f aca="false">MAX(AT48,AU47)</f>
        <v>0</v>
      </c>
      <c r="AV48" s="65" t="n">
        <f aca="false">MAX(AU48,AV47)</f>
        <v>0</v>
      </c>
      <c r="AW48" s="65" t="n">
        <f aca="false">MAX(AV48,AW47)</f>
        <v>0</v>
      </c>
      <c r="AX48" s="65" t="n">
        <f aca="false">MAX(AW48,AX47)</f>
        <v>0</v>
      </c>
      <c r="AY48" s="65" t="n">
        <f aca="false">MAX(AX48,AY47)</f>
        <v>0</v>
      </c>
      <c r="AZ48" s="65" t="n">
        <f aca="false">MAX(AY48,AZ47)</f>
        <v>0</v>
      </c>
      <c r="BA48" s="65" t="n">
        <f aca="false">MAX(AZ48,BA47)</f>
        <v>0</v>
      </c>
      <c r="BB48" s="65" t="n">
        <f aca="false">MAX(BA48,BB47)</f>
        <v>0</v>
      </c>
      <c r="BC48" s="65" t="n">
        <f aca="false">MAX(BB48,BC47)</f>
        <v>0</v>
      </c>
      <c r="BD48" s="65" t="n">
        <f aca="false">MAX(BC48,BD47)</f>
        <v>0</v>
      </c>
      <c r="BE48" s="65" t="n">
        <f aca="false">MAX(BD48,BE47)</f>
        <v>0</v>
      </c>
      <c r="BF48" s="65" t="n">
        <f aca="false">MAX(BE48,BF47)</f>
        <v>0</v>
      </c>
      <c r="BG48" s="65" t="n">
        <f aca="false">MAX(BF48,BG47)</f>
        <v>0</v>
      </c>
      <c r="BH48" s="65" t="n">
        <f aca="false">MAX(BG48,BH47)</f>
        <v>0</v>
      </c>
      <c r="BI48" s="65" t="n">
        <f aca="false">MAX(BH48,BI47)</f>
        <v>0</v>
      </c>
      <c r="BJ48" s="65" t="n">
        <f aca="false">MAX(BI48,BJ47)</f>
        <v>0</v>
      </c>
    </row>
    <row r="49" customFormat="false" ht="15" hidden="false" customHeight="false" outlineLevel="0" collapsed="false">
      <c r="A49" s="6" t="s">
        <v>82</v>
      </c>
      <c r="C49" s="65" t="n">
        <f aca="false">-C48*Inputs!$B$70</f>
        <v>-0</v>
      </c>
      <c r="D49" s="65" t="n">
        <f aca="false">-(D48-C48)*Inputs!$B$70</f>
        <v>-0</v>
      </c>
      <c r="E49" s="65" t="n">
        <f aca="false">-(E48-D48)*Inputs!$B$70</f>
        <v>-0</v>
      </c>
      <c r="F49" s="65" t="n">
        <f aca="false">-(F48-E48)*Inputs!$B$70</f>
        <v>-0</v>
      </c>
      <c r="G49" s="65" t="n">
        <f aca="false">-(G48-F48)*Inputs!$B$70</f>
        <v>-0</v>
      </c>
      <c r="H49" s="65" t="n">
        <f aca="false">-(H48-G48)*Inputs!$B$70</f>
        <v>-0</v>
      </c>
      <c r="I49" s="65" t="n">
        <f aca="false">-(I48-H48)*Inputs!$B$70</f>
        <v>-0</v>
      </c>
      <c r="J49" s="65" t="n">
        <f aca="false">-(J48-I48)*Inputs!$B$70</f>
        <v>-0</v>
      </c>
      <c r="K49" s="65" t="n">
        <f aca="false">-(K48-J48)*Inputs!$B$70</f>
        <v>-0</v>
      </c>
      <c r="L49" s="65" t="n">
        <f aca="false">-(L48-K48)*Inputs!$B$70</f>
        <v>-0</v>
      </c>
      <c r="M49" s="65" t="n">
        <f aca="false">-(M48-L48)*Inputs!$B$70</f>
        <v>-0</v>
      </c>
      <c r="N49" s="65" t="n">
        <f aca="false">-(N48-M48)*Inputs!$B$70</f>
        <v>-0</v>
      </c>
      <c r="O49" s="65" t="n">
        <f aca="false">-(O48-N48)*Inputs!$B$70</f>
        <v>-0</v>
      </c>
      <c r="P49" s="65" t="n">
        <f aca="false">-(P48-O48)*Inputs!$B$70</f>
        <v>-0</v>
      </c>
      <c r="Q49" s="65" t="n">
        <f aca="false">-(Q48-P48)*Inputs!$B$70</f>
        <v>-0</v>
      </c>
      <c r="R49" s="65" t="n">
        <f aca="false">-(R48-Q48)*Inputs!$B$70</f>
        <v>-0</v>
      </c>
      <c r="S49" s="65" t="n">
        <f aca="false">-(S48-R48)*Inputs!$B$70</f>
        <v>-0</v>
      </c>
      <c r="T49" s="65" t="n">
        <f aca="false">-(T48-S48)*Inputs!$B$70</f>
        <v>-0</v>
      </c>
      <c r="U49" s="65" t="n">
        <f aca="false">-(U48-T48)*Inputs!$B$70</f>
        <v>-0</v>
      </c>
      <c r="V49" s="65" t="n">
        <f aca="false">-(V48-U48)*Inputs!$B$70</f>
        <v>-0</v>
      </c>
      <c r="W49" s="65" t="n">
        <f aca="false">-(W48-V48)*Inputs!$B$70</f>
        <v>-0</v>
      </c>
      <c r="X49" s="65" t="n">
        <f aca="false">-(X48-W48)*Inputs!$B$70</f>
        <v>-0</v>
      </c>
      <c r="Y49" s="65" t="n">
        <f aca="false">-(Y48-X48)*Inputs!$B$70</f>
        <v>-0</v>
      </c>
      <c r="Z49" s="65" t="n">
        <f aca="false">-(Z48-Y48)*Inputs!$B$70</f>
        <v>-0</v>
      </c>
      <c r="AA49" s="65" t="n">
        <f aca="false">-(AA48-Z48)*Inputs!$B$70</f>
        <v>-0</v>
      </c>
      <c r="AB49" s="65" t="n">
        <f aca="false">-(AB48-AA48)*Inputs!$B$70</f>
        <v>-0</v>
      </c>
      <c r="AC49" s="65" t="n">
        <f aca="false">-(AC48-AB48)*Inputs!$B$70</f>
        <v>-0</v>
      </c>
      <c r="AD49" s="65" t="n">
        <f aca="false">-(AD48-AC48)*Inputs!$B$70</f>
        <v>-0</v>
      </c>
      <c r="AE49" s="65" t="n">
        <f aca="false">-(AE48-AD48)*Inputs!$B$70</f>
        <v>-0</v>
      </c>
      <c r="AF49" s="65" t="n">
        <f aca="false">-(AF48-AE48)*Inputs!$B$70</f>
        <v>-0</v>
      </c>
      <c r="AG49" s="65" t="n">
        <f aca="false">-(AG48-AF48)*Inputs!$B$70</f>
        <v>-0</v>
      </c>
      <c r="AH49" s="65" t="n">
        <f aca="false">-(AH48-AG48)*Inputs!$B$70</f>
        <v>-0</v>
      </c>
      <c r="AI49" s="65" t="n">
        <f aca="false">-(AI48-AH48)*Inputs!$B$70</f>
        <v>-0</v>
      </c>
      <c r="AJ49" s="65" t="n">
        <f aca="false">-(AJ48-AI48)*Inputs!$B$70</f>
        <v>-0</v>
      </c>
      <c r="AK49" s="65" t="n">
        <f aca="false">-(AK48-AJ48)*Inputs!$B$70</f>
        <v>-0</v>
      </c>
      <c r="AL49" s="65" t="n">
        <f aca="false">-(AL48-AK48)*Inputs!$B$70</f>
        <v>-0</v>
      </c>
      <c r="AM49" s="65" t="n">
        <f aca="false">-(AM48-AL48)*Inputs!$B$70</f>
        <v>-0</v>
      </c>
      <c r="AN49" s="65" t="n">
        <f aca="false">-(AN48-AM48)*Inputs!$B$70</f>
        <v>-0</v>
      </c>
      <c r="AO49" s="65" t="n">
        <f aca="false">-(AO48-AN48)*Inputs!$B$70</f>
        <v>-0</v>
      </c>
      <c r="AP49" s="65" t="n">
        <f aca="false">-(AP48-AO48)*Inputs!$B$70</f>
        <v>-0</v>
      </c>
      <c r="AQ49" s="65" t="n">
        <f aca="false">-(AQ48-AP48)*Inputs!$B$70</f>
        <v>-0</v>
      </c>
      <c r="AR49" s="65" t="n">
        <f aca="false">-(AR48-AQ48)*Inputs!$B$70</f>
        <v>-0</v>
      </c>
      <c r="AS49" s="65" t="n">
        <f aca="false">-(AS48-AR48)*Inputs!$B$70</f>
        <v>-0</v>
      </c>
      <c r="AT49" s="65" t="n">
        <f aca="false">-(AT48-AS48)*Inputs!$B$70</f>
        <v>-0</v>
      </c>
      <c r="AU49" s="65" t="n">
        <f aca="false">-(AU48-AT48)*Inputs!$B$70</f>
        <v>-0</v>
      </c>
      <c r="AV49" s="65" t="n">
        <f aca="false">-(AV48-AU48)*Inputs!$B$70</f>
        <v>-0</v>
      </c>
      <c r="AW49" s="65" t="n">
        <f aca="false">-(AW48-AV48)*Inputs!$B$70</f>
        <v>-0</v>
      </c>
      <c r="AX49" s="65" t="n">
        <f aca="false">-(AX48-AW48)*Inputs!$B$70</f>
        <v>-0</v>
      </c>
      <c r="AY49" s="65" t="n">
        <f aca="false">-(AY48-AX48)*Inputs!$B$70</f>
        <v>-0</v>
      </c>
      <c r="AZ49" s="65" t="n">
        <f aca="false">-(AZ48-AY48)*Inputs!$B$70</f>
        <v>-0</v>
      </c>
      <c r="BA49" s="65" t="n">
        <f aca="false">-(BA48-AZ48)*Inputs!$B$70</f>
        <v>-0</v>
      </c>
      <c r="BB49" s="65" t="n">
        <f aca="false">-(BB48-BA48)*Inputs!$B$70</f>
        <v>-0</v>
      </c>
      <c r="BC49" s="65" t="n">
        <f aca="false">-(BC48-BB48)*Inputs!$B$70</f>
        <v>-0</v>
      </c>
      <c r="BD49" s="65" t="n">
        <f aca="false">-(BD48-BC48)*Inputs!$B$70</f>
        <v>-0</v>
      </c>
      <c r="BE49" s="65" t="n">
        <f aca="false">-(BE48-BD48)*Inputs!$B$70</f>
        <v>-0</v>
      </c>
      <c r="BF49" s="65" t="n">
        <f aca="false">-(BF48-BE48)*Inputs!$B$70</f>
        <v>-0</v>
      </c>
      <c r="BG49" s="65" t="n">
        <f aca="false">-(BG48-BF48)*Inputs!$B$70</f>
        <v>-0</v>
      </c>
      <c r="BH49" s="65" t="n">
        <f aca="false">-(BH48-BG48)*Inputs!$B$70</f>
        <v>-0</v>
      </c>
      <c r="BI49" s="65" t="n">
        <f aca="false">-(BI48-BH48)*Inputs!$B$70</f>
        <v>-0</v>
      </c>
      <c r="BJ49" s="65" t="n">
        <f aca="false">-(BJ48-BI48)*Inputs!$B$70</f>
        <v>-0</v>
      </c>
    </row>
    <row r="50" customFormat="false" ht="15" hidden="false" customHeight="false" outlineLevel="0" collapsed="false">
      <c r="A50" s="110" t="s">
        <v>50</v>
      </c>
      <c r="C50" s="66" t="n">
        <f aca="false">C46+C49</f>
        <v>-81256.4759111111</v>
      </c>
      <c r="D50" s="66" t="n">
        <f aca="false">D46+D49</f>
        <v>-81228.6981333334</v>
      </c>
      <c r="E50" s="66" t="n">
        <f aca="false">E46+E49</f>
        <v>-81173.1425777778</v>
      </c>
      <c r="F50" s="66" t="n">
        <f aca="false">F46+F49</f>
        <v>-81117.5870222223</v>
      </c>
      <c r="G50" s="66" t="n">
        <f aca="false">G46+G49</f>
        <v>-81062.0314666667</v>
      </c>
      <c r="H50" s="66" t="n">
        <f aca="false">H46+H49</f>
        <v>-81006.4759111111</v>
      </c>
      <c r="I50" s="66" t="n">
        <f aca="false">I46+I49</f>
        <v>-80950.9203555556</v>
      </c>
      <c r="J50" s="66" t="n">
        <f aca="false">J46+J49</f>
        <v>-80895.3648</v>
      </c>
      <c r="K50" s="66" t="n">
        <f aca="false">K46+K49</f>
        <v>-80839.8092444445</v>
      </c>
      <c r="L50" s="66" t="n">
        <f aca="false">L46+L49</f>
        <v>-80784.2536888889</v>
      </c>
      <c r="M50" s="66" t="n">
        <f aca="false">M46+M49</f>
        <v>-54782.0293333333</v>
      </c>
      <c r="N50" s="66" t="n">
        <f aca="false">N46+N49</f>
        <v>-54726.4737777778</v>
      </c>
      <c r="O50" s="66" t="n">
        <f aca="false">O46+O49</f>
        <v>-98863.8358434921</v>
      </c>
      <c r="P50" s="66" t="n">
        <f aca="false">P46+P49</f>
        <v>-98808.2802879365</v>
      </c>
      <c r="Q50" s="66" t="n">
        <f aca="false">Q46+Q49</f>
        <v>-98752.7247323809</v>
      </c>
      <c r="R50" s="66" t="n">
        <f aca="false">R46+R49</f>
        <v>-98697.1691768254</v>
      </c>
      <c r="S50" s="66" t="n">
        <f aca="false">S46+S49</f>
        <v>-98641.6136212698</v>
      </c>
      <c r="T50" s="66" t="n">
        <f aca="false">T46+T49</f>
        <v>-98586.0580657143</v>
      </c>
      <c r="U50" s="66" t="n">
        <f aca="false">U46+U49</f>
        <v>-98530.5025101587</v>
      </c>
      <c r="V50" s="66" t="n">
        <f aca="false">V46+V49</f>
        <v>-98474.9469546032</v>
      </c>
      <c r="W50" s="66" t="n">
        <f aca="false">W46+W49</f>
        <v>-98419.3913990476</v>
      </c>
      <c r="X50" s="66" t="n">
        <f aca="false">X46+X49</f>
        <v>-98363.8358434921</v>
      </c>
      <c r="Y50" s="66" t="n">
        <f aca="false">Y46+Y49</f>
        <v>-64824.8646079365</v>
      </c>
      <c r="Z50" s="66" t="n">
        <f aca="false">Z46+Z49</f>
        <v>-64769.309052381</v>
      </c>
      <c r="AA50" s="66" t="n">
        <f aca="false">AA46+AA49</f>
        <v>-123603.968588456</v>
      </c>
      <c r="AB50" s="66" t="n">
        <f aca="false">AB46+AB49</f>
        <v>-123548.413032901</v>
      </c>
      <c r="AC50" s="66" t="n">
        <f aca="false">AC46+AC49</f>
        <v>-123492.857477345</v>
      </c>
      <c r="AD50" s="66" t="n">
        <f aca="false">AD46+AD49</f>
        <v>-123437.30192179</v>
      </c>
      <c r="AE50" s="66" t="n">
        <f aca="false">AE46+AE49</f>
        <v>-123381.746366234</v>
      </c>
      <c r="AF50" s="66" t="n">
        <f aca="false">AF46+AF49</f>
        <v>-123326.190810679</v>
      </c>
      <c r="AG50" s="66" t="n">
        <f aca="false">AG46+AG49</f>
        <v>-123270.635255123</v>
      </c>
      <c r="AH50" s="66" t="n">
        <f aca="false">AH46+AH49</f>
        <v>-123215.079699567</v>
      </c>
      <c r="AI50" s="66" t="n">
        <f aca="false">AI46+AI49</f>
        <v>-123159.524144012</v>
      </c>
      <c r="AJ50" s="66" t="n">
        <f aca="false">AJ46+AJ49</f>
        <v>-123103.968588456</v>
      </c>
      <c r="AK50" s="66" t="n">
        <f aca="false">AK46+AK49</f>
        <v>-81892.3357849008</v>
      </c>
      <c r="AL50" s="66" t="n">
        <f aca="false">AL46+AL49</f>
        <v>-81836.7802293453</v>
      </c>
      <c r="AM50" s="66" t="n">
        <f aca="false">AM46+AM49</f>
        <v>-157538.45656277</v>
      </c>
      <c r="AN50" s="66" t="n">
        <f aca="false">AN46+AN49</f>
        <v>-157482.901007214</v>
      </c>
      <c r="AO50" s="66" t="n">
        <f aca="false">AO46+AO49</f>
        <v>-157427.345451658</v>
      </c>
      <c r="AP50" s="66" t="n">
        <f aca="false">AP46+AP49</f>
        <v>-157371.789896103</v>
      </c>
      <c r="AQ50" s="66" t="n">
        <f aca="false">AQ46+AQ49</f>
        <v>-157316.234340547</v>
      </c>
      <c r="AR50" s="66" t="n">
        <f aca="false">AR46+AR49</f>
        <v>-157260.678784992</v>
      </c>
      <c r="AS50" s="66" t="n">
        <f aca="false">AS46+AS49</f>
        <v>-157205.123229436</v>
      </c>
      <c r="AT50" s="66" t="n">
        <f aca="false">AT46+AT49</f>
        <v>-157149.567673881</v>
      </c>
      <c r="AU50" s="66" t="n">
        <f aca="false">AU46+AU49</f>
        <v>-157094.012118325</v>
      </c>
      <c r="AV50" s="66" t="n">
        <f aca="false">AV46+AV49</f>
        <v>-157038.45656277</v>
      </c>
      <c r="AW50" s="66" t="n">
        <f aca="false">AW46+AW49</f>
        <v>-108004.656034414</v>
      </c>
      <c r="AX50" s="66" t="n">
        <f aca="false">AX46+AX49</f>
        <v>-107949.100478859</v>
      </c>
      <c r="AY50" s="66" t="n">
        <f aca="false">AY46+AY49</f>
        <v>-203293.519379017</v>
      </c>
      <c r="AZ50" s="66" t="n">
        <f aca="false">AZ46+AZ49</f>
        <v>-203237.963823461</v>
      </c>
      <c r="BA50" s="66" t="n">
        <f aca="false">BA46+BA49</f>
        <v>-203182.408267905</v>
      </c>
      <c r="BB50" s="66" t="n">
        <f aca="false">BB46+BB49</f>
        <v>-203126.85271235</v>
      </c>
      <c r="BC50" s="66" t="n">
        <f aca="false">BC46+BC49</f>
        <v>-203071.297156794</v>
      </c>
      <c r="BD50" s="66" t="n">
        <f aca="false">BD46+BD49</f>
        <v>-203015.741601239</v>
      </c>
      <c r="BE50" s="66" t="n">
        <f aca="false">BE46+BE49</f>
        <v>-202960.186045683</v>
      </c>
      <c r="BF50" s="66" t="n">
        <f aca="false">BF46+BF49</f>
        <v>-202904.630490128</v>
      </c>
      <c r="BG50" s="66" t="n">
        <f aca="false">BG46+BG49</f>
        <v>-202849.074934572</v>
      </c>
      <c r="BH50" s="66" t="n">
        <f aca="false">BH46+BH49</f>
        <v>-202793.519379017</v>
      </c>
      <c r="BI50" s="66" t="n">
        <f aca="false">BI46+BI49</f>
        <v>-145773.094353381</v>
      </c>
      <c r="BJ50" s="66" t="n">
        <f aca="false">BJ46+BJ49</f>
        <v>-145717.538797825</v>
      </c>
    </row>
    <row r="52" customFormat="false" ht="15.75" hidden="false" customHeight="true" outlineLevel="0" collapsed="false">
      <c r="A52" s="7" t="s">
        <v>422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customFormat="false" ht="15" hidden="false" customHeight="false" outlineLevel="0" collapsed="false">
      <c r="A53" s="6" t="s">
        <v>423</v>
      </c>
      <c r="C53" s="65" t="n">
        <f aca="false">IF(C$6=1,Inputs!$B$35+Inputs!$B$18*Inputs!$B$25,0)+IF(AND(C$6&gt;1,MOD(C$6-1,12)=0),Inputs!$B$19*Inputs!$B$25,0)</f>
        <v>350000</v>
      </c>
      <c r="D53" s="65" t="n">
        <f aca="false">IF(D$6=1,Inputs!$B$35+Inputs!$B$18*Inputs!$B$25,0)+IF(AND(D$6&gt;1,MOD(D$6-1,12)=0),Inputs!$B$19*Inputs!$B$25,0)</f>
        <v>0</v>
      </c>
      <c r="E53" s="65" t="n">
        <f aca="false">IF(E$6=1,Inputs!$B$35+Inputs!$B$18*Inputs!$B$25,0)+IF(AND(E$6&gt;1,MOD(E$6-1,12)=0),Inputs!$B$19*Inputs!$B$25,0)</f>
        <v>0</v>
      </c>
      <c r="F53" s="65" t="n">
        <f aca="false">IF(F$6=1,Inputs!$B$35+Inputs!$B$18*Inputs!$B$25,0)+IF(AND(F$6&gt;1,MOD(F$6-1,12)=0),Inputs!$B$19*Inputs!$B$25,0)</f>
        <v>0</v>
      </c>
      <c r="G53" s="65" t="n">
        <f aca="false">IF(G$6=1,Inputs!$B$35+Inputs!$B$18*Inputs!$B$25,0)+IF(AND(G$6&gt;1,MOD(G$6-1,12)=0),Inputs!$B$19*Inputs!$B$25,0)</f>
        <v>0</v>
      </c>
      <c r="H53" s="65" t="n">
        <f aca="false">IF(H$6=1,Inputs!$B$35+Inputs!$B$18*Inputs!$B$25,0)+IF(AND(H$6&gt;1,MOD(H$6-1,12)=0),Inputs!$B$19*Inputs!$B$25,0)</f>
        <v>0</v>
      </c>
      <c r="I53" s="65" t="n">
        <f aca="false">IF(I$6=1,Inputs!$B$35+Inputs!$B$18*Inputs!$B$25,0)+IF(AND(I$6&gt;1,MOD(I$6-1,12)=0),Inputs!$B$19*Inputs!$B$25,0)</f>
        <v>0</v>
      </c>
      <c r="J53" s="65" t="n">
        <f aca="false">IF(J$6=1,Inputs!$B$35+Inputs!$B$18*Inputs!$B$25,0)+IF(AND(J$6&gt;1,MOD(J$6-1,12)=0),Inputs!$B$19*Inputs!$B$25,0)</f>
        <v>0</v>
      </c>
      <c r="K53" s="65" t="n">
        <f aca="false">IF(K$6=1,Inputs!$B$35+Inputs!$B$18*Inputs!$B$25,0)+IF(AND(K$6&gt;1,MOD(K$6-1,12)=0),Inputs!$B$19*Inputs!$B$25,0)</f>
        <v>0</v>
      </c>
      <c r="L53" s="65" t="n">
        <f aca="false">IF(L$6=1,Inputs!$B$35+Inputs!$B$18*Inputs!$B$25,0)+IF(AND(L$6&gt;1,MOD(L$6-1,12)=0),Inputs!$B$19*Inputs!$B$25,0)</f>
        <v>0</v>
      </c>
      <c r="M53" s="65" t="n">
        <f aca="false">IF(M$6=1,Inputs!$B$35+Inputs!$B$18*Inputs!$B$25,0)+IF(AND(M$6&gt;1,MOD(M$6-1,12)=0),Inputs!$B$19*Inputs!$B$25,0)</f>
        <v>0</v>
      </c>
      <c r="N53" s="65" t="n">
        <f aca="false">IF(N$6=1,Inputs!$B$35+Inputs!$B$18*Inputs!$B$25,0)+IF(AND(N$6&gt;1,MOD(N$6-1,12)=0),Inputs!$B$19*Inputs!$B$25,0)</f>
        <v>0</v>
      </c>
      <c r="O53" s="65" t="n">
        <f aca="false">IF(O$6=1,Inputs!$B$35+Inputs!$B$18*Inputs!$B$25,0)+IF(AND(O$6&gt;1,MOD(O$6-1,12)=0),Inputs!$B$19*Inputs!$B$25,0)</f>
        <v>150000</v>
      </c>
      <c r="P53" s="65" t="n">
        <f aca="false">IF(P$6=1,Inputs!$B$35+Inputs!$B$18*Inputs!$B$25,0)+IF(AND(P$6&gt;1,MOD(P$6-1,12)=0),Inputs!$B$19*Inputs!$B$25,0)</f>
        <v>0</v>
      </c>
      <c r="Q53" s="65" t="n">
        <f aca="false">IF(Q$6=1,Inputs!$B$35+Inputs!$B$18*Inputs!$B$25,0)+IF(AND(Q$6&gt;1,MOD(Q$6-1,12)=0),Inputs!$B$19*Inputs!$B$25,0)</f>
        <v>0</v>
      </c>
      <c r="R53" s="65" t="n">
        <f aca="false">IF(R$6=1,Inputs!$B$35+Inputs!$B$18*Inputs!$B$25,0)+IF(AND(R$6&gt;1,MOD(R$6-1,12)=0),Inputs!$B$19*Inputs!$B$25,0)</f>
        <v>0</v>
      </c>
      <c r="S53" s="65" t="n">
        <f aca="false">IF(S$6=1,Inputs!$B$35+Inputs!$B$18*Inputs!$B$25,0)+IF(AND(S$6&gt;1,MOD(S$6-1,12)=0),Inputs!$B$19*Inputs!$B$25,0)</f>
        <v>0</v>
      </c>
      <c r="T53" s="65" t="n">
        <f aca="false">IF(T$6=1,Inputs!$B$35+Inputs!$B$18*Inputs!$B$25,0)+IF(AND(T$6&gt;1,MOD(T$6-1,12)=0),Inputs!$B$19*Inputs!$B$25,0)</f>
        <v>0</v>
      </c>
      <c r="U53" s="65" t="n">
        <f aca="false">IF(U$6=1,Inputs!$B$35+Inputs!$B$18*Inputs!$B$25,0)+IF(AND(U$6&gt;1,MOD(U$6-1,12)=0),Inputs!$B$19*Inputs!$B$25,0)</f>
        <v>0</v>
      </c>
      <c r="V53" s="65" t="n">
        <f aca="false">IF(V$6=1,Inputs!$B$35+Inputs!$B$18*Inputs!$B$25,0)+IF(AND(V$6&gt;1,MOD(V$6-1,12)=0),Inputs!$B$19*Inputs!$B$25,0)</f>
        <v>0</v>
      </c>
      <c r="W53" s="65" t="n">
        <f aca="false">IF(W$6=1,Inputs!$B$35+Inputs!$B$18*Inputs!$B$25,0)+IF(AND(W$6&gt;1,MOD(W$6-1,12)=0),Inputs!$B$19*Inputs!$B$25,0)</f>
        <v>0</v>
      </c>
      <c r="X53" s="65" t="n">
        <f aca="false">IF(X$6=1,Inputs!$B$35+Inputs!$B$18*Inputs!$B$25,0)+IF(AND(X$6&gt;1,MOD(X$6-1,12)=0),Inputs!$B$19*Inputs!$B$25,0)</f>
        <v>0</v>
      </c>
      <c r="Y53" s="65" t="n">
        <f aca="false">IF(Y$6=1,Inputs!$B$35+Inputs!$B$18*Inputs!$B$25,0)+IF(AND(Y$6&gt;1,MOD(Y$6-1,12)=0),Inputs!$B$19*Inputs!$B$25,0)</f>
        <v>0</v>
      </c>
      <c r="Z53" s="65" t="n">
        <f aca="false">IF(Z$6=1,Inputs!$B$35+Inputs!$B$18*Inputs!$B$25,0)+IF(AND(Z$6&gt;1,MOD(Z$6-1,12)=0),Inputs!$B$19*Inputs!$B$25,0)</f>
        <v>0</v>
      </c>
      <c r="AA53" s="65" t="n">
        <f aca="false">IF(AA$6=1,Inputs!$B$35+Inputs!$B$18*Inputs!$B$25,0)+IF(AND(AA$6&gt;1,MOD(AA$6-1,12)=0),Inputs!$B$19*Inputs!$B$25,0)</f>
        <v>150000</v>
      </c>
      <c r="AB53" s="65" t="n">
        <f aca="false">IF(AB$6=1,Inputs!$B$35+Inputs!$B$18*Inputs!$B$25,0)+IF(AND(AB$6&gt;1,MOD(AB$6-1,12)=0),Inputs!$B$19*Inputs!$B$25,0)</f>
        <v>0</v>
      </c>
      <c r="AC53" s="65" t="n">
        <f aca="false">IF(AC$6=1,Inputs!$B$35+Inputs!$B$18*Inputs!$B$25,0)+IF(AND(AC$6&gt;1,MOD(AC$6-1,12)=0),Inputs!$B$19*Inputs!$B$25,0)</f>
        <v>0</v>
      </c>
      <c r="AD53" s="65" t="n">
        <f aca="false">IF(AD$6=1,Inputs!$B$35+Inputs!$B$18*Inputs!$B$25,0)+IF(AND(AD$6&gt;1,MOD(AD$6-1,12)=0),Inputs!$B$19*Inputs!$B$25,0)</f>
        <v>0</v>
      </c>
      <c r="AE53" s="65" t="n">
        <f aca="false">IF(AE$6=1,Inputs!$B$35+Inputs!$B$18*Inputs!$B$25,0)+IF(AND(AE$6&gt;1,MOD(AE$6-1,12)=0),Inputs!$B$19*Inputs!$B$25,0)</f>
        <v>0</v>
      </c>
      <c r="AF53" s="65" t="n">
        <f aca="false">IF(AF$6=1,Inputs!$B$35+Inputs!$B$18*Inputs!$B$25,0)+IF(AND(AF$6&gt;1,MOD(AF$6-1,12)=0),Inputs!$B$19*Inputs!$B$25,0)</f>
        <v>0</v>
      </c>
      <c r="AG53" s="65" t="n">
        <f aca="false">IF(AG$6=1,Inputs!$B$35+Inputs!$B$18*Inputs!$B$25,0)+IF(AND(AG$6&gt;1,MOD(AG$6-1,12)=0),Inputs!$B$19*Inputs!$B$25,0)</f>
        <v>0</v>
      </c>
      <c r="AH53" s="65" t="n">
        <f aca="false">IF(AH$6=1,Inputs!$B$35+Inputs!$B$18*Inputs!$B$25,0)+IF(AND(AH$6&gt;1,MOD(AH$6-1,12)=0),Inputs!$B$19*Inputs!$B$25,0)</f>
        <v>0</v>
      </c>
      <c r="AI53" s="65" t="n">
        <f aca="false">IF(AI$6=1,Inputs!$B$35+Inputs!$B$18*Inputs!$B$25,0)+IF(AND(AI$6&gt;1,MOD(AI$6-1,12)=0),Inputs!$B$19*Inputs!$B$25,0)</f>
        <v>0</v>
      </c>
      <c r="AJ53" s="65" t="n">
        <f aca="false">IF(AJ$6=1,Inputs!$B$35+Inputs!$B$18*Inputs!$B$25,0)+IF(AND(AJ$6&gt;1,MOD(AJ$6-1,12)=0),Inputs!$B$19*Inputs!$B$25,0)</f>
        <v>0</v>
      </c>
      <c r="AK53" s="65" t="n">
        <f aca="false">IF(AK$6=1,Inputs!$B$35+Inputs!$B$18*Inputs!$B$25,0)+IF(AND(AK$6&gt;1,MOD(AK$6-1,12)=0),Inputs!$B$19*Inputs!$B$25,0)</f>
        <v>0</v>
      </c>
      <c r="AL53" s="65" t="n">
        <f aca="false">IF(AL$6=1,Inputs!$B$35+Inputs!$B$18*Inputs!$B$25,0)+IF(AND(AL$6&gt;1,MOD(AL$6-1,12)=0),Inputs!$B$19*Inputs!$B$25,0)</f>
        <v>0</v>
      </c>
      <c r="AM53" s="65" t="n">
        <f aca="false">IF(AM$6=1,Inputs!$B$35+Inputs!$B$18*Inputs!$B$25,0)+IF(AND(AM$6&gt;1,MOD(AM$6-1,12)=0),Inputs!$B$19*Inputs!$B$25,0)</f>
        <v>150000</v>
      </c>
      <c r="AN53" s="65" t="n">
        <f aca="false">IF(AN$6=1,Inputs!$B$35+Inputs!$B$18*Inputs!$B$25,0)+IF(AND(AN$6&gt;1,MOD(AN$6-1,12)=0),Inputs!$B$19*Inputs!$B$25,0)</f>
        <v>0</v>
      </c>
      <c r="AO53" s="65" t="n">
        <f aca="false">IF(AO$6=1,Inputs!$B$35+Inputs!$B$18*Inputs!$B$25,0)+IF(AND(AO$6&gt;1,MOD(AO$6-1,12)=0),Inputs!$B$19*Inputs!$B$25,0)</f>
        <v>0</v>
      </c>
      <c r="AP53" s="65" t="n">
        <f aca="false">IF(AP$6=1,Inputs!$B$35+Inputs!$B$18*Inputs!$B$25,0)+IF(AND(AP$6&gt;1,MOD(AP$6-1,12)=0),Inputs!$B$19*Inputs!$B$25,0)</f>
        <v>0</v>
      </c>
      <c r="AQ53" s="65" t="n">
        <f aca="false">IF(AQ$6=1,Inputs!$B$35+Inputs!$B$18*Inputs!$B$25,0)+IF(AND(AQ$6&gt;1,MOD(AQ$6-1,12)=0),Inputs!$B$19*Inputs!$B$25,0)</f>
        <v>0</v>
      </c>
      <c r="AR53" s="65" t="n">
        <f aca="false">IF(AR$6=1,Inputs!$B$35+Inputs!$B$18*Inputs!$B$25,0)+IF(AND(AR$6&gt;1,MOD(AR$6-1,12)=0),Inputs!$B$19*Inputs!$B$25,0)</f>
        <v>0</v>
      </c>
      <c r="AS53" s="65" t="n">
        <f aca="false">IF(AS$6=1,Inputs!$B$35+Inputs!$B$18*Inputs!$B$25,0)+IF(AND(AS$6&gt;1,MOD(AS$6-1,12)=0),Inputs!$B$19*Inputs!$B$25,0)</f>
        <v>0</v>
      </c>
      <c r="AT53" s="65" t="n">
        <f aca="false">IF(AT$6=1,Inputs!$B$35+Inputs!$B$18*Inputs!$B$25,0)+IF(AND(AT$6&gt;1,MOD(AT$6-1,12)=0),Inputs!$B$19*Inputs!$B$25,0)</f>
        <v>0</v>
      </c>
      <c r="AU53" s="65" t="n">
        <f aca="false">IF(AU$6=1,Inputs!$B$35+Inputs!$B$18*Inputs!$B$25,0)+IF(AND(AU$6&gt;1,MOD(AU$6-1,12)=0),Inputs!$B$19*Inputs!$B$25,0)</f>
        <v>0</v>
      </c>
      <c r="AV53" s="65" t="n">
        <f aca="false">IF(AV$6=1,Inputs!$B$35+Inputs!$B$18*Inputs!$B$25,0)+IF(AND(AV$6&gt;1,MOD(AV$6-1,12)=0),Inputs!$B$19*Inputs!$B$25,0)</f>
        <v>0</v>
      </c>
      <c r="AW53" s="65" t="n">
        <f aca="false">IF(AW$6=1,Inputs!$B$35+Inputs!$B$18*Inputs!$B$25,0)+IF(AND(AW$6&gt;1,MOD(AW$6-1,12)=0),Inputs!$B$19*Inputs!$B$25,0)</f>
        <v>0</v>
      </c>
      <c r="AX53" s="65" t="n">
        <f aca="false">IF(AX$6=1,Inputs!$B$35+Inputs!$B$18*Inputs!$B$25,0)+IF(AND(AX$6&gt;1,MOD(AX$6-1,12)=0),Inputs!$B$19*Inputs!$B$25,0)</f>
        <v>0</v>
      </c>
      <c r="AY53" s="65" t="n">
        <f aca="false">IF(AY$6=1,Inputs!$B$35+Inputs!$B$18*Inputs!$B$25,0)+IF(AND(AY$6&gt;1,MOD(AY$6-1,12)=0),Inputs!$B$19*Inputs!$B$25,0)</f>
        <v>150000</v>
      </c>
      <c r="AZ53" s="65" t="n">
        <f aca="false">IF(AZ$6=1,Inputs!$B$35+Inputs!$B$18*Inputs!$B$25,0)+IF(AND(AZ$6&gt;1,MOD(AZ$6-1,12)=0),Inputs!$B$19*Inputs!$B$25,0)</f>
        <v>0</v>
      </c>
      <c r="BA53" s="65" t="n">
        <f aca="false">IF(BA$6=1,Inputs!$B$35+Inputs!$B$18*Inputs!$B$25,0)+IF(AND(BA$6&gt;1,MOD(BA$6-1,12)=0),Inputs!$B$19*Inputs!$B$25,0)</f>
        <v>0</v>
      </c>
      <c r="BB53" s="65" t="n">
        <f aca="false">IF(BB$6=1,Inputs!$B$35+Inputs!$B$18*Inputs!$B$25,0)+IF(AND(BB$6&gt;1,MOD(BB$6-1,12)=0),Inputs!$B$19*Inputs!$B$25,0)</f>
        <v>0</v>
      </c>
      <c r="BC53" s="65" t="n">
        <f aca="false">IF(BC$6=1,Inputs!$B$35+Inputs!$B$18*Inputs!$B$25,0)+IF(AND(BC$6&gt;1,MOD(BC$6-1,12)=0),Inputs!$B$19*Inputs!$B$25,0)</f>
        <v>0</v>
      </c>
      <c r="BD53" s="65" t="n">
        <f aca="false">IF(BD$6=1,Inputs!$B$35+Inputs!$B$18*Inputs!$B$25,0)+IF(AND(BD$6&gt;1,MOD(BD$6-1,12)=0),Inputs!$B$19*Inputs!$B$25,0)</f>
        <v>0</v>
      </c>
      <c r="BE53" s="65" t="n">
        <f aca="false">IF(BE$6=1,Inputs!$B$35+Inputs!$B$18*Inputs!$B$25,0)+IF(AND(BE$6&gt;1,MOD(BE$6-1,12)=0),Inputs!$B$19*Inputs!$B$25,0)</f>
        <v>0</v>
      </c>
      <c r="BF53" s="65" t="n">
        <f aca="false">IF(BF$6=1,Inputs!$B$35+Inputs!$B$18*Inputs!$B$25,0)+IF(AND(BF$6&gt;1,MOD(BF$6-1,12)=0),Inputs!$B$19*Inputs!$B$25,0)</f>
        <v>0</v>
      </c>
      <c r="BG53" s="65" t="n">
        <f aca="false">IF(BG$6=1,Inputs!$B$35+Inputs!$B$18*Inputs!$B$25,0)+IF(AND(BG$6&gt;1,MOD(BG$6-1,12)=0),Inputs!$B$19*Inputs!$B$25,0)</f>
        <v>0</v>
      </c>
      <c r="BH53" s="65" t="n">
        <f aca="false">IF(BH$6=1,Inputs!$B$35+Inputs!$B$18*Inputs!$B$25,0)+IF(AND(BH$6&gt;1,MOD(BH$6-1,12)=0),Inputs!$B$19*Inputs!$B$25,0)</f>
        <v>0</v>
      </c>
      <c r="BI53" s="65" t="n">
        <f aca="false">IF(BI$6=1,Inputs!$B$35+Inputs!$B$18*Inputs!$B$25,0)+IF(AND(BI$6&gt;1,MOD(BI$6-1,12)=0),Inputs!$B$19*Inputs!$B$25,0)</f>
        <v>0</v>
      </c>
      <c r="BJ53" s="65" t="n">
        <f aca="false">IF(BJ$6=1,Inputs!$B$35+Inputs!$B$18*Inputs!$B$25,0)+IF(AND(BJ$6&gt;1,MOD(BJ$6-1,12)=0),Inputs!$B$19*Inputs!$B$25,0)</f>
        <v>0</v>
      </c>
    </row>
    <row r="54" customFormat="false" ht="15" hidden="false" customHeight="false" outlineLevel="0" collapsed="false">
      <c r="A54" s="6" t="s">
        <v>424</v>
      </c>
      <c r="C54" s="65" t="n">
        <f aca="false">C53</f>
        <v>350000</v>
      </c>
      <c r="D54" s="65" t="n">
        <f aca="false">C54+D53</f>
        <v>350000</v>
      </c>
      <c r="E54" s="65" t="n">
        <f aca="false">D54+E53</f>
        <v>350000</v>
      </c>
      <c r="F54" s="65" t="n">
        <f aca="false">E54+F53</f>
        <v>350000</v>
      </c>
      <c r="G54" s="65" t="n">
        <f aca="false">F54+G53</f>
        <v>350000</v>
      </c>
      <c r="H54" s="65" t="n">
        <f aca="false">G54+H53</f>
        <v>350000</v>
      </c>
      <c r="I54" s="65" t="n">
        <f aca="false">H54+I53</f>
        <v>350000</v>
      </c>
      <c r="J54" s="65" t="n">
        <f aca="false">I54+J53</f>
        <v>350000</v>
      </c>
      <c r="K54" s="65" t="n">
        <f aca="false">J54+K53</f>
        <v>350000</v>
      </c>
      <c r="L54" s="65" t="n">
        <f aca="false">K54+L53</f>
        <v>350000</v>
      </c>
      <c r="M54" s="65" t="n">
        <f aca="false">L54+M53</f>
        <v>350000</v>
      </c>
      <c r="N54" s="65" t="n">
        <f aca="false">M54+N53</f>
        <v>350000</v>
      </c>
      <c r="O54" s="65" t="n">
        <f aca="false">N54+O53</f>
        <v>500000</v>
      </c>
      <c r="P54" s="65" t="n">
        <f aca="false">O54+P53</f>
        <v>500000</v>
      </c>
      <c r="Q54" s="65" t="n">
        <f aca="false">P54+Q53</f>
        <v>500000</v>
      </c>
      <c r="R54" s="65" t="n">
        <f aca="false">Q54+R53</f>
        <v>500000</v>
      </c>
      <c r="S54" s="65" t="n">
        <f aca="false">R54+S53</f>
        <v>500000</v>
      </c>
      <c r="T54" s="65" t="n">
        <f aca="false">S54+T53</f>
        <v>500000</v>
      </c>
      <c r="U54" s="65" t="n">
        <f aca="false">T54+U53</f>
        <v>500000</v>
      </c>
      <c r="V54" s="65" t="n">
        <f aca="false">U54+V53</f>
        <v>500000</v>
      </c>
      <c r="W54" s="65" t="n">
        <f aca="false">V54+W53</f>
        <v>500000</v>
      </c>
      <c r="X54" s="65" t="n">
        <f aca="false">W54+X53</f>
        <v>500000</v>
      </c>
      <c r="Y54" s="65" t="n">
        <f aca="false">X54+Y53</f>
        <v>500000</v>
      </c>
      <c r="Z54" s="65" t="n">
        <f aca="false">Y54+Z53</f>
        <v>500000</v>
      </c>
      <c r="AA54" s="65" t="n">
        <f aca="false">Z54+AA53</f>
        <v>650000</v>
      </c>
      <c r="AB54" s="65" t="n">
        <f aca="false">AA54+AB53</f>
        <v>650000</v>
      </c>
      <c r="AC54" s="65" t="n">
        <f aca="false">AB54+AC53</f>
        <v>650000</v>
      </c>
      <c r="AD54" s="65" t="n">
        <f aca="false">AC54+AD53</f>
        <v>650000</v>
      </c>
      <c r="AE54" s="65" t="n">
        <f aca="false">AD54+AE53</f>
        <v>650000</v>
      </c>
      <c r="AF54" s="65" t="n">
        <f aca="false">AE54+AF53</f>
        <v>650000</v>
      </c>
      <c r="AG54" s="65" t="n">
        <f aca="false">AF54+AG53</f>
        <v>650000</v>
      </c>
      <c r="AH54" s="65" t="n">
        <f aca="false">AG54+AH53</f>
        <v>650000</v>
      </c>
      <c r="AI54" s="65" t="n">
        <f aca="false">AH54+AI53</f>
        <v>650000</v>
      </c>
      <c r="AJ54" s="65" t="n">
        <f aca="false">AI54+AJ53</f>
        <v>650000</v>
      </c>
      <c r="AK54" s="65" t="n">
        <f aca="false">AJ54+AK53</f>
        <v>650000</v>
      </c>
      <c r="AL54" s="65" t="n">
        <f aca="false">AK54+AL53</f>
        <v>650000</v>
      </c>
      <c r="AM54" s="65" t="n">
        <f aca="false">AL54+AM53</f>
        <v>800000</v>
      </c>
      <c r="AN54" s="65" t="n">
        <f aca="false">AM54+AN53</f>
        <v>800000</v>
      </c>
      <c r="AO54" s="65" t="n">
        <f aca="false">AN54+AO53</f>
        <v>800000</v>
      </c>
      <c r="AP54" s="65" t="n">
        <f aca="false">AO54+AP53</f>
        <v>800000</v>
      </c>
      <c r="AQ54" s="65" t="n">
        <f aca="false">AP54+AQ53</f>
        <v>800000</v>
      </c>
      <c r="AR54" s="65" t="n">
        <f aca="false">AQ54+AR53</f>
        <v>800000</v>
      </c>
      <c r="AS54" s="65" t="n">
        <f aca="false">AR54+AS53</f>
        <v>800000</v>
      </c>
      <c r="AT54" s="65" t="n">
        <f aca="false">AS54+AT53</f>
        <v>800000</v>
      </c>
      <c r="AU54" s="65" t="n">
        <f aca="false">AT54+AU53</f>
        <v>800000</v>
      </c>
      <c r="AV54" s="65" t="n">
        <f aca="false">AU54+AV53</f>
        <v>800000</v>
      </c>
      <c r="AW54" s="65" t="n">
        <f aca="false">AV54+AW53</f>
        <v>800000</v>
      </c>
      <c r="AX54" s="65" t="n">
        <f aca="false">AW54+AX53</f>
        <v>800000</v>
      </c>
      <c r="AY54" s="65" t="n">
        <f aca="false">AX54+AY53</f>
        <v>950000</v>
      </c>
      <c r="AZ54" s="65" t="n">
        <f aca="false">AY54+AZ53</f>
        <v>950000</v>
      </c>
      <c r="BA54" s="65" t="n">
        <f aca="false">AZ54+BA53</f>
        <v>950000</v>
      </c>
      <c r="BB54" s="65" t="n">
        <f aca="false">BA54+BB53</f>
        <v>950000</v>
      </c>
      <c r="BC54" s="65" t="n">
        <f aca="false">BB54+BC53</f>
        <v>950000</v>
      </c>
      <c r="BD54" s="65" t="n">
        <f aca="false">BC54+BD53</f>
        <v>950000</v>
      </c>
      <c r="BE54" s="65" t="n">
        <f aca="false">BD54+BE53</f>
        <v>950000</v>
      </c>
      <c r="BF54" s="65" t="n">
        <f aca="false">BE54+BF53</f>
        <v>950000</v>
      </c>
      <c r="BG54" s="65" t="n">
        <f aca="false">BF54+BG53</f>
        <v>950000</v>
      </c>
      <c r="BH54" s="65" t="n">
        <f aca="false">BG54+BH53</f>
        <v>950000</v>
      </c>
      <c r="BI54" s="65" t="n">
        <f aca="false">BH54+BI53</f>
        <v>950000</v>
      </c>
      <c r="BJ54" s="65" t="n">
        <f aca="false">BI54+BJ53</f>
        <v>950000</v>
      </c>
    </row>
    <row r="55" customFormat="false" ht="15" hidden="false" customHeight="false" outlineLevel="0" collapsed="false">
      <c r="A55" s="6" t="s">
        <v>78</v>
      </c>
      <c r="C55" s="65" t="n">
        <f aca="false">-MIN(C54/MAX(1,Inputs!$B$69*12),C53)</f>
        <v>-4166.66666666667</v>
      </c>
      <c r="D55" s="65" t="n">
        <f aca="false">-MIN(D54/MAX(1,Inputs!$B$69*12),C57+D53)</f>
        <v>-4166.66666666667</v>
      </c>
      <c r="E55" s="65" t="n">
        <f aca="false">-MIN(E54/MAX(1,Inputs!$B$69*12),D57+E53)</f>
        <v>-4166.66666666667</v>
      </c>
      <c r="F55" s="65" t="n">
        <f aca="false">-MIN(F54/MAX(1,Inputs!$B$69*12),E57+F53)</f>
        <v>-4166.66666666667</v>
      </c>
      <c r="G55" s="65" t="n">
        <f aca="false">-MIN(G54/MAX(1,Inputs!$B$69*12),F57+G53)</f>
        <v>-4166.66666666667</v>
      </c>
      <c r="H55" s="65" t="n">
        <f aca="false">-MIN(H54/MAX(1,Inputs!$B$69*12),G57+H53)</f>
        <v>-4166.66666666667</v>
      </c>
      <c r="I55" s="65" t="n">
        <f aca="false">-MIN(I54/MAX(1,Inputs!$B$69*12),H57+I53)</f>
        <v>-4166.66666666667</v>
      </c>
      <c r="J55" s="65" t="n">
        <f aca="false">-MIN(J54/MAX(1,Inputs!$B$69*12),I57+J53)</f>
        <v>-4166.66666666667</v>
      </c>
      <c r="K55" s="65" t="n">
        <f aca="false">-MIN(K54/MAX(1,Inputs!$B$69*12),J57+K53)</f>
        <v>-4166.66666666667</v>
      </c>
      <c r="L55" s="65" t="n">
        <f aca="false">-MIN(L54/MAX(1,Inputs!$B$69*12),K57+L53)</f>
        <v>-4166.66666666667</v>
      </c>
      <c r="M55" s="65" t="n">
        <f aca="false">-MIN(M54/MAX(1,Inputs!$B$69*12),L57+M53)</f>
        <v>-4166.66666666667</v>
      </c>
      <c r="N55" s="65" t="n">
        <f aca="false">-MIN(N54/MAX(1,Inputs!$B$69*12),M57+N53)</f>
        <v>-4166.66666666667</v>
      </c>
      <c r="O55" s="65" t="n">
        <f aca="false">-MIN(O54/MAX(1,Inputs!$B$69*12),N57+O53)</f>
        <v>-5952.38095238095</v>
      </c>
      <c r="P55" s="65" t="n">
        <f aca="false">-MIN(P54/MAX(1,Inputs!$B$69*12),O57+P53)</f>
        <v>-5952.38095238095</v>
      </c>
      <c r="Q55" s="65" t="n">
        <f aca="false">-MIN(Q54/MAX(1,Inputs!$B$69*12),P57+Q53)</f>
        <v>-5952.38095238095</v>
      </c>
      <c r="R55" s="65" t="n">
        <f aca="false">-MIN(R54/MAX(1,Inputs!$B$69*12),Q57+R53)</f>
        <v>-5952.38095238095</v>
      </c>
      <c r="S55" s="65" t="n">
        <f aca="false">-MIN(S54/MAX(1,Inputs!$B$69*12),R57+S53)</f>
        <v>-5952.38095238095</v>
      </c>
      <c r="T55" s="65" t="n">
        <f aca="false">-MIN(T54/MAX(1,Inputs!$B$69*12),S57+T53)</f>
        <v>-5952.38095238095</v>
      </c>
      <c r="U55" s="65" t="n">
        <f aca="false">-MIN(U54/MAX(1,Inputs!$B$69*12),T57+U53)</f>
        <v>-5952.38095238095</v>
      </c>
      <c r="V55" s="65" t="n">
        <f aca="false">-MIN(V54/MAX(1,Inputs!$B$69*12),U57+V53)</f>
        <v>-5952.38095238095</v>
      </c>
      <c r="W55" s="65" t="n">
        <f aca="false">-MIN(W54/MAX(1,Inputs!$B$69*12),V57+W53)</f>
        <v>-5952.38095238095</v>
      </c>
      <c r="X55" s="65" t="n">
        <f aca="false">-MIN(X54/MAX(1,Inputs!$B$69*12),W57+X53)</f>
        <v>-5952.38095238095</v>
      </c>
      <c r="Y55" s="65" t="n">
        <f aca="false">-MIN(Y54/MAX(1,Inputs!$B$69*12),X57+Y53)</f>
        <v>-5952.38095238095</v>
      </c>
      <c r="Z55" s="65" t="n">
        <f aca="false">-MIN(Z54/MAX(1,Inputs!$B$69*12),Y57+Z53)</f>
        <v>-5952.38095238095</v>
      </c>
      <c r="AA55" s="65" t="n">
        <f aca="false">-MIN(AA54/MAX(1,Inputs!$B$69*12),Z57+AA53)</f>
        <v>-7738.09523809524</v>
      </c>
      <c r="AB55" s="65" t="n">
        <f aca="false">-MIN(AB54/MAX(1,Inputs!$B$69*12),AA57+AB53)</f>
        <v>-7738.09523809524</v>
      </c>
      <c r="AC55" s="65" t="n">
        <f aca="false">-MIN(AC54/MAX(1,Inputs!$B$69*12),AB57+AC53)</f>
        <v>-7738.09523809524</v>
      </c>
      <c r="AD55" s="65" t="n">
        <f aca="false">-MIN(AD54/MAX(1,Inputs!$B$69*12),AC57+AD53)</f>
        <v>-7738.09523809524</v>
      </c>
      <c r="AE55" s="65" t="n">
        <f aca="false">-MIN(AE54/MAX(1,Inputs!$B$69*12),AD57+AE53)</f>
        <v>-7738.09523809524</v>
      </c>
      <c r="AF55" s="65" t="n">
        <f aca="false">-MIN(AF54/MAX(1,Inputs!$B$69*12),AE57+AF53)</f>
        <v>-7738.09523809524</v>
      </c>
      <c r="AG55" s="65" t="n">
        <f aca="false">-MIN(AG54/MAX(1,Inputs!$B$69*12),AF57+AG53)</f>
        <v>-7738.09523809524</v>
      </c>
      <c r="AH55" s="65" t="n">
        <f aca="false">-MIN(AH54/MAX(1,Inputs!$B$69*12),AG57+AH53)</f>
        <v>-7738.09523809524</v>
      </c>
      <c r="AI55" s="65" t="n">
        <f aca="false">-MIN(AI54/MAX(1,Inputs!$B$69*12),AH57+AI53)</f>
        <v>-7738.09523809524</v>
      </c>
      <c r="AJ55" s="65" t="n">
        <f aca="false">-MIN(AJ54/MAX(1,Inputs!$B$69*12),AI57+AJ53)</f>
        <v>-7738.09523809524</v>
      </c>
      <c r="AK55" s="65" t="n">
        <f aca="false">-MIN(AK54/MAX(1,Inputs!$B$69*12),AJ57+AK53)</f>
        <v>-7738.09523809524</v>
      </c>
      <c r="AL55" s="65" t="n">
        <f aca="false">-MIN(AL54/MAX(1,Inputs!$B$69*12),AK57+AL53)</f>
        <v>-7738.09523809524</v>
      </c>
      <c r="AM55" s="65" t="n">
        <f aca="false">-MIN(AM54/MAX(1,Inputs!$B$69*12),AL57+AM53)</f>
        <v>-9523.80952380952</v>
      </c>
      <c r="AN55" s="65" t="n">
        <f aca="false">-MIN(AN54/MAX(1,Inputs!$B$69*12),AM57+AN53)</f>
        <v>-9523.80952380952</v>
      </c>
      <c r="AO55" s="65" t="n">
        <f aca="false">-MIN(AO54/MAX(1,Inputs!$B$69*12),AN57+AO53)</f>
        <v>-9523.80952380952</v>
      </c>
      <c r="AP55" s="65" t="n">
        <f aca="false">-MIN(AP54/MAX(1,Inputs!$B$69*12),AO57+AP53)</f>
        <v>-9523.80952380952</v>
      </c>
      <c r="AQ55" s="65" t="n">
        <f aca="false">-MIN(AQ54/MAX(1,Inputs!$B$69*12),AP57+AQ53)</f>
        <v>-9523.80952380952</v>
      </c>
      <c r="AR55" s="65" t="n">
        <f aca="false">-MIN(AR54/MAX(1,Inputs!$B$69*12),AQ57+AR53)</f>
        <v>-9523.80952380952</v>
      </c>
      <c r="AS55" s="65" t="n">
        <f aca="false">-MIN(AS54/MAX(1,Inputs!$B$69*12),AR57+AS53)</f>
        <v>-9523.80952380952</v>
      </c>
      <c r="AT55" s="65" t="n">
        <f aca="false">-MIN(AT54/MAX(1,Inputs!$B$69*12),AS57+AT53)</f>
        <v>-9523.80952380952</v>
      </c>
      <c r="AU55" s="65" t="n">
        <f aca="false">-MIN(AU54/MAX(1,Inputs!$B$69*12),AT57+AU53)</f>
        <v>-9523.80952380952</v>
      </c>
      <c r="AV55" s="65" t="n">
        <f aca="false">-MIN(AV54/MAX(1,Inputs!$B$69*12),AU57+AV53)</f>
        <v>-9523.80952380952</v>
      </c>
      <c r="AW55" s="65" t="n">
        <f aca="false">-MIN(AW54/MAX(1,Inputs!$B$69*12),AV57+AW53)</f>
        <v>-9523.80952380952</v>
      </c>
      <c r="AX55" s="65" t="n">
        <f aca="false">-MIN(AX54/MAX(1,Inputs!$B$69*12),AW57+AX53)</f>
        <v>-9523.80952380952</v>
      </c>
      <c r="AY55" s="65" t="n">
        <f aca="false">-MIN(AY54/MAX(1,Inputs!$B$69*12),AX57+AY53)</f>
        <v>-11309.5238095238</v>
      </c>
      <c r="AZ55" s="65" t="n">
        <f aca="false">-MIN(AZ54/MAX(1,Inputs!$B$69*12),AY57+AZ53)</f>
        <v>-11309.5238095238</v>
      </c>
      <c r="BA55" s="65" t="n">
        <f aca="false">-MIN(BA54/MAX(1,Inputs!$B$69*12),AZ57+BA53)</f>
        <v>-11309.5238095238</v>
      </c>
      <c r="BB55" s="65" t="n">
        <f aca="false">-MIN(BB54/MAX(1,Inputs!$B$69*12),BA57+BB53)</f>
        <v>-11309.5238095238</v>
      </c>
      <c r="BC55" s="65" t="n">
        <f aca="false">-MIN(BC54/MAX(1,Inputs!$B$69*12),BB57+BC53)</f>
        <v>-11309.5238095238</v>
      </c>
      <c r="BD55" s="65" t="n">
        <f aca="false">-MIN(BD54/MAX(1,Inputs!$B$69*12),BC57+BD53)</f>
        <v>-11309.5238095238</v>
      </c>
      <c r="BE55" s="65" t="n">
        <f aca="false">-MIN(BE54/MAX(1,Inputs!$B$69*12),BD57+BE53)</f>
        <v>-11309.5238095238</v>
      </c>
      <c r="BF55" s="65" t="n">
        <f aca="false">-MIN(BF54/MAX(1,Inputs!$B$69*12),BE57+BF53)</f>
        <v>-11309.5238095238</v>
      </c>
      <c r="BG55" s="65" t="n">
        <f aca="false">-MIN(BG54/MAX(1,Inputs!$B$69*12),BF57+BG53)</f>
        <v>-11309.5238095238</v>
      </c>
      <c r="BH55" s="65" t="n">
        <f aca="false">-MIN(BH54/MAX(1,Inputs!$B$69*12),BG57+BH53)</f>
        <v>-11309.5238095238</v>
      </c>
      <c r="BI55" s="65" t="n">
        <f aca="false">-MIN(BI54/MAX(1,Inputs!$B$69*12),BH57+BI53)</f>
        <v>-11309.5238095238</v>
      </c>
      <c r="BJ55" s="65" t="n">
        <f aca="false">-MIN(BJ54/MAX(1,Inputs!$B$69*12),BI57+BJ53)</f>
        <v>-11309.5238095238</v>
      </c>
    </row>
    <row r="56" customFormat="false" ht="15" hidden="false" customHeight="false" outlineLevel="0" collapsed="false">
      <c r="A56" s="6" t="s">
        <v>425</v>
      </c>
      <c r="C56" s="65" t="n">
        <f aca="false">C55</f>
        <v>-4166.66666666667</v>
      </c>
      <c r="D56" s="65" t="n">
        <f aca="false">C56+D55</f>
        <v>-8333.33333333333</v>
      </c>
      <c r="E56" s="65" t="n">
        <f aca="false">D56+E55</f>
        <v>-12500</v>
      </c>
      <c r="F56" s="65" t="n">
        <f aca="false">E56+F55</f>
        <v>-16666.6666666667</v>
      </c>
      <c r="G56" s="65" t="n">
        <f aca="false">F56+G55</f>
        <v>-20833.3333333333</v>
      </c>
      <c r="H56" s="65" t="n">
        <f aca="false">G56+H55</f>
        <v>-25000</v>
      </c>
      <c r="I56" s="65" t="n">
        <f aca="false">H56+I55</f>
        <v>-29166.6666666667</v>
      </c>
      <c r="J56" s="65" t="n">
        <f aca="false">I56+J55</f>
        <v>-33333.3333333333</v>
      </c>
      <c r="K56" s="65" t="n">
        <f aca="false">J56+K55</f>
        <v>-37500</v>
      </c>
      <c r="L56" s="65" t="n">
        <f aca="false">K56+L55</f>
        <v>-41666.6666666667</v>
      </c>
      <c r="M56" s="65" t="n">
        <f aca="false">L56+M55</f>
        <v>-45833.3333333333</v>
      </c>
      <c r="N56" s="65" t="n">
        <f aca="false">M56+N55</f>
        <v>-50000</v>
      </c>
      <c r="O56" s="65" t="n">
        <f aca="false">N56+O55</f>
        <v>-55952.380952381</v>
      </c>
      <c r="P56" s="65" t="n">
        <f aca="false">O56+P55</f>
        <v>-61904.7619047619</v>
      </c>
      <c r="Q56" s="65" t="n">
        <f aca="false">P56+Q55</f>
        <v>-67857.1428571429</v>
      </c>
      <c r="R56" s="65" t="n">
        <f aca="false">Q56+R55</f>
        <v>-73809.5238095238</v>
      </c>
      <c r="S56" s="65" t="n">
        <f aca="false">R56+S55</f>
        <v>-79761.9047619048</v>
      </c>
      <c r="T56" s="65" t="n">
        <f aca="false">S56+T55</f>
        <v>-85714.2857142857</v>
      </c>
      <c r="U56" s="65" t="n">
        <f aca="false">T56+U55</f>
        <v>-91666.6666666666</v>
      </c>
      <c r="V56" s="65" t="n">
        <f aca="false">U56+V55</f>
        <v>-97619.0476190476</v>
      </c>
      <c r="W56" s="65" t="n">
        <f aca="false">V56+W55</f>
        <v>-103571.428571429</v>
      </c>
      <c r="X56" s="65" t="n">
        <f aca="false">W56+X55</f>
        <v>-109523.809523809</v>
      </c>
      <c r="Y56" s="65" t="n">
        <f aca="false">X56+Y55</f>
        <v>-115476.19047619</v>
      </c>
      <c r="Z56" s="65" t="n">
        <f aca="false">Y56+Z55</f>
        <v>-121428.571428571</v>
      </c>
      <c r="AA56" s="65" t="n">
        <f aca="false">Z56+AA55</f>
        <v>-129166.666666667</v>
      </c>
      <c r="AB56" s="65" t="n">
        <f aca="false">AA56+AB55</f>
        <v>-136904.761904762</v>
      </c>
      <c r="AC56" s="65" t="n">
        <f aca="false">AB56+AC55</f>
        <v>-144642.857142857</v>
      </c>
      <c r="AD56" s="65" t="n">
        <f aca="false">AC56+AD55</f>
        <v>-152380.952380952</v>
      </c>
      <c r="AE56" s="65" t="n">
        <f aca="false">AD56+AE55</f>
        <v>-160119.047619048</v>
      </c>
      <c r="AF56" s="65" t="n">
        <f aca="false">AE56+AF55</f>
        <v>-167857.142857143</v>
      </c>
      <c r="AG56" s="65" t="n">
        <f aca="false">AF56+AG55</f>
        <v>-175595.238095238</v>
      </c>
      <c r="AH56" s="65" t="n">
        <f aca="false">AG56+AH55</f>
        <v>-183333.333333333</v>
      </c>
      <c r="AI56" s="65" t="n">
        <f aca="false">AH56+AI55</f>
        <v>-191071.428571429</v>
      </c>
      <c r="AJ56" s="65" t="n">
        <f aca="false">AI56+AJ55</f>
        <v>-198809.523809524</v>
      </c>
      <c r="AK56" s="65" t="n">
        <f aca="false">AJ56+AK55</f>
        <v>-206547.619047619</v>
      </c>
      <c r="AL56" s="65" t="n">
        <f aca="false">AK56+AL55</f>
        <v>-214285.714285714</v>
      </c>
      <c r="AM56" s="65" t="n">
        <f aca="false">AL56+AM55</f>
        <v>-223809.523809524</v>
      </c>
      <c r="AN56" s="65" t="n">
        <f aca="false">AM56+AN55</f>
        <v>-233333.333333333</v>
      </c>
      <c r="AO56" s="65" t="n">
        <f aca="false">AN56+AO55</f>
        <v>-242857.142857143</v>
      </c>
      <c r="AP56" s="65" t="n">
        <f aca="false">AO56+AP55</f>
        <v>-252380.952380952</v>
      </c>
      <c r="AQ56" s="65" t="n">
        <f aca="false">AP56+AQ55</f>
        <v>-261904.761904762</v>
      </c>
      <c r="AR56" s="65" t="n">
        <f aca="false">AQ56+AR55</f>
        <v>-271428.571428571</v>
      </c>
      <c r="AS56" s="65" t="n">
        <f aca="false">AR56+AS55</f>
        <v>-280952.380952381</v>
      </c>
      <c r="AT56" s="65" t="n">
        <f aca="false">AS56+AT55</f>
        <v>-290476.19047619</v>
      </c>
      <c r="AU56" s="65" t="n">
        <f aca="false">AT56+AU55</f>
        <v>-300000</v>
      </c>
      <c r="AV56" s="65" t="n">
        <f aca="false">AU56+AV55</f>
        <v>-309523.809523809</v>
      </c>
      <c r="AW56" s="65" t="n">
        <f aca="false">AV56+AW55</f>
        <v>-319047.619047619</v>
      </c>
      <c r="AX56" s="65" t="n">
        <f aca="false">AW56+AX55</f>
        <v>-328571.428571429</v>
      </c>
      <c r="AY56" s="65" t="n">
        <f aca="false">AX56+AY55</f>
        <v>-339880.952380952</v>
      </c>
      <c r="AZ56" s="65" t="n">
        <f aca="false">AY56+AZ55</f>
        <v>-351190.476190476</v>
      </c>
      <c r="BA56" s="65" t="n">
        <f aca="false">AZ56+BA55</f>
        <v>-362500</v>
      </c>
      <c r="BB56" s="65" t="n">
        <f aca="false">BA56+BB55</f>
        <v>-373809.523809524</v>
      </c>
      <c r="BC56" s="65" t="n">
        <f aca="false">BB56+BC55</f>
        <v>-385119.047619047</v>
      </c>
      <c r="BD56" s="65" t="n">
        <f aca="false">BC56+BD55</f>
        <v>-396428.571428571</v>
      </c>
      <c r="BE56" s="65" t="n">
        <f aca="false">BD56+BE55</f>
        <v>-407738.095238095</v>
      </c>
      <c r="BF56" s="65" t="n">
        <f aca="false">BE56+BF55</f>
        <v>-419047.619047619</v>
      </c>
      <c r="BG56" s="65" t="n">
        <f aca="false">BF56+BG55</f>
        <v>-430357.142857143</v>
      </c>
      <c r="BH56" s="65" t="n">
        <f aca="false">BG56+BH55</f>
        <v>-441666.666666666</v>
      </c>
      <c r="BI56" s="65" t="n">
        <f aca="false">BH56+BI55</f>
        <v>-452976.19047619</v>
      </c>
      <c r="BJ56" s="65" t="n">
        <f aca="false">BI56+BJ55</f>
        <v>-464285.714285714</v>
      </c>
    </row>
    <row r="57" customFormat="false" ht="15" hidden="false" customHeight="false" outlineLevel="0" collapsed="false">
      <c r="A57" s="4" t="s">
        <v>92</v>
      </c>
      <c r="C57" s="71" t="n">
        <f aca="false">C54+C56</f>
        <v>345833.333333333</v>
      </c>
      <c r="D57" s="71" t="n">
        <f aca="false">D54+D56</f>
        <v>341666.666666667</v>
      </c>
      <c r="E57" s="71" t="n">
        <f aca="false">E54+E56</f>
        <v>337500</v>
      </c>
      <c r="F57" s="71" t="n">
        <f aca="false">F54+F56</f>
        <v>333333.333333333</v>
      </c>
      <c r="G57" s="71" t="n">
        <f aca="false">G54+G56</f>
        <v>329166.666666667</v>
      </c>
      <c r="H57" s="71" t="n">
        <f aca="false">H54+H56</f>
        <v>325000</v>
      </c>
      <c r="I57" s="71" t="n">
        <f aca="false">I54+I56</f>
        <v>320833.333333333</v>
      </c>
      <c r="J57" s="71" t="n">
        <f aca="false">J54+J56</f>
        <v>316666.666666667</v>
      </c>
      <c r="K57" s="71" t="n">
        <f aca="false">K54+K56</f>
        <v>312500</v>
      </c>
      <c r="L57" s="71" t="n">
        <f aca="false">L54+L56</f>
        <v>308333.333333333</v>
      </c>
      <c r="M57" s="71" t="n">
        <f aca="false">M54+M56</f>
        <v>304166.666666667</v>
      </c>
      <c r="N57" s="71" t="n">
        <f aca="false">N54+N56</f>
        <v>300000</v>
      </c>
      <c r="O57" s="71" t="n">
        <f aca="false">O54+O56</f>
        <v>444047.619047619</v>
      </c>
      <c r="P57" s="71" t="n">
        <f aca="false">P54+P56</f>
        <v>438095.238095238</v>
      </c>
      <c r="Q57" s="71" t="n">
        <f aca="false">Q54+Q56</f>
        <v>432142.857142857</v>
      </c>
      <c r="R57" s="71" t="n">
        <f aca="false">R54+R56</f>
        <v>426190.476190476</v>
      </c>
      <c r="S57" s="71" t="n">
        <f aca="false">S54+S56</f>
        <v>420238.095238095</v>
      </c>
      <c r="T57" s="71" t="n">
        <f aca="false">T54+T56</f>
        <v>414285.714285714</v>
      </c>
      <c r="U57" s="71" t="n">
        <f aca="false">U54+U56</f>
        <v>408333.333333333</v>
      </c>
      <c r="V57" s="71" t="n">
        <f aca="false">V54+V56</f>
        <v>402380.952380952</v>
      </c>
      <c r="W57" s="71" t="n">
        <f aca="false">W54+W56</f>
        <v>396428.571428572</v>
      </c>
      <c r="X57" s="71" t="n">
        <f aca="false">X54+X56</f>
        <v>390476.190476191</v>
      </c>
      <c r="Y57" s="71" t="n">
        <f aca="false">Y54+Y56</f>
        <v>384523.80952381</v>
      </c>
      <c r="Z57" s="71" t="n">
        <f aca="false">Z54+Z56</f>
        <v>378571.428571429</v>
      </c>
      <c r="AA57" s="71" t="n">
        <f aca="false">AA54+AA56</f>
        <v>520833.333333333</v>
      </c>
      <c r="AB57" s="71" t="n">
        <f aca="false">AB54+AB56</f>
        <v>513095.238095238</v>
      </c>
      <c r="AC57" s="71" t="n">
        <f aca="false">AC54+AC56</f>
        <v>505357.142857143</v>
      </c>
      <c r="AD57" s="71" t="n">
        <f aca="false">AD54+AD56</f>
        <v>497619.047619048</v>
      </c>
      <c r="AE57" s="71" t="n">
        <f aca="false">AE54+AE56</f>
        <v>489880.952380952</v>
      </c>
      <c r="AF57" s="71" t="n">
        <f aca="false">AF54+AF56</f>
        <v>482142.857142857</v>
      </c>
      <c r="AG57" s="71" t="n">
        <f aca="false">AG54+AG56</f>
        <v>474404.761904762</v>
      </c>
      <c r="AH57" s="71" t="n">
        <f aca="false">AH54+AH56</f>
        <v>466666.666666667</v>
      </c>
      <c r="AI57" s="71" t="n">
        <f aca="false">AI54+AI56</f>
        <v>458928.571428572</v>
      </c>
      <c r="AJ57" s="71" t="n">
        <f aca="false">AJ54+AJ56</f>
        <v>451190.476190476</v>
      </c>
      <c r="AK57" s="71" t="n">
        <f aca="false">AK54+AK56</f>
        <v>443452.380952381</v>
      </c>
      <c r="AL57" s="71" t="n">
        <f aca="false">AL54+AL56</f>
        <v>435714.285714286</v>
      </c>
      <c r="AM57" s="71" t="n">
        <f aca="false">AM54+AM56</f>
        <v>576190.476190476</v>
      </c>
      <c r="AN57" s="71" t="n">
        <f aca="false">AN54+AN56</f>
        <v>566666.666666667</v>
      </c>
      <c r="AO57" s="71" t="n">
        <f aca="false">AO54+AO56</f>
        <v>557142.857142857</v>
      </c>
      <c r="AP57" s="71" t="n">
        <f aca="false">AP54+AP56</f>
        <v>547619.047619048</v>
      </c>
      <c r="AQ57" s="71" t="n">
        <f aca="false">AQ54+AQ56</f>
        <v>538095.238095238</v>
      </c>
      <c r="AR57" s="71" t="n">
        <f aca="false">AR54+AR56</f>
        <v>528571.428571429</v>
      </c>
      <c r="AS57" s="71" t="n">
        <f aca="false">AS54+AS56</f>
        <v>519047.619047619</v>
      </c>
      <c r="AT57" s="71" t="n">
        <f aca="false">AT54+AT56</f>
        <v>509523.80952381</v>
      </c>
      <c r="AU57" s="71" t="n">
        <f aca="false">AU54+AU56</f>
        <v>500000</v>
      </c>
      <c r="AV57" s="71" t="n">
        <f aca="false">AV54+AV56</f>
        <v>490476.190476191</v>
      </c>
      <c r="AW57" s="71" t="n">
        <f aca="false">AW54+AW56</f>
        <v>480952.380952381</v>
      </c>
      <c r="AX57" s="71" t="n">
        <f aca="false">AX54+AX56</f>
        <v>471428.571428572</v>
      </c>
      <c r="AY57" s="71" t="n">
        <f aca="false">AY54+AY56</f>
        <v>610119.047619048</v>
      </c>
      <c r="AZ57" s="71" t="n">
        <f aca="false">AZ54+AZ56</f>
        <v>598809.523809524</v>
      </c>
      <c r="BA57" s="71" t="n">
        <f aca="false">BA54+BA56</f>
        <v>587500</v>
      </c>
      <c r="BB57" s="71" t="n">
        <f aca="false">BB54+BB56</f>
        <v>576190.476190476</v>
      </c>
      <c r="BC57" s="71" t="n">
        <f aca="false">BC54+BC56</f>
        <v>564880.952380953</v>
      </c>
      <c r="BD57" s="71" t="n">
        <f aca="false">BD54+BD56</f>
        <v>553571.428571429</v>
      </c>
      <c r="BE57" s="71" t="n">
        <f aca="false">BE54+BE56</f>
        <v>542261.904761905</v>
      </c>
      <c r="BF57" s="71" t="n">
        <f aca="false">BF54+BF56</f>
        <v>530952.380952381</v>
      </c>
      <c r="BG57" s="71" t="n">
        <f aca="false">BG54+BG56</f>
        <v>519642.857142857</v>
      </c>
      <c r="BH57" s="71" t="n">
        <f aca="false">BH54+BH56</f>
        <v>508333.333333334</v>
      </c>
      <c r="BI57" s="71" t="n">
        <f aca="false">BI54+BI56</f>
        <v>497023.80952381</v>
      </c>
      <c r="BJ57" s="71" t="n">
        <f aca="false">BJ54+BJ56</f>
        <v>485714.285714286</v>
      </c>
    </row>
    <row r="59" customFormat="false" ht="15.75" hidden="false" customHeight="true" outlineLevel="0" collapsed="false">
      <c r="A59" s="7" t="s">
        <v>426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6" t="s">
        <v>427</v>
      </c>
      <c r="C60" s="65" t="n">
        <f aca="false">0</f>
        <v>0</v>
      </c>
      <c r="D60" s="65" t="n">
        <f aca="false">C63</f>
        <v>500000</v>
      </c>
      <c r="E60" s="65" t="n">
        <f aca="false">D63</f>
        <v>491666.666666667</v>
      </c>
      <c r="F60" s="65" t="n">
        <f aca="false">E63</f>
        <v>483333.333333333</v>
      </c>
      <c r="G60" s="65" t="n">
        <f aca="false">F63</f>
        <v>475000</v>
      </c>
      <c r="H60" s="65" t="n">
        <f aca="false">G63</f>
        <v>466666.666666667</v>
      </c>
      <c r="I60" s="65" t="n">
        <f aca="false">H63</f>
        <v>458333.333333333</v>
      </c>
      <c r="J60" s="65" t="n">
        <f aca="false">I63</f>
        <v>450000</v>
      </c>
      <c r="K60" s="65" t="n">
        <f aca="false">J63</f>
        <v>441666.666666667</v>
      </c>
      <c r="L60" s="65" t="n">
        <f aca="false">K63</f>
        <v>433333.333333334</v>
      </c>
      <c r="M60" s="65" t="n">
        <f aca="false">L63</f>
        <v>425000</v>
      </c>
      <c r="N60" s="65" t="n">
        <f aca="false">M63</f>
        <v>416666.666666667</v>
      </c>
      <c r="O60" s="65" t="n">
        <f aca="false">N63</f>
        <v>408333.333333334</v>
      </c>
      <c r="P60" s="65" t="n">
        <f aca="false">O63</f>
        <v>400000</v>
      </c>
      <c r="Q60" s="65" t="n">
        <f aca="false">P63</f>
        <v>391666.666666667</v>
      </c>
      <c r="R60" s="65" t="n">
        <f aca="false">Q63</f>
        <v>383333.333333334</v>
      </c>
      <c r="S60" s="65" t="n">
        <f aca="false">R63</f>
        <v>375000</v>
      </c>
      <c r="T60" s="65" t="n">
        <f aca="false">S63</f>
        <v>366666.666666667</v>
      </c>
      <c r="U60" s="65" t="n">
        <f aca="false">T63</f>
        <v>358333.333333334</v>
      </c>
      <c r="V60" s="65" t="n">
        <f aca="false">U63</f>
        <v>350000</v>
      </c>
      <c r="W60" s="65" t="n">
        <f aca="false">V63</f>
        <v>341666.666666667</v>
      </c>
      <c r="X60" s="65" t="n">
        <f aca="false">W63</f>
        <v>333333.333333334</v>
      </c>
      <c r="Y60" s="65" t="n">
        <f aca="false">X63</f>
        <v>325000</v>
      </c>
      <c r="Z60" s="65" t="n">
        <f aca="false">Y63</f>
        <v>316666.666666667</v>
      </c>
      <c r="AA60" s="65" t="n">
        <f aca="false">Z63</f>
        <v>308333.333333334</v>
      </c>
      <c r="AB60" s="65" t="n">
        <f aca="false">AA63</f>
        <v>300000</v>
      </c>
      <c r="AC60" s="65" t="n">
        <f aca="false">AB63</f>
        <v>291666.666666667</v>
      </c>
      <c r="AD60" s="65" t="n">
        <f aca="false">AC63</f>
        <v>283333.333333334</v>
      </c>
      <c r="AE60" s="65" t="n">
        <f aca="false">AD63</f>
        <v>275000.000000001</v>
      </c>
      <c r="AF60" s="65" t="n">
        <f aca="false">AE63</f>
        <v>266666.666666667</v>
      </c>
      <c r="AG60" s="65" t="n">
        <f aca="false">AF63</f>
        <v>258333.333333334</v>
      </c>
      <c r="AH60" s="65" t="n">
        <f aca="false">AG63</f>
        <v>250000.000000001</v>
      </c>
      <c r="AI60" s="65" t="n">
        <f aca="false">AH63</f>
        <v>241666.666666667</v>
      </c>
      <c r="AJ60" s="65" t="n">
        <f aca="false">AI63</f>
        <v>233333.333333334</v>
      </c>
      <c r="AK60" s="65" t="n">
        <f aca="false">AJ63</f>
        <v>225000.000000001</v>
      </c>
      <c r="AL60" s="65" t="n">
        <f aca="false">AK63</f>
        <v>216666.666666667</v>
      </c>
      <c r="AM60" s="65" t="n">
        <f aca="false">AL63</f>
        <v>208333.333333334</v>
      </c>
      <c r="AN60" s="65" t="n">
        <f aca="false">AM63</f>
        <v>200000</v>
      </c>
      <c r="AO60" s="65" t="n">
        <f aca="false">AN63</f>
        <v>191666.666666667</v>
      </c>
      <c r="AP60" s="65" t="n">
        <f aca="false">AO63</f>
        <v>183333.333333334</v>
      </c>
      <c r="AQ60" s="65" t="n">
        <f aca="false">AP63</f>
        <v>175000</v>
      </c>
      <c r="AR60" s="65" t="n">
        <f aca="false">AQ63</f>
        <v>166666.666666667</v>
      </c>
      <c r="AS60" s="65" t="n">
        <f aca="false">AR63</f>
        <v>158333.333333334</v>
      </c>
      <c r="AT60" s="65" t="n">
        <f aca="false">AS63</f>
        <v>150000</v>
      </c>
      <c r="AU60" s="65" t="n">
        <f aca="false">AT63</f>
        <v>141666.666666667</v>
      </c>
      <c r="AV60" s="65" t="n">
        <f aca="false">AU63</f>
        <v>133333.333333334</v>
      </c>
      <c r="AW60" s="65" t="n">
        <f aca="false">AV63</f>
        <v>125000</v>
      </c>
      <c r="AX60" s="65" t="n">
        <f aca="false">AW63</f>
        <v>116666.666666667</v>
      </c>
      <c r="AY60" s="65" t="n">
        <f aca="false">AX63</f>
        <v>108333.333333334</v>
      </c>
      <c r="AZ60" s="65" t="n">
        <f aca="false">AY63</f>
        <v>100000</v>
      </c>
      <c r="BA60" s="65" t="n">
        <f aca="false">AZ63</f>
        <v>91666.6666666671</v>
      </c>
      <c r="BB60" s="65" t="n">
        <f aca="false">BA63</f>
        <v>83333.3333333338</v>
      </c>
      <c r="BC60" s="65" t="n">
        <f aca="false">BB63</f>
        <v>75000.0000000004</v>
      </c>
      <c r="BD60" s="65" t="n">
        <f aca="false">BC63</f>
        <v>66666.6666666671</v>
      </c>
      <c r="BE60" s="65" t="n">
        <f aca="false">BD63</f>
        <v>58333.3333333338</v>
      </c>
      <c r="BF60" s="65" t="n">
        <f aca="false">BE63</f>
        <v>50000.0000000004</v>
      </c>
      <c r="BG60" s="65" t="n">
        <f aca="false">BF63</f>
        <v>41666.6666666671</v>
      </c>
      <c r="BH60" s="65" t="n">
        <f aca="false">BG63</f>
        <v>33333.3333333338</v>
      </c>
      <c r="BI60" s="65" t="n">
        <f aca="false">BH63</f>
        <v>25000.0000000004</v>
      </c>
      <c r="BJ60" s="65" t="n">
        <f aca="false">BI63</f>
        <v>16666.6666666671</v>
      </c>
    </row>
    <row r="61" customFormat="false" ht="15" hidden="false" customHeight="false" outlineLevel="0" collapsed="false">
      <c r="A61" s="6" t="s">
        <v>85</v>
      </c>
      <c r="C61" s="65" t="n">
        <f aca="false">IF(C$6=1,Inputs!$B$59,0)</f>
        <v>500000</v>
      </c>
      <c r="D61" s="65" t="n">
        <f aca="false">IF(D$6=1,Inputs!$B$59,0)</f>
        <v>0</v>
      </c>
      <c r="E61" s="65" t="n">
        <f aca="false">IF(E$6=1,Inputs!$B$59,0)</f>
        <v>0</v>
      </c>
      <c r="F61" s="65" t="n">
        <f aca="false">IF(F$6=1,Inputs!$B$59,0)</f>
        <v>0</v>
      </c>
      <c r="G61" s="65" t="n">
        <f aca="false">IF(G$6=1,Inputs!$B$59,0)</f>
        <v>0</v>
      </c>
      <c r="H61" s="65" t="n">
        <f aca="false">IF(H$6=1,Inputs!$B$59,0)</f>
        <v>0</v>
      </c>
      <c r="I61" s="65" t="n">
        <f aca="false">IF(I$6=1,Inputs!$B$59,0)</f>
        <v>0</v>
      </c>
      <c r="J61" s="65" t="n">
        <f aca="false">IF(J$6=1,Inputs!$B$59,0)</f>
        <v>0</v>
      </c>
      <c r="K61" s="65" t="n">
        <f aca="false">IF(K$6=1,Inputs!$B$59,0)</f>
        <v>0</v>
      </c>
      <c r="L61" s="65" t="n">
        <f aca="false">IF(L$6=1,Inputs!$B$59,0)</f>
        <v>0</v>
      </c>
      <c r="M61" s="65" t="n">
        <f aca="false">IF(M$6=1,Inputs!$B$59,0)</f>
        <v>0</v>
      </c>
      <c r="N61" s="65" t="n">
        <f aca="false">IF(N$6=1,Inputs!$B$59,0)</f>
        <v>0</v>
      </c>
      <c r="O61" s="65" t="n">
        <f aca="false">IF(O$6=1,Inputs!$B$59,0)</f>
        <v>0</v>
      </c>
      <c r="P61" s="65" t="n">
        <f aca="false">IF(P$6=1,Inputs!$B$59,0)</f>
        <v>0</v>
      </c>
      <c r="Q61" s="65" t="n">
        <f aca="false">IF(Q$6=1,Inputs!$B$59,0)</f>
        <v>0</v>
      </c>
      <c r="R61" s="65" t="n">
        <f aca="false">IF(R$6=1,Inputs!$B$59,0)</f>
        <v>0</v>
      </c>
      <c r="S61" s="65" t="n">
        <f aca="false">IF(S$6=1,Inputs!$B$59,0)</f>
        <v>0</v>
      </c>
      <c r="T61" s="65" t="n">
        <f aca="false">IF(T$6=1,Inputs!$B$59,0)</f>
        <v>0</v>
      </c>
      <c r="U61" s="65" t="n">
        <f aca="false">IF(U$6=1,Inputs!$B$59,0)</f>
        <v>0</v>
      </c>
      <c r="V61" s="65" t="n">
        <f aca="false">IF(V$6=1,Inputs!$B$59,0)</f>
        <v>0</v>
      </c>
      <c r="W61" s="65" t="n">
        <f aca="false">IF(W$6=1,Inputs!$B$59,0)</f>
        <v>0</v>
      </c>
      <c r="X61" s="65" t="n">
        <f aca="false">IF(X$6=1,Inputs!$B$59,0)</f>
        <v>0</v>
      </c>
      <c r="Y61" s="65" t="n">
        <f aca="false">IF(Y$6=1,Inputs!$B$59,0)</f>
        <v>0</v>
      </c>
      <c r="Z61" s="65" t="n">
        <f aca="false">IF(Z$6=1,Inputs!$B$59,0)</f>
        <v>0</v>
      </c>
      <c r="AA61" s="65" t="n">
        <f aca="false">IF(AA$6=1,Inputs!$B$59,0)</f>
        <v>0</v>
      </c>
      <c r="AB61" s="65" t="n">
        <f aca="false">IF(AB$6=1,Inputs!$B$59,0)</f>
        <v>0</v>
      </c>
      <c r="AC61" s="65" t="n">
        <f aca="false">IF(AC$6=1,Inputs!$B$59,0)</f>
        <v>0</v>
      </c>
      <c r="AD61" s="65" t="n">
        <f aca="false">IF(AD$6=1,Inputs!$B$59,0)</f>
        <v>0</v>
      </c>
      <c r="AE61" s="65" t="n">
        <f aca="false">IF(AE$6=1,Inputs!$B$59,0)</f>
        <v>0</v>
      </c>
      <c r="AF61" s="65" t="n">
        <f aca="false">IF(AF$6=1,Inputs!$B$59,0)</f>
        <v>0</v>
      </c>
      <c r="AG61" s="65" t="n">
        <f aca="false">IF(AG$6=1,Inputs!$B$59,0)</f>
        <v>0</v>
      </c>
      <c r="AH61" s="65" t="n">
        <f aca="false">IF(AH$6=1,Inputs!$B$59,0)</f>
        <v>0</v>
      </c>
      <c r="AI61" s="65" t="n">
        <f aca="false">IF(AI$6=1,Inputs!$B$59,0)</f>
        <v>0</v>
      </c>
      <c r="AJ61" s="65" t="n">
        <f aca="false">IF(AJ$6=1,Inputs!$B$59,0)</f>
        <v>0</v>
      </c>
      <c r="AK61" s="65" t="n">
        <f aca="false">IF(AK$6=1,Inputs!$B$59,0)</f>
        <v>0</v>
      </c>
      <c r="AL61" s="65" t="n">
        <f aca="false">IF(AL$6=1,Inputs!$B$59,0)</f>
        <v>0</v>
      </c>
      <c r="AM61" s="65" t="n">
        <f aca="false">IF(AM$6=1,Inputs!$B$59,0)</f>
        <v>0</v>
      </c>
      <c r="AN61" s="65" t="n">
        <f aca="false">IF(AN$6=1,Inputs!$B$59,0)</f>
        <v>0</v>
      </c>
      <c r="AO61" s="65" t="n">
        <f aca="false">IF(AO$6=1,Inputs!$B$59,0)</f>
        <v>0</v>
      </c>
      <c r="AP61" s="65" t="n">
        <f aca="false">IF(AP$6=1,Inputs!$B$59,0)</f>
        <v>0</v>
      </c>
      <c r="AQ61" s="65" t="n">
        <f aca="false">IF(AQ$6=1,Inputs!$B$59,0)</f>
        <v>0</v>
      </c>
      <c r="AR61" s="65" t="n">
        <f aca="false">IF(AR$6=1,Inputs!$B$59,0)</f>
        <v>0</v>
      </c>
      <c r="AS61" s="65" t="n">
        <f aca="false">IF(AS$6=1,Inputs!$B$59,0)</f>
        <v>0</v>
      </c>
      <c r="AT61" s="65" t="n">
        <f aca="false">IF(AT$6=1,Inputs!$B$59,0)</f>
        <v>0</v>
      </c>
      <c r="AU61" s="65" t="n">
        <f aca="false">IF(AU$6=1,Inputs!$B$59,0)</f>
        <v>0</v>
      </c>
      <c r="AV61" s="65" t="n">
        <f aca="false">IF(AV$6=1,Inputs!$B$59,0)</f>
        <v>0</v>
      </c>
      <c r="AW61" s="65" t="n">
        <f aca="false">IF(AW$6=1,Inputs!$B$59,0)</f>
        <v>0</v>
      </c>
      <c r="AX61" s="65" t="n">
        <f aca="false">IF(AX$6=1,Inputs!$B$59,0)</f>
        <v>0</v>
      </c>
      <c r="AY61" s="65" t="n">
        <f aca="false">IF(AY$6=1,Inputs!$B$59,0)</f>
        <v>0</v>
      </c>
      <c r="AZ61" s="65" t="n">
        <f aca="false">IF(AZ$6=1,Inputs!$B$59,0)</f>
        <v>0</v>
      </c>
      <c r="BA61" s="65" t="n">
        <f aca="false">IF(BA$6=1,Inputs!$B$59,0)</f>
        <v>0</v>
      </c>
      <c r="BB61" s="65" t="n">
        <f aca="false">IF(BB$6=1,Inputs!$B$59,0)</f>
        <v>0</v>
      </c>
      <c r="BC61" s="65" t="n">
        <f aca="false">IF(BC$6=1,Inputs!$B$59,0)</f>
        <v>0</v>
      </c>
      <c r="BD61" s="65" t="n">
        <f aca="false">IF(BD$6=1,Inputs!$B$59,0)</f>
        <v>0</v>
      </c>
      <c r="BE61" s="65" t="n">
        <f aca="false">IF(BE$6=1,Inputs!$B$59,0)</f>
        <v>0</v>
      </c>
      <c r="BF61" s="65" t="n">
        <f aca="false">IF(BF$6=1,Inputs!$B$59,0)</f>
        <v>0</v>
      </c>
      <c r="BG61" s="65" t="n">
        <f aca="false">IF(BG$6=1,Inputs!$B$59,0)</f>
        <v>0</v>
      </c>
      <c r="BH61" s="65" t="n">
        <f aca="false">IF(BH$6=1,Inputs!$B$59,0)</f>
        <v>0</v>
      </c>
      <c r="BI61" s="65" t="n">
        <f aca="false">IF(BI$6=1,Inputs!$B$59,0)</f>
        <v>0</v>
      </c>
      <c r="BJ61" s="65" t="n">
        <f aca="false">IF(BJ$6=1,Inputs!$B$59,0)</f>
        <v>0</v>
      </c>
    </row>
    <row r="62" customFormat="false" ht="15" hidden="false" customHeight="false" outlineLevel="0" collapsed="false">
      <c r="A62" s="6" t="s">
        <v>86</v>
      </c>
      <c r="C62" s="65" t="n">
        <f aca="false">-MIN(C60,Inputs!$B$59/MAX(1,Inputs!$B$61*12))</f>
        <v>-0</v>
      </c>
      <c r="D62" s="65" t="n">
        <f aca="false">-MIN(D60,Inputs!$B$59/MAX(1,Inputs!$B$61*12))</f>
        <v>-8333.33333333333</v>
      </c>
      <c r="E62" s="65" t="n">
        <f aca="false">-MIN(E60,Inputs!$B$59/MAX(1,Inputs!$B$61*12))</f>
        <v>-8333.33333333333</v>
      </c>
      <c r="F62" s="65" t="n">
        <f aca="false">-MIN(F60,Inputs!$B$59/MAX(1,Inputs!$B$61*12))</f>
        <v>-8333.33333333333</v>
      </c>
      <c r="G62" s="65" t="n">
        <f aca="false">-MIN(G60,Inputs!$B$59/MAX(1,Inputs!$B$61*12))</f>
        <v>-8333.33333333333</v>
      </c>
      <c r="H62" s="65" t="n">
        <f aca="false">-MIN(H60,Inputs!$B$59/MAX(1,Inputs!$B$61*12))</f>
        <v>-8333.33333333333</v>
      </c>
      <c r="I62" s="65" t="n">
        <f aca="false">-MIN(I60,Inputs!$B$59/MAX(1,Inputs!$B$61*12))</f>
        <v>-8333.33333333333</v>
      </c>
      <c r="J62" s="65" t="n">
        <f aca="false">-MIN(J60,Inputs!$B$59/MAX(1,Inputs!$B$61*12))</f>
        <v>-8333.33333333333</v>
      </c>
      <c r="K62" s="65" t="n">
        <f aca="false">-MIN(K60,Inputs!$B$59/MAX(1,Inputs!$B$61*12))</f>
        <v>-8333.33333333333</v>
      </c>
      <c r="L62" s="65" t="n">
        <f aca="false">-MIN(L60,Inputs!$B$59/MAX(1,Inputs!$B$61*12))</f>
        <v>-8333.33333333333</v>
      </c>
      <c r="M62" s="65" t="n">
        <f aca="false">-MIN(M60,Inputs!$B$59/MAX(1,Inputs!$B$61*12))</f>
        <v>-8333.33333333333</v>
      </c>
      <c r="N62" s="65" t="n">
        <f aca="false">-MIN(N60,Inputs!$B$59/MAX(1,Inputs!$B$61*12))</f>
        <v>-8333.33333333333</v>
      </c>
      <c r="O62" s="65" t="n">
        <f aca="false">-MIN(O60,Inputs!$B$59/MAX(1,Inputs!$B$61*12))</f>
        <v>-8333.33333333333</v>
      </c>
      <c r="P62" s="65" t="n">
        <f aca="false">-MIN(P60,Inputs!$B$59/MAX(1,Inputs!$B$61*12))</f>
        <v>-8333.33333333333</v>
      </c>
      <c r="Q62" s="65" t="n">
        <f aca="false">-MIN(Q60,Inputs!$B$59/MAX(1,Inputs!$B$61*12))</f>
        <v>-8333.33333333333</v>
      </c>
      <c r="R62" s="65" t="n">
        <f aca="false">-MIN(R60,Inputs!$B$59/MAX(1,Inputs!$B$61*12))</f>
        <v>-8333.33333333333</v>
      </c>
      <c r="S62" s="65" t="n">
        <f aca="false">-MIN(S60,Inputs!$B$59/MAX(1,Inputs!$B$61*12))</f>
        <v>-8333.33333333333</v>
      </c>
      <c r="T62" s="65" t="n">
        <f aca="false">-MIN(T60,Inputs!$B$59/MAX(1,Inputs!$B$61*12))</f>
        <v>-8333.33333333333</v>
      </c>
      <c r="U62" s="65" t="n">
        <f aca="false">-MIN(U60,Inputs!$B$59/MAX(1,Inputs!$B$61*12))</f>
        <v>-8333.33333333333</v>
      </c>
      <c r="V62" s="65" t="n">
        <f aca="false">-MIN(V60,Inputs!$B$59/MAX(1,Inputs!$B$61*12))</f>
        <v>-8333.33333333333</v>
      </c>
      <c r="W62" s="65" t="n">
        <f aca="false">-MIN(W60,Inputs!$B$59/MAX(1,Inputs!$B$61*12))</f>
        <v>-8333.33333333333</v>
      </c>
      <c r="X62" s="65" t="n">
        <f aca="false">-MIN(X60,Inputs!$B$59/MAX(1,Inputs!$B$61*12))</f>
        <v>-8333.33333333333</v>
      </c>
      <c r="Y62" s="65" t="n">
        <f aca="false">-MIN(Y60,Inputs!$B$59/MAX(1,Inputs!$B$61*12))</f>
        <v>-8333.33333333333</v>
      </c>
      <c r="Z62" s="65" t="n">
        <f aca="false">-MIN(Z60,Inputs!$B$59/MAX(1,Inputs!$B$61*12))</f>
        <v>-8333.33333333333</v>
      </c>
      <c r="AA62" s="65" t="n">
        <f aca="false">-MIN(AA60,Inputs!$B$59/MAX(1,Inputs!$B$61*12))</f>
        <v>-8333.33333333333</v>
      </c>
      <c r="AB62" s="65" t="n">
        <f aca="false">-MIN(AB60,Inputs!$B$59/MAX(1,Inputs!$B$61*12))</f>
        <v>-8333.33333333333</v>
      </c>
      <c r="AC62" s="65" t="n">
        <f aca="false">-MIN(AC60,Inputs!$B$59/MAX(1,Inputs!$B$61*12))</f>
        <v>-8333.33333333333</v>
      </c>
      <c r="AD62" s="65" t="n">
        <f aca="false">-MIN(AD60,Inputs!$B$59/MAX(1,Inputs!$B$61*12))</f>
        <v>-8333.33333333333</v>
      </c>
      <c r="AE62" s="65" t="n">
        <f aca="false">-MIN(AE60,Inputs!$B$59/MAX(1,Inputs!$B$61*12))</f>
        <v>-8333.33333333333</v>
      </c>
      <c r="AF62" s="65" t="n">
        <f aca="false">-MIN(AF60,Inputs!$B$59/MAX(1,Inputs!$B$61*12))</f>
        <v>-8333.33333333333</v>
      </c>
      <c r="AG62" s="65" t="n">
        <f aca="false">-MIN(AG60,Inputs!$B$59/MAX(1,Inputs!$B$61*12))</f>
        <v>-8333.33333333333</v>
      </c>
      <c r="AH62" s="65" t="n">
        <f aca="false">-MIN(AH60,Inputs!$B$59/MAX(1,Inputs!$B$61*12))</f>
        <v>-8333.33333333333</v>
      </c>
      <c r="AI62" s="65" t="n">
        <f aca="false">-MIN(AI60,Inputs!$B$59/MAX(1,Inputs!$B$61*12))</f>
        <v>-8333.33333333333</v>
      </c>
      <c r="AJ62" s="65" t="n">
        <f aca="false">-MIN(AJ60,Inputs!$B$59/MAX(1,Inputs!$B$61*12))</f>
        <v>-8333.33333333333</v>
      </c>
      <c r="AK62" s="65" t="n">
        <f aca="false">-MIN(AK60,Inputs!$B$59/MAX(1,Inputs!$B$61*12))</f>
        <v>-8333.33333333333</v>
      </c>
      <c r="AL62" s="65" t="n">
        <f aca="false">-MIN(AL60,Inputs!$B$59/MAX(1,Inputs!$B$61*12))</f>
        <v>-8333.33333333333</v>
      </c>
      <c r="AM62" s="65" t="n">
        <f aca="false">-MIN(AM60,Inputs!$B$59/MAX(1,Inputs!$B$61*12))</f>
        <v>-8333.33333333333</v>
      </c>
      <c r="AN62" s="65" t="n">
        <f aca="false">-MIN(AN60,Inputs!$B$59/MAX(1,Inputs!$B$61*12))</f>
        <v>-8333.33333333333</v>
      </c>
      <c r="AO62" s="65" t="n">
        <f aca="false">-MIN(AO60,Inputs!$B$59/MAX(1,Inputs!$B$61*12))</f>
        <v>-8333.33333333333</v>
      </c>
      <c r="AP62" s="65" t="n">
        <f aca="false">-MIN(AP60,Inputs!$B$59/MAX(1,Inputs!$B$61*12))</f>
        <v>-8333.33333333333</v>
      </c>
      <c r="AQ62" s="65" t="n">
        <f aca="false">-MIN(AQ60,Inputs!$B$59/MAX(1,Inputs!$B$61*12))</f>
        <v>-8333.33333333333</v>
      </c>
      <c r="AR62" s="65" t="n">
        <f aca="false">-MIN(AR60,Inputs!$B$59/MAX(1,Inputs!$B$61*12))</f>
        <v>-8333.33333333333</v>
      </c>
      <c r="AS62" s="65" t="n">
        <f aca="false">-MIN(AS60,Inputs!$B$59/MAX(1,Inputs!$B$61*12))</f>
        <v>-8333.33333333333</v>
      </c>
      <c r="AT62" s="65" t="n">
        <f aca="false">-MIN(AT60,Inputs!$B$59/MAX(1,Inputs!$B$61*12))</f>
        <v>-8333.33333333333</v>
      </c>
      <c r="AU62" s="65" t="n">
        <f aca="false">-MIN(AU60,Inputs!$B$59/MAX(1,Inputs!$B$61*12))</f>
        <v>-8333.33333333333</v>
      </c>
      <c r="AV62" s="65" t="n">
        <f aca="false">-MIN(AV60,Inputs!$B$59/MAX(1,Inputs!$B$61*12))</f>
        <v>-8333.33333333333</v>
      </c>
      <c r="AW62" s="65" t="n">
        <f aca="false">-MIN(AW60,Inputs!$B$59/MAX(1,Inputs!$B$61*12))</f>
        <v>-8333.33333333333</v>
      </c>
      <c r="AX62" s="65" t="n">
        <f aca="false">-MIN(AX60,Inputs!$B$59/MAX(1,Inputs!$B$61*12))</f>
        <v>-8333.33333333333</v>
      </c>
      <c r="AY62" s="65" t="n">
        <f aca="false">-MIN(AY60,Inputs!$B$59/MAX(1,Inputs!$B$61*12))</f>
        <v>-8333.33333333333</v>
      </c>
      <c r="AZ62" s="65" t="n">
        <f aca="false">-MIN(AZ60,Inputs!$B$59/MAX(1,Inputs!$B$61*12))</f>
        <v>-8333.33333333333</v>
      </c>
      <c r="BA62" s="65" t="n">
        <f aca="false">-MIN(BA60,Inputs!$B$59/MAX(1,Inputs!$B$61*12))</f>
        <v>-8333.33333333333</v>
      </c>
      <c r="BB62" s="65" t="n">
        <f aca="false">-MIN(BB60,Inputs!$B$59/MAX(1,Inputs!$B$61*12))</f>
        <v>-8333.33333333333</v>
      </c>
      <c r="BC62" s="65" t="n">
        <f aca="false">-MIN(BC60,Inputs!$B$59/MAX(1,Inputs!$B$61*12))</f>
        <v>-8333.33333333333</v>
      </c>
      <c r="BD62" s="65" t="n">
        <f aca="false">-MIN(BD60,Inputs!$B$59/MAX(1,Inputs!$B$61*12))</f>
        <v>-8333.33333333333</v>
      </c>
      <c r="BE62" s="65" t="n">
        <f aca="false">-MIN(BE60,Inputs!$B$59/MAX(1,Inputs!$B$61*12))</f>
        <v>-8333.33333333333</v>
      </c>
      <c r="BF62" s="65" t="n">
        <f aca="false">-MIN(BF60,Inputs!$B$59/MAX(1,Inputs!$B$61*12))</f>
        <v>-8333.33333333333</v>
      </c>
      <c r="BG62" s="65" t="n">
        <f aca="false">-MIN(BG60,Inputs!$B$59/MAX(1,Inputs!$B$61*12))</f>
        <v>-8333.33333333333</v>
      </c>
      <c r="BH62" s="65" t="n">
        <f aca="false">-MIN(BH60,Inputs!$B$59/MAX(1,Inputs!$B$61*12))</f>
        <v>-8333.33333333333</v>
      </c>
      <c r="BI62" s="65" t="n">
        <f aca="false">-MIN(BI60,Inputs!$B$59/MAX(1,Inputs!$B$61*12))</f>
        <v>-8333.33333333333</v>
      </c>
      <c r="BJ62" s="65" t="n">
        <f aca="false">-MIN(BJ60,Inputs!$B$59/MAX(1,Inputs!$B$61*12))</f>
        <v>-8333.33333333333</v>
      </c>
    </row>
    <row r="63" customFormat="false" ht="15" hidden="false" customHeight="false" outlineLevel="0" collapsed="false">
      <c r="A63" s="4" t="s">
        <v>428</v>
      </c>
      <c r="C63" s="71" t="n">
        <f aca="false">C60+C61+C62</f>
        <v>500000</v>
      </c>
      <c r="D63" s="71" t="n">
        <f aca="false">D60+D61+D62</f>
        <v>491666.666666667</v>
      </c>
      <c r="E63" s="71" t="n">
        <f aca="false">E60+E61+E62</f>
        <v>483333.333333333</v>
      </c>
      <c r="F63" s="71" t="n">
        <f aca="false">F60+F61+F62</f>
        <v>475000</v>
      </c>
      <c r="G63" s="71" t="n">
        <f aca="false">G60+G61+G62</f>
        <v>466666.666666667</v>
      </c>
      <c r="H63" s="71" t="n">
        <f aca="false">H60+H61+H62</f>
        <v>458333.333333333</v>
      </c>
      <c r="I63" s="71" t="n">
        <f aca="false">I60+I61+I62</f>
        <v>450000</v>
      </c>
      <c r="J63" s="71" t="n">
        <f aca="false">J60+J61+J62</f>
        <v>441666.666666667</v>
      </c>
      <c r="K63" s="71" t="n">
        <f aca="false">K60+K61+K62</f>
        <v>433333.333333334</v>
      </c>
      <c r="L63" s="71" t="n">
        <f aca="false">L60+L61+L62</f>
        <v>425000</v>
      </c>
      <c r="M63" s="71" t="n">
        <f aca="false">M60+M61+M62</f>
        <v>416666.666666667</v>
      </c>
      <c r="N63" s="71" t="n">
        <f aca="false">N60+N61+N62</f>
        <v>408333.333333334</v>
      </c>
      <c r="O63" s="71" t="n">
        <f aca="false">O60+O61+O62</f>
        <v>400000</v>
      </c>
      <c r="P63" s="71" t="n">
        <f aca="false">P60+P61+P62</f>
        <v>391666.666666667</v>
      </c>
      <c r="Q63" s="71" t="n">
        <f aca="false">Q60+Q61+Q62</f>
        <v>383333.333333334</v>
      </c>
      <c r="R63" s="71" t="n">
        <f aca="false">R60+R61+R62</f>
        <v>375000</v>
      </c>
      <c r="S63" s="71" t="n">
        <f aca="false">S60+S61+S62</f>
        <v>366666.666666667</v>
      </c>
      <c r="T63" s="71" t="n">
        <f aca="false">T60+T61+T62</f>
        <v>358333.333333334</v>
      </c>
      <c r="U63" s="71" t="n">
        <f aca="false">U60+U61+U62</f>
        <v>350000</v>
      </c>
      <c r="V63" s="71" t="n">
        <f aca="false">V60+V61+V62</f>
        <v>341666.666666667</v>
      </c>
      <c r="W63" s="71" t="n">
        <f aca="false">W60+W61+W62</f>
        <v>333333.333333334</v>
      </c>
      <c r="X63" s="71" t="n">
        <f aca="false">X60+X61+X62</f>
        <v>325000</v>
      </c>
      <c r="Y63" s="71" t="n">
        <f aca="false">Y60+Y61+Y62</f>
        <v>316666.666666667</v>
      </c>
      <c r="Z63" s="71" t="n">
        <f aca="false">Z60+Z61+Z62</f>
        <v>308333.333333334</v>
      </c>
      <c r="AA63" s="71" t="n">
        <f aca="false">AA60+AA61+AA62</f>
        <v>300000</v>
      </c>
      <c r="AB63" s="71" t="n">
        <f aca="false">AB60+AB61+AB62</f>
        <v>291666.666666667</v>
      </c>
      <c r="AC63" s="71" t="n">
        <f aca="false">AC60+AC61+AC62</f>
        <v>283333.333333334</v>
      </c>
      <c r="AD63" s="71" t="n">
        <f aca="false">AD60+AD61+AD62</f>
        <v>275000.000000001</v>
      </c>
      <c r="AE63" s="71" t="n">
        <f aca="false">AE60+AE61+AE62</f>
        <v>266666.666666667</v>
      </c>
      <c r="AF63" s="71" t="n">
        <f aca="false">AF60+AF61+AF62</f>
        <v>258333.333333334</v>
      </c>
      <c r="AG63" s="71" t="n">
        <f aca="false">AG60+AG61+AG62</f>
        <v>250000.000000001</v>
      </c>
      <c r="AH63" s="71" t="n">
        <f aca="false">AH60+AH61+AH62</f>
        <v>241666.666666667</v>
      </c>
      <c r="AI63" s="71" t="n">
        <f aca="false">AI60+AI61+AI62</f>
        <v>233333.333333334</v>
      </c>
      <c r="AJ63" s="71" t="n">
        <f aca="false">AJ60+AJ61+AJ62</f>
        <v>225000.000000001</v>
      </c>
      <c r="AK63" s="71" t="n">
        <f aca="false">AK60+AK61+AK62</f>
        <v>216666.666666667</v>
      </c>
      <c r="AL63" s="71" t="n">
        <f aca="false">AL60+AL61+AL62</f>
        <v>208333.333333334</v>
      </c>
      <c r="AM63" s="71" t="n">
        <f aca="false">AM60+AM61+AM62</f>
        <v>200000</v>
      </c>
      <c r="AN63" s="71" t="n">
        <f aca="false">AN60+AN61+AN62</f>
        <v>191666.666666667</v>
      </c>
      <c r="AO63" s="71" t="n">
        <f aca="false">AO60+AO61+AO62</f>
        <v>183333.333333334</v>
      </c>
      <c r="AP63" s="71" t="n">
        <f aca="false">AP60+AP61+AP62</f>
        <v>175000</v>
      </c>
      <c r="AQ63" s="71" t="n">
        <f aca="false">AQ60+AQ61+AQ62</f>
        <v>166666.666666667</v>
      </c>
      <c r="AR63" s="71" t="n">
        <f aca="false">AR60+AR61+AR62</f>
        <v>158333.333333334</v>
      </c>
      <c r="AS63" s="71" t="n">
        <f aca="false">AS60+AS61+AS62</f>
        <v>150000</v>
      </c>
      <c r="AT63" s="71" t="n">
        <f aca="false">AT60+AT61+AT62</f>
        <v>141666.666666667</v>
      </c>
      <c r="AU63" s="71" t="n">
        <f aca="false">AU60+AU61+AU62</f>
        <v>133333.333333334</v>
      </c>
      <c r="AV63" s="71" t="n">
        <f aca="false">AV60+AV61+AV62</f>
        <v>125000</v>
      </c>
      <c r="AW63" s="71" t="n">
        <f aca="false">AW60+AW61+AW62</f>
        <v>116666.666666667</v>
      </c>
      <c r="AX63" s="71" t="n">
        <f aca="false">AX60+AX61+AX62</f>
        <v>108333.333333334</v>
      </c>
      <c r="AY63" s="71" t="n">
        <f aca="false">AY60+AY61+AY62</f>
        <v>100000</v>
      </c>
      <c r="AZ63" s="71" t="n">
        <f aca="false">AZ60+AZ61+AZ62</f>
        <v>91666.6666666671</v>
      </c>
      <c r="BA63" s="71" t="n">
        <f aca="false">BA60+BA61+BA62</f>
        <v>83333.3333333338</v>
      </c>
      <c r="BB63" s="71" t="n">
        <f aca="false">BB60+BB61+BB62</f>
        <v>75000.0000000004</v>
      </c>
      <c r="BC63" s="71" t="n">
        <f aca="false">BC60+BC61+BC62</f>
        <v>66666.6666666671</v>
      </c>
      <c r="BD63" s="71" t="n">
        <f aca="false">BD60+BD61+BD62</f>
        <v>58333.3333333338</v>
      </c>
      <c r="BE63" s="71" t="n">
        <f aca="false">BE60+BE61+BE62</f>
        <v>50000.0000000004</v>
      </c>
      <c r="BF63" s="71" t="n">
        <f aca="false">BF60+BF61+BF62</f>
        <v>41666.6666666671</v>
      </c>
      <c r="BG63" s="71" t="n">
        <f aca="false">BG60+BG61+BG62</f>
        <v>33333.3333333338</v>
      </c>
      <c r="BH63" s="71" t="n">
        <f aca="false">BH60+BH61+BH62</f>
        <v>25000.0000000004</v>
      </c>
      <c r="BI63" s="71" t="n">
        <f aca="false">BI60+BI61+BI62</f>
        <v>16666.6666666671</v>
      </c>
      <c r="BJ63" s="71" t="n">
        <f aca="false">BJ60+BJ61+BJ62</f>
        <v>8333.33333333375</v>
      </c>
    </row>
    <row r="65" customFormat="false" ht="15.75" hidden="false" customHeight="true" outlineLevel="0" collapsed="false">
      <c r="A65" s="7" t="s">
        <v>313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customFormat="false" ht="15" hidden="false" customHeight="false" outlineLevel="0" collapsed="false">
      <c r="A66" s="6" t="s">
        <v>90</v>
      </c>
      <c r="C66" s="65" t="n">
        <f aca="false">C27*Inputs!$B$64/30</f>
        <v>18074.6654814815</v>
      </c>
      <c r="D66" s="65" t="n">
        <f aca="false">D27*Inputs!$B$64/30</f>
        <v>18074.6654814815</v>
      </c>
      <c r="E66" s="65" t="n">
        <f aca="false">E27*Inputs!$B$64/30</f>
        <v>18074.6654814815</v>
      </c>
      <c r="F66" s="65" t="n">
        <f aca="false">F27*Inputs!$B$64/30</f>
        <v>18074.6654814815</v>
      </c>
      <c r="G66" s="65" t="n">
        <f aca="false">G27*Inputs!$B$64/30</f>
        <v>18074.6654814815</v>
      </c>
      <c r="H66" s="65" t="n">
        <f aca="false">H27*Inputs!$B$64/30</f>
        <v>18074.6654814815</v>
      </c>
      <c r="I66" s="65" t="n">
        <f aca="false">I27*Inputs!$B$64/30</f>
        <v>18074.6654814815</v>
      </c>
      <c r="J66" s="65" t="n">
        <f aca="false">J27*Inputs!$B$64/30</f>
        <v>18074.6654814815</v>
      </c>
      <c r="K66" s="65" t="n">
        <f aca="false">K27*Inputs!$B$64/30</f>
        <v>18074.6654814815</v>
      </c>
      <c r="L66" s="65" t="n">
        <f aca="false">L27*Inputs!$B$64/30</f>
        <v>18074.6654814815</v>
      </c>
      <c r="M66" s="65" t="n">
        <f aca="false">M27*Inputs!$B$64/30</f>
        <v>22157.1614814815</v>
      </c>
      <c r="N66" s="65" t="n">
        <f aca="false">N27*Inputs!$B$64/30</f>
        <v>22157.1614814815</v>
      </c>
      <c r="O66" s="65" t="n">
        <f aca="false">O27*Inputs!$B$64/30</f>
        <v>22278.0135111111</v>
      </c>
      <c r="P66" s="65" t="n">
        <f aca="false">P27*Inputs!$B$64/30</f>
        <v>22278.0135111111</v>
      </c>
      <c r="Q66" s="65" t="n">
        <f aca="false">Q27*Inputs!$B$64/30</f>
        <v>22278.0135111111</v>
      </c>
      <c r="R66" s="65" t="n">
        <f aca="false">R27*Inputs!$B$64/30</f>
        <v>22278.0135111111</v>
      </c>
      <c r="S66" s="65" t="n">
        <f aca="false">S27*Inputs!$B$64/30</f>
        <v>22278.0135111111</v>
      </c>
      <c r="T66" s="65" t="n">
        <f aca="false">T27*Inputs!$B$64/30</f>
        <v>22278.0135111111</v>
      </c>
      <c r="U66" s="65" t="n">
        <f aca="false">U27*Inputs!$B$64/30</f>
        <v>22278.0135111111</v>
      </c>
      <c r="V66" s="65" t="n">
        <f aca="false">V27*Inputs!$B$64/30</f>
        <v>22278.0135111111</v>
      </c>
      <c r="W66" s="65" t="n">
        <f aca="false">W27*Inputs!$B$64/30</f>
        <v>22278.0135111111</v>
      </c>
      <c r="X66" s="65" t="n">
        <f aca="false">X27*Inputs!$B$64/30</f>
        <v>22278.0135111111</v>
      </c>
      <c r="Y66" s="65" t="n">
        <f aca="false">Y27*Inputs!$B$64/30</f>
        <v>27402.3591111111</v>
      </c>
      <c r="Z66" s="65" t="n">
        <f aca="false">Z27*Inputs!$B$64/30</f>
        <v>27402.3591111111</v>
      </c>
      <c r="AA66" s="65" t="n">
        <f aca="false">AA27*Inputs!$B$64/30</f>
        <v>26843.19264</v>
      </c>
      <c r="AB66" s="65" t="n">
        <f aca="false">AB27*Inputs!$B$64/30</f>
        <v>26843.19264</v>
      </c>
      <c r="AC66" s="65" t="n">
        <f aca="false">AC27*Inputs!$B$64/30</f>
        <v>26843.19264</v>
      </c>
      <c r="AD66" s="65" t="n">
        <f aca="false">AD27*Inputs!$B$64/30</f>
        <v>26843.19264</v>
      </c>
      <c r="AE66" s="65" t="n">
        <f aca="false">AE27*Inputs!$B$64/30</f>
        <v>26843.19264</v>
      </c>
      <c r="AF66" s="65" t="n">
        <f aca="false">AF27*Inputs!$B$64/30</f>
        <v>26843.19264</v>
      </c>
      <c r="AG66" s="65" t="n">
        <f aca="false">AG27*Inputs!$B$64/30</f>
        <v>26843.19264</v>
      </c>
      <c r="AH66" s="65" t="n">
        <f aca="false">AH27*Inputs!$B$64/30</f>
        <v>26843.19264</v>
      </c>
      <c r="AI66" s="65" t="n">
        <f aca="false">AI27*Inputs!$B$64/30</f>
        <v>26843.19264</v>
      </c>
      <c r="AJ66" s="65" t="n">
        <f aca="false">AJ27*Inputs!$B$64/30</f>
        <v>26843.19264</v>
      </c>
      <c r="AK66" s="65" t="n">
        <f aca="false">AK27*Inputs!$B$64/30</f>
        <v>33034.3728</v>
      </c>
      <c r="AL66" s="65" t="n">
        <f aca="false">AL27*Inputs!$B$64/30</f>
        <v>33034.3728</v>
      </c>
      <c r="AM66" s="65" t="n">
        <f aca="false">AM27*Inputs!$B$64/30</f>
        <v>31836.0452373333</v>
      </c>
      <c r="AN66" s="65" t="n">
        <f aca="false">AN27*Inputs!$B$64/30</f>
        <v>31836.0452373333</v>
      </c>
      <c r="AO66" s="65" t="n">
        <f aca="false">AO27*Inputs!$B$64/30</f>
        <v>31836.0452373333</v>
      </c>
      <c r="AP66" s="65" t="n">
        <f aca="false">AP27*Inputs!$B$64/30</f>
        <v>31836.0452373333</v>
      </c>
      <c r="AQ66" s="65" t="n">
        <f aca="false">AQ27*Inputs!$B$64/30</f>
        <v>31836.0452373333</v>
      </c>
      <c r="AR66" s="65" t="n">
        <f aca="false">AR27*Inputs!$B$64/30</f>
        <v>31836.0452373333</v>
      </c>
      <c r="AS66" s="65" t="n">
        <f aca="false">AS27*Inputs!$B$64/30</f>
        <v>31836.0452373333</v>
      </c>
      <c r="AT66" s="65" t="n">
        <f aca="false">AT27*Inputs!$B$64/30</f>
        <v>31836.0452373333</v>
      </c>
      <c r="AU66" s="65" t="n">
        <f aca="false">AU27*Inputs!$B$64/30</f>
        <v>31836.0452373333</v>
      </c>
      <c r="AV66" s="65" t="n">
        <f aca="false">AV27*Inputs!$B$64/30</f>
        <v>31836.0452373333</v>
      </c>
      <c r="AW66" s="65" t="n">
        <f aca="false">AW27*Inputs!$B$64/30</f>
        <v>39121.5434133333</v>
      </c>
      <c r="AX66" s="65" t="n">
        <f aca="false">AX27*Inputs!$B$64/30</f>
        <v>39121.5434133333</v>
      </c>
      <c r="AY66" s="65" t="n">
        <f aca="false">AY27*Inputs!$B$64/30</f>
        <v>37334.9297610667</v>
      </c>
      <c r="AZ66" s="65" t="n">
        <f aca="false">AZ27*Inputs!$B$64/30</f>
        <v>37334.9297610667</v>
      </c>
      <c r="BA66" s="65" t="n">
        <f aca="false">BA27*Inputs!$B$64/30</f>
        <v>37334.9297610667</v>
      </c>
      <c r="BB66" s="65" t="n">
        <f aca="false">BB27*Inputs!$B$64/30</f>
        <v>37334.9297610667</v>
      </c>
      <c r="BC66" s="65" t="n">
        <f aca="false">BC27*Inputs!$B$64/30</f>
        <v>37334.9297610667</v>
      </c>
      <c r="BD66" s="65" t="n">
        <f aca="false">BD27*Inputs!$B$64/30</f>
        <v>37334.9297610667</v>
      </c>
      <c r="BE66" s="65" t="n">
        <f aca="false">BE27*Inputs!$B$64/30</f>
        <v>37334.9297610667</v>
      </c>
      <c r="BF66" s="65" t="n">
        <f aca="false">BF27*Inputs!$B$64/30</f>
        <v>37334.9297610667</v>
      </c>
      <c r="BG66" s="65" t="n">
        <f aca="false">BG27*Inputs!$B$64/30</f>
        <v>37334.9297610667</v>
      </c>
      <c r="BH66" s="65" t="n">
        <f aca="false">BH27*Inputs!$B$64/30</f>
        <v>37334.9297610667</v>
      </c>
      <c r="BI66" s="65" t="n">
        <f aca="false">BI27*Inputs!$B$64/30</f>
        <v>45744.9777546667</v>
      </c>
      <c r="BJ66" s="65" t="n">
        <f aca="false">BJ27*Inputs!$B$64/30</f>
        <v>45744.9777546667</v>
      </c>
    </row>
    <row r="67" customFormat="false" ht="15" hidden="false" customHeight="false" outlineLevel="0" collapsed="false">
      <c r="A67" s="6" t="s">
        <v>91</v>
      </c>
      <c r="C67" s="65" t="n">
        <f aca="false">-C28*Inputs!$B$65/30</f>
        <v>305009.98</v>
      </c>
      <c r="D67" s="65" t="n">
        <f aca="false">-D28*Inputs!$B$65/30</f>
        <v>305009.98</v>
      </c>
      <c r="E67" s="65" t="n">
        <f aca="false">-E28*Inputs!$B$65/30</f>
        <v>305009.98</v>
      </c>
      <c r="F67" s="65" t="n">
        <f aca="false">-F28*Inputs!$B$65/30</f>
        <v>305009.98</v>
      </c>
      <c r="G67" s="65" t="n">
        <f aca="false">-G28*Inputs!$B$65/30</f>
        <v>305009.98</v>
      </c>
      <c r="H67" s="65" t="n">
        <f aca="false">-H28*Inputs!$B$65/30</f>
        <v>305009.98</v>
      </c>
      <c r="I67" s="65" t="n">
        <f aca="false">-I28*Inputs!$B$65/30</f>
        <v>305009.98</v>
      </c>
      <c r="J67" s="65" t="n">
        <f aca="false">-J28*Inputs!$B$65/30</f>
        <v>305009.98</v>
      </c>
      <c r="K67" s="65" t="n">
        <f aca="false">-K28*Inputs!$B$65/30</f>
        <v>305009.98</v>
      </c>
      <c r="L67" s="65" t="n">
        <f aca="false">-L28*Inputs!$B$65/30</f>
        <v>305009.98</v>
      </c>
      <c r="M67" s="65" t="n">
        <f aca="false">-M28*Inputs!$B$65/30</f>
        <v>373902.1</v>
      </c>
      <c r="N67" s="65" t="n">
        <f aca="false">-N28*Inputs!$B$65/30</f>
        <v>373902.1</v>
      </c>
      <c r="O67" s="65" t="n">
        <f aca="false">-O28*Inputs!$B$65/30</f>
        <v>375941.478</v>
      </c>
      <c r="P67" s="65" t="n">
        <f aca="false">-P28*Inputs!$B$65/30</f>
        <v>375941.478</v>
      </c>
      <c r="Q67" s="65" t="n">
        <f aca="false">-Q28*Inputs!$B$65/30</f>
        <v>375941.478</v>
      </c>
      <c r="R67" s="65" t="n">
        <f aca="false">-R28*Inputs!$B$65/30</f>
        <v>375941.478</v>
      </c>
      <c r="S67" s="65" t="n">
        <f aca="false">-S28*Inputs!$B$65/30</f>
        <v>375941.478</v>
      </c>
      <c r="T67" s="65" t="n">
        <f aca="false">-T28*Inputs!$B$65/30</f>
        <v>375941.478</v>
      </c>
      <c r="U67" s="65" t="n">
        <f aca="false">-U28*Inputs!$B$65/30</f>
        <v>375941.478</v>
      </c>
      <c r="V67" s="65" t="n">
        <f aca="false">-V28*Inputs!$B$65/30</f>
        <v>375941.478</v>
      </c>
      <c r="W67" s="65" t="n">
        <f aca="false">-W28*Inputs!$B$65/30</f>
        <v>375941.478</v>
      </c>
      <c r="X67" s="65" t="n">
        <f aca="false">-X28*Inputs!$B$65/30</f>
        <v>375941.478</v>
      </c>
      <c r="Y67" s="65" t="n">
        <f aca="false">-Y28*Inputs!$B$65/30</f>
        <v>462414.81</v>
      </c>
      <c r="Z67" s="65" t="n">
        <f aca="false">-Z28*Inputs!$B$65/30</f>
        <v>462414.81</v>
      </c>
      <c r="AA67" s="65" t="n">
        <f aca="false">-AA28*Inputs!$B$65/30</f>
        <v>452978.8758</v>
      </c>
      <c r="AB67" s="65" t="n">
        <f aca="false">-AB28*Inputs!$B$65/30</f>
        <v>452978.8758</v>
      </c>
      <c r="AC67" s="65" t="n">
        <f aca="false">-AC28*Inputs!$B$65/30</f>
        <v>452978.8758</v>
      </c>
      <c r="AD67" s="65" t="n">
        <f aca="false">-AD28*Inputs!$B$65/30</f>
        <v>452978.8758</v>
      </c>
      <c r="AE67" s="65" t="n">
        <f aca="false">-AE28*Inputs!$B$65/30</f>
        <v>452978.8758</v>
      </c>
      <c r="AF67" s="65" t="n">
        <f aca="false">-AF28*Inputs!$B$65/30</f>
        <v>452978.8758</v>
      </c>
      <c r="AG67" s="65" t="n">
        <f aca="false">-AG28*Inputs!$B$65/30</f>
        <v>452978.8758</v>
      </c>
      <c r="AH67" s="65" t="n">
        <f aca="false">-AH28*Inputs!$B$65/30</f>
        <v>452978.8758</v>
      </c>
      <c r="AI67" s="65" t="n">
        <f aca="false">-AI28*Inputs!$B$65/30</f>
        <v>452978.8758</v>
      </c>
      <c r="AJ67" s="65" t="n">
        <f aca="false">-AJ28*Inputs!$B$65/30</f>
        <v>452978.8758</v>
      </c>
      <c r="AK67" s="65" t="n">
        <f aca="false">-AK28*Inputs!$B$65/30</f>
        <v>557455.041</v>
      </c>
      <c r="AL67" s="65" t="n">
        <f aca="false">-AL28*Inputs!$B$65/30</f>
        <v>557455.041</v>
      </c>
      <c r="AM67" s="65" t="n">
        <f aca="false">-AM28*Inputs!$B$65/30</f>
        <v>537233.26338</v>
      </c>
      <c r="AN67" s="65" t="n">
        <f aca="false">-AN28*Inputs!$B$65/30</f>
        <v>537233.26338</v>
      </c>
      <c r="AO67" s="65" t="n">
        <f aca="false">-AO28*Inputs!$B$65/30</f>
        <v>537233.26338</v>
      </c>
      <c r="AP67" s="65" t="n">
        <f aca="false">-AP28*Inputs!$B$65/30</f>
        <v>537233.26338</v>
      </c>
      <c r="AQ67" s="65" t="n">
        <f aca="false">-AQ28*Inputs!$B$65/30</f>
        <v>537233.26338</v>
      </c>
      <c r="AR67" s="65" t="n">
        <f aca="false">-AR28*Inputs!$B$65/30</f>
        <v>537233.26338</v>
      </c>
      <c r="AS67" s="65" t="n">
        <f aca="false">-AS28*Inputs!$B$65/30</f>
        <v>537233.26338</v>
      </c>
      <c r="AT67" s="65" t="n">
        <f aca="false">-AT28*Inputs!$B$65/30</f>
        <v>537233.26338</v>
      </c>
      <c r="AU67" s="65" t="n">
        <f aca="false">-AU28*Inputs!$B$65/30</f>
        <v>537233.26338</v>
      </c>
      <c r="AV67" s="65" t="n">
        <f aca="false">-AV28*Inputs!$B$65/30</f>
        <v>537233.26338</v>
      </c>
      <c r="AW67" s="65" t="n">
        <f aca="false">-AW28*Inputs!$B$65/30</f>
        <v>660176.0451</v>
      </c>
      <c r="AX67" s="65" t="n">
        <f aca="false">-AX28*Inputs!$B$65/30</f>
        <v>660176.0451</v>
      </c>
      <c r="AY67" s="65" t="n">
        <f aca="false">-AY28*Inputs!$B$65/30</f>
        <v>630026.939718</v>
      </c>
      <c r="AZ67" s="65" t="n">
        <f aca="false">-AZ28*Inputs!$B$65/30</f>
        <v>630026.939718</v>
      </c>
      <c r="BA67" s="65" t="n">
        <f aca="false">-BA28*Inputs!$B$65/30</f>
        <v>630026.939718</v>
      </c>
      <c r="BB67" s="65" t="n">
        <f aca="false">-BB28*Inputs!$B$65/30</f>
        <v>630026.939718</v>
      </c>
      <c r="BC67" s="65" t="n">
        <f aca="false">-BC28*Inputs!$B$65/30</f>
        <v>630026.939718</v>
      </c>
      <c r="BD67" s="65" t="n">
        <f aca="false">-BD28*Inputs!$B$65/30</f>
        <v>630026.939718</v>
      </c>
      <c r="BE67" s="65" t="n">
        <f aca="false">-BE28*Inputs!$B$65/30</f>
        <v>630026.939718</v>
      </c>
      <c r="BF67" s="65" t="n">
        <f aca="false">-BF28*Inputs!$B$65/30</f>
        <v>630026.939718</v>
      </c>
      <c r="BG67" s="65" t="n">
        <f aca="false">-BG28*Inputs!$B$65/30</f>
        <v>630026.939718</v>
      </c>
      <c r="BH67" s="65" t="n">
        <f aca="false">-BH28*Inputs!$B$65/30</f>
        <v>630026.939718</v>
      </c>
      <c r="BI67" s="65" t="n">
        <f aca="false">-BI28*Inputs!$B$65/30</f>
        <v>771946.49961</v>
      </c>
      <c r="BJ67" s="65" t="n">
        <f aca="false">-BJ28*Inputs!$B$65/30</f>
        <v>771946.49961</v>
      </c>
    </row>
    <row r="68" customFormat="false" ht="15" hidden="false" customHeight="false" outlineLevel="0" collapsed="false">
      <c r="A68" s="6" t="s">
        <v>94</v>
      </c>
      <c r="C68" s="65" t="n">
        <f aca="false">-C28*Inputs!$B$66/30</f>
        <v>122003.992</v>
      </c>
      <c r="D68" s="65" t="n">
        <f aca="false">-D28*Inputs!$B$66/30</f>
        <v>122003.992</v>
      </c>
      <c r="E68" s="65" t="n">
        <f aca="false">-E28*Inputs!$B$66/30</f>
        <v>122003.992</v>
      </c>
      <c r="F68" s="65" t="n">
        <f aca="false">-F28*Inputs!$B$66/30</f>
        <v>122003.992</v>
      </c>
      <c r="G68" s="65" t="n">
        <f aca="false">-G28*Inputs!$B$66/30</f>
        <v>122003.992</v>
      </c>
      <c r="H68" s="65" t="n">
        <f aca="false">-H28*Inputs!$B$66/30</f>
        <v>122003.992</v>
      </c>
      <c r="I68" s="65" t="n">
        <f aca="false">-I28*Inputs!$B$66/30</f>
        <v>122003.992</v>
      </c>
      <c r="J68" s="65" t="n">
        <f aca="false">-J28*Inputs!$B$66/30</f>
        <v>122003.992</v>
      </c>
      <c r="K68" s="65" t="n">
        <f aca="false">-K28*Inputs!$B$66/30</f>
        <v>122003.992</v>
      </c>
      <c r="L68" s="65" t="n">
        <f aca="false">-L28*Inputs!$B$66/30</f>
        <v>122003.992</v>
      </c>
      <c r="M68" s="65" t="n">
        <f aca="false">-M28*Inputs!$B$66/30</f>
        <v>149560.84</v>
      </c>
      <c r="N68" s="65" t="n">
        <f aca="false">-N28*Inputs!$B$66/30</f>
        <v>149560.84</v>
      </c>
      <c r="O68" s="65" t="n">
        <f aca="false">-O28*Inputs!$B$66/30</f>
        <v>150376.5912</v>
      </c>
      <c r="P68" s="65" t="n">
        <f aca="false">-P28*Inputs!$B$66/30</f>
        <v>150376.5912</v>
      </c>
      <c r="Q68" s="65" t="n">
        <f aca="false">-Q28*Inputs!$B$66/30</f>
        <v>150376.5912</v>
      </c>
      <c r="R68" s="65" t="n">
        <f aca="false">-R28*Inputs!$B$66/30</f>
        <v>150376.5912</v>
      </c>
      <c r="S68" s="65" t="n">
        <f aca="false">-S28*Inputs!$B$66/30</f>
        <v>150376.5912</v>
      </c>
      <c r="T68" s="65" t="n">
        <f aca="false">-T28*Inputs!$B$66/30</f>
        <v>150376.5912</v>
      </c>
      <c r="U68" s="65" t="n">
        <f aca="false">-U28*Inputs!$B$66/30</f>
        <v>150376.5912</v>
      </c>
      <c r="V68" s="65" t="n">
        <f aca="false">-V28*Inputs!$B$66/30</f>
        <v>150376.5912</v>
      </c>
      <c r="W68" s="65" t="n">
        <f aca="false">-W28*Inputs!$B$66/30</f>
        <v>150376.5912</v>
      </c>
      <c r="X68" s="65" t="n">
        <f aca="false">-X28*Inputs!$B$66/30</f>
        <v>150376.5912</v>
      </c>
      <c r="Y68" s="65" t="n">
        <f aca="false">-Y28*Inputs!$B$66/30</f>
        <v>184965.924</v>
      </c>
      <c r="Z68" s="65" t="n">
        <f aca="false">-Z28*Inputs!$B$66/30</f>
        <v>184965.924</v>
      </c>
      <c r="AA68" s="65" t="n">
        <f aca="false">-AA28*Inputs!$B$66/30</f>
        <v>181191.55032</v>
      </c>
      <c r="AB68" s="65" t="n">
        <f aca="false">-AB28*Inputs!$B$66/30</f>
        <v>181191.55032</v>
      </c>
      <c r="AC68" s="65" t="n">
        <f aca="false">-AC28*Inputs!$B$66/30</f>
        <v>181191.55032</v>
      </c>
      <c r="AD68" s="65" t="n">
        <f aca="false">-AD28*Inputs!$B$66/30</f>
        <v>181191.55032</v>
      </c>
      <c r="AE68" s="65" t="n">
        <f aca="false">-AE28*Inputs!$B$66/30</f>
        <v>181191.55032</v>
      </c>
      <c r="AF68" s="65" t="n">
        <f aca="false">-AF28*Inputs!$B$66/30</f>
        <v>181191.55032</v>
      </c>
      <c r="AG68" s="65" t="n">
        <f aca="false">-AG28*Inputs!$B$66/30</f>
        <v>181191.55032</v>
      </c>
      <c r="AH68" s="65" t="n">
        <f aca="false">-AH28*Inputs!$B$66/30</f>
        <v>181191.55032</v>
      </c>
      <c r="AI68" s="65" t="n">
        <f aca="false">-AI28*Inputs!$B$66/30</f>
        <v>181191.55032</v>
      </c>
      <c r="AJ68" s="65" t="n">
        <f aca="false">-AJ28*Inputs!$B$66/30</f>
        <v>181191.55032</v>
      </c>
      <c r="AK68" s="65" t="n">
        <f aca="false">-AK28*Inputs!$B$66/30</f>
        <v>222982.0164</v>
      </c>
      <c r="AL68" s="65" t="n">
        <f aca="false">-AL28*Inputs!$B$66/30</f>
        <v>222982.0164</v>
      </c>
      <c r="AM68" s="65" t="n">
        <f aca="false">-AM28*Inputs!$B$66/30</f>
        <v>214893.305352</v>
      </c>
      <c r="AN68" s="65" t="n">
        <f aca="false">-AN28*Inputs!$B$66/30</f>
        <v>214893.305352</v>
      </c>
      <c r="AO68" s="65" t="n">
        <f aca="false">-AO28*Inputs!$B$66/30</f>
        <v>214893.305352</v>
      </c>
      <c r="AP68" s="65" t="n">
        <f aca="false">-AP28*Inputs!$B$66/30</f>
        <v>214893.305352</v>
      </c>
      <c r="AQ68" s="65" t="n">
        <f aca="false">-AQ28*Inputs!$B$66/30</f>
        <v>214893.305352</v>
      </c>
      <c r="AR68" s="65" t="n">
        <f aca="false">-AR28*Inputs!$B$66/30</f>
        <v>214893.305352</v>
      </c>
      <c r="AS68" s="65" t="n">
        <f aca="false">-AS28*Inputs!$B$66/30</f>
        <v>214893.305352</v>
      </c>
      <c r="AT68" s="65" t="n">
        <f aca="false">-AT28*Inputs!$B$66/30</f>
        <v>214893.305352</v>
      </c>
      <c r="AU68" s="65" t="n">
        <f aca="false">-AU28*Inputs!$B$66/30</f>
        <v>214893.305352</v>
      </c>
      <c r="AV68" s="65" t="n">
        <f aca="false">-AV28*Inputs!$B$66/30</f>
        <v>214893.305352</v>
      </c>
      <c r="AW68" s="65" t="n">
        <f aca="false">-AW28*Inputs!$B$66/30</f>
        <v>264070.41804</v>
      </c>
      <c r="AX68" s="65" t="n">
        <f aca="false">-AX28*Inputs!$B$66/30</f>
        <v>264070.41804</v>
      </c>
      <c r="AY68" s="65" t="n">
        <f aca="false">-AY28*Inputs!$B$66/30</f>
        <v>252010.7758872</v>
      </c>
      <c r="AZ68" s="65" t="n">
        <f aca="false">-AZ28*Inputs!$B$66/30</f>
        <v>252010.7758872</v>
      </c>
      <c r="BA68" s="65" t="n">
        <f aca="false">-BA28*Inputs!$B$66/30</f>
        <v>252010.7758872</v>
      </c>
      <c r="BB68" s="65" t="n">
        <f aca="false">-BB28*Inputs!$B$66/30</f>
        <v>252010.7758872</v>
      </c>
      <c r="BC68" s="65" t="n">
        <f aca="false">-BC28*Inputs!$B$66/30</f>
        <v>252010.7758872</v>
      </c>
      <c r="BD68" s="65" t="n">
        <f aca="false">-BD28*Inputs!$B$66/30</f>
        <v>252010.7758872</v>
      </c>
      <c r="BE68" s="65" t="n">
        <f aca="false">-BE28*Inputs!$B$66/30</f>
        <v>252010.7758872</v>
      </c>
      <c r="BF68" s="65" t="n">
        <f aca="false">-BF28*Inputs!$B$66/30</f>
        <v>252010.7758872</v>
      </c>
      <c r="BG68" s="65" t="n">
        <f aca="false">-BG28*Inputs!$B$66/30</f>
        <v>252010.7758872</v>
      </c>
      <c r="BH68" s="65" t="n">
        <f aca="false">-BH28*Inputs!$B$66/30</f>
        <v>252010.7758872</v>
      </c>
      <c r="BI68" s="65" t="n">
        <f aca="false">-BI28*Inputs!$B$66/30</f>
        <v>308778.599844</v>
      </c>
      <c r="BJ68" s="65" t="n">
        <f aca="false">-BJ28*Inputs!$B$66/30</f>
        <v>308778.599844</v>
      </c>
    </row>
    <row r="69" customFormat="false" ht="15" hidden="false" customHeight="false" outlineLevel="0" collapsed="false">
      <c r="A69" s="6" t="s">
        <v>338</v>
      </c>
      <c r="C69" s="65" t="n">
        <f aca="false">-C66</f>
        <v>-18074.6654814815</v>
      </c>
      <c r="D69" s="65" t="n">
        <f aca="false">C66-D66</f>
        <v>0</v>
      </c>
      <c r="E69" s="65" t="n">
        <f aca="false">D66-E66</f>
        <v>0</v>
      </c>
      <c r="F69" s="65" t="n">
        <f aca="false">E66-F66</f>
        <v>0</v>
      </c>
      <c r="G69" s="65" t="n">
        <f aca="false">F66-G66</f>
        <v>0</v>
      </c>
      <c r="H69" s="65" t="n">
        <f aca="false">G66-H66</f>
        <v>0</v>
      </c>
      <c r="I69" s="65" t="n">
        <f aca="false">H66-I66</f>
        <v>0</v>
      </c>
      <c r="J69" s="65" t="n">
        <f aca="false">I66-J66</f>
        <v>0</v>
      </c>
      <c r="K69" s="65" t="n">
        <f aca="false">J66-K66</f>
        <v>0</v>
      </c>
      <c r="L69" s="65" t="n">
        <f aca="false">K66-L66</f>
        <v>0</v>
      </c>
      <c r="M69" s="65" t="n">
        <f aca="false">L66-M66</f>
        <v>-4082.496</v>
      </c>
      <c r="N69" s="65" t="n">
        <f aca="false">M66-N66</f>
        <v>0</v>
      </c>
      <c r="O69" s="65" t="n">
        <f aca="false">N66-O66</f>
        <v>-120.85202962963</v>
      </c>
      <c r="P69" s="65" t="n">
        <f aca="false">O66-P66</f>
        <v>0</v>
      </c>
      <c r="Q69" s="65" t="n">
        <f aca="false">P66-Q66</f>
        <v>0</v>
      </c>
      <c r="R69" s="65" t="n">
        <f aca="false">Q66-R66</f>
        <v>0</v>
      </c>
      <c r="S69" s="65" t="n">
        <f aca="false">R66-S66</f>
        <v>0</v>
      </c>
      <c r="T69" s="65" t="n">
        <f aca="false">S66-T66</f>
        <v>0</v>
      </c>
      <c r="U69" s="65" t="n">
        <f aca="false">T66-U66</f>
        <v>0</v>
      </c>
      <c r="V69" s="65" t="n">
        <f aca="false">U66-V66</f>
        <v>0</v>
      </c>
      <c r="W69" s="65" t="n">
        <f aca="false">V66-W66</f>
        <v>0</v>
      </c>
      <c r="X69" s="65" t="n">
        <f aca="false">W66-X66</f>
        <v>0</v>
      </c>
      <c r="Y69" s="65" t="n">
        <f aca="false">X66-Y66</f>
        <v>-5124.3456</v>
      </c>
      <c r="Z69" s="65" t="n">
        <f aca="false">Y66-Z66</f>
        <v>0</v>
      </c>
      <c r="AA69" s="65" t="n">
        <f aca="false">Z66-AA66</f>
        <v>559.166471111104</v>
      </c>
      <c r="AB69" s="65" t="n">
        <f aca="false">AA66-AB66</f>
        <v>0</v>
      </c>
      <c r="AC69" s="65" t="n">
        <f aca="false">AB66-AC66</f>
        <v>0</v>
      </c>
      <c r="AD69" s="65" t="n">
        <f aca="false">AC66-AD66</f>
        <v>0</v>
      </c>
      <c r="AE69" s="65" t="n">
        <f aca="false">AD66-AE66</f>
        <v>0</v>
      </c>
      <c r="AF69" s="65" t="n">
        <f aca="false">AE66-AF66</f>
        <v>0</v>
      </c>
      <c r="AG69" s="65" t="n">
        <f aca="false">AF66-AG66</f>
        <v>0</v>
      </c>
      <c r="AH69" s="65" t="n">
        <f aca="false">AG66-AH66</f>
        <v>0</v>
      </c>
      <c r="AI69" s="65" t="n">
        <f aca="false">AH66-AI66</f>
        <v>0</v>
      </c>
      <c r="AJ69" s="65" t="n">
        <f aca="false">AI66-AJ66</f>
        <v>0</v>
      </c>
      <c r="AK69" s="65" t="n">
        <f aca="false">AJ66-AK66</f>
        <v>-6191.18015999999</v>
      </c>
      <c r="AL69" s="65" t="n">
        <f aca="false">AK66-AL66</f>
        <v>0</v>
      </c>
      <c r="AM69" s="65" t="n">
        <f aca="false">AL66-AM66</f>
        <v>1198.32756266667</v>
      </c>
      <c r="AN69" s="65" t="n">
        <f aca="false">AM66-AN66</f>
        <v>0</v>
      </c>
      <c r="AO69" s="65" t="n">
        <f aca="false">AN66-AO66</f>
        <v>0</v>
      </c>
      <c r="AP69" s="65" t="n">
        <f aca="false">AO66-AP66</f>
        <v>0</v>
      </c>
      <c r="AQ69" s="65" t="n">
        <f aca="false">AP66-AQ66</f>
        <v>0</v>
      </c>
      <c r="AR69" s="65" t="n">
        <f aca="false">AQ66-AR66</f>
        <v>0</v>
      </c>
      <c r="AS69" s="65" t="n">
        <f aca="false">AR66-AS66</f>
        <v>0</v>
      </c>
      <c r="AT69" s="65" t="n">
        <f aca="false">AS66-AT66</f>
        <v>0</v>
      </c>
      <c r="AU69" s="65" t="n">
        <f aca="false">AT66-AU66</f>
        <v>0</v>
      </c>
      <c r="AV69" s="65" t="n">
        <f aca="false">AU66-AV66</f>
        <v>0</v>
      </c>
      <c r="AW69" s="65" t="n">
        <f aca="false">AV66-AW66</f>
        <v>-7285.498176</v>
      </c>
      <c r="AX69" s="65" t="n">
        <f aca="false">AW66-AX66</f>
        <v>0</v>
      </c>
      <c r="AY69" s="65" t="n">
        <f aca="false">AX66-AY66</f>
        <v>1786.61365226666</v>
      </c>
      <c r="AZ69" s="65" t="n">
        <f aca="false">AY66-AZ66</f>
        <v>0</v>
      </c>
      <c r="BA69" s="65" t="n">
        <f aca="false">AZ66-BA66</f>
        <v>0</v>
      </c>
      <c r="BB69" s="65" t="n">
        <f aca="false">BA66-BB66</f>
        <v>0</v>
      </c>
      <c r="BC69" s="65" t="n">
        <f aca="false">BB66-BC66</f>
        <v>0</v>
      </c>
      <c r="BD69" s="65" t="n">
        <f aca="false">BC66-BD66</f>
        <v>0</v>
      </c>
      <c r="BE69" s="65" t="n">
        <f aca="false">BD66-BE66</f>
        <v>0</v>
      </c>
      <c r="BF69" s="65" t="n">
        <f aca="false">BE66-BF66</f>
        <v>0</v>
      </c>
      <c r="BG69" s="65" t="n">
        <f aca="false">BF66-BG66</f>
        <v>0</v>
      </c>
      <c r="BH69" s="65" t="n">
        <f aca="false">BG66-BH66</f>
        <v>0</v>
      </c>
      <c r="BI69" s="65" t="n">
        <f aca="false">BH66-BI66</f>
        <v>-8410.04799360001</v>
      </c>
      <c r="BJ69" s="65" t="n">
        <f aca="false">BI66-BJ66</f>
        <v>0</v>
      </c>
    </row>
    <row r="70" customFormat="false" ht="15" hidden="false" customHeight="false" outlineLevel="0" collapsed="false">
      <c r="A70" s="6" t="s">
        <v>339</v>
      </c>
      <c r="C70" s="65" t="n">
        <f aca="false">-C67</f>
        <v>-305009.98</v>
      </c>
      <c r="D70" s="65" t="n">
        <f aca="false">C67-D67</f>
        <v>0</v>
      </c>
      <c r="E70" s="65" t="n">
        <f aca="false">D67-E67</f>
        <v>0</v>
      </c>
      <c r="F70" s="65" t="n">
        <f aca="false">E67-F67</f>
        <v>0</v>
      </c>
      <c r="G70" s="65" t="n">
        <f aca="false">F67-G67</f>
        <v>0</v>
      </c>
      <c r="H70" s="65" t="n">
        <f aca="false">G67-H67</f>
        <v>0</v>
      </c>
      <c r="I70" s="65" t="n">
        <f aca="false">H67-I67</f>
        <v>0</v>
      </c>
      <c r="J70" s="65" t="n">
        <f aca="false">I67-J67</f>
        <v>0</v>
      </c>
      <c r="K70" s="65" t="n">
        <f aca="false">J67-K67</f>
        <v>0</v>
      </c>
      <c r="L70" s="65" t="n">
        <f aca="false">K67-L67</f>
        <v>0</v>
      </c>
      <c r="M70" s="65" t="n">
        <f aca="false">L67-M67</f>
        <v>-68892.1199999999</v>
      </c>
      <c r="N70" s="65" t="n">
        <f aca="false">M67-N67</f>
        <v>0</v>
      </c>
      <c r="O70" s="65" t="n">
        <f aca="false">N67-O67</f>
        <v>-2039.37800000003</v>
      </c>
      <c r="P70" s="65" t="n">
        <f aca="false">O67-P67</f>
        <v>0</v>
      </c>
      <c r="Q70" s="65" t="n">
        <f aca="false">P67-Q67</f>
        <v>0</v>
      </c>
      <c r="R70" s="65" t="n">
        <f aca="false">Q67-R67</f>
        <v>0</v>
      </c>
      <c r="S70" s="65" t="n">
        <f aca="false">R67-S67</f>
        <v>0</v>
      </c>
      <c r="T70" s="65" t="n">
        <f aca="false">S67-T67</f>
        <v>0</v>
      </c>
      <c r="U70" s="65" t="n">
        <f aca="false">T67-U67</f>
        <v>0</v>
      </c>
      <c r="V70" s="65" t="n">
        <f aca="false">U67-V67</f>
        <v>0</v>
      </c>
      <c r="W70" s="65" t="n">
        <f aca="false">V67-W67</f>
        <v>0</v>
      </c>
      <c r="X70" s="65" t="n">
        <f aca="false">W67-X67</f>
        <v>0</v>
      </c>
      <c r="Y70" s="65" t="n">
        <f aca="false">X67-Y67</f>
        <v>-86473.3320000001</v>
      </c>
      <c r="Z70" s="65" t="n">
        <f aca="false">Y67-Z67</f>
        <v>0</v>
      </c>
      <c r="AA70" s="65" t="n">
        <f aca="false">Z67-AA67</f>
        <v>9435.9341999999</v>
      </c>
      <c r="AB70" s="65" t="n">
        <f aca="false">AA67-AB67</f>
        <v>0</v>
      </c>
      <c r="AC70" s="65" t="n">
        <f aca="false">AB67-AC67</f>
        <v>0</v>
      </c>
      <c r="AD70" s="65" t="n">
        <f aca="false">AC67-AD67</f>
        <v>0</v>
      </c>
      <c r="AE70" s="65" t="n">
        <f aca="false">AD67-AE67</f>
        <v>0</v>
      </c>
      <c r="AF70" s="65" t="n">
        <f aca="false">AE67-AF67</f>
        <v>0</v>
      </c>
      <c r="AG70" s="65" t="n">
        <f aca="false">AF67-AG67</f>
        <v>0</v>
      </c>
      <c r="AH70" s="65" t="n">
        <f aca="false">AG67-AH67</f>
        <v>0</v>
      </c>
      <c r="AI70" s="65" t="n">
        <f aca="false">AH67-AI67</f>
        <v>0</v>
      </c>
      <c r="AJ70" s="65" t="n">
        <f aca="false">AI67-AJ67</f>
        <v>0</v>
      </c>
      <c r="AK70" s="65" t="n">
        <f aca="false">AJ67-AK67</f>
        <v>-104476.1652</v>
      </c>
      <c r="AL70" s="65" t="n">
        <f aca="false">AK67-AL67</f>
        <v>0</v>
      </c>
      <c r="AM70" s="65" t="n">
        <f aca="false">AL67-AM67</f>
        <v>20221.77762</v>
      </c>
      <c r="AN70" s="65" t="n">
        <f aca="false">AM67-AN67</f>
        <v>0</v>
      </c>
      <c r="AO70" s="65" t="n">
        <f aca="false">AN67-AO67</f>
        <v>0</v>
      </c>
      <c r="AP70" s="65" t="n">
        <f aca="false">AO67-AP67</f>
        <v>0</v>
      </c>
      <c r="AQ70" s="65" t="n">
        <f aca="false">AP67-AQ67</f>
        <v>0</v>
      </c>
      <c r="AR70" s="65" t="n">
        <f aca="false">AQ67-AR67</f>
        <v>0</v>
      </c>
      <c r="AS70" s="65" t="n">
        <f aca="false">AR67-AS67</f>
        <v>0</v>
      </c>
      <c r="AT70" s="65" t="n">
        <f aca="false">AS67-AT67</f>
        <v>0</v>
      </c>
      <c r="AU70" s="65" t="n">
        <f aca="false">AT67-AU67</f>
        <v>0</v>
      </c>
      <c r="AV70" s="65" t="n">
        <f aca="false">AU67-AV67</f>
        <v>0</v>
      </c>
      <c r="AW70" s="65" t="n">
        <f aca="false">AV67-AW67</f>
        <v>-122942.78172</v>
      </c>
      <c r="AX70" s="65" t="n">
        <f aca="false">AW67-AX67</f>
        <v>0</v>
      </c>
      <c r="AY70" s="65" t="n">
        <f aca="false">AX67-AY67</f>
        <v>30149.1053819999</v>
      </c>
      <c r="AZ70" s="65" t="n">
        <f aca="false">AY67-AZ67</f>
        <v>0</v>
      </c>
      <c r="BA70" s="65" t="n">
        <f aca="false">AZ67-BA67</f>
        <v>0</v>
      </c>
      <c r="BB70" s="65" t="n">
        <f aca="false">BA67-BB67</f>
        <v>0</v>
      </c>
      <c r="BC70" s="65" t="n">
        <f aca="false">BB67-BC67</f>
        <v>0</v>
      </c>
      <c r="BD70" s="65" t="n">
        <f aca="false">BC67-BD67</f>
        <v>0</v>
      </c>
      <c r="BE70" s="65" t="n">
        <f aca="false">BD67-BE67</f>
        <v>0</v>
      </c>
      <c r="BF70" s="65" t="n">
        <f aca="false">BE67-BF67</f>
        <v>0</v>
      </c>
      <c r="BG70" s="65" t="n">
        <f aca="false">BF67-BG67</f>
        <v>0</v>
      </c>
      <c r="BH70" s="65" t="n">
        <f aca="false">BG67-BH67</f>
        <v>0</v>
      </c>
      <c r="BI70" s="65" t="n">
        <f aca="false">BH67-BI67</f>
        <v>-141919.559892</v>
      </c>
      <c r="BJ70" s="65" t="n">
        <f aca="false">BI67-BJ67</f>
        <v>0</v>
      </c>
    </row>
    <row r="71" customFormat="false" ht="15" hidden="false" customHeight="false" outlineLevel="0" collapsed="false">
      <c r="A71" s="6" t="s">
        <v>340</v>
      </c>
      <c r="C71" s="65" t="n">
        <f aca="false">C68</f>
        <v>122003.992</v>
      </c>
      <c r="D71" s="65" t="n">
        <f aca="false">D68-C68</f>
        <v>0</v>
      </c>
      <c r="E71" s="65" t="n">
        <f aca="false">E68-D68</f>
        <v>0</v>
      </c>
      <c r="F71" s="65" t="n">
        <f aca="false">F68-E68</f>
        <v>0</v>
      </c>
      <c r="G71" s="65" t="n">
        <f aca="false">G68-F68</f>
        <v>0</v>
      </c>
      <c r="H71" s="65" t="n">
        <f aca="false">H68-G68</f>
        <v>0</v>
      </c>
      <c r="I71" s="65" t="n">
        <f aca="false">I68-H68</f>
        <v>0</v>
      </c>
      <c r="J71" s="65" t="n">
        <f aca="false">J68-I68</f>
        <v>0</v>
      </c>
      <c r="K71" s="65" t="n">
        <f aca="false">K68-J68</f>
        <v>0</v>
      </c>
      <c r="L71" s="65" t="n">
        <f aca="false">L68-K68</f>
        <v>0</v>
      </c>
      <c r="M71" s="65" t="n">
        <f aca="false">M68-L68</f>
        <v>27556.848</v>
      </c>
      <c r="N71" s="65" t="n">
        <f aca="false">N68-M68</f>
        <v>0</v>
      </c>
      <c r="O71" s="65" t="n">
        <f aca="false">O68-N68</f>
        <v>815.751199999999</v>
      </c>
      <c r="P71" s="65" t="n">
        <f aca="false">P68-O68</f>
        <v>0</v>
      </c>
      <c r="Q71" s="65" t="n">
        <f aca="false">Q68-P68</f>
        <v>0</v>
      </c>
      <c r="R71" s="65" t="n">
        <f aca="false">R68-Q68</f>
        <v>0</v>
      </c>
      <c r="S71" s="65" t="n">
        <f aca="false">S68-R68</f>
        <v>0</v>
      </c>
      <c r="T71" s="65" t="n">
        <f aca="false">T68-S68</f>
        <v>0</v>
      </c>
      <c r="U71" s="65" t="n">
        <f aca="false">U68-T68</f>
        <v>0</v>
      </c>
      <c r="V71" s="65" t="n">
        <f aca="false">V68-U68</f>
        <v>0</v>
      </c>
      <c r="W71" s="65" t="n">
        <f aca="false">W68-V68</f>
        <v>0</v>
      </c>
      <c r="X71" s="65" t="n">
        <f aca="false">X68-W68</f>
        <v>0</v>
      </c>
      <c r="Y71" s="65" t="n">
        <f aca="false">Y68-X68</f>
        <v>34589.3328</v>
      </c>
      <c r="Z71" s="65" t="n">
        <f aca="false">Z68-Y68</f>
        <v>0</v>
      </c>
      <c r="AA71" s="65" t="n">
        <f aca="false">AA68-Z68</f>
        <v>-3774.37367999996</v>
      </c>
      <c r="AB71" s="65" t="n">
        <f aca="false">AB68-AA68</f>
        <v>0</v>
      </c>
      <c r="AC71" s="65" t="n">
        <f aca="false">AC68-AB68</f>
        <v>0</v>
      </c>
      <c r="AD71" s="65" t="n">
        <f aca="false">AD68-AC68</f>
        <v>0</v>
      </c>
      <c r="AE71" s="65" t="n">
        <f aca="false">AE68-AD68</f>
        <v>0</v>
      </c>
      <c r="AF71" s="65" t="n">
        <f aca="false">AF68-AE68</f>
        <v>0</v>
      </c>
      <c r="AG71" s="65" t="n">
        <f aca="false">AG68-AF68</f>
        <v>0</v>
      </c>
      <c r="AH71" s="65" t="n">
        <f aca="false">AH68-AG68</f>
        <v>0</v>
      </c>
      <c r="AI71" s="65" t="n">
        <f aca="false">AI68-AH68</f>
        <v>0</v>
      </c>
      <c r="AJ71" s="65" t="n">
        <f aca="false">AJ68-AI68</f>
        <v>0</v>
      </c>
      <c r="AK71" s="65" t="n">
        <f aca="false">AK68-AJ68</f>
        <v>41790.4660799999</v>
      </c>
      <c r="AL71" s="65" t="n">
        <f aca="false">AL68-AK68</f>
        <v>0</v>
      </c>
      <c r="AM71" s="65" t="n">
        <f aca="false">AM68-AL68</f>
        <v>-8088.711048</v>
      </c>
      <c r="AN71" s="65" t="n">
        <f aca="false">AN68-AM68</f>
        <v>0</v>
      </c>
      <c r="AO71" s="65" t="n">
        <f aca="false">AO68-AN68</f>
        <v>0</v>
      </c>
      <c r="AP71" s="65" t="n">
        <f aca="false">AP68-AO68</f>
        <v>0</v>
      </c>
      <c r="AQ71" s="65" t="n">
        <f aca="false">AQ68-AP68</f>
        <v>0</v>
      </c>
      <c r="AR71" s="65" t="n">
        <f aca="false">AR68-AQ68</f>
        <v>0</v>
      </c>
      <c r="AS71" s="65" t="n">
        <f aca="false">AS68-AR68</f>
        <v>0</v>
      </c>
      <c r="AT71" s="65" t="n">
        <f aca="false">AT68-AS68</f>
        <v>0</v>
      </c>
      <c r="AU71" s="65" t="n">
        <f aca="false">AU68-AT68</f>
        <v>0</v>
      </c>
      <c r="AV71" s="65" t="n">
        <f aca="false">AV68-AU68</f>
        <v>0</v>
      </c>
      <c r="AW71" s="65" t="n">
        <f aca="false">AW68-AV68</f>
        <v>49177.112688</v>
      </c>
      <c r="AX71" s="65" t="n">
        <f aca="false">AX68-AW68</f>
        <v>0</v>
      </c>
      <c r="AY71" s="65" t="n">
        <f aca="false">AY68-AX68</f>
        <v>-12059.6421528</v>
      </c>
      <c r="AZ71" s="65" t="n">
        <f aca="false">AZ68-AY68</f>
        <v>0</v>
      </c>
      <c r="BA71" s="65" t="n">
        <f aca="false">BA68-AZ68</f>
        <v>0</v>
      </c>
      <c r="BB71" s="65" t="n">
        <f aca="false">BB68-BA68</f>
        <v>0</v>
      </c>
      <c r="BC71" s="65" t="n">
        <f aca="false">BC68-BB68</f>
        <v>0</v>
      </c>
      <c r="BD71" s="65" t="n">
        <f aca="false">BD68-BC68</f>
        <v>0</v>
      </c>
      <c r="BE71" s="65" t="n">
        <f aca="false">BE68-BD68</f>
        <v>0</v>
      </c>
      <c r="BF71" s="65" t="n">
        <f aca="false">BF68-BE68</f>
        <v>0</v>
      </c>
      <c r="BG71" s="65" t="n">
        <f aca="false">BG68-BF68</f>
        <v>0</v>
      </c>
      <c r="BH71" s="65" t="n">
        <f aca="false">BH68-BG68</f>
        <v>0</v>
      </c>
      <c r="BI71" s="65" t="n">
        <f aca="false">BI68-BH68</f>
        <v>56767.8239568</v>
      </c>
      <c r="BJ71" s="65" t="n">
        <f aca="false">BJ68-BI68</f>
        <v>0</v>
      </c>
    </row>
    <row r="73" customFormat="false" ht="15.75" hidden="false" customHeight="true" outlineLevel="0" collapsed="false">
      <c r="A73" s="7" t="s">
        <v>429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customFormat="false" ht="15" hidden="false" customHeight="false" outlineLevel="0" collapsed="false">
      <c r="A74" s="4" t="s">
        <v>52</v>
      </c>
      <c r="C74" s="71" t="n">
        <f aca="false">C50-C55+C69+C70+C71</f>
        <v>-278170.462725926</v>
      </c>
      <c r="D74" s="71" t="n">
        <f aca="false">D50-D55+D69+D70+D71</f>
        <v>-77062.0314666667</v>
      </c>
      <c r="E74" s="71" t="n">
        <f aca="false">E50-E55+E69+E70+E71</f>
        <v>-77006.4759111111</v>
      </c>
      <c r="F74" s="71" t="n">
        <f aca="false">F50-F55+F69+F70+F71</f>
        <v>-76950.9203555556</v>
      </c>
      <c r="G74" s="71" t="n">
        <f aca="false">G50-G55+G69+G70+G71</f>
        <v>-76895.3648</v>
      </c>
      <c r="H74" s="71" t="n">
        <f aca="false">H50-H55+H69+H70+H71</f>
        <v>-76839.8092444445</v>
      </c>
      <c r="I74" s="71" t="n">
        <f aca="false">I50-I55+I69+I70+I71</f>
        <v>-76784.2536888889</v>
      </c>
      <c r="J74" s="71" t="n">
        <f aca="false">J50-J55+J69+J70+J71</f>
        <v>-76728.6981333334</v>
      </c>
      <c r="K74" s="71" t="n">
        <f aca="false">K50-K55+K69+K70+K71</f>
        <v>-76673.1425777778</v>
      </c>
      <c r="L74" s="71" t="n">
        <f aca="false">L50-L55+L69+L70+L71</f>
        <v>-76617.5870222222</v>
      </c>
      <c r="M74" s="71" t="n">
        <f aca="false">M50-M55+M69+M70+M71</f>
        <v>-96033.1306666666</v>
      </c>
      <c r="N74" s="71" t="n">
        <f aca="false">N50-N55+N69+N70+N71</f>
        <v>-50559.8071111111</v>
      </c>
      <c r="O74" s="71" t="n">
        <f aca="false">O50-O55+O69+O70+O71</f>
        <v>-94255.9337207408</v>
      </c>
      <c r="P74" s="71" t="n">
        <f aca="false">P50-P55+P69+P70+P71</f>
        <v>-92855.8993355555</v>
      </c>
      <c r="Q74" s="71" t="n">
        <f aca="false">Q50-Q55+Q69+Q70+Q71</f>
        <v>-92800.34378</v>
      </c>
      <c r="R74" s="71" t="n">
        <f aca="false">R50-R55+R69+R70+R71</f>
        <v>-92744.7882244444</v>
      </c>
      <c r="S74" s="71" t="n">
        <f aca="false">S50-S55+S69+S70+S71</f>
        <v>-92689.2326688889</v>
      </c>
      <c r="T74" s="71" t="n">
        <f aca="false">T50-T55+T69+T70+T71</f>
        <v>-92633.6771133333</v>
      </c>
      <c r="U74" s="71" t="n">
        <f aca="false">U50-U55+U69+U70+U71</f>
        <v>-92578.1215577778</v>
      </c>
      <c r="V74" s="71" t="n">
        <f aca="false">V50-V55+V69+V70+V71</f>
        <v>-92522.5660022222</v>
      </c>
      <c r="W74" s="71" t="n">
        <f aca="false">W50-W55+W69+W70+W71</f>
        <v>-92467.0104466667</v>
      </c>
      <c r="X74" s="71" t="n">
        <f aca="false">X50-X55+X69+X70+X71</f>
        <v>-92411.4548911111</v>
      </c>
      <c r="Y74" s="71" t="n">
        <f aca="false">Y50-Y55+Y69+Y70+Y71</f>
        <v>-115880.828455556</v>
      </c>
      <c r="Z74" s="71" t="n">
        <f aca="false">Z50-Z55+Z69+Z70+Z71</f>
        <v>-58816.9281</v>
      </c>
      <c r="AA74" s="71" t="n">
        <f aca="false">AA50-AA55+AA69+AA70+AA71</f>
        <v>-109645.14635925</v>
      </c>
      <c r="AB74" s="71" t="n">
        <f aca="false">AB50-AB55+AB69+AB70+AB71</f>
        <v>-115810.317794806</v>
      </c>
      <c r="AC74" s="71" t="n">
        <f aca="false">AC50-AC55+AC69+AC70+AC71</f>
        <v>-115754.76223925</v>
      </c>
      <c r="AD74" s="71" t="n">
        <f aca="false">AD50-AD55+AD69+AD70+AD71</f>
        <v>-115699.206683694</v>
      </c>
      <c r="AE74" s="71" t="n">
        <f aca="false">AE50-AE55+AE69+AE70+AE71</f>
        <v>-115643.651128139</v>
      </c>
      <c r="AF74" s="71" t="n">
        <f aca="false">AF50-AF55+AF69+AF70+AF71</f>
        <v>-115588.095572583</v>
      </c>
      <c r="AG74" s="71" t="n">
        <f aca="false">AG50-AG55+AG69+AG70+AG71</f>
        <v>-115532.540017028</v>
      </c>
      <c r="AH74" s="71" t="n">
        <f aca="false">AH50-AH55+AH69+AH70+AH71</f>
        <v>-115476.984461472</v>
      </c>
      <c r="AI74" s="71" t="n">
        <f aca="false">AI50-AI55+AI69+AI70+AI71</f>
        <v>-115421.428905917</v>
      </c>
      <c r="AJ74" s="71" t="n">
        <f aca="false">AJ50-AJ55+AJ69+AJ70+AJ71</f>
        <v>-115365.873350361</v>
      </c>
      <c r="AK74" s="71" t="n">
        <f aca="false">AK50-AK55+AK69+AK70+AK71</f>
        <v>-143031.119826805</v>
      </c>
      <c r="AL74" s="71" t="n">
        <f aca="false">AL50-AL55+AL69+AL70+AL71</f>
        <v>-74098.68499125</v>
      </c>
      <c r="AM74" s="71" t="n">
        <f aca="false">AM50-AM55+AM69+AM70+AM71</f>
        <v>-134683.252904293</v>
      </c>
      <c r="AN74" s="71" t="n">
        <f aca="false">AN50-AN55+AN69+AN70+AN71</f>
        <v>-147959.091483404</v>
      </c>
      <c r="AO74" s="71" t="n">
        <f aca="false">AO50-AO55+AO69+AO70+AO71</f>
        <v>-147903.535927849</v>
      </c>
      <c r="AP74" s="71" t="n">
        <f aca="false">AP50-AP55+AP69+AP70+AP71</f>
        <v>-147847.980372293</v>
      </c>
      <c r="AQ74" s="71" t="n">
        <f aca="false">AQ50-AQ55+AQ69+AQ70+AQ71</f>
        <v>-147792.424816738</v>
      </c>
      <c r="AR74" s="71" t="n">
        <f aca="false">AR50-AR55+AR69+AR70+AR71</f>
        <v>-147736.869261182</v>
      </c>
      <c r="AS74" s="71" t="n">
        <f aca="false">AS50-AS55+AS69+AS70+AS71</f>
        <v>-147681.313705627</v>
      </c>
      <c r="AT74" s="71" t="n">
        <f aca="false">AT50-AT55+AT69+AT70+AT71</f>
        <v>-147625.758150071</v>
      </c>
      <c r="AU74" s="71" t="n">
        <f aca="false">AU50-AU55+AU69+AU70+AU71</f>
        <v>-147570.202594516</v>
      </c>
      <c r="AV74" s="71" t="n">
        <f aca="false">AV50-AV55+AV69+AV70+AV71</f>
        <v>-147514.64703896</v>
      </c>
      <c r="AW74" s="71" t="n">
        <f aca="false">AW50-AW55+AW69+AW70+AW71</f>
        <v>-179532.013718605</v>
      </c>
      <c r="AX74" s="71" t="n">
        <f aca="false">AX50-AX55+AX69+AX70+AX71</f>
        <v>-98425.290955049</v>
      </c>
      <c r="AY74" s="71" t="n">
        <f aca="false">AY50-AY55+AY69+AY70+AY71</f>
        <v>-172107.918688026</v>
      </c>
      <c r="AZ74" s="71" t="n">
        <f aca="false">AZ50-AZ55+AZ69+AZ70+AZ71</f>
        <v>-191928.440013937</v>
      </c>
      <c r="BA74" s="71" t="n">
        <f aca="false">BA50-BA55+BA69+BA70+BA71</f>
        <v>-191872.884458382</v>
      </c>
      <c r="BB74" s="71" t="n">
        <f aca="false">BB50-BB55+BB69+BB70+BB71</f>
        <v>-191817.328902826</v>
      </c>
      <c r="BC74" s="71" t="n">
        <f aca="false">BC50-BC55+BC69+BC70+BC71</f>
        <v>-191761.773347271</v>
      </c>
      <c r="BD74" s="71" t="n">
        <f aca="false">BD50-BD55+BD69+BD70+BD71</f>
        <v>-191706.217791715</v>
      </c>
      <c r="BE74" s="71" t="n">
        <f aca="false">BE50-BE55+BE69+BE70+BE71</f>
        <v>-191650.662236159</v>
      </c>
      <c r="BF74" s="71" t="n">
        <f aca="false">BF50-BF55+BF69+BF70+BF71</f>
        <v>-191595.106680604</v>
      </c>
      <c r="BG74" s="71" t="n">
        <f aca="false">BG50-BG55+BG69+BG70+BG71</f>
        <v>-191539.551125048</v>
      </c>
      <c r="BH74" s="71" t="n">
        <f aca="false">BH50-BH55+BH69+BH70+BH71</f>
        <v>-191483.995569493</v>
      </c>
      <c r="BI74" s="71" t="n">
        <f aca="false">BI50-BI55+BI69+BI70+BI71</f>
        <v>-228025.354472657</v>
      </c>
      <c r="BJ74" s="71" t="n">
        <f aca="false">BJ50-BJ55+BJ69+BJ70+BJ71</f>
        <v>-134408.014988302</v>
      </c>
    </row>
    <row r="75" customFormat="false" ht="15" hidden="false" customHeight="false" outlineLevel="0" collapsed="false">
      <c r="A75" s="6" t="s">
        <v>430</v>
      </c>
      <c r="C75" s="65" t="n">
        <f aca="false">-C53</f>
        <v>-350000</v>
      </c>
      <c r="D75" s="65" t="n">
        <f aca="false">-D53</f>
        <v>-0</v>
      </c>
      <c r="E75" s="65" t="n">
        <f aca="false">-E53</f>
        <v>-0</v>
      </c>
      <c r="F75" s="65" t="n">
        <f aca="false">-F53</f>
        <v>-0</v>
      </c>
      <c r="G75" s="65" t="n">
        <f aca="false">-G53</f>
        <v>-0</v>
      </c>
      <c r="H75" s="65" t="n">
        <f aca="false">-H53</f>
        <v>-0</v>
      </c>
      <c r="I75" s="65" t="n">
        <f aca="false">-I53</f>
        <v>-0</v>
      </c>
      <c r="J75" s="65" t="n">
        <f aca="false">-J53</f>
        <v>-0</v>
      </c>
      <c r="K75" s="65" t="n">
        <f aca="false">-K53</f>
        <v>-0</v>
      </c>
      <c r="L75" s="65" t="n">
        <f aca="false">-L53</f>
        <v>-0</v>
      </c>
      <c r="M75" s="65" t="n">
        <f aca="false">-M53</f>
        <v>-0</v>
      </c>
      <c r="N75" s="65" t="n">
        <f aca="false">-N53</f>
        <v>-0</v>
      </c>
      <c r="O75" s="65" t="n">
        <f aca="false">-O53</f>
        <v>-150000</v>
      </c>
      <c r="P75" s="65" t="n">
        <f aca="false">-P53</f>
        <v>-0</v>
      </c>
      <c r="Q75" s="65" t="n">
        <f aca="false">-Q53</f>
        <v>-0</v>
      </c>
      <c r="R75" s="65" t="n">
        <f aca="false">-R53</f>
        <v>-0</v>
      </c>
      <c r="S75" s="65" t="n">
        <f aca="false">-S53</f>
        <v>-0</v>
      </c>
      <c r="T75" s="65" t="n">
        <f aca="false">-T53</f>
        <v>-0</v>
      </c>
      <c r="U75" s="65" t="n">
        <f aca="false">-U53</f>
        <v>-0</v>
      </c>
      <c r="V75" s="65" t="n">
        <f aca="false">-V53</f>
        <v>-0</v>
      </c>
      <c r="W75" s="65" t="n">
        <f aca="false">-W53</f>
        <v>-0</v>
      </c>
      <c r="X75" s="65" t="n">
        <f aca="false">-X53</f>
        <v>-0</v>
      </c>
      <c r="Y75" s="65" t="n">
        <f aca="false">-Y53</f>
        <v>-0</v>
      </c>
      <c r="Z75" s="65" t="n">
        <f aca="false">-Z53</f>
        <v>-0</v>
      </c>
      <c r="AA75" s="65" t="n">
        <f aca="false">-AA53</f>
        <v>-150000</v>
      </c>
      <c r="AB75" s="65" t="n">
        <f aca="false">-AB53</f>
        <v>-0</v>
      </c>
      <c r="AC75" s="65" t="n">
        <f aca="false">-AC53</f>
        <v>-0</v>
      </c>
      <c r="AD75" s="65" t="n">
        <f aca="false">-AD53</f>
        <v>-0</v>
      </c>
      <c r="AE75" s="65" t="n">
        <f aca="false">-AE53</f>
        <v>-0</v>
      </c>
      <c r="AF75" s="65" t="n">
        <f aca="false">-AF53</f>
        <v>-0</v>
      </c>
      <c r="AG75" s="65" t="n">
        <f aca="false">-AG53</f>
        <v>-0</v>
      </c>
      <c r="AH75" s="65" t="n">
        <f aca="false">-AH53</f>
        <v>-0</v>
      </c>
      <c r="AI75" s="65" t="n">
        <f aca="false">-AI53</f>
        <v>-0</v>
      </c>
      <c r="AJ75" s="65" t="n">
        <f aca="false">-AJ53</f>
        <v>-0</v>
      </c>
      <c r="AK75" s="65" t="n">
        <f aca="false">-AK53</f>
        <v>-0</v>
      </c>
      <c r="AL75" s="65" t="n">
        <f aca="false">-AL53</f>
        <v>-0</v>
      </c>
      <c r="AM75" s="65" t="n">
        <f aca="false">-AM53</f>
        <v>-150000</v>
      </c>
      <c r="AN75" s="65" t="n">
        <f aca="false">-AN53</f>
        <v>-0</v>
      </c>
      <c r="AO75" s="65" t="n">
        <f aca="false">-AO53</f>
        <v>-0</v>
      </c>
      <c r="AP75" s="65" t="n">
        <f aca="false">-AP53</f>
        <v>-0</v>
      </c>
      <c r="AQ75" s="65" t="n">
        <f aca="false">-AQ53</f>
        <v>-0</v>
      </c>
      <c r="AR75" s="65" t="n">
        <f aca="false">-AR53</f>
        <v>-0</v>
      </c>
      <c r="AS75" s="65" t="n">
        <f aca="false">-AS53</f>
        <v>-0</v>
      </c>
      <c r="AT75" s="65" t="n">
        <f aca="false">-AT53</f>
        <v>-0</v>
      </c>
      <c r="AU75" s="65" t="n">
        <f aca="false">-AU53</f>
        <v>-0</v>
      </c>
      <c r="AV75" s="65" t="n">
        <f aca="false">-AV53</f>
        <v>-0</v>
      </c>
      <c r="AW75" s="65" t="n">
        <f aca="false">-AW53</f>
        <v>-0</v>
      </c>
      <c r="AX75" s="65" t="n">
        <f aca="false">-AX53</f>
        <v>-0</v>
      </c>
      <c r="AY75" s="65" t="n">
        <f aca="false">-AY53</f>
        <v>-150000</v>
      </c>
      <c r="AZ75" s="65" t="n">
        <f aca="false">-AZ53</f>
        <v>-0</v>
      </c>
      <c r="BA75" s="65" t="n">
        <f aca="false">-BA53</f>
        <v>-0</v>
      </c>
      <c r="BB75" s="65" t="n">
        <f aca="false">-BB53</f>
        <v>-0</v>
      </c>
      <c r="BC75" s="65" t="n">
        <f aca="false">-BC53</f>
        <v>-0</v>
      </c>
      <c r="BD75" s="65" t="n">
        <f aca="false">-BD53</f>
        <v>-0</v>
      </c>
      <c r="BE75" s="65" t="n">
        <f aca="false">-BE53</f>
        <v>-0</v>
      </c>
      <c r="BF75" s="65" t="n">
        <f aca="false">-BF53</f>
        <v>-0</v>
      </c>
      <c r="BG75" s="65" t="n">
        <f aca="false">-BG53</f>
        <v>-0</v>
      </c>
      <c r="BH75" s="65" t="n">
        <f aca="false">-BH53</f>
        <v>-0</v>
      </c>
      <c r="BI75" s="65" t="n">
        <f aca="false">-BI53</f>
        <v>-0</v>
      </c>
      <c r="BJ75" s="65" t="n">
        <f aca="false">-BJ53</f>
        <v>-0</v>
      </c>
    </row>
    <row r="76" customFormat="false" ht="15" hidden="false" customHeight="false" outlineLevel="0" collapsed="false">
      <c r="A76" s="6" t="s">
        <v>64</v>
      </c>
      <c r="C76" s="65" t="n">
        <f aca="false">IF(C$6=1,Inputs!$B$58,0)</f>
        <v>1500000</v>
      </c>
      <c r="D76" s="65" t="n">
        <f aca="false">IF(D$6=1,Inputs!$B$58,0)</f>
        <v>0</v>
      </c>
      <c r="E76" s="65" t="n">
        <f aca="false">IF(E$6=1,Inputs!$B$58,0)</f>
        <v>0</v>
      </c>
      <c r="F76" s="65" t="n">
        <f aca="false">IF(F$6=1,Inputs!$B$58,0)</f>
        <v>0</v>
      </c>
      <c r="G76" s="65" t="n">
        <f aca="false">IF(G$6=1,Inputs!$B$58,0)</f>
        <v>0</v>
      </c>
      <c r="H76" s="65" t="n">
        <f aca="false">IF(H$6=1,Inputs!$B$58,0)</f>
        <v>0</v>
      </c>
      <c r="I76" s="65" t="n">
        <f aca="false">IF(I$6=1,Inputs!$B$58,0)</f>
        <v>0</v>
      </c>
      <c r="J76" s="65" t="n">
        <f aca="false">IF(J$6=1,Inputs!$B$58,0)</f>
        <v>0</v>
      </c>
      <c r="K76" s="65" t="n">
        <f aca="false">IF(K$6=1,Inputs!$B$58,0)</f>
        <v>0</v>
      </c>
      <c r="L76" s="65" t="n">
        <f aca="false">IF(L$6=1,Inputs!$B$58,0)</f>
        <v>0</v>
      </c>
      <c r="M76" s="65" t="n">
        <f aca="false">IF(M$6=1,Inputs!$B$58,0)</f>
        <v>0</v>
      </c>
      <c r="N76" s="65" t="n">
        <f aca="false">IF(N$6=1,Inputs!$B$58,0)</f>
        <v>0</v>
      </c>
      <c r="O76" s="65" t="n">
        <f aca="false">IF(O$6=1,Inputs!$B$58,0)</f>
        <v>0</v>
      </c>
      <c r="P76" s="65" t="n">
        <f aca="false">IF(P$6=1,Inputs!$B$58,0)</f>
        <v>0</v>
      </c>
      <c r="Q76" s="65" t="n">
        <f aca="false">IF(Q$6=1,Inputs!$B$58,0)</f>
        <v>0</v>
      </c>
      <c r="R76" s="65" t="n">
        <f aca="false">IF(R$6=1,Inputs!$B$58,0)</f>
        <v>0</v>
      </c>
      <c r="S76" s="65" t="n">
        <f aca="false">IF(S$6=1,Inputs!$B$58,0)</f>
        <v>0</v>
      </c>
      <c r="T76" s="65" t="n">
        <f aca="false">IF(T$6=1,Inputs!$B$58,0)</f>
        <v>0</v>
      </c>
      <c r="U76" s="65" t="n">
        <f aca="false">IF(U$6=1,Inputs!$B$58,0)</f>
        <v>0</v>
      </c>
      <c r="V76" s="65" t="n">
        <f aca="false">IF(V$6=1,Inputs!$B$58,0)</f>
        <v>0</v>
      </c>
      <c r="W76" s="65" t="n">
        <f aca="false">IF(W$6=1,Inputs!$B$58,0)</f>
        <v>0</v>
      </c>
      <c r="X76" s="65" t="n">
        <f aca="false">IF(X$6=1,Inputs!$B$58,0)</f>
        <v>0</v>
      </c>
      <c r="Y76" s="65" t="n">
        <f aca="false">IF(Y$6=1,Inputs!$B$58,0)</f>
        <v>0</v>
      </c>
      <c r="Z76" s="65" t="n">
        <f aca="false">IF(Z$6=1,Inputs!$B$58,0)</f>
        <v>0</v>
      </c>
      <c r="AA76" s="65" t="n">
        <f aca="false">IF(AA$6=1,Inputs!$B$58,0)</f>
        <v>0</v>
      </c>
      <c r="AB76" s="65" t="n">
        <f aca="false">IF(AB$6=1,Inputs!$B$58,0)</f>
        <v>0</v>
      </c>
      <c r="AC76" s="65" t="n">
        <f aca="false">IF(AC$6=1,Inputs!$B$58,0)</f>
        <v>0</v>
      </c>
      <c r="AD76" s="65" t="n">
        <f aca="false">IF(AD$6=1,Inputs!$B$58,0)</f>
        <v>0</v>
      </c>
      <c r="AE76" s="65" t="n">
        <f aca="false">IF(AE$6=1,Inputs!$B$58,0)</f>
        <v>0</v>
      </c>
      <c r="AF76" s="65" t="n">
        <f aca="false">IF(AF$6=1,Inputs!$B$58,0)</f>
        <v>0</v>
      </c>
      <c r="AG76" s="65" t="n">
        <f aca="false">IF(AG$6=1,Inputs!$B$58,0)</f>
        <v>0</v>
      </c>
      <c r="AH76" s="65" t="n">
        <f aca="false">IF(AH$6=1,Inputs!$B$58,0)</f>
        <v>0</v>
      </c>
      <c r="AI76" s="65" t="n">
        <f aca="false">IF(AI$6=1,Inputs!$B$58,0)</f>
        <v>0</v>
      </c>
      <c r="AJ76" s="65" t="n">
        <f aca="false">IF(AJ$6=1,Inputs!$B$58,0)</f>
        <v>0</v>
      </c>
      <c r="AK76" s="65" t="n">
        <f aca="false">IF(AK$6=1,Inputs!$B$58,0)</f>
        <v>0</v>
      </c>
      <c r="AL76" s="65" t="n">
        <f aca="false">IF(AL$6=1,Inputs!$B$58,0)</f>
        <v>0</v>
      </c>
      <c r="AM76" s="65" t="n">
        <f aca="false">IF(AM$6=1,Inputs!$B$58,0)</f>
        <v>0</v>
      </c>
      <c r="AN76" s="65" t="n">
        <f aca="false">IF(AN$6=1,Inputs!$B$58,0)</f>
        <v>0</v>
      </c>
      <c r="AO76" s="65" t="n">
        <f aca="false">IF(AO$6=1,Inputs!$B$58,0)</f>
        <v>0</v>
      </c>
      <c r="AP76" s="65" t="n">
        <f aca="false">IF(AP$6=1,Inputs!$B$58,0)</f>
        <v>0</v>
      </c>
      <c r="AQ76" s="65" t="n">
        <f aca="false">IF(AQ$6=1,Inputs!$B$58,0)</f>
        <v>0</v>
      </c>
      <c r="AR76" s="65" t="n">
        <f aca="false">IF(AR$6=1,Inputs!$B$58,0)</f>
        <v>0</v>
      </c>
      <c r="AS76" s="65" t="n">
        <f aca="false">IF(AS$6=1,Inputs!$B$58,0)</f>
        <v>0</v>
      </c>
      <c r="AT76" s="65" t="n">
        <f aca="false">IF(AT$6=1,Inputs!$B$58,0)</f>
        <v>0</v>
      </c>
      <c r="AU76" s="65" t="n">
        <f aca="false">IF(AU$6=1,Inputs!$B$58,0)</f>
        <v>0</v>
      </c>
      <c r="AV76" s="65" t="n">
        <f aca="false">IF(AV$6=1,Inputs!$B$58,0)</f>
        <v>0</v>
      </c>
      <c r="AW76" s="65" t="n">
        <f aca="false">IF(AW$6=1,Inputs!$B$58,0)</f>
        <v>0</v>
      </c>
      <c r="AX76" s="65" t="n">
        <f aca="false">IF(AX$6=1,Inputs!$B$58,0)</f>
        <v>0</v>
      </c>
      <c r="AY76" s="65" t="n">
        <f aca="false">IF(AY$6=1,Inputs!$B$58,0)</f>
        <v>0</v>
      </c>
      <c r="AZ76" s="65" t="n">
        <f aca="false">IF(AZ$6=1,Inputs!$B$58,0)</f>
        <v>0</v>
      </c>
      <c r="BA76" s="65" t="n">
        <f aca="false">IF(BA$6=1,Inputs!$B$58,0)</f>
        <v>0</v>
      </c>
      <c r="BB76" s="65" t="n">
        <f aca="false">IF(BB$6=1,Inputs!$B$58,0)</f>
        <v>0</v>
      </c>
      <c r="BC76" s="65" t="n">
        <f aca="false">IF(BC$6=1,Inputs!$B$58,0)</f>
        <v>0</v>
      </c>
      <c r="BD76" s="65" t="n">
        <f aca="false">IF(BD$6=1,Inputs!$B$58,0)</f>
        <v>0</v>
      </c>
      <c r="BE76" s="65" t="n">
        <f aca="false">IF(BE$6=1,Inputs!$B$58,0)</f>
        <v>0</v>
      </c>
      <c r="BF76" s="65" t="n">
        <f aca="false">IF(BF$6=1,Inputs!$B$58,0)</f>
        <v>0</v>
      </c>
      <c r="BG76" s="65" t="n">
        <f aca="false">IF(BG$6=1,Inputs!$B$58,0)</f>
        <v>0</v>
      </c>
      <c r="BH76" s="65" t="n">
        <f aca="false">IF(BH$6=1,Inputs!$B$58,0)</f>
        <v>0</v>
      </c>
      <c r="BI76" s="65" t="n">
        <f aca="false">IF(BI$6=1,Inputs!$B$58,0)</f>
        <v>0</v>
      </c>
      <c r="BJ76" s="65" t="n">
        <f aca="false">IF(BJ$6=1,Inputs!$B$58,0)</f>
        <v>0</v>
      </c>
    </row>
    <row r="77" customFormat="false" ht="15" hidden="false" customHeight="false" outlineLevel="0" collapsed="false">
      <c r="A77" s="6" t="s">
        <v>54</v>
      </c>
      <c r="C77" s="65" t="n">
        <f aca="false">C76+C61+C62</f>
        <v>2000000</v>
      </c>
      <c r="D77" s="65" t="n">
        <f aca="false">D76+D61+D62</f>
        <v>-8333.33333333333</v>
      </c>
      <c r="E77" s="65" t="n">
        <f aca="false">E76+E61+E62</f>
        <v>-8333.33333333333</v>
      </c>
      <c r="F77" s="65" t="n">
        <f aca="false">F76+F61+F62</f>
        <v>-8333.33333333333</v>
      </c>
      <c r="G77" s="65" t="n">
        <f aca="false">G76+G61+G62</f>
        <v>-8333.33333333333</v>
      </c>
      <c r="H77" s="65" t="n">
        <f aca="false">H76+H61+H62</f>
        <v>-8333.33333333333</v>
      </c>
      <c r="I77" s="65" t="n">
        <f aca="false">I76+I61+I62</f>
        <v>-8333.33333333333</v>
      </c>
      <c r="J77" s="65" t="n">
        <f aca="false">J76+J61+J62</f>
        <v>-8333.33333333333</v>
      </c>
      <c r="K77" s="65" t="n">
        <f aca="false">K76+K61+K62</f>
        <v>-8333.33333333333</v>
      </c>
      <c r="L77" s="65" t="n">
        <f aca="false">L76+L61+L62</f>
        <v>-8333.33333333333</v>
      </c>
      <c r="M77" s="65" t="n">
        <f aca="false">M76+M61+M62</f>
        <v>-8333.33333333333</v>
      </c>
      <c r="N77" s="65" t="n">
        <f aca="false">N76+N61+N62</f>
        <v>-8333.33333333333</v>
      </c>
      <c r="O77" s="65" t="n">
        <f aca="false">O76+O61+O62</f>
        <v>-8333.33333333333</v>
      </c>
      <c r="P77" s="65" t="n">
        <f aca="false">P76+P61+P62</f>
        <v>-8333.33333333333</v>
      </c>
      <c r="Q77" s="65" t="n">
        <f aca="false">Q76+Q61+Q62</f>
        <v>-8333.33333333333</v>
      </c>
      <c r="R77" s="65" t="n">
        <f aca="false">R76+R61+R62</f>
        <v>-8333.33333333333</v>
      </c>
      <c r="S77" s="65" t="n">
        <f aca="false">S76+S61+S62</f>
        <v>-8333.33333333333</v>
      </c>
      <c r="T77" s="65" t="n">
        <f aca="false">T76+T61+T62</f>
        <v>-8333.33333333333</v>
      </c>
      <c r="U77" s="65" t="n">
        <f aca="false">U76+U61+U62</f>
        <v>-8333.33333333333</v>
      </c>
      <c r="V77" s="65" t="n">
        <f aca="false">V76+V61+V62</f>
        <v>-8333.33333333333</v>
      </c>
      <c r="W77" s="65" t="n">
        <f aca="false">W76+W61+W62</f>
        <v>-8333.33333333333</v>
      </c>
      <c r="X77" s="65" t="n">
        <f aca="false">X76+X61+X62</f>
        <v>-8333.33333333333</v>
      </c>
      <c r="Y77" s="65" t="n">
        <f aca="false">Y76+Y61+Y62</f>
        <v>-8333.33333333333</v>
      </c>
      <c r="Z77" s="65" t="n">
        <f aca="false">Z76+Z61+Z62</f>
        <v>-8333.33333333333</v>
      </c>
      <c r="AA77" s="65" t="n">
        <f aca="false">AA76+AA61+AA62</f>
        <v>-8333.33333333333</v>
      </c>
      <c r="AB77" s="65" t="n">
        <f aca="false">AB76+AB61+AB62</f>
        <v>-8333.33333333333</v>
      </c>
      <c r="AC77" s="65" t="n">
        <f aca="false">AC76+AC61+AC62</f>
        <v>-8333.33333333333</v>
      </c>
      <c r="AD77" s="65" t="n">
        <f aca="false">AD76+AD61+AD62</f>
        <v>-8333.33333333333</v>
      </c>
      <c r="AE77" s="65" t="n">
        <f aca="false">AE76+AE61+AE62</f>
        <v>-8333.33333333333</v>
      </c>
      <c r="AF77" s="65" t="n">
        <f aca="false">AF76+AF61+AF62</f>
        <v>-8333.33333333333</v>
      </c>
      <c r="AG77" s="65" t="n">
        <f aca="false">AG76+AG61+AG62</f>
        <v>-8333.33333333333</v>
      </c>
      <c r="AH77" s="65" t="n">
        <f aca="false">AH76+AH61+AH62</f>
        <v>-8333.33333333333</v>
      </c>
      <c r="AI77" s="65" t="n">
        <f aca="false">AI76+AI61+AI62</f>
        <v>-8333.33333333333</v>
      </c>
      <c r="AJ77" s="65" t="n">
        <f aca="false">AJ76+AJ61+AJ62</f>
        <v>-8333.33333333333</v>
      </c>
      <c r="AK77" s="65" t="n">
        <f aca="false">AK76+AK61+AK62</f>
        <v>-8333.33333333333</v>
      </c>
      <c r="AL77" s="65" t="n">
        <f aca="false">AL76+AL61+AL62</f>
        <v>-8333.33333333333</v>
      </c>
      <c r="AM77" s="65" t="n">
        <f aca="false">AM76+AM61+AM62</f>
        <v>-8333.33333333333</v>
      </c>
      <c r="AN77" s="65" t="n">
        <f aca="false">AN76+AN61+AN62</f>
        <v>-8333.33333333333</v>
      </c>
      <c r="AO77" s="65" t="n">
        <f aca="false">AO76+AO61+AO62</f>
        <v>-8333.33333333333</v>
      </c>
      <c r="AP77" s="65" t="n">
        <f aca="false">AP76+AP61+AP62</f>
        <v>-8333.33333333333</v>
      </c>
      <c r="AQ77" s="65" t="n">
        <f aca="false">AQ76+AQ61+AQ62</f>
        <v>-8333.33333333333</v>
      </c>
      <c r="AR77" s="65" t="n">
        <f aca="false">AR76+AR61+AR62</f>
        <v>-8333.33333333333</v>
      </c>
      <c r="AS77" s="65" t="n">
        <f aca="false">AS76+AS61+AS62</f>
        <v>-8333.33333333333</v>
      </c>
      <c r="AT77" s="65" t="n">
        <f aca="false">AT76+AT61+AT62</f>
        <v>-8333.33333333333</v>
      </c>
      <c r="AU77" s="65" t="n">
        <f aca="false">AU76+AU61+AU62</f>
        <v>-8333.33333333333</v>
      </c>
      <c r="AV77" s="65" t="n">
        <f aca="false">AV76+AV61+AV62</f>
        <v>-8333.33333333333</v>
      </c>
      <c r="AW77" s="65" t="n">
        <f aca="false">AW76+AW61+AW62</f>
        <v>-8333.33333333333</v>
      </c>
      <c r="AX77" s="65" t="n">
        <f aca="false">AX76+AX61+AX62</f>
        <v>-8333.33333333333</v>
      </c>
      <c r="AY77" s="65" t="n">
        <f aca="false">AY76+AY61+AY62</f>
        <v>-8333.33333333333</v>
      </c>
      <c r="AZ77" s="65" t="n">
        <f aca="false">AZ76+AZ61+AZ62</f>
        <v>-8333.33333333333</v>
      </c>
      <c r="BA77" s="65" t="n">
        <f aca="false">BA76+BA61+BA62</f>
        <v>-8333.33333333333</v>
      </c>
      <c r="BB77" s="65" t="n">
        <f aca="false">BB76+BB61+BB62</f>
        <v>-8333.33333333333</v>
      </c>
      <c r="BC77" s="65" t="n">
        <f aca="false">BC76+BC61+BC62</f>
        <v>-8333.33333333333</v>
      </c>
      <c r="BD77" s="65" t="n">
        <f aca="false">BD76+BD61+BD62</f>
        <v>-8333.33333333333</v>
      </c>
      <c r="BE77" s="65" t="n">
        <f aca="false">BE76+BE61+BE62</f>
        <v>-8333.33333333333</v>
      </c>
      <c r="BF77" s="65" t="n">
        <f aca="false">BF76+BF61+BF62</f>
        <v>-8333.33333333333</v>
      </c>
      <c r="BG77" s="65" t="n">
        <f aca="false">BG76+BG61+BG62</f>
        <v>-8333.33333333333</v>
      </c>
      <c r="BH77" s="65" t="n">
        <f aca="false">BH76+BH61+BH62</f>
        <v>-8333.33333333333</v>
      </c>
      <c r="BI77" s="65" t="n">
        <f aca="false">BI76+BI61+BI62</f>
        <v>-8333.33333333333</v>
      </c>
      <c r="BJ77" s="65" t="n">
        <f aca="false">BJ76+BJ61+BJ62</f>
        <v>-8333.33333333333</v>
      </c>
    </row>
    <row r="78" customFormat="false" ht="15" hidden="false" customHeight="false" outlineLevel="0" collapsed="false">
      <c r="A78" s="110" t="s">
        <v>431</v>
      </c>
      <c r="C78" s="66" t="n">
        <f aca="false">C74+C75+C77</f>
        <v>1371829.53727407</v>
      </c>
      <c r="D78" s="66" t="n">
        <f aca="false">D74+D75+D77</f>
        <v>-85395.3648</v>
      </c>
      <c r="E78" s="66" t="n">
        <f aca="false">E74+E75+E77</f>
        <v>-85339.8092444445</v>
      </c>
      <c r="F78" s="66" t="n">
        <f aca="false">F74+F75+F77</f>
        <v>-85284.2536888889</v>
      </c>
      <c r="G78" s="66" t="n">
        <f aca="false">G74+G75+G77</f>
        <v>-85228.6981333334</v>
      </c>
      <c r="H78" s="66" t="n">
        <f aca="false">H74+H75+H77</f>
        <v>-85173.1425777778</v>
      </c>
      <c r="I78" s="66" t="n">
        <f aca="false">I74+I75+I77</f>
        <v>-85117.5870222222</v>
      </c>
      <c r="J78" s="66" t="n">
        <f aca="false">J74+J75+J77</f>
        <v>-85062.0314666667</v>
      </c>
      <c r="K78" s="66" t="n">
        <f aca="false">K74+K75+K77</f>
        <v>-85006.4759111111</v>
      </c>
      <c r="L78" s="66" t="n">
        <f aca="false">L74+L75+L77</f>
        <v>-84950.9203555556</v>
      </c>
      <c r="M78" s="66" t="n">
        <f aca="false">M74+M75+M77</f>
        <v>-104366.464</v>
      </c>
      <c r="N78" s="66" t="n">
        <f aca="false">N74+N75+N77</f>
        <v>-58893.1404444445</v>
      </c>
      <c r="O78" s="66" t="n">
        <f aca="false">O74+O75+O77</f>
        <v>-252589.267054074</v>
      </c>
      <c r="P78" s="66" t="n">
        <f aca="false">P74+P75+P77</f>
        <v>-101189.232668889</v>
      </c>
      <c r="Q78" s="66" t="n">
        <f aca="false">Q74+Q75+Q77</f>
        <v>-101133.677113333</v>
      </c>
      <c r="R78" s="66" t="n">
        <f aca="false">R74+R75+R77</f>
        <v>-101078.121557778</v>
      </c>
      <c r="S78" s="66" t="n">
        <f aca="false">S74+S75+S77</f>
        <v>-101022.566002222</v>
      </c>
      <c r="T78" s="66" t="n">
        <f aca="false">T74+T75+T77</f>
        <v>-100967.010446667</v>
      </c>
      <c r="U78" s="66" t="n">
        <f aca="false">U74+U75+U77</f>
        <v>-100911.454891111</v>
      </c>
      <c r="V78" s="66" t="n">
        <f aca="false">V74+V75+V77</f>
        <v>-100855.899335556</v>
      </c>
      <c r="W78" s="66" t="n">
        <f aca="false">W74+W75+W77</f>
        <v>-100800.34378</v>
      </c>
      <c r="X78" s="66" t="n">
        <f aca="false">X74+X75+X77</f>
        <v>-100744.788224444</v>
      </c>
      <c r="Y78" s="66" t="n">
        <f aca="false">Y74+Y75+Y77</f>
        <v>-124214.161788889</v>
      </c>
      <c r="Z78" s="66" t="n">
        <f aca="false">Z74+Z75+Z77</f>
        <v>-67150.2614333334</v>
      </c>
      <c r="AA78" s="66" t="n">
        <f aca="false">AA74+AA75+AA77</f>
        <v>-267978.479692583</v>
      </c>
      <c r="AB78" s="66" t="n">
        <f aca="false">AB74+AB75+AB77</f>
        <v>-124143.651128139</v>
      </c>
      <c r="AC78" s="66" t="n">
        <f aca="false">AC74+AC75+AC77</f>
        <v>-124088.095572583</v>
      </c>
      <c r="AD78" s="66" t="n">
        <f aca="false">AD74+AD75+AD77</f>
        <v>-124032.540017028</v>
      </c>
      <c r="AE78" s="66" t="n">
        <f aca="false">AE74+AE75+AE77</f>
        <v>-123976.984461472</v>
      </c>
      <c r="AF78" s="66" t="n">
        <f aca="false">AF74+AF75+AF77</f>
        <v>-123921.428905917</v>
      </c>
      <c r="AG78" s="66" t="n">
        <f aca="false">AG74+AG75+AG77</f>
        <v>-123865.873350361</v>
      </c>
      <c r="AH78" s="66" t="n">
        <f aca="false">AH74+AH75+AH77</f>
        <v>-123810.317794806</v>
      </c>
      <c r="AI78" s="66" t="n">
        <f aca="false">AI74+AI75+AI77</f>
        <v>-123754.76223925</v>
      </c>
      <c r="AJ78" s="66" t="n">
        <f aca="false">AJ74+AJ75+AJ77</f>
        <v>-123699.206683694</v>
      </c>
      <c r="AK78" s="66" t="n">
        <f aca="false">AK74+AK75+AK77</f>
        <v>-151364.453160139</v>
      </c>
      <c r="AL78" s="66" t="n">
        <f aca="false">AL74+AL75+AL77</f>
        <v>-82432.0183245834</v>
      </c>
      <c r="AM78" s="66" t="n">
        <f aca="false">AM74+AM75+AM77</f>
        <v>-293016.586237627</v>
      </c>
      <c r="AN78" s="66" t="n">
        <f aca="false">AN74+AN75+AN77</f>
        <v>-156292.424816738</v>
      </c>
      <c r="AO78" s="66" t="n">
        <f aca="false">AO74+AO75+AO77</f>
        <v>-156236.869261182</v>
      </c>
      <c r="AP78" s="66" t="n">
        <f aca="false">AP74+AP75+AP77</f>
        <v>-156181.313705627</v>
      </c>
      <c r="AQ78" s="66" t="n">
        <f aca="false">AQ74+AQ75+AQ77</f>
        <v>-156125.758150071</v>
      </c>
      <c r="AR78" s="66" t="n">
        <f aca="false">AR74+AR75+AR77</f>
        <v>-156070.202594516</v>
      </c>
      <c r="AS78" s="66" t="n">
        <f aca="false">AS74+AS75+AS77</f>
        <v>-156014.64703896</v>
      </c>
      <c r="AT78" s="66" t="n">
        <f aca="false">AT74+AT75+AT77</f>
        <v>-155959.091483404</v>
      </c>
      <c r="AU78" s="66" t="n">
        <f aca="false">AU74+AU75+AU77</f>
        <v>-155903.535927849</v>
      </c>
      <c r="AV78" s="66" t="n">
        <f aca="false">AV74+AV75+AV77</f>
        <v>-155847.980372293</v>
      </c>
      <c r="AW78" s="66" t="n">
        <f aca="false">AW74+AW75+AW77</f>
        <v>-187865.347051938</v>
      </c>
      <c r="AX78" s="66" t="n">
        <f aca="false">AX74+AX75+AX77</f>
        <v>-106758.624288382</v>
      </c>
      <c r="AY78" s="66" t="n">
        <f aca="false">AY74+AY75+AY77</f>
        <v>-330441.25202136</v>
      </c>
      <c r="AZ78" s="66" t="n">
        <f aca="false">AZ74+AZ75+AZ77</f>
        <v>-200261.773347271</v>
      </c>
      <c r="BA78" s="66" t="n">
        <f aca="false">BA74+BA75+BA77</f>
        <v>-200206.217791715</v>
      </c>
      <c r="BB78" s="66" t="n">
        <f aca="false">BB74+BB75+BB77</f>
        <v>-200150.662236159</v>
      </c>
      <c r="BC78" s="66" t="n">
        <f aca="false">BC74+BC75+BC77</f>
        <v>-200095.106680604</v>
      </c>
      <c r="BD78" s="66" t="n">
        <f aca="false">BD74+BD75+BD77</f>
        <v>-200039.551125048</v>
      </c>
      <c r="BE78" s="66" t="n">
        <f aca="false">BE74+BE75+BE77</f>
        <v>-199983.995569493</v>
      </c>
      <c r="BF78" s="66" t="n">
        <f aca="false">BF74+BF75+BF77</f>
        <v>-199928.440013937</v>
      </c>
      <c r="BG78" s="66" t="n">
        <f aca="false">BG74+BG75+BG77</f>
        <v>-199872.884458382</v>
      </c>
      <c r="BH78" s="66" t="n">
        <f aca="false">BH74+BH75+BH77</f>
        <v>-199817.328902826</v>
      </c>
      <c r="BI78" s="66" t="n">
        <f aca="false">BI74+BI75+BI77</f>
        <v>-236358.687805991</v>
      </c>
      <c r="BJ78" s="66" t="n">
        <f aca="false">BJ74+BJ75+BJ77</f>
        <v>-142741.348321635</v>
      </c>
    </row>
    <row r="79" customFormat="false" ht="15" hidden="false" customHeight="false" outlineLevel="0" collapsed="false">
      <c r="A79" s="6" t="s">
        <v>341</v>
      </c>
      <c r="C79" s="65" t="n">
        <f aca="false">0</f>
        <v>0</v>
      </c>
      <c r="D79" s="65" t="n">
        <f aca="false">C80</f>
        <v>1371829.53727407</v>
      </c>
      <c r="E79" s="65" t="n">
        <f aca="false">D80</f>
        <v>1286434.17247407</v>
      </c>
      <c r="F79" s="65" t="n">
        <f aca="false">E80</f>
        <v>1201094.36322963</v>
      </c>
      <c r="G79" s="65" t="n">
        <f aca="false">F80</f>
        <v>1115810.10954074</v>
      </c>
      <c r="H79" s="65" t="n">
        <f aca="false">G80</f>
        <v>1030581.41140741</v>
      </c>
      <c r="I79" s="65" t="n">
        <f aca="false">H80</f>
        <v>945408.26882963</v>
      </c>
      <c r="J79" s="65" t="n">
        <f aca="false">I80</f>
        <v>860290.681807407</v>
      </c>
      <c r="K79" s="65" t="n">
        <f aca="false">J80</f>
        <v>775228.650340741</v>
      </c>
      <c r="L79" s="65" t="n">
        <f aca="false">K80</f>
        <v>690222.17442963</v>
      </c>
      <c r="M79" s="65" t="n">
        <f aca="false">L80</f>
        <v>605271.254074074</v>
      </c>
      <c r="N79" s="65" t="n">
        <f aca="false">M80</f>
        <v>500904.790074074</v>
      </c>
      <c r="O79" s="65" t="n">
        <f aca="false">N80</f>
        <v>442011.64962963</v>
      </c>
      <c r="P79" s="65" t="n">
        <f aca="false">O80</f>
        <v>189422.382575555</v>
      </c>
      <c r="Q79" s="65" t="n">
        <f aca="false">P80</f>
        <v>88233.1499066665</v>
      </c>
      <c r="R79" s="65" t="n">
        <f aca="false">Q80</f>
        <v>-12900.5272066668</v>
      </c>
      <c r="S79" s="65" t="n">
        <f aca="false">R80</f>
        <v>-113978.648764445</v>
      </c>
      <c r="T79" s="65" t="n">
        <f aca="false">S80</f>
        <v>-215001.214766667</v>
      </c>
      <c r="U79" s="65" t="n">
        <f aca="false">T80</f>
        <v>-315968.225213333</v>
      </c>
      <c r="V79" s="65" t="n">
        <f aca="false">U80</f>
        <v>-416879.680104445</v>
      </c>
      <c r="W79" s="65" t="n">
        <f aca="false">V80</f>
        <v>-517735.57944</v>
      </c>
      <c r="X79" s="65" t="n">
        <f aca="false">W80</f>
        <v>-618535.92322</v>
      </c>
      <c r="Y79" s="65" t="n">
        <f aca="false">X80</f>
        <v>-719280.711444445</v>
      </c>
      <c r="Z79" s="65" t="n">
        <f aca="false">Y80</f>
        <v>-843494.873233334</v>
      </c>
      <c r="AA79" s="65" t="n">
        <f aca="false">Z80</f>
        <v>-910645.134666667</v>
      </c>
      <c r="AB79" s="65" t="n">
        <f aca="false">AA80</f>
        <v>-1178623.61435925</v>
      </c>
      <c r="AC79" s="65" t="n">
        <f aca="false">AB80</f>
        <v>-1302767.26548739</v>
      </c>
      <c r="AD79" s="65" t="n">
        <f aca="false">AC80</f>
        <v>-1426855.36105997</v>
      </c>
      <c r="AE79" s="65" t="n">
        <f aca="false">AD80</f>
        <v>-1550887.901077</v>
      </c>
      <c r="AF79" s="65" t="n">
        <f aca="false">AE80</f>
        <v>-1674864.88553847</v>
      </c>
      <c r="AG79" s="65" t="n">
        <f aca="false">AF80</f>
        <v>-1798786.31444439</v>
      </c>
      <c r="AH79" s="65" t="n">
        <f aca="false">AG80</f>
        <v>-1922652.18779475</v>
      </c>
      <c r="AI79" s="65" t="n">
        <f aca="false">AH80</f>
        <v>-2046462.50558956</v>
      </c>
      <c r="AJ79" s="65" t="n">
        <f aca="false">AI80</f>
        <v>-2170217.26782881</v>
      </c>
      <c r="AK79" s="65" t="n">
        <f aca="false">AJ80</f>
        <v>-2293916.4745125</v>
      </c>
      <c r="AL79" s="65" t="n">
        <f aca="false">AK80</f>
        <v>-2445280.92767264</v>
      </c>
      <c r="AM79" s="65" t="n">
        <f aca="false">AL80</f>
        <v>-2527712.94599722</v>
      </c>
      <c r="AN79" s="65" t="n">
        <f aca="false">AM80</f>
        <v>-2820729.53223485</v>
      </c>
      <c r="AO79" s="65" t="n">
        <f aca="false">AN80</f>
        <v>-2977021.95705159</v>
      </c>
      <c r="AP79" s="65" t="n">
        <f aca="false">AO80</f>
        <v>-3133258.82631277</v>
      </c>
      <c r="AQ79" s="65" t="n">
        <f aca="false">AP80</f>
        <v>-3289440.1400184</v>
      </c>
      <c r="AR79" s="65" t="n">
        <f aca="false">AQ80</f>
        <v>-3445565.89816847</v>
      </c>
      <c r="AS79" s="65" t="n">
        <f aca="false">AR80</f>
        <v>-3601636.10076298</v>
      </c>
      <c r="AT79" s="65" t="n">
        <f aca="false">AS80</f>
        <v>-3757650.74780194</v>
      </c>
      <c r="AU79" s="65" t="n">
        <f aca="false">AT80</f>
        <v>-3913609.83928535</v>
      </c>
      <c r="AV79" s="65" t="n">
        <f aca="false">AU80</f>
        <v>-4069513.3752132</v>
      </c>
      <c r="AW79" s="65" t="n">
        <f aca="false">AV80</f>
        <v>-4225361.35558549</v>
      </c>
      <c r="AX79" s="65" t="n">
        <f aca="false">AW80</f>
        <v>-4413226.70263743</v>
      </c>
      <c r="AY79" s="65" t="n">
        <f aca="false">AX80</f>
        <v>-4519985.32692581</v>
      </c>
      <c r="AZ79" s="65" t="n">
        <f aca="false">AY80</f>
        <v>-4850426.57894717</v>
      </c>
      <c r="BA79" s="65" t="n">
        <f aca="false">AZ80</f>
        <v>-5050688.35229444</v>
      </c>
      <c r="BB79" s="65" t="n">
        <f aca="false">BA80</f>
        <v>-5250894.57008615</v>
      </c>
      <c r="BC79" s="65" t="n">
        <f aca="false">BB80</f>
        <v>-5451045.23232231</v>
      </c>
      <c r="BD79" s="65" t="n">
        <f aca="false">BC80</f>
        <v>-5651140.33900292</v>
      </c>
      <c r="BE79" s="65" t="n">
        <f aca="false">BD80</f>
        <v>-5851179.89012797</v>
      </c>
      <c r="BF79" s="65" t="n">
        <f aca="false">BE80</f>
        <v>-6051163.88569746</v>
      </c>
      <c r="BG79" s="65" t="n">
        <f aca="false">BF80</f>
        <v>-6251092.3257114</v>
      </c>
      <c r="BH79" s="65" t="n">
        <f aca="false">BG80</f>
        <v>-6450965.21016978</v>
      </c>
      <c r="BI79" s="65" t="n">
        <f aca="false">BH80</f>
        <v>-6650782.5390726</v>
      </c>
      <c r="BJ79" s="65" t="n">
        <f aca="false">BI80</f>
        <v>-6887141.22687859</v>
      </c>
    </row>
    <row r="80" customFormat="false" ht="15" hidden="false" customHeight="false" outlineLevel="0" collapsed="false">
      <c r="A80" s="110" t="s">
        <v>87</v>
      </c>
      <c r="C80" s="66" t="n">
        <f aca="false">C79+C78</f>
        <v>1371829.53727407</v>
      </c>
      <c r="D80" s="66" t="n">
        <f aca="false">D79+D78</f>
        <v>1286434.17247407</v>
      </c>
      <c r="E80" s="66" t="n">
        <f aca="false">E79+E78</f>
        <v>1201094.36322963</v>
      </c>
      <c r="F80" s="66" t="n">
        <f aca="false">F79+F78</f>
        <v>1115810.10954074</v>
      </c>
      <c r="G80" s="66" t="n">
        <f aca="false">G79+G78</f>
        <v>1030581.41140741</v>
      </c>
      <c r="H80" s="66" t="n">
        <f aca="false">H79+H78</f>
        <v>945408.26882963</v>
      </c>
      <c r="I80" s="66" t="n">
        <f aca="false">I79+I78</f>
        <v>860290.681807407</v>
      </c>
      <c r="J80" s="66" t="n">
        <f aca="false">J79+J78</f>
        <v>775228.650340741</v>
      </c>
      <c r="K80" s="66" t="n">
        <f aca="false">K79+K78</f>
        <v>690222.17442963</v>
      </c>
      <c r="L80" s="66" t="n">
        <f aca="false">L79+L78</f>
        <v>605271.254074074</v>
      </c>
      <c r="M80" s="66" t="n">
        <f aca="false">M79+M78</f>
        <v>500904.790074074</v>
      </c>
      <c r="N80" s="66" t="n">
        <f aca="false">N79+N78</f>
        <v>442011.64962963</v>
      </c>
      <c r="O80" s="66" t="n">
        <f aca="false">O79+O78</f>
        <v>189422.382575555</v>
      </c>
      <c r="P80" s="66" t="n">
        <f aca="false">P79+P78</f>
        <v>88233.1499066665</v>
      </c>
      <c r="Q80" s="66" t="n">
        <f aca="false">Q79+Q78</f>
        <v>-12900.5272066668</v>
      </c>
      <c r="R80" s="66" t="n">
        <f aca="false">R79+R78</f>
        <v>-113978.648764445</v>
      </c>
      <c r="S80" s="66" t="n">
        <f aca="false">S79+S78</f>
        <v>-215001.214766667</v>
      </c>
      <c r="T80" s="66" t="n">
        <f aca="false">T79+T78</f>
        <v>-315968.225213333</v>
      </c>
      <c r="U80" s="66" t="n">
        <f aca="false">U79+U78</f>
        <v>-416879.680104445</v>
      </c>
      <c r="V80" s="66" t="n">
        <f aca="false">V79+V78</f>
        <v>-517735.57944</v>
      </c>
      <c r="W80" s="66" t="n">
        <f aca="false">W79+W78</f>
        <v>-618535.92322</v>
      </c>
      <c r="X80" s="66" t="n">
        <f aca="false">X79+X78</f>
        <v>-719280.711444445</v>
      </c>
      <c r="Y80" s="66" t="n">
        <f aca="false">Y79+Y78</f>
        <v>-843494.873233334</v>
      </c>
      <c r="Z80" s="66" t="n">
        <f aca="false">Z79+Z78</f>
        <v>-910645.134666667</v>
      </c>
      <c r="AA80" s="66" t="n">
        <f aca="false">AA79+AA78</f>
        <v>-1178623.61435925</v>
      </c>
      <c r="AB80" s="66" t="n">
        <f aca="false">AB79+AB78</f>
        <v>-1302767.26548739</v>
      </c>
      <c r="AC80" s="66" t="n">
        <f aca="false">AC79+AC78</f>
        <v>-1426855.36105997</v>
      </c>
      <c r="AD80" s="66" t="n">
        <f aca="false">AD79+AD78</f>
        <v>-1550887.901077</v>
      </c>
      <c r="AE80" s="66" t="n">
        <f aca="false">AE79+AE78</f>
        <v>-1674864.88553847</v>
      </c>
      <c r="AF80" s="66" t="n">
        <f aca="false">AF79+AF78</f>
        <v>-1798786.31444439</v>
      </c>
      <c r="AG80" s="66" t="n">
        <f aca="false">AG79+AG78</f>
        <v>-1922652.18779475</v>
      </c>
      <c r="AH80" s="66" t="n">
        <f aca="false">AH79+AH78</f>
        <v>-2046462.50558956</v>
      </c>
      <c r="AI80" s="66" t="n">
        <f aca="false">AI79+AI78</f>
        <v>-2170217.26782881</v>
      </c>
      <c r="AJ80" s="66" t="n">
        <f aca="false">AJ79+AJ78</f>
        <v>-2293916.4745125</v>
      </c>
      <c r="AK80" s="66" t="n">
        <f aca="false">AK79+AK78</f>
        <v>-2445280.92767264</v>
      </c>
      <c r="AL80" s="66" t="n">
        <f aca="false">AL79+AL78</f>
        <v>-2527712.94599722</v>
      </c>
      <c r="AM80" s="66" t="n">
        <f aca="false">AM79+AM78</f>
        <v>-2820729.53223485</v>
      </c>
      <c r="AN80" s="66" t="n">
        <f aca="false">AN79+AN78</f>
        <v>-2977021.95705159</v>
      </c>
      <c r="AO80" s="66" t="n">
        <f aca="false">AO79+AO78</f>
        <v>-3133258.82631277</v>
      </c>
      <c r="AP80" s="66" t="n">
        <f aca="false">AP79+AP78</f>
        <v>-3289440.1400184</v>
      </c>
      <c r="AQ80" s="66" t="n">
        <f aca="false">AQ79+AQ78</f>
        <v>-3445565.89816847</v>
      </c>
      <c r="AR80" s="66" t="n">
        <f aca="false">AR79+AR78</f>
        <v>-3601636.10076298</v>
      </c>
      <c r="AS80" s="66" t="n">
        <f aca="false">AS79+AS78</f>
        <v>-3757650.74780194</v>
      </c>
      <c r="AT80" s="66" t="n">
        <f aca="false">AT79+AT78</f>
        <v>-3913609.83928535</v>
      </c>
      <c r="AU80" s="66" t="n">
        <f aca="false">AU79+AU78</f>
        <v>-4069513.3752132</v>
      </c>
      <c r="AV80" s="66" t="n">
        <f aca="false">AV79+AV78</f>
        <v>-4225361.35558549</v>
      </c>
      <c r="AW80" s="66" t="n">
        <f aca="false">AW79+AW78</f>
        <v>-4413226.70263743</v>
      </c>
      <c r="AX80" s="66" t="n">
        <f aca="false">AX79+AX78</f>
        <v>-4519985.32692581</v>
      </c>
      <c r="AY80" s="66" t="n">
        <f aca="false">AY79+AY78</f>
        <v>-4850426.57894717</v>
      </c>
      <c r="AZ80" s="66" t="n">
        <f aca="false">AZ79+AZ78</f>
        <v>-5050688.35229444</v>
      </c>
      <c r="BA80" s="66" t="n">
        <f aca="false">BA79+BA78</f>
        <v>-5250894.57008615</v>
      </c>
      <c r="BB80" s="66" t="n">
        <f aca="false">BB79+BB78</f>
        <v>-5451045.23232231</v>
      </c>
      <c r="BC80" s="66" t="n">
        <f aca="false">BC79+BC78</f>
        <v>-5651140.33900292</v>
      </c>
      <c r="BD80" s="66" t="n">
        <f aca="false">BD79+BD78</f>
        <v>-5851179.89012797</v>
      </c>
      <c r="BE80" s="66" t="n">
        <f aca="false">BE79+BE78</f>
        <v>-6051163.88569746</v>
      </c>
      <c r="BF80" s="66" t="n">
        <f aca="false">BF79+BF78</f>
        <v>-6251092.3257114</v>
      </c>
      <c r="BG80" s="66" t="n">
        <f aca="false">BG79+BG78</f>
        <v>-6450965.21016978</v>
      </c>
      <c r="BH80" s="66" t="n">
        <f aca="false">BH79+BH78</f>
        <v>-6650782.5390726</v>
      </c>
      <c r="BI80" s="66" t="n">
        <f aca="false">BI79+BI78</f>
        <v>-6887141.22687859</v>
      </c>
      <c r="BJ80" s="66" t="n">
        <f aca="false">BJ79+BJ78</f>
        <v>-7029882.57520023</v>
      </c>
    </row>
    <row r="81" customFormat="false" ht="15" hidden="false" customHeight="false" outlineLevel="0" collapsed="false">
      <c r="A81" s="117" t="s">
        <v>432</v>
      </c>
      <c r="C81" s="113" t="n">
        <f aca="false">IF(C41&gt;0,1,0)</f>
        <v>0</v>
      </c>
      <c r="D81" s="113" t="n">
        <f aca="false">IF(D41&gt;0,1,0)</f>
        <v>0</v>
      </c>
      <c r="E81" s="113" t="n">
        <f aca="false">IF(E41&gt;0,1,0)</f>
        <v>0</v>
      </c>
      <c r="F81" s="113" t="n">
        <f aca="false">IF(F41&gt;0,1,0)</f>
        <v>0</v>
      </c>
      <c r="G81" s="113" t="n">
        <f aca="false">IF(G41&gt;0,1,0)</f>
        <v>0</v>
      </c>
      <c r="H81" s="113" t="n">
        <f aca="false">IF(H41&gt;0,1,0)</f>
        <v>0</v>
      </c>
      <c r="I81" s="113" t="n">
        <f aca="false">IF(I41&gt;0,1,0)</f>
        <v>0</v>
      </c>
      <c r="J81" s="113" t="n">
        <f aca="false">IF(J41&gt;0,1,0)</f>
        <v>0</v>
      </c>
      <c r="K81" s="113" t="n">
        <f aca="false">IF(K41&gt;0,1,0)</f>
        <v>0</v>
      </c>
      <c r="L81" s="113" t="n">
        <f aca="false">IF(L41&gt;0,1,0)</f>
        <v>0</v>
      </c>
      <c r="M81" s="113" t="n">
        <f aca="false">IF(M41&gt;0,1,0)</f>
        <v>0</v>
      </c>
      <c r="N81" s="113" t="n">
        <f aca="false">IF(N41&gt;0,1,0)</f>
        <v>0</v>
      </c>
      <c r="O81" s="113" t="n">
        <f aca="false">IF(O41&gt;0,1,0)</f>
        <v>0</v>
      </c>
      <c r="P81" s="113" t="n">
        <f aca="false">IF(P41&gt;0,1,0)</f>
        <v>0</v>
      </c>
      <c r="Q81" s="113" t="n">
        <f aca="false">IF(Q41&gt;0,1,0)</f>
        <v>0</v>
      </c>
      <c r="R81" s="113" t="n">
        <f aca="false">IF(R41&gt;0,1,0)</f>
        <v>0</v>
      </c>
      <c r="S81" s="113" t="n">
        <f aca="false">IF(S41&gt;0,1,0)</f>
        <v>0</v>
      </c>
      <c r="T81" s="113" t="n">
        <f aca="false">IF(T41&gt;0,1,0)</f>
        <v>0</v>
      </c>
      <c r="U81" s="113" t="n">
        <f aca="false">IF(U41&gt;0,1,0)</f>
        <v>0</v>
      </c>
      <c r="V81" s="113" t="n">
        <f aca="false">IF(V41&gt;0,1,0)</f>
        <v>0</v>
      </c>
      <c r="W81" s="113" t="n">
        <f aca="false">IF(W41&gt;0,1,0)</f>
        <v>0</v>
      </c>
      <c r="X81" s="113" t="n">
        <f aca="false">IF(X41&gt;0,1,0)</f>
        <v>0</v>
      </c>
      <c r="Y81" s="113" t="n">
        <f aca="false">IF(Y41&gt;0,1,0)</f>
        <v>0</v>
      </c>
      <c r="Z81" s="113" t="n">
        <f aca="false">IF(Z41&gt;0,1,0)</f>
        <v>0</v>
      </c>
      <c r="AA81" s="113" t="n">
        <f aca="false">IF(AA41&gt;0,1,0)</f>
        <v>0</v>
      </c>
      <c r="AB81" s="113" t="n">
        <f aca="false">IF(AB41&gt;0,1,0)</f>
        <v>0</v>
      </c>
      <c r="AC81" s="113" t="n">
        <f aca="false">IF(AC41&gt;0,1,0)</f>
        <v>0</v>
      </c>
      <c r="AD81" s="113" t="n">
        <f aca="false">IF(AD41&gt;0,1,0)</f>
        <v>0</v>
      </c>
      <c r="AE81" s="113" t="n">
        <f aca="false">IF(AE41&gt;0,1,0)</f>
        <v>0</v>
      </c>
      <c r="AF81" s="113" t="n">
        <f aca="false">IF(AF41&gt;0,1,0)</f>
        <v>0</v>
      </c>
      <c r="AG81" s="113" t="n">
        <f aca="false">IF(AG41&gt;0,1,0)</f>
        <v>0</v>
      </c>
      <c r="AH81" s="113" t="n">
        <f aca="false">IF(AH41&gt;0,1,0)</f>
        <v>0</v>
      </c>
      <c r="AI81" s="113" t="n">
        <f aca="false">IF(AI41&gt;0,1,0)</f>
        <v>0</v>
      </c>
      <c r="AJ81" s="113" t="n">
        <f aca="false">IF(AJ41&gt;0,1,0)</f>
        <v>0</v>
      </c>
      <c r="AK81" s="113" t="n">
        <f aca="false">IF(AK41&gt;0,1,0)</f>
        <v>0</v>
      </c>
      <c r="AL81" s="113" t="n">
        <f aca="false">IF(AL41&gt;0,1,0)</f>
        <v>0</v>
      </c>
      <c r="AM81" s="113" t="n">
        <f aca="false">IF(AM41&gt;0,1,0)</f>
        <v>0</v>
      </c>
      <c r="AN81" s="113" t="n">
        <f aca="false">IF(AN41&gt;0,1,0)</f>
        <v>0</v>
      </c>
      <c r="AO81" s="113" t="n">
        <f aca="false">IF(AO41&gt;0,1,0)</f>
        <v>0</v>
      </c>
      <c r="AP81" s="113" t="n">
        <f aca="false">IF(AP41&gt;0,1,0)</f>
        <v>0</v>
      </c>
      <c r="AQ81" s="113" t="n">
        <f aca="false">IF(AQ41&gt;0,1,0)</f>
        <v>0</v>
      </c>
      <c r="AR81" s="113" t="n">
        <f aca="false">IF(AR41&gt;0,1,0)</f>
        <v>0</v>
      </c>
      <c r="AS81" s="113" t="n">
        <f aca="false">IF(AS41&gt;0,1,0)</f>
        <v>0</v>
      </c>
      <c r="AT81" s="113" t="n">
        <f aca="false">IF(AT41&gt;0,1,0)</f>
        <v>0</v>
      </c>
      <c r="AU81" s="113" t="n">
        <f aca="false">IF(AU41&gt;0,1,0)</f>
        <v>0</v>
      </c>
      <c r="AV81" s="113" t="n">
        <f aca="false">IF(AV41&gt;0,1,0)</f>
        <v>0</v>
      </c>
      <c r="AW81" s="113" t="n">
        <f aca="false">IF(AW41&gt;0,1,0)</f>
        <v>0</v>
      </c>
      <c r="AX81" s="113" t="n">
        <f aca="false">IF(AX41&gt;0,1,0)</f>
        <v>0</v>
      </c>
      <c r="AY81" s="113" t="n">
        <f aca="false">IF(AY41&gt;0,1,0)</f>
        <v>0</v>
      </c>
      <c r="AZ81" s="113" t="n">
        <f aca="false">IF(AZ41&gt;0,1,0)</f>
        <v>0</v>
      </c>
      <c r="BA81" s="113" t="n">
        <f aca="false">IF(BA41&gt;0,1,0)</f>
        <v>0</v>
      </c>
      <c r="BB81" s="113" t="n">
        <f aca="false">IF(BB41&gt;0,1,0)</f>
        <v>0</v>
      </c>
      <c r="BC81" s="113" t="n">
        <f aca="false">IF(BC41&gt;0,1,0)</f>
        <v>0</v>
      </c>
      <c r="BD81" s="113" t="n">
        <f aca="false">IF(BD41&gt;0,1,0)</f>
        <v>0</v>
      </c>
      <c r="BE81" s="113" t="n">
        <f aca="false">IF(BE41&gt;0,1,0)</f>
        <v>0</v>
      </c>
      <c r="BF81" s="113" t="n">
        <f aca="false">IF(BF41&gt;0,1,0)</f>
        <v>0</v>
      </c>
      <c r="BG81" s="113" t="n">
        <f aca="false">IF(BG41&gt;0,1,0)</f>
        <v>0</v>
      </c>
      <c r="BH81" s="113" t="n">
        <f aca="false">IF(BH41&gt;0,1,0)</f>
        <v>0</v>
      </c>
      <c r="BI81" s="113" t="n">
        <f aca="false">IF(BI41&gt;0,1,0)</f>
        <v>0</v>
      </c>
      <c r="BJ81" s="113" t="n">
        <f aca="false">IF(BJ41&gt;0,1,0)</f>
        <v>0</v>
      </c>
    </row>
    <row r="83" customFormat="false" ht="15.75" hidden="false" customHeight="true" outlineLevel="0" collapsed="false">
      <c r="A83" s="7" t="s">
        <v>433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customFormat="false" ht="15" hidden="false" customHeight="false" outlineLevel="0" collapsed="false">
      <c r="A84" s="117" t="s">
        <v>434</v>
      </c>
      <c r="C84" s="113" t="n">
        <f aca="false">IF(C50&gt;0,1,0)</f>
        <v>0</v>
      </c>
      <c r="D84" s="113" t="n">
        <f aca="false">IF(D50&gt;0,1,0)</f>
        <v>0</v>
      </c>
      <c r="E84" s="113" t="n">
        <f aca="false">IF(E50&gt;0,1,0)</f>
        <v>0</v>
      </c>
      <c r="F84" s="113" t="n">
        <f aca="false">IF(F50&gt;0,1,0)</f>
        <v>0</v>
      </c>
      <c r="G84" s="113" t="n">
        <f aca="false">IF(G50&gt;0,1,0)</f>
        <v>0</v>
      </c>
      <c r="H84" s="113" t="n">
        <f aca="false">IF(H50&gt;0,1,0)</f>
        <v>0</v>
      </c>
      <c r="I84" s="113" t="n">
        <f aca="false">IF(I50&gt;0,1,0)</f>
        <v>0</v>
      </c>
      <c r="J84" s="113" t="n">
        <f aca="false">IF(J50&gt;0,1,0)</f>
        <v>0</v>
      </c>
      <c r="K84" s="113" t="n">
        <f aca="false">IF(K50&gt;0,1,0)</f>
        <v>0</v>
      </c>
      <c r="L84" s="113" t="n">
        <f aca="false">IF(L50&gt;0,1,0)</f>
        <v>0</v>
      </c>
      <c r="M84" s="113" t="n">
        <f aca="false">IF(M50&gt;0,1,0)</f>
        <v>0</v>
      </c>
      <c r="N84" s="113" t="n">
        <f aca="false">IF(N50&gt;0,1,0)</f>
        <v>0</v>
      </c>
      <c r="O84" s="113" t="n">
        <f aca="false">IF(O50&gt;0,1,0)</f>
        <v>0</v>
      </c>
      <c r="P84" s="113" t="n">
        <f aca="false">IF(P50&gt;0,1,0)</f>
        <v>0</v>
      </c>
      <c r="Q84" s="113" t="n">
        <f aca="false">IF(Q50&gt;0,1,0)</f>
        <v>0</v>
      </c>
      <c r="R84" s="113" t="n">
        <f aca="false">IF(R50&gt;0,1,0)</f>
        <v>0</v>
      </c>
      <c r="S84" s="113" t="n">
        <f aca="false">IF(S50&gt;0,1,0)</f>
        <v>0</v>
      </c>
      <c r="T84" s="113" t="n">
        <f aca="false">IF(T50&gt;0,1,0)</f>
        <v>0</v>
      </c>
      <c r="U84" s="113" t="n">
        <f aca="false">IF(U50&gt;0,1,0)</f>
        <v>0</v>
      </c>
      <c r="V84" s="113" t="n">
        <f aca="false">IF(V50&gt;0,1,0)</f>
        <v>0</v>
      </c>
      <c r="W84" s="113" t="n">
        <f aca="false">IF(W50&gt;0,1,0)</f>
        <v>0</v>
      </c>
      <c r="X84" s="113" t="n">
        <f aca="false">IF(X50&gt;0,1,0)</f>
        <v>0</v>
      </c>
      <c r="Y84" s="113" t="n">
        <f aca="false">IF(Y50&gt;0,1,0)</f>
        <v>0</v>
      </c>
      <c r="Z84" s="113" t="n">
        <f aca="false">IF(Z50&gt;0,1,0)</f>
        <v>0</v>
      </c>
      <c r="AA84" s="113" t="n">
        <f aca="false">IF(AA50&gt;0,1,0)</f>
        <v>0</v>
      </c>
      <c r="AB84" s="113" t="n">
        <f aca="false">IF(AB50&gt;0,1,0)</f>
        <v>0</v>
      </c>
      <c r="AC84" s="113" t="n">
        <f aca="false">IF(AC50&gt;0,1,0)</f>
        <v>0</v>
      </c>
      <c r="AD84" s="113" t="n">
        <f aca="false">IF(AD50&gt;0,1,0)</f>
        <v>0</v>
      </c>
      <c r="AE84" s="113" t="n">
        <f aca="false">IF(AE50&gt;0,1,0)</f>
        <v>0</v>
      </c>
      <c r="AF84" s="113" t="n">
        <f aca="false">IF(AF50&gt;0,1,0)</f>
        <v>0</v>
      </c>
      <c r="AG84" s="113" t="n">
        <f aca="false">IF(AG50&gt;0,1,0)</f>
        <v>0</v>
      </c>
      <c r="AH84" s="113" t="n">
        <f aca="false">IF(AH50&gt;0,1,0)</f>
        <v>0</v>
      </c>
      <c r="AI84" s="113" t="n">
        <f aca="false">IF(AI50&gt;0,1,0)</f>
        <v>0</v>
      </c>
      <c r="AJ84" s="113" t="n">
        <f aca="false">IF(AJ50&gt;0,1,0)</f>
        <v>0</v>
      </c>
      <c r="AK84" s="113" t="n">
        <f aca="false">IF(AK50&gt;0,1,0)</f>
        <v>0</v>
      </c>
      <c r="AL84" s="113" t="n">
        <f aca="false">IF(AL50&gt;0,1,0)</f>
        <v>0</v>
      </c>
      <c r="AM84" s="113" t="n">
        <f aca="false">IF(AM50&gt;0,1,0)</f>
        <v>0</v>
      </c>
      <c r="AN84" s="113" t="n">
        <f aca="false">IF(AN50&gt;0,1,0)</f>
        <v>0</v>
      </c>
      <c r="AO84" s="113" t="n">
        <f aca="false">IF(AO50&gt;0,1,0)</f>
        <v>0</v>
      </c>
      <c r="AP84" s="113" t="n">
        <f aca="false">IF(AP50&gt;0,1,0)</f>
        <v>0</v>
      </c>
      <c r="AQ84" s="113" t="n">
        <f aca="false">IF(AQ50&gt;0,1,0)</f>
        <v>0</v>
      </c>
      <c r="AR84" s="113" t="n">
        <f aca="false">IF(AR50&gt;0,1,0)</f>
        <v>0</v>
      </c>
      <c r="AS84" s="113" t="n">
        <f aca="false">IF(AS50&gt;0,1,0)</f>
        <v>0</v>
      </c>
      <c r="AT84" s="113" t="n">
        <f aca="false">IF(AT50&gt;0,1,0)</f>
        <v>0</v>
      </c>
      <c r="AU84" s="113" t="n">
        <f aca="false">IF(AU50&gt;0,1,0)</f>
        <v>0</v>
      </c>
      <c r="AV84" s="113" t="n">
        <f aca="false">IF(AV50&gt;0,1,0)</f>
        <v>0</v>
      </c>
      <c r="AW84" s="113" t="n">
        <f aca="false">IF(AW50&gt;0,1,0)</f>
        <v>0</v>
      </c>
      <c r="AX84" s="113" t="n">
        <f aca="false">IF(AX50&gt;0,1,0)</f>
        <v>0</v>
      </c>
      <c r="AY84" s="113" t="n">
        <f aca="false">IF(AY50&gt;0,1,0)</f>
        <v>0</v>
      </c>
      <c r="AZ84" s="113" t="n">
        <f aca="false">IF(AZ50&gt;0,1,0)</f>
        <v>0</v>
      </c>
      <c r="BA84" s="113" t="n">
        <f aca="false">IF(BA50&gt;0,1,0)</f>
        <v>0</v>
      </c>
      <c r="BB84" s="113" t="n">
        <f aca="false">IF(BB50&gt;0,1,0)</f>
        <v>0</v>
      </c>
      <c r="BC84" s="113" t="n">
        <f aca="false">IF(BC50&gt;0,1,0)</f>
        <v>0</v>
      </c>
      <c r="BD84" s="113" t="n">
        <f aca="false">IF(BD50&gt;0,1,0)</f>
        <v>0</v>
      </c>
      <c r="BE84" s="113" t="n">
        <f aca="false">IF(BE50&gt;0,1,0)</f>
        <v>0</v>
      </c>
      <c r="BF84" s="113" t="n">
        <f aca="false">IF(BF50&gt;0,1,0)</f>
        <v>0</v>
      </c>
      <c r="BG84" s="113" t="n">
        <f aca="false">IF(BG50&gt;0,1,0)</f>
        <v>0</v>
      </c>
      <c r="BH84" s="113" t="n">
        <f aca="false">IF(BH50&gt;0,1,0)</f>
        <v>0</v>
      </c>
      <c r="BI84" s="113" t="n">
        <f aca="false">IF(BI50&gt;0,1,0)</f>
        <v>0</v>
      </c>
      <c r="BJ84" s="113" t="n">
        <f aca="false">IF(BJ50&gt;0,1,0)</f>
        <v>0</v>
      </c>
    </row>
    <row r="85" customFormat="false" ht="15" hidden="false" customHeight="false" outlineLevel="0" collapsed="false">
      <c r="A85" s="6" t="s">
        <v>435</v>
      </c>
      <c r="C85" s="65" t="n">
        <f aca="false">C74+C75</f>
        <v>-628170.462725926</v>
      </c>
      <c r="D85" s="65" t="n">
        <f aca="false">D74+D75</f>
        <v>-77062.0314666667</v>
      </c>
      <c r="E85" s="65" t="n">
        <f aca="false">E74+E75</f>
        <v>-77006.4759111111</v>
      </c>
      <c r="F85" s="65" t="n">
        <f aca="false">F74+F75</f>
        <v>-76950.9203555556</v>
      </c>
      <c r="G85" s="65" t="n">
        <f aca="false">G74+G75</f>
        <v>-76895.3648</v>
      </c>
      <c r="H85" s="65" t="n">
        <f aca="false">H74+H75</f>
        <v>-76839.8092444445</v>
      </c>
      <c r="I85" s="65" t="n">
        <f aca="false">I74+I75</f>
        <v>-76784.2536888889</v>
      </c>
      <c r="J85" s="65" t="n">
        <f aca="false">J74+J75</f>
        <v>-76728.6981333334</v>
      </c>
      <c r="K85" s="65" t="n">
        <f aca="false">K74+K75</f>
        <v>-76673.1425777778</v>
      </c>
      <c r="L85" s="65" t="n">
        <f aca="false">L74+L75</f>
        <v>-76617.5870222222</v>
      </c>
      <c r="M85" s="65" t="n">
        <f aca="false">M74+M75</f>
        <v>-96033.1306666666</v>
      </c>
      <c r="N85" s="65" t="n">
        <f aca="false">N74+N75</f>
        <v>-50559.8071111111</v>
      </c>
      <c r="O85" s="65" t="n">
        <f aca="false">O74+O75</f>
        <v>-244255.933720741</v>
      </c>
      <c r="P85" s="65" t="n">
        <f aca="false">P74+P75</f>
        <v>-92855.8993355555</v>
      </c>
      <c r="Q85" s="65" t="n">
        <f aca="false">Q74+Q75</f>
        <v>-92800.34378</v>
      </c>
      <c r="R85" s="65" t="n">
        <f aca="false">R74+R75</f>
        <v>-92744.7882244444</v>
      </c>
      <c r="S85" s="65" t="n">
        <f aca="false">S74+S75</f>
        <v>-92689.2326688889</v>
      </c>
      <c r="T85" s="65" t="n">
        <f aca="false">T74+T75</f>
        <v>-92633.6771133333</v>
      </c>
      <c r="U85" s="65" t="n">
        <f aca="false">U74+U75</f>
        <v>-92578.1215577778</v>
      </c>
      <c r="V85" s="65" t="n">
        <f aca="false">V74+V75</f>
        <v>-92522.5660022222</v>
      </c>
      <c r="W85" s="65" t="n">
        <f aca="false">W74+W75</f>
        <v>-92467.0104466667</v>
      </c>
      <c r="X85" s="65" t="n">
        <f aca="false">X74+X75</f>
        <v>-92411.4548911111</v>
      </c>
      <c r="Y85" s="65" t="n">
        <f aca="false">Y74+Y75</f>
        <v>-115880.828455556</v>
      </c>
      <c r="Z85" s="65" t="n">
        <f aca="false">Z74+Z75</f>
        <v>-58816.9281</v>
      </c>
      <c r="AA85" s="65" t="n">
        <f aca="false">AA74+AA75</f>
        <v>-259645.14635925</v>
      </c>
      <c r="AB85" s="65" t="n">
        <f aca="false">AB74+AB75</f>
        <v>-115810.317794806</v>
      </c>
      <c r="AC85" s="65" t="n">
        <f aca="false">AC74+AC75</f>
        <v>-115754.76223925</v>
      </c>
      <c r="AD85" s="65" t="n">
        <f aca="false">AD74+AD75</f>
        <v>-115699.206683694</v>
      </c>
      <c r="AE85" s="65" t="n">
        <f aca="false">AE74+AE75</f>
        <v>-115643.651128139</v>
      </c>
      <c r="AF85" s="65" t="n">
        <f aca="false">AF74+AF75</f>
        <v>-115588.095572583</v>
      </c>
      <c r="AG85" s="65" t="n">
        <f aca="false">AG74+AG75</f>
        <v>-115532.540017028</v>
      </c>
      <c r="AH85" s="65" t="n">
        <f aca="false">AH74+AH75</f>
        <v>-115476.984461472</v>
      </c>
      <c r="AI85" s="65" t="n">
        <f aca="false">AI74+AI75</f>
        <v>-115421.428905917</v>
      </c>
      <c r="AJ85" s="65" t="n">
        <f aca="false">AJ74+AJ75</f>
        <v>-115365.873350361</v>
      </c>
      <c r="AK85" s="65" t="n">
        <f aca="false">AK74+AK75</f>
        <v>-143031.119826805</v>
      </c>
      <c r="AL85" s="65" t="n">
        <f aca="false">AL74+AL75</f>
        <v>-74098.68499125</v>
      </c>
      <c r="AM85" s="65" t="n">
        <f aca="false">AM74+AM75</f>
        <v>-284683.252904293</v>
      </c>
      <c r="AN85" s="65" t="n">
        <f aca="false">AN74+AN75</f>
        <v>-147959.091483404</v>
      </c>
      <c r="AO85" s="65" t="n">
        <f aca="false">AO74+AO75</f>
        <v>-147903.535927849</v>
      </c>
      <c r="AP85" s="65" t="n">
        <f aca="false">AP74+AP75</f>
        <v>-147847.980372293</v>
      </c>
      <c r="AQ85" s="65" t="n">
        <f aca="false">AQ74+AQ75</f>
        <v>-147792.424816738</v>
      </c>
      <c r="AR85" s="65" t="n">
        <f aca="false">AR74+AR75</f>
        <v>-147736.869261182</v>
      </c>
      <c r="AS85" s="65" t="n">
        <f aca="false">AS74+AS75</f>
        <v>-147681.313705627</v>
      </c>
      <c r="AT85" s="65" t="n">
        <f aca="false">AT74+AT75</f>
        <v>-147625.758150071</v>
      </c>
      <c r="AU85" s="65" t="n">
        <f aca="false">AU74+AU75</f>
        <v>-147570.202594516</v>
      </c>
      <c r="AV85" s="65" t="n">
        <f aca="false">AV74+AV75</f>
        <v>-147514.64703896</v>
      </c>
      <c r="AW85" s="65" t="n">
        <f aca="false">AW74+AW75</f>
        <v>-179532.013718605</v>
      </c>
      <c r="AX85" s="65" t="n">
        <f aca="false">AX74+AX75</f>
        <v>-98425.290955049</v>
      </c>
      <c r="AY85" s="65" t="n">
        <f aca="false">AY74+AY75</f>
        <v>-322107.918688026</v>
      </c>
      <c r="AZ85" s="65" t="n">
        <f aca="false">AZ74+AZ75</f>
        <v>-191928.440013937</v>
      </c>
      <c r="BA85" s="65" t="n">
        <f aca="false">BA74+BA75</f>
        <v>-191872.884458382</v>
      </c>
      <c r="BB85" s="65" t="n">
        <f aca="false">BB74+BB75</f>
        <v>-191817.328902826</v>
      </c>
      <c r="BC85" s="65" t="n">
        <f aca="false">BC74+BC75</f>
        <v>-191761.773347271</v>
      </c>
      <c r="BD85" s="65" t="n">
        <f aca="false">BD74+BD75</f>
        <v>-191706.217791715</v>
      </c>
      <c r="BE85" s="65" t="n">
        <f aca="false">BE74+BE75</f>
        <v>-191650.662236159</v>
      </c>
      <c r="BF85" s="65" t="n">
        <f aca="false">BF74+BF75</f>
        <v>-191595.106680604</v>
      </c>
      <c r="BG85" s="65" t="n">
        <f aca="false">BG74+BG75</f>
        <v>-191539.551125048</v>
      </c>
      <c r="BH85" s="65" t="n">
        <f aca="false">BH74+BH75</f>
        <v>-191483.995569493</v>
      </c>
      <c r="BI85" s="65" t="n">
        <f aca="false">BI74+BI75</f>
        <v>-228025.354472657</v>
      </c>
      <c r="BJ85" s="65" t="n">
        <f aca="false">BJ74+BJ75</f>
        <v>-134408.014988302</v>
      </c>
    </row>
    <row r="86" customFormat="false" ht="15" hidden="false" customHeight="false" outlineLevel="0" collapsed="false">
      <c r="A86" s="6" t="s">
        <v>436</v>
      </c>
      <c r="C86" s="65" t="n">
        <f aca="false">C85</f>
        <v>-628170.462725926</v>
      </c>
      <c r="D86" s="65" t="n">
        <f aca="false">C86+D85</f>
        <v>-705232.494192593</v>
      </c>
      <c r="E86" s="65" t="n">
        <f aca="false">D86+E85</f>
        <v>-782238.970103704</v>
      </c>
      <c r="F86" s="65" t="n">
        <f aca="false">E86+F85</f>
        <v>-859189.890459259</v>
      </c>
      <c r="G86" s="65" t="n">
        <f aca="false">F86+G85</f>
        <v>-936085.255259259</v>
      </c>
      <c r="H86" s="65" t="n">
        <f aca="false">G86+H85</f>
        <v>-1012925.0645037</v>
      </c>
      <c r="I86" s="65" t="n">
        <f aca="false">H86+I85</f>
        <v>-1089709.31819259</v>
      </c>
      <c r="J86" s="65" t="n">
        <f aca="false">I86+J85</f>
        <v>-1166438.01632593</v>
      </c>
      <c r="K86" s="65" t="n">
        <f aca="false">J86+K85</f>
        <v>-1243111.1589037</v>
      </c>
      <c r="L86" s="65" t="n">
        <f aca="false">K86+L85</f>
        <v>-1319728.74592593</v>
      </c>
      <c r="M86" s="65" t="n">
        <f aca="false">L86+M85</f>
        <v>-1415761.87659259</v>
      </c>
      <c r="N86" s="65" t="n">
        <f aca="false">M86+N85</f>
        <v>-1466321.6837037</v>
      </c>
      <c r="O86" s="65" t="n">
        <f aca="false">N86+O85</f>
        <v>-1710577.61742445</v>
      </c>
      <c r="P86" s="65" t="n">
        <f aca="false">O86+P85</f>
        <v>-1803433.51676</v>
      </c>
      <c r="Q86" s="65" t="n">
        <f aca="false">P86+Q85</f>
        <v>-1896233.86054</v>
      </c>
      <c r="R86" s="65" t="n">
        <f aca="false">Q86+R85</f>
        <v>-1988978.64876445</v>
      </c>
      <c r="S86" s="65" t="n">
        <f aca="false">R86+S85</f>
        <v>-2081667.88143333</v>
      </c>
      <c r="T86" s="65" t="n">
        <f aca="false">S86+T85</f>
        <v>-2174301.55854667</v>
      </c>
      <c r="U86" s="65" t="n">
        <f aca="false">T86+U85</f>
        <v>-2266879.68010444</v>
      </c>
      <c r="V86" s="65" t="n">
        <f aca="false">U86+V85</f>
        <v>-2359402.24610667</v>
      </c>
      <c r="W86" s="65" t="n">
        <f aca="false">V86+W85</f>
        <v>-2451869.25655333</v>
      </c>
      <c r="X86" s="65" t="n">
        <f aca="false">W86+X85</f>
        <v>-2544280.71144445</v>
      </c>
      <c r="Y86" s="65" t="n">
        <f aca="false">X86+Y85</f>
        <v>-2660161.5399</v>
      </c>
      <c r="Z86" s="65" t="n">
        <f aca="false">Y86+Z85</f>
        <v>-2718978.468</v>
      </c>
      <c r="AA86" s="65" t="n">
        <f aca="false">Z86+AA85</f>
        <v>-2978623.61435925</v>
      </c>
      <c r="AB86" s="65" t="n">
        <f aca="false">AA86+AB85</f>
        <v>-3094433.93215406</v>
      </c>
      <c r="AC86" s="65" t="n">
        <f aca="false">AB86+AC85</f>
        <v>-3210188.69439331</v>
      </c>
      <c r="AD86" s="65" t="n">
        <f aca="false">AC86+AD85</f>
        <v>-3325887.901077</v>
      </c>
      <c r="AE86" s="65" t="n">
        <f aca="false">AD86+AE85</f>
        <v>-3441531.55220514</v>
      </c>
      <c r="AF86" s="65" t="n">
        <f aca="false">AE86+AF85</f>
        <v>-3557119.64777772</v>
      </c>
      <c r="AG86" s="65" t="n">
        <f aca="false">AF86+AG85</f>
        <v>-3672652.18779475</v>
      </c>
      <c r="AH86" s="65" t="n">
        <f aca="false">AG86+AH85</f>
        <v>-3788129.17225622</v>
      </c>
      <c r="AI86" s="65" t="n">
        <f aca="false">AH86+AI85</f>
        <v>-3903550.60116214</v>
      </c>
      <c r="AJ86" s="65" t="n">
        <f aca="false">AI86+AJ85</f>
        <v>-4018916.4745125</v>
      </c>
      <c r="AK86" s="65" t="n">
        <f aca="false">AJ86+AK85</f>
        <v>-4161947.59433931</v>
      </c>
      <c r="AL86" s="65" t="n">
        <f aca="false">AK86+AL85</f>
        <v>-4236046.27933056</v>
      </c>
      <c r="AM86" s="65" t="n">
        <f aca="false">AL86+AM85</f>
        <v>-4520729.53223485</v>
      </c>
      <c r="AN86" s="65" t="n">
        <f aca="false">AM86+AN85</f>
        <v>-4668688.62371825</v>
      </c>
      <c r="AO86" s="65" t="n">
        <f aca="false">AN86+AO85</f>
        <v>-4816592.1596461</v>
      </c>
      <c r="AP86" s="65" t="n">
        <f aca="false">AO86+AP85</f>
        <v>-4964440.1400184</v>
      </c>
      <c r="AQ86" s="65" t="n">
        <f aca="false">AP86+AQ85</f>
        <v>-5112232.56483513</v>
      </c>
      <c r="AR86" s="65" t="n">
        <f aca="false">AQ86+AR85</f>
        <v>-5259969.43409632</v>
      </c>
      <c r="AS86" s="65" t="n">
        <f aca="false">AR86+AS85</f>
        <v>-5407650.74780194</v>
      </c>
      <c r="AT86" s="65" t="n">
        <f aca="false">AS86+AT85</f>
        <v>-5555276.50595201</v>
      </c>
      <c r="AU86" s="65" t="n">
        <f aca="false">AT86+AU85</f>
        <v>-5702846.70854653</v>
      </c>
      <c r="AV86" s="65" t="n">
        <f aca="false">AU86+AV85</f>
        <v>-5850361.35558549</v>
      </c>
      <c r="AW86" s="65" t="n">
        <f aca="false">AV86+AW85</f>
        <v>-6029893.36930409</v>
      </c>
      <c r="AX86" s="65" t="n">
        <f aca="false">AW86+AX85</f>
        <v>-6128318.66025914</v>
      </c>
      <c r="AY86" s="65" t="n">
        <f aca="false">AX86+AY85</f>
        <v>-6450426.57894717</v>
      </c>
      <c r="AZ86" s="65" t="n">
        <f aca="false">AY86+AZ85</f>
        <v>-6642355.01896111</v>
      </c>
      <c r="BA86" s="65" t="n">
        <f aca="false">AZ86+BA85</f>
        <v>-6834227.90341949</v>
      </c>
      <c r="BB86" s="65" t="n">
        <f aca="false">BA86+BB85</f>
        <v>-7026045.23232231</v>
      </c>
      <c r="BC86" s="65" t="n">
        <f aca="false">BB86+BC85</f>
        <v>-7217807.00566958</v>
      </c>
      <c r="BD86" s="65" t="n">
        <f aca="false">BC86+BD85</f>
        <v>-7409513.2234613</v>
      </c>
      <c r="BE86" s="65" t="n">
        <f aca="false">BD86+BE85</f>
        <v>-7601163.88569746</v>
      </c>
      <c r="BF86" s="65" t="n">
        <f aca="false">BE86+BF85</f>
        <v>-7792758.99237806</v>
      </c>
      <c r="BG86" s="65" t="n">
        <f aca="false">BF86+BG85</f>
        <v>-7984298.54350311</v>
      </c>
      <c r="BH86" s="65" t="n">
        <f aca="false">BG86+BH85</f>
        <v>-8175782.5390726</v>
      </c>
      <c r="BI86" s="65" t="n">
        <f aca="false">BH86+BI85</f>
        <v>-8403807.89354526</v>
      </c>
      <c r="BJ86" s="65" t="n">
        <f aca="false">BI86+BJ85</f>
        <v>-8538215.90853356</v>
      </c>
    </row>
    <row r="87" customFormat="false" ht="15" hidden="false" customHeight="false" outlineLevel="0" collapsed="false">
      <c r="A87" s="117" t="s">
        <v>437</v>
      </c>
      <c r="C87" s="65" t="n">
        <f aca="false">C86</f>
        <v>-628170.462725926</v>
      </c>
      <c r="D87" s="65" t="n">
        <f aca="false">MIN(C87,D86)</f>
        <v>-705232.494192593</v>
      </c>
      <c r="E87" s="65" t="n">
        <f aca="false">MIN(D87,E86)</f>
        <v>-782238.970103704</v>
      </c>
      <c r="F87" s="65" t="n">
        <f aca="false">MIN(E87,F86)</f>
        <v>-859189.890459259</v>
      </c>
      <c r="G87" s="65" t="n">
        <f aca="false">MIN(F87,G86)</f>
        <v>-936085.255259259</v>
      </c>
      <c r="H87" s="65" t="n">
        <f aca="false">MIN(G87,H86)</f>
        <v>-1012925.0645037</v>
      </c>
      <c r="I87" s="65" t="n">
        <f aca="false">MIN(H87,I86)</f>
        <v>-1089709.31819259</v>
      </c>
      <c r="J87" s="65" t="n">
        <f aca="false">MIN(I87,J86)</f>
        <v>-1166438.01632593</v>
      </c>
      <c r="K87" s="65" t="n">
        <f aca="false">MIN(J87,K86)</f>
        <v>-1243111.1589037</v>
      </c>
      <c r="L87" s="65" t="n">
        <f aca="false">MIN(K87,L86)</f>
        <v>-1319728.74592593</v>
      </c>
      <c r="M87" s="65" t="n">
        <f aca="false">MIN(L87,M86)</f>
        <v>-1415761.87659259</v>
      </c>
      <c r="N87" s="65" t="n">
        <f aca="false">MIN(M87,N86)</f>
        <v>-1466321.6837037</v>
      </c>
      <c r="O87" s="65" t="n">
        <f aca="false">MIN(N87,O86)</f>
        <v>-1710577.61742445</v>
      </c>
      <c r="P87" s="65" t="n">
        <f aca="false">MIN(O87,P86)</f>
        <v>-1803433.51676</v>
      </c>
      <c r="Q87" s="65" t="n">
        <f aca="false">MIN(P87,Q86)</f>
        <v>-1896233.86054</v>
      </c>
      <c r="R87" s="65" t="n">
        <f aca="false">MIN(Q87,R86)</f>
        <v>-1988978.64876445</v>
      </c>
      <c r="S87" s="65" t="n">
        <f aca="false">MIN(R87,S86)</f>
        <v>-2081667.88143333</v>
      </c>
      <c r="T87" s="65" t="n">
        <f aca="false">MIN(S87,T86)</f>
        <v>-2174301.55854667</v>
      </c>
      <c r="U87" s="65" t="n">
        <f aca="false">MIN(T87,U86)</f>
        <v>-2266879.68010444</v>
      </c>
      <c r="V87" s="65" t="n">
        <f aca="false">MIN(U87,V86)</f>
        <v>-2359402.24610667</v>
      </c>
      <c r="W87" s="65" t="n">
        <f aca="false">MIN(V87,W86)</f>
        <v>-2451869.25655333</v>
      </c>
      <c r="X87" s="65" t="n">
        <f aca="false">MIN(W87,X86)</f>
        <v>-2544280.71144445</v>
      </c>
      <c r="Y87" s="65" t="n">
        <f aca="false">MIN(X87,Y86)</f>
        <v>-2660161.5399</v>
      </c>
      <c r="Z87" s="65" t="n">
        <f aca="false">MIN(Y87,Z86)</f>
        <v>-2718978.468</v>
      </c>
      <c r="AA87" s="65" t="n">
        <f aca="false">MIN(Z87,AA86)</f>
        <v>-2978623.61435925</v>
      </c>
      <c r="AB87" s="65" t="n">
        <f aca="false">MIN(AA87,AB86)</f>
        <v>-3094433.93215406</v>
      </c>
      <c r="AC87" s="65" t="n">
        <f aca="false">MIN(AB87,AC86)</f>
        <v>-3210188.69439331</v>
      </c>
      <c r="AD87" s="65" t="n">
        <f aca="false">MIN(AC87,AD86)</f>
        <v>-3325887.901077</v>
      </c>
      <c r="AE87" s="65" t="n">
        <f aca="false">MIN(AD87,AE86)</f>
        <v>-3441531.55220514</v>
      </c>
      <c r="AF87" s="65" t="n">
        <f aca="false">MIN(AE87,AF86)</f>
        <v>-3557119.64777772</v>
      </c>
      <c r="AG87" s="65" t="n">
        <f aca="false">MIN(AF87,AG86)</f>
        <v>-3672652.18779475</v>
      </c>
      <c r="AH87" s="65" t="n">
        <f aca="false">MIN(AG87,AH86)</f>
        <v>-3788129.17225622</v>
      </c>
      <c r="AI87" s="65" t="n">
        <f aca="false">MIN(AH87,AI86)</f>
        <v>-3903550.60116214</v>
      </c>
      <c r="AJ87" s="65" t="n">
        <f aca="false">MIN(AI87,AJ86)</f>
        <v>-4018916.4745125</v>
      </c>
      <c r="AK87" s="65" t="n">
        <f aca="false">MIN(AJ87,AK86)</f>
        <v>-4161947.59433931</v>
      </c>
      <c r="AL87" s="65" t="n">
        <f aca="false">MIN(AK87,AL86)</f>
        <v>-4236046.27933056</v>
      </c>
      <c r="AM87" s="65" t="n">
        <f aca="false">MIN(AL87,AM86)</f>
        <v>-4520729.53223485</v>
      </c>
      <c r="AN87" s="65" t="n">
        <f aca="false">MIN(AM87,AN86)</f>
        <v>-4668688.62371825</v>
      </c>
      <c r="AO87" s="65" t="n">
        <f aca="false">MIN(AN87,AO86)</f>
        <v>-4816592.1596461</v>
      </c>
      <c r="AP87" s="65" t="n">
        <f aca="false">MIN(AO87,AP86)</f>
        <v>-4964440.1400184</v>
      </c>
      <c r="AQ87" s="65" t="n">
        <f aca="false">MIN(AP87,AQ86)</f>
        <v>-5112232.56483513</v>
      </c>
      <c r="AR87" s="65" t="n">
        <f aca="false">MIN(AQ87,AR86)</f>
        <v>-5259969.43409632</v>
      </c>
      <c r="AS87" s="65" t="n">
        <f aca="false">MIN(AR87,AS86)</f>
        <v>-5407650.74780194</v>
      </c>
      <c r="AT87" s="65" t="n">
        <f aca="false">MIN(AS87,AT86)</f>
        <v>-5555276.50595201</v>
      </c>
      <c r="AU87" s="65" t="n">
        <f aca="false">MIN(AT87,AU86)</f>
        <v>-5702846.70854653</v>
      </c>
      <c r="AV87" s="65" t="n">
        <f aca="false">MIN(AU87,AV86)</f>
        <v>-5850361.35558549</v>
      </c>
      <c r="AW87" s="65" t="n">
        <f aca="false">MIN(AV87,AW86)</f>
        <v>-6029893.36930409</v>
      </c>
      <c r="AX87" s="65" t="n">
        <f aca="false">MIN(AW87,AX86)</f>
        <v>-6128318.66025914</v>
      </c>
      <c r="AY87" s="65" t="n">
        <f aca="false">MIN(AX87,AY86)</f>
        <v>-6450426.57894717</v>
      </c>
      <c r="AZ87" s="65" t="n">
        <f aca="false">MIN(AY87,AZ86)</f>
        <v>-6642355.01896111</v>
      </c>
      <c r="BA87" s="65" t="n">
        <f aca="false">MIN(AZ87,BA86)</f>
        <v>-6834227.90341949</v>
      </c>
      <c r="BB87" s="65" t="n">
        <f aca="false">MIN(BA87,BB86)</f>
        <v>-7026045.23232231</v>
      </c>
      <c r="BC87" s="65" t="n">
        <f aca="false">MIN(BB87,BC86)</f>
        <v>-7217807.00566958</v>
      </c>
      <c r="BD87" s="65" t="n">
        <f aca="false">MIN(BC87,BD86)</f>
        <v>-7409513.2234613</v>
      </c>
      <c r="BE87" s="65" t="n">
        <f aca="false">MIN(BD87,BE86)</f>
        <v>-7601163.88569746</v>
      </c>
      <c r="BF87" s="65" t="n">
        <f aca="false">MIN(BE87,BF86)</f>
        <v>-7792758.99237806</v>
      </c>
      <c r="BG87" s="65" t="n">
        <f aca="false">MIN(BF87,BG86)</f>
        <v>-7984298.54350311</v>
      </c>
      <c r="BH87" s="65" t="n">
        <f aca="false">MIN(BG87,BH86)</f>
        <v>-8175782.5390726</v>
      </c>
      <c r="BI87" s="65" t="n">
        <f aca="false">MIN(BH87,BI86)</f>
        <v>-8403807.89354526</v>
      </c>
      <c r="BJ87" s="65" t="n">
        <f aca="false">MIN(BI87,BJ86)</f>
        <v>-8538215.90853356</v>
      </c>
    </row>
    <row r="88" customFormat="false" ht="15" hidden="false" customHeight="false" outlineLevel="0" collapsed="false">
      <c r="A88" s="117" t="s">
        <v>438</v>
      </c>
      <c r="C88" s="113" t="n">
        <f aca="false">IF(AND(C86&gt;=0,C87&lt;0),1,0)</f>
        <v>0</v>
      </c>
      <c r="D88" s="113" t="n">
        <f aca="false">IF(AND(D86&gt;=0,D87&lt;0),1,0)</f>
        <v>0</v>
      </c>
      <c r="E88" s="113" t="n">
        <f aca="false">IF(AND(E86&gt;=0,E87&lt;0),1,0)</f>
        <v>0</v>
      </c>
      <c r="F88" s="113" t="n">
        <f aca="false">IF(AND(F86&gt;=0,F87&lt;0),1,0)</f>
        <v>0</v>
      </c>
      <c r="G88" s="113" t="n">
        <f aca="false">IF(AND(G86&gt;=0,G87&lt;0),1,0)</f>
        <v>0</v>
      </c>
      <c r="H88" s="113" t="n">
        <f aca="false">IF(AND(H86&gt;=0,H87&lt;0),1,0)</f>
        <v>0</v>
      </c>
      <c r="I88" s="113" t="n">
        <f aca="false">IF(AND(I86&gt;=0,I87&lt;0),1,0)</f>
        <v>0</v>
      </c>
      <c r="J88" s="113" t="n">
        <f aca="false">IF(AND(J86&gt;=0,J87&lt;0),1,0)</f>
        <v>0</v>
      </c>
      <c r="K88" s="113" t="n">
        <f aca="false">IF(AND(K86&gt;=0,K87&lt;0),1,0)</f>
        <v>0</v>
      </c>
      <c r="L88" s="113" t="n">
        <f aca="false">IF(AND(L86&gt;=0,L87&lt;0),1,0)</f>
        <v>0</v>
      </c>
      <c r="M88" s="113" t="n">
        <f aca="false">IF(AND(M86&gt;=0,M87&lt;0),1,0)</f>
        <v>0</v>
      </c>
      <c r="N88" s="113" t="n">
        <f aca="false">IF(AND(N86&gt;=0,N87&lt;0),1,0)</f>
        <v>0</v>
      </c>
      <c r="O88" s="113" t="n">
        <f aca="false">IF(AND(O86&gt;=0,O87&lt;0),1,0)</f>
        <v>0</v>
      </c>
      <c r="P88" s="113" t="n">
        <f aca="false">IF(AND(P86&gt;=0,P87&lt;0),1,0)</f>
        <v>0</v>
      </c>
      <c r="Q88" s="113" t="n">
        <f aca="false">IF(AND(Q86&gt;=0,Q87&lt;0),1,0)</f>
        <v>0</v>
      </c>
      <c r="R88" s="113" t="n">
        <f aca="false">IF(AND(R86&gt;=0,R87&lt;0),1,0)</f>
        <v>0</v>
      </c>
      <c r="S88" s="113" t="n">
        <f aca="false">IF(AND(S86&gt;=0,S87&lt;0),1,0)</f>
        <v>0</v>
      </c>
      <c r="T88" s="113" t="n">
        <f aca="false">IF(AND(T86&gt;=0,T87&lt;0),1,0)</f>
        <v>0</v>
      </c>
      <c r="U88" s="113" t="n">
        <f aca="false">IF(AND(U86&gt;=0,U87&lt;0),1,0)</f>
        <v>0</v>
      </c>
      <c r="V88" s="113" t="n">
        <f aca="false">IF(AND(V86&gt;=0,V87&lt;0),1,0)</f>
        <v>0</v>
      </c>
      <c r="W88" s="113" t="n">
        <f aca="false">IF(AND(W86&gt;=0,W87&lt;0),1,0)</f>
        <v>0</v>
      </c>
      <c r="X88" s="113" t="n">
        <f aca="false">IF(AND(X86&gt;=0,X87&lt;0),1,0)</f>
        <v>0</v>
      </c>
      <c r="Y88" s="113" t="n">
        <f aca="false">IF(AND(Y86&gt;=0,Y87&lt;0),1,0)</f>
        <v>0</v>
      </c>
      <c r="Z88" s="113" t="n">
        <f aca="false">IF(AND(Z86&gt;=0,Z87&lt;0),1,0)</f>
        <v>0</v>
      </c>
      <c r="AA88" s="113" t="n">
        <f aca="false">IF(AND(AA86&gt;=0,AA87&lt;0),1,0)</f>
        <v>0</v>
      </c>
      <c r="AB88" s="113" t="n">
        <f aca="false">IF(AND(AB86&gt;=0,AB87&lt;0),1,0)</f>
        <v>0</v>
      </c>
      <c r="AC88" s="113" t="n">
        <f aca="false">IF(AND(AC86&gt;=0,AC87&lt;0),1,0)</f>
        <v>0</v>
      </c>
      <c r="AD88" s="113" t="n">
        <f aca="false">IF(AND(AD86&gt;=0,AD87&lt;0),1,0)</f>
        <v>0</v>
      </c>
      <c r="AE88" s="113" t="n">
        <f aca="false">IF(AND(AE86&gt;=0,AE87&lt;0),1,0)</f>
        <v>0</v>
      </c>
      <c r="AF88" s="113" t="n">
        <f aca="false">IF(AND(AF86&gt;=0,AF87&lt;0),1,0)</f>
        <v>0</v>
      </c>
      <c r="AG88" s="113" t="n">
        <f aca="false">IF(AND(AG86&gt;=0,AG87&lt;0),1,0)</f>
        <v>0</v>
      </c>
      <c r="AH88" s="113" t="n">
        <f aca="false">IF(AND(AH86&gt;=0,AH87&lt;0),1,0)</f>
        <v>0</v>
      </c>
      <c r="AI88" s="113" t="n">
        <f aca="false">IF(AND(AI86&gt;=0,AI87&lt;0),1,0)</f>
        <v>0</v>
      </c>
      <c r="AJ88" s="113" t="n">
        <f aca="false">IF(AND(AJ86&gt;=0,AJ87&lt;0),1,0)</f>
        <v>0</v>
      </c>
      <c r="AK88" s="113" t="n">
        <f aca="false">IF(AND(AK86&gt;=0,AK87&lt;0),1,0)</f>
        <v>0</v>
      </c>
      <c r="AL88" s="113" t="n">
        <f aca="false">IF(AND(AL86&gt;=0,AL87&lt;0),1,0)</f>
        <v>0</v>
      </c>
      <c r="AM88" s="113" t="n">
        <f aca="false">IF(AND(AM86&gt;=0,AM87&lt;0),1,0)</f>
        <v>0</v>
      </c>
      <c r="AN88" s="113" t="n">
        <f aca="false">IF(AND(AN86&gt;=0,AN87&lt;0),1,0)</f>
        <v>0</v>
      </c>
      <c r="AO88" s="113" t="n">
        <f aca="false">IF(AND(AO86&gt;=0,AO87&lt;0),1,0)</f>
        <v>0</v>
      </c>
      <c r="AP88" s="113" t="n">
        <f aca="false">IF(AND(AP86&gt;=0,AP87&lt;0),1,0)</f>
        <v>0</v>
      </c>
      <c r="AQ88" s="113" t="n">
        <f aca="false">IF(AND(AQ86&gt;=0,AQ87&lt;0),1,0)</f>
        <v>0</v>
      </c>
      <c r="AR88" s="113" t="n">
        <f aca="false">IF(AND(AR86&gt;=0,AR87&lt;0),1,0)</f>
        <v>0</v>
      </c>
      <c r="AS88" s="113" t="n">
        <f aca="false">IF(AND(AS86&gt;=0,AS87&lt;0),1,0)</f>
        <v>0</v>
      </c>
      <c r="AT88" s="113" t="n">
        <f aca="false">IF(AND(AT86&gt;=0,AT87&lt;0),1,0)</f>
        <v>0</v>
      </c>
      <c r="AU88" s="113" t="n">
        <f aca="false">IF(AND(AU86&gt;=0,AU87&lt;0),1,0)</f>
        <v>0</v>
      </c>
      <c r="AV88" s="113" t="n">
        <f aca="false">IF(AND(AV86&gt;=0,AV87&lt;0),1,0)</f>
        <v>0</v>
      </c>
      <c r="AW88" s="113" t="n">
        <f aca="false">IF(AND(AW86&gt;=0,AW87&lt;0),1,0)</f>
        <v>0</v>
      </c>
      <c r="AX88" s="113" t="n">
        <f aca="false">IF(AND(AX86&gt;=0,AX87&lt;0),1,0)</f>
        <v>0</v>
      </c>
      <c r="AY88" s="113" t="n">
        <f aca="false">IF(AND(AY86&gt;=0,AY87&lt;0),1,0)</f>
        <v>0</v>
      </c>
      <c r="AZ88" s="113" t="n">
        <f aca="false">IF(AND(AZ86&gt;=0,AZ87&lt;0),1,0)</f>
        <v>0</v>
      </c>
      <c r="BA88" s="113" t="n">
        <f aca="false">IF(AND(BA86&gt;=0,BA87&lt;0),1,0)</f>
        <v>0</v>
      </c>
      <c r="BB88" s="113" t="n">
        <f aca="false">IF(AND(BB86&gt;=0,BB87&lt;0),1,0)</f>
        <v>0</v>
      </c>
      <c r="BC88" s="113" t="n">
        <f aca="false">IF(AND(BC86&gt;=0,BC87&lt;0),1,0)</f>
        <v>0</v>
      </c>
      <c r="BD88" s="113" t="n">
        <f aca="false">IF(AND(BD86&gt;=0,BD87&lt;0),1,0)</f>
        <v>0</v>
      </c>
      <c r="BE88" s="113" t="n">
        <f aca="false">IF(AND(BE86&gt;=0,BE87&lt;0),1,0)</f>
        <v>0</v>
      </c>
      <c r="BF88" s="113" t="n">
        <f aca="false">IF(AND(BF86&gt;=0,BF87&lt;0),1,0)</f>
        <v>0</v>
      </c>
      <c r="BG88" s="113" t="n">
        <f aca="false">IF(AND(BG86&gt;=0,BG87&lt;0),1,0)</f>
        <v>0</v>
      </c>
      <c r="BH88" s="113" t="n">
        <f aca="false">IF(AND(BH86&gt;=0,BH87&lt;0),1,0)</f>
        <v>0</v>
      </c>
      <c r="BI88" s="113" t="n">
        <f aca="false">IF(AND(BI86&gt;=0,BI87&lt;0),1,0)</f>
        <v>0</v>
      </c>
      <c r="BJ88" s="113" t="n">
        <f aca="false">IF(AND(BJ86&gt;=0,BJ87&lt;0),1,0)</f>
        <v>0</v>
      </c>
    </row>
    <row r="89" customFormat="false" ht="15" hidden="false" customHeight="false" outlineLevel="0" collapsed="false">
      <c r="A89" s="6" t="s">
        <v>439</v>
      </c>
      <c r="C89" s="65" t="n">
        <f aca="false">C74-C45*(1-Inputs!$B$70)+C75</f>
        <v>-625537.129392593</v>
      </c>
      <c r="D89" s="65" t="n">
        <f aca="false">D74-D45*(1-Inputs!$B$70)+D75</f>
        <v>-74450.6425777778</v>
      </c>
      <c r="E89" s="65" t="n">
        <f aca="false">E74-E45*(1-Inputs!$B$70)+E75</f>
        <v>-74438.9759111111</v>
      </c>
      <c r="F89" s="65" t="n">
        <f aca="false">F74-F45*(1-Inputs!$B$70)+F75</f>
        <v>-74427.3092444445</v>
      </c>
      <c r="G89" s="65" t="n">
        <f aca="false">G74-G45*(1-Inputs!$B$70)+G75</f>
        <v>-74415.6425777778</v>
      </c>
      <c r="H89" s="65" t="n">
        <f aca="false">H74-H45*(1-Inputs!$B$70)+H75</f>
        <v>-74403.9759111111</v>
      </c>
      <c r="I89" s="65" t="n">
        <f aca="false">I74-I45*(1-Inputs!$B$70)+I75</f>
        <v>-74392.3092444445</v>
      </c>
      <c r="J89" s="65" t="n">
        <f aca="false">J74-J45*(1-Inputs!$B$70)+J75</f>
        <v>-74380.6425777778</v>
      </c>
      <c r="K89" s="65" t="n">
        <f aca="false">K74-K45*(1-Inputs!$B$70)+K75</f>
        <v>-74368.9759111111</v>
      </c>
      <c r="L89" s="65" t="n">
        <f aca="false">L74-L45*(1-Inputs!$B$70)+L75</f>
        <v>-74357.3092444445</v>
      </c>
      <c r="M89" s="65" t="n">
        <f aca="false">M74-M45*(1-Inputs!$B$70)+M75</f>
        <v>-93816.7417777777</v>
      </c>
      <c r="N89" s="65" t="n">
        <f aca="false">N74-N45*(1-Inputs!$B$70)+N75</f>
        <v>-48387.3071111111</v>
      </c>
      <c r="O89" s="65" t="n">
        <f aca="false">O74-O45*(1-Inputs!$B$70)+O75</f>
        <v>-242127.32260963</v>
      </c>
      <c r="P89" s="65" t="n">
        <f aca="false">P74-P45*(1-Inputs!$B$70)+P75</f>
        <v>-90771.1771133333</v>
      </c>
      <c r="Q89" s="65" t="n">
        <f aca="false">Q74-Q45*(1-Inputs!$B$70)+Q75</f>
        <v>-90759.5104466667</v>
      </c>
      <c r="R89" s="65" t="n">
        <f aca="false">R74-R45*(1-Inputs!$B$70)+R75</f>
        <v>-90747.84378</v>
      </c>
      <c r="S89" s="65" t="n">
        <f aca="false">S74-S45*(1-Inputs!$B$70)+S75</f>
        <v>-90736.1771133333</v>
      </c>
      <c r="T89" s="65" t="n">
        <f aca="false">T74-T45*(1-Inputs!$B$70)+T75</f>
        <v>-90724.5104466667</v>
      </c>
      <c r="U89" s="65" t="n">
        <f aca="false">U74-U45*(1-Inputs!$B$70)+U75</f>
        <v>-90712.84378</v>
      </c>
      <c r="V89" s="65" t="n">
        <f aca="false">V74-V45*(1-Inputs!$B$70)+V75</f>
        <v>-90701.1771133333</v>
      </c>
      <c r="W89" s="65" t="n">
        <f aca="false">W74-W45*(1-Inputs!$B$70)+W75</f>
        <v>-90689.5104466667</v>
      </c>
      <c r="X89" s="65" t="n">
        <f aca="false">X74-X45*(1-Inputs!$B$70)+X75</f>
        <v>-90677.84378</v>
      </c>
      <c r="Y89" s="65" t="n">
        <f aca="false">Y74-Y45*(1-Inputs!$B$70)+Y75</f>
        <v>-114191.106233333</v>
      </c>
      <c r="Z89" s="65" t="n">
        <f aca="false">Z74-Z45*(1-Inputs!$B$70)+Z75</f>
        <v>-57171.0947666667</v>
      </c>
      <c r="AA89" s="65" t="n">
        <f aca="false">AA74-AA45*(1-Inputs!$B$70)+AA75</f>
        <v>-258043.201914806</v>
      </c>
      <c r="AB89" s="65" t="n">
        <f aca="false">AB74-AB45*(1-Inputs!$B$70)+AB75</f>
        <v>-114252.26223925</v>
      </c>
      <c r="AC89" s="65" t="n">
        <f aca="false">AC74-AC45*(1-Inputs!$B$70)+AC75</f>
        <v>-114240.595572583</v>
      </c>
      <c r="AD89" s="65" t="n">
        <f aca="false">AD74-AD45*(1-Inputs!$B$70)+AD75</f>
        <v>-114228.928905917</v>
      </c>
      <c r="AE89" s="65" t="n">
        <f aca="false">AE74-AE45*(1-Inputs!$B$70)+AE75</f>
        <v>-114217.26223925</v>
      </c>
      <c r="AF89" s="65" t="n">
        <f aca="false">AF74-AF45*(1-Inputs!$B$70)+AF75</f>
        <v>-114205.595572583</v>
      </c>
      <c r="AG89" s="65" t="n">
        <f aca="false">AG74-AG45*(1-Inputs!$B$70)+AG75</f>
        <v>-114193.928905917</v>
      </c>
      <c r="AH89" s="65" t="n">
        <f aca="false">AH74-AH45*(1-Inputs!$B$70)+AH75</f>
        <v>-114182.26223925</v>
      </c>
      <c r="AI89" s="65" t="n">
        <f aca="false">AI74-AI45*(1-Inputs!$B$70)+AI75</f>
        <v>-114170.595572583</v>
      </c>
      <c r="AJ89" s="65" t="n">
        <f aca="false">AJ74-AJ45*(1-Inputs!$B$70)+AJ75</f>
        <v>-114158.928905917</v>
      </c>
      <c r="AK89" s="65" t="n">
        <f aca="false">AK74-AK45*(1-Inputs!$B$70)+AK75</f>
        <v>-141868.06427125</v>
      </c>
      <c r="AL89" s="65" t="n">
        <f aca="false">AL74-AL45*(1-Inputs!$B$70)+AL75</f>
        <v>-72979.5183245834</v>
      </c>
      <c r="AM89" s="65" t="n">
        <f aca="false">AM74-AM45*(1-Inputs!$B$70)+AM75</f>
        <v>-283607.975126516</v>
      </c>
      <c r="AN89" s="65" t="n">
        <f aca="false">AN74-AN45*(1-Inputs!$B$70)+AN75</f>
        <v>-146927.702594516</v>
      </c>
      <c r="AO89" s="65" t="n">
        <f aca="false">AO74-AO45*(1-Inputs!$B$70)+AO75</f>
        <v>-146916.035927849</v>
      </c>
      <c r="AP89" s="65" t="n">
        <f aca="false">AP74-AP45*(1-Inputs!$B$70)+AP75</f>
        <v>-146904.369261182</v>
      </c>
      <c r="AQ89" s="65" t="n">
        <f aca="false">AQ74-AQ45*(1-Inputs!$B$70)+AQ75</f>
        <v>-146892.702594516</v>
      </c>
      <c r="AR89" s="65" t="n">
        <f aca="false">AR74-AR45*(1-Inputs!$B$70)+AR75</f>
        <v>-146881.035927849</v>
      </c>
      <c r="AS89" s="65" t="n">
        <f aca="false">AS74-AS45*(1-Inputs!$B$70)+AS75</f>
        <v>-146869.369261182</v>
      </c>
      <c r="AT89" s="65" t="n">
        <f aca="false">AT74-AT45*(1-Inputs!$B$70)+AT75</f>
        <v>-146857.702594516</v>
      </c>
      <c r="AU89" s="65" t="n">
        <f aca="false">AU74-AU45*(1-Inputs!$B$70)+AU75</f>
        <v>-146846.035927849</v>
      </c>
      <c r="AV89" s="65" t="n">
        <f aca="false">AV74-AV45*(1-Inputs!$B$70)+AV75</f>
        <v>-146834.369261182</v>
      </c>
      <c r="AW89" s="65" t="n">
        <f aca="false">AW74-AW45*(1-Inputs!$B$70)+AW75</f>
        <v>-178895.624829716</v>
      </c>
      <c r="AX89" s="65" t="n">
        <f aca="false">AX74-AX45*(1-Inputs!$B$70)+AX75</f>
        <v>-97832.790955049</v>
      </c>
      <c r="AY89" s="65" t="n">
        <f aca="false">AY74-AY45*(1-Inputs!$B$70)+AY75</f>
        <v>-321559.307576915</v>
      </c>
      <c r="AZ89" s="65" t="n">
        <f aca="false">AZ74-AZ45*(1-Inputs!$B$70)+AZ75</f>
        <v>-191423.717791715</v>
      </c>
      <c r="BA89" s="65" t="n">
        <f aca="false">BA74-BA45*(1-Inputs!$B$70)+BA75</f>
        <v>-191412.051125048</v>
      </c>
      <c r="BB89" s="65" t="n">
        <f aca="false">BB74-BB45*(1-Inputs!$B$70)+BB75</f>
        <v>-191400.384458382</v>
      </c>
      <c r="BC89" s="65" t="n">
        <f aca="false">BC74-BC45*(1-Inputs!$B$70)+BC75</f>
        <v>-191388.717791715</v>
      </c>
      <c r="BD89" s="65" t="n">
        <f aca="false">BD74-BD45*(1-Inputs!$B$70)+BD75</f>
        <v>-191377.051125048</v>
      </c>
      <c r="BE89" s="65" t="n">
        <f aca="false">BE74-BE45*(1-Inputs!$B$70)+BE75</f>
        <v>-191365.384458382</v>
      </c>
      <c r="BF89" s="65" t="n">
        <f aca="false">BF74-BF45*(1-Inputs!$B$70)+BF75</f>
        <v>-191353.717791715</v>
      </c>
      <c r="BG89" s="65" t="n">
        <f aca="false">BG74-BG45*(1-Inputs!$B$70)+BG75</f>
        <v>-191342.051125048</v>
      </c>
      <c r="BH89" s="65" t="n">
        <f aca="false">BH74-BH45*(1-Inputs!$B$70)+BH75</f>
        <v>-191330.384458382</v>
      </c>
      <c r="BI89" s="65" t="n">
        <f aca="false">BI74-BI45*(1-Inputs!$B$70)+BI75</f>
        <v>-227915.632250435</v>
      </c>
      <c r="BJ89" s="65" t="n">
        <f aca="false">BJ74-BJ45*(1-Inputs!$B$70)+BJ75</f>
        <v>-134342.181654968</v>
      </c>
    </row>
    <row r="91" customFormat="false" ht="15.75" hidden="false" customHeight="true" outlineLevel="0" collapsed="false">
      <c r="A91" s="7" t="s">
        <v>440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customFormat="false" ht="15" hidden="false" customHeight="false" outlineLevel="0" collapsed="false">
      <c r="A92" s="6" t="s">
        <v>97</v>
      </c>
      <c r="C92" s="65" t="n">
        <f aca="false">C76</f>
        <v>1500000</v>
      </c>
      <c r="D92" s="65" t="n">
        <f aca="false">C92+D76</f>
        <v>1500000</v>
      </c>
      <c r="E92" s="65" t="n">
        <f aca="false">D92+E76</f>
        <v>1500000</v>
      </c>
      <c r="F92" s="65" t="n">
        <f aca="false">E92+F76</f>
        <v>1500000</v>
      </c>
      <c r="G92" s="65" t="n">
        <f aca="false">F92+G76</f>
        <v>1500000</v>
      </c>
      <c r="H92" s="65" t="n">
        <f aca="false">G92+H76</f>
        <v>1500000</v>
      </c>
      <c r="I92" s="65" t="n">
        <f aca="false">H92+I76</f>
        <v>1500000</v>
      </c>
      <c r="J92" s="65" t="n">
        <f aca="false">I92+J76</f>
        <v>1500000</v>
      </c>
      <c r="K92" s="65" t="n">
        <f aca="false">J92+K76</f>
        <v>1500000</v>
      </c>
      <c r="L92" s="65" t="n">
        <f aca="false">K92+L76</f>
        <v>1500000</v>
      </c>
      <c r="M92" s="65" t="n">
        <f aca="false">L92+M76</f>
        <v>1500000</v>
      </c>
      <c r="N92" s="65" t="n">
        <f aca="false">M92+N76</f>
        <v>1500000</v>
      </c>
      <c r="O92" s="65" t="n">
        <f aca="false">N92+O76</f>
        <v>1500000</v>
      </c>
      <c r="P92" s="65" t="n">
        <f aca="false">O92+P76</f>
        <v>1500000</v>
      </c>
      <c r="Q92" s="65" t="n">
        <f aca="false">P92+Q76</f>
        <v>1500000</v>
      </c>
      <c r="R92" s="65" t="n">
        <f aca="false">Q92+R76</f>
        <v>1500000</v>
      </c>
      <c r="S92" s="65" t="n">
        <f aca="false">R92+S76</f>
        <v>1500000</v>
      </c>
      <c r="T92" s="65" t="n">
        <f aca="false">S92+T76</f>
        <v>1500000</v>
      </c>
      <c r="U92" s="65" t="n">
        <f aca="false">T92+U76</f>
        <v>1500000</v>
      </c>
      <c r="V92" s="65" t="n">
        <f aca="false">U92+V76</f>
        <v>1500000</v>
      </c>
      <c r="W92" s="65" t="n">
        <f aca="false">V92+W76</f>
        <v>1500000</v>
      </c>
      <c r="X92" s="65" t="n">
        <f aca="false">W92+X76</f>
        <v>1500000</v>
      </c>
      <c r="Y92" s="65" t="n">
        <f aca="false">X92+Y76</f>
        <v>1500000</v>
      </c>
      <c r="Z92" s="65" t="n">
        <f aca="false">Y92+Z76</f>
        <v>1500000</v>
      </c>
      <c r="AA92" s="65" t="n">
        <f aca="false">Z92+AA76</f>
        <v>1500000</v>
      </c>
      <c r="AB92" s="65" t="n">
        <f aca="false">AA92+AB76</f>
        <v>1500000</v>
      </c>
      <c r="AC92" s="65" t="n">
        <f aca="false">AB92+AC76</f>
        <v>1500000</v>
      </c>
      <c r="AD92" s="65" t="n">
        <f aca="false">AC92+AD76</f>
        <v>1500000</v>
      </c>
      <c r="AE92" s="65" t="n">
        <f aca="false">AD92+AE76</f>
        <v>1500000</v>
      </c>
      <c r="AF92" s="65" t="n">
        <f aca="false">AE92+AF76</f>
        <v>1500000</v>
      </c>
      <c r="AG92" s="65" t="n">
        <f aca="false">AF92+AG76</f>
        <v>1500000</v>
      </c>
      <c r="AH92" s="65" t="n">
        <f aca="false">AG92+AH76</f>
        <v>1500000</v>
      </c>
      <c r="AI92" s="65" t="n">
        <f aca="false">AH92+AI76</f>
        <v>1500000</v>
      </c>
      <c r="AJ92" s="65" t="n">
        <f aca="false">AI92+AJ76</f>
        <v>1500000</v>
      </c>
      <c r="AK92" s="65" t="n">
        <f aca="false">AJ92+AK76</f>
        <v>1500000</v>
      </c>
      <c r="AL92" s="65" t="n">
        <f aca="false">AK92+AL76</f>
        <v>1500000</v>
      </c>
      <c r="AM92" s="65" t="n">
        <f aca="false">AL92+AM76</f>
        <v>1500000</v>
      </c>
      <c r="AN92" s="65" t="n">
        <f aca="false">AM92+AN76</f>
        <v>1500000</v>
      </c>
      <c r="AO92" s="65" t="n">
        <f aca="false">AN92+AO76</f>
        <v>1500000</v>
      </c>
      <c r="AP92" s="65" t="n">
        <f aca="false">AO92+AP76</f>
        <v>1500000</v>
      </c>
      <c r="AQ92" s="65" t="n">
        <f aca="false">AP92+AQ76</f>
        <v>1500000</v>
      </c>
      <c r="AR92" s="65" t="n">
        <f aca="false">AQ92+AR76</f>
        <v>1500000</v>
      </c>
      <c r="AS92" s="65" t="n">
        <f aca="false">AR92+AS76</f>
        <v>1500000</v>
      </c>
      <c r="AT92" s="65" t="n">
        <f aca="false">AS92+AT76</f>
        <v>1500000</v>
      </c>
      <c r="AU92" s="65" t="n">
        <f aca="false">AT92+AU76</f>
        <v>1500000</v>
      </c>
      <c r="AV92" s="65" t="n">
        <f aca="false">AU92+AV76</f>
        <v>1500000</v>
      </c>
      <c r="AW92" s="65" t="n">
        <f aca="false">AV92+AW76</f>
        <v>1500000</v>
      </c>
      <c r="AX92" s="65" t="n">
        <f aca="false">AW92+AX76</f>
        <v>1500000</v>
      </c>
      <c r="AY92" s="65" t="n">
        <f aca="false">AX92+AY76</f>
        <v>1500000</v>
      </c>
      <c r="AZ92" s="65" t="n">
        <f aca="false">AY92+AZ76</f>
        <v>1500000</v>
      </c>
      <c r="BA92" s="65" t="n">
        <f aca="false">AZ92+BA76</f>
        <v>1500000</v>
      </c>
      <c r="BB92" s="65" t="n">
        <f aca="false">BA92+BB76</f>
        <v>1500000</v>
      </c>
      <c r="BC92" s="65" t="n">
        <f aca="false">BB92+BC76</f>
        <v>1500000</v>
      </c>
      <c r="BD92" s="65" t="n">
        <f aca="false">BC92+BD76</f>
        <v>1500000</v>
      </c>
      <c r="BE92" s="65" t="n">
        <f aca="false">BD92+BE76</f>
        <v>1500000</v>
      </c>
      <c r="BF92" s="65" t="n">
        <f aca="false">BE92+BF76</f>
        <v>1500000</v>
      </c>
      <c r="BG92" s="65" t="n">
        <f aca="false">BF92+BG76</f>
        <v>1500000</v>
      </c>
      <c r="BH92" s="65" t="n">
        <f aca="false">BG92+BH76</f>
        <v>1500000</v>
      </c>
      <c r="BI92" s="65" t="n">
        <f aca="false">BH92+BI76</f>
        <v>1500000</v>
      </c>
      <c r="BJ92" s="65" t="n">
        <f aca="false">BI92+BJ76</f>
        <v>1500000</v>
      </c>
    </row>
    <row r="93" customFormat="false" ht="15" hidden="false" customHeight="false" outlineLevel="0" collapsed="false">
      <c r="A93" s="6" t="s">
        <v>98</v>
      </c>
      <c r="C93" s="65" t="n">
        <f aca="false">C50</f>
        <v>-81256.4759111111</v>
      </c>
      <c r="D93" s="65" t="n">
        <f aca="false">C93+D50</f>
        <v>-162485.174044445</v>
      </c>
      <c r="E93" s="65" t="n">
        <f aca="false">D93+E50</f>
        <v>-243658.316622222</v>
      </c>
      <c r="F93" s="65" t="n">
        <f aca="false">E93+F50</f>
        <v>-324775.903644445</v>
      </c>
      <c r="G93" s="65" t="n">
        <f aca="false">F93+G50</f>
        <v>-405837.935111111</v>
      </c>
      <c r="H93" s="65" t="n">
        <f aca="false">G93+H50</f>
        <v>-486844.411022222</v>
      </c>
      <c r="I93" s="65" t="n">
        <f aca="false">H93+I50</f>
        <v>-567795.331377778</v>
      </c>
      <c r="J93" s="65" t="n">
        <f aca="false">I93+J50</f>
        <v>-648690.696177778</v>
      </c>
      <c r="K93" s="65" t="n">
        <f aca="false">J93+K50</f>
        <v>-729530.505422222</v>
      </c>
      <c r="L93" s="65" t="n">
        <f aca="false">K93+L50</f>
        <v>-810314.759111111</v>
      </c>
      <c r="M93" s="65" t="n">
        <f aca="false">L93+M50</f>
        <v>-865096.788444445</v>
      </c>
      <c r="N93" s="65" t="n">
        <f aca="false">M93+N50</f>
        <v>-919823.262222222</v>
      </c>
      <c r="O93" s="65" t="n">
        <f aca="false">N93+O50</f>
        <v>-1018687.09806571</v>
      </c>
      <c r="P93" s="65" t="n">
        <f aca="false">O93+P50</f>
        <v>-1117495.37835365</v>
      </c>
      <c r="Q93" s="65" t="n">
        <f aca="false">P93+Q50</f>
        <v>-1216248.10308603</v>
      </c>
      <c r="R93" s="65" t="n">
        <f aca="false">Q93+R50</f>
        <v>-1314945.27226286</v>
      </c>
      <c r="S93" s="65" t="n">
        <f aca="false">R93+S50</f>
        <v>-1413586.88588413</v>
      </c>
      <c r="T93" s="65" t="n">
        <f aca="false">S93+T50</f>
        <v>-1512172.94394984</v>
      </c>
      <c r="U93" s="65" t="n">
        <f aca="false">T93+U50</f>
        <v>-1610703.44646</v>
      </c>
      <c r="V93" s="65" t="n">
        <f aca="false">U93+V50</f>
        <v>-1709178.3934146</v>
      </c>
      <c r="W93" s="65" t="n">
        <f aca="false">V93+W50</f>
        <v>-1807597.78481365</v>
      </c>
      <c r="X93" s="65" t="n">
        <f aca="false">W93+X50</f>
        <v>-1905961.62065714</v>
      </c>
      <c r="Y93" s="65" t="n">
        <f aca="false">X93+Y50</f>
        <v>-1970786.48526508</v>
      </c>
      <c r="Z93" s="65" t="n">
        <f aca="false">Y93+Z50</f>
        <v>-2035555.79431746</v>
      </c>
      <c r="AA93" s="65" t="n">
        <f aca="false">Z93+AA50</f>
        <v>-2159159.76290592</v>
      </c>
      <c r="AB93" s="65" t="n">
        <f aca="false">AA93+AB50</f>
        <v>-2282708.17593882</v>
      </c>
      <c r="AC93" s="65" t="n">
        <f aca="false">AB93+AC50</f>
        <v>-2406201.03341616</v>
      </c>
      <c r="AD93" s="65" t="n">
        <f aca="false">AC93+AD50</f>
        <v>-2529638.33533795</v>
      </c>
      <c r="AE93" s="65" t="n">
        <f aca="false">AD93+AE50</f>
        <v>-2653020.08170419</v>
      </c>
      <c r="AF93" s="65" t="n">
        <f aca="false">AE93+AF50</f>
        <v>-2776346.27251486</v>
      </c>
      <c r="AG93" s="65" t="n">
        <f aca="false">AF93+AG50</f>
        <v>-2899616.90776999</v>
      </c>
      <c r="AH93" s="65" t="n">
        <f aca="false">AG93+AH50</f>
        <v>-3022831.98746956</v>
      </c>
      <c r="AI93" s="65" t="n">
        <f aca="false">AH93+AI50</f>
        <v>-3145991.51161357</v>
      </c>
      <c r="AJ93" s="65" t="n">
        <f aca="false">AI93+AJ50</f>
        <v>-3269095.48020202</v>
      </c>
      <c r="AK93" s="65" t="n">
        <f aca="false">AJ93+AK50</f>
        <v>-3350987.81598692</v>
      </c>
      <c r="AL93" s="65" t="n">
        <f aca="false">AK93+AL50</f>
        <v>-3432824.59621627</v>
      </c>
      <c r="AM93" s="65" t="n">
        <f aca="false">AL93+AM50</f>
        <v>-3590363.05277904</v>
      </c>
      <c r="AN93" s="65" t="n">
        <f aca="false">AM93+AN50</f>
        <v>-3747845.95378625</v>
      </c>
      <c r="AO93" s="65" t="n">
        <f aca="false">AN93+AO50</f>
        <v>-3905273.29923791</v>
      </c>
      <c r="AP93" s="65" t="n">
        <f aca="false">AO93+AP50</f>
        <v>-4062645.08913402</v>
      </c>
      <c r="AQ93" s="65" t="n">
        <f aca="false">AP93+AQ50</f>
        <v>-4219961.32347456</v>
      </c>
      <c r="AR93" s="65" t="n">
        <f aca="false">AQ93+AR50</f>
        <v>-4377222.00225955</v>
      </c>
      <c r="AS93" s="65" t="n">
        <f aca="false">AR93+AS50</f>
        <v>-4534427.12548899</v>
      </c>
      <c r="AT93" s="65" t="n">
        <f aca="false">AS93+AT50</f>
        <v>-4691576.69316287</v>
      </c>
      <c r="AU93" s="65" t="n">
        <f aca="false">AT93+AU50</f>
        <v>-4848670.7052812</v>
      </c>
      <c r="AV93" s="65" t="n">
        <f aca="false">AU93+AV50</f>
        <v>-5005709.16184397</v>
      </c>
      <c r="AW93" s="65" t="n">
        <f aca="false">AV93+AW50</f>
        <v>-5113713.81787838</v>
      </c>
      <c r="AX93" s="65" t="n">
        <f aca="false">AW93+AX50</f>
        <v>-5221662.91835724</v>
      </c>
      <c r="AY93" s="65" t="n">
        <f aca="false">AX93+AY50</f>
        <v>-5424956.43773626</v>
      </c>
      <c r="AZ93" s="65" t="n">
        <f aca="false">AY93+AZ50</f>
        <v>-5628194.40155972</v>
      </c>
      <c r="BA93" s="65" t="n">
        <f aca="false">AZ93+BA50</f>
        <v>-5831376.80982762</v>
      </c>
      <c r="BB93" s="65" t="n">
        <f aca="false">BA93+BB50</f>
        <v>-6034503.66253997</v>
      </c>
      <c r="BC93" s="65" t="n">
        <f aca="false">BB93+BC50</f>
        <v>-6237574.95969677</v>
      </c>
      <c r="BD93" s="65" t="n">
        <f aca="false">BC93+BD50</f>
        <v>-6440590.70129801</v>
      </c>
      <c r="BE93" s="65" t="n">
        <f aca="false">BD93+BE50</f>
        <v>-6643550.88734369</v>
      </c>
      <c r="BF93" s="65" t="n">
        <f aca="false">BE93+BF50</f>
        <v>-6846455.51783382</v>
      </c>
      <c r="BG93" s="65" t="n">
        <f aca="false">BF93+BG50</f>
        <v>-7049304.59276839</v>
      </c>
      <c r="BH93" s="65" t="n">
        <f aca="false">BG93+BH50</f>
        <v>-7252098.11214741</v>
      </c>
      <c r="BI93" s="65" t="n">
        <f aca="false">BH93+BI50</f>
        <v>-7397871.20650079</v>
      </c>
      <c r="BJ93" s="65" t="n">
        <f aca="false">BI93+BJ50</f>
        <v>-7543588.74529861</v>
      </c>
    </row>
    <row r="94" customFormat="false" ht="15" hidden="false" customHeight="false" outlineLevel="0" collapsed="false">
      <c r="A94" s="4" t="s">
        <v>93</v>
      </c>
      <c r="C94" s="71" t="n">
        <f aca="false">C80+C66+C67+C57</f>
        <v>2040747.51608889</v>
      </c>
      <c r="D94" s="71" t="n">
        <f aca="false">D80+D66+D67+D57</f>
        <v>1951185.48462222</v>
      </c>
      <c r="E94" s="71" t="n">
        <f aca="false">E80+E66+E67+E57</f>
        <v>1861679.00871111</v>
      </c>
      <c r="F94" s="71" t="n">
        <f aca="false">F80+F66+F67+F57</f>
        <v>1772228.08835556</v>
      </c>
      <c r="G94" s="71" t="n">
        <f aca="false">G80+G66+G67+G57</f>
        <v>1682832.72355556</v>
      </c>
      <c r="H94" s="71" t="n">
        <f aca="false">H80+H66+H67+H57</f>
        <v>1593492.91431111</v>
      </c>
      <c r="I94" s="71" t="n">
        <f aca="false">I80+I66+I67+I57</f>
        <v>1504208.66062222</v>
      </c>
      <c r="J94" s="71" t="n">
        <f aca="false">J80+J66+J67+J57</f>
        <v>1414979.96248889</v>
      </c>
      <c r="K94" s="71" t="n">
        <f aca="false">K80+K66+K67+K57</f>
        <v>1325806.81991111</v>
      </c>
      <c r="L94" s="71" t="n">
        <f aca="false">L80+L66+L67+L57</f>
        <v>1236689.23288889</v>
      </c>
      <c r="M94" s="71" t="n">
        <f aca="false">M80+M66+M67+M57</f>
        <v>1201130.71822222</v>
      </c>
      <c r="N94" s="71" t="n">
        <f aca="false">N80+N66+N67+N57</f>
        <v>1138070.91111111</v>
      </c>
      <c r="O94" s="71" t="n">
        <f aca="false">O80+O66+O67+O57</f>
        <v>1031689.49313429</v>
      </c>
      <c r="P94" s="71" t="n">
        <f aca="false">P80+P66+P67+P57</f>
        <v>924547.879513016</v>
      </c>
      <c r="Q94" s="71" t="n">
        <f aca="false">Q80+Q66+Q67+Q57</f>
        <v>817461.821447301</v>
      </c>
      <c r="R94" s="71" t="n">
        <f aca="false">R80+R66+R67+R57</f>
        <v>710431.318937143</v>
      </c>
      <c r="S94" s="71" t="n">
        <f aca="false">S80+S66+S67+S57</f>
        <v>603456.37198254</v>
      </c>
      <c r="T94" s="71" t="n">
        <f aca="false">T80+T66+T67+T57</f>
        <v>496536.980583492</v>
      </c>
      <c r="U94" s="71" t="n">
        <f aca="false">U80+U66+U67+U57</f>
        <v>389673.14474</v>
      </c>
      <c r="V94" s="71" t="n">
        <f aca="false">V80+V66+V67+V57</f>
        <v>282864.864452063</v>
      </c>
      <c r="W94" s="71" t="n">
        <f aca="false">W80+W66+W67+W57</f>
        <v>176112.139719683</v>
      </c>
      <c r="X94" s="71" t="n">
        <f aca="false">X80+X66+X67+X57</f>
        <v>69414.9705428572</v>
      </c>
      <c r="Y94" s="71" t="n">
        <f aca="false">Y80+Y66+Y67+Y57</f>
        <v>30846.1054015874</v>
      </c>
      <c r="Z94" s="71" t="n">
        <f aca="false">Z80+Z66+Z67+Z57</f>
        <v>-42256.536984127</v>
      </c>
      <c r="AA94" s="71" t="n">
        <f aca="false">AA80+AA66+AA67+AA57</f>
        <v>-177968.212585917</v>
      </c>
      <c r="AB94" s="71" t="n">
        <f aca="false">AB80+AB66+AB67+AB57</f>
        <v>-309849.958952151</v>
      </c>
      <c r="AC94" s="71" t="n">
        <f aca="false">AC80+AC66+AC67+AC57</f>
        <v>-441676.149762829</v>
      </c>
      <c r="AD94" s="71" t="n">
        <f aca="false">AD80+AD66+AD67+AD57</f>
        <v>-573446.785017952</v>
      </c>
      <c r="AE94" s="71" t="n">
        <f aca="false">AE80+AE66+AE67+AE57</f>
        <v>-705161.86471752</v>
      </c>
      <c r="AF94" s="71" t="n">
        <f aca="false">AF80+AF66+AF67+AF57</f>
        <v>-836821.388861532</v>
      </c>
      <c r="AG94" s="71" t="n">
        <f aca="false">AG80+AG66+AG67+AG57</f>
        <v>-968425.357449988</v>
      </c>
      <c r="AH94" s="71" t="n">
        <f aca="false">AH80+AH66+AH67+AH57</f>
        <v>-1099973.77048289</v>
      </c>
      <c r="AI94" s="71" t="n">
        <f aca="false">AI80+AI66+AI67+AI57</f>
        <v>-1231466.62796023</v>
      </c>
      <c r="AJ94" s="71" t="n">
        <f aca="false">AJ80+AJ66+AJ67+AJ57</f>
        <v>-1362903.92988202</v>
      </c>
      <c r="AK94" s="71" t="n">
        <f aca="false">AK80+AK66+AK67+AK57</f>
        <v>-1411339.13292026</v>
      </c>
      <c r="AL94" s="71" t="n">
        <f aca="false">AL80+AL66+AL67+AL57</f>
        <v>-1501509.24648294</v>
      </c>
      <c r="AM94" s="71" t="n">
        <f aca="false">AM80+AM66+AM67+AM57</f>
        <v>-1675469.74742704</v>
      </c>
      <c r="AN94" s="71" t="n">
        <f aca="false">AN80+AN66+AN67+AN57</f>
        <v>-1841285.98176759</v>
      </c>
      <c r="AO94" s="71" t="n">
        <f aca="false">AO80+AO66+AO67+AO57</f>
        <v>-2007046.66055258</v>
      </c>
      <c r="AP94" s="71" t="n">
        <f aca="false">AP80+AP66+AP67+AP57</f>
        <v>-2172751.78378201</v>
      </c>
      <c r="AQ94" s="71" t="n">
        <f aca="false">AQ80+AQ66+AQ67+AQ57</f>
        <v>-2338401.3514559</v>
      </c>
      <c r="AR94" s="71" t="n">
        <f aca="false">AR80+AR66+AR67+AR57</f>
        <v>-2503995.36357422</v>
      </c>
      <c r="AS94" s="71" t="n">
        <f aca="false">AS80+AS66+AS67+AS57</f>
        <v>-2669533.82013699</v>
      </c>
      <c r="AT94" s="71" t="n">
        <f aca="false">AT80+AT66+AT67+AT57</f>
        <v>-2835016.7211442</v>
      </c>
      <c r="AU94" s="71" t="n">
        <f aca="false">AU80+AU66+AU67+AU57</f>
        <v>-3000444.06659586</v>
      </c>
      <c r="AV94" s="71" t="n">
        <f aca="false">AV80+AV66+AV67+AV57</f>
        <v>-3165815.85649196</v>
      </c>
      <c r="AW94" s="71" t="n">
        <f aca="false">AW80+AW66+AW67+AW57</f>
        <v>-3232976.73317171</v>
      </c>
      <c r="AX94" s="71" t="n">
        <f aca="false">AX80+AX66+AX67+AX57</f>
        <v>-3349259.1669839</v>
      </c>
      <c r="AY94" s="71" t="n">
        <f aca="false">AY80+AY66+AY67+AY57</f>
        <v>-3572945.66184905</v>
      </c>
      <c r="AZ94" s="71" t="n">
        <f aca="false">AZ80+AZ66+AZ67+AZ57</f>
        <v>-3784516.95900585</v>
      </c>
      <c r="BA94" s="71" t="n">
        <f aca="false">BA80+BA66+BA67+BA57</f>
        <v>-3996032.70060709</v>
      </c>
      <c r="BB94" s="71" t="n">
        <f aca="false">BB80+BB66+BB67+BB57</f>
        <v>-4207492.88665277</v>
      </c>
      <c r="BC94" s="71" t="n">
        <f aca="false">BC80+BC66+BC67+BC57</f>
        <v>-4418897.5171429</v>
      </c>
      <c r="BD94" s="71" t="n">
        <f aca="false">BD80+BD66+BD67+BD57</f>
        <v>-4630246.59207747</v>
      </c>
      <c r="BE94" s="71" t="n">
        <f aca="false">BE80+BE66+BE67+BE57</f>
        <v>-4841540.11145649</v>
      </c>
      <c r="BF94" s="71" t="n">
        <f aca="false">BF80+BF66+BF67+BF57</f>
        <v>-5052778.07527995</v>
      </c>
      <c r="BG94" s="71" t="n">
        <f aca="false">BG80+BG66+BG67+BG57</f>
        <v>-5263960.48354785</v>
      </c>
      <c r="BH94" s="71" t="n">
        <f aca="false">BH80+BH66+BH67+BH57</f>
        <v>-5475087.3362602</v>
      </c>
      <c r="BI94" s="71" t="n">
        <f aca="false">BI80+BI66+BI67+BI57</f>
        <v>-5572425.93999012</v>
      </c>
      <c r="BJ94" s="71" t="n">
        <f aca="false">BJ80+BJ66+BJ67+BJ57</f>
        <v>-5726476.81212128</v>
      </c>
    </row>
    <row r="95" customFormat="false" ht="15" hidden="false" customHeight="false" outlineLevel="0" collapsed="false">
      <c r="A95" s="6" t="s">
        <v>96</v>
      </c>
      <c r="C95" s="65" t="n">
        <f aca="false">C68+C63</f>
        <v>622003.992</v>
      </c>
      <c r="D95" s="65" t="n">
        <f aca="false">D68+D63</f>
        <v>613670.658666667</v>
      </c>
      <c r="E95" s="65" t="n">
        <f aca="false">E68+E63</f>
        <v>605337.325333333</v>
      </c>
      <c r="F95" s="65" t="n">
        <f aca="false">F68+F63</f>
        <v>597003.992</v>
      </c>
      <c r="G95" s="65" t="n">
        <f aca="false">G68+G63</f>
        <v>588670.658666667</v>
      </c>
      <c r="H95" s="65" t="n">
        <f aca="false">H68+H63</f>
        <v>580337.325333334</v>
      </c>
      <c r="I95" s="65" t="n">
        <f aca="false">I68+I63</f>
        <v>572003.992</v>
      </c>
      <c r="J95" s="65" t="n">
        <f aca="false">J68+J63</f>
        <v>563670.658666667</v>
      </c>
      <c r="K95" s="65" t="n">
        <f aca="false">K68+K63</f>
        <v>555337.325333334</v>
      </c>
      <c r="L95" s="65" t="n">
        <f aca="false">L68+L63</f>
        <v>547003.992</v>
      </c>
      <c r="M95" s="65" t="n">
        <f aca="false">M68+M63</f>
        <v>566227.506666667</v>
      </c>
      <c r="N95" s="65" t="n">
        <f aca="false">N68+N63</f>
        <v>557894.173333334</v>
      </c>
      <c r="O95" s="65" t="n">
        <f aca="false">O68+O63</f>
        <v>550376.5912</v>
      </c>
      <c r="P95" s="65" t="n">
        <f aca="false">P68+P63</f>
        <v>542043.257866667</v>
      </c>
      <c r="Q95" s="65" t="n">
        <f aca="false">Q68+Q63</f>
        <v>533709.924533334</v>
      </c>
      <c r="R95" s="65" t="n">
        <f aca="false">R68+R63</f>
        <v>525376.5912</v>
      </c>
      <c r="S95" s="65" t="n">
        <f aca="false">S68+S63</f>
        <v>517043.257866667</v>
      </c>
      <c r="T95" s="65" t="n">
        <f aca="false">T68+T63</f>
        <v>508709.924533334</v>
      </c>
      <c r="U95" s="65" t="n">
        <f aca="false">U68+U63</f>
        <v>500376.5912</v>
      </c>
      <c r="V95" s="65" t="n">
        <f aca="false">V68+V63</f>
        <v>492043.257866667</v>
      </c>
      <c r="W95" s="65" t="n">
        <f aca="false">W68+W63</f>
        <v>483709.924533334</v>
      </c>
      <c r="X95" s="65" t="n">
        <f aca="false">X68+X63</f>
        <v>475376.5912</v>
      </c>
      <c r="Y95" s="65" t="n">
        <f aca="false">Y68+Y63</f>
        <v>501632.590666667</v>
      </c>
      <c r="Z95" s="65" t="n">
        <f aca="false">Z68+Z63</f>
        <v>493299.257333334</v>
      </c>
      <c r="AA95" s="65" t="n">
        <f aca="false">AA68+AA63</f>
        <v>481191.550320001</v>
      </c>
      <c r="AB95" s="65" t="n">
        <f aca="false">AB68+AB63</f>
        <v>472858.216986667</v>
      </c>
      <c r="AC95" s="65" t="n">
        <f aca="false">AC68+AC63</f>
        <v>464524.883653334</v>
      </c>
      <c r="AD95" s="65" t="n">
        <f aca="false">AD68+AD63</f>
        <v>456191.550320001</v>
      </c>
      <c r="AE95" s="65" t="n">
        <f aca="false">AE68+AE63</f>
        <v>447858.216986667</v>
      </c>
      <c r="AF95" s="65" t="n">
        <f aca="false">AF68+AF63</f>
        <v>439524.883653334</v>
      </c>
      <c r="AG95" s="65" t="n">
        <f aca="false">AG68+AG63</f>
        <v>431191.550320001</v>
      </c>
      <c r="AH95" s="65" t="n">
        <f aca="false">AH68+AH63</f>
        <v>422858.216986667</v>
      </c>
      <c r="AI95" s="65" t="n">
        <f aca="false">AI68+AI63</f>
        <v>414524.883653334</v>
      </c>
      <c r="AJ95" s="65" t="n">
        <f aca="false">AJ68+AJ63</f>
        <v>406191.550320001</v>
      </c>
      <c r="AK95" s="65" t="n">
        <f aca="false">AK68+AK63</f>
        <v>439648.683066667</v>
      </c>
      <c r="AL95" s="65" t="n">
        <f aca="false">AL68+AL63</f>
        <v>431315.349733334</v>
      </c>
      <c r="AM95" s="65" t="n">
        <f aca="false">AM68+AM63</f>
        <v>414893.305352</v>
      </c>
      <c r="AN95" s="65" t="n">
        <f aca="false">AN68+AN63</f>
        <v>406559.972018667</v>
      </c>
      <c r="AO95" s="65" t="n">
        <f aca="false">AO68+AO63</f>
        <v>398226.638685334</v>
      </c>
      <c r="AP95" s="65" t="n">
        <f aca="false">AP68+AP63</f>
        <v>389893.305352</v>
      </c>
      <c r="AQ95" s="65" t="n">
        <f aca="false">AQ68+AQ63</f>
        <v>381559.972018667</v>
      </c>
      <c r="AR95" s="65" t="n">
        <f aca="false">AR68+AR63</f>
        <v>373226.638685334</v>
      </c>
      <c r="AS95" s="65" t="n">
        <f aca="false">AS68+AS63</f>
        <v>364893.305352</v>
      </c>
      <c r="AT95" s="65" t="n">
        <f aca="false">AT68+AT63</f>
        <v>356559.972018667</v>
      </c>
      <c r="AU95" s="65" t="n">
        <f aca="false">AU68+AU63</f>
        <v>348226.638685334</v>
      </c>
      <c r="AV95" s="65" t="n">
        <f aca="false">AV68+AV63</f>
        <v>339893.305352</v>
      </c>
      <c r="AW95" s="65" t="n">
        <f aca="false">AW68+AW63</f>
        <v>380737.084706667</v>
      </c>
      <c r="AX95" s="65" t="n">
        <f aca="false">AX68+AX63</f>
        <v>372403.751373334</v>
      </c>
      <c r="AY95" s="65" t="n">
        <f aca="false">AY68+AY63</f>
        <v>352010.775887201</v>
      </c>
      <c r="AZ95" s="65" t="n">
        <f aca="false">AZ68+AZ63</f>
        <v>343677.442553867</v>
      </c>
      <c r="BA95" s="65" t="n">
        <f aca="false">BA68+BA63</f>
        <v>335344.109220534</v>
      </c>
      <c r="BB95" s="65" t="n">
        <f aca="false">BB68+BB63</f>
        <v>327010.775887201</v>
      </c>
      <c r="BC95" s="65" t="n">
        <f aca="false">BC68+BC63</f>
        <v>318677.442553867</v>
      </c>
      <c r="BD95" s="65" t="n">
        <f aca="false">BD68+BD63</f>
        <v>310344.109220534</v>
      </c>
      <c r="BE95" s="65" t="n">
        <f aca="false">BE68+BE63</f>
        <v>302010.775887201</v>
      </c>
      <c r="BF95" s="65" t="n">
        <f aca="false">BF68+BF63</f>
        <v>293677.442553867</v>
      </c>
      <c r="BG95" s="65" t="n">
        <f aca="false">BG68+BG63</f>
        <v>285344.109220534</v>
      </c>
      <c r="BH95" s="65" t="n">
        <f aca="false">BH68+BH63</f>
        <v>277010.775887201</v>
      </c>
      <c r="BI95" s="65" t="n">
        <f aca="false">BI68+BI63</f>
        <v>325445.266510667</v>
      </c>
      <c r="BJ95" s="65" t="n">
        <f aca="false">BJ68+BJ63</f>
        <v>317111.933177334</v>
      </c>
    </row>
    <row r="96" customFormat="false" ht="15" hidden="false" customHeight="false" outlineLevel="0" collapsed="false">
      <c r="A96" s="6" t="s">
        <v>99</v>
      </c>
      <c r="C96" s="65" t="n">
        <f aca="false">C92+C93</f>
        <v>1418743.52408889</v>
      </c>
      <c r="D96" s="65" t="n">
        <f aca="false">D92+D93</f>
        <v>1337514.82595556</v>
      </c>
      <c r="E96" s="65" t="n">
        <f aca="false">E92+E93</f>
        <v>1256341.68337778</v>
      </c>
      <c r="F96" s="65" t="n">
        <f aca="false">F92+F93</f>
        <v>1175224.09635556</v>
      </c>
      <c r="G96" s="65" t="n">
        <f aca="false">G92+G93</f>
        <v>1094162.06488889</v>
      </c>
      <c r="H96" s="65" t="n">
        <f aca="false">H92+H93</f>
        <v>1013155.58897778</v>
      </c>
      <c r="I96" s="65" t="n">
        <f aca="false">I92+I93</f>
        <v>932204.668622222</v>
      </c>
      <c r="J96" s="65" t="n">
        <f aca="false">J92+J93</f>
        <v>851309.303822222</v>
      </c>
      <c r="K96" s="65" t="n">
        <f aca="false">K92+K93</f>
        <v>770469.494577778</v>
      </c>
      <c r="L96" s="65" t="n">
        <f aca="false">L92+L93</f>
        <v>689685.240888889</v>
      </c>
      <c r="M96" s="65" t="n">
        <f aca="false">M92+M93</f>
        <v>634903.211555555</v>
      </c>
      <c r="N96" s="65" t="n">
        <f aca="false">N92+N93</f>
        <v>580176.737777778</v>
      </c>
      <c r="O96" s="65" t="n">
        <f aca="false">O92+O93</f>
        <v>481312.901934286</v>
      </c>
      <c r="P96" s="65" t="n">
        <f aca="false">P92+P93</f>
        <v>382504.621646349</v>
      </c>
      <c r="Q96" s="65" t="n">
        <f aca="false">Q92+Q93</f>
        <v>283751.896913968</v>
      </c>
      <c r="R96" s="65" t="n">
        <f aca="false">R92+R93</f>
        <v>185054.727737143</v>
      </c>
      <c r="S96" s="65" t="n">
        <f aca="false">S92+S93</f>
        <v>86413.1141158731</v>
      </c>
      <c r="T96" s="65" t="n">
        <f aca="false">T92+T93</f>
        <v>-12172.9439498412</v>
      </c>
      <c r="U96" s="65" t="n">
        <f aca="false">U92+U93</f>
        <v>-110703.44646</v>
      </c>
      <c r="V96" s="65" t="n">
        <f aca="false">V92+V93</f>
        <v>-209178.393414603</v>
      </c>
      <c r="W96" s="65" t="n">
        <f aca="false">W92+W93</f>
        <v>-307597.784813651</v>
      </c>
      <c r="X96" s="65" t="n">
        <f aca="false">X92+X93</f>
        <v>-405961.620657143</v>
      </c>
      <c r="Y96" s="65" t="n">
        <f aca="false">Y92+Y93</f>
        <v>-470786.485265079</v>
      </c>
      <c r="Z96" s="65" t="n">
        <f aca="false">Z92+Z93</f>
        <v>-535555.79431746</v>
      </c>
      <c r="AA96" s="65" t="n">
        <f aca="false">AA92+AA93</f>
        <v>-659159.762905917</v>
      </c>
      <c r="AB96" s="65" t="n">
        <f aca="false">AB92+AB93</f>
        <v>-782708.175938817</v>
      </c>
      <c r="AC96" s="65" t="n">
        <f aca="false">AC92+AC93</f>
        <v>-906201.033416162</v>
      </c>
      <c r="AD96" s="65" t="n">
        <f aca="false">AD92+AD93</f>
        <v>-1029638.33533795</v>
      </c>
      <c r="AE96" s="65" t="n">
        <f aca="false">AE92+AE93</f>
        <v>-1153020.08170419</v>
      </c>
      <c r="AF96" s="65" t="n">
        <f aca="false">AF92+AF93</f>
        <v>-1276346.27251486</v>
      </c>
      <c r="AG96" s="65" t="n">
        <f aca="false">AG92+AG93</f>
        <v>-1399616.90776999</v>
      </c>
      <c r="AH96" s="65" t="n">
        <f aca="false">AH92+AH93</f>
        <v>-1522831.98746955</v>
      </c>
      <c r="AI96" s="65" t="n">
        <f aca="false">AI92+AI93</f>
        <v>-1645991.51161357</v>
      </c>
      <c r="AJ96" s="65" t="n">
        <f aca="false">AJ92+AJ93</f>
        <v>-1769095.48020202</v>
      </c>
      <c r="AK96" s="65" t="n">
        <f aca="false">AK92+AK93</f>
        <v>-1850987.81598692</v>
      </c>
      <c r="AL96" s="65" t="n">
        <f aca="false">AL92+AL93</f>
        <v>-1932824.59621627</v>
      </c>
      <c r="AM96" s="65" t="n">
        <f aca="false">AM92+AM93</f>
        <v>-2090363.05277904</v>
      </c>
      <c r="AN96" s="65" t="n">
        <f aca="false">AN92+AN93</f>
        <v>-2247845.95378625</v>
      </c>
      <c r="AO96" s="65" t="n">
        <f aca="false">AO92+AO93</f>
        <v>-2405273.29923791</v>
      </c>
      <c r="AP96" s="65" t="n">
        <f aca="false">AP92+AP93</f>
        <v>-2562645.08913402</v>
      </c>
      <c r="AQ96" s="65" t="n">
        <f aca="false">AQ92+AQ93</f>
        <v>-2719961.32347456</v>
      </c>
      <c r="AR96" s="65" t="n">
        <f aca="false">AR92+AR93</f>
        <v>-2877222.00225955</v>
      </c>
      <c r="AS96" s="65" t="n">
        <f aca="false">AS92+AS93</f>
        <v>-3034427.12548899</v>
      </c>
      <c r="AT96" s="65" t="n">
        <f aca="false">AT92+AT93</f>
        <v>-3191576.69316287</v>
      </c>
      <c r="AU96" s="65" t="n">
        <f aca="false">AU92+AU93</f>
        <v>-3348670.7052812</v>
      </c>
      <c r="AV96" s="65" t="n">
        <f aca="false">AV92+AV93</f>
        <v>-3505709.16184397</v>
      </c>
      <c r="AW96" s="65" t="n">
        <f aca="false">AW92+AW93</f>
        <v>-3613713.81787838</v>
      </c>
      <c r="AX96" s="65" t="n">
        <f aca="false">AX92+AX93</f>
        <v>-3721662.91835724</v>
      </c>
      <c r="AY96" s="65" t="n">
        <f aca="false">AY92+AY93</f>
        <v>-3924956.43773626</v>
      </c>
      <c r="AZ96" s="65" t="n">
        <f aca="false">AZ92+AZ93</f>
        <v>-4128194.40155972</v>
      </c>
      <c r="BA96" s="65" t="n">
        <f aca="false">BA92+BA93</f>
        <v>-4331376.80982762</v>
      </c>
      <c r="BB96" s="65" t="n">
        <f aca="false">BB92+BB93</f>
        <v>-4534503.66253997</v>
      </c>
      <c r="BC96" s="65" t="n">
        <f aca="false">BC92+BC93</f>
        <v>-4737574.95969677</v>
      </c>
      <c r="BD96" s="65" t="n">
        <f aca="false">BD92+BD93</f>
        <v>-4940590.70129801</v>
      </c>
      <c r="BE96" s="65" t="n">
        <f aca="false">BE92+BE93</f>
        <v>-5143550.88734369</v>
      </c>
      <c r="BF96" s="65" t="n">
        <f aca="false">BF92+BF93</f>
        <v>-5346455.51783382</v>
      </c>
      <c r="BG96" s="65" t="n">
        <f aca="false">BG92+BG93</f>
        <v>-5549304.59276839</v>
      </c>
      <c r="BH96" s="65" t="n">
        <f aca="false">BH92+BH93</f>
        <v>-5752098.11214741</v>
      </c>
      <c r="BI96" s="65" t="n">
        <f aca="false">BI92+BI93</f>
        <v>-5897871.20650079</v>
      </c>
      <c r="BJ96" s="65" t="n">
        <f aca="false">BJ92+BJ93</f>
        <v>-6043588.74529861</v>
      </c>
    </row>
    <row r="97" customFormat="false" ht="15" hidden="false" customHeight="false" outlineLevel="0" collapsed="false">
      <c r="A97" s="4" t="s">
        <v>100</v>
      </c>
      <c r="C97" s="71" t="n">
        <f aca="false">C95+C96</f>
        <v>2040747.51608889</v>
      </c>
      <c r="D97" s="71" t="n">
        <f aca="false">D95+D96</f>
        <v>1951185.48462222</v>
      </c>
      <c r="E97" s="71" t="n">
        <f aca="false">E95+E96</f>
        <v>1861679.00871111</v>
      </c>
      <c r="F97" s="71" t="n">
        <f aca="false">F95+F96</f>
        <v>1772228.08835556</v>
      </c>
      <c r="G97" s="71" t="n">
        <f aca="false">G95+G96</f>
        <v>1682832.72355556</v>
      </c>
      <c r="H97" s="71" t="n">
        <f aca="false">H95+H96</f>
        <v>1593492.91431111</v>
      </c>
      <c r="I97" s="71" t="n">
        <f aca="false">I95+I96</f>
        <v>1504208.66062222</v>
      </c>
      <c r="J97" s="71" t="n">
        <f aca="false">J95+J96</f>
        <v>1414979.96248889</v>
      </c>
      <c r="K97" s="71" t="n">
        <f aca="false">K95+K96</f>
        <v>1325806.81991111</v>
      </c>
      <c r="L97" s="71" t="n">
        <f aca="false">L95+L96</f>
        <v>1236689.23288889</v>
      </c>
      <c r="M97" s="71" t="n">
        <f aca="false">M95+M96</f>
        <v>1201130.71822222</v>
      </c>
      <c r="N97" s="71" t="n">
        <f aca="false">N95+N96</f>
        <v>1138070.91111111</v>
      </c>
      <c r="O97" s="71" t="n">
        <f aca="false">O95+O96</f>
        <v>1031689.49313429</v>
      </c>
      <c r="P97" s="71" t="n">
        <f aca="false">P95+P96</f>
        <v>924547.879513016</v>
      </c>
      <c r="Q97" s="71" t="n">
        <f aca="false">Q95+Q96</f>
        <v>817461.821447302</v>
      </c>
      <c r="R97" s="71" t="n">
        <f aca="false">R95+R96</f>
        <v>710431.318937143</v>
      </c>
      <c r="S97" s="71" t="n">
        <f aca="false">S95+S96</f>
        <v>603456.37198254</v>
      </c>
      <c r="T97" s="71" t="n">
        <f aca="false">T95+T96</f>
        <v>496536.980583492</v>
      </c>
      <c r="U97" s="71" t="n">
        <f aca="false">U95+U96</f>
        <v>389673.14474</v>
      </c>
      <c r="V97" s="71" t="n">
        <f aca="false">V95+V96</f>
        <v>282864.864452064</v>
      </c>
      <c r="W97" s="71" t="n">
        <f aca="false">W95+W96</f>
        <v>176112.139719683</v>
      </c>
      <c r="X97" s="71" t="n">
        <f aca="false">X95+X96</f>
        <v>69414.9705428577</v>
      </c>
      <c r="Y97" s="71" t="n">
        <f aca="false">Y95+Y96</f>
        <v>30846.1054015879</v>
      </c>
      <c r="Z97" s="71" t="n">
        <f aca="false">Z95+Z96</f>
        <v>-42256.5369841263</v>
      </c>
      <c r="AA97" s="71" t="n">
        <f aca="false">AA95+AA96</f>
        <v>-177968.212585916</v>
      </c>
      <c r="AB97" s="71" t="n">
        <f aca="false">AB95+AB96</f>
        <v>-309849.95895215</v>
      </c>
      <c r="AC97" s="71" t="n">
        <f aca="false">AC95+AC96</f>
        <v>-441676.149762828</v>
      </c>
      <c r="AD97" s="71" t="n">
        <f aca="false">AD95+AD96</f>
        <v>-573446.785017951</v>
      </c>
      <c r="AE97" s="71" t="n">
        <f aca="false">AE95+AE96</f>
        <v>-705161.864717519</v>
      </c>
      <c r="AF97" s="71" t="n">
        <f aca="false">AF95+AF96</f>
        <v>-836821.388861531</v>
      </c>
      <c r="AG97" s="71" t="n">
        <f aca="false">AG95+AG96</f>
        <v>-968425.357449987</v>
      </c>
      <c r="AH97" s="71" t="n">
        <f aca="false">AH95+AH96</f>
        <v>-1099973.77048289</v>
      </c>
      <c r="AI97" s="71" t="n">
        <f aca="false">AI95+AI96</f>
        <v>-1231466.62796023</v>
      </c>
      <c r="AJ97" s="71" t="n">
        <f aca="false">AJ95+AJ96</f>
        <v>-1362903.92988202</v>
      </c>
      <c r="AK97" s="71" t="n">
        <f aca="false">AK95+AK96</f>
        <v>-1411339.13292026</v>
      </c>
      <c r="AL97" s="71" t="n">
        <f aca="false">AL95+AL96</f>
        <v>-1501509.24648294</v>
      </c>
      <c r="AM97" s="71" t="n">
        <f aca="false">AM95+AM96</f>
        <v>-1675469.74742704</v>
      </c>
      <c r="AN97" s="71" t="n">
        <f aca="false">AN95+AN96</f>
        <v>-1841285.98176759</v>
      </c>
      <c r="AO97" s="71" t="n">
        <f aca="false">AO95+AO96</f>
        <v>-2007046.66055258</v>
      </c>
      <c r="AP97" s="71" t="n">
        <f aca="false">AP95+AP96</f>
        <v>-2172751.78378201</v>
      </c>
      <c r="AQ97" s="71" t="n">
        <f aca="false">AQ95+AQ96</f>
        <v>-2338401.3514559</v>
      </c>
      <c r="AR97" s="71" t="n">
        <f aca="false">AR95+AR96</f>
        <v>-2503995.36357422</v>
      </c>
      <c r="AS97" s="71" t="n">
        <f aca="false">AS95+AS96</f>
        <v>-2669533.82013699</v>
      </c>
      <c r="AT97" s="71" t="n">
        <f aca="false">AT95+AT96</f>
        <v>-2835016.7211442</v>
      </c>
      <c r="AU97" s="71" t="n">
        <f aca="false">AU95+AU96</f>
        <v>-3000444.06659586</v>
      </c>
      <c r="AV97" s="71" t="n">
        <f aca="false">AV95+AV96</f>
        <v>-3165815.85649197</v>
      </c>
      <c r="AW97" s="71" t="n">
        <f aca="false">AW95+AW96</f>
        <v>-3232976.73317171</v>
      </c>
      <c r="AX97" s="71" t="n">
        <f aca="false">AX95+AX96</f>
        <v>-3349259.1669839</v>
      </c>
      <c r="AY97" s="71" t="n">
        <f aca="false">AY95+AY96</f>
        <v>-3572945.66184905</v>
      </c>
      <c r="AZ97" s="71" t="n">
        <f aca="false">AZ95+AZ96</f>
        <v>-3784516.95900585</v>
      </c>
      <c r="BA97" s="71" t="n">
        <f aca="false">BA95+BA96</f>
        <v>-3996032.70060709</v>
      </c>
      <c r="BB97" s="71" t="n">
        <f aca="false">BB95+BB96</f>
        <v>-4207492.88665277</v>
      </c>
      <c r="BC97" s="71" t="n">
        <f aca="false">BC95+BC96</f>
        <v>-4418897.5171429</v>
      </c>
      <c r="BD97" s="71" t="n">
        <f aca="false">BD95+BD96</f>
        <v>-4630246.59207747</v>
      </c>
      <c r="BE97" s="71" t="n">
        <f aca="false">BE95+BE96</f>
        <v>-4841540.11145649</v>
      </c>
      <c r="BF97" s="71" t="n">
        <f aca="false">BF95+BF96</f>
        <v>-5052778.07527995</v>
      </c>
      <c r="BG97" s="71" t="n">
        <f aca="false">BG95+BG96</f>
        <v>-5263960.48354785</v>
      </c>
      <c r="BH97" s="71" t="n">
        <f aca="false">BH95+BH96</f>
        <v>-5475087.3362602</v>
      </c>
      <c r="BI97" s="71" t="n">
        <f aca="false">BI95+BI96</f>
        <v>-5572425.93999012</v>
      </c>
      <c r="BJ97" s="71" t="n">
        <f aca="false">BJ95+BJ96</f>
        <v>-5726476.81212128</v>
      </c>
    </row>
    <row r="98" customFormat="false" ht="15" hidden="false" customHeight="false" outlineLevel="0" collapsed="false">
      <c r="A98" s="6" t="s">
        <v>441</v>
      </c>
      <c r="C98" s="65" t="n">
        <f aca="false">C94-C97</f>
        <v>0</v>
      </c>
      <c r="D98" s="65" t="n">
        <f aca="false">D94-D97</f>
        <v>0</v>
      </c>
      <c r="E98" s="65" t="n">
        <f aca="false">E94-E97</f>
        <v>0</v>
      </c>
      <c r="F98" s="65" t="n">
        <f aca="false">F94-F97</f>
        <v>0</v>
      </c>
      <c r="G98" s="65" t="n">
        <f aca="false">G94-G97</f>
        <v>0</v>
      </c>
      <c r="H98" s="65" t="n">
        <f aca="false">H94-H97</f>
        <v>0</v>
      </c>
      <c r="I98" s="65" t="n">
        <f aca="false">I94-I97</f>
        <v>0</v>
      </c>
      <c r="J98" s="65" t="n">
        <f aca="false">J94-J97</f>
        <v>0</v>
      </c>
      <c r="K98" s="65" t="n">
        <f aca="false">K94-K97</f>
        <v>0</v>
      </c>
      <c r="L98" s="65" t="n">
        <f aca="false">L94-L97</f>
        <v>0</v>
      </c>
      <c r="M98" s="65" t="n">
        <f aca="false">M94-M97</f>
        <v>0</v>
      </c>
      <c r="N98" s="65" t="n">
        <f aca="false">N94-N97</f>
        <v>0</v>
      </c>
      <c r="O98" s="65" t="n">
        <f aca="false">O94-O97</f>
        <v>0</v>
      </c>
      <c r="P98" s="65" t="n">
        <f aca="false">P94-P97</f>
        <v>0</v>
      </c>
      <c r="Q98" s="65" t="n">
        <f aca="false">Q94-Q97</f>
        <v>0</v>
      </c>
      <c r="R98" s="65" t="n">
        <f aca="false">R94-R97</f>
        <v>0</v>
      </c>
      <c r="S98" s="65" t="n">
        <f aca="false">S94-S97</f>
        <v>0</v>
      </c>
      <c r="T98" s="65" t="n">
        <f aca="false">T94-T97</f>
        <v>0</v>
      </c>
      <c r="U98" s="65" t="n">
        <f aca="false">U94-U97</f>
        <v>0</v>
      </c>
      <c r="V98" s="65" t="n">
        <f aca="false">V94-V97</f>
        <v>0</v>
      </c>
      <c r="W98" s="65" t="n">
        <f aca="false">W94-W97</f>
        <v>0</v>
      </c>
      <c r="X98" s="65" t="n">
        <f aca="false">X94-X97</f>
        <v>-4.65661287307739E-010</v>
      </c>
      <c r="Y98" s="65" t="n">
        <f aca="false">Y94-Y97</f>
        <v>-5.23868948221207E-010</v>
      </c>
      <c r="Z98" s="65" t="n">
        <f aca="false">Z94-Z97</f>
        <v>-6.40284270048142E-010</v>
      </c>
      <c r="AA98" s="65" t="n">
        <f aca="false">AA94-AA97</f>
        <v>0</v>
      </c>
      <c r="AB98" s="65" t="n">
        <f aca="false">AB94-AB97</f>
        <v>0</v>
      </c>
      <c r="AC98" s="65" t="n">
        <f aca="false">AC94-AC97</f>
        <v>0</v>
      </c>
      <c r="AD98" s="65" t="n">
        <f aca="false">AD94-AD97</f>
        <v>0</v>
      </c>
      <c r="AE98" s="65" t="n">
        <f aca="false">AE94-AE97</f>
        <v>0</v>
      </c>
      <c r="AF98" s="65" t="n">
        <f aca="false">AF94-AF97</f>
        <v>0</v>
      </c>
      <c r="AG98" s="65" t="n">
        <f aca="false">AG94-AG97</f>
        <v>0</v>
      </c>
      <c r="AH98" s="65" t="n">
        <f aca="false">AH94-AH97</f>
        <v>0</v>
      </c>
      <c r="AI98" s="65" t="n">
        <f aca="false">AI94-AI97</f>
        <v>0</v>
      </c>
      <c r="AJ98" s="65" t="n">
        <f aca="false">AJ94-AJ97</f>
        <v>0</v>
      </c>
      <c r="AK98" s="65" t="n">
        <f aca="false">AK94-AK97</f>
        <v>0</v>
      </c>
      <c r="AL98" s="65" t="n">
        <f aca="false">AL94-AL97</f>
        <v>0</v>
      </c>
      <c r="AM98" s="65" t="n">
        <f aca="false">AM94-AM97</f>
        <v>0</v>
      </c>
      <c r="AN98" s="65" t="n">
        <f aca="false">AN94-AN97</f>
        <v>0</v>
      </c>
      <c r="AO98" s="65" t="n">
        <f aca="false">AO94-AO97</f>
        <v>0</v>
      </c>
      <c r="AP98" s="65" t="n">
        <f aca="false">AP94-AP97</f>
        <v>0</v>
      </c>
      <c r="AQ98" s="65" t="n">
        <f aca="false">AQ94-AQ97</f>
        <v>0</v>
      </c>
      <c r="AR98" s="65" t="n">
        <f aca="false">AR94-AR97</f>
        <v>0</v>
      </c>
      <c r="AS98" s="65" t="n">
        <f aca="false">AS94-AS97</f>
        <v>0</v>
      </c>
      <c r="AT98" s="65" t="n">
        <f aca="false">AT94-AT97</f>
        <v>0</v>
      </c>
      <c r="AU98" s="65" t="n">
        <f aca="false">AU94-AU97</f>
        <v>0</v>
      </c>
      <c r="AV98" s="65" t="n">
        <f aca="false">AV94-AV97</f>
        <v>0</v>
      </c>
      <c r="AW98" s="65" t="n">
        <f aca="false">AW94-AW97</f>
        <v>0</v>
      </c>
      <c r="AX98" s="65" t="n">
        <f aca="false">AX94-AX97</f>
        <v>0</v>
      </c>
      <c r="AY98" s="65" t="n">
        <f aca="false">AY94-AY97</f>
        <v>0</v>
      </c>
      <c r="AZ98" s="65" t="n">
        <f aca="false">AZ94-AZ97</f>
        <v>0</v>
      </c>
      <c r="BA98" s="65" t="n">
        <f aca="false">BA94-BA97</f>
        <v>0</v>
      </c>
      <c r="BB98" s="65" t="n">
        <f aca="false">BB94-BB97</f>
        <v>0</v>
      </c>
      <c r="BC98" s="65" t="n">
        <f aca="false">BC94-BC97</f>
        <v>0</v>
      </c>
      <c r="BD98" s="65" t="n">
        <f aca="false">BD94-BD97</f>
        <v>0</v>
      </c>
      <c r="BE98" s="65" t="n">
        <f aca="false">BE94-BE97</f>
        <v>0</v>
      </c>
      <c r="BF98" s="65" t="n">
        <f aca="false">BF94-BF97</f>
        <v>0</v>
      </c>
      <c r="BG98" s="65" t="n">
        <f aca="false">BG94-BG97</f>
        <v>0</v>
      </c>
      <c r="BH98" s="65" t="n">
        <f aca="false">BH94-BH97</f>
        <v>0</v>
      </c>
      <c r="BI98" s="65" t="n">
        <f aca="false">BI94-BI97</f>
        <v>0</v>
      </c>
      <c r="BJ98" s="65" t="n">
        <f aca="false">BJ94-BJ97</f>
        <v>0</v>
      </c>
    </row>
    <row r="100" customFormat="false" ht="15.75" hidden="false" customHeight="true" outlineLevel="0" collapsed="false">
      <c r="A100" s="7" t="s">
        <v>443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customFormat="false" ht="15" hidden="false" customHeight="false" outlineLevel="0" collapsed="false">
      <c r="A101" s="6" t="s">
        <v>444</v>
      </c>
      <c r="C101" s="114" t="n">
        <f aca="false">Inputs!$B$38*(1+Inputs!$B$40)^(C$7-1)*MAX(0,MIN(1,C$6*1-Inputs!$B$41+1))/1</f>
        <v>6</v>
      </c>
      <c r="D101" s="114" t="n">
        <f aca="false">Inputs!$B$38*(1+Inputs!$B$40)^(D$7-1)*MAX(0,MIN(1,D$6*1-Inputs!$B$41+1))/1</f>
        <v>6</v>
      </c>
      <c r="E101" s="114" t="n">
        <f aca="false">Inputs!$B$38*(1+Inputs!$B$40)^(E$7-1)*MAX(0,MIN(1,E$6*1-Inputs!$B$41+1))/1</f>
        <v>6</v>
      </c>
      <c r="F101" s="114" t="n">
        <f aca="false">Inputs!$B$38*(1+Inputs!$B$40)^(F$7-1)*MAX(0,MIN(1,F$6*1-Inputs!$B$41+1))/1</f>
        <v>6</v>
      </c>
      <c r="G101" s="114" t="n">
        <f aca="false">Inputs!$B$38*(1+Inputs!$B$40)^(G$7-1)*MAX(0,MIN(1,G$6*1-Inputs!$B$41+1))/1</f>
        <v>6</v>
      </c>
      <c r="H101" s="114" t="n">
        <f aca="false">Inputs!$B$38*(1+Inputs!$B$40)^(H$7-1)*MAX(0,MIN(1,H$6*1-Inputs!$B$41+1))/1</f>
        <v>6</v>
      </c>
      <c r="I101" s="114" t="n">
        <f aca="false">Inputs!$B$38*(1+Inputs!$B$40)^(I$7-1)*MAX(0,MIN(1,I$6*1-Inputs!$B$41+1))/1</f>
        <v>6</v>
      </c>
      <c r="J101" s="114" t="n">
        <f aca="false">Inputs!$B$38*(1+Inputs!$B$40)^(J$7-1)*MAX(0,MIN(1,J$6*1-Inputs!$B$41+1))/1</f>
        <v>6</v>
      </c>
      <c r="K101" s="114" t="n">
        <f aca="false">Inputs!$B$38*(1+Inputs!$B$40)^(K$7-1)*MAX(0,MIN(1,K$6*1-Inputs!$B$41+1))/1</f>
        <v>6</v>
      </c>
      <c r="L101" s="114" t="n">
        <f aca="false">Inputs!$B$38*(1+Inputs!$B$40)^(L$7-1)*MAX(0,MIN(1,L$6*1-Inputs!$B$41+1))/1</f>
        <v>6</v>
      </c>
      <c r="M101" s="114" t="n">
        <f aca="false">Inputs!$B$38*(1+Inputs!$B$40)^(M$7-1)*MAX(0,MIN(1,M$6*1-Inputs!$B$41+1))/1</f>
        <v>6</v>
      </c>
      <c r="N101" s="114" t="n">
        <f aca="false">Inputs!$B$38*(1+Inputs!$B$40)^(N$7-1)*MAX(0,MIN(1,N$6*1-Inputs!$B$41+1))/1</f>
        <v>6</v>
      </c>
      <c r="O101" s="114" t="n">
        <f aca="false">Inputs!$B$38*(1+Inputs!$B$40)^(O$7-1)*MAX(0,MIN(1,O$6*1-Inputs!$B$41+1))/1</f>
        <v>7.2</v>
      </c>
      <c r="P101" s="114" t="n">
        <f aca="false">Inputs!$B$38*(1+Inputs!$B$40)^(P$7-1)*MAX(0,MIN(1,P$6*1-Inputs!$B$41+1))/1</f>
        <v>7.2</v>
      </c>
      <c r="Q101" s="114" t="n">
        <f aca="false">Inputs!$B$38*(1+Inputs!$B$40)^(Q$7-1)*MAX(0,MIN(1,Q$6*1-Inputs!$B$41+1))/1</f>
        <v>7.2</v>
      </c>
      <c r="R101" s="114" t="n">
        <f aca="false">Inputs!$B$38*(1+Inputs!$B$40)^(R$7-1)*MAX(0,MIN(1,R$6*1-Inputs!$B$41+1))/1</f>
        <v>7.2</v>
      </c>
      <c r="S101" s="114" t="n">
        <f aca="false">Inputs!$B$38*(1+Inputs!$B$40)^(S$7-1)*MAX(0,MIN(1,S$6*1-Inputs!$B$41+1))/1</f>
        <v>7.2</v>
      </c>
      <c r="T101" s="114" t="n">
        <f aca="false">Inputs!$B$38*(1+Inputs!$B$40)^(T$7-1)*MAX(0,MIN(1,T$6*1-Inputs!$B$41+1))/1</f>
        <v>7.2</v>
      </c>
      <c r="U101" s="114" t="n">
        <f aca="false">Inputs!$B$38*(1+Inputs!$B$40)^(U$7-1)*MAX(0,MIN(1,U$6*1-Inputs!$B$41+1))/1</f>
        <v>7.2</v>
      </c>
      <c r="V101" s="114" t="n">
        <f aca="false">Inputs!$B$38*(1+Inputs!$B$40)^(V$7-1)*MAX(0,MIN(1,V$6*1-Inputs!$B$41+1))/1</f>
        <v>7.2</v>
      </c>
      <c r="W101" s="114" t="n">
        <f aca="false">Inputs!$B$38*(1+Inputs!$B$40)^(W$7-1)*MAX(0,MIN(1,W$6*1-Inputs!$B$41+1))/1</f>
        <v>7.2</v>
      </c>
      <c r="X101" s="114" t="n">
        <f aca="false">Inputs!$B$38*(1+Inputs!$B$40)^(X$7-1)*MAX(0,MIN(1,X$6*1-Inputs!$B$41+1))/1</f>
        <v>7.2</v>
      </c>
      <c r="Y101" s="114" t="n">
        <f aca="false">Inputs!$B$38*(1+Inputs!$B$40)^(Y$7-1)*MAX(0,MIN(1,Y$6*1-Inputs!$B$41+1))/1</f>
        <v>7.2</v>
      </c>
      <c r="Z101" s="114" t="n">
        <f aca="false">Inputs!$B$38*(1+Inputs!$B$40)^(Z$7-1)*MAX(0,MIN(1,Z$6*1-Inputs!$B$41+1))/1</f>
        <v>7.2</v>
      </c>
      <c r="AA101" s="114" t="n">
        <f aca="false">Inputs!$B$38*(1+Inputs!$B$40)^(AA$7-1)*MAX(0,MIN(1,AA$6*1-Inputs!$B$41+1))/1</f>
        <v>8.64</v>
      </c>
      <c r="AB101" s="114" t="n">
        <f aca="false">Inputs!$B$38*(1+Inputs!$B$40)^(AB$7-1)*MAX(0,MIN(1,AB$6*1-Inputs!$B$41+1))/1</f>
        <v>8.64</v>
      </c>
      <c r="AC101" s="114" t="n">
        <f aca="false">Inputs!$B$38*(1+Inputs!$B$40)^(AC$7-1)*MAX(0,MIN(1,AC$6*1-Inputs!$B$41+1))/1</f>
        <v>8.64</v>
      </c>
      <c r="AD101" s="114" t="n">
        <f aca="false">Inputs!$B$38*(1+Inputs!$B$40)^(AD$7-1)*MAX(0,MIN(1,AD$6*1-Inputs!$B$41+1))/1</f>
        <v>8.64</v>
      </c>
      <c r="AE101" s="114" t="n">
        <f aca="false">Inputs!$B$38*(1+Inputs!$B$40)^(AE$7-1)*MAX(0,MIN(1,AE$6*1-Inputs!$B$41+1))/1</f>
        <v>8.64</v>
      </c>
      <c r="AF101" s="114" t="n">
        <f aca="false">Inputs!$B$38*(1+Inputs!$B$40)^(AF$7-1)*MAX(0,MIN(1,AF$6*1-Inputs!$B$41+1))/1</f>
        <v>8.64</v>
      </c>
      <c r="AG101" s="114" t="n">
        <f aca="false">Inputs!$B$38*(1+Inputs!$B$40)^(AG$7-1)*MAX(0,MIN(1,AG$6*1-Inputs!$B$41+1))/1</f>
        <v>8.64</v>
      </c>
      <c r="AH101" s="114" t="n">
        <f aca="false">Inputs!$B$38*(1+Inputs!$B$40)^(AH$7-1)*MAX(0,MIN(1,AH$6*1-Inputs!$B$41+1))/1</f>
        <v>8.64</v>
      </c>
      <c r="AI101" s="114" t="n">
        <f aca="false">Inputs!$B$38*(1+Inputs!$B$40)^(AI$7-1)*MAX(0,MIN(1,AI$6*1-Inputs!$B$41+1))/1</f>
        <v>8.64</v>
      </c>
      <c r="AJ101" s="114" t="n">
        <f aca="false">Inputs!$B$38*(1+Inputs!$B$40)^(AJ$7-1)*MAX(0,MIN(1,AJ$6*1-Inputs!$B$41+1))/1</f>
        <v>8.64</v>
      </c>
      <c r="AK101" s="114" t="n">
        <f aca="false">Inputs!$B$38*(1+Inputs!$B$40)^(AK$7-1)*MAX(0,MIN(1,AK$6*1-Inputs!$B$41+1))/1</f>
        <v>8.64</v>
      </c>
      <c r="AL101" s="114" t="n">
        <f aca="false">Inputs!$B$38*(1+Inputs!$B$40)^(AL$7-1)*MAX(0,MIN(1,AL$6*1-Inputs!$B$41+1))/1</f>
        <v>8.64</v>
      </c>
      <c r="AM101" s="114" t="n">
        <f aca="false">Inputs!$B$38*(1+Inputs!$B$40)^(AM$7-1)*MAX(0,MIN(1,AM$6*1-Inputs!$B$41+1))/1</f>
        <v>10.368</v>
      </c>
      <c r="AN101" s="114" t="n">
        <f aca="false">Inputs!$B$38*(1+Inputs!$B$40)^(AN$7-1)*MAX(0,MIN(1,AN$6*1-Inputs!$B$41+1))/1</f>
        <v>10.368</v>
      </c>
      <c r="AO101" s="114" t="n">
        <f aca="false">Inputs!$B$38*(1+Inputs!$B$40)^(AO$7-1)*MAX(0,MIN(1,AO$6*1-Inputs!$B$41+1))/1</f>
        <v>10.368</v>
      </c>
      <c r="AP101" s="114" t="n">
        <f aca="false">Inputs!$B$38*(1+Inputs!$B$40)^(AP$7-1)*MAX(0,MIN(1,AP$6*1-Inputs!$B$41+1))/1</f>
        <v>10.368</v>
      </c>
      <c r="AQ101" s="114" t="n">
        <f aca="false">Inputs!$B$38*(1+Inputs!$B$40)^(AQ$7-1)*MAX(0,MIN(1,AQ$6*1-Inputs!$B$41+1))/1</f>
        <v>10.368</v>
      </c>
      <c r="AR101" s="114" t="n">
        <f aca="false">Inputs!$B$38*(1+Inputs!$B$40)^(AR$7-1)*MAX(0,MIN(1,AR$6*1-Inputs!$B$41+1))/1</f>
        <v>10.368</v>
      </c>
      <c r="AS101" s="114" t="n">
        <f aca="false">Inputs!$B$38*(1+Inputs!$B$40)^(AS$7-1)*MAX(0,MIN(1,AS$6*1-Inputs!$B$41+1))/1</f>
        <v>10.368</v>
      </c>
      <c r="AT101" s="114" t="n">
        <f aca="false">Inputs!$B$38*(1+Inputs!$B$40)^(AT$7-1)*MAX(0,MIN(1,AT$6*1-Inputs!$B$41+1))/1</f>
        <v>10.368</v>
      </c>
      <c r="AU101" s="114" t="n">
        <f aca="false">Inputs!$B$38*(1+Inputs!$B$40)^(AU$7-1)*MAX(0,MIN(1,AU$6*1-Inputs!$B$41+1))/1</f>
        <v>10.368</v>
      </c>
      <c r="AV101" s="114" t="n">
        <f aca="false">Inputs!$B$38*(1+Inputs!$B$40)^(AV$7-1)*MAX(0,MIN(1,AV$6*1-Inputs!$B$41+1))/1</f>
        <v>10.368</v>
      </c>
      <c r="AW101" s="114" t="n">
        <f aca="false">Inputs!$B$38*(1+Inputs!$B$40)^(AW$7-1)*MAX(0,MIN(1,AW$6*1-Inputs!$B$41+1))/1</f>
        <v>10.368</v>
      </c>
      <c r="AX101" s="114" t="n">
        <f aca="false">Inputs!$B$38*(1+Inputs!$B$40)^(AX$7-1)*MAX(0,MIN(1,AX$6*1-Inputs!$B$41+1))/1</f>
        <v>10.368</v>
      </c>
      <c r="AY101" s="114" t="n">
        <f aca="false">Inputs!$B$38*(1+Inputs!$B$40)^(AY$7-1)*MAX(0,MIN(1,AY$6*1-Inputs!$B$41+1))/1</f>
        <v>12.4416</v>
      </c>
      <c r="AZ101" s="114" t="n">
        <f aca="false">Inputs!$B$38*(1+Inputs!$B$40)^(AZ$7-1)*MAX(0,MIN(1,AZ$6*1-Inputs!$B$41+1))/1</f>
        <v>12.4416</v>
      </c>
      <c r="BA101" s="114" t="n">
        <f aca="false">Inputs!$B$38*(1+Inputs!$B$40)^(BA$7-1)*MAX(0,MIN(1,BA$6*1-Inputs!$B$41+1))/1</f>
        <v>12.4416</v>
      </c>
      <c r="BB101" s="114" t="n">
        <f aca="false">Inputs!$B$38*(1+Inputs!$B$40)^(BB$7-1)*MAX(0,MIN(1,BB$6*1-Inputs!$B$41+1))/1</f>
        <v>12.4416</v>
      </c>
      <c r="BC101" s="114" t="n">
        <f aca="false">Inputs!$B$38*(1+Inputs!$B$40)^(BC$7-1)*MAX(0,MIN(1,BC$6*1-Inputs!$B$41+1))/1</f>
        <v>12.4416</v>
      </c>
      <c r="BD101" s="114" t="n">
        <f aca="false">Inputs!$B$38*(1+Inputs!$B$40)^(BD$7-1)*MAX(0,MIN(1,BD$6*1-Inputs!$B$41+1))/1</f>
        <v>12.4416</v>
      </c>
      <c r="BE101" s="114" t="n">
        <f aca="false">Inputs!$B$38*(1+Inputs!$B$40)^(BE$7-1)*MAX(0,MIN(1,BE$6*1-Inputs!$B$41+1))/1</f>
        <v>12.4416</v>
      </c>
      <c r="BF101" s="114" t="n">
        <f aca="false">Inputs!$B$38*(1+Inputs!$B$40)^(BF$7-1)*MAX(0,MIN(1,BF$6*1-Inputs!$B$41+1))/1</f>
        <v>12.4416</v>
      </c>
      <c r="BG101" s="114" t="n">
        <f aca="false">Inputs!$B$38*(1+Inputs!$B$40)^(BG$7-1)*MAX(0,MIN(1,BG$6*1-Inputs!$B$41+1))/1</f>
        <v>12.4416</v>
      </c>
      <c r="BH101" s="114" t="n">
        <f aca="false">Inputs!$B$38*(1+Inputs!$B$40)^(BH$7-1)*MAX(0,MIN(1,BH$6*1-Inputs!$B$41+1))/1</f>
        <v>12.4416</v>
      </c>
      <c r="BI101" s="114" t="n">
        <f aca="false">Inputs!$B$38*(1+Inputs!$B$40)^(BI$7-1)*MAX(0,MIN(1,BI$6*1-Inputs!$B$41+1))/1</f>
        <v>12.4416</v>
      </c>
      <c r="BJ101" s="114" t="n">
        <f aca="false">Inputs!$B$38*(1+Inputs!$B$40)^(BJ$7-1)*MAX(0,MIN(1,BJ$6*1-Inputs!$B$41+1))/1</f>
        <v>12.4416</v>
      </c>
    </row>
    <row r="102" customFormat="false" ht="15" hidden="false" customHeight="false" outlineLevel="0" collapsed="false">
      <c r="A102" s="6" t="s">
        <v>445</v>
      </c>
      <c r="C102" s="114" t="n">
        <f aca="false">Inputs!$B$42*(1+Inputs!$B$44)^(C$7-1)*MAX(0,MIN(1,C$6*1-Inputs!$B$45+1))/1</f>
        <v>4</v>
      </c>
      <c r="D102" s="114" t="n">
        <f aca="false">Inputs!$B$42*(1+Inputs!$B$44)^(D$7-1)*MAX(0,MIN(1,D$6*1-Inputs!$B$45+1))/1</f>
        <v>4</v>
      </c>
      <c r="E102" s="114" t="n">
        <f aca="false">Inputs!$B$42*(1+Inputs!$B$44)^(E$7-1)*MAX(0,MIN(1,E$6*1-Inputs!$B$45+1))/1</f>
        <v>4</v>
      </c>
      <c r="F102" s="114" t="n">
        <f aca="false">Inputs!$B$42*(1+Inputs!$B$44)^(F$7-1)*MAX(0,MIN(1,F$6*1-Inputs!$B$45+1))/1</f>
        <v>4</v>
      </c>
      <c r="G102" s="114" t="n">
        <f aca="false">Inputs!$B$42*(1+Inputs!$B$44)^(G$7-1)*MAX(0,MIN(1,G$6*1-Inputs!$B$45+1))/1</f>
        <v>4</v>
      </c>
      <c r="H102" s="114" t="n">
        <f aca="false">Inputs!$B$42*(1+Inputs!$B$44)^(H$7-1)*MAX(0,MIN(1,H$6*1-Inputs!$B$45+1))/1</f>
        <v>4</v>
      </c>
      <c r="I102" s="114" t="n">
        <f aca="false">Inputs!$B$42*(1+Inputs!$B$44)^(I$7-1)*MAX(0,MIN(1,I$6*1-Inputs!$B$45+1))/1</f>
        <v>4</v>
      </c>
      <c r="J102" s="114" t="n">
        <f aca="false">Inputs!$B$42*(1+Inputs!$B$44)^(J$7-1)*MAX(0,MIN(1,J$6*1-Inputs!$B$45+1))/1</f>
        <v>4</v>
      </c>
      <c r="K102" s="114" t="n">
        <f aca="false">Inputs!$B$42*(1+Inputs!$B$44)^(K$7-1)*MAX(0,MIN(1,K$6*1-Inputs!$B$45+1))/1</f>
        <v>4</v>
      </c>
      <c r="L102" s="114" t="n">
        <f aca="false">Inputs!$B$42*(1+Inputs!$B$44)^(L$7-1)*MAX(0,MIN(1,L$6*1-Inputs!$B$45+1))/1</f>
        <v>4</v>
      </c>
      <c r="M102" s="114" t="n">
        <f aca="false">Inputs!$B$42*(1+Inputs!$B$44)^(M$7-1)*MAX(0,MIN(1,M$6*1-Inputs!$B$45+1))/1</f>
        <v>4</v>
      </c>
      <c r="N102" s="114" t="n">
        <f aca="false">Inputs!$B$42*(1+Inputs!$B$44)^(N$7-1)*MAX(0,MIN(1,N$6*1-Inputs!$B$45+1))/1</f>
        <v>4</v>
      </c>
      <c r="O102" s="114" t="n">
        <f aca="false">Inputs!$B$42*(1+Inputs!$B$44)^(O$7-1)*MAX(0,MIN(1,O$6*1-Inputs!$B$45+1))/1</f>
        <v>4.8</v>
      </c>
      <c r="P102" s="114" t="n">
        <f aca="false">Inputs!$B$42*(1+Inputs!$B$44)^(P$7-1)*MAX(0,MIN(1,P$6*1-Inputs!$B$45+1))/1</f>
        <v>4.8</v>
      </c>
      <c r="Q102" s="114" t="n">
        <f aca="false">Inputs!$B$42*(1+Inputs!$B$44)^(Q$7-1)*MAX(0,MIN(1,Q$6*1-Inputs!$B$45+1))/1</f>
        <v>4.8</v>
      </c>
      <c r="R102" s="114" t="n">
        <f aca="false">Inputs!$B$42*(1+Inputs!$B$44)^(R$7-1)*MAX(0,MIN(1,R$6*1-Inputs!$B$45+1))/1</f>
        <v>4.8</v>
      </c>
      <c r="S102" s="114" t="n">
        <f aca="false">Inputs!$B$42*(1+Inputs!$B$44)^(S$7-1)*MAX(0,MIN(1,S$6*1-Inputs!$B$45+1))/1</f>
        <v>4.8</v>
      </c>
      <c r="T102" s="114" t="n">
        <f aca="false">Inputs!$B$42*(1+Inputs!$B$44)^(T$7-1)*MAX(0,MIN(1,T$6*1-Inputs!$B$45+1))/1</f>
        <v>4.8</v>
      </c>
      <c r="U102" s="114" t="n">
        <f aca="false">Inputs!$B$42*(1+Inputs!$B$44)^(U$7-1)*MAX(0,MIN(1,U$6*1-Inputs!$B$45+1))/1</f>
        <v>4.8</v>
      </c>
      <c r="V102" s="114" t="n">
        <f aca="false">Inputs!$B$42*(1+Inputs!$B$44)^(V$7-1)*MAX(0,MIN(1,V$6*1-Inputs!$B$45+1))/1</f>
        <v>4.8</v>
      </c>
      <c r="W102" s="114" t="n">
        <f aca="false">Inputs!$B$42*(1+Inputs!$B$44)^(W$7-1)*MAX(0,MIN(1,W$6*1-Inputs!$B$45+1))/1</f>
        <v>4.8</v>
      </c>
      <c r="X102" s="114" t="n">
        <f aca="false">Inputs!$B$42*(1+Inputs!$B$44)^(X$7-1)*MAX(0,MIN(1,X$6*1-Inputs!$B$45+1))/1</f>
        <v>4.8</v>
      </c>
      <c r="Y102" s="114" t="n">
        <f aca="false">Inputs!$B$42*(1+Inputs!$B$44)^(Y$7-1)*MAX(0,MIN(1,Y$6*1-Inputs!$B$45+1))/1</f>
        <v>4.8</v>
      </c>
      <c r="Z102" s="114" t="n">
        <f aca="false">Inputs!$B$42*(1+Inputs!$B$44)^(Z$7-1)*MAX(0,MIN(1,Z$6*1-Inputs!$B$45+1))/1</f>
        <v>4.8</v>
      </c>
      <c r="AA102" s="114" t="n">
        <f aca="false">Inputs!$B$42*(1+Inputs!$B$44)^(AA$7-1)*MAX(0,MIN(1,AA$6*1-Inputs!$B$45+1))/1</f>
        <v>5.76</v>
      </c>
      <c r="AB102" s="114" t="n">
        <f aca="false">Inputs!$B$42*(1+Inputs!$B$44)^(AB$7-1)*MAX(0,MIN(1,AB$6*1-Inputs!$B$45+1))/1</f>
        <v>5.76</v>
      </c>
      <c r="AC102" s="114" t="n">
        <f aca="false">Inputs!$B$42*(1+Inputs!$B$44)^(AC$7-1)*MAX(0,MIN(1,AC$6*1-Inputs!$B$45+1))/1</f>
        <v>5.76</v>
      </c>
      <c r="AD102" s="114" t="n">
        <f aca="false">Inputs!$B$42*(1+Inputs!$B$44)^(AD$7-1)*MAX(0,MIN(1,AD$6*1-Inputs!$B$45+1))/1</f>
        <v>5.76</v>
      </c>
      <c r="AE102" s="114" t="n">
        <f aca="false">Inputs!$B$42*(1+Inputs!$B$44)^(AE$7-1)*MAX(0,MIN(1,AE$6*1-Inputs!$B$45+1))/1</f>
        <v>5.76</v>
      </c>
      <c r="AF102" s="114" t="n">
        <f aca="false">Inputs!$B$42*(1+Inputs!$B$44)^(AF$7-1)*MAX(0,MIN(1,AF$6*1-Inputs!$B$45+1))/1</f>
        <v>5.76</v>
      </c>
      <c r="AG102" s="114" t="n">
        <f aca="false">Inputs!$B$42*(1+Inputs!$B$44)^(AG$7-1)*MAX(0,MIN(1,AG$6*1-Inputs!$B$45+1))/1</f>
        <v>5.76</v>
      </c>
      <c r="AH102" s="114" t="n">
        <f aca="false">Inputs!$B$42*(1+Inputs!$B$44)^(AH$7-1)*MAX(0,MIN(1,AH$6*1-Inputs!$B$45+1))/1</f>
        <v>5.76</v>
      </c>
      <c r="AI102" s="114" t="n">
        <f aca="false">Inputs!$B$42*(1+Inputs!$B$44)^(AI$7-1)*MAX(0,MIN(1,AI$6*1-Inputs!$B$45+1))/1</f>
        <v>5.76</v>
      </c>
      <c r="AJ102" s="114" t="n">
        <f aca="false">Inputs!$B$42*(1+Inputs!$B$44)^(AJ$7-1)*MAX(0,MIN(1,AJ$6*1-Inputs!$B$45+1))/1</f>
        <v>5.76</v>
      </c>
      <c r="AK102" s="114" t="n">
        <f aca="false">Inputs!$B$42*(1+Inputs!$B$44)^(AK$7-1)*MAX(0,MIN(1,AK$6*1-Inputs!$B$45+1))/1</f>
        <v>5.76</v>
      </c>
      <c r="AL102" s="114" t="n">
        <f aca="false">Inputs!$B$42*(1+Inputs!$B$44)^(AL$7-1)*MAX(0,MIN(1,AL$6*1-Inputs!$B$45+1))/1</f>
        <v>5.76</v>
      </c>
      <c r="AM102" s="114" t="n">
        <f aca="false">Inputs!$B$42*(1+Inputs!$B$44)^(AM$7-1)*MAX(0,MIN(1,AM$6*1-Inputs!$B$45+1))/1</f>
        <v>6.912</v>
      </c>
      <c r="AN102" s="114" t="n">
        <f aca="false">Inputs!$B$42*(1+Inputs!$B$44)^(AN$7-1)*MAX(0,MIN(1,AN$6*1-Inputs!$B$45+1))/1</f>
        <v>6.912</v>
      </c>
      <c r="AO102" s="114" t="n">
        <f aca="false">Inputs!$B$42*(1+Inputs!$B$44)^(AO$7-1)*MAX(0,MIN(1,AO$6*1-Inputs!$B$45+1))/1</f>
        <v>6.912</v>
      </c>
      <c r="AP102" s="114" t="n">
        <f aca="false">Inputs!$B$42*(1+Inputs!$B$44)^(AP$7-1)*MAX(0,MIN(1,AP$6*1-Inputs!$B$45+1))/1</f>
        <v>6.912</v>
      </c>
      <c r="AQ102" s="114" t="n">
        <f aca="false">Inputs!$B$42*(1+Inputs!$B$44)^(AQ$7-1)*MAX(0,MIN(1,AQ$6*1-Inputs!$B$45+1))/1</f>
        <v>6.912</v>
      </c>
      <c r="AR102" s="114" t="n">
        <f aca="false">Inputs!$B$42*(1+Inputs!$B$44)^(AR$7-1)*MAX(0,MIN(1,AR$6*1-Inputs!$B$45+1))/1</f>
        <v>6.912</v>
      </c>
      <c r="AS102" s="114" t="n">
        <f aca="false">Inputs!$B$42*(1+Inputs!$B$44)^(AS$7-1)*MAX(0,MIN(1,AS$6*1-Inputs!$B$45+1))/1</f>
        <v>6.912</v>
      </c>
      <c r="AT102" s="114" t="n">
        <f aca="false">Inputs!$B$42*(1+Inputs!$B$44)^(AT$7-1)*MAX(0,MIN(1,AT$6*1-Inputs!$B$45+1))/1</f>
        <v>6.912</v>
      </c>
      <c r="AU102" s="114" t="n">
        <f aca="false">Inputs!$B$42*(1+Inputs!$B$44)^(AU$7-1)*MAX(0,MIN(1,AU$6*1-Inputs!$B$45+1))/1</f>
        <v>6.912</v>
      </c>
      <c r="AV102" s="114" t="n">
        <f aca="false">Inputs!$B$42*(1+Inputs!$B$44)^(AV$7-1)*MAX(0,MIN(1,AV$6*1-Inputs!$B$45+1))/1</f>
        <v>6.912</v>
      </c>
      <c r="AW102" s="114" t="n">
        <f aca="false">Inputs!$B$42*(1+Inputs!$B$44)^(AW$7-1)*MAX(0,MIN(1,AW$6*1-Inputs!$B$45+1))/1</f>
        <v>6.912</v>
      </c>
      <c r="AX102" s="114" t="n">
        <f aca="false">Inputs!$B$42*(1+Inputs!$B$44)^(AX$7-1)*MAX(0,MIN(1,AX$6*1-Inputs!$B$45+1))/1</f>
        <v>6.912</v>
      </c>
      <c r="AY102" s="114" t="n">
        <f aca="false">Inputs!$B$42*(1+Inputs!$B$44)^(AY$7-1)*MAX(0,MIN(1,AY$6*1-Inputs!$B$45+1))/1</f>
        <v>8.2944</v>
      </c>
      <c r="AZ102" s="114" t="n">
        <f aca="false">Inputs!$B$42*(1+Inputs!$B$44)^(AZ$7-1)*MAX(0,MIN(1,AZ$6*1-Inputs!$B$45+1))/1</f>
        <v>8.2944</v>
      </c>
      <c r="BA102" s="114" t="n">
        <f aca="false">Inputs!$B$42*(1+Inputs!$B$44)^(BA$7-1)*MAX(0,MIN(1,BA$6*1-Inputs!$B$45+1))/1</f>
        <v>8.2944</v>
      </c>
      <c r="BB102" s="114" t="n">
        <f aca="false">Inputs!$B$42*(1+Inputs!$B$44)^(BB$7-1)*MAX(0,MIN(1,BB$6*1-Inputs!$B$45+1))/1</f>
        <v>8.2944</v>
      </c>
      <c r="BC102" s="114" t="n">
        <f aca="false">Inputs!$B$42*(1+Inputs!$B$44)^(BC$7-1)*MAX(0,MIN(1,BC$6*1-Inputs!$B$45+1))/1</f>
        <v>8.2944</v>
      </c>
      <c r="BD102" s="114" t="n">
        <f aca="false">Inputs!$B$42*(1+Inputs!$B$44)^(BD$7-1)*MAX(0,MIN(1,BD$6*1-Inputs!$B$45+1))/1</f>
        <v>8.2944</v>
      </c>
      <c r="BE102" s="114" t="n">
        <f aca="false">Inputs!$B$42*(1+Inputs!$B$44)^(BE$7-1)*MAX(0,MIN(1,BE$6*1-Inputs!$B$45+1))/1</f>
        <v>8.2944</v>
      </c>
      <c r="BF102" s="114" t="n">
        <f aca="false">Inputs!$B$42*(1+Inputs!$B$44)^(BF$7-1)*MAX(0,MIN(1,BF$6*1-Inputs!$B$45+1))/1</f>
        <v>8.2944</v>
      </c>
      <c r="BG102" s="114" t="n">
        <f aca="false">Inputs!$B$42*(1+Inputs!$B$44)^(BG$7-1)*MAX(0,MIN(1,BG$6*1-Inputs!$B$45+1))/1</f>
        <v>8.2944</v>
      </c>
      <c r="BH102" s="114" t="n">
        <f aca="false">Inputs!$B$42*(1+Inputs!$B$44)^(BH$7-1)*MAX(0,MIN(1,BH$6*1-Inputs!$B$45+1))/1</f>
        <v>8.2944</v>
      </c>
      <c r="BI102" s="114" t="n">
        <f aca="false">Inputs!$B$42*(1+Inputs!$B$44)^(BI$7-1)*MAX(0,MIN(1,BI$6*1-Inputs!$B$45+1))/1</f>
        <v>8.2944</v>
      </c>
      <c r="BJ102" s="114" t="n">
        <f aca="false">Inputs!$B$42*(1+Inputs!$B$44)^(BJ$7-1)*MAX(0,MIN(1,BJ$6*1-Inputs!$B$45+1))/1</f>
        <v>8.2944</v>
      </c>
    </row>
    <row r="103" customFormat="false" ht="15" hidden="false" customHeight="false" outlineLevel="0" collapsed="false">
      <c r="A103" s="6" t="s">
        <v>446</v>
      </c>
      <c r="C103" s="114" t="n">
        <f aca="false">Inputs!$B$46*(1+Inputs!$B$48)^(C$7-1)*MAX(0,MIN(1,C$6*1-Inputs!$B$49+1))/1</f>
        <v>8</v>
      </c>
      <c r="D103" s="114" t="n">
        <f aca="false">Inputs!$B$46*(1+Inputs!$B$48)^(D$7-1)*MAX(0,MIN(1,D$6*1-Inputs!$B$49+1))/1</f>
        <v>8</v>
      </c>
      <c r="E103" s="114" t="n">
        <f aca="false">Inputs!$B$46*(1+Inputs!$B$48)^(E$7-1)*MAX(0,MIN(1,E$6*1-Inputs!$B$49+1))/1</f>
        <v>8</v>
      </c>
      <c r="F103" s="114" t="n">
        <f aca="false">Inputs!$B$46*(1+Inputs!$B$48)^(F$7-1)*MAX(0,MIN(1,F$6*1-Inputs!$B$49+1))/1</f>
        <v>8</v>
      </c>
      <c r="G103" s="114" t="n">
        <f aca="false">Inputs!$B$46*(1+Inputs!$B$48)^(G$7-1)*MAX(0,MIN(1,G$6*1-Inputs!$B$49+1))/1</f>
        <v>8</v>
      </c>
      <c r="H103" s="114" t="n">
        <f aca="false">Inputs!$B$46*(1+Inputs!$B$48)^(H$7-1)*MAX(0,MIN(1,H$6*1-Inputs!$B$49+1))/1</f>
        <v>8</v>
      </c>
      <c r="I103" s="114" t="n">
        <f aca="false">Inputs!$B$46*(1+Inputs!$B$48)^(I$7-1)*MAX(0,MIN(1,I$6*1-Inputs!$B$49+1))/1</f>
        <v>8</v>
      </c>
      <c r="J103" s="114" t="n">
        <f aca="false">Inputs!$B$46*(1+Inputs!$B$48)^(J$7-1)*MAX(0,MIN(1,J$6*1-Inputs!$B$49+1))/1</f>
        <v>8</v>
      </c>
      <c r="K103" s="114" t="n">
        <f aca="false">Inputs!$B$46*(1+Inputs!$B$48)^(K$7-1)*MAX(0,MIN(1,K$6*1-Inputs!$B$49+1))/1</f>
        <v>8</v>
      </c>
      <c r="L103" s="114" t="n">
        <f aca="false">Inputs!$B$46*(1+Inputs!$B$48)^(L$7-1)*MAX(0,MIN(1,L$6*1-Inputs!$B$49+1))/1</f>
        <v>8</v>
      </c>
      <c r="M103" s="114" t="n">
        <f aca="false">Inputs!$B$46*(1+Inputs!$B$48)^(M$7-1)*MAX(0,MIN(1,M$6*1-Inputs!$B$49+1))/1</f>
        <v>8</v>
      </c>
      <c r="N103" s="114" t="n">
        <f aca="false">Inputs!$B$46*(1+Inputs!$B$48)^(N$7-1)*MAX(0,MIN(1,N$6*1-Inputs!$B$49+1))/1</f>
        <v>8</v>
      </c>
      <c r="O103" s="114" t="n">
        <f aca="false">Inputs!$B$46*(1+Inputs!$B$48)^(O$7-1)*MAX(0,MIN(1,O$6*1-Inputs!$B$49+1))/1</f>
        <v>10.4</v>
      </c>
      <c r="P103" s="114" t="n">
        <f aca="false">Inputs!$B$46*(1+Inputs!$B$48)^(P$7-1)*MAX(0,MIN(1,P$6*1-Inputs!$B$49+1))/1</f>
        <v>10.4</v>
      </c>
      <c r="Q103" s="114" t="n">
        <f aca="false">Inputs!$B$46*(1+Inputs!$B$48)^(Q$7-1)*MAX(0,MIN(1,Q$6*1-Inputs!$B$49+1))/1</f>
        <v>10.4</v>
      </c>
      <c r="R103" s="114" t="n">
        <f aca="false">Inputs!$B$46*(1+Inputs!$B$48)^(R$7-1)*MAX(0,MIN(1,R$6*1-Inputs!$B$49+1))/1</f>
        <v>10.4</v>
      </c>
      <c r="S103" s="114" t="n">
        <f aca="false">Inputs!$B$46*(1+Inputs!$B$48)^(S$7-1)*MAX(0,MIN(1,S$6*1-Inputs!$B$49+1))/1</f>
        <v>10.4</v>
      </c>
      <c r="T103" s="114" t="n">
        <f aca="false">Inputs!$B$46*(1+Inputs!$B$48)^(T$7-1)*MAX(0,MIN(1,T$6*1-Inputs!$B$49+1))/1</f>
        <v>10.4</v>
      </c>
      <c r="U103" s="114" t="n">
        <f aca="false">Inputs!$B$46*(1+Inputs!$B$48)^(U$7-1)*MAX(0,MIN(1,U$6*1-Inputs!$B$49+1))/1</f>
        <v>10.4</v>
      </c>
      <c r="V103" s="114" t="n">
        <f aca="false">Inputs!$B$46*(1+Inputs!$B$48)^(V$7-1)*MAX(0,MIN(1,V$6*1-Inputs!$B$49+1))/1</f>
        <v>10.4</v>
      </c>
      <c r="W103" s="114" t="n">
        <f aca="false">Inputs!$B$46*(1+Inputs!$B$48)^(W$7-1)*MAX(0,MIN(1,W$6*1-Inputs!$B$49+1))/1</f>
        <v>10.4</v>
      </c>
      <c r="X103" s="114" t="n">
        <f aca="false">Inputs!$B$46*(1+Inputs!$B$48)^(X$7-1)*MAX(0,MIN(1,X$6*1-Inputs!$B$49+1))/1</f>
        <v>10.4</v>
      </c>
      <c r="Y103" s="114" t="n">
        <f aca="false">Inputs!$B$46*(1+Inputs!$B$48)^(Y$7-1)*MAX(0,MIN(1,Y$6*1-Inputs!$B$49+1))/1</f>
        <v>10.4</v>
      </c>
      <c r="Z103" s="114" t="n">
        <f aca="false">Inputs!$B$46*(1+Inputs!$B$48)^(Z$7-1)*MAX(0,MIN(1,Z$6*1-Inputs!$B$49+1))/1</f>
        <v>10.4</v>
      </c>
      <c r="AA103" s="114" t="n">
        <f aca="false">Inputs!$B$46*(1+Inputs!$B$48)^(AA$7-1)*MAX(0,MIN(1,AA$6*1-Inputs!$B$49+1))/1</f>
        <v>13.52</v>
      </c>
      <c r="AB103" s="114" t="n">
        <f aca="false">Inputs!$B$46*(1+Inputs!$B$48)^(AB$7-1)*MAX(0,MIN(1,AB$6*1-Inputs!$B$49+1))/1</f>
        <v>13.52</v>
      </c>
      <c r="AC103" s="114" t="n">
        <f aca="false">Inputs!$B$46*(1+Inputs!$B$48)^(AC$7-1)*MAX(0,MIN(1,AC$6*1-Inputs!$B$49+1))/1</f>
        <v>13.52</v>
      </c>
      <c r="AD103" s="114" t="n">
        <f aca="false">Inputs!$B$46*(1+Inputs!$B$48)^(AD$7-1)*MAX(0,MIN(1,AD$6*1-Inputs!$B$49+1))/1</f>
        <v>13.52</v>
      </c>
      <c r="AE103" s="114" t="n">
        <f aca="false">Inputs!$B$46*(1+Inputs!$B$48)^(AE$7-1)*MAX(0,MIN(1,AE$6*1-Inputs!$B$49+1))/1</f>
        <v>13.52</v>
      </c>
      <c r="AF103" s="114" t="n">
        <f aca="false">Inputs!$B$46*(1+Inputs!$B$48)^(AF$7-1)*MAX(0,MIN(1,AF$6*1-Inputs!$B$49+1))/1</f>
        <v>13.52</v>
      </c>
      <c r="AG103" s="114" t="n">
        <f aca="false">Inputs!$B$46*(1+Inputs!$B$48)^(AG$7-1)*MAX(0,MIN(1,AG$6*1-Inputs!$B$49+1))/1</f>
        <v>13.52</v>
      </c>
      <c r="AH103" s="114" t="n">
        <f aca="false">Inputs!$B$46*(1+Inputs!$B$48)^(AH$7-1)*MAX(0,MIN(1,AH$6*1-Inputs!$B$49+1))/1</f>
        <v>13.52</v>
      </c>
      <c r="AI103" s="114" t="n">
        <f aca="false">Inputs!$B$46*(1+Inputs!$B$48)^(AI$7-1)*MAX(0,MIN(1,AI$6*1-Inputs!$B$49+1))/1</f>
        <v>13.52</v>
      </c>
      <c r="AJ103" s="114" t="n">
        <f aca="false">Inputs!$B$46*(1+Inputs!$B$48)^(AJ$7-1)*MAX(0,MIN(1,AJ$6*1-Inputs!$B$49+1))/1</f>
        <v>13.52</v>
      </c>
      <c r="AK103" s="114" t="n">
        <f aca="false">Inputs!$B$46*(1+Inputs!$B$48)^(AK$7-1)*MAX(0,MIN(1,AK$6*1-Inputs!$B$49+1))/1</f>
        <v>13.52</v>
      </c>
      <c r="AL103" s="114" t="n">
        <f aca="false">Inputs!$B$46*(1+Inputs!$B$48)^(AL$7-1)*MAX(0,MIN(1,AL$6*1-Inputs!$B$49+1))/1</f>
        <v>13.52</v>
      </c>
      <c r="AM103" s="114" t="n">
        <f aca="false">Inputs!$B$46*(1+Inputs!$B$48)^(AM$7-1)*MAX(0,MIN(1,AM$6*1-Inputs!$B$49+1))/1</f>
        <v>17.576</v>
      </c>
      <c r="AN103" s="114" t="n">
        <f aca="false">Inputs!$B$46*(1+Inputs!$B$48)^(AN$7-1)*MAX(0,MIN(1,AN$6*1-Inputs!$B$49+1))/1</f>
        <v>17.576</v>
      </c>
      <c r="AO103" s="114" t="n">
        <f aca="false">Inputs!$B$46*(1+Inputs!$B$48)^(AO$7-1)*MAX(0,MIN(1,AO$6*1-Inputs!$B$49+1))/1</f>
        <v>17.576</v>
      </c>
      <c r="AP103" s="114" t="n">
        <f aca="false">Inputs!$B$46*(1+Inputs!$B$48)^(AP$7-1)*MAX(0,MIN(1,AP$6*1-Inputs!$B$49+1))/1</f>
        <v>17.576</v>
      </c>
      <c r="AQ103" s="114" t="n">
        <f aca="false">Inputs!$B$46*(1+Inputs!$B$48)^(AQ$7-1)*MAX(0,MIN(1,AQ$6*1-Inputs!$B$49+1))/1</f>
        <v>17.576</v>
      </c>
      <c r="AR103" s="114" t="n">
        <f aca="false">Inputs!$B$46*(1+Inputs!$B$48)^(AR$7-1)*MAX(0,MIN(1,AR$6*1-Inputs!$B$49+1))/1</f>
        <v>17.576</v>
      </c>
      <c r="AS103" s="114" t="n">
        <f aca="false">Inputs!$B$46*(1+Inputs!$B$48)^(AS$7-1)*MAX(0,MIN(1,AS$6*1-Inputs!$B$49+1))/1</f>
        <v>17.576</v>
      </c>
      <c r="AT103" s="114" t="n">
        <f aca="false">Inputs!$B$46*(1+Inputs!$B$48)^(AT$7-1)*MAX(0,MIN(1,AT$6*1-Inputs!$B$49+1))/1</f>
        <v>17.576</v>
      </c>
      <c r="AU103" s="114" t="n">
        <f aca="false">Inputs!$B$46*(1+Inputs!$B$48)^(AU$7-1)*MAX(0,MIN(1,AU$6*1-Inputs!$B$49+1))/1</f>
        <v>17.576</v>
      </c>
      <c r="AV103" s="114" t="n">
        <f aca="false">Inputs!$B$46*(1+Inputs!$B$48)^(AV$7-1)*MAX(0,MIN(1,AV$6*1-Inputs!$B$49+1))/1</f>
        <v>17.576</v>
      </c>
      <c r="AW103" s="114" t="n">
        <f aca="false">Inputs!$B$46*(1+Inputs!$B$48)^(AW$7-1)*MAX(0,MIN(1,AW$6*1-Inputs!$B$49+1))/1</f>
        <v>17.576</v>
      </c>
      <c r="AX103" s="114" t="n">
        <f aca="false">Inputs!$B$46*(1+Inputs!$B$48)^(AX$7-1)*MAX(0,MIN(1,AX$6*1-Inputs!$B$49+1))/1</f>
        <v>17.576</v>
      </c>
      <c r="AY103" s="114" t="n">
        <f aca="false">Inputs!$B$46*(1+Inputs!$B$48)^(AY$7-1)*MAX(0,MIN(1,AY$6*1-Inputs!$B$49+1))/1</f>
        <v>22.8488</v>
      </c>
      <c r="AZ103" s="114" t="n">
        <f aca="false">Inputs!$B$46*(1+Inputs!$B$48)^(AZ$7-1)*MAX(0,MIN(1,AZ$6*1-Inputs!$B$49+1))/1</f>
        <v>22.8488</v>
      </c>
      <c r="BA103" s="114" t="n">
        <f aca="false">Inputs!$B$46*(1+Inputs!$B$48)^(BA$7-1)*MAX(0,MIN(1,BA$6*1-Inputs!$B$49+1))/1</f>
        <v>22.8488</v>
      </c>
      <c r="BB103" s="114" t="n">
        <f aca="false">Inputs!$B$46*(1+Inputs!$B$48)^(BB$7-1)*MAX(0,MIN(1,BB$6*1-Inputs!$B$49+1))/1</f>
        <v>22.8488</v>
      </c>
      <c r="BC103" s="114" t="n">
        <f aca="false">Inputs!$B$46*(1+Inputs!$B$48)^(BC$7-1)*MAX(0,MIN(1,BC$6*1-Inputs!$B$49+1))/1</f>
        <v>22.8488</v>
      </c>
      <c r="BD103" s="114" t="n">
        <f aca="false">Inputs!$B$46*(1+Inputs!$B$48)^(BD$7-1)*MAX(0,MIN(1,BD$6*1-Inputs!$B$49+1))/1</f>
        <v>22.8488</v>
      </c>
      <c r="BE103" s="114" t="n">
        <f aca="false">Inputs!$B$46*(1+Inputs!$B$48)^(BE$7-1)*MAX(0,MIN(1,BE$6*1-Inputs!$B$49+1))/1</f>
        <v>22.8488</v>
      </c>
      <c r="BF103" s="114" t="n">
        <f aca="false">Inputs!$B$46*(1+Inputs!$B$48)^(BF$7-1)*MAX(0,MIN(1,BF$6*1-Inputs!$B$49+1))/1</f>
        <v>22.8488</v>
      </c>
      <c r="BG103" s="114" t="n">
        <f aca="false">Inputs!$B$46*(1+Inputs!$B$48)^(BG$7-1)*MAX(0,MIN(1,BG$6*1-Inputs!$B$49+1))/1</f>
        <v>22.8488</v>
      </c>
      <c r="BH103" s="114" t="n">
        <f aca="false">Inputs!$B$46*(1+Inputs!$B$48)^(BH$7-1)*MAX(0,MIN(1,BH$6*1-Inputs!$B$49+1))/1</f>
        <v>22.8488</v>
      </c>
      <c r="BI103" s="114" t="n">
        <f aca="false">Inputs!$B$46*(1+Inputs!$B$48)^(BI$7-1)*MAX(0,MIN(1,BI$6*1-Inputs!$B$49+1))/1</f>
        <v>22.8488</v>
      </c>
      <c r="BJ103" s="114" t="n">
        <f aca="false">Inputs!$B$46*(1+Inputs!$B$48)^(BJ$7-1)*MAX(0,MIN(1,BJ$6*1-Inputs!$B$49+1))/1</f>
        <v>22.8488</v>
      </c>
    </row>
    <row r="104" customFormat="false" ht="15" hidden="false" customHeight="false" outlineLevel="0" collapsed="false">
      <c r="A104" s="6" t="s">
        <v>447</v>
      </c>
      <c r="C104" s="114" t="n">
        <f aca="false">Inputs!$B$50*(1+Inputs!$B$52)^(C$7-1)*MAX(0,MIN(1,C$6*1-Inputs!$B$53+1))/1</f>
        <v>3</v>
      </c>
      <c r="D104" s="114" t="n">
        <f aca="false">Inputs!$B$50*(1+Inputs!$B$52)^(D$7-1)*MAX(0,MIN(1,D$6*1-Inputs!$B$53+1))/1</f>
        <v>3</v>
      </c>
      <c r="E104" s="114" t="n">
        <f aca="false">Inputs!$B$50*(1+Inputs!$B$52)^(E$7-1)*MAX(0,MIN(1,E$6*1-Inputs!$B$53+1))/1</f>
        <v>3</v>
      </c>
      <c r="F104" s="114" t="n">
        <f aca="false">Inputs!$B$50*(1+Inputs!$B$52)^(F$7-1)*MAX(0,MIN(1,F$6*1-Inputs!$B$53+1))/1</f>
        <v>3</v>
      </c>
      <c r="G104" s="114" t="n">
        <f aca="false">Inputs!$B$50*(1+Inputs!$B$52)^(G$7-1)*MAX(0,MIN(1,G$6*1-Inputs!$B$53+1))/1</f>
        <v>3</v>
      </c>
      <c r="H104" s="114" t="n">
        <f aca="false">Inputs!$B$50*(1+Inputs!$B$52)^(H$7-1)*MAX(0,MIN(1,H$6*1-Inputs!$B$53+1))/1</f>
        <v>3</v>
      </c>
      <c r="I104" s="114" t="n">
        <f aca="false">Inputs!$B$50*(1+Inputs!$B$52)^(I$7-1)*MAX(0,MIN(1,I$6*1-Inputs!$B$53+1))/1</f>
        <v>3</v>
      </c>
      <c r="J104" s="114" t="n">
        <f aca="false">Inputs!$B$50*(1+Inputs!$B$52)^(J$7-1)*MAX(0,MIN(1,J$6*1-Inputs!$B$53+1))/1</f>
        <v>3</v>
      </c>
      <c r="K104" s="114" t="n">
        <f aca="false">Inputs!$B$50*(1+Inputs!$B$52)^(K$7-1)*MAX(0,MIN(1,K$6*1-Inputs!$B$53+1))/1</f>
        <v>3</v>
      </c>
      <c r="L104" s="114" t="n">
        <f aca="false">Inputs!$B$50*(1+Inputs!$B$52)^(L$7-1)*MAX(0,MIN(1,L$6*1-Inputs!$B$53+1))/1</f>
        <v>3</v>
      </c>
      <c r="M104" s="114" t="n">
        <f aca="false">Inputs!$B$50*(1+Inputs!$B$52)^(M$7-1)*MAX(0,MIN(1,M$6*1-Inputs!$B$53+1))/1</f>
        <v>3</v>
      </c>
      <c r="N104" s="114" t="n">
        <f aca="false">Inputs!$B$50*(1+Inputs!$B$52)^(N$7-1)*MAX(0,MIN(1,N$6*1-Inputs!$B$53+1))/1</f>
        <v>3</v>
      </c>
      <c r="O104" s="114" t="n">
        <f aca="false">Inputs!$B$50*(1+Inputs!$B$52)^(O$7-1)*MAX(0,MIN(1,O$6*1-Inputs!$B$53+1))/1</f>
        <v>3.45</v>
      </c>
      <c r="P104" s="114" t="n">
        <f aca="false">Inputs!$B$50*(1+Inputs!$B$52)^(P$7-1)*MAX(0,MIN(1,P$6*1-Inputs!$B$53+1))/1</f>
        <v>3.45</v>
      </c>
      <c r="Q104" s="114" t="n">
        <f aca="false">Inputs!$B$50*(1+Inputs!$B$52)^(Q$7-1)*MAX(0,MIN(1,Q$6*1-Inputs!$B$53+1))/1</f>
        <v>3.45</v>
      </c>
      <c r="R104" s="114" t="n">
        <f aca="false">Inputs!$B$50*(1+Inputs!$B$52)^(R$7-1)*MAX(0,MIN(1,R$6*1-Inputs!$B$53+1))/1</f>
        <v>3.45</v>
      </c>
      <c r="S104" s="114" t="n">
        <f aca="false">Inputs!$B$50*(1+Inputs!$B$52)^(S$7-1)*MAX(0,MIN(1,S$6*1-Inputs!$B$53+1))/1</f>
        <v>3.45</v>
      </c>
      <c r="T104" s="114" t="n">
        <f aca="false">Inputs!$B$50*(1+Inputs!$B$52)^(T$7-1)*MAX(0,MIN(1,T$6*1-Inputs!$B$53+1))/1</f>
        <v>3.45</v>
      </c>
      <c r="U104" s="114" t="n">
        <f aca="false">Inputs!$B$50*(1+Inputs!$B$52)^(U$7-1)*MAX(0,MIN(1,U$6*1-Inputs!$B$53+1))/1</f>
        <v>3.45</v>
      </c>
      <c r="V104" s="114" t="n">
        <f aca="false">Inputs!$B$50*(1+Inputs!$B$52)^(V$7-1)*MAX(0,MIN(1,V$6*1-Inputs!$B$53+1))/1</f>
        <v>3.45</v>
      </c>
      <c r="W104" s="114" t="n">
        <f aca="false">Inputs!$B$50*(1+Inputs!$B$52)^(W$7-1)*MAX(0,MIN(1,W$6*1-Inputs!$B$53+1))/1</f>
        <v>3.45</v>
      </c>
      <c r="X104" s="114" t="n">
        <f aca="false">Inputs!$B$50*(1+Inputs!$B$52)^(X$7-1)*MAX(0,MIN(1,X$6*1-Inputs!$B$53+1))/1</f>
        <v>3.45</v>
      </c>
      <c r="Y104" s="114" t="n">
        <f aca="false">Inputs!$B$50*(1+Inputs!$B$52)^(Y$7-1)*MAX(0,MIN(1,Y$6*1-Inputs!$B$53+1))/1</f>
        <v>3.45</v>
      </c>
      <c r="Z104" s="114" t="n">
        <f aca="false">Inputs!$B$50*(1+Inputs!$B$52)^(Z$7-1)*MAX(0,MIN(1,Z$6*1-Inputs!$B$53+1))/1</f>
        <v>3.45</v>
      </c>
      <c r="AA104" s="114" t="n">
        <f aca="false">Inputs!$B$50*(1+Inputs!$B$52)^(AA$7-1)*MAX(0,MIN(1,AA$6*1-Inputs!$B$53+1))/1</f>
        <v>3.9675</v>
      </c>
      <c r="AB104" s="114" t="n">
        <f aca="false">Inputs!$B$50*(1+Inputs!$B$52)^(AB$7-1)*MAX(0,MIN(1,AB$6*1-Inputs!$B$53+1))/1</f>
        <v>3.9675</v>
      </c>
      <c r="AC104" s="114" t="n">
        <f aca="false">Inputs!$B$50*(1+Inputs!$B$52)^(AC$7-1)*MAX(0,MIN(1,AC$6*1-Inputs!$B$53+1))/1</f>
        <v>3.9675</v>
      </c>
      <c r="AD104" s="114" t="n">
        <f aca="false">Inputs!$B$50*(1+Inputs!$B$52)^(AD$7-1)*MAX(0,MIN(1,AD$6*1-Inputs!$B$53+1))/1</f>
        <v>3.9675</v>
      </c>
      <c r="AE104" s="114" t="n">
        <f aca="false">Inputs!$B$50*(1+Inputs!$B$52)^(AE$7-1)*MAX(0,MIN(1,AE$6*1-Inputs!$B$53+1))/1</f>
        <v>3.9675</v>
      </c>
      <c r="AF104" s="114" t="n">
        <f aca="false">Inputs!$B$50*(1+Inputs!$B$52)^(AF$7-1)*MAX(0,MIN(1,AF$6*1-Inputs!$B$53+1))/1</f>
        <v>3.9675</v>
      </c>
      <c r="AG104" s="114" t="n">
        <f aca="false">Inputs!$B$50*(1+Inputs!$B$52)^(AG$7-1)*MAX(0,MIN(1,AG$6*1-Inputs!$B$53+1))/1</f>
        <v>3.9675</v>
      </c>
      <c r="AH104" s="114" t="n">
        <f aca="false">Inputs!$B$50*(1+Inputs!$B$52)^(AH$7-1)*MAX(0,MIN(1,AH$6*1-Inputs!$B$53+1))/1</f>
        <v>3.9675</v>
      </c>
      <c r="AI104" s="114" t="n">
        <f aca="false">Inputs!$B$50*(1+Inputs!$B$52)^(AI$7-1)*MAX(0,MIN(1,AI$6*1-Inputs!$B$53+1))/1</f>
        <v>3.9675</v>
      </c>
      <c r="AJ104" s="114" t="n">
        <f aca="false">Inputs!$B$50*(1+Inputs!$B$52)^(AJ$7-1)*MAX(0,MIN(1,AJ$6*1-Inputs!$B$53+1))/1</f>
        <v>3.9675</v>
      </c>
      <c r="AK104" s="114" t="n">
        <f aca="false">Inputs!$B$50*(1+Inputs!$B$52)^(AK$7-1)*MAX(0,MIN(1,AK$6*1-Inputs!$B$53+1))/1</f>
        <v>3.9675</v>
      </c>
      <c r="AL104" s="114" t="n">
        <f aca="false">Inputs!$B$50*(1+Inputs!$B$52)^(AL$7-1)*MAX(0,MIN(1,AL$6*1-Inputs!$B$53+1))/1</f>
        <v>3.9675</v>
      </c>
      <c r="AM104" s="114" t="n">
        <f aca="false">Inputs!$B$50*(1+Inputs!$B$52)^(AM$7-1)*MAX(0,MIN(1,AM$6*1-Inputs!$B$53+1))/1</f>
        <v>4.562625</v>
      </c>
      <c r="AN104" s="114" t="n">
        <f aca="false">Inputs!$B$50*(1+Inputs!$B$52)^(AN$7-1)*MAX(0,MIN(1,AN$6*1-Inputs!$B$53+1))/1</f>
        <v>4.562625</v>
      </c>
      <c r="AO104" s="114" t="n">
        <f aca="false">Inputs!$B$50*(1+Inputs!$B$52)^(AO$7-1)*MAX(0,MIN(1,AO$6*1-Inputs!$B$53+1))/1</f>
        <v>4.562625</v>
      </c>
      <c r="AP104" s="114" t="n">
        <f aca="false">Inputs!$B$50*(1+Inputs!$B$52)^(AP$7-1)*MAX(0,MIN(1,AP$6*1-Inputs!$B$53+1))/1</f>
        <v>4.562625</v>
      </c>
      <c r="AQ104" s="114" t="n">
        <f aca="false">Inputs!$B$50*(1+Inputs!$B$52)^(AQ$7-1)*MAX(0,MIN(1,AQ$6*1-Inputs!$B$53+1))/1</f>
        <v>4.562625</v>
      </c>
      <c r="AR104" s="114" t="n">
        <f aca="false">Inputs!$B$50*(1+Inputs!$B$52)^(AR$7-1)*MAX(0,MIN(1,AR$6*1-Inputs!$B$53+1))/1</f>
        <v>4.562625</v>
      </c>
      <c r="AS104" s="114" t="n">
        <f aca="false">Inputs!$B$50*(1+Inputs!$B$52)^(AS$7-1)*MAX(0,MIN(1,AS$6*1-Inputs!$B$53+1))/1</f>
        <v>4.562625</v>
      </c>
      <c r="AT104" s="114" t="n">
        <f aca="false">Inputs!$B$50*(1+Inputs!$B$52)^(AT$7-1)*MAX(0,MIN(1,AT$6*1-Inputs!$B$53+1))/1</f>
        <v>4.562625</v>
      </c>
      <c r="AU104" s="114" t="n">
        <f aca="false">Inputs!$B$50*(1+Inputs!$B$52)^(AU$7-1)*MAX(0,MIN(1,AU$6*1-Inputs!$B$53+1))/1</f>
        <v>4.562625</v>
      </c>
      <c r="AV104" s="114" t="n">
        <f aca="false">Inputs!$B$50*(1+Inputs!$B$52)^(AV$7-1)*MAX(0,MIN(1,AV$6*1-Inputs!$B$53+1))/1</f>
        <v>4.562625</v>
      </c>
      <c r="AW104" s="114" t="n">
        <f aca="false">Inputs!$B$50*(1+Inputs!$B$52)^(AW$7-1)*MAX(0,MIN(1,AW$6*1-Inputs!$B$53+1))/1</f>
        <v>4.562625</v>
      </c>
      <c r="AX104" s="114" t="n">
        <f aca="false">Inputs!$B$50*(1+Inputs!$B$52)^(AX$7-1)*MAX(0,MIN(1,AX$6*1-Inputs!$B$53+1))/1</f>
        <v>4.562625</v>
      </c>
      <c r="AY104" s="114" t="n">
        <f aca="false">Inputs!$B$50*(1+Inputs!$B$52)^(AY$7-1)*MAX(0,MIN(1,AY$6*1-Inputs!$B$53+1))/1</f>
        <v>5.24701875</v>
      </c>
      <c r="AZ104" s="114" t="n">
        <f aca="false">Inputs!$B$50*(1+Inputs!$B$52)^(AZ$7-1)*MAX(0,MIN(1,AZ$6*1-Inputs!$B$53+1))/1</f>
        <v>5.24701875</v>
      </c>
      <c r="BA104" s="114" t="n">
        <f aca="false">Inputs!$B$50*(1+Inputs!$B$52)^(BA$7-1)*MAX(0,MIN(1,BA$6*1-Inputs!$B$53+1))/1</f>
        <v>5.24701875</v>
      </c>
      <c r="BB104" s="114" t="n">
        <f aca="false">Inputs!$B$50*(1+Inputs!$B$52)^(BB$7-1)*MAX(0,MIN(1,BB$6*1-Inputs!$B$53+1))/1</f>
        <v>5.24701875</v>
      </c>
      <c r="BC104" s="114" t="n">
        <f aca="false">Inputs!$B$50*(1+Inputs!$B$52)^(BC$7-1)*MAX(0,MIN(1,BC$6*1-Inputs!$B$53+1))/1</f>
        <v>5.24701875</v>
      </c>
      <c r="BD104" s="114" t="n">
        <f aca="false">Inputs!$B$50*(1+Inputs!$B$52)^(BD$7-1)*MAX(0,MIN(1,BD$6*1-Inputs!$B$53+1))/1</f>
        <v>5.24701875</v>
      </c>
      <c r="BE104" s="114" t="n">
        <f aca="false">Inputs!$B$50*(1+Inputs!$B$52)^(BE$7-1)*MAX(0,MIN(1,BE$6*1-Inputs!$B$53+1))/1</f>
        <v>5.24701875</v>
      </c>
      <c r="BF104" s="114" t="n">
        <f aca="false">Inputs!$B$50*(1+Inputs!$B$52)^(BF$7-1)*MAX(0,MIN(1,BF$6*1-Inputs!$B$53+1))/1</f>
        <v>5.24701875</v>
      </c>
      <c r="BG104" s="114" t="n">
        <f aca="false">Inputs!$B$50*(1+Inputs!$B$52)^(BG$7-1)*MAX(0,MIN(1,BG$6*1-Inputs!$B$53+1))/1</f>
        <v>5.24701875</v>
      </c>
      <c r="BH104" s="114" t="n">
        <f aca="false">Inputs!$B$50*(1+Inputs!$B$52)^(BH$7-1)*MAX(0,MIN(1,BH$6*1-Inputs!$B$53+1))/1</f>
        <v>5.24701875</v>
      </c>
      <c r="BI104" s="114" t="n">
        <f aca="false">Inputs!$B$50*(1+Inputs!$B$52)^(BI$7-1)*MAX(0,MIN(1,BI$6*1-Inputs!$B$53+1))/1</f>
        <v>5.24701875</v>
      </c>
      <c r="BJ104" s="114" t="n">
        <f aca="false">Inputs!$B$50*(1+Inputs!$B$52)^(BJ$7-1)*MAX(0,MIN(1,BJ$6*1-Inputs!$B$53+1))/1</f>
        <v>5.24701875</v>
      </c>
    </row>
    <row r="105" customFormat="false" ht="15" hidden="false" customHeight="false" outlineLevel="0" collapsed="false">
      <c r="A105" s="110" t="s">
        <v>448</v>
      </c>
      <c r="C105" s="118" t="n">
        <f aca="false">C101+C102+C103+C104</f>
        <v>21</v>
      </c>
      <c r="D105" s="118" t="n">
        <f aca="false">D101+D102+D103+D104</f>
        <v>21</v>
      </c>
      <c r="E105" s="118" t="n">
        <f aca="false">E101+E102+E103+E104</f>
        <v>21</v>
      </c>
      <c r="F105" s="118" t="n">
        <f aca="false">F101+F102+F103+F104</f>
        <v>21</v>
      </c>
      <c r="G105" s="118" t="n">
        <f aca="false">G101+G102+G103+G104</f>
        <v>21</v>
      </c>
      <c r="H105" s="118" t="n">
        <f aca="false">H101+H102+H103+H104</f>
        <v>21</v>
      </c>
      <c r="I105" s="118" t="n">
        <f aca="false">I101+I102+I103+I104</f>
        <v>21</v>
      </c>
      <c r="J105" s="118" t="n">
        <f aca="false">J101+J102+J103+J104</f>
        <v>21</v>
      </c>
      <c r="K105" s="118" t="n">
        <f aca="false">K101+K102+K103+K104</f>
        <v>21</v>
      </c>
      <c r="L105" s="118" t="n">
        <f aca="false">L101+L102+L103+L104</f>
        <v>21</v>
      </c>
      <c r="M105" s="118" t="n">
        <f aca="false">M101+M102+M103+M104</f>
        <v>21</v>
      </c>
      <c r="N105" s="118" t="n">
        <f aca="false">N101+N102+N103+N104</f>
        <v>21</v>
      </c>
      <c r="O105" s="118" t="n">
        <f aca="false">O101+O102+O103+O104</f>
        <v>25.85</v>
      </c>
      <c r="P105" s="118" t="n">
        <f aca="false">P101+P102+P103+P104</f>
        <v>25.85</v>
      </c>
      <c r="Q105" s="118" t="n">
        <f aca="false">Q101+Q102+Q103+Q104</f>
        <v>25.85</v>
      </c>
      <c r="R105" s="118" t="n">
        <f aca="false">R101+R102+R103+R104</f>
        <v>25.85</v>
      </c>
      <c r="S105" s="118" t="n">
        <f aca="false">S101+S102+S103+S104</f>
        <v>25.85</v>
      </c>
      <c r="T105" s="118" t="n">
        <f aca="false">T101+T102+T103+T104</f>
        <v>25.85</v>
      </c>
      <c r="U105" s="118" t="n">
        <f aca="false">U101+U102+U103+U104</f>
        <v>25.85</v>
      </c>
      <c r="V105" s="118" t="n">
        <f aca="false">V101+V102+V103+V104</f>
        <v>25.85</v>
      </c>
      <c r="W105" s="118" t="n">
        <f aca="false">W101+W102+W103+W104</f>
        <v>25.85</v>
      </c>
      <c r="X105" s="118" t="n">
        <f aca="false">X101+X102+X103+X104</f>
        <v>25.85</v>
      </c>
      <c r="Y105" s="118" t="n">
        <f aca="false">Y101+Y102+Y103+Y104</f>
        <v>25.85</v>
      </c>
      <c r="Z105" s="118" t="n">
        <f aca="false">Z101+Z102+Z103+Z104</f>
        <v>25.85</v>
      </c>
      <c r="AA105" s="118" t="n">
        <f aca="false">AA101+AA102+AA103+AA104</f>
        <v>31.8875</v>
      </c>
      <c r="AB105" s="118" t="n">
        <f aca="false">AB101+AB102+AB103+AB104</f>
        <v>31.8875</v>
      </c>
      <c r="AC105" s="118" t="n">
        <f aca="false">AC101+AC102+AC103+AC104</f>
        <v>31.8875</v>
      </c>
      <c r="AD105" s="118" t="n">
        <f aca="false">AD101+AD102+AD103+AD104</f>
        <v>31.8875</v>
      </c>
      <c r="AE105" s="118" t="n">
        <f aca="false">AE101+AE102+AE103+AE104</f>
        <v>31.8875</v>
      </c>
      <c r="AF105" s="118" t="n">
        <f aca="false">AF101+AF102+AF103+AF104</f>
        <v>31.8875</v>
      </c>
      <c r="AG105" s="118" t="n">
        <f aca="false">AG101+AG102+AG103+AG104</f>
        <v>31.8875</v>
      </c>
      <c r="AH105" s="118" t="n">
        <f aca="false">AH101+AH102+AH103+AH104</f>
        <v>31.8875</v>
      </c>
      <c r="AI105" s="118" t="n">
        <f aca="false">AI101+AI102+AI103+AI104</f>
        <v>31.8875</v>
      </c>
      <c r="AJ105" s="118" t="n">
        <f aca="false">AJ101+AJ102+AJ103+AJ104</f>
        <v>31.8875</v>
      </c>
      <c r="AK105" s="118" t="n">
        <f aca="false">AK101+AK102+AK103+AK104</f>
        <v>31.8875</v>
      </c>
      <c r="AL105" s="118" t="n">
        <f aca="false">AL101+AL102+AL103+AL104</f>
        <v>31.8875</v>
      </c>
      <c r="AM105" s="118" t="n">
        <f aca="false">AM101+AM102+AM103+AM104</f>
        <v>39.418625</v>
      </c>
      <c r="AN105" s="118" t="n">
        <f aca="false">AN101+AN102+AN103+AN104</f>
        <v>39.418625</v>
      </c>
      <c r="AO105" s="118" t="n">
        <f aca="false">AO101+AO102+AO103+AO104</f>
        <v>39.418625</v>
      </c>
      <c r="AP105" s="118" t="n">
        <f aca="false">AP101+AP102+AP103+AP104</f>
        <v>39.418625</v>
      </c>
      <c r="AQ105" s="118" t="n">
        <f aca="false">AQ101+AQ102+AQ103+AQ104</f>
        <v>39.418625</v>
      </c>
      <c r="AR105" s="118" t="n">
        <f aca="false">AR101+AR102+AR103+AR104</f>
        <v>39.418625</v>
      </c>
      <c r="AS105" s="118" t="n">
        <f aca="false">AS101+AS102+AS103+AS104</f>
        <v>39.418625</v>
      </c>
      <c r="AT105" s="118" t="n">
        <f aca="false">AT101+AT102+AT103+AT104</f>
        <v>39.418625</v>
      </c>
      <c r="AU105" s="118" t="n">
        <f aca="false">AU101+AU102+AU103+AU104</f>
        <v>39.418625</v>
      </c>
      <c r="AV105" s="118" t="n">
        <f aca="false">AV101+AV102+AV103+AV104</f>
        <v>39.418625</v>
      </c>
      <c r="AW105" s="118" t="n">
        <f aca="false">AW101+AW102+AW103+AW104</f>
        <v>39.418625</v>
      </c>
      <c r="AX105" s="118" t="n">
        <f aca="false">AX101+AX102+AX103+AX104</f>
        <v>39.418625</v>
      </c>
      <c r="AY105" s="118" t="n">
        <f aca="false">AY101+AY102+AY103+AY104</f>
        <v>48.83181875</v>
      </c>
      <c r="AZ105" s="118" t="n">
        <f aca="false">AZ101+AZ102+AZ103+AZ104</f>
        <v>48.83181875</v>
      </c>
      <c r="BA105" s="118" t="n">
        <f aca="false">BA101+BA102+BA103+BA104</f>
        <v>48.83181875</v>
      </c>
      <c r="BB105" s="118" t="n">
        <f aca="false">BB101+BB102+BB103+BB104</f>
        <v>48.83181875</v>
      </c>
      <c r="BC105" s="118" t="n">
        <f aca="false">BC101+BC102+BC103+BC104</f>
        <v>48.83181875</v>
      </c>
      <c r="BD105" s="118" t="n">
        <f aca="false">BD101+BD102+BD103+BD104</f>
        <v>48.83181875</v>
      </c>
      <c r="BE105" s="118" t="n">
        <f aca="false">BE101+BE102+BE103+BE104</f>
        <v>48.83181875</v>
      </c>
      <c r="BF105" s="118" t="n">
        <f aca="false">BF101+BF102+BF103+BF104</f>
        <v>48.83181875</v>
      </c>
      <c r="BG105" s="118" t="n">
        <f aca="false">BG101+BG102+BG103+BG104</f>
        <v>48.83181875</v>
      </c>
      <c r="BH105" s="118" t="n">
        <f aca="false">BH101+BH102+BH103+BH104</f>
        <v>48.83181875</v>
      </c>
      <c r="BI105" s="118" t="n">
        <f aca="false">BI101+BI102+BI103+BI104</f>
        <v>48.83181875</v>
      </c>
      <c r="BJ105" s="118" t="n">
        <f aca="false">BJ101+BJ102+BJ103+BJ104</f>
        <v>48.83181875</v>
      </c>
    </row>
    <row r="107" customFormat="false" ht="15.75" hidden="false" customHeight="true" outlineLevel="0" collapsed="false">
      <c r="A107" s="7" t="s">
        <v>449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customFormat="false" ht="15" hidden="false" customHeight="false" outlineLevel="0" collapsed="false">
      <c r="A108" s="6" t="s">
        <v>450</v>
      </c>
      <c r="C108" s="65" t="n">
        <f aca="false">-C101*Inputs!$B$39/12*1*(1+Inputs!$B$54)*(1+Inputs!$B$55)^(C$7-1)</f>
        <v>-28750</v>
      </c>
      <c r="D108" s="65" t="n">
        <f aca="false">-D101*Inputs!$B$39/12*1*(1+Inputs!$B$54)*(1+Inputs!$B$55)^(D$7-1)</f>
        <v>-28750</v>
      </c>
      <c r="E108" s="65" t="n">
        <f aca="false">-E101*Inputs!$B$39/12*1*(1+Inputs!$B$54)*(1+Inputs!$B$55)^(E$7-1)</f>
        <v>-28750</v>
      </c>
      <c r="F108" s="65" t="n">
        <f aca="false">-F101*Inputs!$B$39/12*1*(1+Inputs!$B$54)*(1+Inputs!$B$55)^(F$7-1)</f>
        <v>-28750</v>
      </c>
      <c r="G108" s="65" t="n">
        <f aca="false">-G101*Inputs!$B$39/12*1*(1+Inputs!$B$54)*(1+Inputs!$B$55)^(G$7-1)</f>
        <v>-28750</v>
      </c>
      <c r="H108" s="65" t="n">
        <f aca="false">-H101*Inputs!$B$39/12*1*(1+Inputs!$B$54)*(1+Inputs!$B$55)^(H$7-1)</f>
        <v>-28750</v>
      </c>
      <c r="I108" s="65" t="n">
        <f aca="false">-I101*Inputs!$B$39/12*1*(1+Inputs!$B$54)*(1+Inputs!$B$55)^(I$7-1)</f>
        <v>-28750</v>
      </c>
      <c r="J108" s="65" t="n">
        <f aca="false">-J101*Inputs!$B$39/12*1*(1+Inputs!$B$54)*(1+Inputs!$B$55)^(J$7-1)</f>
        <v>-28750</v>
      </c>
      <c r="K108" s="65" t="n">
        <f aca="false">-K101*Inputs!$B$39/12*1*(1+Inputs!$B$54)*(1+Inputs!$B$55)^(K$7-1)</f>
        <v>-28750</v>
      </c>
      <c r="L108" s="65" t="n">
        <f aca="false">-L101*Inputs!$B$39/12*1*(1+Inputs!$B$54)*(1+Inputs!$B$55)^(L$7-1)</f>
        <v>-28750</v>
      </c>
      <c r="M108" s="65" t="n">
        <f aca="false">-M101*Inputs!$B$39/12*1*(1+Inputs!$B$54)*(1+Inputs!$B$55)^(M$7-1)</f>
        <v>-28750</v>
      </c>
      <c r="N108" s="65" t="n">
        <f aca="false">-N101*Inputs!$B$39/12*1*(1+Inputs!$B$54)*(1+Inputs!$B$55)^(N$7-1)</f>
        <v>-28750</v>
      </c>
      <c r="O108" s="65" t="n">
        <f aca="false">-O101*Inputs!$B$39/12*1*(1+Inputs!$B$54)*(1+Inputs!$B$55)^(O$7-1)</f>
        <v>-35535</v>
      </c>
      <c r="P108" s="65" t="n">
        <f aca="false">-P101*Inputs!$B$39/12*1*(1+Inputs!$B$54)*(1+Inputs!$B$55)^(P$7-1)</f>
        <v>-35535</v>
      </c>
      <c r="Q108" s="65" t="n">
        <f aca="false">-Q101*Inputs!$B$39/12*1*(1+Inputs!$B$54)*(1+Inputs!$B$55)^(Q$7-1)</f>
        <v>-35535</v>
      </c>
      <c r="R108" s="65" t="n">
        <f aca="false">-R101*Inputs!$B$39/12*1*(1+Inputs!$B$54)*(1+Inputs!$B$55)^(R$7-1)</f>
        <v>-35535</v>
      </c>
      <c r="S108" s="65" t="n">
        <f aca="false">-S101*Inputs!$B$39/12*1*(1+Inputs!$B$54)*(1+Inputs!$B$55)^(S$7-1)</f>
        <v>-35535</v>
      </c>
      <c r="T108" s="65" t="n">
        <f aca="false">-T101*Inputs!$B$39/12*1*(1+Inputs!$B$54)*(1+Inputs!$B$55)^(T$7-1)</f>
        <v>-35535</v>
      </c>
      <c r="U108" s="65" t="n">
        <f aca="false">-U101*Inputs!$B$39/12*1*(1+Inputs!$B$54)*(1+Inputs!$B$55)^(U$7-1)</f>
        <v>-35535</v>
      </c>
      <c r="V108" s="65" t="n">
        <f aca="false">-V101*Inputs!$B$39/12*1*(1+Inputs!$B$54)*(1+Inputs!$B$55)^(V$7-1)</f>
        <v>-35535</v>
      </c>
      <c r="W108" s="65" t="n">
        <f aca="false">-W101*Inputs!$B$39/12*1*(1+Inputs!$B$54)*(1+Inputs!$B$55)^(W$7-1)</f>
        <v>-35535</v>
      </c>
      <c r="X108" s="65" t="n">
        <f aca="false">-X101*Inputs!$B$39/12*1*(1+Inputs!$B$54)*(1+Inputs!$B$55)^(X$7-1)</f>
        <v>-35535</v>
      </c>
      <c r="Y108" s="65" t="n">
        <f aca="false">-Y101*Inputs!$B$39/12*1*(1+Inputs!$B$54)*(1+Inputs!$B$55)^(Y$7-1)</f>
        <v>-35535</v>
      </c>
      <c r="Z108" s="65" t="n">
        <f aca="false">-Z101*Inputs!$B$39/12*1*(1+Inputs!$B$54)*(1+Inputs!$B$55)^(Z$7-1)</f>
        <v>-35535</v>
      </c>
      <c r="AA108" s="65" t="n">
        <f aca="false">-AA101*Inputs!$B$39/12*1*(1+Inputs!$B$54)*(1+Inputs!$B$55)^(AA$7-1)</f>
        <v>-43921.26</v>
      </c>
      <c r="AB108" s="65" t="n">
        <f aca="false">-AB101*Inputs!$B$39/12*1*(1+Inputs!$B$54)*(1+Inputs!$B$55)^(AB$7-1)</f>
        <v>-43921.26</v>
      </c>
      <c r="AC108" s="65" t="n">
        <f aca="false">-AC101*Inputs!$B$39/12*1*(1+Inputs!$B$54)*(1+Inputs!$B$55)^(AC$7-1)</f>
        <v>-43921.26</v>
      </c>
      <c r="AD108" s="65" t="n">
        <f aca="false">-AD101*Inputs!$B$39/12*1*(1+Inputs!$B$54)*(1+Inputs!$B$55)^(AD$7-1)</f>
        <v>-43921.26</v>
      </c>
      <c r="AE108" s="65" t="n">
        <f aca="false">-AE101*Inputs!$B$39/12*1*(1+Inputs!$B$54)*(1+Inputs!$B$55)^(AE$7-1)</f>
        <v>-43921.26</v>
      </c>
      <c r="AF108" s="65" t="n">
        <f aca="false">-AF101*Inputs!$B$39/12*1*(1+Inputs!$B$54)*(1+Inputs!$B$55)^(AF$7-1)</f>
        <v>-43921.26</v>
      </c>
      <c r="AG108" s="65" t="n">
        <f aca="false">-AG101*Inputs!$B$39/12*1*(1+Inputs!$B$54)*(1+Inputs!$B$55)^(AG$7-1)</f>
        <v>-43921.26</v>
      </c>
      <c r="AH108" s="65" t="n">
        <f aca="false">-AH101*Inputs!$B$39/12*1*(1+Inputs!$B$54)*(1+Inputs!$B$55)^(AH$7-1)</f>
        <v>-43921.26</v>
      </c>
      <c r="AI108" s="65" t="n">
        <f aca="false">-AI101*Inputs!$B$39/12*1*(1+Inputs!$B$54)*(1+Inputs!$B$55)^(AI$7-1)</f>
        <v>-43921.26</v>
      </c>
      <c r="AJ108" s="65" t="n">
        <f aca="false">-AJ101*Inputs!$B$39/12*1*(1+Inputs!$B$54)*(1+Inputs!$B$55)^(AJ$7-1)</f>
        <v>-43921.26</v>
      </c>
      <c r="AK108" s="65" t="n">
        <f aca="false">-AK101*Inputs!$B$39/12*1*(1+Inputs!$B$54)*(1+Inputs!$B$55)^(AK$7-1)</f>
        <v>-43921.26</v>
      </c>
      <c r="AL108" s="65" t="n">
        <f aca="false">-AL101*Inputs!$B$39/12*1*(1+Inputs!$B$54)*(1+Inputs!$B$55)^(AL$7-1)</f>
        <v>-43921.26</v>
      </c>
      <c r="AM108" s="65" t="n">
        <f aca="false">-AM101*Inputs!$B$39/12*1*(1+Inputs!$B$54)*(1+Inputs!$B$55)^(AM$7-1)</f>
        <v>-54286.67736</v>
      </c>
      <c r="AN108" s="65" t="n">
        <f aca="false">-AN101*Inputs!$B$39/12*1*(1+Inputs!$B$54)*(1+Inputs!$B$55)^(AN$7-1)</f>
        <v>-54286.67736</v>
      </c>
      <c r="AO108" s="65" t="n">
        <f aca="false">-AO101*Inputs!$B$39/12*1*(1+Inputs!$B$54)*(1+Inputs!$B$55)^(AO$7-1)</f>
        <v>-54286.67736</v>
      </c>
      <c r="AP108" s="65" t="n">
        <f aca="false">-AP101*Inputs!$B$39/12*1*(1+Inputs!$B$54)*(1+Inputs!$B$55)^(AP$7-1)</f>
        <v>-54286.67736</v>
      </c>
      <c r="AQ108" s="65" t="n">
        <f aca="false">-AQ101*Inputs!$B$39/12*1*(1+Inputs!$B$54)*(1+Inputs!$B$55)^(AQ$7-1)</f>
        <v>-54286.67736</v>
      </c>
      <c r="AR108" s="65" t="n">
        <f aca="false">-AR101*Inputs!$B$39/12*1*(1+Inputs!$B$54)*(1+Inputs!$B$55)^(AR$7-1)</f>
        <v>-54286.67736</v>
      </c>
      <c r="AS108" s="65" t="n">
        <f aca="false">-AS101*Inputs!$B$39/12*1*(1+Inputs!$B$54)*(1+Inputs!$B$55)^(AS$7-1)</f>
        <v>-54286.67736</v>
      </c>
      <c r="AT108" s="65" t="n">
        <f aca="false">-AT101*Inputs!$B$39/12*1*(1+Inputs!$B$54)*(1+Inputs!$B$55)^(AT$7-1)</f>
        <v>-54286.67736</v>
      </c>
      <c r="AU108" s="65" t="n">
        <f aca="false">-AU101*Inputs!$B$39/12*1*(1+Inputs!$B$54)*(1+Inputs!$B$55)^(AU$7-1)</f>
        <v>-54286.67736</v>
      </c>
      <c r="AV108" s="65" t="n">
        <f aca="false">-AV101*Inputs!$B$39/12*1*(1+Inputs!$B$54)*(1+Inputs!$B$55)^(AV$7-1)</f>
        <v>-54286.67736</v>
      </c>
      <c r="AW108" s="65" t="n">
        <f aca="false">-AW101*Inputs!$B$39/12*1*(1+Inputs!$B$54)*(1+Inputs!$B$55)^(AW$7-1)</f>
        <v>-54286.67736</v>
      </c>
      <c r="AX108" s="65" t="n">
        <f aca="false">-AX101*Inputs!$B$39/12*1*(1+Inputs!$B$54)*(1+Inputs!$B$55)^(AX$7-1)</f>
        <v>-54286.67736</v>
      </c>
      <c r="AY108" s="65" t="n">
        <f aca="false">-AY101*Inputs!$B$39/12*1*(1+Inputs!$B$54)*(1+Inputs!$B$55)^(AY$7-1)</f>
        <v>-67098.33321696</v>
      </c>
      <c r="AZ108" s="65" t="n">
        <f aca="false">-AZ101*Inputs!$B$39/12*1*(1+Inputs!$B$54)*(1+Inputs!$B$55)^(AZ$7-1)</f>
        <v>-67098.33321696</v>
      </c>
      <c r="BA108" s="65" t="n">
        <f aca="false">-BA101*Inputs!$B$39/12*1*(1+Inputs!$B$54)*(1+Inputs!$B$55)^(BA$7-1)</f>
        <v>-67098.33321696</v>
      </c>
      <c r="BB108" s="65" t="n">
        <f aca="false">-BB101*Inputs!$B$39/12*1*(1+Inputs!$B$54)*(1+Inputs!$B$55)^(BB$7-1)</f>
        <v>-67098.33321696</v>
      </c>
      <c r="BC108" s="65" t="n">
        <f aca="false">-BC101*Inputs!$B$39/12*1*(1+Inputs!$B$54)*(1+Inputs!$B$55)^(BC$7-1)</f>
        <v>-67098.33321696</v>
      </c>
      <c r="BD108" s="65" t="n">
        <f aca="false">-BD101*Inputs!$B$39/12*1*(1+Inputs!$B$54)*(1+Inputs!$B$55)^(BD$7-1)</f>
        <v>-67098.33321696</v>
      </c>
      <c r="BE108" s="65" t="n">
        <f aca="false">-BE101*Inputs!$B$39/12*1*(1+Inputs!$B$54)*(1+Inputs!$B$55)^(BE$7-1)</f>
        <v>-67098.33321696</v>
      </c>
      <c r="BF108" s="65" t="n">
        <f aca="false">-BF101*Inputs!$B$39/12*1*(1+Inputs!$B$54)*(1+Inputs!$B$55)^(BF$7-1)</f>
        <v>-67098.33321696</v>
      </c>
      <c r="BG108" s="65" t="n">
        <f aca="false">-BG101*Inputs!$B$39/12*1*(1+Inputs!$B$54)*(1+Inputs!$B$55)^(BG$7-1)</f>
        <v>-67098.33321696</v>
      </c>
      <c r="BH108" s="65" t="n">
        <f aca="false">-BH101*Inputs!$B$39/12*1*(1+Inputs!$B$54)*(1+Inputs!$B$55)^(BH$7-1)</f>
        <v>-67098.33321696</v>
      </c>
      <c r="BI108" s="65" t="n">
        <f aca="false">-BI101*Inputs!$B$39/12*1*(1+Inputs!$B$54)*(1+Inputs!$B$55)^(BI$7-1)</f>
        <v>-67098.33321696</v>
      </c>
      <c r="BJ108" s="65" t="n">
        <f aca="false">-BJ101*Inputs!$B$39/12*1*(1+Inputs!$B$54)*(1+Inputs!$B$55)^(BJ$7-1)</f>
        <v>-67098.33321696</v>
      </c>
    </row>
    <row r="109" customFormat="false" ht="15" hidden="false" customHeight="false" outlineLevel="0" collapsed="false">
      <c r="A109" s="6" t="s">
        <v>451</v>
      </c>
      <c r="C109" s="65" t="n">
        <f aca="false">-C102*Inputs!$B$43/12*1*(1+Inputs!$B$54)*(1+Inputs!$B$55)^(C$7-1)</f>
        <v>-26833.3333333333</v>
      </c>
      <c r="D109" s="65" t="n">
        <f aca="false">-D102*Inputs!$B$43/12*1*(1+Inputs!$B$54)*(1+Inputs!$B$55)^(D$7-1)</f>
        <v>-26833.3333333333</v>
      </c>
      <c r="E109" s="65" t="n">
        <f aca="false">-E102*Inputs!$B$43/12*1*(1+Inputs!$B$54)*(1+Inputs!$B$55)^(E$7-1)</f>
        <v>-26833.3333333333</v>
      </c>
      <c r="F109" s="65" t="n">
        <f aca="false">-F102*Inputs!$B$43/12*1*(1+Inputs!$B$54)*(1+Inputs!$B$55)^(F$7-1)</f>
        <v>-26833.3333333333</v>
      </c>
      <c r="G109" s="65" t="n">
        <f aca="false">-G102*Inputs!$B$43/12*1*(1+Inputs!$B$54)*(1+Inputs!$B$55)^(G$7-1)</f>
        <v>-26833.3333333333</v>
      </c>
      <c r="H109" s="65" t="n">
        <f aca="false">-H102*Inputs!$B$43/12*1*(1+Inputs!$B$54)*(1+Inputs!$B$55)^(H$7-1)</f>
        <v>-26833.3333333333</v>
      </c>
      <c r="I109" s="65" t="n">
        <f aca="false">-I102*Inputs!$B$43/12*1*(1+Inputs!$B$54)*(1+Inputs!$B$55)^(I$7-1)</f>
        <v>-26833.3333333333</v>
      </c>
      <c r="J109" s="65" t="n">
        <f aca="false">-J102*Inputs!$B$43/12*1*(1+Inputs!$B$54)*(1+Inputs!$B$55)^(J$7-1)</f>
        <v>-26833.3333333333</v>
      </c>
      <c r="K109" s="65" t="n">
        <f aca="false">-K102*Inputs!$B$43/12*1*(1+Inputs!$B$54)*(1+Inputs!$B$55)^(K$7-1)</f>
        <v>-26833.3333333333</v>
      </c>
      <c r="L109" s="65" t="n">
        <f aca="false">-L102*Inputs!$B$43/12*1*(1+Inputs!$B$54)*(1+Inputs!$B$55)^(L$7-1)</f>
        <v>-26833.3333333333</v>
      </c>
      <c r="M109" s="65" t="n">
        <f aca="false">-M102*Inputs!$B$43/12*1*(1+Inputs!$B$54)*(1+Inputs!$B$55)^(M$7-1)</f>
        <v>-26833.3333333333</v>
      </c>
      <c r="N109" s="65" t="n">
        <f aca="false">-N102*Inputs!$B$43/12*1*(1+Inputs!$B$54)*(1+Inputs!$B$55)^(N$7-1)</f>
        <v>-26833.3333333333</v>
      </c>
      <c r="O109" s="65" t="n">
        <f aca="false">-O102*Inputs!$B$43/12*1*(1+Inputs!$B$54)*(1+Inputs!$B$55)^(O$7-1)</f>
        <v>-33166</v>
      </c>
      <c r="P109" s="65" t="n">
        <f aca="false">-P102*Inputs!$B$43/12*1*(1+Inputs!$B$54)*(1+Inputs!$B$55)^(P$7-1)</f>
        <v>-33166</v>
      </c>
      <c r="Q109" s="65" t="n">
        <f aca="false">-Q102*Inputs!$B$43/12*1*(1+Inputs!$B$54)*(1+Inputs!$B$55)^(Q$7-1)</f>
        <v>-33166</v>
      </c>
      <c r="R109" s="65" t="n">
        <f aca="false">-R102*Inputs!$B$43/12*1*(1+Inputs!$B$54)*(1+Inputs!$B$55)^(R$7-1)</f>
        <v>-33166</v>
      </c>
      <c r="S109" s="65" t="n">
        <f aca="false">-S102*Inputs!$B$43/12*1*(1+Inputs!$B$54)*(1+Inputs!$B$55)^(S$7-1)</f>
        <v>-33166</v>
      </c>
      <c r="T109" s="65" t="n">
        <f aca="false">-T102*Inputs!$B$43/12*1*(1+Inputs!$B$54)*(1+Inputs!$B$55)^(T$7-1)</f>
        <v>-33166</v>
      </c>
      <c r="U109" s="65" t="n">
        <f aca="false">-U102*Inputs!$B$43/12*1*(1+Inputs!$B$54)*(1+Inputs!$B$55)^(U$7-1)</f>
        <v>-33166</v>
      </c>
      <c r="V109" s="65" t="n">
        <f aca="false">-V102*Inputs!$B$43/12*1*(1+Inputs!$B$54)*(1+Inputs!$B$55)^(V$7-1)</f>
        <v>-33166</v>
      </c>
      <c r="W109" s="65" t="n">
        <f aca="false">-W102*Inputs!$B$43/12*1*(1+Inputs!$B$54)*(1+Inputs!$B$55)^(W$7-1)</f>
        <v>-33166</v>
      </c>
      <c r="X109" s="65" t="n">
        <f aca="false">-X102*Inputs!$B$43/12*1*(1+Inputs!$B$54)*(1+Inputs!$B$55)^(X$7-1)</f>
        <v>-33166</v>
      </c>
      <c r="Y109" s="65" t="n">
        <f aca="false">-Y102*Inputs!$B$43/12*1*(1+Inputs!$B$54)*(1+Inputs!$B$55)^(Y$7-1)</f>
        <v>-33166</v>
      </c>
      <c r="Z109" s="65" t="n">
        <f aca="false">-Z102*Inputs!$B$43/12*1*(1+Inputs!$B$54)*(1+Inputs!$B$55)^(Z$7-1)</f>
        <v>-33166</v>
      </c>
      <c r="AA109" s="65" t="n">
        <f aca="false">-AA102*Inputs!$B$43/12*1*(1+Inputs!$B$54)*(1+Inputs!$B$55)^(AA$7-1)</f>
        <v>-40993.176</v>
      </c>
      <c r="AB109" s="65" t="n">
        <f aca="false">-AB102*Inputs!$B$43/12*1*(1+Inputs!$B$54)*(1+Inputs!$B$55)^(AB$7-1)</f>
        <v>-40993.176</v>
      </c>
      <c r="AC109" s="65" t="n">
        <f aca="false">-AC102*Inputs!$B$43/12*1*(1+Inputs!$B$54)*(1+Inputs!$B$55)^(AC$7-1)</f>
        <v>-40993.176</v>
      </c>
      <c r="AD109" s="65" t="n">
        <f aca="false">-AD102*Inputs!$B$43/12*1*(1+Inputs!$B$54)*(1+Inputs!$B$55)^(AD$7-1)</f>
        <v>-40993.176</v>
      </c>
      <c r="AE109" s="65" t="n">
        <f aca="false">-AE102*Inputs!$B$43/12*1*(1+Inputs!$B$54)*(1+Inputs!$B$55)^(AE$7-1)</f>
        <v>-40993.176</v>
      </c>
      <c r="AF109" s="65" t="n">
        <f aca="false">-AF102*Inputs!$B$43/12*1*(1+Inputs!$B$54)*(1+Inputs!$B$55)^(AF$7-1)</f>
        <v>-40993.176</v>
      </c>
      <c r="AG109" s="65" t="n">
        <f aca="false">-AG102*Inputs!$B$43/12*1*(1+Inputs!$B$54)*(1+Inputs!$B$55)^(AG$7-1)</f>
        <v>-40993.176</v>
      </c>
      <c r="AH109" s="65" t="n">
        <f aca="false">-AH102*Inputs!$B$43/12*1*(1+Inputs!$B$54)*(1+Inputs!$B$55)^(AH$7-1)</f>
        <v>-40993.176</v>
      </c>
      <c r="AI109" s="65" t="n">
        <f aca="false">-AI102*Inputs!$B$43/12*1*(1+Inputs!$B$54)*(1+Inputs!$B$55)^(AI$7-1)</f>
        <v>-40993.176</v>
      </c>
      <c r="AJ109" s="65" t="n">
        <f aca="false">-AJ102*Inputs!$B$43/12*1*(1+Inputs!$B$54)*(1+Inputs!$B$55)^(AJ$7-1)</f>
        <v>-40993.176</v>
      </c>
      <c r="AK109" s="65" t="n">
        <f aca="false">-AK102*Inputs!$B$43/12*1*(1+Inputs!$B$54)*(1+Inputs!$B$55)^(AK$7-1)</f>
        <v>-40993.176</v>
      </c>
      <c r="AL109" s="65" t="n">
        <f aca="false">-AL102*Inputs!$B$43/12*1*(1+Inputs!$B$54)*(1+Inputs!$B$55)^(AL$7-1)</f>
        <v>-40993.176</v>
      </c>
      <c r="AM109" s="65" t="n">
        <f aca="false">-AM102*Inputs!$B$43/12*1*(1+Inputs!$B$54)*(1+Inputs!$B$55)^(AM$7-1)</f>
        <v>-50667.565536</v>
      </c>
      <c r="AN109" s="65" t="n">
        <f aca="false">-AN102*Inputs!$B$43/12*1*(1+Inputs!$B$54)*(1+Inputs!$B$55)^(AN$7-1)</f>
        <v>-50667.565536</v>
      </c>
      <c r="AO109" s="65" t="n">
        <f aca="false">-AO102*Inputs!$B$43/12*1*(1+Inputs!$B$54)*(1+Inputs!$B$55)^(AO$7-1)</f>
        <v>-50667.565536</v>
      </c>
      <c r="AP109" s="65" t="n">
        <f aca="false">-AP102*Inputs!$B$43/12*1*(1+Inputs!$B$54)*(1+Inputs!$B$55)^(AP$7-1)</f>
        <v>-50667.565536</v>
      </c>
      <c r="AQ109" s="65" t="n">
        <f aca="false">-AQ102*Inputs!$B$43/12*1*(1+Inputs!$B$54)*(1+Inputs!$B$55)^(AQ$7-1)</f>
        <v>-50667.565536</v>
      </c>
      <c r="AR109" s="65" t="n">
        <f aca="false">-AR102*Inputs!$B$43/12*1*(1+Inputs!$B$54)*(1+Inputs!$B$55)^(AR$7-1)</f>
        <v>-50667.565536</v>
      </c>
      <c r="AS109" s="65" t="n">
        <f aca="false">-AS102*Inputs!$B$43/12*1*(1+Inputs!$B$54)*(1+Inputs!$B$55)^(AS$7-1)</f>
        <v>-50667.565536</v>
      </c>
      <c r="AT109" s="65" t="n">
        <f aca="false">-AT102*Inputs!$B$43/12*1*(1+Inputs!$B$54)*(1+Inputs!$B$55)^(AT$7-1)</f>
        <v>-50667.565536</v>
      </c>
      <c r="AU109" s="65" t="n">
        <f aca="false">-AU102*Inputs!$B$43/12*1*(1+Inputs!$B$54)*(1+Inputs!$B$55)^(AU$7-1)</f>
        <v>-50667.565536</v>
      </c>
      <c r="AV109" s="65" t="n">
        <f aca="false">-AV102*Inputs!$B$43/12*1*(1+Inputs!$B$54)*(1+Inputs!$B$55)^(AV$7-1)</f>
        <v>-50667.565536</v>
      </c>
      <c r="AW109" s="65" t="n">
        <f aca="false">-AW102*Inputs!$B$43/12*1*(1+Inputs!$B$54)*(1+Inputs!$B$55)^(AW$7-1)</f>
        <v>-50667.565536</v>
      </c>
      <c r="AX109" s="65" t="n">
        <f aca="false">-AX102*Inputs!$B$43/12*1*(1+Inputs!$B$54)*(1+Inputs!$B$55)^(AX$7-1)</f>
        <v>-50667.565536</v>
      </c>
      <c r="AY109" s="65" t="n">
        <f aca="false">-AY102*Inputs!$B$43/12*1*(1+Inputs!$B$54)*(1+Inputs!$B$55)^(AY$7-1)</f>
        <v>-62625.111002496</v>
      </c>
      <c r="AZ109" s="65" t="n">
        <f aca="false">-AZ102*Inputs!$B$43/12*1*(1+Inputs!$B$54)*(1+Inputs!$B$55)^(AZ$7-1)</f>
        <v>-62625.111002496</v>
      </c>
      <c r="BA109" s="65" t="n">
        <f aca="false">-BA102*Inputs!$B$43/12*1*(1+Inputs!$B$54)*(1+Inputs!$B$55)^(BA$7-1)</f>
        <v>-62625.111002496</v>
      </c>
      <c r="BB109" s="65" t="n">
        <f aca="false">-BB102*Inputs!$B$43/12*1*(1+Inputs!$B$54)*(1+Inputs!$B$55)^(BB$7-1)</f>
        <v>-62625.111002496</v>
      </c>
      <c r="BC109" s="65" t="n">
        <f aca="false">-BC102*Inputs!$B$43/12*1*(1+Inputs!$B$54)*(1+Inputs!$B$55)^(BC$7-1)</f>
        <v>-62625.111002496</v>
      </c>
      <c r="BD109" s="65" t="n">
        <f aca="false">-BD102*Inputs!$B$43/12*1*(1+Inputs!$B$54)*(1+Inputs!$B$55)^(BD$7-1)</f>
        <v>-62625.111002496</v>
      </c>
      <c r="BE109" s="65" t="n">
        <f aca="false">-BE102*Inputs!$B$43/12*1*(1+Inputs!$B$54)*(1+Inputs!$B$55)^(BE$7-1)</f>
        <v>-62625.111002496</v>
      </c>
      <c r="BF109" s="65" t="n">
        <f aca="false">-BF102*Inputs!$B$43/12*1*(1+Inputs!$B$54)*(1+Inputs!$B$55)^(BF$7-1)</f>
        <v>-62625.111002496</v>
      </c>
      <c r="BG109" s="65" t="n">
        <f aca="false">-BG102*Inputs!$B$43/12*1*(1+Inputs!$B$54)*(1+Inputs!$B$55)^(BG$7-1)</f>
        <v>-62625.111002496</v>
      </c>
      <c r="BH109" s="65" t="n">
        <f aca="false">-BH102*Inputs!$B$43/12*1*(1+Inputs!$B$54)*(1+Inputs!$B$55)^(BH$7-1)</f>
        <v>-62625.111002496</v>
      </c>
      <c r="BI109" s="65" t="n">
        <f aca="false">-BI102*Inputs!$B$43/12*1*(1+Inputs!$B$54)*(1+Inputs!$B$55)^(BI$7-1)</f>
        <v>-62625.111002496</v>
      </c>
      <c r="BJ109" s="65" t="n">
        <f aca="false">-BJ102*Inputs!$B$43/12*1*(1+Inputs!$B$54)*(1+Inputs!$B$55)^(BJ$7-1)</f>
        <v>-62625.111002496</v>
      </c>
    </row>
    <row r="110" customFormat="false" ht="15" hidden="false" customHeight="false" outlineLevel="0" collapsed="false">
      <c r="A110" s="6" t="s">
        <v>452</v>
      </c>
      <c r="C110" s="65" t="n">
        <f aca="false">-C103*Inputs!$B$47/12*1*(1+Inputs!$B$54)*(1+Inputs!$B$55)^(C$7-1)</f>
        <v>-29133.3333333333</v>
      </c>
      <c r="D110" s="65" t="n">
        <f aca="false">-D103*Inputs!$B$47/12*1*(1+Inputs!$B$54)*(1+Inputs!$B$55)^(D$7-1)</f>
        <v>-29133.3333333333</v>
      </c>
      <c r="E110" s="65" t="n">
        <f aca="false">-E103*Inputs!$B$47/12*1*(1+Inputs!$B$54)*(1+Inputs!$B$55)^(E$7-1)</f>
        <v>-29133.3333333333</v>
      </c>
      <c r="F110" s="65" t="n">
        <f aca="false">-F103*Inputs!$B$47/12*1*(1+Inputs!$B$54)*(1+Inputs!$B$55)^(F$7-1)</f>
        <v>-29133.3333333333</v>
      </c>
      <c r="G110" s="65" t="n">
        <f aca="false">-G103*Inputs!$B$47/12*1*(1+Inputs!$B$54)*(1+Inputs!$B$55)^(G$7-1)</f>
        <v>-29133.3333333333</v>
      </c>
      <c r="H110" s="65" t="n">
        <f aca="false">-H103*Inputs!$B$47/12*1*(1+Inputs!$B$54)*(1+Inputs!$B$55)^(H$7-1)</f>
        <v>-29133.3333333333</v>
      </c>
      <c r="I110" s="65" t="n">
        <f aca="false">-I103*Inputs!$B$47/12*1*(1+Inputs!$B$54)*(1+Inputs!$B$55)^(I$7-1)</f>
        <v>-29133.3333333333</v>
      </c>
      <c r="J110" s="65" t="n">
        <f aca="false">-J103*Inputs!$B$47/12*1*(1+Inputs!$B$54)*(1+Inputs!$B$55)^(J$7-1)</f>
        <v>-29133.3333333333</v>
      </c>
      <c r="K110" s="65" t="n">
        <f aca="false">-K103*Inputs!$B$47/12*1*(1+Inputs!$B$54)*(1+Inputs!$B$55)^(K$7-1)</f>
        <v>-29133.3333333333</v>
      </c>
      <c r="L110" s="65" t="n">
        <f aca="false">-L103*Inputs!$B$47/12*1*(1+Inputs!$B$54)*(1+Inputs!$B$55)^(L$7-1)</f>
        <v>-29133.3333333333</v>
      </c>
      <c r="M110" s="65" t="n">
        <f aca="false">-M103*Inputs!$B$47/12*1*(1+Inputs!$B$54)*(1+Inputs!$B$55)^(M$7-1)</f>
        <v>-29133.3333333333</v>
      </c>
      <c r="N110" s="65" t="n">
        <f aca="false">-N103*Inputs!$B$47/12*1*(1+Inputs!$B$54)*(1+Inputs!$B$55)^(N$7-1)</f>
        <v>-29133.3333333333</v>
      </c>
      <c r="O110" s="65" t="n">
        <f aca="false">-O103*Inputs!$B$47/12*1*(1+Inputs!$B$54)*(1+Inputs!$B$55)^(O$7-1)</f>
        <v>-39009.5333333333</v>
      </c>
      <c r="P110" s="65" t="n">
        <f aca="false">-P103*Inputs!$B$47/12*1*(1+Inputs!$B$54)*(1+Inputs!$B$55)^(P$7-1)</f>
        <v>-39009.5333333333</v>
      </c>
      <c r="Q110" s="65" t="n">
        <f aca="false">-Q103*Inputs!$B$47/12*1*(1+Inputs!$B$54)*(1+Inputs!$B$55)^(Q$7-1)</f>
        <v>-39009.5333333333</v>
      </c>
      <c r="R110" s="65" t="n">
        <f aca="false">-R103*Inputs!$B$47/12*1*(1+Inputs!$B$54)*(1+Inputs!$B$55)^(R$7-1)</f>
        <v>-39009.5333333333</v>
      </c>
      <c r="S110" s="65" t="n">
        <f aca="false">-S103*Inputs!$B$47/12*1*(1+Inputs!$B$54)*(1+Inputs!$B$55)^(S$7-1)</f>
        <v>-39009.5333333333</v>
      </c>
      <c r="T110" s="65" t="n">
        <f aca="false">-T103*Inputs!$B$47/12*1*(1+Inputs!$B$54)*(1+Inputs!$B$55)^(T$7-1)</f>
        <v>-39009.5333333333</v>
      </c>
      <c r="U110" s="65" t="n">
        <f aca="false">-U103*Inputs!$B$47/12*1*(1+Inputs!$B$54)*(1+Inputs!$B$55)^(U$7-1)</f>
        <v>-39009.5333333333</v>
      </c>
      <c r="V110" s="65" t="n">
        <f aca="false">-V103*Inputs!$B$47/12*1*(1+Inputs!$B$54)*(1+Inputs!$B$55)^(V$7-1)</f>
        <v>-39009.5333333333</v>
      </c>
      <c r="W110" s="65" t="n">
        <f aca="false">-W103*Inputs!$B$47/12*1*(1+Inputs!$B$54)*(1+Inputs!$B$55)^(W$7-1)</f>
        <v>-39009.5333333333</v>
      </c>
      <c r="X110" s="65" t="n">
        <f aca="false">-X103*Inputs!$B$47/12*1*(1+Inputs!$B$54)*(1+Inputs!$B$55)^(X$7-1)</f>
        <v>-39009.5333333333</v>
      </c>
      <c r="Y110" s="65" t="n">
        <f aca="false">-Y103*Inputs!$B$47/12*1*(1+Inputs!$B$54)*(1+Inputs!$B$55)^(Y$7-1)</f>
        <v>-39009.5333333333</v>
      </c>
      <c r="Z110" s="65" t="n">
        <f aca="false">-Z103*Inputs!$B$47/12*1*(1+Inputs!$B$54)*(1+Inputs!$B$55)^(Z$7-1)</f>
        <v>-39009.5333333333</v>
      </c>
      <c r="AA110" s="65" t="n">
        <f aca="false">-AA103*Inputs!$B$47/12*1*(1+Inputs!$B$54)*(1+Inputs!$B$55)^(AA$7-1)</f>
        <v>-52233.7651333333</v>
      </c>
      <c r="AB110" s="65" t="n">
        <f aca="false">-AB103*Inputs!$B$47/12*1*(1+Inputs!$B$54)*(1+Inputs!$B$55)^(AB$7-1)</f>
        <v>-52233.7651333333</v>
      </c>
      <c r="AC110" s="65" t="n">
        <f aca="false">-AC103*Inputs!$B$47/12*1*(1+Inputs!$B$54)*(1+Inputs!$B$55)^(AC$7-1)</f>
        <v>-52233.7651333333</v>
      </c>
      <c r="AD110" s="65" t="n">
        <f aca="false">-AD103*Inputs!$B$47/12*1*(1+Inputs!$B$54)*(1+Inputs!$B$55)^(AD$7-1)</f>
        <v>-52233.7651333333</v>
      </c>
      <c r="AE110" s="65" t="n">
        <f aca="false">-AE103*Inputs!$B$47/12*1*(1+Inputs!$B$54)*(1+Inputs!$B$55)^(AE$7-1)</f>
        <v>-52233.7651333333</v>
      </c>
      <c r="AF110" s="65" t="n">
        <f aca="false">-AF103*Inputs!$B$47/12*1*(1+Inputs!$B$54)*(1+Inputs!$B$55)^(AF$7-1)</f>
        <v>-52233.7651333333</v>
      </c>
      <c r="AG110" s="65" t="n">
        <f aca="false">-AG103*Inputs!$B$47/12*1*(1+Inputs!$B$54)*(1+Inputs!$B$55)^(AG$7-1)</f>
        <v>-52233.7651333333</v>
      </c>
      <c r="AH110" s="65" t="n">
        <f aca="false">-AH103*Inputs!$B$47/12*1*(1+Inputs!$B$54)*(1+Inputs!$B$55)^(AH$7-1)</f>
        <v>-52233.7651333333</v>
      </c>
      <c r="AI110" s="65" t="n">
        <f aca="false">-AI103*Inputs!$B$47/12*1*(1+Inputs!$B$54)*(1+Inputs!$B$55)^(AI$7-1)</f>
        <v>-52233.7651333333</v>
      </c>
      <c r="AJ110" s="65" t="n">
        <f aca="false">-AJ103*Inputs!$B$47/12*1*(1+Inputs!$B$54)*(1+Inputs!$B$55)^(AJ$7-1)</f>
        <v>-52233.7651333333</v>
      </c>
      <c r="AK110" s="65" t="n">
        <f aca="false">-AK103*Inputs!$B$47/12*1*(1+Inputs!$B$54)*(1+Inputs!$B$55)^(AK$7-1)</f>
        <v>-52233.7651333333</v>
      </c>
      <c r="AL110" s="65" t="n">
        <f aca="false">-AL103*Inputs!$B$47/12*1*(1+Inputs!$B$54)*(1+Inputs!$B$55)^(AL$7-1)</f>
        <v>-52233.7651333333</v>
      </c>
      <c r="AM110" s="65" t="n">
        <f aca="false">-AM103*Inputs!$B$47/12*1*(1+Inputs!$B$54)*(1+Inputs!$B$55)^(AM$7-1)</f>
        <v>-69941.0115135333</v>
      </c>
      <c r="AN110" s="65" t="n">
        <f aca="false">-AN103*Inputs!$B$47/12*1*(1+Inputs!$B$54)*(1+Inputs!$B$55)^(AN$7-1)</f>
        <v>-69941.0115135333</v>
      </c>
      <c r="AO110" s="65" t="n">
        <f aca="false">-AO103*Inputs!$B$47/12*1*(1+Inputs!$B$54)*(1+Inputs!$B$55)^(AO$7-1)</f>
        <v>-69941.0115135333</v>
      </c>
      <c r="AP110" s="65" t="n">
        <f aca="false">-AP103*Inputs!$B$47/12*1*(1+Inputs!$B$54)*(1+Inputs!$B$55)^(AP$7-1)</f>
        <v>-69941.0115135333</v>
      </c>
      <c r="AQ110" s="65" t="n">
        <f aca="false">-AQ103*Inputs!$B$47/12*1*(1+Inputs!$B$54)*(1+Inputs!$B$55)^(AQ$7-1)</f>
        <v>-69941.0115135333</v>
      </c>
      <c r="AR110" s="65" t="n">
        <f aca="false">-AR103*Inputs!$B$47/12*1*(1+Inputs!$B$54)*(1+Inputs!$B$55)^(AR$7-1)</f>
        <v>-69941.0115135333</v>
      </c>
      <c r="AS110" s="65" t="n">
        <f aca="false">-AS103*Inputs!$B$47/12*1*(1+Inputs!$B$54)*(1+Inputs!$B$55)^(AS$7-1)</f>
        <v>-69941.0115135333</v>
      </c>
      <c r="AT110" s="65" t="n">
        <f aca="false">-AT103*Inputs!$B$47/12*1*(1+Inputs!$B$54)*(1+Inputs!$B$55)^(AT$7-1)</f>
        <v>-69941.0115135333</v>
      </c>
      <c r="AU110" s="65" t="n">
        <f aca="false">-AU103*Inputs!$B$47/12*1*(1+Inputs!$B$54)*(1+Inputs!$B$55)^(AU$7-1)</f>
        <v>-69941.0115135333</v>
      </c>
      <c r="AV110" s="65" t="n">
        <f aca="false">-AV103*Inputs!$B$47/12*1*(1+Inputs!$B$54)*(1+Inputs!$B$55)^(AV$7-1)</f>
        <v>-69941.0115135333</v>
      </c>
      <c r="AW110" s="65" t="n">
        <f aca="false">-AW103*Inputs!$B$47/12*1*(1+Inputs!$B$54)*(1+Inputs!$B$55)^(AW$7-1)</f>
        <v>-69941.0115135333</v>
      </c>
      <c r="AX110" s="65" t="n">
        <f aca="false">-AX103*Inputs!$B$47/12*1*(1+Inputs!$B$54)*(1+Inputs!$B$55)^(AX$7-1)</f>
        <v>-69941.0115135333</v>
      </c>
      <c r="AY110" s="65" t="n">
        <f aca="false">-AY103*Inputs!$B$47/12*1*(1+Inputs!$B$54)*(1+Inputs!$B$55)^(AY$7-1)</f>
        <v>-93651.0144166211</v>
      </c>
      <c r="AZ110" s="65" t="n">
        <f aca="false">-AZ103*Inputs!$B$47/12*1*(1+Inputs!$B$54)*(1+Inputs!$B$55)^(AZ$7-1)</f>
        <v>-93651.0144166211</v>
      </c>
      <c r="BA110" s="65" t="n">
        <f aca="false">-BA103*Inputs!$B$47/12*1*(1+Inputs!$B$54)*(1+Inputs!$B$55)^(BA$7-1)</f>
        <v>-93651.0144166211</v>
      </c>
      <c r="BB110" s="65" t="n">
        <f aca="false">-BB103*Inputs!$B$47/12*1*(1+Inputs!$B$54)*(1+Inputs!$B$55)^(BB$7-1)</f>
        <v>-93651.0144166211</v>
      </c>
      <c r="BC110" s="65" t="n">
        <f aca="false">-BC103*Inputs!$B$47/12*1*(1+Inputs!$B$54)*(1+Inputs!$B$55)^(BC$7-1)</f>
        <v>-93651.0144166211</v>
      </c>
      <c r="BD110" s="65" t="n">
        <f aca="false">-BD103*Inputs!$B$47/12*1*(1+Inputs!$B$54)*(1+Inputs!$B$55)^(BD$7-1)</f>
        <v>-93651.0144166211</v>
      </c>
      <c r="BE110" s="65" t="n">
        <f aca="false">-BE103*Inputs!$B$47/12*1*(1+Inputs!$B$54)*(1+Inputs!$B$55)^(BE$7-1)</f>
        <v>-93651.0144166211</v>
      </c>
      <c r="BF110" s="65" t="n">
        <f aca="false">-BF103*Inputs!$B$47/12*1*(1+Inputs!$B$54)*(1+Inputs!$B$55)^(BF$7-1)</f>
        <v>-93651.0144166211</v>
      </c>
      <c r="BG110" s="65" t="n">
        <f aca="false">-BG103*Inputs!$B$47/12*1*(1+Inputs!$B$54)*(1+Inputs!$B$55)^(BG$7-1)</f>
        <v>-93651.0144166211</v>
      </c>
      <c r="BH110" s="65" t="n">
        <f aca="false">-BH103*Inputs!$B$47/12*1*(1+Inputs!$B$54)*(1+Inputs!$B$55)^(BH$7-1)</f>
        <v>-93651.0144166211</v>
      </c>
      <c r="BI110" s="65" t="n">
        <f aca="false">-BI103*Inputs!$B$47/12*1*(1+Inputs!$B$54)*(1+Inputs!$B$55)^(BI$7-1)</f>
        <v>-93651.0144166211</v>
      </c>
      <c r="BJ110" s="65" t="n">
        <f aca="false">-BJ103*Inputs!$B$47/12*1*(1+Inputs!$B$54)*(1+Inputs!$B$55)^(BJ$7-1)</f>
        <v>-93651.0144166211</v>
      </c>
    </row>
    <row r="111" customFormat="false" ht="15" hidden="false" customHeight="false" outlineLevel="0" collapsed="false">
      <c r="A111" s="6" t="s">
        <v>453</v>
      </c>
      <c r="C111" s="65" t="n">
        <f aca="false">-C104*Inputs!$B$51/12*1*(1+Inputs!$B$54)*(1+Inputs!$B$55)^(C$7-1)</f>
        <v>-20125</v>
      </c>
      <c r="D111" s="65" t="n">
        <f aca="false">-D104*Inputs!$B$51/12*1*(1+Inputs!$B$54)*(1+Inputs!$B$55)^(D$7-1)</f>
        <v>-20125</v>
      </c>
      <c r="E111" s="65" t="n">
        <f aca="false">-E104*Inputs!$B$51/12*1*(1+Inputs!$B$54)*(1+Inputs!$B$55)^(E$7-1)</f>
        <v>-20125</v>
      </c>
      <c r="F111" s="65" t="n">
        <f aca="false">-F104*Inputs!$B$51/12*1*(1+Inputs!$B$54)*(1+Inputs!$B$55)^(F$7-1)</f>
        <v>-20125</v>
      </c>
      <c r="G111" s="65" t="n">
        <f aca="false">-G104*Inputs!$B$51/12*1*(1+Inputs!$B$54)*(1+Inputs!$B$55)^(G$7-1)</f>
        <v>-20125</v>
      </c>
      <c r="H111" s="65" t="n">
        <f aca="false">-H104*Inputs!$B$51/12*1*(1+Inputs!$B$54)*(1+Inputs!$B$55)^(H$7-1)</f>
        <v>-20125</v>
      </c>
      <c r="I111" s="65" t="n">
        <f aca="false">-I104*Inputs!$B$51/12*1*(1+Inputs!$B$54)*(1+Inputs!$B$55)^(I$7-1)</f>
        <v>-20125</v>
      </c>
      <c r="J111" s="65" t="n">
        <f aca="false">-J104*Inputs!$B$51/12*1*(1+Inputs!$B$54)*(1+Inputs!$B$55)^(J$7-1)</f>
        <v>-20125</v>
      </c>
      <c r="K111" s="65" t="n">
        <f aca="false">-K104*Inputs!$B$51/12*1*(1+Inputs!$B$54)*(1+Inputs!$B$55)^(K$7-1)</f>
        <v>-20125</v>
      </c>
      <c r="L111" s="65" t="n">
        <f aca="false">-L104*Inputs!$B$51/12*1*(1+Inputs!$B$54)*(1+Inputs!$B$55)^(L$7-1)</f>
        <v>-20125</v>
      </c>
      <c r="M111" s="65" t="n">
        <f aca="false">-M104*Inputs!$B$51/12*1*(1+Inputs!$B$54)*(1+Inputs!$B$55)^(M$7-1)</f>
        <v>-20125</v>
      </c>
      <c r="N111" s="65" t="n">
        <f aca="false">-N104*Inputs!$B$51/12*1*(1+Inputs!$B$54)*(1+Inputs!$B$55)^(N$7-1)</f>
        <v>-20125</v>
      </c>
      <c r="O111" s="65" t="n">
        <f aca="false">-O104*Inputs!$B$51/12*1*(1+Inputs!$B$54)*(1+Inputs!$B$55)^(O$7-1)</f>
        <v>-23838.0625</v>
      </c>
      <c r="P111" s="65" t="n">
        <f aca="false">-P104*Inputs!$B$51/12*1*(1+Inputs!$B$54)*(1+Inputs!$B$55)^(P$7-1)</f>
        <v>-23838.0625</v>
      </c>
      <c r="Q111" s="65" t="n">
        <f aca="false">-Q104*Inputs!$B$51/12*1*(1+Inputs!$B$54)*(1+Inputs!$B$55)^(Q$7-1)</f>
        <v>-23838.0625</v>
      </c>
      <c r="R111" s="65" t="n">
        <f aca="false">-R104*Inputs!$B$51/12*1*(1+Inputs!$B$54)*(1+Inputs!$B$55)^(R$7-1)</f>
        <v>-23838.0625</v>
      </c>
      <c r="S111" s="65" t="n">
        <f aca="false">-S104*Inputs!$B$51/12*1*(1+Inputs!$B$54)*(1+Inputs!$B$55)^(S$7-1)</f>
        <v>-23838.0625</v>
      </c>
      <c r="T111" s="65" t="n">
        <f aca="false">-T104*Inputs!$B$51/12*1*(1+Inputs!$B$54)*(1+Inputs!$B$55)^(T$7-1)</f>
        <v>-23838.0625</v>
      </c>
      <c r="U111" s="65" t="n">
        <f aca="false">-U104*Inputs!$B$51/12*1*(1+Inputs!$B$54)*(1+Inputs!$B$55)^(U$7-1)</f>
        <v>-23838.0625</v>
      </c>
      <c r="V111" s="65" t="n">
        <f aca="false">-V104*Inputs!$B$51/12*1*(1+Inputs!$B$54)*(1+Inputs!$B$55)^(V$7-1)</f>
        <v>-23838.0625</v>
      </c>
      <c r="W111" s="65" t="n">
        <f aca="false">-W104*Inputs!$B$51/12*1*(1+Inputs!$B$54)*(1+Inputs!$B$55)^(W$7-1)</f>
        <v>-23838.0625</v>
      </c>
      <c r="X111" s="65" t="n">
        <f aca="false">-X104*Inputs!$B$51/12*1*(1+Inputs!$B$54)*(1+Inputs!$B$55)^(X$7-1)</f>
        <v>-23838.0625</v>
      </c>
      <c r="Y111" s="65" t="n">
        <f aca="false">-Y104*Inputs!$B$51/12*1*(1+Inputs!$B$54)*(1+Inputs!$B$55)^(Y$7-1)</f>
        <v>-23838.0625</v>
      </c>
      <c r="Z111" s="65" t="n">
        <f aca="false">-Z104*Inputs!$B$51/12*1*(1+Inputs!$B$54)*(1+Inputs!$B$55)^(Z$7-1)</f>
        <v>-23838.0625</v>
      </c>
      <c r="AA111" s="65" t="n">
        <f aca="false">-AA104*Inputs!$B$51/12*1*(1+Inputs!$B$54)*(1+Inputs!$B$55)^(AA$7-1)</f>
        <v>-28236.18503125</v>
      </c>
      <c r="AB111" s="65" t="n">
        <f aca="false">-AB104*Inputs!$B$51/12*1*(1+Inputs!$B$54)*(1+Inputs!$B$55)^(AB$7-1)</f>
        <v>-28236.18503125</v>
      </c>
      <c r="AC111" s="65" t="n">
        <f aca="false">-AC104*Inputs!$B$51/12*1*(1+Inputs!$B$54)*(1+Inputs!$B$55)^(AC$7-1)</f>
        <v>-28236.18503125</v>
      </c>
      <c r="AD111" s="65" t="n">
        <f aca="false">-AD104*Inputs!$B$51/12*1*(1+Inputs!$B$54)*(1+Inputs!$B$55)^(AD$7-1)</f>
        <v>-28236.18503125</v>
      </c>
      <c r="AE111" s="65" t="n">
        <f aca="false">-AE104*Inputs!$B$51/12*1*(1+Inputs!$B$54)*(1+Inputs!$B$55)^(AE$7-1)</f>
        <v>-28236.18503125</v>
      </c>
      <c r="AF111" s="65" t="n">
        <f aca="false">-AF104*Inputs!$B$51/12*1*(1+Inputs!$B$54)*(1+Inputs!$B$55)^(AF$7-1)</f>
        <v>-28236.18503125</v>
      </c>
      <c r="AG111" s="65" t="n">
        <f aca="false">-AG104*Inputs!$B$51/12*1*(1+Inputs!$B$54)*(1+Inputs!$B$55)^(AG$7-1)</f>
        <v>-28236.18503125</v>
      </c>
      <c r="AH111" s="65" t="n">
        <f aca="false">-AH104*Inputs!$B$51/12*1*(1+Inputs!$B$54)*(1+Inputs!$B$55)^(AH$7-1)</f>
        <v>-28236.18503125</v>
      </c>
      <c r="AI111" s="65" t="n">
        <f aca="false">-AI104*Inputs!$B$51/12*1*(1+Inputs!$B$54)*(1+Inputs!$B$55)^(AI$7-1)</f>
        <v>-28236.18503125</v>
      </c>
      <c r="AJ111" s="65" t="n">
        <f aca="false">-AJ104*Inputs!$B$51/12*1*(1+Inputs!$B$54)*(1+Inputs!$B$55)^(AJ$7-1)</f>
        <v>-28236.18503125</v>
      </c>
      <c r="AK111" s="65" t="n">
        <f aca="false">-AK104*Inputs!$B$51/12*1*(1+Inputs!$B$54)*(1+Inputs!$B$55)^(AK$7-1)</f>
        <v>-28236.18503125</v>
      </c>
      <c r="AL111" s="65" t="n">
        <f aca="false">-AL104*Inputs!$B$51/12*1*(1+Inputs!$B$54)*(1+Inputs!$B$55)^(AL$7-1)</f>
        <v>-28236.18503125</v>
      </c>
      <c r="AM111" s="65" t="n">
        <f aca="false">-AM104*Inputs!$B$51/12*1*(1+Inputs!$B$54)*(1+Inputs!$B$55)^(AM$7-1)</f>
        <v>-33445.7611695156</v>
      </c>
      <c r="AN111" s="65" t="n">
        <f aca="false">-AN104*Inputs!$B$51/12*1*(1+Inputs!$B$54)*(1+Inputs!$B$55)^(AN$7-1)</f>
        <v>-33445.7611695156</v>
      </c>
      <c r="AO111" s="65" t="n">
        <f aca="false">-AO104*Inputs!$B$51/12*1*(1+Inputs!$B$54)*(1+Inputs!$B$55)^(AO$7-1)</f>
        <v>-33445.7611695156</v>
      </c>
      <c r="AP111" s="65" t="n">
        <f aca="false">-AP104*Inputs!$B$51/12*1*(1+Inputs!$B$54)*(1+Inputs!$B$55)^(AP$7-1)</f>
        <v>-33445.7611695156</v>
      </c>
      <c r="AQ111" s="65" t="n">
        <f aca="false">-AQ104*Inputs!$B$51/12*1*(1+Inputs!$B$54)*(1+Inputs!$B$55)^(AQ$7-1)</f>
        <v>-33445.7611695156</v>
      </c>
      <c r="AR111" s="65" t="n">
        <f aca="false">-AR104*Inputs!$B$51/12*1*(1+Inputs!$B$54)*(1+Inputs!$B$55)^(AR$7-1)</f>
        <v>-33445.7611695156</v>
      </c>
      <c r="AS111" s="65" t="n">
        <f aca="false">-AS104*Inputs!$B$51/12*1*(1+Inputs!$B$54)*(1+Inputs!$B$55)^(AS$7-1)</f>
        <v>-33445.7611695156</v>
      </c>
      <c r="AT111" s="65" t="n">
        <f aca="false">-AT104*Inputs!$B$51/12*1*(1+Inputs!$B$54)*(1+Inputs!$B$55)^(AT$7-1)</f>
        <v>-33445.7611695156</v>
      </c>
      <c r="AU111" s="65" t="n">
        <f aca="false">-AU104*Inputs!$B$51/12*1*(1+Inputs!$B$54)*(1+Inputs!$B$55)^(AU$7-1)</f>
        <v>-33445.7611695156</v>
      </c>
      <c r="AV111" s="65" t="n">
        <f aca="false">-AV104*Inputs!$B$51/12*1*(1+Inputs!$B$54)*(1+Inputs!$B$55)^(AV$7-1)</f>
        <v>-33445.7611695156</v>
      </c>
      <c r="AW111" s="65" t="n">
        <f aca="false">-AW104*Inputs!$B$51/12*1*(1+Inputs!$B$54)*(1+Inputs!$B$55)^(AW$7-1)</f>
        <v>-33445.7611695156</v>
      </c>
      <c r="AX111" s="65" t="n">
        <f aca="false">-AX104*Inputs!$B$51/12*1*(1+Inputs!$B$54)*(1+Inputs!$B$55)^(AX$7-1)</f>
        <v>-33445.7611695156</v>
      </c>
      <c r="AY111" s="65" t="n">
        <f aca="false">-AY104*Inputs!$B$51/12*1*(1+Inputs!$B$54)*(1+Inputs!$B$55)^(AY$7-1)</f>
        <v>-39616.5041052912</v>
      </c>
      <c r="AZ111" s="65" t="n">
        <f aca="false">-AZ104*Inputs!$B$51/12*1*(1+Inputs!$B$54)*(1+Inputs!$B$55)^(AZ$7-1)</f>
        <v>-39616.5041052912</v>
      </c>
      <c r="BA111" s="65" t="n">
        <f aca="false">-BA104*Inputs!$B$51/12*1*(1+Inputs!$B$54)*(1+Inputs!$B$55)^(BA$7-1)</f>
        <v>-39616.5041052912</v>
      </c>
      <c r="BB111" s="65" t="n">
        <f aca="false">-BB104*Inputs!$B$51/12*1*(1+Inputs!$B$54)*(1+Inputs!$B$55)^(BB$7-1)</f>
        <v>-39616.5041052912</v>
      </c>
      <c r="BC111" s="65" t="n">
        <f aca="false">-BC104*Inputs!$B$51/12*1*(1+Inputs!$B$54)*(1+Inputs!$B$55)^(BC$7-1)</f>
        <v>-39616.5041052912</v>
      </c>
      <c r="BD111" s="65" t="n">
        <f aca="false">-BD104*Inputs!$B$51/12*1*(1+Inputs!$B$54)*(1+Inputs!$B$55)^(BD$7-1)</f>
        <v>-39616.5041052912</v>
      </c>
      <c r="BE111" s="65" t="n">
        <f aca="false">-BE104*Inputs!$B$51/12*1*(1+Inputs!$B$54)*(1+Inputs!$B$55)^(BE$7-1)</f>
        <v>-39616.5041052912</v>
      </c>
      <c r="BF111" s="65" t="n">
        <f aca="false">-BF104*Inputs!$B$51/12*1*(1+Inputs!$B$54)*(1+Inputs!$B$55)^(BF$7-1)</f>
        <v>-39616.5041052912</v>
      </c>
      <c r="BG111" s="65" t="n">
        <f aca="false">-BG104*Inputs!$B$51/12*1*(1+Inputs!$B$54)*(1+Inputs!$B$55)^(BG$7-1)</f>
        <v>-39616.5041052912</v>
      </c>
      <c r="BH111" s="65" t="n">
        <f aca="false">-BH104*Inputs!$B$51/12*1*(1+Inputs!$B$54)*(1+Inputs!$B$55)^(BH$7-1)</f>
        <v>-39616.5041052912</v>
      </c>
      <c r="BI111" s="65" t="n">
        <f aca="false">-BI104*Inputs!$B$51/12*1*(1+Inputs!$B$54)*(1+Inputs!$B$55)^(BI$7-1)</f>
        <v>-39616.5041052912</v>
      </c>
      <c r="BJ111" s="65" t="n">
        <f aca="false">-BJ104*Inputs!$B$51/12*1*(1+Inputs!$B$54)*(1+Inputs!$B$55)^(BJ$7-1)</f>
        <v>-39616.5041052912</v>
      </c>
    </row>
    <row r="112" customFormat="false" ht="15" hidden="false" customHeight="false" outlineLevel="0" collapsed="false">
      <c r="A112" s="110" t="s">
        <v>454</v>
      </c>
      <c r="C112" s="66" t="n">
        <f aca="false">C108+C109+C110+C111</f>
        <v>-104841.666666667</v>
      </c>
      <c r="D112" s="66" t="n">
        <f aca="false">D108+D109+D110+D111</f>
        <v>-104841.666666667</v>
      </c>
      <c r="E112" s="66" t="n">
        <f aca="false">E108+E109+E110+E111</f>
        <v>-104841.666666667</v>
      </c>
      <c r="F112" s="66" t="n">
        <f aca="false">F108+F109+F110+F111</f>
        <v>-104841.666666667</v>
      </c>
      <c r="G112" s="66" t="n">
        <f aca="false">G108+G109+G110+G111</f>
        <v>-104841.666666667</v>
      </c>
      <c r="H112" s="66" t="n">
        <f aca="false">H108+H109+H110+H111</f>
        <v>-104841.666666667</v>
      </c>
      <c r="I112" s="66" t="n">
        <f aca="false">I108+I109+I110+I111</f>
        <v>-104841.666666667</v>
      </c>
      <c r="J112" s="66" t="n">
        <f aca="false">J108+J109+J110+J111</f>
        <v>-104841.666666667</v>
      </c>
      <c r="K112" s="66" t="n">
        <f aca="false">K108+K109+K110+K111</f>
        <v>-104841.666666667</v>
      </c>
      <c r="L112" s="66" t="n">
        <f aca="false">L108+L109+L110+L111</f>
        <v>-104841.666666667</v>
      </c>
      <c r="M112" s="66" t="n">
        <f aca="false">M108+M109+M110+M111</f>
        <v>-104841.666666667</v>
      </c>
      <c r="N112" s="66" t="n">
        <f aca="false">N108+N109+N110+N111</f>
        <v>-104841.666666667</v>
      </c>
      <c r="O112" s="66" t="n">
        <f aca="false">O108+O109+O110+O111</f>
        <v>-131548.595833333</v>
      </c>
      <c r="P112" s="66" t="n">
        <f aca="false">P108+P109+P110+P111</f>
        <v>-131548.595833333</v>
      </c>
      <c r="Q112" s="66" t="n">
        <f aca="false">Q108+Q109+Q110+Q111</f>
        <v>-131548.595833333</v>
      </c>
      <c r="R112" s="66" t="n">
        <f aca="false">R108+R109+R110+R111</f>
        <v>-131548.595833333</v>
      </c>
      <c r="S112" s="66" t="n">
        <f aca="false">S108+S109+S110+S111</f>
        <v>-131548.595833333</v>
      </c>
      <c r="T112" s="66" t="n">
        <f aca="false">T108+T109+T110+T111</f>
        <v>-131548.595833333</v>
      </c>
      <c r="U112" s="66" t="n">
        <f aca="false">U108+U109+U110+U111</f>
        <v>-131548.595833333</v>
      </c>
      <c r="V112" s="66" t="n">
        <f aca="false">V108+V109+V110+V111</f>
        <v>-131548.595833333</v>
      </c>
      <c r="W112" s="66" t="n">
        <f aca="false">W108+W109+W110+W111</f>
        <v>-131548.595833333</v>
      </c>
      <c r="X112" s="66" t="n">
        <f aca="false">X108+X109+X110+X111</f>
        <v>-131548.595833333</v>
      </c>
      <c r="Y112" s="66" t="n">
        <f aca="false">Y108+Y109+Y110+Y111</f>
        <v>-131548.595833333</v>
      </c>
      <c r="Z112" s="66" t="n">
        <f aca="false">Z108+Z109+Z110+Z111</f>
        <v>-131548.595833333</v>
      </c>
      <c r="AA112" s="66" t="n">
        <f aca="false">AA108+AA109+AA110+AA111</f>
        <v>-165384.386164583</v>
      </c>
      <c r="AB112" s="66" t="n">
        <f aca="false">AB108+AB109+AB110+AB111</f>
        <v>-165384.386164583</v>
      </c>
      <c r="AC112" s="66" t="n">
        <f aca="false">AC108+AC109+AC110+AC111</f>
        <v>-165384.386164583</v>
      </c>
      <c r="AD112" s="66" t="n">
        <f aca="false">AD108+AD109+AD110+AD111</f>
        <v>-165384.386164583</v>
      </c>
      <c r="AE112" s="66" t="n">
        <f aca="false">AE108+AE109+AE110+AE111</f>
        <v>-165384.386164583</v>
      </c>
      <c r="AF112" s="66" t="n">
        <f aca="false">AF108+AF109+AF110+AF111</f>
        <v>-165384.386164583</v>
      </c>
      <c r="AG112" s="66" t="n">
        <f aca="false">AG108+AG109+AG110+AG111</f>
        <v>-165384.386164583</v>
      </c>
      <c r="AH112" s="66" t="n">
        <f aca="false">AH108+AH109+AH110+AH111</f>
        <v>-165384.386164583</v>
      </c>
      <c r="AI112" s="66" t="n">
        <f aca="false">AI108+AI109+AI110+AI111</f>
        <v>-165384.386164583</v>
      </c>
      <c r="AJ112" s="66" t="n">
        <f aca="false">AJ108+AJ109+AJ110+AJ111</f>
        <v>-165384.386164583</v>
      </c>
      <c r="AK112" s="66" t="n">
        <f aca="false">AK108+AK109+AK110+AK111</f>
        <v>-165384.386164583</v>
      </c>
      <c r="AL112" s="66" t="n">
        <f aca="false">AL108+AL109+AL110+AL111</f>
        <v>-165384.386164583</v>
      </c>
      <c r="AM112" s="66" t="n">
        <f aca="false">AM108+AM109+AM110+AM111</f>
        <v>-208341.015579049</v>
      </c>
      <c r="AN112" s="66" t="n">
        <f aca="false">AN108+AN109+AN110+AN111</f>
        <v>-208341.015579049</v>
      </c>
      <c r="AO112" s="66" t="n">
        <f aca="false">AO108+AO109+AO110+AO111</f>
        <v>-208341.015579049</v>
      </c>
      <c r="AP112" s="66" t="n">
        <f aca="false">AP108+AP109+AP110+AP111</f>
        <v>-208341.015579049</v>
      </c>
      <c r="AQ112" s="66" t="n">
        <f aca="false">AQ108+AQ109+AQ110+AQ111</f>
        <v>-208341.015579049</v>
      </c>
      <c r="AR112" s="66" t="n">
        <f aca="false">AR108+AR109+AR110+AR111</f>
        <v>-208341.015579049</v>
      </c>
      <c r="AS112" s="66" t="n">
        <f aca="false">AS108+AS109+AS110+AS111</f>
        <v>-208341.015579049</v>
      </c>
      <c r="AT112" s="66" t="n">
        <f aca="false">AT108+AT109+AT110+AT111</f>
        <v>-208341.015579049</v>
      </c>
      <c r="AU112" s="66" t="n">
        <f aca="false">AU108+AU109+AU110+AU111</f>
        <v>-208341.015579049</v>
      </c>
      <c r="AV112" s="66" t="n">
        <f aca="false">AV108+AV109+AV110+AV111</f>
        <v>-208341.015579049</v>
      </c>
      <c r="AW112" s="66" t="n">
        <f aca="false">AW108+AW109+AW110+AW111</f>
        <v>-208341.015579049</v>
      </c>
      <c r="AX112" s="66" t="n">
        <f aca="false">AX108+AX109+AX110+AX111</f>
        <v>-208341.015579049</v>
      </c>
      <c r="AY112" s="66" t="n">
        <f aca="false">AY108+AY109+AY110+AY111</f>
        <v>-262990.962741368</v>
      </c>
      <c r="AZ112" s="66" t="n">
        <f aca="false">AZ108+AZ109+AZ110+AZ111</f>
        <v>-262990.962741368</v>
      </c>
      <c r="BA112" s="66" t="n">
        <f aca="false">BA108+BA109+BA110+BA111</f>
        <v>-262990.962741368</v>
      </c>
      <c r="BB112" s="66" t="n">
        <f aca="false">BB108+BB109+BB110+BB111</f>
        <v>-262990.962741368</v>
      </c>
      <c r="BC112" s="66" t="n">
        <f aca="false">BC108+BC109+BC110+BC111</f>
        <v>-262990.962741368</v>
      </c>
      <c r="BD112" s="66" t="n">
        <f aca="false">BD108+BD109+BD110+BD111</f>
        <v>-262990.962741368</v>
      </c>
      <c r="BE112" s="66" t="n">
        <f aca="false">BE108+BE109+BE110+BE111</f>
        <v>-262990.962741368</v>
      </c>
      <c r="BF112" s="66" t="n">
        <f aca="false">BF108+BF109+BF110+BF111</f>
        <v>-262990.962741368</v>
      </c>
      <c r="BG112" s="66" t="n">
        <f aca="false">BG108+BG109+BG110+BG111</f>
        <v>-262990.962741368</v>
      </c>
      <c r="BH112" s="66" t="n">
        <f aca="false">BH108+BH109+BH110+BH111</f>
        <v>-262990.962741368</v>
      </c>
      <c r="BI112" s="66" t="n">
        <f aca="false">BI108+BI109+BI110+BI111</f>
        <v>-262990.962741368</v>
      </c>
      <c r="BJ112" s="66" t="n">
        <f aca="false">BJ108+BJ109+BJ110+BJ111</f>
        <v>-262990.962741368</v>
      </c>
    </row>
    <row r="115" customFormat="false" ht="15.75" hidden="false" customHeight="true" outlineLevel="0" collapsed="false">
      <c r="A115" s="7" t="s">
        <v>458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customFormat="false" ht="15" hidden="false" customHeight="false" outlineLevel="0" collapsed="false">
      <c r="A116" s="33" t="s">
        <v>345</v>
      </c>
      <c r="C116" s="50" t="s">
        <v>346</v>
      </c>
      <c r="D116" s="50" t="s">
        <v>347</v>
      </c>
      <c r="E116" s="50" t="s">
        <v>348</v>
      </c>
      <c r="F116" s="50" t="s">
        <v>349</v>
      </c>
      <c r="G116" s="50" t="s">
        <v>350</v>
      </c>
      <c r="H116" s="50" t="s">
        <v>351</v>
      </c>
      <c r="I116" s="50" t="s">
        <v>352</v>
      </c>
      <c r="J116" s="50" t="s">
        <v>353</v>
      </c>
      <c r="K116" s="50" t="s">
        <v>354</v>
      </c>
      <c r="L116" s="50" t="s">
        <v>355</v>
      </c>
      <c r="M116" s="50" t="s">
        <v>356</v>
      </c>
      <c r="N116" s="50" t="s">
        <v>357</v>
      </c>
      <c r="O116" s="50" t="s">
        <v>358</v>
      </c>
      <c r="P116" s="50" t="s">
        <v>359</v>
      </c>
      <c r="Q116" s="50" t="s">
        <v>360</v>
      </c>
      <c r="R116" s="50" t="s">
        <v>361</v>
      </c>
      <c r="S116" s="50" t="s">
        <v>362</v>
      </c>
      <c r="T116" s="50" t="s">
        <v>363</v>
      </c>
      <c r="U116" s="50" t="s">
        <v>364</v>
      </c>
      <c r="V116" s="50" t="s">
        <v>365</v>
      </c>
      <c r="W116" s="50" t="s">
        <v>366</v>
      </c>
      <c r="X116" s="50" t="s">
        <v>367</v>
      </c>
      <c r="Y116" s="50" t="s">
        <v>368</v>
      </c>
      <c r="Z116" s="50" t="s">
        <v>369</v>
      </c>
      <c r="AA116" s="50" t="s">
        <v>370</v>
      </c>
      <c r="AB116" s="50" t="s">
        <v>371</v>
      </c>
      <c r="AC116" s="50" t="s">
        <v>372</v>
      </c>
      <c r="AD116" s="50" t="s">
        <v>373</v>
      </c>
      <c r="AE116" s="50" t="s">
        <v>374</v>
      </c>
      <c r="AF116" s="50" t="s">
        <v>375</v>
      </c>
      <c r="AG116" s="50" t="s">
        <v>376</v>
      </c>
      <c r="AH116" s="50" t="s">
        <v>377</v>
      </c>
      <c r="AI116" s="50" t="s">
        <v>378</v>
      </c>
      <c r="AJ116" s="50" t="s">
        <v>379</v>
      </c>
      <c r="AK116" s="50" t="s">
        <v>380</v>
      </c>
      <c r="AL116" s="50" t="s">
        <v>381</v>
      </c>
      <c r="AM116" s="50" t="s">
        <v>382</v>
      </c>
      <c r="AN116" s="50" t="s">
        <v>383</v>
      </c>
      <c r="AO116" s="50" t="s">
        <v>384</v>
      </c>
      <c r="AP116" s="50" t="s">
        <v>385</v>
      </c>
      <c r="AQ116" s="50" t="s">
        <v>386</v>
      </c>
      <c r="AR116" s="50" t="s">
        <v>387</v>
      </c>
      <c r="AS116" s="50" t="s">
        <v>388</v>
      </c>
      <c r="AT116" s="50" t="s">
        <v>389</v>
      </c>
      <c r="AU116" s="50" t="s">
        <v>390</v>
      </c>
      <c r="AV116" s="50" t="s">
        <v>391</v>
      </c>
      <c r="AW116" s="50" t="s">
        <v>392</v>
      </c>
      <c r="AX116" s="50" t="s">
        <v>393</v>
      </c>
      <c r="AY116" s="50" t="s">
        <v>394</v>
      </c>
      <c r="AZ116" s="50" t="s">
        <v>395</v>
      </c>
      <c r="BA116" s="50" t="s">
        <v>396</v>
      </c>
      <c r="BB116" s="50" t="s">
        <v>397</v>
      </c>
      <c r="BC116" s="50" t="s">
        <v>398</v>
      </c>
      <c r="BD116" s="50" t="s">
        <v>399</v>
      </c>
      <c r="BE116" s="50" t="s">
        <v>400</v>
      </c>
      <c r="BF116" s="50" t="s">
        <v>401</v>
      </c>
      <c r="BG116" s="50" t="s">
        <v>402</v>
      </c>
      <c r="BH116" s="50" t="s">
        <v>403</v>
      </c>
      <c r="BI116" s="50" t="s">
        <v>404</v>
      </c>
      <c r="BJ116" s="50" t="s">
        <v>405</v>
      </c>
    </row>
    <row r="117" customFormat="false" ht="15" hidden="false" customHeight="false" outlineLevel="0" collapsed="false">
      <c r="A117" s="70" t="s">
        <v>406</v>
      </c>
      <c r="C117" s="70" t="n">
        <v>1</v>
      </c>
      <c r="D117" s="70" t="n">
        <v>2</v>
      </c>
      <c r="E117" s="70" t="n">
        <v>3</v>
      </c>
      <c r="F117" s="70" t="n">
        <v>4</v>
      </c>
      <c r="G117" s="70" t="n">
        <v>5</v>
      </c>
      <c r="H117" s="70" t="n">
        <v>6</v>
      </c>
      <c r="I117" s="70" t="n">
        <v>7</v>
      </c>
      <c r="J117" s="70" t="n">
        <v>8</v>
      </c>
      <c r="K117" s="70" t="n">
        <v>9</v>
      </c>
      <c r="L117" s="70" t="n">
        <v>10</v>
      </c>
      <c r="M117" s="70" t="n">
        <v>11</v>
      </c>
      <c r="N117" s="70" t="n">
        <v>12</v>
      </c>
      <c r="O117" s="70" t="n">
        <v>13</v>
      </c>
      <c r="P117" s="70" t="n">
        <v>14</v>
      </c>
      <c r="Q117" s="70" t="n">
        <v>15</v>
      </c>
      <c r="R117" s="70" t="n">
        <v>16</v>
      </c>
      <c r="S117" s="70" t="n">
        <v>17</v>
      </c>
      <c r="T117" s="70" t="n">
        <v>18</v>
      </c>
      <c r="U117" s="70" t="n">
        <v>19</v>
      </c>
      <c r="V117" s="70" t="n">
        <v>20</v>
      </c>
      <c r="W117" s="70" t="n">
        <v>21</v>
      </c>
      <c r="X117" s="70" t="n">
        <v>22</v>
      </c>
      <c r="Y117" s="70" t="n">
        <v>23</v>
      </c>
      <c r="Z117" s="70" t="n">
        <v>24</v>
      </c>
      <c r="AA117" s="70" t="n">
        <v>25</v>
      </c>
      <c r="AB117" s="70" t="n">
        <v>26</v>
      </c>
      <c r="AC117" s="70" t="n">
        <v>27</v>
      </c>
      <c r="AD117" s="70" t="n">
        <v>28</v>
      </c>
      <c r="AE117" s="70" t="n">
        <v>29</v>
      </c>
      <c r="AF117" s="70" t="n">
        <v>30</v>
      </c>
      <c r="AG117" s="70" t="n">
        <v>31</v>
      </c>
      <c r="AH117" s="70" t="n">
        <v>32</v>
      </c>
      <c r="AI117" s="70" t="n">
        <v>33</v>
      </c>
      <c r="AJ117" s="70" t="n">
        <v>34</v>
      </c>
      <c r="AK117" s="70" t="n">
        <v>35</v>
      </c>
      <c r="AL117" s="70" t="n">
        <v>36</v>
      </c>
      <c r="AM117" s="70" t="n">
        <v>37</v>
      </c>
      <c r="AN117" s="70" t="n">
        <v>38</v>
      </c>
      <c r="AO117" s="70" t="n">
        <v>39</v>
      </c>
      <c r="AP117" s="70" t="n">
        <v>40</v>
      </c>
      <c r="AQ117" s="70" t="n">
        <v>41</v>
      </c>
      <c r="AR117" s="70" t="n">
        <v>42</v>
      </c>
      <c r="AS117" s="70" t="n">
        <v>43</v>
      </c>
      <c r="AT117" s="70" t="n">
        <v>44</v>
      </c>
      <c r="AU117" s="70" t="n">
        <v>45</v>
      </c>
      <c r="AV117" s="70" t="n">
        <v>46</v>
      </c>
      <c r="AW117" s="70" t="n">
        <v>47</v>
      </c>
      <c r="AX117" s="70" t="n">
        <v>48</v>
      </c>
      <c r="AY117" s="70" t="n">
        <v>49</v>
      </c>
      <c r="AZ117" s="70" t="n">
        <v>50</v>
      </c>
      <c r="BA117" s="70" t="n">
        <v>51</v>
      </c>
      <c r="BB117" s="70" t="n">
        <v>52</v>
      </c>
      <c r="BC117" s="70" t="n">
        <v>53</v>
      </c>
      <c r="BD117" s="70" t="n">
        <v>54</v>
      </c>
      <c r="BE117" s="70" t="n">
        <v>55</v>
      </c>
      <c r="BF117" s="70" t="n">
        <v>56</v>
      </c>
      <c r="BG117" s="70" t="n">
        <v>57</v>
      </c>
      <c r="BH117" s="70" t="n">
        <v>58</v>
      </c>
      <c r="BI117" s="70" t="n">
        <v>59</v>
      </c>
      <c r="BJ117" s="70" t="n">
        <v>60</v>
      </c>
    </row>
    <row r="118" customFormat="false" ht="15" hidden="false" customHeight="false" outlineLevel="0" collapsed="false">
      <c r="A118" s="70" t="s">
        <v>154</v>
      </c>
      <c r="C118" s="70" t="n">
        <f aca="false">ROUNDUP(C117*1/12,0)</f>
        <v>1</v>
      </c>
      <c r="D118" s="70" t="n">
        <f aca="false">ROUNDUP(D117*1/12,0)</f>
        <v>1</v>
      </c>
      <c r="E118" s="70" t="n">
        <f aca="false">ROUNDUP(E117*1/12,0)</f>
        <v>1</v>
      </c>
      <c r="F118" s="70" t="n">
        <f aca="false">ROUNDUP(F117*1/12,0)</f>
        <v>1</v>
      </c>
      <c r="G118" s="70" t="n">
        <f aca="false">ROUNDUP(G117*1/12,0)</f>
        <v>1</v>
      </c>
      <c r="H118" s="70" t="n">
        <f aca="false">ROUNDUP(H117*1/12,0)</f>
        <v>1</v>
      </c>
      <c r="I118" s="70" t="n">
        <f aca="false">ROUNDUP(I117*1/12,0)</f>
        <v>1</v>
      </c>
      <c r="J118" s="70" t="n">
        <f aca="false">ROUNDUP(J117*1/12,0)</f>
        <v>1</v>
      </c>
      <c r="K118" s="70" t="n">
        <f aca="false">ROUNDUP(K117*1/12,0)</f>
        <v>1</v>
      </c>
      <c r="L118" s="70" t="n">
        <f aca="false">ROUNDUP(L117*1/12,0)</f>
        <v>1</v>
      </c>
      <c r="M118" s="70" t="n">
        <f aca="false">ROUNDUP(M117*1/12,0)</f>
        <v>1</v>
      </c>
      <c r="N118" s="70" t="n">
        <f aca="false">ROUNDUP(N117*1/12,0)</f>
        <v>1</v>
      </c>
      <c r="O118" s="70" t="n">
        <f aca="false">ROUNDUP(O117*1/12,0)</f>
        <v>2</v>
      </c>
      <c r="P118" s="70" t="n">
        <f aca="false">ROUNDUP(P117*1/12,0)</f>
        <v>2</v>
      </c>
      <c r="Q118" s="70" t="n">
        <f aca="false">ROUNDUP(Q117*1/12,0)</f>
        <v>2</v>
      </c>
      <c r="R118" s="70" t="n">
        <f aca="false">ROUNDUP(R117*1/12,0)</f>
        <v>2</v>
      </c>
      <c r="S118" s="70" t="n">
        <f aca="false">ROUNDUP(S117*1/12,0)</f>
        <v>2</v>
      </c>
      <c r="T118" s="70" t="n">
        <f aca="false">ROUNDUP(T117*1/12,0)</f>
        <v>2</v>
      </c>
      <c r="U118" s="70" t="n">
        <f aca="false">ROUNDUP(U117*1/12,0)</f>
        <v>2</v>
      </c>
      <c r="V118" s="70" t="n">
        <f aca="false">ROUNDUP(V117*1/12,0)</f>
        <v>2</v>
      </c>
      <c r="W118" s="70" t="n">
        <f aca="false">ROUNDUP(W117*1/12,0)</f>
        <v>2</v>
      </c>
      <c r="X118" s="70" t="n">
        <f aca="false">ROUNDUP(X117*1/12,0)</f>
        <v>2</v>
      </c>
      <c r="Y118" s="70" t="n">
        <f aca="false">ROUNDUP(Y117*1/12,0)</f>
        <v>2</v>
      </c>
      <c r="Z118" s="70" t="n">
        <f aca="false">ROUNDUP(Z117*1/12,0)</f>
        <v>2</v>
      </c>
      <c r="AA118" s="70" t="n">
        <f aca="false">ROUNDUP(AA117*1/12,0)</f>
        <v>3</v>
      </c>
      <c r="AB118" s="70" t="n">
        <f aca="false">ROUNDUP(AB117*1/12,0)</f>
        <v>3</v>
      </c>
      <c r="AC118" s="70" t="n">
        <f aca="false">ROUNDUP(AC117*1/12,0)</f>
        <v>3</v>
      </c>
      <c r="AD118" s="70" t="n">
        <f aca="false">ROUNDUP(AD117*1/12,0)</f>
        <v>3</v>
      </c>
      <c r="AE118" s="70" t="n">
        <f aca="false">ROUNDUP(AE117*1/12,0)</f>
        <v>3</v>
      </c>
      <c r="AF118" s="70" t="n">
        <f aca="false">ROUNDUP(AF117*1/12,0)</f>
        <v>3</v>
      </c>
      <c r="AG118" s="70" t="n">
        <f aca="false">ROUNDUP(AG117*1/12,0)</f>
        <v>3</v>
      </c>
      <c r="AH118" s="70" t="n">
        <f aca="false">ROUNDUP(AH117*1/12,0)</f>
        <v>3</v>
      </c>
      <c r="AI118" s="70" t="n">
        <f aca="false">ROUNDUP(AI117*1/12,0)</f>
        <v>3</v>
      </c>
      <c r="AJ118" s="70" t="n">
        <f aca="false">ROUNDUP(AJ117*1/12,0)</f>
        <v>3</v>
      </c>
      <c r="AK118" s="70" t="n">
        <f aca="false">ROUNDUP(AK117*1/12,0)</f>
        <v>3</v>
      </c>
      <c r="AL118" s="70" t="n">
        <f aca="false">ROUNDUP(AL117*1/12,0)</f>
        <v>3</v>
      </c>
      <c r="AM118" s="70" t="n">
        <f aca="false">ROUNDUP(AM117*1/12,0)</f>
        <v>4</v>
      </c>
      <c r="AN118" s="70" t="n">
        <f aca="false">ROUNDUP(AN117*1/12,0)</f>
        <v>4</v>
      </c>
      <c r="AO118" s="70" t="n">
        <f aca="false">ROUNDUP(AO117*1/12,0)</f>
        <v>4</v>
      </c>
      <c r="AP118" s="70" t="n">
        <f aca="false">ROUNDUP(AP117*1/12,0)</f>
        <v>4</v>
      </c>
      <c r="AQ118" s="70" t="n">
        <f aca="false">ROUNDUP(AQ117*1/12,0)</f>
        <v>4</v>
      </c>
      <c r="AR118" s="70" t="n">
        <f aca="false">ROUNDUP(AR117*1/12,0)</f>
        <v>4</v>
      </c>
      <c r="AS118" s="70" t="n">
        <f aca="false">ROUNDUP(AS117*1/12,0)</f>
        <v>4</v>
      </c>
      <c r="AT118" s="70" t="n">
        <f aca="false">ROUNDUP(AT117*1/12,0)</f>
        <v>4</v>
      </c>
      <c r="AU118" s="70" t="n">
        <f aca="false">ROUNDUP(AU117*1/12,0)</f>
        <v>4</v>
      </c>
      <c r="AV118" s="70" t="n">
        <f aca="false">ROUNDUP(AV117*1/12,0)</f>
        <v>4</v>
      </c>
      <c r="AW118" s="70" t="n">
        <f aca="false">ROUNDUP(AW117*1/12,0)</f>
        <v>4</v>
      </c>
      <c r="AX118" s="70" t="n">
        <f aca="false">ROUNDUP(AX117*1/12,0)</f>
        <v>4</v>
      </c>
      <c r="AY118" s="70" t="n">
        <f aca="false">ROUNDUP(AY117*1/12,0)</f>
        <v>5</v>
      </c>
      <c r="AZ118" s="70" t="n">
        <f aca="false">ROUNDUP(AZ117*1/12,0)</f>
        <v>5</v>
      </c>
      <c r="BA118" s="70" t="n">
        <f aca="false">ROUNDUP(BA117*1/12,0)</f>
        <v>5</v>
      </c>
      <c r="BB118" s="70" t="n">
        <f aca="false">ROUNDUP(BB117*1/12,0)</f>
        <v>5</v>
      </c>
      <c r="BC118" s="70" t="n">
        <f aca="false">ROUNDUP(BC117*1/12,0)</f>
        <v>5</v>
      </c>
      <c r="BD118" s="70" t="n">
        <f aca="false">ROUNDUP(BD117*1/12,0)</f>
        <v>5</v>
      </c>
      <c r="BE118" s="70" t="n">
        <f aca="false">ROUNDUP(BE117*1/12,0)</f>
        <v>5</v>
      </c>
      <c r="BF118" s="70" t="n">
        <f aca="false">ROUNDUP(BF117*1/12,0)</f>
        <v>5</v>
      </c>
      <c r="BG118" s="70" t="n">
        <f aca="false">ROUNDUP(BG117*1/12,0)</f>
        <v>5</v>
      </c>
      <c r="BH118" s="70" t="n">
        <f aca="false">ROUNDUP(BH117*1/12,0)</f>
        <v>5</v>
      </c>
      <c r="BI118" s="70" t="n">
        <f aca="false">ROUNDUP(BI117*1/12,0)</f>
        <v>5</v>
      </c>
      <c r="BJ118" s="70" t="n">
        <f aca="false">ROUNDUP(BJ117*1/12,0)</f>
        <v>5</v>
      </c>
    </row>
    <row r="120" customFormat="false" ht="15.75" hidden="false" customHeight="true" outlineLevel="0" collapsed="false">
      <c r="A120" s="7" t="s">
        <v>247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customFormat="false" ht="15" hidden="false" customHeight="false" outlineLevel="0" collapsed="false">
      <c r="A121" s="6" t="s">
        <v>407</v>
      </c>
      <c r="C121" s="76" t="n">
        <f aca="false">IF(MOD(C$117-1,12)&gt;=10,1+Inputs!$C$28,1-Inputs!$C$28/5)</f>
        <v>0.94</v>
      </c>
      <c r="D121" s="76" t="n">
        <f aca="false">IF(MOD(D$117-1,12)&gt;=10,1+Inputs!$C$28,1-Inputs!$C$28/5)</f>
        <v>0.94</v>
      </c>
      <c r="E121" s="76" t="n">
        <f aca="false">IF(MOD(E$117-1,12)&gt;=10,1+Inputs!$C$28,1-Inputs!$C$28/5)</f>
        <v>0.94</v>
      </c>
      <c r="F121" s="76" t="n">
        <f aca="false">IF(MOD(F$117-1,12)&gt;=10,1+Inputs!$C$28,1-Inputs!$C$28/5)</f>
        <v>0.94</v>
      </c>
      <c r="G121" s="76" t="n">
        <f aca="false">IF(MOD(G$117-1,12)&gt;=10,1+Inputs!$C$28,1-Inputs!$C$28/5)</f>
        <v>0.94</v>
      </c>
      <c r="H121" s="76" t="n">
        <f aca="false">IF(MOD(H$117-1,12)&gt;=10,1+Inputs!$C$28,1-Inputs!$C$28/5)</f>
        <v>0.94</v>
      </c>
      <c r="I121" s="76" t="n">
        <f aca="false">IF(MOD(I$117-1,12)&gt;=10,1+Inputs!$C$28,1-Inputs!$C$28/5)</f>
        <v>0.94</v>
      </c>
      <c r="J121" s="76" t="n">
        <f aca="false">IF(MOD(J$117-1,12)&gt;=10,1+Inputs!$C$28,1-Inputs!$C$28/5)</f>
        <v>0.94</v>
      </c>
      <c r="K121" s="76" t="n">
        <f aca="false">IF(MOD(K$117-1,12)&gt;=10,1+Inputs!$C$28,1-Inputs!$C$28/5)</f>
        <v>0.94</v>
      </c>
      <c r="L121" s="76" t="n">
        <f aca="false">IF(MOD(L$117-1,12)&gt;=10,1+Inputs!$C$28,1-Inputs!$C$28/5)</f>
        <v>0.94</v>
      </c>
      <c r="M121" s="76" t="n">
        <f aca="false">IF(MOD(M$117-1,12)&gt;=10,1+Inputs!$C$28,1-Inputs!$C$28/5)</f>
        <v>1.3</v>
      </c>
      <c r="N121" s="76" t="n">
        <f aca="false">IF(MOD(N$117-1,12)&gt;=10,1+Inputs!$C$28,1-Inputs!$C$28/5)</f>
        <v>1.3</v>
      </c>
      <c r="O121" s="76" t="n">
        <f aca="false">IF(MOD(O$117-1,12)&gt;=10,1+Inputs!$C$28,1-Inputs!$C$28/5)</f>
        <v>0.94</v>
      </c>
      <c r="P121" s="76" t="n">
        <f aca="false">IF(MOD(P$117-1,12)&gt;=10,1+Inputs!$C$28,1-Inputs!$C$28/5)</f>
        <v>0.94</v>
      </c>
      <c r="Q121" s="76" t="n">
        <f aca="false">IF(MOD(Q$117-1,12)&gt;=10,1+Inputs!$C$28,1-Inputs!$C$28/5)</f>
        <v>0.94</v>
      </c>
      <c r="R121" s="76" t="n">
        <f aca="false">IF(MOD(R$117-1,12)&gt;=10,1+Inputs!$C$28,1-Inputs!$C$28/5)</f>
        <v>0.94</v>
      </c>
      <c r="S121" s="76" t="n">
        <f aca="false">IF(MOD(S$117-1,12)&gt;=10,1+Inputs!$C$28,1-Inputs!$C$28/5)</f>
        <v>0.94</v>
      </c>
      <c r="T121" s="76" t="n">
        <f aca="false">IF(MOD(T$117-1,12)&gt;=10,1+Inputs!$C$28,1-Inputs!$C$28/5)</f>
        <v>0.94</v>
      </c>
      <c r="U121" s="76" t="n">
        <f aca="false">IF(MOD(U$117-1,12)&gt;=10,1+Inputs!$C$28,1-Inputs!$C$28/5)</f>
        <v>0.94</v>
      </c>
      <c r="V121" s="76" t="n">
        <f aca="false">IF(MOD(V$117-1,12)&gt;=10,1+Inputs!$C$28,1-Inputs!$C$28/5)</f>
        <v>0.94</v>
      </c>
      <c r="W121" s="76" t="n">
        <f aca="false">IF(MOD(W$117-1,12)&gt;=10,1+Inputs!$C$28,1-Inputs!$C$28/5)</f>
        <v>0.94</v>
      </c>
      <c r="X121" s="76" t="n">
        <f aca="false">IF(MOD(X$117-1,12)&gt;=10,1+Inputs!$C$28,1-Inputs!$C$28/5)</f>
        <v>0.94</v>
      </c>
      <c r="Y121" s="76" t="n">
        <f aca="false">IF(MOD(Y$117-1,12)&gt;=10,1+Inputs!$C$28,1-Inputs!$C$28/5)</f>
        <v>1.3</v>
      </c>
      <c r="Z121" s="76" t="n">
        <f aca="false">IF(MOD(Z$117-1,12)&gt;=10,1+Inputs!$C$28,1-Inputs!$C$28/5)</f>
        <v>1.3</v>
      </c>
      <c r="AA121" s="76" t="n">
        <f aca="false">IF(MOD(AA$117-1,12)&gt;=10,1+Inputs!$C$28,1-Inputs!$C$28/5)</f>
        <v>0.94</v>
      </c>
      <c r="AB121" s="76" t="n">
        <f aca="false">IF(MOD(AB$117-1,12)&gt;=10,1+Inputs!$C$28,1-Inputs!$C$28/5)</f>
        <v>0.94</v>
      </c>
      <c r="AC121" s="76" t="n">
        <f aca="false">IF(MOD(AC$117-1,12)&gt;=10,1+Inputs!$C$28,1-Inputs!$C$28/5)</f>
        <v>0.94</v>
      </c>
      <c r="AD121" s="76" t="n">
        <f aca="false">IF(MOD(AD$117-1,12)&gt;=10,1+Inputs!$C$28,1-Inputs!$C$28/5)</f>
        <v>0.94</v>
      </c>
      <c r="AE121" s="76" t="n">
        <f aca="false">IF(MOD(AE$117-1,12)&gt;=10,1+Inputs!$C$28,1-Inputs!$C$28/5)</f>
        <v>0.94</v>
      </c>
      <c r="AF121" s="76" t="n">
        <f aca="false">IF(MOD(AF$117-1,12)&gt;=10,1+Inputs!$C$28,1-Inputs!$C$28/5)</f>
        <v>0.94</v>
      </c>
      <c r="AG121" s="76" t="n">
        <f aca="false">IF(MOD(AG$117-1,12)&gt;=10,1+Inputs!$C$28,1-Inputs!$C$28/5)</f>
        <v>0.94</v>
      </c>
      <c r="AH121" s="76" t="n">
        <f aca="false">IF(MOD(AH$117-1,12)&gt;=10,1+Inputs!$C$28,1-Inputs!$C$28/5)</f>
        <v>0.94</v>
      </c>
      <c r="AI121" s="76" t="n">
        <f aca="false">IF(MOD(AI$117-1,12)&gt;=10,1+Inputs!$C$28,1-Inputs!$C$28/5)</f>
        <v>0.94</v>
      </c>
      <c r="AJ121" s="76" t="n">
        <f aca="false">IF(MOD(AJ$117-1,12)&gt;=10,1+Inputs!$C$28,1-Inputs!$C$28/5)</f>
        <v>0.94</v>
      </c>
      <c r="AK121" s="76" t="n">
        <f aca="false">IF(MOD(AK$117-1,12)&gt;=10,1+Inputs!$C$28,1-Inputs!$C$28/5)</f>
        <v>1.3</v>
      </c>
      <c r="AL121" s="76" t="n">
        <f aca="false">IF(MOD(AL$117-1,12)&gt;=10,1+Inputs!$C$28,1-Inputs!$C$28/5)</f>
        <v>1.3</v>
      </c>
      <c r="AM121" s="76" t="n">
        <f aca="false">IF(MOD(AM$117-1,12)&gt;=10,1+Inputs!$C$28,1-Inputs!$C$28/5)</f>
        <v>0.94</v>
      </c>
      <c r="AN121" s="76" t="n">
        <f aca="false">IF(MOD(AN$117-1,12)&gt;=10,1+Inputs!$C$28,1-Inputs!$C$28/5)</f>
        <v>0.94</v>
      </c>
      <c r="AO121" s="76" t="n">
        <f aca="false">IF(MOD(AO$117-1,12)&gt;=10,1+Inputs!$C$28,1-Inputs!$C$28/5)</f>
        <v>0.94</v>
      </c>
      <c r="AP121" s="76" t="n">
        <f aca="false">IF(MOD(AP$117-1,12)&gt;=10,1+Inputs!$C$28,1-Inputs!$C$28/5)</f>
        <v>0.94</v>
      </c>
      <c r="AQ121" s="76" t="n">
        <f aca="false">IF(MOD(AQ$117-1,12)&gt;=10,1+Inputs!$C$28,1-Inputs!$C$28/5)</f>
        <v>0.94</v>
      </c>
      <c r="AR121" s="76" t="n">
        <f aca="false">IF(MOD(AR$117-1,12)&gt;=10,1+Inputs!$C$28,1-Inputs!$C$28/5)</f>
        <v>0.94</v>
      </c>
      <c r="AS121" s="76" t="n">
        <f aca="false">IF(MOD(AS$117-1,12)&gt;=10,1+Inputs!$C$28,1-Inputs!$C$28/5)</f>
        <v>0.94</v>
      </c>
      <c r="AT121" s="76" t="n">
        <f aca="false">IF(MOD(AT$117-1,12)&gt;=10,1+Inputs!$C$28,1-Inputs!$C$28/5)</f>
        <v>0.94</v>
      </c>
      <c r="AU121" s="76" t="n">
        <f aca="false">IF(MOD(AU$117-1,12)&gt;=10,1+Inputs!$C$28,1-Inputs!$C$28/5)</f>
        <v>0.94</v>
      </c>
      <c r="AV121" s="76" t="n">
        <f aca="false">IF(MOD(AV$117-1,12)&gt;=10,1+Inputs!$C$28,1-Inputs!$C$28/5)</f>
        <v>0.94</v>
      </c>
      <c r="AW121" s="76" t="n">
        <f aca="false">IF(MOD(AW$117-1,12)&gt;=10,1+Inputs!$C$28,1-Inputs!$C$28/5)</f>
        <v>1.3</v>
      </c>
      <c r="AX121" s="76" t="n">
        <f aca="false">IF(MOD(AX$117-1,12)&gt;=10,1+Inputs!$C$28,1-Inputs!$C$28/5)</f>
        <v>1.3</v>
      </c>
      <c r="AY121" s="76" t="n">
        <f aca="false">IF(MOD(AY$117-1,12)&gt;=10,1+Inputs!$C$28,1-Inputs!$C$28/5)</f>
        <v>0.94</v>
      </c>
      <c r="AZ121" s="76" t="n">
        <f aca="false">IF(MOD(AZ$117-1,12)&gt;=10,1+Inputs!$C$28,1-Inputs!$C$28/5)</f>
        <v>0.94</v>
      </c>
      <c r="BA121" s="76" t="n">
        <f aca="false">IF(MOD(BA$117-1,12)&gt;=10,1+Inputs!$C$28,1-Inputs!$C$28/5)</f>
        <v>0.94</v>
      </c>
      <c r="BB121" s="76" t="n">
        <f aca="false">IF(MOD(BB$117-1,12)&gt;=10,1+Inputs!$C$28,1-Inputs!$C$28/5)</f>
        <v>0.94</v>
      </c>
      <c r="BC121" s="76" t="n">
        <f aca="false">IF(MOD(BC$117-1,12)&gt;=10,1+Inputs!$C$28,1-Inputs!$C$28/5)</f>
        <v>0.94</v>
      </c>
      <c r="BD121" s="76" t="n">
        <f aca="false">IF(MOD(BD$117-1,12)&gt;=10,1+Inputs!$C$28,1-Inputs!$C$28/5)</f>
        <v>0.94</v>
      </c>
      <c r="BE121" s="76" t="n">
        <f aca="false">IF(MOD(BE$117-1,12)&gt;=10,1+Inputs!$C$28,1-Inputs!$C$28/5)</f>
        <v>0.94</v>
      </c>
      <c r="BF121" s="76" t="n">
        <f aca="false">IF(MOD(BF$117-1,12)&gt;=10,1+Inputs!$C$28,1-Inputs!$C$28/5)</f>
        <v>0.94</v>
      </c>
      <c r="BG121" s="76" t="n">
        <f aca="false">IF(MOD(BG$117-1,12)&gt;=10,1+Inputs!$C$28,1-Inputs!$C$28/5)</f>
        <v>0.94</v>
      </c>
      <c r="BH121" s="76" t="n">
        <f aca="false">IF(MOD(BH$117-1,12)&gt;=10,1+Inputs!$C$28,1-Inputs!$C$28/5)</f>
        <v>0.94</v>
      </c>
      <c r="BI121" s="76" t="n">
        <f aca="false">IF(MOD(BI$117-1,12)&gt;=10,1+Inputs!$C$28,1-Inputs!$C$28/5)</f>
        <v>1.3</v>
      </c>
      <c r="BJ121" s="76" t="n">
        <f aca="false">IF(MOD(BJ$117-1,12)&gt;=10,1+Inputs!$C$28,1-Inputs!$C$28/5)</f>
        <v>1.3</v>
      </c>
    </row>
    <row r="122" customFormat="false" ht="15" hidden="false" customHeight="false" outlineLevel="0" collapsed="false">
      <c r="A122" s="6" t="s">
        <v>408</v>
      </c>
      <c r="C122" s="113" t="n">
        <f aca="false">Inputs!$C$7*(1+Inputs!$C$8)^(C$118-1)*1*C121</f>
        <v>75200</v>
      </c>
      <c r="D122" s="113" t="n">
        <f aca="false">Inputs!$C$7*(1+Inputs!$C$8)^(D$118-1)*1*D121</f>
        <v>75200</v>
      </c>
      <c r="E122" s="113" t="n">
        <f aca="false">Inputs!$C$7*(1+Inputs!$C$8)^(E$118-1)*1*E121</f>
        <v>75200</v>
      </c>
      <c r="F122" s="113" t="n">
        <f aca="false">Inputs!$C$7*(1+Inputs!$C$8)^(F$118-1)*1*F121</f>
        <v>75200</v>
      </c>
      <c r="G122" s="113" t="n">
        <f aca="false">Inputs!$C$7*(1+Inputs!$C$8)^(G$118-1)*1*G121</f>
        <v>75200</v>
      </c>
      <c r="H122" s="113" t="n">
        <f aca="false">Inputs!$C$7*(1+Inputs!$C$8)^(H$118-1)*1*H121</f>
        <v>75200</v>
      </c>
      <c r="I122" s="113" t="n">
        <f aca="false">Inputs!$C$7*(1+Inputs!$C$8)^(I$118-1)*1*I121</f>
        <v>75200</v>
      </c>
      <c r="J122" s="113" t="n">
        <f aca="false">Inputs!$C$7*(1+Inputs!$C$8)^(J$118-1)*1*J121</f>
        <v>75200</v>
      </c>
      <c r="K122" s="113" t="n">
        <f aca="false">Inputs!$C$7*(1+Inputs!$C$8)^(K$118-1)*1*K121</f>
        <v>75200</v>
      </c>
      <c r="L122" s="113" t="n">
        <f aca="false">Inputs!$C$7*(1+Inputs!$C$8)^(L$118-1)*1*L121</f>
        <v>75200</v>
      </c>
      <c r="M122" s="113" t="n">
        <f aca="false">Inputs!$C$7*(1+Inputs!$C$8)^(M$118-1)*1*M121</f>
        <v>104000</v>
      </c>
      <c r="N122" s="113" t="n">
        <f aca="false">Inputs!$C$7*(1+Inputs!$C$8)^(N$118-1)*1*N121</f>
        <v>104000</v>
      </c>
      <c r="O122" s="113" t="n">
        <f aca="false">Inputs!$C$7*(1+Inputs!$C$8)^(O$118-1)*1*O121</f>
        <v>94000</v>
      </c>
      <c r="P122" s="113" t="n">
        <f aca="false">Inputs!$C$7*(1+Inputs!$C$8)^(P$118-1)*1*P121</f>
        <v>94000</v>
      </c>
      <c r="Q122" s="113" t="n">
        <f aca="false">Inputs!$C$7*(1+Inputs!$C$8)^(Q$118-1)*1*Q121</f>
        <v>94000</v>
      </c>
      <c r="R122" s="113" t="n">
        <f aca="false">Inputs!$C$7*(1+Inputs!$C$8)^(R$118-1)*1*R121</f>
        <v>94000</v>
      </c>
      <c r="S122" s="113" t="n">
        <f aca="false">Inputs!$C$7*(1+Inputs!$C$8)^(S$118-1)*1*S121</f>
        <v>94000</v>
      </c>
      <c r="T122" s="113" t="n">
        <f aca="false">Inputs!$C$7*(1+Inputs!$C$8)^(T$118-1)*1*T121</f>
        <v>94000</v>
      </c>
      <c r="U122" s="113" t="n">
        <f aca="false">Inputs!$C$7*(1+Inputs!$C$8)^(U$118-1)*1*U121</f>
        <v>94000</v>
      </c>
      <c r="V122" s="113" t="n">
        <f aca="false">Inputs!$C$7*(1+Inputs!$C$8)^(V$118-1)*1*V121</f>
        <v>94000</v>
      </c>
      <c r="W122" s="113" t="n">
        <f aca="false">Inputs!$C$7*(1+Inputs!$C$8)^(W$118-1)*1*W121</f>
        <v>94000</v>
      </c>
      <c r="X122" s="113" t="n">
        <f aca="false">Inputs!$C$7*(1+Inputs!$C$8)^(X$118-1)*1*X121</f>
        <v>94000</v>
      </c>
      <c r="Y122" s="113" t="n">
        <f aca="false">Inputs!$C$7*(1+Inputs!$C$8)^(Y$118-1)*1*Y121</f>
        <v>130000</v>
      </c>
      <c r="Z122" s="113" t="n">
        <f aca="false">Inputs!$C$7*(1+Inputs!$C$8)^(Z$118-1)*1*Z121</f>
        <v>130000</v>
      </c>
      <c r="AA122" s="113" t="n">
        <f aca="false">Inputs!$C$7*(1+Inputs!$C$8)^(AA$118-1)*1*AA121</f>
        <v>117500</v>
      </c>
      <c r="AB122" s="113" t="n">
        <f aca="false">Inputs!$C$7*(1+Inputs!$C$8)^(AB$118-1)*1*AB121</f>
        <v>117500</v>
      </c>
      <c r="AC122" s="113" t="n">
        <f aca="false">Inputs!$C$7*(1+Inputs!$C$8)^(AC$118-1)*1*AC121</f>
        <v>117500</v>
      </c>
      <c r="AD122" s="113" t="n">
        <f aca="false">Inputs!$C$7*(1+Inputs!$C$8)^(AD$118-1)*1*AD121</f>
        <v>117500</v>
      </c>
      <c r="AE122" s="113" t="n">
        <f aca="false">Inputs!$C$7*(1+Inputs!$C$8)^(AE$118-1)*1*AE121</f>
        <v>117500</v>
      </c>
      <c r="AF122" s="113" t="n">
        <f aca="false">Inputs!$C$7*(1+Inputs!$C$8)^(AF$118-1)*1*AF121</f>
        <v>117500</v>
      </c>
      <c r="AG122" s="113" t="n">
        <f aca="false">Inputs!$C$7*(1+Inputs!$C$8)^(AG$118-1)*1*AG121</f>
        <v>117500</v>
      </c>
      <c r="AH122" s="113" t="n">
        <f aca="false">Inputs!$C$7*(1+Inputs!$C$8)^(AH$118-1)*1*AH121</f>
        <v>117500</v>
      </c>
      <c r="AI122" s="113" t="n">
        <f aca="false">Inputs!$C$7*(1+Inputs!$C$8)^(AI$118-1)*1*AI121</f>
        <v>117500</v>
      </c>
      <c r="AJ122" s="113" t="n">
        <f aca="false">Inputs!$C$7*(1+Inputs!$C$8)^(AJ$118-1)*1*AJ121</f>
        <v>117500</v>
      </c>
      <c r="AK122" s="113" t="n">
        <f aca="false">Inputs!$C$7*(1+Inputs!$C$8)^(AK$118-1)*1*AK121</f>
        <v>162500</v>
      </c>
      <c r="AL122" s="113" t="n">
        <f aca="false">Inputs!$C$7*(1+Inputs!$C$8)^(AL$118-1)*1*AL121</f>
        <v>162500</v>
      </c>
      <c r="AM122" s="113" t="n">
        <f aca="false">Inputs!$C$7*(1+Inputs!$C$8)^(AM$118-1)*1*AM121</f>
        <v>146875</v>
      </c>
      <c r="AN122" s="113" t="n">
        <f aca="false">Inputs!$C$7*(1+Inputs!$C$8)^(AN$118-1)*1*AN121</f>
        <v>146875</v>
      </c>
      <c r="AO122" s="113" t="n">
        <f aca="false">Inputs!$C$7*(1+Inputs!$C$8)^(AO$118-1)*1*AO121</f>
        <v>146875</v>
      </c>
      <c r="AP122" s="113" t="n">
        <f aca="false">Inputs!$C$7*(1+Inputs!$C$8)^(AP$118-1)*1*AP121</f>
        <v>146875</v>
      </c>
      <c r="AQ122" s="113" t="n">
        <f aca="false">Inputs!$C$7*(1+Inputs!$C$8)^(AQ$118-1)*1*AQ121</f>
        <v>146875</v>
      </c>
      <c r="AR122" s="113" t="n">
        <f aca="false">Inputs!$C$7*(1+Inputs!$C$8)^(AR$118-1)*1*AR121</f>
        <v>146875</v>
      </c>
      <c r="AS122" s="113" t="n">
        <f aca="false">Inputs!$C$7*(1+Inputs!$C$8)^(AS$118-1)*1*AS121</f>
        <v>146875</v>
      </c>
      <c r="AT122" s="113" t="n">
        <f aca="false">Inputs!$C$7*(1+Inputs!$C$8)^(AT$118-1)*1*AT121</f>
        <v>146875</v>
      </c>
      <c r="AU122" s="113" t="n">
        <f aca="false">Inputs!$C$7*(1+Inputs!$C$8)^(AU$118-1)*1*AU121</f>
        <v>146875</v>
      </c>
      <c r="AV122" s="113" t="n">
        <f aca="false">Inputs!$C$7*(1+Inputs!$C$8)^(AV$118-1)*1*AV121</f>
        <v>146875</v>
      </c>
      <c r="AW122" s="113" t="n">
        <f aca="false">Inputs!$C$7*(1+Inputs!$C$8)^(AW$118-1)*1*AW121</f>
        <v>203125</v>
      </c>
      <c r="AX122" s="113" t="n">
        <f aca="false">Inputs!$C$7*(1+Inputs!$C$8)^(AX$118-1)*1*AX121</f>
        <v>203125</v>
      </c>
      <c r="AY122" s="113" t="n">
        <f aca="false">Inputs!$C$7*(1+Inputs!$C$8)^(AY$118-1)*1*AY121</f>
        <v>183593.75</v>
      </c>
      <c r="AZ122" s="113" t="n">
        <f aca="false">Inputs!$C$7*(1+Inputs!$C$8)^(AZ$118-1)*1*AZ121</f>
        <v>183593.75</v>
      </c>
      <c r="BA122" s="113" t="n">
        <f aca="false">Inputs!$C$7*(1+Inputs!$C$8)^(BA$118-1)*1*BA121</f>
        <v>183593.75</v>
      </c>
      <c r="BB122" s="113" t="n">
        <f aca="false">Inputs!$C$7*(1+Inputs!$C$8)^(BB$118-1)*1*BB121</f>
        <v>183593.75</v>
      </c>
      <c r="BC122" s="113" t="n">
        <f aca="false">Inputs!$C$7*(1+Inputs!$C$8)^(BC$118-1)*1*BC121</f>
        <v>183593.75</v>
      </c>
      <c r="BD122" s="113" t="n">
        <f aca="false">Inputs!$C$7*(1+Inputs!$C$8)^(BD$118-1)*1*BD121</f>
        <v>183593.75</v>
      </c>
      <c r="BE122" s="113" t="n">
        <f aca="false">Inputs!$C$7*(1+Inputs!$C$8)^(BE$118-1)*1*BE121</f>
        <v>183593.75</v>
      </c>
      <c r="BF122" s="113" t="n">
        <f aca="false">Inputs!$C$7*(1+Inputs!$C$8)^(BF$118-1)*1*BF121</f>
        <v>183593.75</v>
      </c>
      <c r="BG122" s="113" t="n">
        <f aca="false">Inputs!$C$7*(1+Inputs!$C$8)^(BG$118-1)*1*BG121</f>
        <v>183593.75</v>
      </c>
      <c r="BH122" s="113" t="n">
        <f aca="false">Inputs!$C$7*(1+Inputs!$C$8)^(BH$118-1)*1*BH121</f>
        <v>183593.75</v>
      </c>
      <c r="BI122" s="113" t="n">
        <f aca="false">Inputs!$C$7*(1+Inputs!$C$8)^(BI$118-1)*1*BI121</f>
        <v>253906.25</v>
      </c>
      <c r="BJ122" s="113" t="n">
        <f aca="false">Inputs!$C$7*(1+Inputs!$C$8)^(BJ$118-1)*1*BJ121</f>
        <v>253906.25</v>
      </c>
    </row>
    <row r="123" customFormat="false" ht="15" hidden="false" customHeight="false" outlineLevel="0" collapsed="false">
      <c r="A123" s="6" t="s">
        <v>409</v>
      </c>
      <c r="C123" s="114" t="n">
        <f aca="false">C122*Inputs!$C$9</f>
        <v>1804.8</v>
      </c>
      <c r="D123" s="114" t="n">
        <f aca="false">D122*Inputs!$C$9</f>
        <v>1804.8</v>
      </c>
      <c r="E123" s="114" t="n">
        <f aca="false">E122*Inputs!$C$9</f>
        <v>1804.8</v>
      </c>
      <c r="F123" s="114" t="n">
        <f aca="false">F122*Inputs!$C$9</f>
        <v>1804.8</v>
      </c>
      <c r="G123" s="114" t="n">
        <f aca="false">G122*Inputs!$C$9</f>
        <v>1804.8</v>
      </c>
      <c r="H123" s="114" t="n">
        <f aca="false">H122*Inputs!$C$9</f>
        <v>1804.8</v>
      </c>
      <c r="I123" s="114" t="n">
        <f aca="false">I122*Inputs!$C$9</f>
        <v>1804.8</v>
      </c>
      <c r="J123" s="114" t="n">
        <f aca="false">J122*Inputs!$C$9</f>
        <v>1804.8</v>
      </c>
      <c r="K123" s="114" t="n">
        <f aca="false">K122*Inputs!$C$9</f>
        <v>1804.8</v>
      </c>
      <c r="L123" s="114" t="n">
        <f aca="false">L122*Inputs!$C$9</f>
        <v>1804.8</v>
      </c>
      <c r="M123" s="114" t="n">
        <f aca="false">M122*Inputs!$C$9</f>
        <v>2496</v>
      </c>
      <c r="N123" s="114" t="n">
        <f aca="false">N122*Inputs!$C$9</f>
        <v>2496</v>
      </c>
      <c r="O123" s="114" t="n">
        <f aca="false">O122*Inputs!$C$9</f>
        <v>2256</v>
      </c>
      <c r="P123" s="114" t="n">
        <f aca="false">P122*Inputs!$C$9</f>
        <v>2256</v>
      </c>
      <c r="Q123" s="114" t="n">
        <f aca="false">Q122*Inputs!$C$9</f>
        <v>2256</v>
      </c>
      <c r="R123" s="114" t="n">
        <f aca="false">R122*Inputs!$C$9</f>
        <v>2256</v>
      </c>
      <c r="S123" s="114" t="n">
        <f aca="false">S122*Inputs!$C$9</f>
        <v>2256</v>
      </c>
      <c r="T123" s="114" t="n">
        <f aca="false">T122*Inputs!$C$9</f>
        <v>2256</v>
      </c>
      <c r="U123" s="114" t="n">
        <f aca="false">U122*Inputs!$C$9</f>
        <v>2256</v>
      </c>
      <c r="V123" s="114" t="n">
        <f aca="false">V122*Inputs!$C$9</f>
        <v>2256</v>
      </c>
      <c r="W123" s="114" t="n">
        <f aca="false">W122*Inputs!$C$9</f>
        <v>2256</v>
      </c>
      <c r="X123" s="114" t="n">
        <f aca="false">X122*Inputs!$C$9</f>
        <v>2256</v>
      </c>
      <c r="Y123" s="114" t="n">
        <f aca="false">Y122*Inputs!$C$9</f>
        <v>3120</v>
      </c>
      <c r="Z123" s="114" t="n">
        <f aca="false">Z122*Inputs!$C$9</f>
        <v>3120</v>
      </c>
      <c r="AA123" s="114" t="n">
        <f aca="false">AA122*Inputs!$C$9</f>
        <v>2820</v>
      </c>
      <c r="AB123" s="114" t="n">
        <f aca="false">AB122*Inputs!$C$9</f>
        <v>2820</v>
      </c>
      <c r="AC123" s="114" t="n">
        <f aca="false">AC122*Inputs!$C$9</f>
        <v>2820</v>
      </c>
      <c r="AD123" s="114" t="n">
        <f aca="false">AD122*Inputs!$C$9</f>
        <v>2820</v>
      </c>
      <c r="AE123" s="114" t="n">
        <f aca="false">AE122*Inputs!$C$9</f>
        <v>2820</v>
      </c>
      <c r="AF123" s="114" t="n">
        <f aca="false">AF122*Inputs!$C$9</f>
        <v>2820</v>
      </c>
      <c r="AG123" s="114" t="n">
        <f aca="false">AG122*Inputs!$C$9</f>
        <v>2820</v>
      </c>
      <c r="AH123" s="114" t="n">
        <f aca="false">AH122*Inputs!$C$9</f>
        <v>2820</v>
      </c>
      <c r="AI123" s="114" t="n">
        <f aca="false">AI122*Inputs!$C$9</f>
        <v>2820</v>
      </c>
      <c r="AJ123" s="114" t="n">
        <f aca="false">AJ122*Inputs!$C$9</f>
        <v>2820</v>
      </c>
      <c r="AK123" s="114" t="n">
        <f aca="false">AK122*Inputs!$C$9</f>
        <v>3900</v>
      </c>
      <c r="AL123" s="114" t="n">
        <f aca="false">AL122*Inputs!$C$9</f>
        <v>3900</v>
      </c>
      <c r="AM123" s="114" t="n">
        <f aca="false">AM122*Inputs!$C$9</f>
        <v>3525</v>
      </c>
      <c r="AN123" s="114" t="n">
        <f aca="false">AN122*Inputs!$C$9</f>
        <v>3525</v>
      </c>
      <c r="AO123" s="114" t="n">
        <f aca="false">AO122*Inputs!$C$9</f>
        <v>3525</v>
      </c>
      <c r="AP123" s="114" t="n">
        <f aca="false">AP122*Inputs!$C$9</f>
        <v>3525</v>
      </c>
      <c r="AQ123" s="114" t="n">
        <f aca="false">AQ122*Inputs!$C$9</f>
        <v>3525</v>
      </c>
      <c r="AR123" s="114" t="n">
        <f aca="false">AR122*Inputs!$C$9</f>
        <v>3525</v>
      </c>
      <c r="AS123" s="114" t="n">
        <f aca="false">AS122*Inputs!$C$9</f>
        <v>3525</v>
      </c>
      <c r="AT123" s="114" t="n">
        <f aca="false">AT122*Inputs!$C$9</f>
        <v>3525</v>
      </c>
      <c r="AU123" s="114" t="n">
        <f aca="false">AU122*Inputs!$C$9</f>
        <v>3525</v>
      </c>
      <c r="AV123" s="114" t="n">
        <f aca="false">AV122*Inputs!$C$9</f>
        <v>3525</v>
      </c>
      <c r="AW123" s="114" t="n">
        <f aca="false">AW122*Inputs!$C$9</f>
        <v>4875</v>
      </c>
      <c r="AX123" s="114" t="n">
        <f aca="false">AX122*Inputs!$C$9</f>
        <v>4875</v>
      </c>
      <c r="AY123" s="114" t="n">
        <f aca="false">AY122*Inputs!$C$9</f>
        <v>4406.25</v>
      </c>
      <c r="AZ123" s="114" t="n">
        <f aca="false">AZ122*Inputs!$C$9</f>
        <v>4406.25</v>
      </c>
      <c r="BA123" s="114" t="n">
        <f aca="false">BA122*Inputs!$C$9</f>
        <v>4406.25</v>
      </c>
      <c r="BB123" s="114" t="n">
        <f aca="false">BB122*Inputs!$C$9</f>
        <v>4406.25</v>
      </c>
      <c r="BC123" s="114" t="n">
        <f aca="false">BC122*Inputs!$C$9</f>
        <v>4406.25</v>
      </c>
      <c r="BD123" s="114" t="n">
        <f aca="false">BD122*Inputs!$C$9</f>
        <v>4406.25</v>
      </c>
      <c r="BE123" s="114" t="n">
        <f aca="false">BE122*Inputs!$C$9</f>
        <v>4406.25</v>
      </c>
      <c r="BF123" s="114" t="n">
        <f aca="false">BF122*Inputs!$C$9</f>
        <v>4406.25</v>
      </c>
      <c r="BG123" s="114" t="n">
        <f aca="false">BG122*Inputs!$C$9</f>
        <v>4406.25</v>
      </c>
      <c r="BH123" s="114" t="n">
        <f aca="false">BH122*Inputs!$C$9</f>
        <v>4406.25</v>
      </c>
      <c r="BI123" s="114" t="n">
        <f aca="false">BI122*Inputs!$C$9</f>
        <v>6093.75</v>
      </c>
      <c r="BJ123" s="114" t="n">
        <f aca="false">BJ122*Inputs!$C$9</f>
        <v>6093.75</v>
      </c>
    </row>
    <row r="124" customFormat="false" ht="15" hidden="false" customHeight="false" outlineLevel="0" collapsed="false">
      <c r="A124" s="6" t="s">
        <v>410</v>
      </c>
      <c r="C124" s="114" t="n">
        <f aca="false">-C145/MAX(1,Inputs!$C$15)</f>
        <v>1785.71428571429</v>
      </c>
      <c r="D124" s="114" t="n">
        <f aca="false">-D145/MAX(1,Inputs!$C$15)</f>
        <v>1785.71428571429</v>
      </c>
      <c r="E124" s="114" t="n">
        <f aca="false">-E145/MAX(1,Inputs!$C$15)</f>
        <v>1785.71428571429</v>
      </c>
      <c r="F124" s="114" t="n">
        <f aca="false">-F145/MAX(1,Inputs!$C$15)</f>
        <v>1785.71428571429</v>
      </c>
      <c r="G124" s="114" t="n">
        <f aca="false">-G145/MAX(1,Inputs!$C$15)</f>
        <v>1785.71428571429</v>
      </c>
      <c r="H124" s="114" t="n">
        <f aca="false">-H145/MAX(1,Inputs!$C$15)</f>
        <v>1785.71428571429</v>
      </c>
      <c r="I124" s="114" t="n">
        <f aca="false">-I145/MAX(1,Inputs!$C$15)</f>
        <v>1785.71428571429</v>
      </c>
      <c r="J124" s="114" t="n">
        <f aca="false">-J145/MAX(1,Inputs!$C$15)</f>
        <v>1785.71428571429</v>
      </c>
      <c r="K124" s="114" t="n">
        <f aca="false">-K145/MAX(1,Inputs!$C$15)</f>
        <v>1785.71428571429</v>
      </c>
      <c r="L124" s="114" t="n">
        <f aca="false">-L145/MAX(1,Inputs!$C$15)</f>
        <v>1785.71428571429</v>
      </c>
      <c r="M124" s="114" t="n">
        <f aca="false">-M145/MAX(1,Inputs!$C$15)</f>
        <v>1785.71428571429</v>
      </c>
      <c r="N124" s="114" t="n">
        <f aca="false">-N145/MAX(1,Inputs!$C$15)</f>
        <v>1785.71428571429</v>
      </c>
      <c r="O124" s="114" t="n">
        <f aca="false">-O145/MAX(1,Inputs!$C$15)</f>
        <v>2142.85714285714</v>
      </c>
      <c r="P124" s="114" t="n">
        <f aca="false">-P145/MAX(1,Inputs!$C$15)</f>
        <v>2142.85714285714</v>
      </c>
      <c r="Q124" s="114" t="n">
        <f aca="false">-Q145/MAX(1,Inputs!$C$15)</f>
        <v>2142.85714285714</v>
      </c>
      <c r="R124" s="114" t="n">
        <f aca="false">-R145/MAX(1,Inputs!$C$15)</f>
        <v>2142.85714285714</v>
      </c>
      <c r="S124" s="114" t="n">
        <f aca="false">-S145/MAX(1,Inputs!$C$15)</f>
        <v>2142.85714285714</v>
      </c>
      <c r="T124" s="114" t="n">
        <f aca="false">-T145/MAX(1,Inputs!$C$15)</f>
        <v>2142.85714285714</v>
      </c>
      <c r="U124" s="114" t="n">
        <f aca="false">-U145/MAX(1,Inputs!$C$15)</f>
        <v>2142.85714285714</v>
      </c>
      <c r="V124" s="114" t="n">
        <f aca="false">-V145/MAX(1,Inputs!$C$15)</f>
        <v>2142.85714285714</v>
      </c>
      <c r="W124" s="114" t="n">
        <f aca="false">-W145/MAX(1,Inputs!$C$15)</f>
        <v>2142.85714285714</v>
      </c>
      <c r="X124" s="114" t="n">
        <f aca="false">-X145/MAX(1,Inputs!$C$15)</f>
        <v>2142.85714285714</v>
      </c>
      <c r="Y124" s="114" t="n">
        <f aca="false">-Y145/MAX(1,Inputs!$C$15)</f>
        <v>2142.85714285714</v>
      </c>
      <c r="Z124" s="114" t="n">
        <f aca="false">-Z145/MAX(1,Inputs!$C$15)</f>
        <v>2142.85714285714</v>
      </c>
      <c r="AA124" s="114" t="n">
        <f aca="false">-AA145/MAX(1,Inputs!$C$15)</f>
        <v>2571.42857142857</v>
      </c>
      <c r="AB124" s="114" t="n">
        <f aca="false">-AB145/MAX(1,Inputs!$C$15)</f>
        <v>2571.42857142857</v>
      </c>
      <c r="AC124" s="114" t="n">
        <f aca="false">-AC145/MAX(1,Inputs!$C$15)</f>
        <v>2571.42857142857</v>
      </c>
      <c r="AD124" s="114" t="n">
        <f aca="false">-AD145/MAX(1,Inputs!$C$15)</f>
        <v>2571.42857142857</v>
      </c>
      <c r="AE124" s="114" t="n">
        <f aca="false">-AE145/MAX(1,Inputs!$C$15)</f>
        <v>2571.42857142857</v>
      </c>
      <c r="AF124" s="114" t="n">
        <f aca="false">-AF145/MAX(1,Inputs!$C$15)</f>
        <v>2571.42857142857</v>
      </c>
      <c r="AG124" s="114" t="n">
        <f aca="false">-AG145/MAX(1,Inputs!$C$15)</f>
        <v>2571.42857142857</v>
      </c>
      <c r="AH124" s="114" t="n">
        <f aca="false">-AH145/MAX(1,Inputs!$C$15)</f>
        <v>2571.42857142857</v>
      </c>
      <c r="AI124" s="114" t="n">
        <f aca="false">-AI145/MAX(1,Inputs!$C$15)</f>
        <v>2571.42857142857</v>
      </c>
      <c r="AJ124" s="114" t="n">
        <f aca="false">-AJ145/MAX(1,Inputs!$C$15)</f>
        <v>2571.42857142857</v>
      </c>
      <c r="AK124" s="114" t="n">
        <f aca="false">-AK145/MAX(1,Inputs!$C$15)</f>
        <v>2571.42857142857</v>
      </c>
      <c r="AL124" s="114" t="n">
        <f aca="false">-AL145/MAX(1,Inputs!$C$15)</f>
        <v>2571.42857142857</v>
      </c>
      <c r="AM124" s="114" t="n">
        <f aca="false">-AM145/MAX(1,Inputs!$C$15)</f>
        <v>3085.71428571429</v>
      </c>
      <c r="AN124" s="114" t="n">
        <f aca="false">-AN145/MAX(1,Inputs!$C$15)</f>
        <v>3085.71428571429</v>
      </c>
      <c r="AO124" s="114" t="n">
        <f aca="false">-AO145/MAX(1,Inputs!$C$15)</f>
        <v>3085.71428571429</v>
      </c>
      <c r="AP124" s="114" t="n">
        <f aca="false">-AP145/MAX(1,Inputs!$C$15)</f>
        <v>3085.71428571429</v>
      </c>
      <c r="AQ124" s="114" t="n">
        <f aca="false">-AQ145/MAX(1,Inputs!$C$15)</f>
        <v>3085.71428571429</v>
      </c>
      <c r="AR124" s="114" t="n">
        <f aca="false">-AR145/MAX(1,Inputs!$C$15)</f>
        <v>3085.71428571429</v>
      </c>
      <c r="AS124" s="114" t="n">
        <f aca="false">-AS145/MAX(1,Inputs!$C$15)</f>
        <v>3085.71428571429</v>
      </c>
      <c r="AT124" s="114" t="n">
        <f aca="false">-AT145/MAX(1,Inputs!$C$15)</f>
        <v>3085.71428571429</v>
      </c>
      <c r="AU124" s="114" t="n">
        <f aca="false">-AU145/MAX(1,Inputs!$C$15)</f>
        <v>3085.71428571429</v>
      </c>
      <c r="AV124" s="114" t="n">
        <f aca="false">-AV145/MAX(1,Inputs!$C$15)</f>
        <v>3085.71428571429</v>
      </c>
      <c r="AW124" s="114" t="n">
        <f aca="false">-AW145/MAX(1,Inputs!$C$15)</f>
        <v>3085.71428571429</v>
      </c>
      <c r="AX124" s="114" t="n">
        <f aca="false">-AX145/MAX(1,Inputs!$C$15)</f>
        <v>3085.71428571429</v>
      </c>
      <c r="AY124" s="114" t="n">
        <f aca="false">-AY145/MAX(1,Inputs!$C$15)</f>
        <v>3702.85714285714</v>
      </c>
      <c r="AZ124" s="114" t="n">
        <f aca="false">-AZ145/MAX(1,Inputs!$C$15)</f>
        <v>3702.85714285714</v>
      </c>
      <c r="BA124" s="114" t="n">
        <f aca="false">-BA145/MAX(1,Inputs!$C$15)</f>
        <v>3702.85714285714</v>
      </c>
      <c r="BB124" s="114" t="n">
        <f aca="false">-BB145/MAX(1,Inputs!$C$15)</f>
        <v>3702.85714285714</v>
      </c>
      <c r="BC124" s="114" t="n">
        <f aca="false">-BC145/MAX(1,Inputs!$C$15)</f>
        <v>3702.85714285714</v>
      </c>
      <c r="BD124" s="114" t="n">
        <f aca="false">-BD145/MAX(1,Inputs!$C$15)</f>
        <v>3702.85714285714</v>
      </c>
      <c r="BE124" s="114" t="n">
        <f aca="false">-BE145/MAX(1,Inputs!$C$15)</f>
        <v>3702.85714285714</v>
      </c>
      <c r="BF124" s="114" t="n">
        <f aca="false">-BF145/MAX(1,Inputs!$C$15)</f>
        <v>3702.85714285714</v>
      </c>
      <c r="BG124" s="114" t="n">
        <f aca="false">-BG145/MAX(1,Inputs!$C$15)</f>
        <v>3702.85714285714</v>
      </c>
      <c r="BH124" s="114" t="n">
        <f aca="false">-BH145/MAX(1,Inputs!$C$15)</f>
        <v>3702.85714285714</v>
      </c>
      <c r="BI124" s="114" t="n">
        <f aca="false">-BI145/MAX(1,Inputs!$C$15)</f>
        <v>3702.85714285714</v>
      </c>
      <c r="BJ124" s="114" t="n">
        <f aca="false">-BJ145/MAX(1,Inputs!$C$15)</f>
        <v>3702.85714285714</v>
      </c>
    </row>
    <row r="125" customFormat="false" ht="15" hidden="false" customHeight="false" outlineLevel="0" collapsed="false">
      <c r="A125" s="6" t="s">
        <v>411</v>
      </c>
      <c r="C125" s="114" t="n">
        <f aca="false">C123+C124</f>
        <v>3590.51428571429</v>
      </c>
      <c r="D125" s="114" t="n">
        <f aca="false">D123+D124</f>
        <v>3590.51428571429</v>
      </c>
      <c r="E125" s="114" t="n">
        <f aca="false">E123+E124</f>
        <v>3590.51428571429</v>
      </c>
      <c r="F125" s="114" t="n">
        <f aca="false">F123+F124</f>
        <v>3590.51428571429</v>
      </c>
      <c r="G125" s="114" t="n">
        <f aca="false">G123+G124</f>
        <v>3590.51428571429</v>
      </c>
      <c r="H125" s="114" t="n">
        <f aca="false">H123+H124</f>
        <v>3590.51428571429</v>
      </c>
      <c r="I125" s="114" t="n">
        <f aca="false">I123+I124</f>
        <v>3590.51428571429</v>
      </c>
      <c r="J125" s="114" t="n">
        <f aca="false">J123+J124</f>
        <v>3590.51428571429</v>
      </c>
      <c r="K125" s="114" t="n">
        <f aca="false">K123+K124</f>
        <v>3590.51428571429</v>
      </c>
      <c r="L125" s="114" t="n">
        <f aca="false">L123+L124</f>
        <v>3590.51428571429</v>
      </c>
      <c r="M125" s="114" t="n">
        <f aca="false">M123+M124</f>
        <v>4281.71428571429</v>
      </c>
      <c r="N125" s="114" t="n">
        <f aca="false">N123+N124</f>
        <v>4281.71428571429</v>
      </c>
      <c r="O125" s="114" t="n">
        <f aca="false">O123+O124</f>
        <v>4398.85714285714</v>
      </c>
      <c r="P125" s="114" t="n">
        <f aca="false">P123+P124</f>
        <v>4398.85714285714</v>
      </c>
      <c r="Q125" s="114" t="n">
        <f aca="false">Q123+Q124</f>
        <v>4398.85714285714</v>
      </c>
      <c r="R125" s="114" t="n">
        <f aca="false">R123+R124</f>
        <v>4398.85714285714</v>
      </c>
      <c r="S125" s="114" t="n">
        <f aca="false">S123+S124</f>
        <v>4398.85714285714</v>
      </c>
      <c r="T125" s="114" t="n">
        <f aca="false">T123+T124</f>
        <v>4398.85714285714</v>
      </c>
      <c r="U125" s="114" t="n">
        <f aca="false">U123+U124</f>
        <v>4398.85714285714</v>
      </c>
      <c r="V125" s="114" t="n">
        <f aca="false">V123+V124</f>
        <v>4398.85714285714</v>
      </c>
      <c r="W125" s="114" t="n">
        <f aca="false">W123+W124</f>
        <v>4398.85714285714</v>
      </c>
      <c r="X125" s="114" t="n">
        <f aca="false">X123+X124</f>
        <v>4398.85714285714</v>
      </c>
      <c r="Y125" s="114" t="n">
        <f aca="false">Y123+Y124</f>
        <v>5262.85714285714</v>
      </c>
      <c r="Z125" s="114" t="n">
        <f aca="false">Z123+Z124</f>
        <v>5262.85714285714</v>
      </c>
      <c r="AA125" s="114" t="n">
        <f aca="false">AA123+AA124</f>
        <v>5391.42857142857</v>
      </c>
      <c r="AB125" s="114" t="n">
        <f aca="false">AB123+AB124</f>
        <v>5391.42857142857</v>
      </c>
      <c r="AC125" s="114" t="n">
        <f aca="false">AC123+AC124</f>
        <v>5391.42857142857</v>
      </c>
      <c r="AD125" s="114" t="n">
        <f aca="false">AD123+AD124</f>
        <v>5391.42857142857</v>
      </c>
      <c r="AE125" s="114" t="n">
        <f aca="false">AE123+AE124</f>
        <v>5391.42857142857</v>
      </c>
      <c r="AF125" s="114" t="n">
        <f aca="false">AF123+AF124</f>
        <v>5391.42857142857</v>
      </c>
      <c r="AG125" s="114" t="n">
        <f aca="false">AG123+AG124</f>
        <v>5391.42857142857</v>
      </c>
      <c r="AH125" s="114" t="n">
        <f aca="false">AH123+AH124</f>
        <v>5391.42857142857</v>
      </c>
      <c r="AI125" s="114" t="n">
        <f aca="false">AI123+AI124</f>
        <v>5391.42857142857</v>
      </c>
      <c r="AJ125" s="114" t="n">
        <f aca="false">AJ123+AJ124</f>
        <v>5391.42857142857</v>
      </c>
      <c r="AK125" s="114" t="n">
        <f aca="false">AK123+AK124</f>
        <v>6471.42857142857</v>
      </c>
      <c r="AL125" s="114" t="n">
        <f aca="false">AL123+AL124</f>
        <v>6471.42857142857</v>
      </c>
      <c r="AM125" s="114" t="n">
        <f aca="false">AM123+AM124</f>
        <v>6610.71428571429</v>
      </c>
      <c r="AN125" s="114" t="n">
        <f aca="false">AN123+AN124</f>
        <v>6610.71428571429</v>
      </c>
      <c r="AO125" s="114" t="n">
        <f aca="false">AO123+AO124</f>
        <v>6610.71428571429</v>
      </c>
      <c r="AP125" s="114" t="n">
        <f aca="false">AP123+AP124</f>
        <v>6610.71428571429</v>
      </c>
      <c r="AQ125" s="114" t="n">
        <f aca="false">AQ123+AQ124</f>
        <v>6610.71428571429</v>
      </c>
      <c r="AR125" s="114" t="n">
        <f aca="false">AR123+AR124</f>
        <v>6610.71428571429</v>
      </c>
      <c r="AS125" s="114" t="n">
        <f aca="false">AS123+AS124</f>
        <v>6610.71428571429</v>
      </c>
      <c r="AT125" s="114" t="n">
        <f aca="false">AT123+AT124</f>
        <v>6610.71428571429</v>
      </c>
      <c r="AU125" s="114" t="n">
        <f aca="false">AU123+AU124</f>
        <v>6610.71428571429</v>
      </c>
      <c r="AV125" s="114" t="n">
        <f aca="false">AV123+AV124</f>
        <v>6610.71428571429</v>
      </c>
      <c r="AW125" s="114" t="n">
        <f aca="false">AW123+AW124</f>
        <v>7960.71428571429</v>
      </c>
      <c r="AX125" s="114" t="n">
        <f aca="false">AX123+AX124</f>
        <v>7960.71428571429</v>
      </c>
      <c r="AY125" s="114" t="n">
        <f aca="false">AY123+AY124</f>
        <v>8109.10714285714</v>
      </c>
      <c r="AZ125" s="114" t="n">
        <f aca="false">AZ123+AZ124</f>
        <v>8109.10714285714</v>
      </c>
      <c r="BA125" s="114" t="n">
        <f aca="false">BA123+BA124</f>
        <v>8109.10714285714</v>
      </c>
      <c r="BB125" s="114" t="n">
        <f aca="false">BB123+BB124</f>
        <v>8109.10714285714</v>
      </c>
      <c r="BC125" s="114" t="n">
        <f aca="false">BC123+BC124</f>
        <v>8109.10714285714</v>
      </c>
      <c r="BD125" s="114" t="n">
        <f aca="false">BD123+BD124</f>
        <v>8109.10714285714</v>
      </c>
      <c r="BE125" s="114" t="n">
        <f aca="false">BE123+BE124</f>
        <v>8109.10714285714</v>
      </c>
      <c r="BF125" s="114" t="n">
        <f aca="false">BF123+BF124</f>
        <v>8109.10714285714</v>
      </c>
      <c r="BG125" s="114" t="n">
        <f aca="false">BG123+BG124</f>
        <v>8109.10714285714</v>
      </c>
      <c r="BH125" s="114" t="n">
        <f aca="false">BH123+BH124</f>
        <v>8109.10714285714</v>
      </c>
      <c r="BI125" s="114" t="n">
        <f aca="false">BI123+BI124</f>
        <v>9796.60714285714</v>
      </c>
      <c r="BJ125" s="114" t="n">
        <f aca="false">BJ123+BJ124</f>
        <v>9796.60714285714</v>
      </c>
    </row>
    <row r="126" customFormat="false" ht="15" hidden="false" customHeight="false" outlineLevel="0" collapsed="false">
      <c r="A126" s="6" t="s">
        <v>412</v>
      </c>
      <c r="C126" s="114" t="n">
        <f aca="false">C125*Inputs!$C$12</f>
        <v>1795.25714285714</v>
      </c>
      <c r="D126" s="114" t="n">
        <f aca="false">D125*Inputs!$C$12</f>
        <v>1795.25714285714</v>
      </c>
      <c r="E126" s="114" t="n">
        <f aca="false">E125*Inputs!$C$12</f>
        <v>1795.25714285714</v>
      </c>
      <c r="F126" s="114" t="n">
        <f aca="false">F125*Inputs!$C$12</f>
        <v>1795.25714285714</v>
      </c>
      <c r="G126" s="114" t="n">
        <f aca="false">G125*Inputs!$C$12</f>
        <v>1795.25714285714</v>
      </c>
      <c r="H126" s="114" t="n">
        <f aca="false">H125*Inputs!$C$12</f>
        <v>1795.25714285714</v>
      </c>
      <c r="I126" s="114" t="n">
        <f aca="false">I125*Inputs!$C$12</f>
        <v>1795.25714285714</v>
      </c>
      <c r="J126" s="114" t="n">
        <f aca="false">J125*Inputs!$C$12</f>
        <v>1795.25714285714</v>
      </c>
      <c r="K126" s="114" t="n">
        <f aca="false">K125*Inputs!$C$12</f>
        <v>1795.25714285714</v>
      </c>
      <c r="L126" s="114" t="n">
        <f aca="false">L125*Inputs!$C$12</f>
        <v>1795.25714285714</v>
      </c>
      <c r="M126" s="114" t="n">
        <f aca="false">M125*Inputs!$C$12</f>
        <v>2140.85714285714</v>
      </c>
      <c r="N126" s="114" t="n">
        <f aca="false">N125*Inputs!$C$12</f>
        <v>2140.85714285714</v>
      </c>
      <c r="O126" s="114" t="n">
        <f aca="false">O125*Inputs!$C$12</f>
        <v>2199.42857142857</v>
      </c>
      <c r="P126" s="114" t="n">
        <f aca="false">P125*Inputs!$C$12</f>
        <v>2199.42857142857</v>
      </c>
      <c r="Q126" s="114" t="n">
        <f aca="false">Q125*Inputs!$C$12</f>
        <v>2199.42857142857</v>
      </c>
      <c r="R126" s="114" t="n">
        <f aca="false">R125*Inputs!$C$12</f>
        <v>2199.42857142857</v>
      </c>
      <c r="S126" s="114" t="n">
        <f aca="false">S125*Inputs!$C$12</f>
        <v>2199.42857142857</v>
      </c>
      <c r="T126" s="114" t="n">
        <f aca="false">T125*Inputs!$C$12</f>
        <v>2199.42857142857</v>
      </c>
      <c r="U126" s="114" t="n">
        <f aca="false">U125*Inputs!$C$12</f>
        <v>2199.42857142857</v>
      </c>
      <c r="V126" s="114" t="n">
        <f aca="false">V125*Inputs!$C$12</f>
        <v>2199.42857142857</v>
      </c>
      <c r="W126" s="114" t="n">
        <f aca="false">W125*Inputs!$C$12</f>
        <v>2199.42857142857</v>
      </c>
      <c r="X126" s="114" t="n">
        <f aca="false">X125*Inputs!$C$12</f>
        <v>2199.42857142857</v>
      </c>
      <c r="Y126" s="114" t="n">
        <f aca="false">Y125*Inputs!$C$12</f>
        <v>2631.42857142857</v>
      </c>
      <c r="Z126" s="114" t="n">
        <f aca="false">Z125*Inputs!$C$12</f>
        <v>2631.42857142857</v>
      </c>
      <c r="AA126" s="114" t="n">
        <f aca="false">AA125*Inputs!$C$12</f>
        <v>2695.71428571429</v>
      </c>
      <c r="AB126" s="114" t="n">
        <f aca="false">AB125*Inputs!$C$12</f>
        <v>2695.71428571429</v>
      </c>
      <c r="AC126" s="114" t="n">
        <f aca="false">AC125*Inputs!$C$12</f>
        <v>2695.71428571429</v>
      </c>
      <c r="AD126" s="114" t="n">
        <f aca="false">AD125*Inputs!$C$12</f>
        <v>2695.71428571429</v>
      </c>
      <c r="AE126" s="114" t="n">
        <f aca="false">AE125*Inputs!$C$12</f>
        <v>2695.71428571429</v>
      </c>
      <c r="AF126" s="114" t="n">
        <f aca="false">AF125*Inputs!$C$12</f>
        <v>2695.71428571429</v>
      </c>
      <c r="AG126" s="114" t="n">
        <f aca="false">AG125*Inputs!$C$12</f>
        <v>2695.71428571429</v>
      </c>
      <c r="AH126" s="114" t="n">
        <f aca="false">AH125*Inputs!$C$12</f>
        <v>2695.71428571429</v>
      </c>
      <c r="AI126" s="114" t="n">
        <f aca="false">AI125*Inputs!$C$12</f>
        <v>2695.71428571429</v>
      </c>
      <c r="AJ126" s="114" t="n">
        <f aca="false">AJ125*Inputs!$C$12</f>
        <v>2695.71428571429</v>
      </c>
      <c r="AK126" s="114" t="n">
        <f aca="false">AK125*Inputs!$C$12</f>
        <v>3235.71428571429</v>
      </c>
      <c r="AL126" s="114" t="n">
        <f aca="false">AL125*Inputs!$C$12</f>
        <v>3235.71428571429</v>
      </c>
      <c r="AM126" s="114" t="n">
        <f aca="false">AM125*Inputs!$C$12</f>
        <v>3305.35714285714</v>
      </c>
      <c r="AN126" s="114" t="n">
        <f aca="false">AN125*Inputs!$C$12</f>
        <v>3305.35714285714</v>
      </c>
      <c r="AO126" s="114" t="n">
        <f aca="false">AO125*Inputs!$C$12</f>
        <v>3305.35714285714</v>
      </c>
      <c r="AP126" s="114" t="n">
        <f aca="false">AP125*Inputs!$C$12</f>
        <v>3305.35714285714</v>
      </c>
      <c r="AQ126" s="114" t="n">
        <f aca="false">AQ125*Inputs!$C$12</f>
        <v>3305.35714285714</v>
      </c>
      <c r="AR126" s="114" t="n">
        <f aca="false">AR125*Inputs!$C$12</f>
        <v>3305.35714285714</v>
      </c>
      <c r="AS126" s="114" t="n">
        <f aca="false">AS125*Inputs!$C$12</f>
        <v>3305.35714285714</v>
      </c>
      <c r="AT126" s="114" t="n">
        <f aca="false">AT125*Inputs!$C$12</f>
        <v>3305.35714285714</v>
      </c>
      <c r="AU126" s="114" t="n">
        <f aca="false">AU125*Inputs!$C$12</f>
        <v>3305.35714285714</v>
      </c>
      <c r="AV126" s="114" t="n">
        <f aca="false">AV125*Inputs!$C$12</f>
        <v>3305.35714285714</v>
      </c>
      <c r="AW126" s="114" t="n">
        <f aca="false">AW125*Inputs!$C$12</f>
        <v>3980.35714285714</v>
      </c>
      <c r="AX126" s="114" t="n">
        <f aca="false">AX125*Inputs!$C$12</f>
        <v>3980.35714285714</v>
      </c>
      <c r="AY126" s="114" t="n">
        <f aca="false">AY125*Inputs!$C$12</f>
        <v>4054.55357142857</v>
      </c>
      <c r="AZ126" s="114" t="n">
        <f aca="false">AZ125*Inputs!$C$12</f>
        <v>4054.55357142857</v>
      </c>
      <c r="BA126" s="114" t="n">
        <f aca="false">BA125*Inputs!$C$12</f>
        <v>4054.55357142857</v>
      </c>
      <c r="BB126" s="114" t="n">
        <f aca="false">BB125*Inputs!$C$12</f>
        <v>4054.55357142857</v>
      </c>
      <c r="BC126" s="114" t="n">
        <f aca="false">BC125*Inputs!$C$12</f>
        <v>4054.55357142857</v>
      </c>
      <c r="BD126" s="114" t="n">
        <f aca="false">BD125*Inputs!$C$12</f>
        <v>4054.55357142857</v>
      </c>
      <c r="BE126" s="114" t="n">
        <f aca="false">BE125*Inputs!$C$12</f>
        <v>4054.55357142857</v>
      </c>
      <c r="BF126" s="114" t="n">
        <f aca="false">BF125*Inputs!$C$12</f>
        <v>4054.55357142857</v>
      </c>
      <c r="BG126" s="114" t="n">
        <f aca="false">BG125*Inputs!$C$12</f>
        <v>4054.55357142857</v>
      </c>
      <c r="BH126" s="114" t="n">
        <f aca="false">BH125*Inputs!$C$12</f>
        <v>4054.55357142857</v>
      </c>
      <c r="BI126" s="114" t="n">
        <f aca="false">BI125*Inputs!$C$12</f>
        <v>4898.30357142857</v>
      </c>
      <c r="BJ126" s="114" t="n">
        <f aca="false">BJ125*Inputs!$C$12</f>
        <v>4898.30357142857</v>
      </c>
    </row>
    <row r="127" customFormat="false" ht="15" hidden="false" customHeight="false" outlineLevel="0" collapsed="false">
      <c r="A127" s="4" t="s">
        <v>60</v>
      </c>
      <c r="C127" s="115" t="n">
        <f aca="false">C125+C126</f>
        <v>5385.77142857143</v>
      </c>
      <c r="D127" s="115" t="n">
        <f aca="false">D125+D126</f>
        <v>5385.77142857143</v>
      </c>
      <c r="E127" s="115" t="n">
        <f aca="false">E125+E126</f>
        <v>5385.77142857143</v>
      </c>
      <c r="F127" s="115" t="n">
        <f aca="false">F125+F126</f>
        <v>5385.77142857143</v>
      </c>
      <c r="G127" s="115" t="n">
        <f aca="false">G125+G126</f>
        <v>5385.77142857143</v>
      </c>
      <c r="H127" s="115" t="n">
        <f aca="false">H125+H126</f>
        <v>5385.77142857143</v>
      </c>
      <c r="I127" s="115" t="n">
        <f aca="false">I125+I126</f>
        <v>5385.77142857143</v>
      </c>
      <c r="J127" s="115" t="n">
        <f aca="false">J125+J126</f>
        <v>5385.77142857143</v>
      </c>
      <c r="K127" s="115" t="n">
        <f aca="false">K125+K126</f>
        <v>5385.77142857143</v>
      </c>
      <c r="L127" s="115" t="n">
        <f aca="false">L125+L126</f>
        <v>5385.77142857143</v>
      </c>
      <c r="M127" s="115" t="n">
        <f aca="false">M125+M126</f>
        <v>6422.57142857143</v>
      </c>
      <c r="N127" s="115" t="n">
        <f aca="false">N125+N126</f>
        <v>6422.57142857143</v>
      </c>
      <c r="O127" s="115" t="n">
        <f aca="false">O125+O126</f>
        <v>6598.28571428572</v>
      </c>
      <c r="P127" s="115" t="n">
        <f aca="false">P125+P126</f>
        <v>6598.28571428572</v>
      </c>
      <c r="Q127" s="115" t="n">
        <f aca="false">Q125+Q126</f>
        <v>6598.28571428572</v>
      </c>
      <c r="R127" s="115" t="n">
        <f aca="false">R125+R126</f>
        <v>6598.28571428572</v>
      </c>
      <c r="S127" s="115" t="n">
        <f aca="false">S125+S126</f>
        <v>6598.28571428572</v>
      </c>
      <c r="T127" s="115" t="n">
        <f aca="false">T125+T126</f>
        <v>6598.28571428572</v>
      </c>
      <c r="U127" s="115" t="n">
        <f aca="false">U125+U126</f>
        <v>6598.28571428572</v>
      </c>
      <c r="V127" s="115" t="n">
        <f aca="false">V125+V126</f>
        <v>6598.28571428572</v>
      </c>
      <c r="W127" s="115" t="n">
        <f aca="false">W125+W126</f>
        <v>6598.28571428572</v>
      </c>
      <c r="X127" s="115" t="n">
        <f aca="false">X125+X126</f>
        <v>6598.28571428572</v>
      </c>
      <c r="Y127" s="115" t="n">
        <f aca="false">Y125+Y126</f>
        <v>7894.28571428572</v>
      </c>
      <c r="Z127" s="115" t="n">
        <f aca="false">Z125+Z126</f>
        <v>7894.28571428572</v>
      </c>
      <c r="AA127" s="115" t="n">
        <f aca="false">AA125+AA126</f>
        <v>8087.14285714286</v>
      </c>
      <c r="AB127" s="115" t="n">
        <f aca="false">AB125+AB126</f>
        <v>8087.14285714286</v>
      </c>
      <c r="AC127" s="115" t="n">
        <f aca="false">AC125+AC126</f>
        <v>8087.14285714286</v>
      </c>
      <c r="AD127" s="115" t="n">
        <f aca="false">AD125+AD126</f>
        <v>8087.14285714286</v>
      </c>
      <c r="AE127" s="115" t="n">
        <f aca="false">AE125+AE126</f>
        <v>8087.14285714286</v>
      </c>
      <c r="AF127" s="115" t="n">
        <f aca="false">AF125+AF126</f>
        <v>8087.14285714286</v>
      </c>
      <c r="AG127" s="115" t="n">
        <f aca="false">AG125+AG126</f>
        <v>8087.14285714286</v>
      </c>
      <c r="AH127" s="115" t="n">
        <f aca="false">AH125+AH126</f>
        <v>8087.14285714286</v>
      </c>
      <c r="AI127" s="115" t="n">
        <f aca="false">AI125+AI126</f>
        <v>8087.14285714286</v>
      </c>
      <c r="AJ127" s="115" t="n">
        <f aca="false">AJ125+AJ126</f>
        <v>8087.14285714286</v>
      </c>
      <c r="AK127" s="115" t="n">
        <f aca="false">AK125+AK126</f>
        <v>9707.14285714286</v>
      </c>
      <c r="AL127" s="115" t="n">
        <f aca="false">AL125+AL126</f>
        <v>9707.14285714286</v>
      </c>
      <c r="AM127" s="115" t="n">
        <f aca="false">AM125+AM126</f>
        <v>9916.07142857143</v>
      </c>
      <c r="AN127" s="115" t="n">
        <f aca="false">AN125+AN126</f>
        <v>9916.07142857143</v>
      </c>
      <c r="AO127" s="115" t="n">
        <f aca="false">AO125+AO126</f>
        <v>9916.07142857143</v>
      </c>
      <c r="AP127" s="115" t="n">
        <f aca="false">AP125+AP126</f>
        <v>9916.07142857143</v>
      </c>
      <c r="AQ127" s="115" t="n">
        <f aca="false">AQ125+AQ126</f>
        <v>9916.07142857143</v>
      </c>
      <c r="AR127" s="115" t="n">
        <f aca="false">AR125+AR126</f>
        <v>9916.07142857143</v>
      </c>
      <c r="AS127" s="115" t="n">
        <f aca="false">AS125+AS126</f>
        <v>9916.07142857143</v>
      </c>
      <c r="AT127" s="115" t="n">
        <f aca="false">AT125+AT126</f>
        <v>9916.07142857143</v>
      </c>
      <c r="AU127" s="115" t="n">
        <f aca="false">AU125+AU126</f>
        <v>9916.07142857143</v>
      </c>
      <c r="AV127" s="115" t="n">
        <f aca="false">AV125+AV126</f>
        <v>9916.07142857143</v>
      </c>
      <c r="AW127" s="115" t="n">
        <f aca="false">AW125+AW126</f>
        <v>11941.0714285714</v>
      </c>
      <c r="AX127" s="115" t="n">
        <f aca="false">AX125+AX126</f>
        <v>11941.0714285714</v>
      </c>
      <c r="AY127" s="115" t="n">
        <f aca="false">AY125+AY126</f>
        <v>12163.6607142857</v>
      </c>
      <c r="AZ127" s="115" t="n">
        <f aca="false">AZ125+AZ126</f>
        <v>12163.6607142857</v>
      </c>
      <c r="BA127" s="115" t="n">
        <f aca="false">BA125+BA126</f>
        <v>12163.6607142857</v>
      </c>
      <c r="BB127" s="115" t="n">
        <f aca="false">BB125+BB126</f>
        <v>12163.6607142857</v>
      </c>
      <c r="BC127" s="115" t="n">
        <f aca="false">BC125+BC126</f>
        <v>12163.6607142857</v>
      </c>
      <c r="BD127" s="115" t="n">
        <f aca="false">BD125+BD126</f>
        <v>12163.6607142857</v>
      </c>
      <c r="BE127" s="115" t="n">
        <f aca="false">BE125+BE126</f>
        <v>12163.6607142857</v>
      </c>
      <c r="BF127" s="115" t="n">
        <f aca="false">BF125+BF126</f>
        <v>12163.6607142857</v>
      </c>
      <c r="BG127" s="115" t="n">
        <f aca="false">BG125+BG126</f>
        <v>12163.6607142857</v>
      </c>
      <c r="BH127" s="115" t="n">
        <f aca="false">BH125+BH126</f>
        <v>12163.6607142857</v>
      </c>
      <c r="BI127" s="115" t="n">
        <f aca="false">BI125+BI126</f>
        <v>14694.9107142857</v>
      </c>
      <c r="BJ127" s="115" t="n">
        <f aca="false">BJ125+BJ126</f>
        <v>14694.9107142857</v>
      </c>
    </row>
    <row r="128" customFormat="false" ht="15" hidden="false" customHeight="false" outlineLevel="0" collapsed="false">
      <c r="A128" s="6" t="s">
        <v>413</v>
      </c>
      <c r="C128" s="116" t="n">
        <f aca="false">Inputs!$C$10*(1+Inputs!$C$11)^(C$118-1)</f>
        <v>75</v>
      </c>
      <c r="D128" s="116" t="n">
        <f aca="false">Inputs!$C$10*(1+Inputs!$C$11)^(D$118-1)</f>
        <v>75</v>
      </c>
      <c r="E128" s="116" t="n">
        <f aca="false">Inputs!$C$10*(1+Inputs!$C$11)^(E$118-1)</f>
        <v>75</v>
      </c>
      <c r="F128" s="116" t="n">
        <f aca="false">Inputs!$C$10*(1+Inputs!$C$11)^(F$118-1)</f>
        <v>75</v>
      </c>
      <c r="G128" s="116" t="n">
        <f aca="false">Inputs!$C$10*(1+Inputs!$C$11)^(G$118-1)</f>
        <v>75</v>
      </c>
      <c r="H128" s="116" t="n">
        <f aca="false">Inputs!$C$10*(1+Inputs!$C$11)^(H$118-1)</f>
        <v>75</v>
      </c>
      <c r="I128" s="116" t="n">
        <f aca="false">Inputs!$C$10*(1+Inputs!$C$11)^(I$118-1)</f>
        <v>75</v>
      </c>
      <c r="J128" s="116" t="n">
        <f aca="false">Inputs!$C$10*(1+Inputs!$C$11)^(J$118-1)</f>
        <v>75</v>
      </c>
      <c r="K128" s="116" t="n">
        <f aca="false">Inputs!$C$10*(1+Inputs!$C$11)^(K$118-1)</f>
        <v>75</v>
      </c>
      <c r="L128" s="116" t="n">
        <f aca="false">Inputs!$C$10*(1+Inputs!$C$11)^(L$118-1)</f>
        <v>75</v>
      </c>
      <c r="M128" s="116" t="n">
        <f aca="false">Inputs!$C$10*(1+Inputs!$C$11)^(M$118-1)</f>
        <v>75</v>
      </c>
      <c r="N128" s="116" t="n">
        <f aca="false">Inputs!$C$10*(1+Inputs!$C$11)^(N$118-1)</f>
        <v>75</v>
      </c>
      <c r="O128" s="116" t="n">
        <f aca="false">Inputs!$C$10*(1+Inputs!$C$11)^(O$118-1)</f>
        <v>76.5</v>
      </c>
      <c r="P128" s="116" t="n">
        <f aca="false">Inputs!$C$10*(1+Inputs!$C$11)^(P$118-1)</f>
        <v>76.5</v>
      </c>
      <c r="Q128" s="116" t="n">
        <f aca="false">Inputs!$C$10*(1+Inputs!$C$11)^(Q$118-1)</f>
        <v>76.5</v>
      </c>
      <c r="R128" s="116" t="n">
        <f aca="false">Inputs!$C$10*(1+Inputs!$C$11)^(R$118-1)</f>
        <v>76.5</v>
      </c>
      <c r="S128" s="116" t="n">
        <f aca="false">Inputs!$C$10*(1+Inputs!$C$11)^(S$118-1)</f>
        <v>76.5</v>
      </c>
      <c r="T128" s="116" t="n">
        <f aca="false">Inputs!$C$10*(1+Inputs!$C$11)^(T$118-1)</f>
        <v>76.5</v>
      </c>
      <c r="U128" s="116" t="n">
        <f aca="false">Inputs!$C$10*(1+Inputs!$C$11)^(U$118-1)</f>
        <v>76.5</v>
      </c>
      <c r="V128" s="116" t="n">
        <f aca="false">Inputs!$C$10*(1+Inputs!$C$11)^(V$118-1)</f>
        <v>76.5</v>
      </c>
      <c r="W128" s="116" t="n">
        <f aca="false">Inputs!$C$10*(1+Inputs!$C$11)^(W$118-1)</f>
        <v>76.5</v>
      </c>
      <c r="X128" s="116" t="n">
        <f aca="false">Inputs!$C$10*(1+Inputs!$C$11)^(X$118-1)</f>
        <v>76.5</v>
      </c>
      <c r="Y128" s="116" t="n">
        <f aca="false">Inputs!$C$10*(1+Inputs!$C$11)^(Y$118-1)</f>
        <v>76.5</v>
      </c>
      <c r="Z128" s="116" t="n">
        <f aca="false">Inputs!$C$10*(1+Inputs!$C$11)^(Z$118-1)</f>
        <v>76.5</v>
      </c>
      <c r="AA128" s="116" t="n">
        <f aca="false">Inputs!$C$10*(1+Inputs!$C$11)^(AA$118-1)</f>
        <v>78.03</v>
      </c>
      <c r="AB128" s="116" t="n">
        <f aca="false">Inputs!$C$10*(1+Inputs!$C$11)^(AB$118-1)</f>
        <v>78.03</v>
      </c>
      <c r="AC128" s="116" t="n">
        <f aca="false">Inputs!$C$10*(1+Inputs!$C$11)^(AC$118-1)</f>
        <v>78.03</v>
      </c>
      <c r="AD128" s="116" t="n">
        <f aca="false">Inputs!$C$10*(1+Inputs!$C$11)^(AD$118-1)</f>
        <v>78.03</v>
      </c>
      <c r="AE128" s="116" t="n">
        <f aca="false">Inputs!$C$10*(1+Inputs!$C$11)^(AE$118-1)</f>
        <v>78.03</v>
      </c>
      <c r="AF128" s="116" t="n">
        <f aca="false">Inputs!$C$10*(1+Inputs!$C$11)^(AF$118-1)</f>
        <v>78.03</v>
      </c>
      <c r="AG128" s="116" t="n">
        <f aca="false">Inputs!$C$10*(1+Inputs!$C$11)^(AG$118-1)</f>
        <v>78.03</v>
      </c>
      <c r="AH128" s="116" t="n">
        <f aca="false">Inputs!$C$10*(1+Inputs!$C$11)^(AH$118-1)</f>
        <v>78.03</v>
      </c>
      <c r="AI128" s="116" t="n">
        <f aca="false">Inputs!$C$10*(1+Inputs!$C$11)^(AI$118-1)</f>
        <v>78.03</v>
      </c>
      <c r="AJ128" s="116" t="n">
        <f aca="false">Inputs!$C$10*(1+Inputs!$C$11)^(AJ$118-1)</f>
        <v>78.03</v>
      </c>
      <c r="AK128" s="116" t="n">
        <f aca="false">Inputs!$C$10*(1+Inputs!$C$11)^(AK$118-1)</f>
        <v>78.03</v>
      </c>
      <c r="AL128" s="116" t="n">
        <f aca="false">Inputs!$C$10*(1+Inputs!$C$11)^(AL$118-1)</f>
        <v>78.03</v>
      </c>
      <c r="AM128" s="116" t="n">
        <f aca="false">Inputs!$C$10*(1+Inputs!$C$11)^(AM$118-1)</f>
        <v>79.5906</v>
      </c>
      <c r="AN128" s="116" t="n">
        <f aca="false">Inputs!$C$10*(1+Inputs!$C$11)^(AN$118-1)</f>
        <v>79.5906</v>
      </c>
      <c r="AO128" s="116" t="n">
        <f aca="false">Inputs!$C$10*(1+Inputs!$C$11)^(AO$118-1)</f>
        <v>79.5906</v>
      </c>
      <c r="AP128" s="116" t="n">
        <f aca="false">Inputs!$C$10*(1+Inputs!$C$11)^(AP$118-1)</f>
        <v>79.5906</v>
      </c>
      <c r="AQ128" s="116" t="n">
        <f aca="false">Inputs!$C$10*(1+Inputs!$C$11)^(AQ$118-1)</f>
        <v>79.5906</v>
      </c>
      <c r="AR128" s="116" t="n">
        <f aca="false">Inputs!$C$10*(1+Inputs!$C$11)^(AR$118-1)</f>
        <v>79.5906</v>
      </c>
      <c r="AS128" s="116" t="n">
        <f aca="false">Inputs!$C$10*(1+Inputs!$C$11)^(AS$118-1)</f>
        <v>79.5906</v>
      </c>
      <c r="AT128" s="116" t="n">
        <f aca="false">Inputs!$C$10*(1+Inputs!$C$11)^(AT$118-1)</f>
        <v>79.5906</v>
      </c>
      <c r="AU128" s="116" t="n">
        <f aca="false">Inputs!$C$10*(1+Inputs!$C$11)^(AU$118-1)</f>
        <v>79.5906</v>
      </c>
      <c r="AV128" s="116" t="n">
        <f aca="false">Inputs!$C$10*(1+Inputs!$C$11)^(AV$118-1)</f>
        <v>79.5906</v>
      </c>
      <c r="AW128" s="116" t="n">
        <f aca="false">Inputs!$C$10*(1+Inputs!$C$11)^(AW$118-1)</f>
        <v>79.5906</v>
      </c>
      <c r="AX128" s="116" t="n">
        <f aca="false">Inputs!$C$10*(1+Inputs!$C$11)^(AX$118-1)</f>
        <v>79.5906</v>
      </c>
      <c r="AY128" s="116" t="n">
        <f aca="false">Inputs!$C$10*(1+Inputs!$C$11)^(AY$118-1)</f>
        <v>81.182412</v>
      </c>
      <c r="AZ128" s="116" t="n">
        <f aca="false">Inputs!$C$10*(1+Inputs!$C$11)^(AZ$118-1)</f>
        <v>81.182412</v>
      </c>
      <c r="BA128" s="116" t="n">
        <f aca="false">Inputs!$C$10*(1+Inputs!$C$11)^(BA$118-1)</f>
        <v>81.182412</v>
      </c>
      <c r="BB128" s="116" t="n">
        <f aca="false">Inputs!$C$10*(1+Inputs!$C$11)^(BB$118-1)</f>
        <v>81.182412</v>
      </c>
      <c r="BC128" s="116" t="n">
        <f aca="false">Inputs!$C$10*(1+Inputs!$C$11)^(BC$118-1)</f>
        <v>81.182412</v>
      </c>
      <c r="BD128" s="116" t="n">
        <f aca="false">Inputs!$C$10*(1+Inputs!$C$11)^(BD$118-1)</f>
        <v>81.182412</v>
      </c>
      <c r="BE128" s="116" t="n">
        <f aca="false">Inputs!$C$10*(1+Inputs!$C$11)^(BE$118-1)</f>
        <v>81.182412</v>
      </c>
      <c r="BF128" s="116" t="n">
        <f aca="false">Inputs!$C$10*(1+Inputs!$C$11)^(BF$118-1)</f>
        <v>81.182412</v>
      </c>
      <c r="BG128" s="116" t="n">
        <f aca="false">Inputs!$C$10*(1+Inputs!$C$11)^(BG$118-1)</f>
        <v>81.182412</v>
      </c>
      <c r="BH128" s="116" t="n">
        <f aca="false">Inputs!$C$10*(1+Inputs!$C$11)^(BH$118-1)</f>
        <v>81.182412</v>
      </c>
      <c r="BI128" s="116" t="n">
        <f aca="false">Inputs!$C$10*(1+Inputs!$C$11)^(BI$118-1)</f>
        <v>81.182412</v>
      </c>
      <c r="BJ128" s="116" t="n">
        <f aca="false">Inputs!$C$10*(1+Inputs!$C$11)^(BJ$118-1)</f>
        <v>81.182412</v>
      </c>
    </row>
    <row r="129" customFormat="false" ht="15" hidden="false" customHeight="false" outlineLevel="0" collapsed="false">
      <c r="A129" s="4" t="s">
        <v>58</v>
      </c>
      <c r="C129" s="71" t="n">
        <f aca="false">C127*C128</f>
        <v>403932.857142857</v>
      </c>
      <c r="D129" s="71" t="n">
        <f aca="false">D127*D128</f>
        <v>403932.857142857</v>
      </c>
      <c r="E129" s="71" t="n">
        <f aca="false">E127*E128</f>
        <v>403932.857142857</v>
      </c>
      <c r="F129" s="71" t="n">
        <f aca="false">F127*F128</f>
        <v>403932.857142857</v>
      </c>
      <c r="G129" s="71" t="n">
        <f aca="false">G127*G128</f>
        <v>403932.857142857</v>
      </c>
      <c r="H129" s="71" t="n">
        <f aca="false">H127*H128</f>
        <v>403932.857142857</v>
      </c>
      <c r="I129" s="71" t="n">
        <f aca="false">I127*I128</f>
        <v>403932.857142857</v>
      </c>
      <c r="J129" s="71" t="n">
        <f aca="false">J127*J128</f>
        <v>403932.857142857</v>
      </c>
      <c r="K129" s="71" t="n">
        <f aca="false">K127*K128</f>
        <v>403932.857142857</v>
      </c>
      <c r="L129" s="71" t="n">
        <f aca="false">L127*L128</f>
        <v>403932.857142857</v>
      </c>
      <c r="M129" s="71" t="n">
        <f aca="false">M127*M128</f>
        <v>481692.857142857</v>
      </c>
      <c r="N129" s="71" t="n">
        <f aca="false">N127*N128</f>
        <v>481692.857142857</v>
      </c>
      <c r="O129" s="71" t="n">
        <f aca="false">O127*O128</f>
        <v>504768.857142857</v>
      </c>
      <c r="P129" s="71" t="n">
        <f aca="false">P127*P128</f>
        <v>504768.857142857</v>
      </c>
      <c r="Q129" s="71" t="n">
        <f aca="false">Q127*Q128</f>
        <v>504768.857142857</v>
      </c>
      <c r="R129" s="71" t="n">
        <f aca="false">R127*R128</f>
        <v>504768.857142857</v>
      </c>
      <c r="S129" s="71" t="n">
        <f aca="false">S127*S128</f>
        <v>504768.857142857</v>
      </c>
      <c r="T129" s="71" t="n">
        <f aca="false">T127*T128</f>
        <v>504768.857142857</v>
      </c>
      <c r="U129" s="71" t="n">
        <f aca="false">U127*U128</f>
        <v>504768.857142857</v>
      </c>
      <c r="V129" s="71" t="n">
        <f aca="false">V127*V128</f>
        <v>504768.857142857</v>
      </c>
      <c r="W129" s="71" t="n">
        <f aca="false">W127*W128</f>
        <v>504768.857142857</v>
      </c>
      <c r="X129" s="71" t="n">
        <f aca="false">X127*X128</f>
        <v>504768.857142857</v>
      </c>
      <c r="Y129" s="71" t="n">
        <f aca="false">Y127*Y128</f>
        <v>603912.857142857</v>
      </c>
      <c r="Z129" s="71" t="n">
        <f aca="false">Z127*Z128</f>
        <v>603912.857142857</v>
      </c>
      <c r="AA129" s="71" t="n">
        <f aca="false">AA127*AA128</f>
        <v>631039.757142857</v>
      </c>
      <c r="AB129" s="71" t="n">
        <f aca="false">AB127*AB128</f>
        <v>631039.757142857</v>
      </c>
      <c r="AC129" s="71" t="n">
        <f aca="false">AC127*AC128</f>
        <v>631039.757142857</v>
      </c>
      <c r="AD129" s="71" t="n">
        <f aca="false">AD127*AD128</f>
        <v>631039.757142857</v>
      </c>
      <c r="AE129" s="71" t="n">
        <f aca="false">AE127*AE128</f>
        <v>631039.757142857</v>
      </c>
      <c r="AF129" s="71" t="n">
        <f aca="false">AF127*AF128</f>
        <v>631039.757142857</v>
      </c>
      <c r="AG129" s="71" t="n">
        <f aca="false">AG127*AG128</f>
        <v>631039.757142857</v>
      </c>
      <c r="AH129" s="71" t="n">
        <f aca="false">AH127*AH128</f>
        <v>631039.757142857</v>
      </c>
      <c r="AI129" s="71" t="n">
        <f aca="false">AI127*AI128</f>
        <v>631039.757142857</v>
      </c>
      <c r="AJ129" s="71" t="n">
        <f aca="false">AJ127*AJ128</f>
        <v>631039.757142857</v>
      </c>
      <c r="AK129" s="71" t="n">
        <f aca="false">AK127*AK128</f>
        <v>757448.357142857</v>
      </c>
      <c r="AL129" s="71" t="n">
        <f aca="false">AL127*AL128</f>
        <v>757448.357142857</v>
      </c>
      <c r="AM129" s="71" t="n">
        <f aca="false">AM127*AM128</f>
        <v>789226.074642857</v>
      </c>
      <c r="AN129" s="71" t="n">
        <f aca="false">AN127*AN128</f>
        <v>789226.074642857</v>
      </c>
      <c r="AO129" s="71" t="n">
        <f aca="false">AO127*AO128</f>
        <v>789226.074642857</v>
      </c>
      <c r="AP129" s="71" t="n">
        <f aca="false">AP127*AP128</f>
        <v>789226.074642857</v>
      </c>
      <c r="AQ129" s="71" t="n">
        <f aca="false">AQ127*AQ128</f>
        <v>789226.074642857</v>
      </c>
      <c r="AR129" s="71" t="n">
        <f aca="false">AR127*AR128</f>
        <v>789226.074642857</v>
      </c>
      <c r="AS129" s="71" t="n">
        <f aca="false">AS127*AS128</f>
        <v>789226.074642857</v>
      </c>
      <c r="AT129" s="71" t="n">
        <f aca="false">AT127*AT128</f>
        <v>789226.074642857</v>
      </c>
      <c r="AU129" s="71" t="n">
        <f aca="false">AU127*AU128</f>
        <v>789226.074642857</v>
      </c>
      <c r="AV129" s="71" t="n">
        <f aca="false">AV127*AV128</f>
        <v>789226.074642857</v>
      </c>
      <c r="AW129" s="71" t="n">
        <f aca="false">AW127*AW128</f>
        <v>950397.039642857</v>
      </c>
      <c r="AX129" s="71" t="n">
        <f aca="false">AX127*AX128</f>
        <v>950397.039642857</v>
      </c>
      <c r="AY129" s="71" t="n">
        <f aca="false">AY127*AY128</f>
        <v>987475.315535357</v>
      </c>
      <c r="AZ129" s="71" t="n">
        <f aca="false">AZ127*AZ128</f>
        <v>987475.315535357</v>
      </c>
      <c r="BA129" s="71" t="n">
        <f aca="false">BA127*BA128</f>
        <v>987475.315535357</v>
      </c>
      <c r="BB129" s="71" t="n">
        <f aca="false">BB127*BB128</f>
        <v>987475.315535357</v>
      </c>
      <c r="BC129" s="71" t="n">
        <f aca="false">BC127*BC128</f>
        <v>987475.315535357</v>
      </c>
      <c r="BD129" s="71" t="n">
        <f aca="false">BD127*BD128</f>
        <v>987475.315535357</v>
      </c>
      <c r="BE129" s="71" t="n">
        <f aca="false">BE127*BE128</f>
        <v>987475.315535357</v>
      </c>
      <c r="BF129" s="71" t="n">
        <f aca="false">BF127*BF128</f>
        <v>987475.315535357</v>
      </c>
      <c r="BG129" s="71" t="n">
        <f aca="false">BG127*BG128</f>
        <v>987475.315535357</v>
      </c>
      <c r="BH129" s="71" t="n">
        <f aca="false">BH127*BH128</f>
        <v>987475.315535357</v>
      </c>
      <c r="BI129" s="71" t="n">
        <f aca="false">BI127*BI128</f>
        <v>1192968.29591036</v>
      </c>
      <c r="BJ129" s="71" t="n">
        <f aca="false">BJ127*BJ128</f>
        <v>1192968.29591036</v>
      </c>
    </row>
    <row r="131" customFormat="false" ht="15.75" hidden="false" customHeight="true" outlineLevel="0" collapsed="false">
      <c r="A131" s="7" t="s">
        <v>264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customFormat="false" ht="15" hidden="false" customHeight="false" outlineLevel="0" collapsed="false">
      <c r="A132" s="6" t="s">
        <v>414</v>
      </c>
      <c r="C132" s="113" t="n">
        <f aca="false">Inputs!$C$18+Inputs!$C$19*(C$118-1)</f>
        <v>2</v>
      </c>
      <c r="D132" s="113" t="n">
        <f aca="false">Inputs!$C$18+Inputs!$C$19*(D$118-1)</f>
        <v>2</v>
      </c>
      <c r="E132" s="113" t="n">
        <f aca="false">Inputs!$C$18+Inputs!$C$19*(E$118-1)</f>
        <v>2</v>
      </c>
      <c r="F132" s="113" t="n">
        <f aca="false">Inputs!$C$18+Inputs!$C$19*(F$118-1)</f>
        <v>2</v>
      </c>
      <c r="G132" s="113" t="n">
        <f aca="false">Inputs!$C$18+Inputs!$C$19*(G$118-1)</f>
        <v>2</v>
      </c>
      <c r="H132" s="113" t="n">
        <f aca="false">Inputs!$C$18+Inputs!$C$19*(H$118-1)</f>
        <v>2</v>
      </c>
      <c r="I132" s="113" t="n">
        <f aca="false">Inputs!$C$18+Inputs!$C$19*(I$118-1)</f>
        <v>2</v>
      </c>
      <c r="J132" s="113" t="n">
        <f aca="false">Inputs!$C$18+Inputs!$C$19*(J$118-1)</f>
        <v>2</v>
      </c>
      <c r="K132" s="113" t="n">
        <f aca="false">Inputs!$C$18+Inputs!$C$19*(K$118-1)</f>
        <v>2</v>
      </c>
      <c r="L132" s="113" t="n">
        <f aca="false">Inputs!$C$18+Inputs!$C$19*(L$118-1)</f>
        <v>2</v>
      </c>
      <c r="M132" s="113" t="n">
        <f aca="false">Inputs!$C$18+Inputs!$C$19*(M$118-1)</f>
        <v>2</v>
      </c>
      <c r="N132" s="113" t="n">
        <f aca="false">Inputs!$C$18+Inputs!$C$19*(N$118-1)</f>
        <v>2</v>
      </c>
      <c r="O132" s="113" t="n">
        <f aca="false">Inputs!$C$18+Inputs!$C$19*(O$118-1)</f>
        <v>3</v>
      </c>
      <c r="P132" s="113" t="n">
        <f aca="false">Inputs!$C$18+Inputs!$C$19*(P$118-1)</f>
        <v>3</v>
      </c>
      <c r="Q132" s="113" t="n">
        <f aca="false">Inputs!$C$18+Inputs!$C$19*(Q$118-1)</f>
        <v>3</v>
      </c>
      <c r="R132" s="113" t="n">
        <f aca="false">Inputs!$C$18+Inputs!$C$19*(R$118-1)</f>
        <v>3</v>
      </c>
      <c r="S132" s="113" t="n">
        <f aca="false">Inputs!$C$18+Inputs!$C$19*(S$118-1)</f>
        <v>3</v>
      </c>
      <c r="T132" s="113" t="n">
        <f aca="false">Inputs!$C$18+Inputs!$C$19*(T$118-1)</f>
        <v>3</v>
      </c>
      <c r="U132" s="113" t="n">
        <f aca="false">Inputs!$C$18+Inputs!$C$19*(U$118-1)</f>
        <v>3</v>
      </c>
      <c r="V132" s="113" t="n">
        <f aca="false">Inputs!$C$18+Inputs!$C$19*(V$118-1)</f>
        <v>3</v>
      </c>
      <c r="W132" s="113" t="n">
        <f aca="false">Inputs!$C$18+Inputs!$C$19*(W$118-1)</f>
        <v>3</v>
      </c>
      <c r="X132" s="113" t="n">
        <f aca="false">Inputs!$C$18+Inputs!$C$19*(X$118-1)</f>
        <v>3</v>
      </c>
      <c r="Y132" s="113" t="n">
        <f aca="false">Inputs!$C$18+Inputs!$C$19*(Y$118-1)</f>
        <v>3</v>
      </c>
      <c r="Z132" s="113" t="n">
        <f aca="false">Inputs!$C$18+Inputs!$C$19*(Z$118-1)</f>
        <v>3</v>
      </c>
      <c r="AA132" s="113" t="n">
        <f aca="false">Inputs!$C$18+Inputs!$C$19*(AA$118-1)</f>
        <v>4</v>
      </c>
      <c r="AB132" s="113" t="n">
        <f aca="false">Inputs!$C$18+Inputs!$C$19*(AB$118-1)</f>
        <v>4</v>
      </c>
      <c r="AC132" s="113" t="n">
        <f aca="false">Inputs!$C$18+Inputs!$C$19*(AC$118-1)</f>
        <v>4</v>
      </c>
      <c r="AD132" s="113" t="n">
        <f aca="false">Inputs!$C$18+Inputs!$C$19*(AD$118-1)</f>
        <v>4</v>
      </c>
      <c r="AE132" s="113" t="n">
        <f aca="false">Inputs!$C$18+Inputs!$C$19*(AE$118-1)</f>
        <v>4</v>
      </c>
      <c r="AF132" s="113" t="n">
        <f aca="false">Inputs!$C$18+Inputs!$C$19*(AF$118-1)</f>
        <v>4</v>
      </c>
      <c r="AG132" s="113" t="n">
        <f aca="false">Inputs!$C$18+Inputs!$C$19*(AG$118-1)</f>
        <v>4</v>
      </c>
      <c r="AH132" s="113" t="n">
        <f aca="false">Inputs!$C$18+Inputs!$C$19*(AH$118-1)</f>
        <v>4</v>
      </c>
      <c r="AI132" s="113" t="n">
        <f aca="false">Inputs!$C$18+Inputs!$C$19*(AI$118-1)</f>
        <v>4</v>
      </c>
      <c r="AJ132" s="113" t="n">
        <f aca="false">Inputs!$C$18+Inputs!$C$19*(AJ$118-1)</f>
        <v>4</v>
      </c>
      <c r="AK132" s="113" t="n">
        <f aca="false">Inputs!$C$18+Inputs!$C$19*(AK$118-1)</f>
        <v>4</v>
      </c>
      <c r="AL132" s="113" t="n">
        <f aca="false">Inputs!$C$18+Inputs!$C$19*(AL$118-1)</f>
        <v>4</v>
      </c>
      <c r="AM132" s="113" t="n">
        <f aca="false">Inputs!$C$18+Inputs!$C$19*(AM$118-1)</f>
        <v>5</v>
      </c>
      <c r="AN132" s="113" t="n">
        <f aca="false">Inputs!$C$18+Inputs!$C$19*(AN$118-1)</f>
        <v>5</v>
      </c>
      <c r="AO132" s="113" t="n">
        <f aca="false">Inputs!$C$18+Inputs!$C$19*(AO$118-1)</f>
        <v>5</v>
      </c>
      <c r="AP132" s="113" t="n">
        <f aca="false">Inputs!$C$18+Inputs!$C$19*(AP$118-1)</f>
        <v>5</v>
      </c>
      <c r="AQ132" s="113" t="n">
        <f aca="false">Inputs!$C$18+Inputs!$C$19*(AQ$118-1)</f>
        <v>5</v>
      </c>
      <c r="AR132" s="113" t="n">
        <f aca="false">Inputs!$C$18+Inputs!$C$19*(AR$118-1)</f>
        <v>5</v>
      </c>
      <c r="AS132" s="113" t="n">
        <f aca="false">Inputs!$C$18+Inputs!$C$19*(AS$118-1)</f>
        <v>5</v>
      </c>
      <c r="AT132" s="113" t="n">
        <f aca="false">Inputs!$C$18+Inputs!$C$19*(AT$118-1)</f>
        <v>5</v>
      </c>
      <c r="AU132" s="113" t="n">
        <f aca="false">Inputs!$C$18+Inputs!$C$19*(AU$118-1)</f>
        <v>5</v>
      </c>
      <c r="AV132" s="113" t="n">
        <f aca="false">Inputs!$C$18+Inputs!$C$19*(AV$118-1)</f>
        <v>5</v>
      </c>
      <c r="AW132" s="113" t="n">
        <f aca="false">Inputs!$C$18+Inputs!$C$19*(AW$118-1)</f>
        <v>5</v>
      </c>
      <c r="AX132" s="113" t="n">
        <f aca="false">Inputs!$C$18+Inputs!$C$19*(AX$118-1)</f>
        <v>5</v>
      </c>
      <c r="AY132" s="113" t="n">
        <f aca="false">Inputs!$C$18+Inputs!$C$19*(AY$118-1)</f>
        <v>6</v>
      </c>
      <c r="AZ132" s="113" t="n">
        <f aca="false">Inputs!$C$18+Inputs!$C$19*(AZ$118-1)</f>
        <v>6</v>
      </c>
      <c r="BA132" s="113" t="n">
        <f aca="false">Inputs!$C$18+Inputs!$C$19*(BA$118-1)</f>
        <v>6</v>
      </c>
      <c r="BB132" s="113" t="n">
        <f aca="false">Inputs!$C$18+Inputs!$C$19*(BB$118-1)</f>
        <v>6</v>
      </c>
      <c r="BC132" s="113" t="n">
        <f aca="false">Inputs!$C$18+Inputs!$C$19*(BC$118-1)</f>
        <v>6</v>
      </c>
      <c r="BD132" s="113" t="n">
        <f aca="false">Inputs!$C$18+Inputs!$C$19*(BD$118-1)</f>
        <v>6</v>
      </c>
      <c r="BE132" s="113" t="n">
        <f aca="false">Inputs!$C$18+Inputs!$C$19*(BE$118-1)</f>
        <v>6</v>
      </c>
      <c r="BF132" s="113" t="n">
        <f aca="false">Inputs!$C$18+Inputs!$C$19*(BF$118-1)</f>
        <v>6</v>
      </c>
      <c r="BG132" s="113" t="n">
        <f aca="false">Inputs!$C$18+Inputs!$C$19*(BG$118-1)</f>
        <v>6</v>
      </c>
      <c r="BH132" s="113" t="n">
        <f aca="false">Inputs!$C$18+Inputs!$C$19*(BH$118-1)</f>
        <v>6</v>
      </c>
      <c r="BI132" s="113" t="n">
        <f aca="false">Inputs!$C$18+Inputs!$C$19*(BI$118-1)</f>
        <v>6</v>
      </c>
      <c r="BJ132" s="113" t="n">
        <f aca="false">Inputs!$C$18+Inputs!$C$19*(BJ$118-1)</f>
        <v>6</v>
      </c>
    </row>
    <row r="133" customFormat="false" ht="15" hidden="false" customHeight="false" outlineLevel="0" collapsed="false">
      <c r="A133" s="4" t="s">
        <v>59</v>
      </c>
      <c r="C133" s="71" t="n">
        <f aca="false">C132*Inputs!$C$20*Inputs!$C$21*(1+Inputs!$C$22)^(C$118-1)/12*1*C121</f>
        <v>88125</v>
      </c>
      <c r="D133" s="71" t="n">
        <f aca="false">D132*Inputs!$C$20*Inputs!$C$21*(1+Inputs!$C$22)^(D$118-1)/12*1*D121</f>
        <v>88125</v>
      </c>
      <c r="E133" s="71" t="n">
        <f aca="false">E132*Inputs!$C$20*Inputs!$C$21*(1+Inputs!$C$22)^(E$118-1)/12*1*E121</f>
        <v>88125</v>
      </c>
      <c r="F133" s="71" t="n">
        <f aca="false">F132*Inputs!$C$20*Inputs!$C$21*(1+Inputs!$C$22)^(F$118-1)/12*1*F121</f>
        <v>88125</v>
      </c>
      <c r="G133" s="71" t="n">
        <f aca="false">G132*Inputs!$C$20*Inputs!$C$21*(1+Inputs!$C$22)^(G$118-1)/12*1*G121</f>
        <v>88125</v>
      </c>
      <c r="H133" s="71" t="n">
        <f aca="false">H132*Inputs!$C$20*Inputs!$C$21*(1+Inputs!$C$22)^(H$118-1)/12*1*H121</f>
        <v>88125</v>
      </c>
      <c r="I133" s="71" t="n">
        <f aca="false">I132*Inputs!$C$20*Inputs!$C$21*(1+Inputs!$C$22)^(I$118-1)/12*1*I121</f>
        <v>88125</v>
      </c>
      <c r="J133" s="71" t="n">
        <f aca="false">J132*Inputs!$C$20*Inputs!$C$21*(1+Inputs!$C$22)^(J$118-1)/12*1*J121</f>
        <v>88125</v>
      </c>
      <c r="K133" s="71" t="n">
        <f aca="false">K132*Inputs!$C$20*Inputs!$C$21*(1+Inputs!$C$22)^(K$118-1)/12*1*K121</f>
        <v>88125</v>
      </c>
      <c r="L133" s="71" t="n">
        <f aca="false">L132*Inputs!$C$20*Inputs!$C$21*(1+Inputs!$C$22)^(L$118-1)/12*1*L121</f>
        <v>88125</v>
      </c>
      <c r="M133" s="71" t="n">
        <f aca="false">M132*Inputs!$C$20*Inputs!$C$21*(1+Inputs!$C$22)^(M$118-1)/12*1*M121</f>
        <v>121875</v>
      </c>
      <c r="N133" s="71" t="n">
        <f aca="false">N132*Inputs!$C$20*Inputs!$C$21*(1+Inputs!$C$22)^(N$118-1)/12*1*N121</f>
        <v>121875</v>
      </c>
      <c r="O133" s="71" t="n">
        <f aca="false">O132*Inputs!$C$20*Inputs!$C$21*(1+Inputs!$C$22)^(O$118-1)/12*1*O121</f>
        <v>134831.25</v>
      </c>
      <c r="P133" s="71" t="n">
        <f aca="false">P132*Inputs!$C$20*Inputs!$C$21*(1+Inputs!$C$22)^(P$118-1)/12*1*P121</f>
        <v>134831.25</v>
      </c>
      <c r="Q133" s="71" t="n">
        <f aca="false">Q132*Inputs!$C$20*Inputs!$C$21*(1+Inputs!$C$22)^(Q$118-1)/12*1*Q121</f>
        <v>134831.25</v>
      </c>
      <c r="R133" s="71" t="n">
        <f aca="false">R132*Inputs!$C$20*Inputs!$C$21*(1+Inputs!$C$22)^(R$118-1)/12*1*R121</f>
        <v>134831.25</v>
      </c>
      <c r="S133" s="71" t="n">
        <f aca="false">S132*Inputs!$C$20*Inputs!$C$21*(1+Inputs!$C$22)^(S$118-1)/12*1*S121</f>
        <v>134831.25</v>
      </c>
      <c r="T133" s="71" t="n">
        <f aca="false">T132*Inputs!$C$20*Inputs!$C$21*(1+Inputs!$C$22)^(T$118-1)/12*1*T121</f>
        <v>134831.25</v>
      </c>
      <c r="U133" s="71" t="n">
        <f aca="false">U132*Inputs!$C$20*Inputs!$C$21*(1+Inputs!$C$22)^(U$118-1)/12*1*U121</f>
        <v>134831.25</v>
      </c>
      <c r="V133" s="71" t="n">
        <f aca="false">V132*Inputs!$C$20*Inputs!$C$21*(1+Inputs!$C$22)^(V$118-1)/12*1*V121</f>
        <v>134831.25</v>
      </c>
      <c r="W133" s="71" t="n">
        <f aca="false">W132*Inputs!$C$20*Inputs!$C$21*(1+Inputs!$C$22)^(W$118-1)/12*1*W121</f>
        <v>134831.25</v>
      </c>
      <c r="X133" s="71" t="n">
        <f aca="false">X132*Inputs!$C$20*Inputs!$C$21*(1+Inputs!$C$22)^(X$118-1)/12*1*X121</f>
        <v>134831.25</v>
      </c>
      <c r="Y133" s="71" t="n">
        <f aca="false">Y132*Inputs!$C$20*Inputs!$C$21*(1+Inputs!$C$22)^(Y$118-1)/12*1*Y121</f>
        <v>186468.75</v>
      </c>
      <c r="Z133" s="71" t="n">
        <f aca="false">Z132*Inputs!$C$20*Inputs!$C$21*(1+Inputs!$C$22)^(Z$118-1)/12*1*Z121</f>
        <v>186468.75</v>
      </c>
      <c r="AA133" s="71" t="n">
        <f aca="false">AA132*Inputs!$C$20*Inputs!$C$21*(1+Inputs!$C$22)^(AA$118-1)/12*1*AA121</f>
        <v>183370.5</v>
      </c>
      <c r="AB133" s="71" t="n">
        <f aca="false">AB132*Inputs!$C$20*Inputs!$C$21*(1+Inputs!$C$22)^(AB$118-1)/12*1*AB121</f>
        <v>183370.5</v>
      </c>
      <c r="AC133" s="71" t="n">
        <f aca="false">AC132*Inputs!$C$20*Inputs!$C$21*(1+Inputs!$C$22)^(AC$118-1)/12*1*AC121</f>
        <v>183370.5</v>
      </c>
      <c r="AD133" s="71" t="n">
        <f aca="false">AD132*Inputs!$C$20*Inputs!$C$21*(1+Inputs!$C$22)^(AD$118-1)/12*1*AD121</f>
        <v>183370.5</v>
      </c>
      <c r="AE133" s="71" t="n">
        <f aca="false">AE132*Inputs!$C$20*Inputs!$C$21*(1+Inputs!$C$22)^(AE$118-1)/12*1*AE121</f>
        <v>183370.5</v>
      </c>
      <c r="AF133" s="71" t="n">
        <f aca="false">AF132*Inputs!$C$20*Inputs!$C$21*(1+Inputs!$C$22)^(AF$118-1)/12*1*AF121</f>
        <v>183370.5</v>
      </c>
      <c r="AG133" s="71" t="n">
        <f aca="false">AG132*Inputs!$C$20*Inputs!$C$21*(1+Inputs!$C$22)^(AG$118-1)/12*1*AG121</f>
        <v>183370.5</v>
      </c>
      <c r="AH133" s="71" t="n">
        <f aca="false">AH132*Inputs!$C$20*Inputs!$C$21*(1+Inputs!$C$22)^(AH$118-1)/12*1*AH121</f>
        <v>183370.5</v>
      </c>
      <c r="AI133" s="71" t="n">
        <f aca="false">AI132*Inputs!$C$20*Inputs!$C$21*(1+Inputs!$C$22)^(AI$118-1)/12*1*AI121</f>
        <v>183370.5</v>
      </c>
      <c r="AJ133" s="71" t="n">
        <f aca="false">AJ132*Inputs!$C$20*Inputs!$C$21*(1+Inputs!$C$22)^(AJ$118-1)/12*1*AJ121</f>
        <v>183370.5</v>
      </c>
      <c r="AK133" s="71" t="n">
        <f aca="false">AK132*Inputs!$C$20*Inputs!$C$21*(1+Inputs!$C$22)^(AK$118-1)/12*1*AK121</f>
        <v>253597.5</v>
      </c>
      <c r="AL133" s="71" t="n">
        <f aca="false">AL132*Inputs!$C$20*Inputs!$C$21*(1+Inputs!$C$22)^(AL$118-1)/12*1*AL121</f>
        <v>253597.5</v>
      </c>
      <c r="AM133" s="71" t="n">
        <f aca="false">AM132*Inputs!$C$20*Inputs!$C$21*(1+Inputs!$C$22)^(AM$118-1)/12*1*AM121</f>
        <v>233797.3875</v>
      </c>
      <c r="AN133" s="71" t="n">
        <f aca="false">AN132*Inputs!$C$20*Inputs!$C$21*(1+Inputs!$C$22)^(AN$118-1)/12*1*AN121</f>
        <v>233797.3875</v>
      </c>
      <c r="AO133" s="71" t="n">
        <f aca="false">AO132*Inputs!$C$20*Inputs!$C$21*(1+Inputs!$C$22)^(AO$118-1)/12*1*AO121</f>
        <v>233797.3875</v>
      </c>
      <c r="AP133" s="71" t="n">
        <f aca="false">AP132*Inputs!$C$20*Inputs!$C$21*(1+Inputs!$C$22)^(AP$118-1)/12*1*AP121</f>
        <v>233797.3875</v>
      </c>
      <c r="AQ133" s="71" t="n">
        <f aca="false">AQ132*Inputs!$C$20*Inputs!$C$21*(1+Inputs!$C$22)^(AQ$118-1)/12*1*AQ121</f>
        <v>233797.3875</v>
      </c>
      <c r="AR133" s="71" t="n">
        <f aca="false">AR132*Inputs!$C$20*Inputs!$C$21*(1+Inputs!$C$22)^(AR$118-1)/12*1*AR121</f>
        <v>233797.3875</v>
      </c>
      <c r="AS133" s="71" t="n">
        <f aca="false">AS132*Inputs!$C$20*Inputs!$C$21*(1+Inputs!$C$22)^(AS$118-1)/12*1*AS121</f>
        <v>233797.3875</v>
      </c>
      <c r="AT133" s="71" t="n">
        <f aca="false">AT132*Inputs!$C$20*Inputs!$C$21*(1+Inputs!$C$22)^(AT$118-1)/12*1*AT121</f>
        <v>233797.3875</v>
      </c>
      <c r="AU133" s="71" t="n">
        <f aca="false">AU132*Inputs!$C$20*Inputs!$C$21*(1+Inputs!$C$22)^(AU$118-1)/12*1*AU121</f>
        <v>233797.3875</v>
      </c>
      <c r="AV133" s="71" t="n">
        <f aca="false">AV132*Inputs!$C$20*Inputs!$C$21*(1+Inputs!$C$22)^(AV$118-1)/12*1*AV121</f>
        <v>233797.3875</v>
      </c>
      <c r="AW133" s="71" t="n">
        <f aca="false">AW132*Inputs!$C$20*Inputs!$C$21*(1+Inputs!$C$22)^(AW$118-1)/12*1*AW121</f>
        <v>323336.8125</v>
      </c>
      <c r="AX133" s="71" t="n">
        <f aca="false">AX132*Inputs!$C$20*Inputs!$C$21*(1+Inputs!$C$22)^(AX$118-1)/12*1*AX121</f>
        <v>323336.8125</v>
      </c>
      <c r="AY133" s="71" t="n">
        <f aca="false">AY132*Inputs!$C$20*Inputs!$C$21*(1+Inputs!$C$22)^(AY$118-1)/12*1*AY121</f>
        <v>286168.0023</v>
      </c>
      <c r="AZ133" s="71" t="n">
        <f aca="false">AZ132*Inputs!$C$20*Inputs!$C$21*(1+Inputs!$C$22)^(AZ$118-1)/12*1*AZ121</f>
        <v>286168.0023</v>
      </c>
      <c r="BA133" s="71" t="n">
        <f aca="false">BA132*Inputs!$C$20*Inputs!$C$21*(1+Inputs!$C$22)^(BA$118-1)/12*1*BA121</f>
        <v>286168.0023</v>
      </c>
      <c r="BB133" s="71" t="n">
        <f aca="false">BB132*Inputs!$C$20*Inputs!$C$21*(1+Inputs!$C$22)^(BB$118-1)/12*1*BB121</f>
        <v>286168.0023</v>
      </c>
      <c r="BC133" s="71" t="n">
        <f aca="false">BC132*Inputs!$C$20*Inputs!$C$21*(1+Inputs!$C$22)^(BC$118-1)/12*1*BC121</f>
        <v>286168.0023</v>
      </c>
      <c r="BD133" s="71" t="n">
        <f aca="false">BD132*Inputs!$C$20*Inputs!$C$21*(1+Inputs!$C$22)^(BD$118-1)/12*1*BD121</f>
        <v>286168.0023</v>
      </c>
      <c r="BE133" s="71" t="n">
        <f aca="false">BE132*Inputs!$C$20*Inputs!$C$21*(1+Inputs!$C$22)^(BE$118-1)/12*1*BE121</f>
        <v>286168.0023</v>
      </c>
      <c r="BF133" s="71" t="n">
        <f aca="false">BF132*Inputs!$C$20*Inputs!$C$21*(1+Inputs!$C$22)^(BF$118-1)/12*1*BF121</f>
        <v>286168.0023</v>
      </c>
      <c r="BG133" s="71" t="n">
        <f aca="false">BG132*Inputs!$C$20*Inputs!$C$21*(1+Inputs!$C$22)^(BG$118-1)/12*1*BG121</f>
        <v>286168.0023</v>
      </c>
      <c r="BH133" s="71" t="n">
        <f aca="false">BH132*Inputs!$C$20*Inputs!$C$21*(1+Inputs!$C$22)^(BH$118-1)/12*1*BH121</f>
        <v>286168.0023</v>
      </c>
      <c r="BI133" s="71" t="n">
        <f aca="false">BI132*Inputs!$C$20*Inputs!$C$21*(1+Inputs!$C$22)^(BI$118-1)/12*1*BI121</f>
        <v>395764.2585</v>
      </c>
      <c r="BJ133" s="71" t="n">
        <f aca="false">BJ132*Inputs!$C$20*Inputs!$C$21*(1+Inputs!$C$22)^(BJ$118-1)/12*1*BJ121</f>
        <v>395764.2585</v>
      </c>
    </row>
    <row r="135" customFormat="false" ht="15.75" hidden="false" customHeight="true" outlineLevel="0" collapsed="false">
      <c r="A135" s="7" t="s">
        <v>415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customFormat="false" ht="15" hidden="false" customHeight="false" outlineLevel="0" collapsed="false">
      <c r="A136" s="110" t="s">
        <v>416</v>
      </c>
      <c r="C136" s="66" t="n">
        <f aca="false">C129+C133</f>
        <v>492057.857142857</v>
      </c>
      <c r="D136" s="66" t="n">
        <f aca="false">D129+D133</f>
        <v>492057.857142857</v>
      </c>
      <c r="E136" s="66" t="n">
        <f aca="false">E129+E133</f>
        <v>492057.857142857</v>
      </c>
      <c r="F136" s="66" t="n">
        <f aca="false">F129+F133</f>
        <v>492057.857142857</v>
      </c>
      <c r="G136" s="66" t="n">
        <f aca="false">G129+G133</f>
        <v>492057.857142857</v>
      </c>
      <c r="H136" s="66" t="n">
        <f aca="false">H129+H133</f>
        <v>492057.857142857</v>
      </c>
      <c r="I136" s="66" t="n">
        <f aca="false">I129+I133</f>
        <v>492057.857142857</v>
      </c>
      <c r="J136" s="66" t="n">
        <f aca="false">J129+J133</f>
        <v>492057.857142857</v>
      </c>
      <c r="K136" s="66" t="n">
        <f aca="false">K129+K133</f>
        <v>492057.857142857</v>
      </c>
      <c r="L136" s="66" t="n">
        <f aca="false">L129+L133</f>
        <v>492057.857142857</v>
      </c>
      <c r="M136" s="66" t="n">
        <f aca="false">M129+M133</f>
        <v>603567.857142857</v>
      </c>
      <c r="N136" s="66" t="n">
        <f aca="false">N129+N133</f>
        <v>603567.857142857</v>
      </c>
      <c r="O136" s="66" t="n">
        <f aca="false">O129+O133</f>
        <v>639600.107142857</v>
      </c>
      <c r="P136" s="66" t="n">
        <f aca="false">P129+P133</f>
        <v>639600.107142857</v>
      </c>
      <c r="Q136" s="66" t="n">
        <f aca="false">Q129+Q133</f>
        <v>639600.107142857</v>
      </c>
      <c r="R136" s="66" t="n">
        <f aca="false">R129+R133</f>
        <v>639600.107142857</v>
      </c>
      <c r="S136" s="66" t="n">
        <f aca="false">S129+S133</f>
        <v>639600.107142857</v>
      </c>
      <c r="T136" s="66" t="n">
        <f aca="false">T129+T133</f>
        <v>639600.107142857</v>
      </c>
      <c r="U136" s="66" t="n">
        <f aca="false">U129+U133</f>
        <v>639600.107142857</v>
      </c>
      <c r="V136" s="66" t="n">
        <f aca="false">V129+V133</f>
        <v>639600.107142857</v>
      </c>
      <c r="W136" s="66" t="n">
        <f aca="false">W129+W133</f>
        <v>639600.107142857</v>
      </c>
      <c r="X136" s="66" t="n">
        <f aca="false">X129+X133</f>
        <v>639600.107142857</v>
      </c>
      <c r="Y136" s="66" t="n">
        <f aca="false">Y129+Y133</f>
        <v>790381.607142857</v>
      </c>
      <c r="Z136" s="66" t="n">
        <f aca="false">Z129+Z133</f>
        <v>790381.607142857</v>
      </c>
      <c r="AA136" s="66" t="n">
        <f aca="false">AA129+AA133</f>
        <v>814410.257142857</v>
      </c>
      <c r="AB136" s="66" t="n">
        <f aca="false">AB129+AB133</f>
        <v>814410.257142857</v>
      </c>
      <c r="AC136" s="66" t="n">
        <f aca="false">AC129+AC133</f>
        <v>814410.257142857</v>
      </c>
      <c r="AD136" s="66" t="n">
        <f aca="false">AD129+AD133</f>
        <v>814410.257142857</v>
      </c>
      <c r="AE136" s="66" t="n">
        <f aca="false">AE129+AE133</f>
        <v>814410.257142857</v>
      </c>
      <c r="AF136" s="66" t="n">
        <f aca="false">AF129+AF133</f>
        <v>814410.257142857</v>
      </c>
      <c r="AG136" s="66" t="n">
        <f aca="false">AG129+AG133</f>
        <v>814410.257142857</v>
      </c>
      <c r="AH136" s="66" t="n">
        <f aca="false">AH129+AH133</f>
        <v>814410.257142857</v>
      </c>
      <c r="AI136" s="66" t="n">
        <f aca="false">AI129+AI133</f>
        <v>814410.257142857</v>
      </c>
      <c r="AJ136" s="66" t="n">
        <f aca="false">AJ129+AJ133</f>
        <v>814410.257142857</v>
      </c>
      <c r="AK136" s="66" t="n">
        <f aca="false">AK129+AK133</f>
        <v>1011045.85714286</v>
      </c>
      <c r="AL136" s="66" t="n">
        <f aca="false">AL129+AL133</f>
        <v>1011045.85714286</v>
      </c>
      <c r="AM136" s="66" t="n">
        <f aca="false">AM129+AM133</f>
        <v>1023023.46214286</v>
      </c>
      <c r="AN136" s="66" t="n">
        <f aca="false">AN129+AN133</f>
        <v>1023023.46214286</v>
      </c>
      <c r="AO136" s="66" t="n">
        <f aca="false">AO129+AO133</f>
        <v>1023023.46214286</v>
      </c>
      <c r="AP136" s="66" t="n">
        <f aca="false">AP129+AP133</f>
        <v>1023023.46214286</v>
      </c>
      <c r="AQ136" s="66" t="n">
        <f aca="false">AQ129+AQ133</f>
        <v>1023023.46214286</v>
      </c>
      <c r="AR136" s="66" t="n">
        <f aca="false">AR129+AR133</f>
        <v>1023023.46214286</v>
      </c>
      <c r="AS136" s="66" t="n">
        <f aca="false">AS129+AS133</f>
        <v>1023023.46214286</v>
      </c>
      <c r="AT136" s="66" t="n">
        <f aca="false">AT129+AT133</f>
        <v>1023023.46214286</v>
      </c>
      <c r="AU136" s="66" t="n">
        <f aca="false">AU129+AU133</f>
        <v>1023023.46214286</v>
      </c>
      <c r="AV136" s="66" t="n">
        <f aca="false">AV129+AV133</f>
        <v>1023023.46214286</v>
      </c>
      <c r="AW136" s="66" t="n">
        <f aca="false">AW129+AW133</f>
        <v>1273733.85214286</v>
      </c>
      <c r="AX136" s="66" t="n">
        <f aca="false">AX129+AX133</f>
        <v>1273733.85214286</v>
      </c>
      <c r="AY136" s="66" t="n">
        <f aca="false">AY129+AY133</f>
        <v>1273643.31783536</v>
      </c>
      <c r="AZ136" s="66" t="n">
        <f aca="false">AZ129+AZ133</f>
        <v>1273643.31783536</v>
      </c>
      <c r="BA136" s="66" t="n">
        <f aca="false">BA129+BA133</f>
        <v>1273643.31783536</v>
      </c>
      <c r="BB136" s="66" t="n">
        <f aca="false">BB129+BB133</f>
        <v>1273643.31783536</v>
      </c>
      <c r="BC136" s="66" t="n">
        <f aca="false">BC129+BC133</f>
        <v>1273643.31783536</v>
      </c>
      <c r="BD136" s="66" t="n">
        <f aca="false">BD129+BD133</f>
        <v>1273643.31783536</v>
      </c>
      <c r="BE136" s="66" t="n">
        <f aca="false">BE129+BE133</f>
        <v>1273643.31783536</v>
      </c>
      <c r="BF136" s="66" t="n">
        <f aca="false">BF129+BF133</f>
        <v>1273643.31783536</v>
      </c>
      <c r="BG136" s="66" t="n">
        <f aca="false">BG129+BG133</f>
        <v>1273643.31783536</v>
      </c>
      <c r="BH136" s="66" t="n">
        <f aca="false">BH129+BH133</f>
        <v>1273643.31783536</v>
      </c>
      <c r="BI136" s="66" t="n">
        <f aca="false">BI129+BI133</f>
        <v>1588732.55441036</v>
      </c>
      <c r="BJ136" s="66" t="n">
        <f aca="false">BJ129+BJ133</f>
        <v>1588732.55441036</v>
      </c>
    </row>
    <row r="137" customFormat="false" ht="15" hidden="false" customHeight="false" outlineLevel="0" collapsed="false">
      <c r="A137" s="6" t="s">
        <v>417</v>
      </c>
      <c r="C137" s="65" t="n">
        <f aca="false">-C136*Inputs!$C$29</f>
        <v>-49205.7857142857</v>
      </c>
      <c r="D137" s="65" t="n">
        <f aca="false">-D136*Inputs!$C$29</f>
        <v>-49205.7857142857</v>
      </c>
      <c r="E137" s="65" t="n">
        <f aca="false">-E136*Inputs!$C$29</f>
        <v>-49205.7857142857</v>
      </c>
      <c r="F137" s="65" t="n">
        <f aca="false">-F136*Inputs!$C$29</f>
        <v>-49205.7857142857</v>
      </c>
      <c r="G137" s="65" t="n">
        <f aca="false">-G136*Inputs!$C$29</f>
        <v>-49205.7857142857</v>
      </c>
      <c r="H137" s="65" t="n">
        <f aca="false">-H136*Inputs!$C$29</f>
        <v>-49205.7857142857</v>
      </c>
      <c r="I137" s="65" t="n">
        <f aca="false">-I136*Inputs!$C$29</f>
        <v>-49205.7857142857</v>
      </c>
      <c r="J137" s="65" t="n">
        <f aca="false">-J136*Inputs!$C$29</f>
        <v>-49205.7857142857</v>
      </c>
      <c r="K137" s="65" t="n">
        <f aca="false">-K136*Inputs!$C$29</f>
        <v>-49205.7857142857</v>
      </c>
      <c r="L137" s="65" t="n">
        <f aca="false">-L136*Inputs!$C$29</f>
        <v>-49205.7857142857</v>
      </c>
      <c r="M137" s="65" t="n">
        <f aca="false">-M136*Inputs!$C$29</f>
        <v>-60356.7857142857</v>
      </c>
      <c r="N137" s="65" t="n">
        <f aca="false">-N136*Inputs!$C$29</f>
        <v>-60356.7857142857</v>
      </c>
      <c r="O137" s="65" t="n">
        <f aca="false">-O136*Inputs!$C$29</f>
        <v>-63960.0107142857</v>
      </c>
      <c r="P137" s="65" t="n">
        <f aca="false">-P136*Inputs!$C$29</f>
        <v>-63960.0107142857</v>
      </c>
      <c r="Q137" s="65" t="n">
        <f aca="false">-Q136*Inputs!$C$29</f>
        <v>-63960.0107142857</v>
      </c>
      <c r="R137" s="65" t="n">
        <f aca="false">-R136*Inputs!$C$29</f>
        <v>-63960.0107142857</v>
      </c>
      <c r="S137" s="65" t="n">
        <f aca="false">-S136*Inputs!$C$29</f>
        <v>-63960.0107142857</v>
      </c>
      <c r="T137" s="65" t="n">
        <f aca="false">-T136*Inputs!$C$29</f>
        <v>-63960.0107142857</v>
      </c>
      <c r="U137" s="65" t="n">
        <f aca="false">-U136*Inputs!$C$29</f>
        <v>-63960.0107142857</v>
      </c>
      <c r="V137" s="65" t="n">
        <f aca="false">-V136*Inputs!$C$29</f>
        <v>-63960.0107142857</v>
      </c>
      <c r="W137" s="65" t="n">
        <f aca="false">-W136*Inputs!$C$29</f>
        <v>-63960.0107142857</v>
      </c>
      <c r="X137" s="65" t="n">
        <f aca="false">-X136*Inputs!$C$29</f>
        <v>-63960.0107142857</v>
      </c>
      <c r="Y137" s="65" t="n">
        <f aca="false">-Y136*Inputs!$C$29</f>
        <v>-79038.1607142857</v>
      </c>
      <c r="Z137" s="65" t="n">
        <f aca="false">-Z136*Inputs!$C$29</f>
        <v>-79038.1607142857</v>
      </c>
      <c r="AA137" s="65" t="n">
        <f aca="false">-AA136*Inputs!$C$29</f>
        <v>-81441.0257142857</v>
      </c>
      <c r="AB137" s="65" t="n">
        <f aca="false">-AB136*Inputs!$C$29</f>
        <v>-81441.0257142857</v>
      </c>
      <c r="AC137" s="65" t="n">
        <f aca="false">-AC136*Inputs!$C$29</f>
        <v>-81441.0257142857</v>
      </c>
      <c r="AD137" s="65" t="n">
        <f aca="false">-AD136*Inputs!$C$29</f>
        <v>-81441.0257142857</v>
      </c>
      <c r="AE137" s="65" t="n">
        <f aca="false">-AE136*Inputs!$C$29</f>
        <v>-81441.0257142857</v>
      </c>
      <c r="AF137" s="65" t="n">
        <f aca="false">-AF136*Inputs!$C$29</f>
        <v>-81441.0257142857</v>
      </c>
      <c r="AG137" s="65" t="n">
        <f aca="false">-AG136*Inputs!$C$29</f>
        <v>-81441.0257142857</v>
      </c>
      <c r="AH137" s="65" t="n">
        <f aca="false">-AH136*Inputs!$C$29</f>
        <v>-81441.0257142857</v>
      </c>
      <c r="AI137" s="65" t="n">
        <f aca="false">-AI136*Inputs!$C$29</f>
        <v>-81441.0257142857</v>
      </c>
      <c r="AJ137" s="65" t="n">
        <f aca="false">-AJ136*Inputs!$C$29</f>
        <v>-81441.0257142857</v>
      </c>
      <c r="AK137" s="65" t="n">
        <f aca="false">-AK136*Inputs!$C$29</f>
        <v>-101104.585714286</v>
      </c>
      <c r="AL137" s="65" t="n">
        <f aca="false">-AL136*Inputs!$C$29</f>
        <v>-101104.585714286</v>
      </c>
      <c r="AM137" s="65" t="n">
        <f aca="false">-AM136*Inputs!$C$29</f>
        <v>-102302.346214286</v>
      </c>
      <c r="AN137" s="65" t="n">
        <f aca="false">-AN136*Inputs!$C$29</f>
        <v>-102302.346214286</v>
      </c>
      <c r="AO137" s="65" t="n">
        <f aca="false">-AO136*Inputs!$C$29</f>
        <v>-102302.346214286</v>
      </c>
      <c r="AP137" s="65" t="n">
        <f aca="false">-AP136*Inputs!$C$29</f>
        <v>-102302.346214286</v>
      </c>
      <c r="AQ137" s="65" t="n">
        <f aca="false">-AQ136*Inputs!$C$29</f>
        <v>-102302.346214286</v>
      </c>
      <c r="AR137" s="65" t="n">
        <f aca="false">-AR136*Inputs!$C$29</f>
        <v>-102302.346214286</v>
      </c>
      <c r="AS137" s="65" t="n">
        <f aca="false">-AS136*Inputs!$C$29</f>
        <v>-102302.346214286</v>
      </c>
      <c r="AT137" s="65" t="n">
        <f aca="false">-AT136*Inputs!$C$29</f>
        <v>-102302.346214286</v>
      </c>
      <c r="AU137" s="65" t="n">
        <f aca="false">-AU136*Inputs!$C$29</f>
        <v>-102302.346214286</v>
      </c>
      <c r="AV137" s="65" t="n">
        <f aca="false">-AV136*Inputs!$C$29</f>
        <v>-102302.346214286</v>
      </c>
      <c r="AW137" s="65" t="n">
        <f aca="false">-AW136*Inputs!$C$29</f>
        <v>-127373.385214286</v>
      </c>
      <c r="AX137" s="65" t="n">
        <f aca="false">-AX136*Inputs!$C$29</f>
        <v>-127373.385214286</v>
      </c>
      <c r="AY137" s="65" t="n">
        <f aca="false">-AY136*Inputs!$C$29</f>
        <v>-127364.331783536</v>
      </c>
      <c r="AZ137" s="65" t="n">
        <f aca="false">-AZ136*Inputs!$C$29</f>
        <v>-127364.331783536</v>
      </c>
      <c r="BA137" s="65" t="n">
        <f aca="false">-BA136*Inputs!$C$29</f>
        <v>-127364.331783536</v>
      </c>
      <c r="BB137" s="65" t="n">
        <f aca="false">-BB136*Inputs!$C$29</f>
        <v>-127364.331783536</v>
      </c>
      <c r="BC137" s="65" t="n">
        <f aca="false">-BC136*Inputs!$C$29</f>
        <v>-127364.331783536</v>
      </c>
      <c r="BD137" s="65" t="n">
        <f aca="false">-BD136*Inputs!$C$29</f>
        <v>-127364.331783536</v>
      </c>
      <c r="BE137" s="65" t="n">
        <f aca="false">-BE136*Inputs!$C$29</f>
        <v>-127364.331783536</v>
      </c>
      <c r="BF137" s="65" t="n">
        <f aca="false">-BF136*Inputs!$C$29</f>
        <v>-127364.331783536</v>
      </c>
      <c r="BG137" s="65" t="n">
        <f aca="false">-BG136*Inputs!$C$29</f>
        <v>-127364.331783536</v>
      </c>
      <c r="BH137" s="65" t="n">
        <f aca="false">-BH136*Inputs!$C$29</f>
        <v>-127364.331783536</v>
      </c>
      <c r="BI137" s="65" t="n">
        <f aca="false">-BI136*Inputs!$C$29</f>
        <v>-158873.255441036</v>
      </c>
      <c r="BJ137" s="65" t="n">
        <f aca="false">-BJ136*Inputs!$C$29</f>
        <v>-158873.255441036</v>
      </c>
    </row>
    <row r="138" customFormat="false" ht="15" hidden="false" customHeight="false" outlineLevel="0" collapsed="false">
      <c r="A138" s="110" t="s">
        <v>239</v>
      </c>
      <c r="C138" s="66" t="n">
        <f aca="false">C136+C137</f>
        <v>442852.071428571</v>
      </c>
      <c r="D138" s="66" t="n">
        <f aca="false">D136+D137</f>
        <v>442852.071428571</v>
      </c>
      <c r="E138" s="66" t="n">
        <f aca="false">E136+E137</f>
        <v>442852.071428571</v>
      </c>
      <c r="F138" s="66" t="n">
        <f aca="false">F136+F137</f>
        <v>442852.071428571</v>
      </c>
      <c r="G138" s="66" t="n">
        <f aca="false">G136+G137</f>
        <v>442852.071428571</v>
      </c>
      <c r="H138" s="66" t="n">
        <f aca="false">H136+H137</f>
        <v>442852.071428571</v>
      </c>
      <c r="I138" s="66" t="n">
        <f aca="false">I136+I137</f>
        <v>442852.071428571</v>
      </c>
      <c r="J138" s="66" t="n">
        <f aca="false">J136+J137</f>
        <v>442852.071428571</v>
      </c>
      <c r="K138" s="66" t="n">
        <f aca="false">K136+K137</f>
        <v>442852.071428571</v>
      </c>
      <c r="L138" s="66" t="n">
        <f aca="false">L136+L137</f>
        <v>442852.071428571</v>
      </c>
      <c r="M138" s="66" t="n">
        <f aca="false">M136+M137</f>
        <v>543211.071428572</v>
      </c>
      <c r="N138" s="66" t="n">
        <f aca="false">N136+N137</f>
        <v>543211.071428572</v>
      </c>
      <c r="O138" s="66" t="n">
        <f aca="false">O136+O137</f>
        <v>575640.096428572</v>
      </c>
      <c r="P138" s="66" t="n">
        <f aca="false">P136+P137</f>
        <v>575640.096428572</v>
      </c>
      <c r="Q138" s="66" t="n">
        <f aca="false">Q136+Q137</f>
        <v>575640.096428572</v>
      </c>
      <c r="R138" s="66" t="n">
        <f aca="false">R136+R137</f>
        <v>575640.096428572</v>
      </c>
      <c r="S138" s="66" t="n">
        <f aca="false">S136+S137</f>
        <v>575640.096428572</v>
      </c>
      <c r="T138" s="66" t="n">
        <f aca="false">T136+T137</f>
        <v>575640.096428572</v>
      </c>
      <c r="U138" s="66" t="n">
        <f aca="false">U136+U137</f>
        <v>575640.096428572</v>
      </c>
      <c r="V138" s="66" t="n">
        <f aca="false">V136+V137</f>
        <v>575640.096428572</v>
      </c>
      <c r="W138" s="66" t="n">
        <f aca="false">W136+W137</f>
        <v>575640.096428572</v>
      </c>
      <c r="X138" s="66" t="n">
        <f aca="false">X136+X137</f>
        <v>575640.096428572</v>
      </c>
      <c r="Y138" s="66" t="n">
        <f aca="false">Y136+Y137</f>
        <v>711343.446428572</v>
      </c>
      <c r="Z138" s="66" t="n">
        <f aca="false">Z136+Z137</f>
        <v>711343.446428572</v>
      </c>
      <c r="AA138" s="66" t="n">
        <f aca="false">AA136+AA137</f>
        <v>732969.231428572</v>
      </c>
      <c r="AB138" s="66" t="n">
        <f aca="false">AB136+AB137</f>
        <v>732969.231428572</v>
      </c>
      <c r="AC138" s="66" t="n">
        <f aca="false">AC136+AC137</f>
        <v>732969.231428572</v>
      </c>
      <c r="AD138" s="66" t="n">
        <f aca="false">AD136+AD137</f>
        <v>732969.231428572</v>
      </c>
      <c r="AE138" s="66" t="n">
        <f aca="false">AE136+AE137</f>
        <v>732969.231428572</v>
      </c>
      <c r="AF138" s="66" t="n">
        <f aca="false">AF136+AF137</f>
        <v>732969.231428572</v>
      </c>
      <c r="AG138" s="66" t="n">
        <f aca="false">AG136+AG137</f>
        <v>732969.231428572</v>
      </c>
      <c r="AH138" s="66" t="n">
        <f aca="false">AH136+AH137</f>
        <v>732969.231428572</v>
      </c>
      <c r="AI138" s="66" t="n">
        <f aca="false">AI136+AI137</f>
        <v>732969.231428572</v>
      </c>
      <c r="AJ138" s="66" t="n">
        <f aca="false">AJ136+AJ137</f>
        <v>732969.231428572</v>
      </c>
      <c r="AK138" s="66" t="n">
        <f aca="false">AK136+AK137</f>
        <v>909941.271428571</v>
      </c>
      <c r="AL138" s="66" t="n">
        <f aca="false">AL136+AL137</f>
        <v>909941.271428571</v>
      </c>
      <c r="AM138" s="66" t="n">
        <f aca="false">AM136+AM137</f>
        <v>920721.115928572</v>
      </c>
      <c r="AN138" s="66" t="n">
        <f aca="false">AN136+AN137</f>
        <v>920721.115928572</v>
      </c>
      <c r="AO138" s="66" t="n">
        <f aca="false">AO136+AO137</f>
        <v>920721.115928572</v>
      </c>
      <c r="AP138" s="66" t="n">
        <f aca="false">AP136+AP137</f>
        <v>920721.115928572</v>
      </c>
      <c r="AQ138" s="66" t="n">
        <f aca="false">AQ136+AQ137</f>
        <v>920721.115928572</v>
      </c>
      <c r="AR138" s="66" t="n">
        <f aca="false">AR136+AR137</f>
        <v>920721.115928572</v>
      </c>
      <c r="AS138" s="66" t="n">
        <f aca="false">AS136+AS137</f>
        <v>920721.115928572</v>
      </c>
      <c r="AT138" s="66" t="n">
        <f aca="false">AT136+AT137</f>
        <v>920721.115928572</v>
      </c>
      <c r="AU138" s="66" t="n">
        <f aca="false">AU136+AU137</f>
        <v>920721.115928572</v>
      </c>
      <c r="AV138" s="66" t="n">
        <f aca="false">AV136+AV137</f>
        <v>920721.115928572</v>
      </c>
      <c r="AW138" s="66" t="n">
        <f aca="false">AW136+AW137</f>
        <v>1146360.46692857</v>
      </c>
      <c r="AX138" s="66" t="n">
        <f aca="false">AX136+AX137</f>
        <v>1146360.46692857</v>
      </c>
      <c r="AY138" s="66" t="n">
        <f aca="false">AY136+AY137</f>
        <v>1146278.98605182</v>
      </c>
      <c r="AZ138" s="66" t="n">
        <f aca="false">AZ136+AZ137</f>
        <v>1146278.98605182</v>
      </c>
      <c r="BA138" s="66" t="n">
        <f aca="false">BA136+BA137</f>
        <v>1146278.98605182</v>
      </c>
      <c r="BB138" s="66" t="n">
        <f aca="false">BB136+BB137</f>
        <v>1146278.98605182</v>
      </c>
      <c r="BC138" s="66" t="n">
        <f aca="false">BC136+BC137</f>
        <v>1146278.98605182</v>
      </c>
      <c r="BD138" s="66" t="n">
        <f aca="false">BD136+BD137</f>
        <v>1146278.98605182</v>
      </c>
      <c r="BE138" s="66" t="n">
        <f aca="false">BE136+BE137</f>
        <v>1146278.98605182</v>
      </c>
      <c r="BF138" s="66" t="n">
        <f aca="false">BF136+BF137</f>
        <v>1146278.98605182</v>
      </c>
      <c r="BG138" s="66" t="n">
        <f aca="false">BG136+BG137</f>
        <v>1146278.98605182</v>
      </c>
      <c r="BH138" s="66" t="n">
        <f aca="false">BH136+BH137</f>
        <v>1146278.98605182</v>
      </c>
      <c r="BI138" s="66" t="n">
        <f aca="false">BI136+BI137</f>
        <v>1429859.29896932</v>
      </c>
      <c r="BJ138" s="66" t="n">
        <f aca="false">BJ136+BJ137</f>
        <v>1429859.29896932</v>
      </c>
    </row>
    <row r="139" customFormat="false" ht="15" hidden="false" customHeight="false" outlineLevel="0" collapsed="false">
      <c r="A139" s="6" t="s">
        <v>76</v>
      </c>
      <c r="C139" s="65" t="n">
        <f aca="false">-C138*Inputs!$C$30</f>
        <v>-185997.87</v>
      </c>
      <c r="D139" s="65" t="n">
        <f aca="false">-D138*Inputs!$C$30</f>
        <v>-185997.87</v>
      </c>
      <c r="E139" s="65" t="n">
        <f aca="false">-E138*Inputs!$C$30</f>
        <v>-185997.87</v>
      </c>
      <c r="F139" s="65" t="n">
        <f aca="false">-F138*Inputs!$C$30</f>
        <v>-185997.87</v>
      </c>
      <c r="G139" s="65" t="n">
        <f aca="false">-G138*Inputs!$C$30</f>
        <v>-185997.87</v>
      </c>
      <c r="H139" s="65" t="n">
        <f aca="false">-H138*Inputs!$C$30</f>
        <v>-185997.87</v>
      </c>
      <c r="I139" s="65" t="n">
        <f aca="false">-I138*Inputs!$C$30</f>
        <v>-185997.87</v>
      </c>
      <c r="J139" s="65" t="n">
        <f aca="false">-J138*Inputs!$C$30</f>
        <v>-185997.87</v>
      </c>
      <c r="K139" s="65" t="n">
        <f aca="false">-K138*Inputs!$C$30</f>
        <v>-185997.87</v>
      </c>
      <c r="L139" s="65" t="n">
        <f aca="false">-L138*Inputs!$C$30</f>
        <v>-185997.87</v>
      </c>
      <c r="M139" s="65" t="n">
        <f aca="false">-M138*Inputs!$C$30</f>
        <v>-228148.65</v>
      </c>
      <c r="N139" s="65" t="n">
        <f aca="false">-N138*Inputs!$C$30</f>
        <v>-228148.65</v>
      </c>
      <c r="O139" s="65" t="n">
        <f aca="false">-O138*Inputs!$C$30</f>
        <v>-241768.8405</v>
      </c>
      <c r="P139" s="65" t="n">
        <f aca="false">-P138*Inputs!$C$30</f>
        <v>-241768.8405</v>
      </c>
      <c r="Q139" s="65" t="n">
        <f aca="false">-Q138*Inputs!$C$30</f>
        <v>-241768.8405</v>
      </c>
      <c r="R139" s="65" t="n">
        <f aca="false">-R138*Inputs!$C$30</f>
        <v>-241768.8405</v>
      </c>
      <c r="S139" s="65" t="n">
        <f aca="false">-S138*Inputs!$C$30</f>
        <v>-241768.8405</v>
      </c>
      <c r="T139" s="65" t="n">
        <f aca="false">-T138*Inputs!$C$30</f>
        <v>-241768.8405</v>
      </c>
      <c r="U139" s="65" t="n">
        <f aca="false">-U138*Inputs!$C$30</f>
        <v>-241768.8405</v>
      </c>
      <c r="V139" s="65" t="n">
        <f aca="false">-V138*Inputs!$C$30</f>
        <v>-241768.8405</v>
      </c>
      <c r="W139" s="65" t="n">
        <f aca="false">-W138*Inputs!$C$30</f>
        <v>-241768.8405</v>
      </c>
      <c r="X139" s="65" t="n">
        <f aca="false">-X138*Inputs!$C$30</f>
        <v>-241768.8405</v>
      </c>
      <c r="Y139" s="65" t="n">
        <f aca="false">-Y138*Inputs!$C$30</f>
        <v>-298764.2475</v>
      </c>
      <c r="Z139" s="65" t="n">
        <f aca="false">-Z138*Inputs!$C$30</f>
        <v>-298764.2475</v>
      </c>
      <c r="AA139" s="65" t="n">
        <f aca="false">-AA138*Inputs!$C$30</f>
        <v>-307847.0772</v>
      </c>
      <c r="AB139" s="65" t="n">
        <f aca="false">-AB138*Inputs!$C$30</f>
        <v>-307847.0772</v>
      </c>
      <c r="AC139" s="65" t="n">
        <f aca="false">-AC138*Inputs!$C$30</f>
        <v>-307847.0772</v>
      </c>
      <c r="AD139" s="65" t="n">
        <f aca="false">-AD138*Inputs!$C$30</f>
        <v>-307847.0772</v>
      </c>
      <c r="AE139" s="65" t="n">
        <f aca="false">-AE138*Inputs!$C$30</f>
        <v>-307847.0772</v>
      </c>
      <c r="AF139" s="65" t="n">
        <f aca="false">-AF138*Inputs!$C$30</f>
        <v>-307847.0772</v>
      </c>
      <c r="AG139" s="65" t="n">
        <f aca="false">-AG138*Inputs!$C$30</f>
        <v>-307847.0772</v>
      </c>
      <c r="AH139" s="65" t="n">
        <f aca="false">-AH138*Inputs!$C$30</f>
        <v>-307847.0772</v>
      </c>
      <c r="AI139" s="65" t="n">
        <f aca="false">-AI138*Inputs!$C$30</f>
        <v>-307847.0772</v>
      </c>
      <c r="AJ139" s="65" t="n">
        <f aca="false">-AJ138*Inputs!$C$30</f>
        <v>-307847.0772</v>
      </c>
      <c r="AK139" s="65" t="n">
        <f aca="false">-AK138*Inputs!$C$30</f>
        <v>-382175.334</v>
      </c>
      <c r="AL139" s="65" t="n">
        <f aca="false">-AL138*Inputs!$C$30</f>
        <v>-382175.334</v>
      </c>
      <c r="AM139" s="65" t="n">
        <f aca="false">-AM138*Inputs!$C$30</f>
        <v>-386702.86869</v>
      </c>
      <c r="AN139" s="65" t="n">
        <f aca="false">-AN138*Inputs!$C$30</f>
        <v>-386702.86869</v>
      </c>
      <c r="AO139" s="65" t="n">
        <f aca="false">-AO138*Inputs!$C$30</f>
        <v>-386702.86869</v>
      </c>
      <c r="AP139" s="65" t="n">
        <f aca="false">-AP138*Inputs!$C$30</f>
        <v>-386702.86869</v>
      </c>
      <c r="AQ139" s="65" t="n">
        <f aca="false">-AQ138*Inputs!$C$30</f>
        <v>-386702.86869</v>
      </c>
      <c r="AR139" s="65" t="n">
        <f aca="false">-AR138*Inputs!$C$30</f>
        <v>-386702.86869</v>
      </c>
      <c r="AS139" s="65" t="n">
        <f aca="false">-AS138*Inputs!$C$30</f>
        <v>-386702.86869</v>
      </c>
      <c r="AT139" s="65" t="n">
        <f aca="false">-AT138*Inputs!$C$30</f>
        <v>-386702.86869</v>
      </c>
      <c r="AU139" s="65" t="n">
        <f aca="false">-AU138*Inputs!$C$30</f>
        <v>-386702.86869</v>
      </c>
      <c r="AV139" s="65" t="n">
        <f aca="false">-AV138*Inputs!$C$30</f>
        <v>-386702.86869</v>
      </c>
      <c r="AW139" s="65" t="n">
        <f aca="false">-AW138*Inputs!$C$30</f>
        <v>-481471.39611</v>
      </c>
      <c r="AX139" s="65" t="n">
        <f aca="false">-AX138*Inputs!$C$30</f>
        <v>-481471.39611</v>
      </c>
      <c r="AY139" s="65" t="n">
        <f aca="false">-AY138*Inputs!$C$30</f>
        <v>-481437.174141765</v>
      </c>
      <c r="AZ139" s="65" t="n">
        <f aca="false">-AZ138*Inputs!$C$30</f>
        <v>-481437.174141765</v>
      </c>
      <c r="BA139" s="65" t="n">
        <f aca="false">-BA138*Inputs!$C$30</f>
        <v>-481437.174141765</v>
      </c>
      <c r="BB139" s="65" t="n">
        <f aca="false">-BB138*Inputs!$C$30</f>
        <v>-481437.174141765</v>
      </c>
      <c r="BC139" s="65" t="n">
        <f aca="false">-BC138*Inputs!$C$30</f>
        <v>-481437.174141765</v>
      </c>
      <c r="BD139" s="65" t="n">
        <f aca="false">-BD138*Inputs!$C$30</f>
        <v>-481437.174141765</v>
      </c>
      <c r="BE139" s="65" t="n">
        <f aca="false">-BE138*Inputs!$C$30</f>
        <v>-481437.174141765</v>
      </c>
      <c r="BF139" s="65" t="n">
        <f aca="false">-BF138*Inputs!$C$30</f>
        <v>-481437.174141765</v>
      </c>
      <c r="BG139" s="65" t="n">
        <f aca="false">-BG138*Inputs!$C$30</f>
        <v>-481437.174141765</v>
      </c>
      <c r="BH139" s="65" t="n">
        <f aca="false">-BH138*Inputs!$C$30</f>
        <v>-481437.174141765</v>
      </c>
      <c r="BI139" s="65" t="n">
        <f aca="false">-BI138*Inputs!$C$30</f>
        <v>-600540.905567115</v>
      </c>
      <c r="BJ139" s="65" t="n">
        <f aca="false">-BJ138*Inputs!$C$30</f>
        <v>-600540.905567115</v>
      </c>
    </row>
    <row r="140" customFormat="false" ht="15" hidden="false" customHeight="false" outlineLevel="0" collapsed="false">
      <c r="A140" s="110" t="s">
        <v>45</v>
      </c>
      <c r="C140" s="66" t="n">
        <f aca="false">C138+C139</f>
        <v>256854.201428571</v>
      </c>
      <c r="D140" s="66" t="n">
        <f aca="false">D138+D139</f>
        <v>256854.201428571</v>
      </c>
      <c r="E140" s="66" t="n">
        <f aca="false">E138+E139</f>
        <v>256854.201428571</v>
      </c>
      <c r="F140" s="66" t="n">
        <f aca="false">F138+F139</f>
        <v>256854.201428571</v>
      </c>
      <c r="G140" s="66" t="n">
        <f aca="false">G138+G139</f>
        <v>256854.201428571</v>
      </c>
      <c r="H140" s="66" t="n">
        <f aca="false">H138+H139</f>
        <v>256854.201428571</v>
      </c>
      <c r="I140" s="66" t="n">
        <f aca="false">I138+I139</f>
        <v>256854.201428571</v>
      </c>
      <c r="J140" s="66" t="n">
        <f aca="false">J138+J139</f>
        <v>256854.201428571</v>
      </c>
      <c r="K140" s="66" t="n">
        <f aca="false">K138+K139</f>
        <v>256854.201428571</v>
      </c>
      <c r="L140" s="66" t="n">
        <f aca="false">L138+L139</f>
        <v>256854.201428571</v>
      </c>
      <c r="M140" s="66" t="n">
        <f aca="false">M138+M139</f>
        <v>315062.421428572</v>
      </c>
      <c r="N140" s="66" t="n">
        <f aca="false">N138+N139</f>
        <v>315062.421428572</v>
      </c>
      <c r="O140" s="66" t="n">
        <f aca="false">O138+O139</f>
        <v>333871.255928571</v>
      </c>
      <c r="P140" s="66" t="n">
        <f aca="false">P138+P139</f>
        <v>333871.255928571</v>
      </c>
      <c r="Q140" s="66" t="n">
        <f aca="false">Q138+Q139</f>
        <v>333871.255928571</v>
      </c>
      <c r="R140" s="66" t="n">
        <f aca="false">R138+R139</f>
        <v>333871.255928571</v>
      </c>
      <c r="S140" s="66" t="n">
        <f aca="false">S138+S139</f>
        <v>333871.255928571</v>
      </c>
      <c r="T140" s="66" t="n">
        <f aca="false">T138+T139</f>
        <v>333871.255928571</v>
      </c>
      <c r="U140" s="66" t="n">
        <f aca="false">U138+U139</f>
        <v>333871.255928571</v>
      </c>
      <c r="V140" s="66" t="n">
        <f aca="false">V138+V139</f>
        <v>333871.255928571</v>
      </c>
      <c r="W140" s="66" t="n">
        <f aca="false">W138+W139</f>
        <v>333871.255928571</v>
      </c>
      <c r="X140" s="66" t="n">
        <f aca="false">X138+X139</f>
        <v>333871.255928571</v>
      </c>
      <c r="Y140" s="66" t="n">
        <f aca="false">Y138+Y139</f>
        <v>412579.198928572</v>
      </c>
      <c r="Z140" s="66" t="n">
        <f aca="false">Z138+Z139</f>
        <v>412579.198928572</v>
      </c>
      <c r="AA140" s="66" t="n">
        <f aca="false">AA138+AA139</f>
        <v>425122.154228572</v>
      </c>
      <c r="AB140" s="66" t="n">
        <f aca="false">AB138+AB139</f>
        <v>425122.154228572</v>
      </c>
      <c r="AC140" s="66" t="n">
        <f aca="false">AC138+AC139</f>
        <v>425122.154228572</v>
      </c>
      <c r="AD140" s="66" t="n">
        <f aca="false">AD138+AD139</f>
        <v>425122.154228572</v>
      </c>
      <c r="AE140" s="66" t="n">
        <f aca="false">AE138+AE139</f>
        <v>425122.154228572</v>
      </c>
      <c r="AF140" s="66" t="n">
        <f aca="false">AF138+AF139</f>
        <v>425122.154228572</v>
      </c>
      <c r="AG140" s="66" t="n">
        <f aca="false">AG138+AG139</f>
        <v>425122.154228572</v>
      </c>
      <c r="AH140" s="66" t="n">
        <f aca="false">AH138+AH139</f>
        <v>425122.154228572</v>
      </c>
      <c r="AI140" s="66" t="n">
        <f aca="false">AI138+AI139</f>
        <v>425122.154228572</v>
      </c>
      <c r="AJ140" s="66" t="n">
        <f aca="false">AJ138+AJ139</f>
        <v>425122.154228572</v>
      </c>
      <c r="AK140" s="66" t="n">
        <f aca="false">AK138+AK139</f>
        <v>527765.937428572</v>
      </c>
      <c r="AL140" s="66" t="n">
        <f aca="false">AL138+AL139</f>
        <v>527765.937428572</v>
      </c>
      <c r="AM140" s="66" t="n">
        <f aca="false">AM138+AM139</f>
        <v>534018.247238572</v>
      </c>
      <c r="AN140" s="66" t="n">
        <f aca="false">AN138+AN139</f>
        <v>534018.247238572</v>
      </c>
      <c r="AO140" s="66" t="n">
        <f aca="false">AO138+AO139</f>
        <v>534018.247238572</v>
      </c>
      <c r="AP140" s="66" t="n">
        <f aca="false">AP138+AP139</f>
        <v>534018.247238572</v>
      </c>
      <c r="AQ140" s="66" t="n">
        <f aca="false">AQ138+AQ139</f>
        <v>534018.247238572</v>
      </c>
      <c r="AR140" s="66" t="n">
        <f aca="false">AR138+AR139</f>
        <v>534018.247238572</v>
      </c>
      <c r="AS140" s="66" t="n">
        <f aca="false">AS138+AS139</f>
        <v>534018.247238572</v>
      </c>
      <c r="AT140" s="66" t="n">
        <f aca="false">AT138+AT139</f>
        <v>534018.247238572</v>
      </c>
      <c r="AU140" s="66" t="n">
        <f aca="false">AU138+AU139</f>
        <v>534018.247238572</v>
      </c>
      <c r="AV140" s="66" t="n">
        <f aca="false">AV138+AV139</f>
        <v>534018.247238572</v>
      </c>
      <c r="AW140" s="66" t="n">
        <f aca="false">AW138+AW139</f>
        <v>664889.070818572</v>
      </c>
      <c r="AX140" s="66" t="n">
        <f aca="false">AX138+AX139</f>
        <v>664889.070818572</v>
      </c>
      <c r="AY140" s="66" t="n">
        <f aca="false">AY138+AY139</f>
        <v>664841.811910056</v>
      </c>
      <c r="AZ140" s="66" t="n">
        <f aca="false">AZ138+AZ139</f>
        <v>664841.811910056</v>
      </c>
      <c r="BA140" s="66" t="n">
        <f aca="false">BA138+BA139</f>
        <v>664841.811910056</v>
      </c>
      <c r="BB140" s="66" t="n">
        <f aca="false">BB138+BB139</f>
        <v>664841.811910056</v>
      </c>
      <c r="BC140" s="66" t="n">
        <f aca="false">BC138+BC139</f>
        <v>664841.811910056</v>
      </c>
      <c r="BD140" s="66" t="n">
        <f aca="false">BD138+BD139</f>
        <v>664841.811910056</v>
      </c>
      <c r="BE140" s="66" t="n">
        <f aca="false">BE138+BE139</f>
        <v>664841.811910056</v>
      </c>
      <c r="BF140" s="66" t="n">
        <f aca="false">BF138+BF139</f>
        <v>664841.811910056</v>
      </c>
      <c r="BG140" s="66" t="n">
        <f aca="false">BG138+BG139</f>
        <v>664841.811910056</v>
      </c>
      <c r="BH140" s="66" t="n">
        <f aca="false">BH138+BH139</f>
        <v>664841.811910056</v>
      </c>
      <c r="BI140" s="66" t="n">
        <f aca="false">BI138+BI139</f>
        <v>829318.393402207</v>
      </c>
      <c r="BJ140" s="66" t="n">
        <f aca="false">BJ138+BJ139</f>
        <v>829318.393402207</v>
      </c>
    </row>
    <row r="142" customFormat="false" ht="15.75" hidden="false" customHeight="true" outlineLevel="0" collapsed="false">
      <c r="A142" s="7" t="s">
        <v>47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customFormat="false" ht="15" hidden="false" customHeight="false" outlineLevel="0" collapsed="false">
      <c r="A143" s="6" t="s">
        <v>329</v>
      </c>
      <c r="C143" s="65" t="n">
        <f aca="false">-C127*Inputs!$C$31</f>
        <v>-43086.1714285714</v>
      </c>
      <c r="D143" s="65" t="n">
        <f aca="false">-D127*Inputs!$C$31</f>
        <v>-43086.1714285714</v>
      </c>
      <c r="E143" s="65" t="n">
        <f aca="false">-E127*Inputs!$C$31</f>
        <v>-43086.1714285714</v>
      </c>
      <c r="F143" s="65" t="n">
        <f aca="false">-F127*Inputs!$C$31</f>
        <v>-43086.1714285714</v>
      </c>
      <c r="G143" s="65" t="n">
        <f aca="false">-G127*Inputs!$C$31</f>
        <v>-43086.1714285714</v>
      </c>
      <c r="H143" s="65" t="n">
        <f aca="false">-H127*Inputs!$C$31</f>
        <v>-43086.1714285714</v>
      </c>
      <c r="I143" s="65" t="n">
        <f aca="false">-I127*Inputs!$C$31</f>
        <v>-43086.1714285714</v>
      </c>
      <c r="J143" s="65" t="n">
        <f aca="false">-J127*Inputs!$C$31</f>
        <v>-43086.1714285714</v>
      </c>
      <c r="K143" s="65" t="n">
        <f aca="false">-K127*Inputs!$C$31</f>
        <v>-43086.1714285714</v>
      </c>
      <c r="L143" s="65" t="n">
        <f aca="false">-L127*Inputs!$C$31</f>
        <v>-43086.1714285714</v>
      </c>
      <c r="M143" s="65" t="n">
        <f aca="false">-M127*Inputs!$C$31</f>
        <v>-51380.5714285714</v>
      </c>
      <c r="N143" s="65" t="n">
        <f aca="false">-N127*Inputs!$C$31</f>
        <v>-51380.5714285714</v>
      </c>
      <c r="O143" s="65" t="n">
        <f aca="false">-O127*Inputs!$C$31</f>
        <v>-52786.2857142857</v>
      </c>
      <c r="P143" s="65" t="n">
        <f aca="false">-P127*Inputs!$C$31</f>
        <v>-52786.2857142857</v>
      </c>
      <c r="Q143" s="65" t="n">
        <f aca="false">-Q127*Inputs!$C$31</f>
        <v>-52786.2857142857</v>
      </c>
      <c r="R143" s="65" t="n">
        <f aca="false">-R127*Inputs!$C$31</f>
        <v>-52786.2857142857</v>
      </c>
      <c r="S143" s="65" t="n">
        <f aca="false">-S127*Inputs!$C$31</f>
        <v>-52786.2857142857</v>
      </c>
      <c r="T143" s="65" t="n">
        <f aca="false">-T127*Inputs!$C$31</f>
        <v>-52786.2857142857</v>
      </c>
      <c r="U143" s="65" t="n">
        <f aca="false">-U127*Inputs!$C$31</f>
        <v>-52786.2857142857</v>
      </c>
      <c r="V143" s="65" t="n">
        <f aca="false">-V127*Inputs!$C$31</f>
        <v>-52786.2857142857</v>
      </c>
      <c r="W143" s="65" t="n">
        <f aca="false">-W127*Inputs!$C$31</f>
        <v>-52786.2857142857</v>
      </c>
      <c r="X143" s="65" t="n">
        <f aca="false">-X127*Inputs!$C$31</f>
        <v>-52786.2857142857</v>
      </c>
      <c r="Y143" s="65" t="n">
        <f aca="false">-Y127*Inputs!$C$31</f>
        <v>-63154.2857142857</v>
      </c>
      <c r="Z143" s="65" t="n">
        <f aca="false">-Z127*Inputs!$C$31</f>
        <v>-63154.2857142857</v>
      </c>
      <c r="AA143" s="65" t="n">
        <f aca="false">-AA127*Inputs!$C$31</f>
        <v>-64697.1428571429</v>
      </c>
      <c r="AB143" s="65" t="n">
        <f aca="false">-AB127*Inputs!$C$31</f>
        <v>-64697.1428571429</v>
      </c>
      <c r="AC143" s="65" t="n">
        <f aca="false">-AC127*Inputs!$C$31</f>
        <v>-64697.1428571429</v>
      </c>
      <c r="AD143" s="65" t="n">
        <f aca="false">-AD127*Inputs!$C$31</f>
        <v>-64697.1428571429</v>
      </c>
      <c r="AE143" s="65" t="n">
        <f aca="false">-AE127*Inputs!$C$31</f>
        <v>-64697.1428571429</v>
      </c>
      <c r="AF143" s="65" t="n">
        <f aca="false">-AF127*Inputs!$C$31</f>
        <v>-64697.1428571429</v>
      </c>
      <c r="AG143" s="65" t="n">
        <f aca="false">-AG127*Inputs!$C$31</f>
        <v>-64697.1428571429</v>
      </c>
      <c r="AH143" s="65" t="n">
        <f aca="false">-AH127*Inputs!$C$31</f>
        <v>-64697.1428571429</v>
      </c>
      <c r="AI143" s="65" t="n">
        <f aca="false">-AI127*Inputs!$C$31</f>
        <v>-64697.1428571429</v>
      </c>
      <c r="AJ143" s="65" t="n">
        <f aca="false">-AJ127*Inputs!$C$31</f>
        <v>-64697.1428571429</v>
      </c>
      <c r="AK143" s="65" t="n">
        <f aca="false">-AK127*Inputs!$C$31</f>
        <v>-77657.1428571429</v>
      </c>
      <c r="AL143" s="65" t="n">
        <f aca="false">-AL127*Inputs!$C$31</f>
        <v>-77657.1428571429</v>
      </c>
      <c r="AM143" s="65" t="n">
        <f aca="false">-AM127*Inputs!$C$31</f>
        <v>-79328.5714285714</v>
      </c>
      <c r="AN143" s="65" t="n">
        <f aca="false">-AN127*Inputs!$C$31</f>
        <v>-79328.5714285714</v>
      </c>
      <c r="AO143" s="65" t="n">
        <f aca="false">-AO127*Inputs!$C$31</f>
        <v>-79328.5714285714</v>
      </c>
      <c r="AP143" s="65" t="n">
        <f aca="false">-AP127*Inputs!$C$31</f>
        <v>-79328.5714285714</v>
      </c>
      <c r="AQ143" s="65" t="n">
        <f aca="false">-AQ127*Inputs!$C$31</f>
        <v>-79328.5714285714</v>
      </c>
      <c r="AR143" s="65" t="n">
        <f aca="false">-AR127*Inputs!$C$31</f>
        <v>-79328.5714285714</v>
      </c>
      <c r="AS143" s="65" t="n">
        <f aca="false">-AS127*Inputs!$C$31</f>
        <v>-79328.5714285714</v>
      </c>
      <c r="AT143" s="65" t="n">
        <f aca="false">-AT127*Inputs!$C$31</f>
        <v>-79328.5714285714</v>
      </c>
      <c r="AU143" s="65" t="n">
        <f aca="false">-AU127*Inputs!$C$31</f>
        <v>-79328.5714285714</v>
      </c>
      <c r="AV143" s="65" t="n">
        <f aca="false">-AV127*Inputs!$C$31</f>
        <v>-79328.5714285714</v>
      </c>
      <c r="AW143" s="65" t="n">
        <f aca="false">-AW127*Inputs!$C$31</f>
        <v>-95528.5714285714</v>
      </c>
      <c r="AX143" s="65" t="n">
        <f aca="false">-AX127*Inputs!$C$31</f>
        <v>-95528.5714285714</v>
      </c>
      <c r="AY143" s="65" t="n">
        <f aca="false">-AY127*Inputs!$C$31</f>
        <v>-97309.2857142857</v>
      </c>
      <c r="AZ143" s="65" t="n">
        <f aca="false">-AZ127*Inputs!$C$31</f>
        <v>-97309.2857142857</v>
      </c>
      <c r="BA143" s="65" t="n">
        <f aca="false">-BA127*Inputs!$C$31</f>
        <v>-97309.2857142857</v>
      </c>
      <c r="BB143" s="65" t="n">
        <f aca="false">-BB127*Inputs!$C$31</f>
        <v>-97309.2857142857</v>
      </c>
      <c r="BC143" s="65" t="n">
        <f aca="false">-BC127*Inputs!$C$31</f>
        <v>-97309.2857142857</v>
      </c>
      <c r="BD143" s="65" t="n">
        <f aca="false">-BD127*Inputs!$C$31</f>
        <v>-97309.2857142857</v>
      </c>
      <c r="BE143" s="65" t="n">
        <f aca="false">-BE127*Inputs!$C$31</f>
        <v>-97309.2857142857</v>
      </c>
      <c r="BF143" s="65" t="n">
        <f aca="false">-BF127*Inputs!$C$31</f>
        <v>-97309.2857142857</v>
      </c>
      <c r="BG143" s="65" t="n">
        <f aca="false">-BG127*Inputs!$C$31</f>
        <v>-97309.2857142857</v>
      </c>
      <c r="BH143" s="65" t="n">
        <f aca="false">-BH127*Inputs!$C$31</f>
        <v>-97309.2857142857</v>
      </c>
      <c r="BI143" s="65" t="n">
        <f aca="false">-BI127*Inputs!$C$31</f>
        <v>-117559.285714286</v>
      </c>
      <c r="BJ143" s="65" t="n">
        <f aca="false">-BJ127*Inputs!$C$31</f>
        <v>-117559.285714286</v>
      </c>
    </row>
    <row r="144" customFormat="false" ht="15" hidden="false" customHeight="false" outlineLevel="0" collapsed="false">
      <c r="A144" s="6" t="s">
        <v>330</v>
      </c>
      <c r="C144" s="65" t="n">
        <f aca="false">-C138*Inputs!$C$32</f>
        <v>-13285.5621428571</v>
      </c>
      <c r="D144" s="65" t="n">
        <f aca="false">-D138*Inputs!$C$32</f>
        <v>-13285.5621428571</v>
      </c>
      <c r="E144" s="65" t="n">
        <f aca="false">-E138*Inputs!$C$32</f>
        <v>-13285.5621428571</v>
      </c>
      <c r="F144" s="65" t="n">
        <f aca="false">-F138*Inputs!$C$32</f>
        <v>-13285.5621428571</v>
      </c>
      <c r="G144" s="65" t="n">
        <f aca="false">-G138*Inputs!$C$32</f>
        <v>-13285.5621428571</v>
      </c>
      <c r="H144" s="65" t="n">
        <f aca="false">-H138*Inputs!$C$32</f>
        <v>-13285.5621428571</v>
      </c>
      <c r="I144" s="65" t="n">
        <f aca="false">-I138*Inputs!$C$32</f>
        <v>-13285.5621428571</v>
      </c>
      <c r="J144" s="65" t="n">
        <f aca="false">-J138*Inputs!$C$32</f>
        <v>-13285.5621428571</v>
      </c>
      <c r="K144" s="65" t="n">
        <f aca="false">-K138*Inputs!$C$32</f>
        <v>-13285.5621428571</v>
      </c>
      <c r="L144" s="65" t="n">
        <f aca="false">-L138*Inputs!$C$32</f>
        <v>-13285.5621428571</v>
      </c>
      <c r="M144" s="65" t="n">
        <f aca="false">-M138*Inputs!$C$32</f>
        <v>-16296.3321428571</v>
      </c>
      <c r="N144" s="65" t="n">
        <f aca="false">-N138*Inputs!$C$32</f>
        <v>-16296.3321428571</v>
      </c>
      <c r="O144" s="65" t="n">
        <f aca="false">-O138*Inputs!$C$32</f>
        <v>-17269.2028928571</v>
      </c>
      <c r="P144" s="65" t="n">
        <f aca="false">-P138*Inputs!$C$32</f>
        <v>-17269.2028928571</v>
      </c>
      <c r="Q144" s="65" t="n">
        <f aca="false">-Q138*Inputs!$C$32</f>
        <v>-17269.2028928571</v>
      </c>
      <c r="R144" s="65" t="n">
        <f aca="false">-R138*Inputs!$C$32</f>
        <v>-17269.2028928571</v>
      </c>
      <c r="S144" s="65" t="n">
        <f aca="false">-S138*Inputs!$C$32</f>
        <v>-17269.2028928571</v>
      </c>
      <c r="T144" s="65" t="n">
        <f aca="false">-T138*Inputs!$C$32</f>
        <v>-17269.2028928571</v>
      </c>
      <c r="U144" s="65" t="n">
        <f aca="false">-U138*Inputs!$C$32</f>
        <v>-17269.2028928571</v>
      </c>
      <c r="V144" s="65" t="n">
        <f aca="false">-V138*Inputs!$C$32</f>
        <v>-17269.2028928571</v>
      </c>
      <c r="W144" s="65" t="n">
        <f aca="false">-W138*Inputs!$C$32</f>
        <v>-17269.2028928571</v>
      </c>
      <c r="X144" s="65" t="n">
        <f aca="false">-X138*Inputs!$C$32</f>
        <v>-17269.2028928571</v>
      </c>
      <c r="Y144" s="65" t="n">
        <f aca="false">-Y138*Inputs!$C$32</f>
        <v>-21340.3033928571</v>
      </c>
      <c r="Z144" s="65" t="n">
        <f aca="false">-Z138*Inputs!$C$32</f>
        <v>-21340.3033928571</v>
      </c>
      <c r="AA144" s="65" t="n">
        <f aca="false">-AA138*Inputs!$C$32</f>
        <v>-21989.0769428571</v>
      </c>
      <c r="AB144" s="65" t="n">
        <f aca="false">-AB138*Inputs!$C$32</f>
        <v>-21989.0769428571</v>
      </c>
      <c r="AC144" s="65" t="n">
        <f aca="false">-AC138*Inputs!$C$32</f>
        <v>-21989.0769428571</v>
      </c>
      <c r="AD144" s="65" t="n">
        <f aca="false">-AD138*Inputs!$C$32</f>
        <v>-21989.0769428571</v>
      </c>
      <c r="AE144" s="65" t="n">
        <f aca="false">-AE138*Inputs!$C$32</f>
        <v>-21989.0769428571</v>
      </c>
      <c r="AF144" s="65" t="n">
        <f aca="false">-AF138*Inputs!$C$32</f>
        <v>-21989.0769428571</v>
      </c>
      <c r="AG144" s="65" t="n">
        <f aca="false">-AG138*Inputs!$C$32</f>
        <v>-21989.0769428571</v>
      </c>
      <c r="AH144" s="65" t="n">
        <f aca="false">-AH138*Inputs!$C$32</f>
        <v>-21989.0769428571</v>
      </c>
      <c r="AI144" s="65" t="n">
        <f aca="false">-AI138*Inputs!$C$32</f>
        <v>-21989.0769428571</v>
      </c>
      <c r="AJ144" s="65" t="n">
        <f aca="false">-AJ138*Inputs!$C$32</f>
        <v>-21989.0769428571</v>
      </c>
      <c r="AK144" s="65" t="n">
        <f aca="false">-AK138*Inputs!$C$32</f>
        <v>-27298.2381428571</v>
      </c>
      <c r="AL144" s="65" t="n">
        <f aca="false">-AL138*Inputs!$C$32</f>
        <v>-27298.2381428571</v>
      </c>
      <c r="AM144" s="65" t="n">
        <f aca="false">-AM138*Inputs!$C$32</f>
        <v>-27621.6334778571</v>
      </c>
      <c r="AN144" s="65" t="n">
        <f aca="false">-AN138*Inputs!$C$32</f>
        <v>-27621.6334778571</v>
      </c>
      <c r="AO144" s="65" t="n">
        <f aca="false">-AO138*Inputs!$C$32</f>
        <v>-27621.6334778571</v>
      </c>
      <c r="AP144" s="65" t="n">
        <f aca="false">-AP138*Inputs!$C$32</f>
        <v>-27621.6334778571</v>
      </c>
      <c r="AQ144" s="65" t="n">
        <f aca="false">-AQ138*Inputs!$C$32</f>
        <v>-27621.6334778571</v>
      </c>
      <c r="AR144" s="65" t="n">
        <f aca="false">-AR138*Inputs!$C$32</f>
        <v>-27621.6334778571</v>
      </c>
      <c r="AS144" s="65" t="n">
        <f aca="false">-AS138*Inputs!$C$32</f>
        <v>-27621.6334778571</v>
      </c>
      <c r="AT144" s="65" t="n">
        <f aca="false">-AT138*Inputs!$C$32</f>
        <v>-27621.6334778571</v>
      </c>
      <c r="AU144" s="65" t="n">
        <f aca="false">-AU138*Inputs!$C$32</f>
        <v>-27621.6334778571</v>
      </c>
      <c r="AV144" s="65" t="n">
        <f aca="false">-AV138*Inputs!$C$32</f>
        <v>-27621.6334778571</v>
      </c>
      <c r="AW144" s="65" t="n">
        <f aca="false">-AW138*Inputs!$C$32</f>
        <v>-34390.8140078571</v>
      </c>
      <c r="AX144" s="65" t="n">
        <f aca="false">-AX138*Inputs!$C$32</f>
        <v>-34390.8140078571</v>
      </c>
      <c r="AY144" s="65" t="n">
        <f aca="false">-AY138*Inputs!$C$32</f>
        <v>-34388.3695815546</v>
      </c>
      <c r="AZ144" s="65" t="n">
        <f aca="false">-AZ138*Inputs!$C$32</f>
        <v>-34388.3695815546</v>
      </c>
      <c r="BA144" s="65" t="n">
        <f aca="false">-BA138*Inputs!$C$32</f>
        <v>-34388.3695815546</v>
      </c>
      <c r="BB144" s="65" t="n">
        <f aca="false">-BB138*Inputs!$C$32</f>
        <v>-34388.3695815546</v>
      </c>
      <c r="BC144" s="65" t="n">
        <f aca="false">-BC138*Inputs!$C$32</f>
        <v>-34388.3695815546</v>
      </c>
      <c r="BD144" s="65" t="n">
        <f aca="false">-BD138*Inputs!$C$32</f>
        <v>-34388.3695815546</v>
      </c>
      <c r="BE144" s="65" t="n">
        <f aca="false">-BE138*Inputs!$C$32</f>
        <v>-34388.3695815546</v>
      </c>
      <c r="BF144" s="65" t="n">
        <f aca="false">-BF138*Inputs!$C$32</f>
        <v>-34388.3695815546</v>
      </c>
      <c r="BG144" s="65" t="n">
        <f aca="false">-BG138*Inputs!$C$32</f>
        <v>-34388.3695815546</v>
      </c>
      <c r="BH144" s="65" t="n">
        <f aca="false">-BH138*Inputs!$C$32</f>
        <v>-34388.3695815546</v>
      </c>
      <c r="BI144" s="65" t="n">
        <f aca="false">-BI138*Inputs!$C$32</f>
        <v>-42895.7789690796</v>
      </c>
      <c r="BJ144" s="65" t="n">
        <f aca="false">-BJ138*Inputs!$C$32</f>
        <v>-42895.7789690796</v>
      </c>
    </row>
    <row r="145" customFormat="false" ht="15" hidden="false" customHeight="false" outlineLevel="0" collapsed="false">
      <c r="A145" s="6" t="s">
        <v>331</v>
      </c>
      <c r="C145" s="65" t="n">
        <f aca="false">-Inputs!$C$13*(1+Inputs!$C$14)^(C$118-1)*1</f>
        <v>-50000</v>
      </c>
      <c r="D145" s="65" t="n">
        <f aca="false">-Inputs!$C$13*(1+Inputs!$C$14)^(D$118-1)*1</f>
        <v>-50000</v>
      </c>
      <c r="E145" s="65" t="n">
        <f aca="false">-Inputs!$C$13*(1+Inputs!$C$14)^(E$118-1)*1</f>
        <v>-50000</v>
      </c>
      <c r="F145" s="65" t="n">
        <f aca="false">-Inputs!$C$13*(1+Inputs!$C$14)^(F$118-1)*1</f>
        <v>-50000</v>
      </c>
      <c r="G145" s="65" t="n">
        <f aca="false">-Inputs!$C$13*(1+Inputs!$C$14)^(G$118-1)*1</f>
        <v>-50000</v>
      </c>
      <c r="H145" s="65" t="n">
        <f aca="false">-Inputs!$C$13*(1+Inputs!$C$14)^(H$118-1)*1</f>
        <v>-50000</v>
      </c>
      <c r="I145" s="65" t="n">
        <f aca="false">-Inputs!$C$13*(1+Inputs!$C$14)^(I$118-1)*1</f>
        <v>-50000</v>
      </c>
      <c r="J145" s="65" t="n">
        <f aca="false">-Inputs!$C$13*(1+Inputs!$C$14)^(J$118-1)*1</f>
        <v>-50000</v>
      </c>
      <c r="K145" s="65" t="n">
        <f aca="false">-Inputs!$C$13*(1+Inputs!$C$14)^(K$118-1)*1</f>
        <v>-50000</v>
      </c>
      <c r="L145" s="65" t="n">
        <f aca="false">-Inputs!$C$13*(1+Inputs!$C$14)^(L$118-1)*1</f>
        <v>-50000</v>
      </c>
      <c r="M145" s="65" t="n">
        <f aca="false">-Inputs!$C$13*(1+Inputs!$C$14)^(M$118-1)*1</f>
        <v>-50000</v>
      </c>
      <c r="N145" s="65" t="n">
        <f aca="false">-Inputs!$C$13*(1+Inputs!$C$14)^(N$118-1)*1</f>
        <v>-50000</v>
      </c>
      <c r="O145" s="65" t="n">
        <f aca="false">-Inputs!$C$13*(1+Inputs!$C$14)^(O$118-1)*1</f>
        <v>-60000</v>
      </c>
      <c r="P145" s="65" t="n">
        <f aca="false">-Inputs!$C$13*(1+Inputs!$C$14)^(P$118-1)*1</f>
        <v>-60000</v>
      </c>
      <c r="Q145" s="65" t="n">
        <f aca="false">-Inputs!$C$13*(1+Inputs!$C$14)^(Q$118-1)*1</f>
        <v>-60000</v>
      </c>
      <c r="R145" s="65" t="n">
        <f aca="false">-Inputs!$C$13*(1+Inputs!$C$14)^(R$118-1)*1</f>
        <v>-60000</v>
      </c>
      <c r="S145" s="65" t="n">
        <f aca="false">-Inputs!$C$13*(1+Inputs!$C$14)^(S$118-1)*1</f>
        <v>-60000</v>
      </c>
      <c r="T145" s="65" t="n">
        <f aca="false">-Inputs!$C$13*(1+Inputs!$C$14)^(T$118-1)*1</f>
        <v>-60000</v>
      </c>
      <c r="U145" s="65" t="n">
        <f aca="false">-Inputs!$C$13*(1+Inputs!$C$14)^(U$118-1)*1</f>
        <v>-60000</v>
      </c>
      <c r="V145" s="65" t="n">
        <f aca="false">-Inputs!$C$13*(1+Inputs!$C$14)^(V$118-1)*1</f>
        <v>-60000</v>
      </c>
      <c r="W145" s="65" t="n">
        <f aca="false">-Inputs!$C$13*(1+Inputs!$C$14)^(W$118-1)*1</f>
        <v>-60000</v>
      </c>
      <c r="X145" s="65" t="n">
        <f aca="false">-Inputs!$C$13*(1+Inputs!$C$14)^(X$118-1)*1</f>
        <v>-60000</v>
      </c>
      <c r="Y145" s="65" t="n">
        <f aca="false">-Inputs!$C$13*(1+Inputs!$C$14)^(Y$118-1)*1</f>
        <v>-60000</v>
      </c>
      <c r="Z145" s="65" t="n">
        <f aca="false">-Inputs!$C$13*(1+Inputs!$C$14)^(Z$118-1)*1</f>
        <v>-60000</v>
      </c>
      <c r="AA145" s="65" t="n">
        <f aca="false">-Inputs!$C$13*(1+Inputs!$C$14)^(AA$118-1)*1</f>
        <v>-72000</v>
      </c>
      <c r="AB145" s="65" t="n">
        <f aca="false">-Inputs!$C$13*(1+Inputs!$C$14)^(AB$118-1)*1</f>
        <v>-72000</v>
      </c>
      <c r="AC145" s="65" t="n">
        <f aca="false">-Inputs!$C$13*(1+Inputs!$C$14)^(AC$118-1)*1</f>
        <v>-72000</v>
      </c>
      <c r="AD145" s="65" t="n">
        <f aca="false">-Inputs!$C$13*(1+Inputs!$C$14)^(AD$118-1)*1</f>
        <v>-72000</v>
      </c>
      <c r="AE145" s="65" t="n">
        <f aca="false">-Inputs!$C$13*(1+Inputs!$C$14)^(AE$118-1)*1</f>
        <v>-72000</v>
      </c>
      <c r="AF145" s="65" t="n">
        <f aca="false">-Inputs!$C$13*(1+Inputs!$C$14)^(AF$118-1)*1</f>
        <v>-72000</v>
      </c>
      <c r="AG145" s="65" t="n">
        <f aca="false">-Inputs!$C$13*(1+Inputs!$C$14)^(AG$118-1)*1</f>
        <v>-72000</v>
      </c>
      <c r="AH145" s="65" t="n">
        <f aca="false">-Inputs!$C$13*(1+Inputs!$C$14)^(AH$118-1)*1</f>
        <v>-72000</v>
      </c>
      <c r="AI145" s="65" t="n">
        <f aca="false">-Inputs!$C$13*(1+Inputs!$C$14)^(AI$118-1)*1</f>
        <v>-72000</v>
      </c>
      <c r="AJ145" s="65" t="n">
        <f aca="false">-Inputs!$C$13*(1+Inputs!$C$14)^(AJ$118-1)*1</f>
        <v>-72000</v>
      </c>
      <c r="AK145" s="65" t="n">
        <f aca="false">-Inputs!$C$13*(1+Inputs!$C$14)^(AK$118-1)*1</f>
        <v>-72000</v>
      </c>
      <c r="AL145" s="65" t="n">
        <f aca="false">-Inputs!$C$13*(1+Inputs!$C$14)^(AL$118-1)*1</f>
        <v>-72000</v>
      </c>
      <c r="AM145" s="65" t="n">
        <f aca="false">-Inputs!$C$13*(1+Inputs!$C$14)^(AM$118-1)*1</f>
        <v>-86400</v>
      </c>
      <c r="AN145" s="65" t="n">
        <f aca="false">-Inputs!$C$13*(1+Inputs!$C$14)^(AN$118-1)*1</f>
        <v>-86400</v>
      </c>
      <c r="AO145" s="65" t="n">
        <f aca="false">-Inputs!$C$13*(1+Inputs!$C$14)^(AO$118-1)*1</f>
        <v>-86400</v>
      </c>
      <c r="AP145" s="65" t="n">
        <f aca="false">-Inputs!$C$13*(1+Inputs!$C$14)^(AP$118-1)*1</f>
        <v>-86400</v>
      </c>
      <c r="AQ145" s="65" t="n">
        <f aca="false">-Inputs!$C$13*(1+Inputs!$C$14)^(AQ$118-1)*1</f>
        <v>-86400</v>
      </c>
      <c r="AR145" s="65" t="n">
        <f aca="false">-Inputs!$C$13*(1+Inputs!$C$14)^(AR$118-1)*1</f>
        <v>-86400</v>
      </c>
      <c r="AS145" s="65" t="n">
        <f aca="false">-Inputs!$C$13*(1+Inputs!$C$14)^(AS$118-1)*1</f>
        <v>-86400</v>
      </c>
      <c r="AT145" s="65" t="n">
        <f aca="false">-Inputs!$C$13*(1+Inputs!$C$14)^(AT$118-1)*1</f>
        <v>-86400</v>
      </c>
      <c r="AU145" s="65" t="n">
        <f aca="false">-Inputs!$C$13*(1+Inputs!$C$14)^(AU$118-1)*1</f>
        <v>-86400</v>
      </c>
      <c r="AV145" s="65" t="n">
        <f aca="false">-Inputs!$C$13*(1+Inputs!$C$14)^(AV$118-1)*1</f>
        <v>-86400</v>
      </c>
      <c r="AW145" s="65" t="n">
        <f aca="false">-Inputs!$C$13*(1+Inputs!$C$14)^(AW$118-1)*1</f>
        <v>-86400</v>
      </c>
      <c r="AX145" s="65" t="n">
        <f aca="false">-Inputs!$C$13*(1+Inputs!$C$14)^(AX$118-1)*1</f>
        <v>-86400</v>
      </c>
      <c r="AY145" s="65" t="n">
        <f aca="false">-Inputs!$C$13*(1+Inputs!$C$14)^(AY$118-1)*1</f>
        <v>-103680</v>
      </c>
      <c r="AZ145" s="65" t="n">
        <f aca="false">-Inputs!$C$13*(1+Inputs!$C$14)^(AZ$118-1)*1</f>
        <v>-103680</v>
      </c>
      <c r="BA145" s="65" t="n">
        <f aca="false">-Inputs!$C$13*(1+Inputs!$C$14)^(BA$118-1)*1</f>
        <v>-103680</v>
      </c>
      <c r="BB145" s="65" t="n">
        <f aca="false">-Inputs!$C$13*(1+Inputs!$C$14)^(BB$118-1)*1</f>
        <v>-103680</v>
      </c>
      <c r="BC145" s="65" t="n">
        <f aca="false">-Inputs!$C$13*(1+Inputs!$C$14)^(BC$118-1)*1</f>
        <v>-103680</v>
      </c>
      <c r="BD145" s="65" t="n">
        <f aca="false">-Inputs!$C$13*(1+Inputs!$C$14)^(BD$118-1)*1</f>
        <v>-103680</v>
      </c>
      <c r="BE145" s="65" t="n">
        <f aca="false">-Inputs!$C$13*(1+Inputs!$C$14)^(BE$118-1)*1</f>
        <v>-103680</v>
      </c>
      <c r="BF145" s="65" t="n">
        <f aca="false">-Inputs!$C$13*(1+Inputs!$C$14)^(BF$118-1)*1</f>
        <v>-103680</v>
      </c>
      <c r="BG145" s="65" t="n">
        <f aca="false">-Inputs!$C$13*(1+Inputs!$C$14)^(BG$118-1)*1</f>
        <v>-103680</v>
      </c>
      <c r="BH145" s="65" t="n">
        <f aca="false">-Inputs!$C$13*(1+Inputs!$C$14)^(BH$118-1)*1</f>
        <v>-103680</v>
      </c>
      <c r="BI145" s="65" t="n">
        <f aca="false">-Inputs!$C$13*(1+Inputs!$C$14)^(BI$118-1)*1</f>
        <v>-103680</v>
      </c>
      <c r="BJ145" s="65" t="n">
        <f aca="false">-Inputs!$C$13*(1+Inputs!$C$14)^(BJ$118-1)*1</f>
        <v>-103680</v>
      </c>
    </row>
    <row r="146" customFormat="false" ht="15" hidden="false" customHeight="false" outlineLevel="0" collapsed="false">
      <c r="A146" s="6" t="s">
        <v>332</v>
      </c>
      <c r="C146" s="65" t="n">
        <f aca="false">C223</f>
        <v>-104841.666666667</v>
      </c>
      <c r="D146" s="65" t="n">
        <f aca="false">D223</f>
        <v>-104841.666666667</v>
      </c>
      <c r="E146" s="65" t="n">
        <f aca="false">E223</f>
        <v>-104841.666666667</v>
      </c>
      <c r="F146" s="65" t="n">
        <f aca="false">F223</f>
        <v>-104841.666666667</v>
      </c>
      <c r="G146" s="65" t="n">
        <f aca="false">G223</f>
        <v>-104841.666666667</v>
      </c>
      <c r="H146" s="65" t="n">
        <f aca="false">H223</f>
        <v>-104841.666666667</v>
      </c>
      <c r="I146" s="65" t="n">
        <f aca="false">I223</f>
        <v>-104841.666666667</v>
      </c>
      <c r="J146" s="65" t="n">
        <f aca="false">J223</f>
        <v>-104841.666666667</v>
      </c>
      <c r="K146" s="65" t="n">
        <f aca="false">K223</f>
        <v>-104841.666666667</v>
      </c>
      <c r="L146" s="65" t="n">
        <f aca="false">L223</f>
        <v>-104841.666666667</v>
      </c>
      <c r="M146" s="65" t="n">
        <f aca="false">M223</f>
        <v>-104841.666666667</v>
      </c>
      <c r="N146" s="65" t="n">
        <f aca="false">N223</f>
        <v>-104841.666666667</v>
      </c>
      <c r="O146" s="65" t="n">
        <f aca="false">O223</f>
        <v>-131548.595833333</v>
      </c>
      <c r="P146" s="65" t="n">
        <f aca="false">P223</f>
        <v>-131548.595833333</v>
      </c>
      <c r="Q146" s="65" t="n">
        <f aca="false">Q223</f>
        <v>-131548.595833333</v>
      </c>
      <c r="R146" s="65" t="n">
        <f aca="false">R223</f>
        <v>-131548.595833333</v>
      </c>
      <c r="S146" s="65" t="n">
        <f aca="false">S223</f>
        <v>-131548.595833333</v>
      </c>
      <c r="T146" s="65" t="n">
        <f aca="false">T223</f>
        <v>-131548.595833333</v>
      </c>
      <c r="U146" s="65" t="n">
        <f aca="false">U223</f>
        <v>-131548.595833333</v>
      </c>
      <c r="V146" s="65" t="n">
        <f aca="false">V223</f>
        <v>-131548.595833333</v>
      </c>
      <c r="W146" s="65" t="n">
        <f aca="false">W223</f>
        <v>-131548.595833333</v>
      </c>
      <c r="X146" s="65" t="n">
        <f aca="false">X223</f>
        <v>-131548.595833333</v>
      </c>
      <c r="Y146" s="65" t="n">
        <f aca="false">Y223</f>
        <v>-131548.595833333</v>
      </c>
      <c r="Z146" s="65" t="n">
        <f aca="false">Z223</f>
        <v>-131548.595833333</v>
      </c>
      <c r="AA146" s="65" t="n">
        <f aca="false">AA223</f>
        <v>-165384.386164583</v>
      </c>
      <c r="AB146" s="65" t="n">
        <f aca="false">AB223</f>
        <v>-165384.386164583</v>
      </c>
      <c r="AC146" s="65" t="n">
        <f aca="false">AC223</f>
        <v>-165384.386164583</v>
      </c>
      <c r="AD146" s="65" t="n">
        <f aca="false">AD223</f>
        <v>-165384.386164583</v>
      </c>
      <c r="AE146" s="65" t="n">
        <f aca="false">AE223</f>
        <v>-165384.386164583</v>
      </c>
      <c r="AF146" s="65" t="n">
        <f aca="false">AF223</f>
        <v>-165384.386164583</v>
      </c>
      <c r="AG146" s="65" t="n">
        <f aca="false">AG223</f>
        <v>-165384.386164583</v>
      </c>
      <c r="AH146" s="65" t="n">
        <f aca="false">AH223</f>
        <v>-165384.386164583</v>
      </c>
      <c r="AI146" s="65" t="n">
        <f aca="false">AI223</f>
        <v>-165384.386164583</v>
      </c>
      <c r="AJ146" s="65" t="n">
        <f aca="false">AJ223</f>
        <v>-165384.386164583</v>
      </c>
      <c r="AK146" s="65" t="n">
        <f aca="false">AK223</f>
        <v>-165384.386164583</v>
      </c>
      <c r="AL146" s="65" t="n">
        <f aca="false">AL223</f>
        <v>-165384.386164583</v>
      </c>
      <c r="AM146" s="65" t="n">
        <f aca="false">AM223</f>
        <v>-208341.015579049</v>
      </c>
      <c r="AN146" s="65" t="n">
        <f aca="false">AN223</f>
        <v>-208341.015579049</v>
      </c>
      <c r="AO146" s="65" t="n">
        <f aca="false">AO223</f>
        <v>-208341.015579049</v>
      </c>
      <c r="AP146" s="65" t="n">
        <f aca="false">AP223</f>
        <v>-208341.015579049</v>
      </c>
      <c r="AQ146" s="65" t="n">
        <f aca="false">AQ223</f>
        <v>-208341.015579049</v>
      </c>
      <c r="AR146" s="65" t="n">
        <f aca="false">AR223</f>
        <v>-208341.015579049</v>
      </c>
      <c r="AS146" s="65" t="n">
        <f aca="false">AS223</f>
        <v>-208341.015579049</v>
      </c>
      <c r="AT146" s="65" t="n">
        <f aca="false">AT223</f>
        <v>-208341.015579049</v>
      </c>
      <c r="AU146" s="65" t="n">
        <f aca="false">AU223</f>
        <v>-208341.015579049</v>
      </c>
      <c r="AV146" s="65" t="n">
        <f aca="false">AV223</f>
        <v>-208341.015579049</v>
      </c>
      <c r="AW146" s="65" t="n">
        <f aca="false">AW223</f>
        <v>-208341.015579049</v>
      </c>
      <c r="AX146" s="65" t="n">
        <f aca="false">AX223</f>
        <v>-208341.015579049</v>
      </c>
      <c r="AY146" s="65" t="n">
        <f aca="false">AY223</f>
        <v>-262990.962741368</v>
      </c>
      <c r="AZ146" s="65" t="n">
        <f aca="false">AZ223</f>
        <v>-262990.962741368</v>
      </c>
      <c r="BA146" s="65" t="n">
        <f aca="false">BA223</f>
        <v>-262990.962741368</v>
      </c>
      <c r="BB146" s="65" t="n">
        <f aca="false">BB223</f>
        <v>-262990.962741368</v>
      </c>
      <c r="BC146" s="65" t="n">
        <f aca="false">BC223</f>
        <v>-262990.962741368</v>
      </c>
      <c r="BD146" s="65" t="n">
        <f aca="false">BD223</f>
        <v>-262990.962741368</v>
      </c>
      <c r="BE146" s="65" t="n">
        <f aca="false">BE223</f>
        <v>-262990.962741368</v>
      </c>
      <c r="BF146" s="65" t="n">
        <f aca="false">BF223</f>
        <v>-262990.962741368</v>
      </c>
      <c r="BG146" s="65" t="n">
        <f aca="false">BG223</f>
        <v>-262990.962741368</v>
      </c>
      <c r="BH146" s="65" t="n">
        <f aca="false">BH223</f>
        <v>-262990.962741368</v>
      </c>
      <c r="BI146" s="65" t="n">
        <f aca="false">BI223</f>
        <v>-262990.962741368</v>
      </c>
      <c r="BJ146" s="65" t="n">
        <f aca="false">BJ223</f>
        <v>-262990.962741368</v>
      </c>
    </row>
    <row r="147" customFormat="false" ht="15" hidden="false" customHeight="false" outlineLevel="0" collapsed="false">
      <c r="A147" s="6" t="s">
        <v>333</v>
      </c>
      <c r="C147" s="65" t="n">
        <f aca="false">-C132*Inputs!$C$20*Inputs!$C$23/12*1</f>
        <v>-10000</v>
      </c>
      <c r="D147" s="65" t="n">
        <f aca="false">-D132*Inputs!$C$20*Inputs!$C$23/12*1</f>
        <v>-10000</v>
      </c>
      <c r="E147" s="65" t="n">
        <f aca="false">-E132*Inputs!$C$20*Inputs!$C$23/12*1</f>
        <v>-10000</v>
      </c>
      <c r="F147" s="65" t="n">
        <f aca="false">-F132*Inputs!$C$20*Inputs!$C$23/12*1</f>
        <v>-10000</v>
      </c>
      <c r="G147" s="65" t="n">
        <f aca="false">-G132*Inputs!$C$20*Inputs!$C$23/12*1</f>
        <v>-10000</v>
      </c>
      <c r="H147" s="65" t="n">
        <f aca="false">-H132*Inputs!$C$20*Inputs!$C$23/12*1</f>
        <v>-10000</v>
      </c>
      <c r="I147" s="65" t="n">
        <f aca="false">-I132*Inputs!$C$20*Inputs!$C$23/12*1</f>
        <v>-10000</v>
      </c>
      <c r="J147" s="65" t="n">
        <f aca="false">-J132*Inputs!$C$20*Inputs!$C$23/12*1</f>
        <v>-10000</v>
      </c>
      <c r="K147" s="65" t="n">
        <f aca="false">-K132*Inputs!$C$20*Inputs!$C$23/12*1</f>
        <v>-10000</v>
      </c>
      <c r="L147" s="65" t="n">
        <f aca="false">-L132*Inputs!$C$20*Inputs!$C$23/12*1</f>
        <v>-10000</v>
      </c>
      <c r="M147" s="65" t="n">
        <f aca="false">-M132*Inputs!$C$20*Inputs!$C$23/12*1</f>
        <v>-10000</v>
      </c>
      <c r="N147" s="65" t="n">
        <f aca="false">-N132*Inputs!$C$20*Inputs!$C$23/12*1</f>
        <v>-10000</v>
      </c>
      <c r="O147" s="65" t="n">
        <f aca="false">-O132*Inputs!$C$20*Inputs!$C$23/12*1</f>
        <v>-15000</v>
      </c>
      <c r="P147" s="65" t="n">
        <f aca="false">-P132*Inputs!$C$20*Inputs!$C$23/12*1</f>
        <v>-15000</v>
      </c>
      <c r="Q147" s="65" t="n">
        <f aca="false">-Q132*Inputs!$C$20*Inputs!$C$23/12*1</f>
        <v>-15000</v>
      </c>
      <c r="R147" s="65" t="n">
        <f aca="false">-R132*Inputs!$C$20*Inputs!$C$23/12*1</f>
        <v>-15000</v>
      </c>
      <c r="S147" s="65" t="n">
        <f aca="false">-S132*Inputs!$C$20*Inputs!$C$23/12*1</f>
        <v>-15000</v>
      </c>
      <c r="T147" s="65" t="n">
        <f aca="false">-T132*Inputs!$C$20*Inputs!$C$23/12*1</f>
        <v>-15000</v>
      </c>
      <c r="U147" s="65" t="n">
        <f aca="false">-U132*Inputs!$C$20*Inputs!$C$23/12*1</f>
        <v>-15000</v>
      </c>
      <c r="V147" s="65" t="n">
        <f aca="false">-V132*Inputs!$C$20*Inputs!$C$23/12*1</f>
        <v>-15000</v>
      </c>
      <c r="W147" s="65" t="n">
        <f aca="false">-W132*Inputs!$C$20*Inputs!$C$23/12*1</f>
        <v>-15000</v>
      </c>
      <c r="X147" s="65" t="n">
        <f aca="false">-X132*Inputs!$C$20*Inputs!$C$23/12*1</f>
        <v>-15000</v>
      </c>
      <c r="Y147" s="65" t="n">
        <f aca="false">-Y132*Inputs!$C$20*Inputs!$C$23/12*1</f>
        <v>-15000</v>
      </c>
      <c r="Z147" s="65" t="n">
        <f aca="false">-Z132*Inputs!$C$20*Inputs!$C$23/12*1</f>
        <v>-15000</v>
      </c>
      <c r="AA147" s="65" t="n">
        <f aca="false">-AA132*Inputs!$C$20*Inputs!$C$23/12*1</f>
        <v>-20000</v>
      </c>
      <c r="AB147" s="65" t="n">
        <f aca="false">-AB132*Inputs!$C$20*Inputs!$C$23/12*1</f>
        <v>-20000</v>
      </c>
      <c r="AC147" s="65" t="n">
        <f aca="false">-AC132*Inputs!$C$20*Inputs!$C$23/12*1</f>
        <v>-20000</v>
      </c>
      <c r="AD147" s="65" t="n">
        <f aca="false">-AD132*Inputs!$C$20*Inputs!$C$23/12*1</f>
        <v>-20000</v>
      </c>
      <c r="AE147" s="65" t="n">
        <f aca="false">-AE132*Inputs!$C$20*Inputs!$C$23/12*1</f>
        <v>-20000</v>
      </c>
      <c r="AF147" s="65" t="n">
        <f aca="false">-AF132*Inputs!$C$20*Inputs!$C$23/12*1</f>
        <v>-20000</v>
      </c>
      <c r="AG147" s="65" t="n">
        <f aca="false">-AG132*Inputs!$C$20*Inputs!$C$23/12*1</f>
        <v>-20000</v>
      </c>
      <c r="AH147" s="65" t="n">
        <f aca="false">-AH132*Inputs!$C$20*Inputs!$C$23/12*1</f>
        <v>-20000</v>
      </c>
      <c r="AI147" s="65" t="n">
        <f aca="false">-AI132*Inputs!$C$20*Inputs!$C$23/12*1</f>
        <v>-20000</v>
      </c>
      <c r="AJ147" s="65" t="n">
        <f aca="false">-AJ132*Inputs!$C$20*Inputs!$C$23/12*1</f>
        <v>-20000</v>
      </c>
      <c r="AK147" s="65" t="n">
        <f aca="false">-AK132*Inputs!$C$20*Inputs!$C$23/12*1</f>
        <v>-20000</v>
      </c>
      <c r="AL147" s="65" t="n">
        <f aca="false">-AL132*Inputs!$C$20*Inputs!$C$23/12*1</f>
        <v>-20000</v>
      </c>
      <c r="AM147" s="65" t="n">
        <f aca="false">-AM132*Inputs!$C$20*Inputs!$C$23/12*1</f>
        <v>-25000</v>
      </c>
      <c r="AN147" s="65" t="n">
        <f aca="false">-AN132*Inputs!$C$20*Inputs!$C$23/12*1</f>
        <v>-25000</v>
      </c>
      <c r="AO147" s="65" t="n">
        <f aca="false">-AO132*Inputs!$C$20*Inputs!$C$23/12*1</f>
        <v>-25000</v>
      </c>
      <c r="AP147" s="65" t="n">
        <f aca="false">-AP132*Inputs!$C$20*Inputs!$C$23/12*1</f>
        <v>-25000</v>
      </c>
      <c r="AQ147" s="65" t="n">
        <f aca="false">-AQ132*Inputs!$C$20*Inputs!$C$23/12*1</f>
        <v>-25000</v>
      </c>
      <c r="AR147" s="65" t="n">
        <f aca="false">-AR132*Inputs!$C$20*Inputs!$C$23/12*1</f>
        <v>-25000</v>
      </c>
      <c r="AS147" s="65" t="n">
        <f aca="false">-AS132*Inputs!$C$20*Inputs!$C$23/12*1</f>
        <v>-25000</v>
      </c>
      <c r="AT147" s="65" t="n">
        <f aca="false">-AT132*Inputs!$C$20*Inputs!$C$23/12*1</f>
        <v>-25000</v>
      </c>
      <c r="AU147" s="65" t="n">
        <f aca="false">-AU132*Inputs!$C$20*Inputs!$C$23/12*1</f>
        <v>-25000</v>
      </c>
      <c r="AV147" s="65" t="n">
        <f aca="false">-AV132*Inputs!$C$20*Inputs!$C$23/12*1</f>
        <v>-25000</v>
      </c>
      <c r="AW147" s="65" t="n">
        <f aca="false">-AW132*Inputs!$C$20*Inputs!$C$23/12*1</f>
        <v>-25000</v>
      </c>
      <c r="AX147" s="65" t="n">
        <f aca="false">-AX132*Inputs!$C$20*Inputs!$C$23/12*1</f>
        <v>-25000</v>
      </c>
      <c r="AY147" s="65" t="n">
        <f aca="false">-AY132*Inputs!$C$20*Inputs!$C$23/12*1</f>
        <v>-30000</v>
      </c>
      <c r="AZ147" s="65" t="n">
        <f aca="false">-AZ132*Inputs!$C$20*Inputs!$C$23/12*1</f>
        <v>-30000</v>
      </c>
      <c r="BA147" s="65" t="n">
        <f aca="false">-BA132*Inputs!$C$20*Inputs!$C$23/12*1</f>
        <v>-30000</v>
      </c>
      <c r="BB147" s="65" t="n">
        <f aca="false">-BB132*Inputs!$C$20*Inputs!$C$23/12*1</f>
        <v>-30000</v>
      </c>
      <c r="BC147" s="65" t="n">
        <f aca="false">-BC132*Inputs!$C$20*Inputs!$C$23/12*1</f>
        <v>-30000</v>
      </c>
      <c r="BD147" s="65" t="n">
        <f aca="false">-BD132*Inputs!$C$20*Inputs!$C$23/12*1</f>
        <v>-30000</v>
      </c>
      <c r="BE147" s="65" t="n">
        <f aca="false">-BE132*Inputs!$C$20*Inputs!$C$23/12*1</f>
        <v>-30000</v>
      </c>
      <c r="BF147" s="65" t="n">
        <f aca="false">-BF132*Inputs!$C$20*Inputs!$C$23/12*1</f>
        <v>-30000</v>
      </c>
      <c r="BG147" s="65" t="n">
        <f aca="false">-BG132*Inputs!$C$20*Inputs!$C$23/12*1</f>
        <v>-30000</v>
      </c>
      <c r="BH147" s="65" t="n">
        <f aca="false">-BH132*Inputs!$C$20*Inputs!$C$23/12*1</f>
        <v>-30000</v>
      </c>
      <c r="BI147" s="65" t="n">
        <f aca="false">-BI132*Inputs!$C$20*Inputs!$C$23/12*1</f>
        <v>-30000</v>
      </c>
      <c r="BJ147" s="65" t="n">
        <f aca="false">-BJ132*Inputs!$C$20*Inputs!$C$23/12*1</f>
        <v>-30000</v>
      </c>
    </row>
    <row r="148" customFormat="false" ht="15" hidden="false" customHeight="false" outlineLevel="0" collapsed="false">
      <c r="A148" s="6" t="s">
        <v>334</v>
      </c>
      <c r="C148" s="65" t="n">
        <f aca="false">-C132*Inputs!$C$24*1</f>
        <v>-5000</v>
      </c>
      <c r="D148" s="65" t="n">
        <f aca="false">-D132*Inputs!$C$24*1</f>
        <v>-5000</v>
      </c>
      <c r="E148" s="65" t="n">
        <f aca="false">-E132*Inputs!$C$24*1</f>
        <v>-5000</v>
      </c>
      <c r="F148" s="65" t="n">
        <f aca="false">-F132*Inputs!$C$24*1</f>
        <v>-5000</v>
      </c>
      <c r="G148" s="65" t="n">
        <f aca="false">-G132*Inputs!$C$24*1</f>
        <v>-5000</v>
      </c>
      <c r="H148" s="65" t="n">
        <f aca="false">-H132*Inputs!$C$24*1</f>
        <v>-5000</v>
      </c>
      <c r="I148" s="65" t="n">
        <f aca="false">-I132*Inputs!$C$24*1</f>
        <v>-5000</v>
      </c>
      <c r="J148" s="65" t="n">
        <f aca="false">-J132*Inputs!$C$24*1</f>
        <v>-5000</v>
      </c>
      <c r="K148" s="65" t="n">
        <f aca="false">-K132*Inputs!$C$24*1</f>
        <v>-5000</v>
      </c>
      <c r="L148" s="65" t="n">
        <f aca="false">-L132*Inputs!$C$24*1</f>
        <v>-5000</v>
      </c>
      <c r="M148" s="65" t="n">
        <f aca="false">-M132*Inputs!$C$24*1</f>
        <v>-5000</v>
      </c>
      <c r="N148" s="65" t="n">
        <f aca="false">-N132*Inputs!$C$24*1</f>
        <v>-5000</v>
      </c>
      <c r="O148" s="65" t="n">
        <f aca="false">-O132*Inputs!$C$24*1</f>
        <v>-7500</v>
      </c>
      <c r="P148" s="65" t="n">
        <f aca="false">-P132*Inputs!$C$24*1</f>
        <v>-7500</v>
      </c>
      <c r="Q148" s="65" t="n">
        <f aca="false">-Q132*Inputs!$C$24*1</f>
        <v>-7500</v>
      </c>
      <c r="R148" s="65" t="n">
        <f aca="false">-R132*Inputs!$C$24*1</f>
        <v>-7500</v>
      </c>
      <c r="S148" s="65" t="n">
        <f aca="false">-S132*Inputs!$C$24*1</f>
        <v>-7500</v>
      </c>
      <c r="T148" s="65" t="n">
        <f aca="false">-T132*Inputs!$C$24*1</f>
        <v>-7500</v>
      </c>
      <c r="U148" s="65" t="n">
        <f aca="false">-U132*Inputs!$C$24*1</f>
        <v>-7500</v>
      </c>
      <c r="V148" s="65" t="n">
        <f aca="false">-V132*Inputs!$C$24*1</f>
        <v>-7500</v>
      </c>
      <c r="W148" s="65" t="n">
        <f aca="false">-W132*Inputs!$C$24*1</f>
        <v>-7500</v>
      </c>
      <c r="X148" s="65" t="n">
        <f aca="false">-X132*Inputs!$C$24*1</f>
        <v>-7500</v>
      </c>
      <c r="Y148" s="65" t="n">
        <f aca="false">-Y132*Inputs!$C$24*1</f>
        <v>-7500</v>
      </c>
      <c r="Z148" s="65" t="n">
        <f aca="false">-Z132*Inputs!$C$24*1</f>
        <v>-7500</v>
      </c>
      <c r="AA148" s="65" t="n">
        <f aca="false">-AA132*Inputs!$C$24*1</f>
        <v>-10000</v>
      </c>
      <c r="AB148" s="65" t="n">
        <f aca="false">-AB132*Inputs!$C$24*1</f>
        <v>-10000</v>
      </c>
      <c r="AC148" s="65" t="n">
        <f aca="false">-AC132*Inputs!$C$24*1</f>
        <v>-10000</v>
      </c>
      <c r="AD148" s="65" t="n">
        <f aca="false">-AD132*Inputs!$C$24*1</f>
        <v>-10000</v>
      </c>
      <c r="AE148" s="65" t="n">
        <f aca="false">-AE132*Inputs!$C$24*1</f>
        <v>-10000</v>
      </c>
      <c r="AF148" s="65" t="n">
        <f aca="false">-AF132*Inputs!$C$24*1</f>
        <v>-10000</v>
      </c>
      <c r="AG148" s="65" t="n">
        <f aca="false">-AG132*Inputs!$C$24*1</f>
        <v>-10000</v>
      </c>
      <c r="AH148" s="65" t="n">
        <f aca="false">-AH132*Inputs!$C$24*1</f>
        <v>-10000</v>
      </c>
      <c r="AI148" s="65" t="n">
        <f aca="false">-AI132*Inputs!$C$24*1</f>
        <v>-10000</v>
      </c>
      <c r="AJ148" s="65" t="n">
        <f aca="false">-AJ132*Inputs!$C$24*1</f>
        <v>-10000</v>
      </c>
      <c r="AK148" s="65" t="n">
        <f aca="false">-AK132*Inputs!$C$24*1</f>
        <v>-10000</v>
      </c>
      <c r="AL148" s="65" t="n">
        <f aca="false">-AL132*Inputs!$C$24*1</f>
        <v>-10000</v>
      </c>
      <c r="AM148" s="65" t="n">
        <f aca="false">-AM132*Inputs!$C$24*1</f>
        <v>-12500</v>
      </c>
      <c r="AN148" s="65" t="n">
        <f aca="false">-AN132*Inputs!$C$24*1</f>
        <v>-12500</v>
      </c>
      <c r="AO148" s="65" t="n">
        <f aca="false">-AO132*Inputs!$C$24*1</f>
        <v>-12500</v>
      </c>
      <c r="AP148" s="65" t="n">
        <f aca="false">-AP132*Inputs!$C$24*1</f>
        <v>-12500</v>
      </c>
      <c r="AQ148" s="65" t="n">
        <f aca="false">-AQ132*Inputs!$C$24*1</f>
        <v>-12500</v>
      </c>
      <c r="AR148" s="65" t="n">
        <f aca="false">-AR132*Inputs!$C$24*1</f>
        <v>-12500</v>
      </c>
      <c r="AS148" s="65" t="n">
        <f aca="false">-AS132*Inputs!$C$24*1</f>
        <v>-12500</v>
      </c>
      <c r="AT148" s="65" t="n">
        <f aca="false">-AT132*Inputs!$C$24*1</f>
        <v>-12500</v>
      </c>
      <c r="AU148" s="65" t="n">
        <f aca="false">-AU132*Inputs!$C$24*1</f>
        <v>-12500</v>
      </c>
      <c r="AV148" s="65" t="n">
        <f aca="false">-AV132*Inputs!$C$24*1</f>
        <v>-12500</v>
      </c>
      <c r="AW148" s="65" t="n">
        <f aca="false">-AW132*Inputs!$C$24*1</f>
        <v>-12500</v>
      </c>
      <c r="AX148" s="65" t="n">
        <f aca="false">-AX132*Inputs!$C$24*1</f>
        <v>-12500</v>
      </c>
      <c r="AY148" s="65" t="n">
        <f aca="false">-AY132*Inputs!$C$24*1</f>
        <v>-15000</v>
      </c>
      <c r="AZ148" s="65" t="n">
        <f aca="false">-AZ132*Inputs!$C$24*1</f>
        <v>-15000</v>
      </c>
      <c r="BA148" s="65" t="n">
        <f aca="false">-BA132*Inputs!$C$24*1</f>
        <v>-15000</v>
      </c>
      <c r="BB148" s="65" t="n">
        <f aca="false">-BB132*Inputs!$C$24*1</f>
        <v>-15000</v>
      </c>
      <c r="BC148" s="65" t="n">
        <f aca="false">-BC132*Inputs!$C$24*1</f>
        <v>-15000</v>
      </c>
      <c r="BD148" s="65" t="n">
        <f aca="false">-BD132*Inputs!$C$24*1</f>
        <v>-15000</v>
      </c>
      <c r="BE148" s="65" t="n">
        <f aca="false">-BE132*Inputs!$C$24*1</f>
        <v>-15000</v>
      </c>
      <c r="BF148" s="65" t="n">
        <f aca="false">-BF132*Inputs!$C$24*1</f>
        <v>-15000</v>
      </c>
      <c r="BG148" s="65" t="n">
        <f aca="false">-BG132*Inputs!$C$24*1</f>
        <v>-15000</v>
      </c>
      <c r="BH148" s="65" t="n">
        <f aca="false">-BH132*Inputs!$C$24*1</f>
        <v>-15000</v>
      </c>
      <c r="BI148" s="65" t="n">
        <f aca="false">-BI132*Inputs!$C$24*1</f>
        <v>-15000</v>
      </c>
      <c r="BJ148" s="65" t="n">
        <f aca="false">-BJ132*Inputs!$C$24*1</f>
        <v>-15000</v>
      </c>
    </row>
    <row r="149" customFormat="false" ht="15" hidden="false" customHeight="false" outlineLevel="0" collapsed="false">
      <c r="A149" s="6" t="s">
        <v>335</v>
      </c>
      <c r="C149" s="65" t="n">
        <f aca="false">-Inputs!$C$33*1</f>
        <v>-4000</v>
      </c>
      <c r="D149" s="65" t="n">
        <f aca="false">-Inputs!$C$33*1</f>
        <v>-4000</v>
      </c>
      <c r="E149" s="65" t="n">
        <f aca="false">-Inputs!$C$33*1</f>
        <v>-4000</v>
      </c>
      <c r="F149" s="65" t="n">
        <f aca="false">-Inputs!$C$33*1</f>
        <v>-4000</v>
      </c>
      <c r="G149" s="65" t="n">
        <f aca="false">-Inputs!$C$33*1</f>
        <v>-4000</v>
      </c>
      <c r="H149" s="65" t="n">
        <f aca="false">-Inputs!$C$33*1</f>
        <v>-4000</v>
      </c>
      <c r="I149" s="65" t="n">
        <f aca="false">-Inputs!$C$33*1</f>
        <v>-4000</v>
      </c>
      <c r="J149" s="65" t="n">
        <f aca="false">-Inputs!$C$33*1</f>
        <v>-4000</v>
      </c>
      <c r="K149" s="65" t="n">
        <f aca="false">-Inputs!$C$33*1</f>
        <v>-4000</v>
      </c>
      <c r="L149" s="65" t="n">
        <f aca="false">-Inputs!$C$33*1</f>
        <v>-4000</v>
      </c>
      <c r="M149" s="65" t="n">
        <f aca="false">-Inputs!$C$33*1</f>
        <v>-4000</v>
      </c>
      <c r="N149" s="65" t="n">
        <f aca="false">-Inputs!$C$33*1</f>
        <v>-4000</v>
      </c>
      <c r="O149" s="65" t="n">
        <f aca="false">-Inputs!$C$33*1</f>
        <v>-4000</v>
      </c>
      <c r="P149" s="65" t="n">
        <f aca="false">-Inputs!$C$33*1</f>
        <v>-4000</v>
      </c>
      <c r="Q149" s="65" t="n">
        <f aca="false">-Inputs!$C$33*1</f>
        <v>-4000</v>
      </c>
      <c r="R149" s="65" t="n">
        <f aca="false">-Inputs!$C$33*1</f>
        <v>-4000</v>
      </c>
      <c r="S149" s="65" t="n">
        <f aca="false">-Inputs!$C$33*1</f>
        <v>-4000</v>
      </c>
      <c r="T149" s="65" t="n">
        <f aca="false">-Inputs!$C$33*1</f>
        <v>-4000</v>
      </c>
      <c r="U149" s="65" t="n">
        <f aca="false">-Inputs!$C$33*1</f>
        <v>-4000</v>
      </c>
      <c r="V149" s="65" t="n">
        <f aca="false">-Inputs!$C$33*1</f>
        <v>-4000</v>
      </c>
      <c r="W149" s="65" t="n">
        <f aca="false">-Inputs!$C$33*1</f>
        <v>-4000</v>
      </c>
      <c r="X149" s="65" t="n">
        <f aca="false">-Inputs!$C$33*1</f>
        <v>-4000</v>
      </c>
      <c r="Y149" s="65" t="n">
        <f aca="false">-Inputs!$C$33*1</f>
        <v>-4000</v>
      </c>
      <c r="Z149" s="65" t="n">
        <f aca="false">-Inputs!$C$33*1</f>
        <v>-4000</v>
      </c>
      <c r="AA149" s="65" t="n">
        <f aca="false">-Inputs!$C$33*1</f>
        <v>-4000</v>
      </c>
      <c r="AB149" s="65" t="n">
        <f aca="false">-Inputs!$C$33*1</f>
        <v>-4000</v>
      </c>
      <c r="AC149" s="65" t="n">
        <f aca="false">-Inputs!$C$33*1</f>
        <v>-4000</v>
      </c>
      <c r="AD149" s="65" t="n">
        <f aca="false">-Inputs!$C$33*1</f>
        <v>-4000</v>
      </c>
      <c r="AE149" s="65" t="n">
        <f aca="false">-Inputs!$C$33*1</f>
        <v>-4000</v>
      </c>
      <c r="AF149" s="65" t="n">
        <f aca="false">-Inputs!$C$33*1</f>
        <v>-4000</v>
      </c>
      <c r="AG149" s="65" t="n">
        <f aca="false">-Inputs!$C$33*1</f>
        <v>-4000</v>
      </c>
      <c r="AH149" s="65" t="n">
        <f aca="false">-Inputs!$C$33*1</f>
        <v>-4000</v>
      </c>
      <c r="AI149" s="65" t="n">
        <f aca="false">-Inputs!$C$33*1</f>
        <v>-4000</v>
      </c>
      <c r="AJ149" s="65" t="n">
        <f aca="false">-Inputs!$C$33*1</f>
        <v>-4000</v>
      </c>
      <c r="AK149" s="65" t="n">
        <f aca="false">-Inputs!$C$33*1</f>
        <v>-4000</v>
      </c>
      <c r="AL149" s="65" t="n">
        <f aca="false">-Inputs!$C$33*1</f>
        <v>-4000</v>
      </c>
      <c r="AM149" s="65" t="n">
        <f aca="false">-Inputs!$C$33*1</f>
        <v>-4000</v>
      </c>
      <c r="AN149" s="65" t="n">
        <f aca="false">-Inputs!$C$33*1</f>
        <v>-4000</v>
      </c>
      <c r="AO149" s="65" t="n">
        <f aca="false">-Inputs!$C$33*1</f>
        <v>-4000</v>
      </c>
      <c r="AP149" s="65" t="n">
        <f aca="false">-Inputs!$C$33*1</f>
        <v>-4000</v>
      </c>
      <c r="AQ149" s="65" t="n">
        <f aca="false">-Inputs!$C$33*1</f>
        <v>-4000</v>
      </c>
      <c r="AR149" s="65" t="n">
        <f aca="false">-Inputs!$C$33*1</f>
        <v>-4000</v>
      </c>
      <c r="AS149" s="65" t="n">
        <f aca="false">-Inputs!$C$33*1</f>
        <v>-4000</v>
      </c>
      <c r="AT149" s="65" t="n">
        <f aca="false">-Inputs!$C$33*1</f>
        <v>-4000</v>
      </c>
      <c r="AU149" s="65" t="n">
        <f aca="false">-Inputs!$C$33*1</f>
        <v>-4000</v>
      </c>
      <c r="AV149" s="65" t="n">
        <f aca="false">-Inputs!$C$33*1</f>
        <v>-4000</v>
      </c>
      <c r="AW149" s="65" t="n">
        <f aca="false">-Inputs!$C$33*1</f>
        <v>-4000</v>
      </c>
      <c r="AX149" s="65" t="n">
        <f aca="false">-Inputs!$C$33*1</f>
        <v>-4000</v>
      </c>
      <c r="AY149" s="65" t="n">
        <f aca="false">-Inputs!$C$33*1</f>
        <v>-4000</v>
      </c>
      <c r="AZ149" s="65" t="n">
        <f aca="false">-Inputs!$C$33*1</f>
        <v>-4000</v>
      </c>
      <c r="BA149" s="65" t="n">
        <f aca="false">-Inputs!$C$33*1</f>
        <v>-4000</v>
      </c>
      <c r="BB149" s="65" t="n">
        <f aca="false">-Inputs!$C$33*1</f>
        <v>-4000</v>
      </c>
      <c r="BC149" s="65" t="n">
        <f aca="false">-Inputs!$C$33*1</f>
        <v>-4000</v>
      </c>
      <c r="BD149" s="65" t="n">
        <f aca="false">-Inputs!$C$33*1</f>
        <v>-4000</v>
      </c>
      <c r="BE149" s="65" t="n">
        <f aca="false">-Inputs!$C$33*1</f>
        <v>-4000</v>
      </c>
      <c r="BF149" s="65" t="n">
        <f aca="false">-Inputs!$C$33*1</f>
        <v>-4000</v>
      </c>
      <c r="BG149" s="65" t="n">
        <f aca="false">-Inputs!$C$33*1</f>
        <v>-4000</v>
      </c>
      <c r="BH149" s="65" t="n">
        <f aca="false">-Inputs!$C$33*1</f>
        <v>-4000</v>
      </c>
      <c r="BI149" s="65" t="n">
        <f aca="false">-Inputs!$C$33*1</f>
        <v>-4000</v>
      </c>
      <c r="BJ149" s="65" t="n">
        <f aca="false">-Inputs!$C$33*1</f>
        <v>-4000</v>
      </c>
    </row>
    <row r="150" customFormat="false" ht="15" hidden="false" customHeight="false" outlineLevel="0" collapsed="false">
      <c r="A150" s="6" t="s">
        <v>336</v>
      </c>
      <c r="C150" s="65" t="n">
        <f aca="false">-Inputs!$C$34*1</f>
        <v>-8000</v>
      </c>
      <c r="D150" s="65" t="n">
        <f aca="false">-Inputs!$C$34*1</f>
        <v>-8000</v>
      </c>
      <c r="E150" s="65" t="n">
        <f aca="false">-Inputs!$C$34*1</f>
        <v>-8000</v>
      </c>
      <c r="F150" s="65" t="n">
        <f aca="false">-Inputs!$C$34*1</f>
        <v>-8000</v>
      </c>
      <c r="G150" s="65" t="n">
        <f aca="false">-Inputs!$C$34*1</f>
        <v>-8000</v>
      </c>
      <c r="H150" s="65" t="n">
        <f aca="false">-Inputs!$C$34*1</f>
        <v>-8000</v>
      </c>
      <c r="I150" s="65" t="n">
        <f aca="false">-Inputs!$C$34*1</f>
        <v>-8000</v>
      </c>
      <c r="J150" s="65" t="n">
        <f aca="false">-Inputs!$C$34*1</f>
        <v>-8000</v>
      </c>
      <c r="K150" s="65" t="n">
        <f aca="false">-Inputs!$C$34*1</f>
        <v>-8000</v>
      </c>
      <c r="L150" s="65" t="n">
        <f aca="false">-Inputs!$C$34*1</f>
        <v>-8000</v>
      </c>
      <c r="M150" s="65" t="n">
        <f aca="false">-Inputs!$C$34*1</f>
        <v>-8000</v>
      </c>
      <c r="N150" s="65" t="n">
        <f aca="false">-Inputs!$C$34*1</f>
        <v>-8000</v>
      </c>
      <c r="O150" s="65" t="n">
        <f aca="false">-Inputs!$C$34*1</f>
        <v>-8000</v>
      </c>
      <c r="P150" s="65" t="n">
        <f aca="false">-Inputs!$C$34*1</f>
        <v>-8000</v>
      </c>
      <c r="Q150" s="65" t="n">
        <f aca="false">-Inputs!$C$34*1</f>
        <v>-8000</v>
      </c>
      <c r="R150" s="65" t="n">
        <f aca="false">-Inputs!$C$34*1</f>
        <v>-8000</v>
      </c>
      <c r="S150" s="65" t="n">
        <f aca="false">-Inputs!$C$34*1</f>
        <v>-8000</v>
      </c>
      <c r="T150" s="65" t="n">
        <f aca="false">-Inputs!$C$34*1</f>
        <v>-8000</v>
      </c>
      <c r="U150" s="65" t="n">
        <f aca="false">-Inputs!$C$34*1</f>
        <v>-8000</v>
      </c>
      <c r="V150" s="65" t="n">
        <f aca="false">-Inputs!$C$34*1</f>
        <v>-8000</v>
      </c>
      <c r="W150" s="65" t="n">
        <f aca="false">-Inputs!$C$34*1</f>
        <v>-8000</v>
      </c>
      <c r="X150" s="65" t="n">
        <f aca="false">-Inputs!$C$34*1</f>
        <v>-8000</v>
      </c>
      <c r="Y150" s="65" t="n">
        <f aca="false">-Inputs!$C$34*1</f>
        <v>-8000</v>
      </c>
      <c r="Z150" s="65" t="n">
        <f aca="false">-Inputs!$C$34*1</f>
        <v>-8000</v>
      </c>
      <c r="AA150" s="65" t="n">
        <f aca="false">-Inputs!$C$34*1</f>
        <v>-8000</v>
      </c>
      <c r="AB150" s="65" t="n">
        <f aca="false">-Inputs!$C$34*1</f>
        <v>-8000</v>
      </c>
      <c r="AC150" s="65" t="n">
        <f aca="false">-Inputs!$C$34*1</f>
        <v>-8000</v>
      </c>
      <c r="AD150" s="65" t="n">
        <f aca="false">-Inputs!$C$34*1</f>
        <v>-8000</v>
      </c>
      <c r="AE150" s="65" t="n">
        <f aca="false">-Inputs!$C$34*1</f>
        <v>-8000</v>
      </c>
      <c r="AF150" s="65" t="n">
        <f aca="false">-Inputs!$C$34*1</f>
        <v>-8000</v>
      </c>
      <c r="AG150" s="65" t="n">
        <f aca="false">-Inputs!$C$34*1</f>
        <v>-8000</v>
      </c>
      <c r="AH150" s="65" t="n">
        <f aca="false">-Inputs!$C$34*1</f>
        <v>-8000</v>
      </c>
      <c r="AI150" s="65" t="n">
        <f aca="false">-Inputs!$C$34*1</f>
        <v>-8000</v>
      </c>
      <c r="AJ150" s="65" t="n">
        <f aca="false">-Inputs!$C$34*1</f>
        <v>-8000</v>
      </c>
      <c r="AK150" s="65" t="n">
        <f aca="false">-Inputs!$C$34*1</f>
        <v>-8000</v>
      </c>
      <c r="AL150" s="65" t="n">
        <f aca="false">-Inputs!$C$34*1</f>
        <v>-8000</v>
      </c>
      <c r="AM150" s="65" t="n">
        <f aca="false">-Inputs!$C$34*1</f>
        <v>-8000</v>
      </c>
      <c r="AN150" s="65" t="n">
        <f aca="false">-Inputs!$C$34*1</f>
        <v>-8000</v>
      </c>
      <c r="AO150" s="65" t="n">
        <f aca="false">-Inputs!$C$34*1</f>
        <v>-8000</v>
      </c>
      <c r="AP150" s="65" t="n">
        <f aca="false">-Inputs!$C$34*1</f>
        <v>-8000</v>
      </c>
      <c r="AQ150" s="65" t="n">
        <f aca="false">-Inputs!$C$34*1</f>
        <v>-8000</v>
      </c>
      <c r="AR150" s="65" t="n">
        <f aca="false">-Inputs!$C$34*1</f>
        <v>-8000</v>
      </c>
      <c r="AS150" s="65" t="n">
        <f aca="false">-Inputs!$C$34*1</f>
        <v>-8000</v>
      </c>
      <c r="AT150" s="65" t="n">
        <f aca="false">-Inputs!$C$34*1</f>
        <v>-8000</v>
      </c>
      <c r="AU150" s="65" t="n">
        <f aca="false">-Inputs!$C$34*1</f>
        <v>-8000</v>
      </c>
      <c r="AV150" s="65" t="n">
        <f aca="false">-Inputs!$C$34*1</f>
        <v>-8000</v>
      </c>
      <c r="AW150" s="65" t="n">
        <f aca="false">-Inputs!$C$34*1</f>
        <v>-8000</v>
      </c>
      <c r="AX150" s="65" t="n">
        <f aca="false">-Inputs!$C$34*1</f>
        <v>-8000</v>
      </c>
      <c r="AY150" s="65" t="n">
        <f aca="false">-Inputs!$C$34*1</f>
        <v>-8000</v>
      </c>
      <c r="AZ150" s="65" t="n">
        <f aca="false">-Inputs!$C$34*1</f>
        <v>-8000</v>
      </c>
      <c r="BA150" s="65" t="n">
        <f aca="false">-Inputs!$C$34*1</f>
        <v>-8000</v>
      </c>
      <c r="BB150" s="65" t="n">
        <f aca="false">-Inputs!$C$34*1</f>
        <v>-8000</v>
      </c>
      <c r="BC150" s="65" t="n">
        <f aca="false">-Inputs!$C$34*1</f>
        <v>-8000</v>
      </c>
      <c r="BD150" s="65" t="n">
        <f aca="false">-Inputs!$C$34*1</f>
        <v>-8000</v>
      </c>
      <c r="BE150" s="65" t="n">
        <f aca="false">-Inputs!$C$34*1</f>
        <v>-8000</v>
      </c>
      <c r="BF150" s="65" t="n">
        <f aca="false">-Inputs!$C$34*1</f>
        <v>-8000</v>
      </c>
      <c r="BG150" s="65" t="n">
        <f aca="false">-Inputs!$C$34*1</f>
        <v>-8000</v>
      </c>
      <c r="BH150" s="65" t="n">
        <f aca="false">-Inputs!$C$34*1</f>
        <v>-8000</v>
      </c>
      <c r="BI150" s="65" t="n">
        <f aca="false">-Inputs!$C$34*1</f>
        <v>-8000</v>
      </c>
      <c r="BJ150" s="65" t="n">
        <f aca="false">-Inputs!$C$34*1</f>
        <v>-8000</v>
      </c>
    </row>
    <row r="151" customFormat="false" ht="15" hidden="false" customHeight="false" outlineLevel="0" collapsed="false">
      <c r="A151" s="110" t="s">
        <v>77</v>
      </c>
      <c r="C151" s="66" t="n">
        <f aca="false">C143+C144+C145+C146+C147+C148+C149+C150</f>
        <v>-238213.400238095</v>
      </c>
      <c r="D151" s="66" t="n">
        <f aca="false">D143+D144+D145+D146+D147+D148+D149+D150</f>
        <v>-238213.400238095</v>
      </c>
      <c r="E151" s="66" t="n">
        <f aca="false">E143+E144+E145+E146+E147+E148+E149+E150</f>
        <v>-238213.400238095</v>
      </c>
      <c r="F151" s="66" t="n">
        <f aca="false">F143+F144+F145+F146+F147+F148+F149+F150</f>
        <v>-238213.400238095</v>
      </c>
      <c r="G151" s="66" t="n">
        <f aca="false">G143+G144+G145+G146+G147+G148+G149+G150</f>
        <v>-238213.400238095</v>
      </c>
      <c r="H151" s="66" t="n">
        <f aca="false">H143+H144+H145+H146+H147+H148+H149+H150</f>
        <v>-238213.400238095</v>
      </c>
      <c r="I151" s="66" t="n">
        <f aca="false">I143+I144+I145+I146+I147+I148+I149+I150</f>
        <v>-238213.400238095</v>
      </c>
      <c r="J151" s="66" t="n">
        <f aca="false">J143+J144+J145+J146+J147+J148+J149+J150</f>
        <v>-238213.400238095</v>
      </c>
      <c r="K151" s="66" t="n">
        <f aca="false">K143+K144+K145+K146+K147+K148+K149+K150</f>
        <v>-238213.400238095</v>
      </c>
      <c r="L151" s="66" t="n">
        <f aca="false">L143+L144+L145+L146+L147+L148+L149+L150</f>
        <v>-238213.400238095</v>
      </c>
      <c r="M151" s="66" t="n">
        <f aca="false">M143+M144+M145+M146+M147+M148+M149+M150</f>
        <v>-249518.570238095</v>
      </c>
      <c r="N151" s="66" t="n">
        <f aca="false">N143+N144+N145+N146+N147+N148+N149+N150</f>
        <v>-249518.570238095</v>
      </c>
      <c r="O151" s="66" t="n">
        <f aca="false">O143+O144+O145+O146+O147+O148+O149+O150</f>
        <v>-296104.084440476</v>
      </c>
      <c r="P151" s="66" t="n">
        <f aca="false">P143+P144+P145+P146+P147+P148+P149+P150</f>
        <v>-296104.084440476</v>
      </c>
      <c r="Q151" s="66" t="n">
        <f aca="false">Q143+Q144+Q145+Q146+Q147+Q148+Q149+Q150</f>
        <v>-296104.084440476</v>
      </c>
      <c r="R151" s="66" t="n">
        <f aca="false">R143+R144+R145+R146+R147+R148+R149+R150</f>
        <v>-296104.084440476</v>
      </c>
      <c r="S151" s="66" t="n">
        <f aca="false">S143+S144+S145+S146+S147+S148+S149+S150</f>
        <v>-296104.084440476</v>
      </c>
      <c r="T151" s="66" t="n">
        <f aca="false">T143+T144+T145+T146+T147+T148+T149+T150</f>
        <v>-296104.084440476</v>
      </c>
      <c r="U151" s="66" t="n">
        <f aca="false">U143+U144+U145+U146+U147+U148+U149+U150</f>
        <v>-296104.084440476</v>
      </c>
      <c r="V151" s="66" t="n">
        <f aca="false">V143+V144+V145+V146+V147+V148+V149+V150</f>
        <v>-296104.084440476</v>
      </c>
      <c r="W151" s="66" t="n">
        <f aca="false">W143+W144+W145+W146+W147+W148+W149+W150</f>
        <v>-296104.084440476</v>
      </c>
      <c r="X151" s="66" t="n">
        <f aca="false">X143+X144+X145+X146+X147+X148+X149+X150</f>
        <v>-296104.084440476</v>
      </c>
      <c r="Y151" s="66" t="n">
        <f aca="false">Y143+Y144+Y145+Y146+Y147+Y148+Y149+Y150</f>
        <v>-310543.184940476</v>
      </c>
      <c r="Z151" s="66" t="n">
        <f aca="false">Z143+Z144+Z145+Z146+Z147+Z148+Z149+Z150</f>
        <v>-310543.184940476</v>
      </c>
      <c r="AA151" s="66" t="n">
        <f aca="false">AA143+AA144+AA145+AA146+AA147+AA148+AA149+AA150</f>
        <v>-366070.605964583</v>
      </c>
      <c r="AB151" s="66" t="n">
        <f aca="false">AB143+AB144+AB145+AB146+AB147+AB148+AB149+AB150</f>
        <v>-366070.605964583</v>
      </c>
      <c r="AC151" s="66" t="n">
        <f aca="false">AC143+AC144+AC145+AC146+AC147+AC148+AC149+AC150</f>
        <v>-366070.605964583</v>
      </c>
      <c r="AD151" s="66" t="n">
        <f aca="false">AD143+AD144+AD145+AD146+AD147+AD148+AD149+AD150</f>
        <v>-366070.605964583</v>
      </c>
      <c r="AE151" s="66" t="n">
        <f aca="false">AE143+AE144+AE145+AE146+AE147+AE148+AE149+AE150</f>
        <v>-366070.605964583</v>
      </c>
      <c r="AF151" s="66" t="n">
        <f aca="false">AF143+AF144+AF145+AF146+AF147+AF148+AF149+AF150</f>
        <v>-366070.605964583</v>
      </c>
      <c r="AG151" s="66" t="n">
        <f aca="false">AG143+AG144+AG145+AG146+AG147+AG148+AG149+AG150</f>
        <v>-366070.605964583</v>
      </c>
      <c r="AH151" s="66" t="n">
        <f aca="false">AH143+AH144+AH145+AH146+AH147+AH148+AH149+AH150</f>
        <v>-366070.605964583</v>
      </c>
      <c r="AI151" s="66" t="n">
        <f aca="false">AI143+AI144+AI145+AI146+AI147+AI148+AI149+AI150</f>
        <v>-366070.605964583</v>
      </c>
      <c r="AJ151" s="66" t="n">
        <f aca="false">AJ143+AJ144+AJ145+AJ146+AJ147+AJ148+AJ149+AJ150</f>
        <v>-366070.605964583</v>
      </c>
      <c r="AK151" s="66" t="n">
        <f aca="false">AK143+AK144+AK145+AK146+AK147+AK148+AK149+AK150</f>
        <v>-384339.767164583</v>
      </c>
      <c r="AL151" s="66" t="n">
        <f aca="false">AL143+AL144+AL145+AL146+AL147+AL148+AL149+AL150</f>
        <v>-384339.767164583</v>
      </c>
      <c r="AM151" s="66" t="n">
        <f aca="false">AM143+AM144+AM145+AM146+AM147+AM148+AM149+AM150</f>
        <v>-451191.220485478</v>
      </c>
      <c r="AN151" s="66" t="n">
        <f aca="false">AN143+AN144+AN145+AN146+AN147+AN148+AN149+AN150</f>
        <v>-451191.220485478</v>
      </c>
      <c r="AO151" s="66" t="n">
        <f aca="false">AO143+AO144+AO145+AO146+AO147+AO148+AO149+AO150</f>
        <v>-451191.220485478</v>
      </c>
      <c r="AP151" s="66" t="n">
        <f aca="false">AP143+AP144+AP145+AP146+AP147+AP148+AP149+AP150</f>
        <v>-451191.220485478</v>
      </c>
      <c r="AQ151" s="66" t="n">
        <f aca="false">AQ143+AQ144+AQ145+AQ146+AQ147+AQ148+AQ149+AQ150</f>
        <v>-451191.220485478</v>
      </c>
      <c r="AR151" s="66" t="n">
        <f aca="false">AR143+AR144+AR145+AR146+AR147+AR148+AR149+AR150</f>
        <v>-451191.220485478</v>
      </c>
      <c r="AS151" s="66" t="n">
        <f aca="false">AS143+AS144+AS145+AS146+AS147+AS148+AS149+AS150</f>
        <v>-451191.220485478</v>
      </c>
      <c r="AT151" s="66" t="n">
        <f aca="false">AT143+AT144+AT145+AT146+AT147+AT148+AT149+AT150</f>
        <v>-451191.220485478</v>
      </c>
      <c r="AU151" s="66" t="n">
        <f aca="false">AU143+AU144+AU145+AU146+AU147+AU148+AU149+AU150</f>
        <v>-451191.220485478</v>
      </c>
      <c r="AV151" s="66" t="n">
        <f aca="false">AV143+AV144+AV145+AV146+AV147+AV148+AV149+AV150</f>
        <v>-451191.220485478</v>
      </c>
      <c r="AW151" s="66" t="n">
        <f aca="false">AW143+AW144+AW145+AW146+AW147+AW148+AW149+AW150</f>
        <v>-474160.401015478</v>
      </c>
      <c r="AX151" s="66" t="n">
        <f aca="false">AX143+AX144+AX145+AX146+AX147+AX148+AX149+AX150</f>
        <v>-474160.401015478</v>
      </c>
      <c r="AY151" s="66" t="n">
        <f aca="false">AY143+AY144+AY145+AY146+AY147+AY148+AY149+AY150</f>
        <v>-555368.618037209</v>
      </c>
      <c r="AZ151" s="66" t="n">
        <f aca="false">AZ143+AZ144+AZ145+AZ146+AZ147+AZ148+AZ149+AZ150</f>
        <v>-555368.618037209</v>
      </c>
      <c r="BA151" s="66" t="n">
        <f aca="false">BA143+BA144+BA145+BA146+BA147+BA148+BA149+BA150</f>
        <v>-555368.618037209</v>
      </c>
      <c r="BB151" s="66" t="n">
        <f aca="false">BB143+BB144+BB145+BB146+BB147+BB148+BB149+BB150</f>
        <v>-555368.618037209</v>
      </c>
      <c r="BC151" s="66" t="n">
        <f aca="false">BC143+BC144+BC145+BC146+BC147+BC148+BC149+BC150</f>
        <v>-555368.618037209</v>
      </c>
      <c r="BD151" s="66" t="n">
        <f aca="false">BD143+BD144+BD145+BD146+BD147+BD148+BD149+BD150</f>
        <v>-555368.618037209</v>
      </c>
      <c r="BE151" s="66" t="n">
        <f aca="false">BE143+BE144+BE145+BE146+BE147+BE148+BE149+BE150</f>
        <v>-555368.618037209</v>
      </c>
      <c r="BF151" s="66" t="n">
        <f aca="false">BF143+BF144+BF145+BF146+BF147+BF148+BF149+BF150</f>
        <v>-555368.618037209</v>
      </c>
      <c r="BG151" s="66" t="n">
        <f aca="false">BG143+BG144+BG145+BG146+BG147+BG148+BG149+BG150</f>
        <v>-555368.618037209</v>
      </c>
      <c r="BH151" s="66" t="n">
        <f aca="false">BH143+BH144+BH145+BH146+BH147+BH148+BH149+BH150</f>
        <v>-555368.618037209</v>
      </c>
      <c r="BI151" s="66" t="n">
        <f aca="false">BI143+BI144+BI145+BI146+BI147+BI148+BI149+BI150</f>
        <v>-584126.027424734</v>
      </c>
      <c r="BJ151" s="66" t="n">
        <f aca="false">BJ143+BJ144+BJ145+BJ146+BJ147+BJ148+BJ149+BJ150</f>
        <v>-584126.027424734</v>
      </c>
    </row>
    <row r="152" customFormat="false" ht="15" hidden="false" customHeight="false" outlineLevel="0" collapsed="false">
      <c r="A152" s="110" t="s">
        <v>48</v>
      </c>
      <c r="C152" s="66" t="n">
        <f aca="false">C140+C151</f>
        <v>18640.8011904762</v>
      </c>
      <c r="D152" s="66" t="n">
        <f aca="false">D140+D151</f>
        <v>18640.8011904762</v>
      </c>
      <c r="E152" s="66" t="n">
        <f aca="false">E140+E151</f>
        <v>18640.8011904762</v>
      </c>
      <c r="F152" s="66" t="n">
        <f aca="false">F140+F151</f>
        <v>18640.8011904762</v>
      </c>
      <c r="G152" s="66" t="n">
        <f aca="false">G140+G151</f>
        <v>18640.8011904762</v>
      </c>
      <c r="H152" s="66" t="n">
        <f aca="false">H140+H151</f>
        <v>18640.8011904762</v>
      </c>
      <c r="I152" s="66" t="n">
        <f aca="false">I140+I151</f>
        <v>18640.8011904762</v>
      </c>
      <c r="J152" s="66" t="n">
        <f aca="false">J140+J151</f>
        <v>18640.8011904762</v>
      </c>
      <c r="K152" s="66" t="n">
        <f aca="false">K140+K151</f>
        <v>18640.8011904762</v>
      </c>
      <c r="L152" s="66" t="n">
        <f aca="false">L140+L151</f>
        <v>18640.8011904762</v>
      </c>
      <c r="M152" s="66" t="n">
        <f aca="false">M140+M151</f>
        <v>65543.8511904763</v>
      </c>
      <c r="N152" s="66" t="n">
        <f aca="false">N140+N151</f>
        <v>65543.8511904763</v>
      </c>
      <c r="O152" s="66" t="n">
        <f aca="false">O140+O151</f>
        <v>37767.1714880953</v>
      </c>
      <c r="P152" s="66" t="n">
        <f aca="false">P140+P151</f>
        <v>37767.1714880953</v>
      </c>
      <c r="Q152" s="66" t="n">
        <f aca="false">Q140+Q151</f>
        <v>37767.1714880953</v>
      </c>
      <c r="R152" s="66" t="n">
        <f aca="false">R140+R151</f>
        <v>37767.1714880953</v>
      </c>
      <c r="S152" s="66" t="n">
        <f aca="false">S140+S151</f>
        <v>37767.1714880953</v>
      </c>
      <c r="T152" s="66" t="n">
        <f aca="false">T140+T151</f>
        <v>37767.1714880953</v>
      </c>
      <c r="U152" s="66" t="n">
        <f aca="false">U140+U151</f>
        <v>37767.1714880953</v>
      </c>
      <c r="V152" s="66" t="n">
        <f aca="false">V140+V151</f>
        <v>37767.1714880953</v>
      </c>
      <c r="W152" s="66" t="n">
        <f aca="false">W140+W151</f>
        <v>37767.1714880953</v>
      </c>
      <c r="X152" s="66" t="n">
        <f aca="false">X140+X151</f>
        <v>37767.1714880953</v>
      </c>
      <c r="Y152" s="66" t="n">
        <f aca="false">Y140+Y151</f>
        <v>102036.013988095</v>
      </c>
      <c r="Z152" s="66" t="n">
        <f aca="false">Z140+Z151</f>
        <v>102036.013988095</v>
      </c>
      <c r="AA152" s="66" t="n">
        <f aca="false">AA140+AA151</f>
        <v>59051.5482639882</v>
      </c>
      <c r="AB152" s="66" t="n">
        <f aca="false">AB140+AB151</f>
        <v>59051.5482639882</v>
      </c>
      <c r="AC152" s="66" t="n">
        <f aca="false">AC140+AC151</f>
        <v>59051.5482639882</v>
      </c>
      <c r="AD152" s="66" t="n">
        <f aca="false">AD140+AD151</f>
        <v>59051.5482639882</v>
      </c>
      <c r="AE152" s="66" t="n">
        <f aca="false">AE140+AE151</f>
        <v>59051.5482639882</v>
      </c>
      <c r="AF152" s="66" t="n">
        <f aca="false">AF140+AF151</f>
        <v>59051.5482639882</v>
      </c>
      <c r="AG152" s="66" t="n">
        <f aca="false">AG140+AG151</f>
        <v>59051.5482639882</v>
      </c>
      <c r="AH152" s="66" t="n">
        <f aca="false">AH140+AH151</f>
        <v>59051.5482639882</v>
      </c>
      <c r="AI152" s="66" t="n">
        <f aca="false">AI140+AI151</f>
        <v>59051.5482639882</v>
      </c>
      <c r="AJ152" s="66" t="n">
        <f aca="false">AJ140+AJ151</f>
        <v>59051.5482639882</v>
      </c>
      <c r="AK152" s="66" t="n">
        <f aca="false">AK140+AK151</f>
        <v>143426.170263988</v>
      </c>
      <c r="AL152" s="66" t="n">
        <f aca="false">AL140+AL151</f>
        <v>143426.170263988</v>
      </c>
      <c r="AM152" s="66" t="n">
        <f aca="false">AM140+AM151</f>
        <v>82827.0267530941</v>
      </c>
      <c r="AN152" s="66" t="n">
        <f aca="false">AN140+AN151</f>
        <v>82827.0267530941</v>
      </c>
      <c r="AO152" s="66" t="n">
        <f aca="false">AO140+AO151</f>
        <v>82827.0267530941</v>
      </c>
      <c r="AP152" s="66" t="n">
        <f aca="false">AP140+AP151</f>
        <v>82827.0267530941</v>
      </c>
      <c r="AQ152" s="66" t="n">
        <f aca="false">AQ140+AQ151</f>
        <v>82827.0267530941</v>
      </c>
      <c r="AR152" s="66" t="n">
        <f aca="false">AR140+AR151</f>
        <v>82827.0267530941</v>
      </c>
      <c r="AS152" s="66" t="n">
        <f aca="false">AS140+AS151</f>
        <v>82827.0267530941</v>
      </c>
      <c r="AT152" s="66" t="n">
        <f aca="false">AT140+AT151</f>
        <v>82827.0267530941</v>
      </c>
      <c r="AU152" s="66" t="n">
        <f aca="false">AU140+AU151</f>
        <v>82827.0267530941</v>
      </c>
      <c r="AV152" s="66" t="n">
        <f aca="false">AV140+AV151</f>
        <v>82827.0267530941</v>
      </c>
      <c r="AW152" s="66" t="n">
        <f aca="false">AW140+AW151</f>
        <v>190728.669803094</v>
      </c>
      <c r="AX152" s="66" t="n">
        <f aca="false">AX140+AX151</f>
        <v>190728.669803094</v>
      </c>
      <c r="AY152" s="66" t="n">
        <f aca="false">AY140+AY151</f>
        <v>109473.193872848</v>
      </c>
      <c r="AZ152" s="66" t="n">
        <f aca="false">AZ140+AZ151</f>
        <v>109473.193872848</v>
      </c>
      <c r="BA152" s="66" t="n">
        <f aca="false">BA140+BA151</f>
        <v>109473.193872848</v>
      </c>
      <c r="BB152" s="66" t="n">
        <f aca="false">BB140+BB151</f>
        <v>109473.193872848</v>
      </c>
      <c r="BC152" s="66" t="n">
        <f aca="false">BC140+BC151</f>
        <v>109473.193872848</v>
      </c>
      <c r="BD152" s="66" t="n">
        <f aca="false">BD140+BD151</f>
        <v>109473.193872848</v>
      </c>
      <c r="BE152" s="66" t="n">
        <f aca="false">BE140+BE151</f>
        <v>109473.193872848</v>
      </c>
      <c r="BF152" s="66" t="n">
        <f aca="false">BF140+BF151</f>
        <v>109473.193872848</v>
      </c>
      <c r="BG152" s="66" t="n">
        <f aca="false">BG140+BG151</f>
        <v>109473.193872848</v>
      </c>
      <c r="BH152" s="66" t="n">
        <f aca="false">BH140+BH151</f>
        <v>109473.193872848</v>
      </c>
      <c r="BI152" s="66" t="n">
        <f aca="false">BI140+BI151</f>
        <v>245192.365977473</v>
      </c>
      <c r="BJ152" s="66" t="n">
        <f aca="false">BJ140+BJ151</f>
        <v>245192.365977473</v>
      </c>
    </row>
    <row r="154" customFormat="false" ht="15.75" hidden="false" customHeight="true" outlineLevel="0" collapsed="false">
      <c r="A154" s="7" t="s">
        <v>418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customFormat="false" ht="15" hidden="false" customHeight="false" outlineLevel="0" collapsed="false">
      <c r="A155" s="4" t="s">
        <v>79</v>
      </c>
      <c r="C155" s="71" t="n">
        <f aca="false">C152+C166</f>
        <v>14474.1345238095</v>
      </c>
      <c r="D155" s="71" t="n">
        <f aca="false">D152+D166</f>
        <v>14474.1345238095</v>
      </c>
      <c r="E155" s="71" t="n">
        <f aca="false">E152+E166</f>
        <v>14474.1345238095</v>
      </c>
      <c r="F155" s="71" t="n">
        <f aca="false">F152+F166</f>
        <v>14474.1345238095</v>
      </c>
      <c r="G155" s="71" t="n">
        <f aca="false">G152+G166</f>
        <v>14474.1345238095</v>
      </c>
      <c r="H155" s="71" t="n">
        <f aca="false">H152+H166</f>
        <v>14474.1345238095</v>
      </c>
      <c r="I155" s="71" t="n">
        <f aca="false">I152+I166</f>
        <v>14474.1345238095</v>
      </c>
      <c r="J155" s="71" t="n">
        <f aca="false">J152+J166</f>
        <v>14474.1345238095</v>
      </c>
      <c r="K155" s="71" t="n">
        <f aca="false">K152+K166</f>
        <v>14474.1345238095</v>
      </c>
      <c r="L155" s="71" t="n">
        <f aca="false">L152+L166</f>
        <v>14474.1345238095</v>
      </c>
      <c r="M155" s="71" t="n">
        <f aca="false">M152+M166</f>
        <v>61377.1845238097</v>
      </c>
      <c r="N155" s="71" t="n">
        <f aca="false">N152+N166</f>
        <v>61377.1845238097</v>
      </c>
      <c r="O155" s="71" t="n">
        <f aca="false">O152+O166</f>
        <v>31814.7905357143</v>
      </c>
      <c r="P155" s="71" t="n">
        <f aca="false">P152+P166</f>
        <v>31814.7905357143</v>
      </c>
      <c r="Q155" s="71" t="n">
        <f aca="false">Q152+Q166</f>
        <v>31814.7905357143</v>
      </c>
      <c r="R155" s="71" t="n">
        <f aca="false">R152+R166</f>
        <v>31814.7905357143</v>
      </c>
      <c r="S155" s="71" t="n">
        <f aca="false">S152+S166</f>
        <v>31814.7905357143</v>
      </c>
      <c r="T155" s="71" t="n">
        <f aca="false">T152+T166</f>
        <v>31814.7905357143</v>
      </c>
      <c r="U155" s="71" t="n">
        <f aca="false">U152+U166</f>
        <v>31814.7905357143</v>
      </c>
      <c r="V155" s="71" t="n">
        <f aca="false">V152+V166</f>
        <v>31814.7905357143</v>
      </c>
      <c r="W155" s="71" t="n">
        <f aca="false">W152+W166</f>
        <v>31814.7905357143</v>
      </c>
      <c r="X155" s="71" t="n">
        <f aca="false">X152+X166</f>
        <v>31814.7905357143</v>
      </c>
      <c r="Y155" s="71" t="n">
        <f aca="false">Y152+Y166</f>
        <v>96083.6330357143</v>
      </c>
      <c r="Z155" s="71" t="n">
        <f aca="false">Z152+Z166</f>
        <v>96083.6330357143</v>
      </c>
      <c r="AA155" s="71" t="n">
        <f aca="false">AA152+AA166</f>
        <v>51313.4530258929</v>
      </c>
      <c r="AB155" s="71" t="n">
        <f aca="false">AB152+AB166</f>
        <v>51313.4530258929</v>
      </c>
      <c r="AC155" s="71" t="n">
        <f aca="false">AC152+AC166</f>
        <v>51313.4530258929</v>
      </c>
      <c r="AD155" s="71" t="n">
        <f aca="false">AD152+AD166</f>
        <v>51313.4530258929</v>
      </c>
      <c r="AE155" s="71" t="n">
        <f aca="false">AE152+AE166</f>
        <v>51313.4530258929</v>
      </c>
      <c r="AF155" s="71" t="n">
        <f aca="false">AF152+AF166</f>
        <v>51313.4530258929</v>
      </c>
      <c r="AG155" s="71" t="n">
        <f aca="false">AG152+AG166</f>
        <v>51313.4530258929</v>
      </c>
      <c r="AH155" s="71" t="n">
        <f aca="false">AH152+AH166</f>
        <v>51313.4530258929</v>
      </c>
      <c r="AI155" s="71" t="n">
        <f aca="false">AI152+AI166</f>
        <v>51313.4530258929</v>
      </c>
      <c r="AJ155" s="71" t="n">
        <f aca="false">AJ152+AJ166</f>
        <v>51313.4530258929</v>
      </c>
      <c r="AK155" s="71" t="n">
        <f aca="false">AK152+AK166</f>
        <v>135688.075025893</v>
      </c>
      <c r="AL155" s="71" t="n">
        <f aca="false">AL152+AL166</f>
        <v>135688.075025893</v>
      </c>
      <c r="AM155" s="71" t="n">
        <f aca="false">AM152+AM166</f>
        <v>73303.2172292845</v>
      </c>
      <c r="AN155" s="71" t="n">
        <f aca="false">AN152+AN166</f>
        <v>73303.2172292845</v>
      </c>
      <c r="AO155" s="71" t="n">
        <f aca="false">AO152+AO166</f>
        <v>73303.2172292845</v>
      </c>
      <c r="AP155" s="71" t="n">
        <f aca="false">AP152+AP166</f>
        <v>73303.2172292845</v>
      </c>
      <c r="AQ155" s="71" t="n">
        <f aca="false">AQ152+AQ166</f>
        <v>73303.2172292845</v>
      </c>
      <c r="AR155" s="71" t="n">
        <f aca="false">AR152+AR166</f>
        <v>73303.2172292845</v>
      </c>
      <c r="AS155" s="71" t="n">
        <f aca="false">AS152+AS166</f>
        <v>73303.2172292845</v>
      </c>
      <c r="AT155" s="71" t="n">
        <f aca="false">AT152+AT166</f>
        <v>73303.2172292845</v>
      </c>
      <c r="AU155" s="71" t="n">
        <f aca="false">AU152+AU166</f>
        <v>73303.2172292845</v>
      </c>
      <c r="AV155" s="71" t="n">
        <f aca="false">AV152+AV166</f>
        <v>73303.2172292845</v>
      </c>
      <c r="AW155" s="71" t="n">
        <f aca="false">AW152+AW166</f>
        <v>181204.860279284</v>
      </c>
      <c r="AX155" s="71" t="n">
        <f aca="false">AX152+AX166</f>
        <v>181204.860279284</v>
      </c>
      <c r="AY155" s="71" t="n">
        <f aca="false">AY152+AY166</f>
        <v>98163.6700633239</v>
      </c>
      <c r="AZ155" s="71" t="n">
        <f aca="false">AZ152+AZ166</f>
        <v>98163.6700633239</v>
      </c>
      <c r="BA155" s="71" t="n">
        <f aca="false">BA152+BA166</f>
        <v>98163.6700633239</v>
      </c>
      <c r="BB155" s="71" t="n">
        <f aca="false">BB152+BB166</f>
        <v>98163.6700633239</v>
      </c>
      <c r="BC155" s="71" t="n">
        <f aca="false">BC152+BC166</f>
        <v>98163.6700633239</v>
      </c>
      <c r="BD155" s="71" t="n">
        <f aca="false">BD152+BD166</f>
        <v>98163.6700633239</v>
      </c>
      <c r="BE155" s="71" t="n">
        <f aca="false">BE152+BE166</f>
        <v>98163.6700633239</v>
      </c>
      <c r="BF155" s="71" t="n">
        <f aca="false">BF152+BF166</f>
        <v>98163.6700633239</v>
      </c>
      <c r="BG155" s="71" t="n">
        <f aca="false">BG152+BG166</f>
        <v>98163.6700633239</v>
      </c>
      <c r="BH155" s="71" t="n">
        <f aca="false">BH152+BH166</f>
        <v>98163.6700633239</v>
      </c>
      <c r="BI155" s="71" t="n">
        <f aca="false">BI152+BI166</f>
        <v>233882.842167949</v>
      </c>
      <c r="BJ155" s="71" t="n">
        <f aca="false">BJ152+BJ166</f>
        <v>233882.842167949</v>
      </c>
    </row>
    <row r="156" customFormat="false" ht="15" hidden="false" customHeight="false" outlineLevel="0" collapsed="false">
      <c r="A156" s="6" t="s">
        <v>419</v>
      </c>
      <c r="C156" s="65" t="n">
        <f aca="false">-(C171+C172+C174)/2*Inputs!$C$60/12</f>
        <v>-3333.33333333333</v>
      </c>
      <c r="D156" s="65" t="n">
        <f aca="false">-(D171+D172+D174)/2*Inputs!$C$60/12</f>
        <v>-3305.55555555556</v>
      </c>
      <c r="E156" s="65" t="n">
        <f aca="false">-(E171+E172+E174)/2*Inputs!$C$60/12</f>
        <v>-3250</v>
      </c>
      <c r="F156" s="65" t="n">
        <f aca="false">-(F171+F172+F174)/2*Inputs!$C$60/12</f>
        <v>-3194.44444444445</v>
      </c>
      <c r="G156" s="65" t="n">
        <f aca="false">-(G171+G172+G174)/2*Inputs!$C$60/12</f>
        <v>-3138.88888888889</v>
      </c>
      <c r="H156" s="65" t="n">
        <f aca="false">-(H171+H172+H174)/2*Inputs!$C$60/12</f>
        <v>-3083.33333333333</v>
      </c>
      <c r="I156" s="65" t="n">
        <f aca="false">-(I171+I172+I174)/2*Inputs!$C$60/12</f>
        <v>-3027.77777777778</v>
      </c>
      <c r="J156" s="65" t="n">
        <f aca="false">-(J171+J172+J174)/2*Inputs!$C$60/12</f>
        <v>-2972.22222222222</v>
      </c>
      <c r="K156" s="65" t="n">
        <f aca="false">-(K171+K172+K174)/2*Inputs!$C$60/12</f>
        <v>-2916.66666666667</v>
      </c>
      <c r="L156" s="65" t="n">
        <f aca="false">-(L171+L172+L174)/2*Inputs!$C$60/12</f>
        <v>-2861.11111111111</v>
      </c>
      <c r="M156" s="65" t="n">
        <f aca="false">-(M171+M172+M174)/2*Inputs!$C$60/12</f>
        <v>-2805.55555555556</v>
      </c>
      <c r="N156" s="65" t="n">
        <f aca="false">-(N171+N172+N174)/2*Inputs!$C$60/12</f>
        <v>-2750</v>
      </c>
      <c r="O156" s="65" t="n">
        <f aca="false">-(O171+O172+O174)/2*Inputs!$C$60/12</f>
        <v>-2694.44444444445</v>
      </c>
      <c r="P156" s="65" t="n">
        <f aca="false">-(P171+P172+P174)/2*Inputs!$C$60/12</f>
        <v>-2638.88888888889</v>
      </c>
      <c r="Q156" s="65" t="n">
        <f aca="false">-(Q171+Q172+Q174)/2*Inputs!$C$60/12</f>
        <v>-2583.33333333334</v>
      </c>
      <c r="R156" s="65" t="n">
        <f aca="false">-(R171+R172+R174)/2*Inputs!$C$60/12</f>
        <v>-2527.77777777778</v>
      </c>
      <c r="S156" s="65" t="n">
        <f aca="false">-(S171+S172+S174)/2*Inputs!$C$60/12</f>
        <v>-2472.22222222222</v>
      </c>
      <c r="T156" s="65" t="n">
        <f aca="false">-(T171+T172+T174)/2*Inputs!$C$60/12</f>
        <v>-2416.66666666667</v>
      </c>
      <c r="U156" s="65" t="n">
        <f aca="false">-(U171+U172+U174)/2*Inputs!$C$60/12</f>
        <v>-2361.11111111111</v>
      </c>
      <c r="V156" s="65" t="n">
        <f aca="false">-(V171+V172+V174)/2*Inputs!$C$60/12</f>
        <v>-2305.55555555556</v>
      </c>
      <c r="W156" s="65" t="n">
        <f aca="false">-(W171+W172+W174)/2*Inputs!$C$60/12</f>
        <v>-2250</v>
      </c>
      <c r="X156" s="65" t="n">
        <f aca="false">-(X171+X172+X174)/2*Inputs!$C$60/12</f>
        <v>-2194.44444444445</v>
      </c>
      <c r="Y156" s="65" t="n">
        <f aca="false">-(Y171+Y172+Y174)/2*Inputs!$C$60/12</f>
        <v>-2138.88888888889</v>
      </c>
      <c r="Z156" s="65" t="n">
        <f aca="false">-(Z171+Z172+Z174)/2*Inputs!$C$60/12</f>
        <v>-2083.33333333334</v>
      </c>
      <c r="AA156" s="65" t="n">
        <f aca="false">-(AA171+AA172+AA174)/2*Inputs!$C$60/12</f>
        <v>-2027.77777777778</v>
      </c>
      <c r="AB156" s="65" t="n">
        <f aca="false">-(AB171+AB172+AB174)/2*Inputs!$C$60/12</f>
        <v>-1972.22222222223</v>
      </c>
      <c r="AC156" s="65" t="n">
        <f aca="false">-(AC171+AC172+AC174)/2*Inputs!$C$60/12</f>
        <v>-1916.66666666667</v>
      </c>
      <c r="AD156" s="65" t="n">
        <f aca="false">-(AD171+AD172+AD174)/2*Inputs!$C$60/12</f>
        <v>-1861.11111111111</v>
      </c>
      <c r="AE156" s="65" t="n">
        <f aca="false">-(AE171+AE172+AE174)/2*Inputs!$C$60/12</f>
        <v>-1805.55555555556</v>
      </c>
      <c r="AF156" s="65" t="n">
        <f aca="false">-(AF171+AF172+AF174)/2*Inputs!$C$60/12</f>
        <v>-1750</v>
      </c>
      <c r="AG156" s="65" t="n">
        <f aca="false">-(AG171+AG172+AG174)/2*Inputs!$C$60/12</f>
        <v>-1694.44444444445</v>
      </c>
      <c r="AH156" s="65" t="n">
        <f aca="false">-(AH171+AH172+AH174)/2*Inputs!$C$60/12</f>
        <v>-1638.88888888889</v>
      </c>
      <c r="AI156" s="65" t="n">
        <f aca="false">-(AI171+AI172+AI174)/2*Inputs!$C$60/12</f>
        <v>-1583.33333333334</v>
      </c>
      <c r="AJ156" s="65" t="n">
        <f aca="false">-(AJ171+AJ172+AJ174)/2*Inputs!$C$60/12</f>
        <v>-1527.77777777778</v>
      </c>
      <c r="AK156" s="65" t="n">
        <f aca="false">-(AK171+AK172+AK174)/2*Inputs!$C$60/12</f>
        <v>-1472.22222222223</v>
      </c>
      <c r="AL156" s="65" t="n">
        <f aca="false">-(AL171+AL172+AL174)/2*Inputs!$C$60/12</f>
        <v>-1416.66666666667</v>
      </c>
      <c r="AM156" s="65" t="n">
        <f aca="false">-(AM171+AM172+AM174)/2*Inputs!$C$60/12</f>
        <v>-1361.11111111111</v>
      </c>
      <c r="AN156" s="65" t="n">
        <f aca="false">-(AN171+AN172+AN174)/2*Inputs!$C$60/12</f>
        <v>-1305.55555555556</v>
      </c>
      <c r="AO156" s="65" t="n">
        <f aca="false">-(AO171+AO172+AO174)/2*Inputs!$C$60/12</f>
        <v>-1250</v>
      </c>
      <c r="AP156" s="65" t="n">
        <f aca="false">-(AP171+AP172+AP174)/2*Inputs!$C$60/12</f>
        <v>-1194.44444444445</v>
      </c>
      <c r="AQ156" s="65" t="n">
        <f aca="false">-(AQ171+AQ172+AQ174)/2*Inputs!$C$60/12</f>
        <v>-1138.88888888889</v>
      </c>
      <c r="AR156" s="65" t="n">
        <f aca="false">-(AR171+AR172+AR174)/2*Inputs!$C$60/12</f>
        <v>-1083.33333333334</v>
      </c>
      <c r="AS156" s="65" t="n">
        <f aca="false">-(AS171+AS172+AS174)/2*Inputs!$C$60/12</f>
        <v>-1027.77777777778</v>
      </c>
      <c r="AT156" s="65" t="n">
        <f aca="false">-(AT171+AT172+AT174)/2*Inputs!$C$60/12</f>
        <v>-972.222222222225</v>
      </c>
      <c r="AU156" s="65" t="n">
        <f aca="false">-(AU171+AU172+AU174)/2*Inputs!$C$60/12</f>
        <v>-916.666666666669</v>
      </c>
      <c r="AV156" s="65" t="n">
        <f aca="false">-(AV171+AV172+AV174)/2*Inputs!$C$60/12</f>
        <v>-861.111111111114</v>
      </c>
      <c r="AW156" s="65" t="n">
        <f aca="false">-(AW171+AW172+AW174)/2*Inputs!$C$60/12</f>
        <v>-805.555555555558</v>
      </c>
      <c r="AX156" s="65" t="n">
        <f aca="false">-(AX171+AX172+AX174)/2*Inputs!$C$60/12</f>
        <v>-750.000000000003</v>
      </c>
      <c r="AY156" s="65" t="n">
        <f aca="false">-(AY171+AY172+AY174)/2*Inputs!$C$60/12</f>
        <v>-694.444444444447</v>
      </c>
      <c r="AZ156" s="65" t="n">
        <f aca="false">-(AZ171+AZ172+AZ174)/2*Inputs!$C$60/12</f>
        <v>-638.888888888892</v>
      </c>
      <c r="BA156" s="65" t="n">
        <f aca="false">-(BA171+BA172+BA174)/2*Inputs!$C$60/12</f>
        <v>-583.333333333336</v>
      </c>
      <c r="BB156" s="65" t="n">
        <f aca="false">-(BB171+BB172+BB174)/2*Inputs!$C$60/12</f>
        <v>-527.777777777781</v>
      </c>
      <c r="BC156" s="65" t="n">
        <f aca="false">-(BC171+BC172+BC174)/2*Inputs!$C$60/12</f>
        <v>-472.222222222225</v>
      </c>
      <c r="BD156" s="65" t="n">
        <f aca="false">-(BD171+BD172+BD174)/2*Inputs!$C$60/12</f>
        <v>-416.666666666669</v>
      </c>
      <c r="BE156" s="65" t="n">
        <f aca="false">-(BE171+BE172+BE174)/2*Inputs!$C$60/12</f>
        <v>-361.111111111114</v>
      </c>
      <c r="BF156" s="65" t="n">
        <f aca="false">-(BF171+BF172+BF174)/2*Inputs!$C$60/12</f>
        <v>-305.555555555558</v>
      </c>
      <c r="BG156" s="65" t="n">
        <f aca="false">-(BG171+BG172+BG174)/2*Inputs!$C$60/12</f>
        <v>-250.000000000003</v>
      </c>
      <c r="BH156" s="65" t="n">
        <f aca="false">-(BH171+BH172+BH174)/2*Inputs!$C$60/12</f>
        <v>-194.444444444447</v>
      </c>
      <c r="BI156" s="65" t="n">
        <f aca="false">-(BI171+BI172+BI174)/2*Inputs!$C$60/12</f>
        <v>-138.888888888892</v>
      </c>
      <c r="BJ156" s="65" t="n">
        <f aca="false">-(BJ171+BJ172+BJ174)/2*Inputs!$C$60/12</f>
        <v>-83.3333333333361</v>
      </c>
    </row>
    <row r="157" customFormat="false" ht="15" hidden="false" customHeight="false" outlineLevel="0" collapsed="false">
      <c r="A157" s="110" t="s">
        <v>81</v>
      </c>
      <c r="C157" s="66" t="n">
        <f aca="false">C155+C156</f>
        <v>11140.8011904762</v>
      </c>
      <c r="D157" s="66" t="n">
        <f aca="false">D155+D156</f>
        <v>11168.5789682539</v>
      </c>
      <c r="E157" s="66" t="n">
        <f aca="false">E155+E156</f>
        <v>11224.1345238095</v>
      </c>
      <c r="F157" s="66" t="n">
        <f aca="false">F155+F156</f>
        <v>11279.6900793651</v>
      </c>
      <c r="G157" s="66" t="n">
        <f aca="false">G155+G156</f>
        <v>11335.2456349206</v>
      </c>
      <c r="H157" s="66" t="n">
        <f aca="false">H155+H156</f>
        <v>11390.8011904762</v>
      </c>
      <c r="I157" s="66" t="n">
        <f aca="false">I155+I156</f>
        <v>11446.3567460317</v>
      </c>
      <c r="J157" s="66" t="n">
        <f aca="false">J155+J156</f>
        <v>11501.9123015873</v>
      </c>
      <c r="K157" s="66" t="n">
        <f aca="false">K155+K156</f>
        <v>11557.4678571428</v>
      </c>
      <c r="L157" s="66" t="n">
        <f aca="false">L155+L156</f>
        <v>11613.0234126984</v>
      </c>
      <c r="M157" s="66" t="n">
        <f aca="false">M155+M156</f>
        <v>58571.6289682541</v>
      </c>
      <c r="N157" s="66" t="n">
        <f aca="false">N155+N156</f>
        <v>58627.1845238097</v>
      </c>
      <c r="O157" s="66" t="n">
        <f aca="false">O155+O156</f>
        <v>29120.3460912699</v>
      </c>
      <c r="P157" s="66" t="n">
        <f aca="false">P155+P156</f>
        <v>29175.9016468254</v>
      </c>
      <c r="Q157" s="66" t="n">
        <f aca="false">Q155+Q156</f>
        <v>29231.457202381</v>
      </c>
      <c r="R157" s="66" t="n">
        <f aca="false">R155+R156</f>
        <v>29287.0127579365</v>
      </c>
      <c r="S157" s="66" t="n">
        <f aca="false">S155+S156</f>
        <v>29342.5683134921</v>
      </c>
      <c r="T157" s="66" t="n">
        <f aca="false">T155+T156</f>
        <v>29398.1238690476</v>
      </c>
      <c r="U157" s="66" t="n">
        <f aca="false">U155+U156</f>
        <v>29453.6794246032</v>
      </c>
      <c r="V157" s="66" t="n">
        <f aca="false">V155+V156</f>
        <v>29509.2349801587</v>
      </c>
      <c r="W157" s="66" t="n">
        <f aca="false">W155+W156</f>
        <v>29564.7905357143</v>
      </c>
      <c r="X157" s="66" t="n">
        <f aca="false">X155+X156</f>
        <v>29620.3460912698</v>
      </c>
      <c r="Y157" s="66" t="n">
        <f aca="false">Y155+Y156</f>
        <v>93944.7441468254</v>
      </c>
      <c r="Z157" s="66" t="n">
        <f aca="false">Z155+Z156</f>
        <v>94000.299702381</v>
      </c>
      <c r="AA157" s="66" t="n">
        <f aca="false">AA155+AA156</f>
        <v>49285.6752481152</v>
      </c>
      <c r="AB157" s="66" t="n">
        <f aca="false">AB155+AB156</f>
        <v>49341.2308036707</v>
      </c>
      <c r="AC157" s="66" t="n">
        <f aca="false">AC155+AC156</f>
        <v>49396.7863592263</v>
      </c>
      <c r="AD157" s="66" t="n">
        <f aca="false">AD155+AD156</f>
        <v>49452.3419147818</v>
      </c>
      <c r="AE157" s="66" t="n">
        <f aca="false">AE155+AE156</f>
        <v>49507.8974703374</v>
      </c>
      <c r="AF157" s="66" t="n">
        <f aca="false">AF155+AF156</f>
        <v>49563.4530258929</v>
      </c>
      <c r="AG157" s="66" t="n">
        <f aca="false">AG155+AG156</f>
        <v>49619.0085814485</v>
      </c>
      <c r="AH157" s="66" t="n">
        <f aca="false">AH155+AH156</f>
        <v>49674.564137004</v>
      </c>
      <c r="AI157" s="66" t="n">
        <f aca="false">AI155+AI156</f>
        <v>49730.1196925596</v>
      </c>
      <c r="AJ157" s="66" t="n">
        <f aca="false">AJ155+AJ156</f>
        <v>49785.6752481152</v>
      </c>
      <c r="AK157" s="66" t="n">
        <f aca="false">AK155+AK156</f>
        <v>134215.852803671</v>
      </c>
      <c r="AL157" s="66" t="n">
        <f aca="false">AL155+AL156</f>
        <v>134271.408359226</v>
      </c>
      <c r="AM157" s="66" t="n">
        <f aca="false">AM155+AM156</f>
        <v>71942.1061181734</v>
      </c>
      <c r="AN157" s="66" t="n">
        <f aca="false">AN155+AN156</f>
        <v>71997.661673729</v>
      </c>
      <c r="AO157" s="66" t="n">
        <f aca="false">AO155+AO156</f>
        <v>72053.2172292845</v>
      </c>
      <c r="AP157" s="66" t="n">
        <f aca="false">AP155+AP156</f>
        <v>72108.7727848401</v>
      </c>
      <c r="AQ157" s="66" t="n">
        <f aca="false">AQ155+AQ156</f>
        <v>72164.3283403956</v>
      </c>
      <c r="AR157" s="66" t="n">
        <f aca="false">AR155+AR156</f>
        <v>72219.8838959512</v>
      </c>
      <c r="AS157" s="66" t="n">
        <f aca="false">AS155+AS156</f>
        <v>72275.4394515067</v>
      </c>
      <c r="AT157" s="66" t="n">
        <f aca="false">AT155+AT156</f>
        <v>72330.9950070623</v>
      </c>
      <c r="AU157" s="66" t="n">
        <f aca="false">AU155+AU156</f>
        <v>72386.5505626179</v>
      </c>
      <c r="AV157" s="66" t="n">
        <f aca="false">AV155+AV156</f>
        <v>72442.1061181734</v>
      </c>
      <c r="AW157" s="66" t="n">
        <f aca="false">AW155+AW156</f>
        <v>180399.304723729</v>
      </c>
      <c r="AX157" s="66" t="n">
        <f aca="false">AX155+AX156</f>
        <v>180454.860279284</v>
      </c>
      <c r="AY157" s="66" t="n">
        <f aca="false">AY155+AY156</f>
        <v>97469.2256188794</v>
      </c>
      <c r="AZ157" s="66" t="n">
        <f aca="false">AZ155+AZ156</f>
        <v>97524.781174435</v>
      </c>
      <c r="BA157" s="66" t="n">
        <f aca="false">BA155+BA156</f>
        <v>97580.3367299906</v>
      </c>
      <c r="BB157" s="66" t="n">
        <f aca="false">BB155+BB156</f>
        <v>97635.8922855461</v>
      </c>
      <c r="BC157" s="66" t="n">
        <f aca="false">BC155+BC156</f>
        <v>97691.4478411017</v>
      </c>
      <c r="BD157" s="66" t="n">
        <f aca="false">BD155+BD156</f>
        <v>97747.0033966572</v>
      </c>
      <c r="BE157" s="66" t="n">
        <f aca="false">BE155+BE156</f>
        <v>97802.5589522128</v>
      </c>
      <c r="BF157" s="66" t="n">
        <f aca="false">BF155+BF156</f>
        <v>97858.1145077683</v>
      </c>
      <c r="BG157" s="66" t="n">
        <f aca="false">BG155+BG156</f>
        <v>97913.6700633239</v>
      </c>
      <c r="BH157" s="66" t="n">
        <f aca="false">BH155+BH156</f>
        <v>97969.2256188794</v>
      </c>
      <c r="BI157" s="66" t="n">
        <f aca="false">BI155+BI156</f>
        <v>233743.95327906</v>
      </c>
      <c r="BJ157" s="66" t="n">
        <f aca="false">BJ155+BJ156</f>
        <v>233799.508834616</v>
      </c>
    </row>
    <row r="158" customFormat="false" ht="15" hidden="false" customHeight="false" outlineLevel="0" collapsed="false">
      <c r="A158" s="117" t="s">
        <v>420</v>
      </c>
      <c r="C158" s="65" t="n">
        <f aca="false">C157</f>
        <v>11140.8011904762</v>
      </c>
      <c r="D158" s="65" t="n">
        <f aca="false">C158+D157</f>
        <v>22309.3801587301</v>
      </c>
      <c r="E158" s="65" t="n">
        <f aca="false">D158+E157</f>
        <v>33533.5146825396</v>
      </c>
      <c r="F158" s="65" t="n">
        <f aca="false">E158+F157</f>
        <v>44813.2047619047</v>
      </c>
      <c r="G158" s="65" t="n">
        <f aca="false">F158+G157</f>
        <v>56148.4503968253</v>
      </c>
      <c r="H158" s="65" t="n">
        <f aca="false">G158+H157</f>
        <v>67539.2515873014</v>
      </c>
      <c r="I158" s="65" t="n">
        <f aca="false">H158+I157</f>
        <v>78985.6083333332</v>
      </c>
      <c r="J158" s="65" t="n">
        <f aca="false">I158+J157</f>
        <v>90487.5206349204</v>
      </c>
      <c r="K158" s="65" t="n">
        <f aca="false">J158+K157</f>
        <v>102044.988492063</v>
      </c>
      <c r="L158" s="65" t="n">
        <f aca="false">K158+L157</f>
        <v>113658.011904762</v>
      </c>
      <c r="M158" s="65" t="n">
        <f aca="false">L158+M157</f>
        <v>172229.640873016</v>
      </c>
      <c r="N158" s="65" t="n">
        <f aca="false">M158+N157</f>
        <v>230856.825396825</v>
      </c>
      <c r="O158" s="65" t="n">
        <f aca="false">N158+O157</f>
        <v>259977.171488095</v>
      </c>
      <c r="P158" s="65" t="n">
        <f aca="false">O158+P157</f>
        <v>289153.073134921</v>
      </c>
      <c r="Q158" s="65" t="n">
        <f aca="false">P158+Q157</f>
        <v>318384.530337302</v>
      </c>
      <c r="R158" s="65" t="n">
        <f aca="false">Q158+R157</f>
        <v>347671.543095238</v>
      </c>
      <c r="S158" s="65" t="n">
        <f aca="false">R158+S157</f>
        <v>377014.11140873</v>
      </c>
      <c r="T158" s="65" t="n">
        <f aca="false">S158+T157</f>
        <v>406412.235277778</v>
      </c>
      <c r="U158" s="65" t="n">
        <f aca="false">T158+U157</f>
        <v>435865.914702381</v>
      </c>
      <c r="V158" s="65" t="n">
        <f aca="false">U158+V157</f>
        <v>465375.14968254</v>
      </c>
      <c r="W158" s="65" t="n">
        <f aca="false">V158+W157</f>
        <v>494939.940218254</v>
      </c>
      <c r="X158" s="65" t="n">
        <f aca="false">W158+X157</f>
        <v>524560.286309524</v>
      </c>
      <c r="Y158" s="65" t="n">
        <f aca="false">X158+Y157</f>
        <v>618505.030456349</v>
      </c>
      <c r="Z158" s="65" t="n">
        <f aca="false">Y158+Z157</f>
        <v>712505.33015873</v>
      </c>
      <c r="AA158" s="65" t="n">
        <f aca="false">Z158+AA157</f>
        <v>761791.005406845</v>
      </c>
      <c r="AB158" s="65" t="n">
        <f aca="false">AA158+AB157</f>
        <v>811132.236210516</v>
      </c>
      <c r="AC158" s="65" t="n">
        <f aca="false">AB158+AC157</f>
        <v>860529.022569742</v>
      </c>
      <c r="AD158" s="65" t="n">
        <f aca="false">AC158+AD157</f>
        <v>909981.364484524</v>
      </c>
      <c r="AE158" s="65" t="n">
        <f aca="false">AD158+AE157</f>
        <v>959489.261954862</v>
      </c>
      <c r="AF158" s="65" t="n">
        <f aca="false">AE158+AF157</f>
        <v>1009052.71498075</v>
      </c>
      <c r="AG158" s="65" t="n">
        <f aca="false">AF158+AG157</f>
        <v>1058671.7235622</v>
      </c>
      <c r="AH158" s="65" t="n">
        <f aca="false">AG158+AH157</f>
        <v>1108346.28769921</v>
      </c>
      <c r="AI158" s="65" t="n">
        <f aca="false">AH158+AI157</f>
        <v>1158076.40739177</v>
      </c>
      <c r="AJ158" s="65" t="n">
        <f aca="false">AI158+AJ157</f>
        <v>1207862.08263988</v>
      </c>
      <c r="AK158" s="65" t="n">
        <f aca="false">AJ158+AK157</f>
        <v>1342077.93544355</v>
      </c>
      <c r="AL158" s="65" t="n">
        <f aca="false">AK158+AL157</f>
        <v>1476349.34380278</v>
      </c>
      <c r="AM158" s="65" t="n">
        <f aca="false">AL158+AM157</f>
        <v>1548291.44992095</v>
      </c>
      <c r="AN158" s="65" t="n">
        <f aca="false">AM158+AN157</f>
        <v>1620289.11159468</v>
      </c>
      <c r="AO158" s="65" t="n">
        <f aca="false">AN158+AO157</f>
        <v>1692342.32882397</v>
      </c>
      <c r="AP158" s="65" t="n">
        <f aca="false">AO158+AP157</f>
        <v>1764451.10160881</v>
      </c>
      <c r="AQ158" s="65" t="n">
        <f aca="false">AP158+AQ157</f>
        <v>1836615.4299492</v>
      </c>
      <c r="AR158" s="65" t="n">
        <f aca="false">AQ158+AR157</f>
        <v>1908835.31384515</v>
      </c>
      <c r="AS158" s="65" t="n">
        <f aca="false">AR158+AS157</f>
        <v>1981110.75329666</v>
      </c>
      <c r="AT158" s="65" t="n">
        <f aca="false">AS158+AT157</f>
        <v>2053441.74830372</v>
      </c>
      <c r="AU158" s="65" t="n">
        <f aca="false">AT158+AU157</f>
        <v>2125828.29886634</v>
      </c>
      <c r="AV158" s="65" t="n">
        <f aca="false">AU158+AV157</f>
        <v>2198270.40498451</v>
      </c>
      <c r="AW158" s="65" t="n">
        <f aca="false">AV158+AW157</f>
        <v>2378669.70970824</v>
      </c>
      <c r="AX158" s="65" t="n">
        <f aca="false">AW158+AX157</f>
        <v>2559124.56998753</v>
      </c>
      <c r="AY158" s="65" t="n">
        <f aca="false">AX158+AY157</f>
        <v>2656593.79560641</v>
      </c>
      <c r="AZ158" s="65" t="n">
        <f aca="false">AY158+AZ157</f>
        <v>2754118.57678084</v>
      </c>
      <c r="BA158" s="65" t="n">
        <f aca="false">AZ158+BA157</f>
        <v>2851698.91351083</v>
      </c>
      <c r="BB158" s="65" t="n">
        <f aca="false">BA158+BB157</f>
        <v>2949334.80579638</v>
      </c>
      <c r="BC158" s="65" t="n">
        <f aca="false">BB158+BC157</f>
        <v>3047026.25363748</v>
      </c>
      <c r="BD158" s="65" t="n">
        <f aca="false">BC158+BD157</f>
        <v>3144773.25703414</v>
      </c>
      <c r="BE158" s="65" t="n">
        <f aca="false">BD158+BE157</f>
        <v>3242575.81598635</v>
      </c>
      <c r="BF158" s="65" t="n">
        <f aca="false">BE158+BF157</f>
        <v>3340433.93049412</v>
      </c>
      <c r="BG158" s="65" t="n">
        <f aca="false">BF158+BG157</f>
        <v>3438347.60055744</v>
      </c>
      <c r="BH158" s="65" t="n">
        <f aca="false">BG158+BH157</f>
        <v>3536316.82617632</v>
      </c>
      <c r="BI158" s="65" t="n">
        <f aca="false">BH158+BI157</f>
        <v>3770060.77945538</v>
      </c>
      <c r="BJ158" s="65" t="n">
        <f aca="false">BI158+BJ157</f>
        <v>4003860.28829</v>
      </c>
    </row>
    <row r="159" customFormat="false" ht="15" hidden="false" customHeight="false" outlineLevel="0" collapsed="false">
      <c r="A159" s="117" t="s">
        <v>421</v>
      </c>
      <c r="C159" s="65" t="n">
        <f aca="false">MAX(0,C158)</f>
        <v>11140.8011904762</v>
      </c>
      <c r="D159" s="65" t="n">
        <f aca="false">MAX(C159,D158)</f>
        <v>22309.3801587301</v>
      </c>
      <c r="E159" s="65" t="n">
        <f aca="false">MAX(D159,E158)</f>
        <v>33533.5146825396</v>
      </c>
      <c r="F159" s="65" t="n">
        <f aca="false">MAX(E159,F158)</f>
        <v>44813.2047619047</v>
      </c>
      <c r="G159" s="65" t="n">
        <f aca="false">MAX(F159,G158)</f>
        <v>56148.4503968253</v>
      </c>
      <c r="H159" s="65" t="n">
        <f aca="false">MAX(G159,H158)</f>
        <v>67539.2515873014</v>
      </c>
      <c r="I159" s="65" t="n">
        <f aca="false">MAX(H159,I158)</f>
        <v>78985.6083333332</v>
      </c>
      <c r="J159" s="65" t="n">
        <f aca="false">MAX(I159,J158)</f>
        <v>90487.5206349204</v>
      </c>
      <c r="K159" s="65" t="n">
        <f aca="false">MAX(J159,K158)</f>
        <v>102044.988492063</v>
      </c>
      <c r="L159" s="65" t="n">
        <f aca="false">MAX(K159,L158)</f>
        <v>113658.011904762</v>
      </c>
      <c r="M159" s="65" t="n">
        <f aca="false">MAX(L159,M158)</f>
        <v>172229.640873016</v>
      </c>
      <c r="N159" s="65" t="n">
        <f aca="false">MAX(M159,N158)</f>
        <v>230856.825396825</v>
      </c>
      <c r="O159" s="65" t="n">
        <f aca="false">MAX(N159,O158)</f>
        <v>259977.171488095</v>
      </c>
      <c r="P159" s="65" t="n">
        <f aca="false">MAX(O159,P158)</f>
        <v>289153.073134921</v>
      </c>
      <c r="Q159" s="65" t="n">
        <f aca="false">MAX(P159,Q158)</f>
        <v>318384.530337302</v>
      </c>
      <c r="R159" s="65" t="n">
        <f aca="false">MAX(Q159,R158)</f>
        <v>347671.543095238</v>
      </c>
      <c r="S159" s="65" t="n">
        <f aca="false">MAX(R159,S158)</f>
        <v>377014.11140873</v>
      </c>
      <c r="T159" s="65" t="n">
        <f aca="false">MAX(S159,T158)</f>
        <v>406412.235277778</v>
      </c>
      <c r="U159" s="65" t="n">
        <f aca="false">MAX(T159,U158)</f>
        <v>435865.914702381</v>
      </c>
      <c r="V159" s="65" t="n">
        <f aca="false">MAX(U159,V158)</f>
        <v>465375.14968254</v>
      </c>
      <c r="W159" s="65" t="n">
        <f aca="false">MAX(V159,W158)</f>
        <v>494939.940218254</v>
      </c>
      <c r="X159" s="65" t="n">
        <f aca="false">MAX(W159,X158)</f>
        <v>524560.286309524</v>
      </c>
      <c r="Y159" s="65" t="n">
        <f aca="false">MAX(X159,Y158)</f>
        <v>618505.030456349</v>
      </c>
      <c r="Z159" s="65" t="n">
        <f aca="false">MAX(Y159,Z158)</f>
        <v>712505.33015873</v>
      </c>
      <c r="AA159" s="65" t="n">
        <f aca="false">MAX(Z159,AA158)</f>
        <v>761791.005406845</v>
      </c>
      <c r="AB159" s="65" t="n">
        <f aca="false">MAX(AA159,AB158)</f>
        <v>811132.236210516</v>
      </c>
      <c r="AC159" s="65" t="n">
        <f aca="false">MAX(AB159,AC158)</f>
        <v>860529.022569742</v>
      </c>
      <c r="AD159" s="65" t="n">
        <f aca="false">MAX(AC159,AD158)</f>
        <v>909981.364484524</v>
      </c>
      <c r="AE159" s="65" t="n">
        <f aca="false">MAX(AD159,AE158)</f>
        <v>959489.261954862</v>
      </c>
      <c r="AF159" s="65" t="n">
        <f aca="false">MAX(AE159,AF158)</f>
        <v>1009052.71498075</v>
      </c>
      <c r="AG159" s="65" t="n">
        <f aca="false">MAX(AF159,AG158)</f>
        <v>1058671.7235622</v>
      </c>
      <c r="AH159" s="65" t="n">
        <f aca="false">MAX(AG159,AH158)</f>
        <v>1108346.28769921</v>
      </c>
      <c r="AI159" s="65" t="n">
        <f aca="false">MAX(AH159,AI158)</f>
        <v>1158076.40739177</v>
      </c>
      <c r="AJ159" s="65" t="n">
        <f aca="false">MAX(AI159,AJ158)</f>
        <v>1207862.08263988</v>
      </c>
      <c r="AK159" s="65" t="n">
        <f aca="false">MAX(AJ159,AK158)</f>
        <v>1342077.93544355</v>
      </c>
      <c r="AL159" s="65" t="n">
        <f aca="false">MAX(AK159,AL158)</f>
        <v>1476349.34380278</v>
      </c>
      <c r="AM159" s="65" t="n">
        <f aca="false">MAX(AL159,AM158)</f>
        <v>1548291.44992095</v>
      </c>
      <c r="AN159" s="65" t="n">
        <f aca="false">MAX(AM159,AN158)</f>
        <v>1620289.11159468</v>
      </c>
      <c r="AO159" s="65" t="n">
        <f aca="false">MAX(AN159,AO158)</f>
        <v>1692342.32882397</v>
      </c>
      <c r="AP159" s="65" t="n">
        <f aca="false">MAX(AO159,AP158)</f>
        <v>1764451.10160881</v>
      </c>
      <c r="AQ159" s="65" t="n">
        <f aca="false">MAX(AP159,AQ158)</f>
        <v>1836615.4299492</v>
      </c>
      <c r="AR159" s="65" t="n">
        <f aca="false">MAX(AQ159,AR158)</f>
        <v>1908835.31384515</v>
      </c>
      <c r="AS159" s="65" t="n">
        <f aca="false">MAX(AR159,AS158)</f>
        <v>1981110.75329666</v>
      </c>
      <c r="AT159" s="65" t="n">
        <f aca="false">MAX(AS159,AT158)</f>
        <v>2053441.74830372</v>
      </c>
      <c r="AU159" s="65" t="n">
        <f aca="false">MAX(AT159,AU158)</f>
        <v>2125828.29886634</v>
      </c>
      <c r="AV159" s="65" t="n">
        <f aca="false">MAX(AU159,AV158)</f>
        <v>2198270.40498451</v>
      </c>
      <c r="AW159" s="65" t="n">
        <f aca="false">MAX(AV159,AW158)</f>
        <v>2378669.70970824</v>
      </c>
      <c r="AX159" s="65" t="n">
        <f aca="false">MAX(AW159,AX158)</f>
        <v>2559124.56998753</v>
      </c>
      <c r="AY159" s="65" t="n">
        <f aca="false">MAX(AX159,AY158)</f>
        <v>2656593.79560641</v>
      </c>
      <c r="AZ159" s="65" t="n">
        <f aca="false">MAX(AY159,AZ158)</f>
        <v>2754118.57678084</v>
      </c>
      <c r="BA159" s="65" t="n">
        <f aca="false">MAX(AZ159,BA158)</f>
        <v>2851698.91351083</v>
      </c>
      <c r="BB159" s="65" t="n">
        <f aca="false">MAX(BA159,BB158)</f>
        <v>2949334.80579638</v>
      </c>
      <c r="BC159" s="65" t="n">
        <f aca="false">MAX(BB159,BC158)</f>
        <v>3047026.25363748</v>
      </c>
      <c r="BD159" s="65" t="n">
        <f aca="false">MAX(BC159,BD158)</f>
        <v>3144773.25703414</v>
      </c>
      <c r="BE159" s="65" t="n">
        <f aca="false">MAX(BD159,BE158)</f>
        <v>3242575.81598635</v>
      </c>
      <c r="BF159" s="65" t="n">
        <f aca="false">MAX(BE159,BF158)</f>
        <v>3340433.93049412</v>
      </c>
      <c r="BG159" s="65" t="n">
        <f aca="false">MAX(BF159,BG158)</f>
        <v>3438347.60055744</v>
      </c>
      <c r="BH159" s="65" t="n">
        <f aca="false">MAX(BG159,BH158)</f>
        <v>3536316.82617632</v>
      </c>
      <c r="BI159" s="65" t="n">
        <f aca="false">MAX(BH159,BI158)</f>
        <v>3770060.77945538</v>
      </c>
      <c r="BJ159" s="65" t="n">
        <f aca="false">MAX(BI159,BJ158)</f>
        <v>4003860.28829</v>
      </c>
    </row>
    <row r="160" customFormat="false" ht="15" hidden="false" customHeight="false" outlineLevel="0" collapsed="false">
      <c r="A160" s="6" t="s">
        <v>82</v>
      </c>
      <c r="C160" s="65" t="n">
        <f aca="false">-C159*Inputs!$C$70</f>
        <v>-2339.56824999999</v>
      </c>
      <c r="D160" s="65" t="n">
        <f aca="false">-(D159-C159)*Inputs!$C$70</f>
        <v>-2345.40158333333</v>
      </c>
      <c r="E160" s="65" t="n">
        <f aca="false">-(E159-D159)*Inputs!$C$70</f>
        <v>-2357.06825</v>
      </c>
      <c r="F160" s="65" t="n">
        <f aca="false">-(F159-E159)*Inputs!$C$70</f>
        <v>-2368.73491666666</v>
      </c>
      <c r="G160" s="65" t="n">
        <f aca="false">-(G159-F159)*Inputs!$C$70</f>
        <v>-2380.40158333333</v>
      </c>
      <c r="H160" s="65" t="n">
        <f aca="false">-(H159-G159)*Inputs!$C$70</f>
        <v>-2392.06824999999</v>
      </c>
      <c r="I160" s="65" t="n">
        <f aca="false">-(I159-H159)*Inputs!$C$70</f>
        <v>-2403.73491666666</v>
      </c>
      <c r="J160" s="65" t="n">
        <f aca="false">-(J159-I159)*Inputs!$C$70</f>
        <v>-2415.40158333333</v>
      </c>
      <c r="K160" s="65" t="n">
        <f aca="false">-(K159-J159)*Inputs!$C$70</f>
        <v>-2427.06824999999</v>
      </c>
      <c r="L160" s="65" t="n">
        <f aca="false">-(L159-K159)*Inputs!$C$70</f>
        <v>-2438.73491666666</v>
      </c>
      <c r="M160" s="65" t="n">
        <f aca="false">-(M159-L159)*Inputs!$C$70</f>
        <v>-12300.0420833334</v>
      </c>
      <c r="N160" s="65" t="n">
        <f aca="false">-(N159-M159)*Inputs!$C$70</f>
        <v>-12311.70875</v>
      </c>
      <c r="O160" s="65" t="n">
        <f aca="false">-(O159-N159)*Inputs!$C$70</f>
        <v>-6115.27267916667</v>
      </c>
      <c r="P160" s="65" t="n">
        <f aca="false">-(P159-O159)*Inputs!$C$70</f>
        <v>-6126.93934583334</v>
      </c>
      <c r="Q160" s="65" t="n">
        <f aca="false">-(Q159-P159)*Inputs!$C$70</f>
        <v>-6138.60601250001</v>
      </c>
      <c r="R160" s="65" t="n">
        <f aca="false">-(R159-Q159)*Inputs!$C$70</f>
        <v>-6150.27267916666</v>
      </c>
      <c r="S160" s="65" t="n">
        <f aca="false">-(S159-R159)*Inputs!$C$70</f>
        <v>-6161.93934583333</v>
      </c>
      <c r="T160" s="65" t="n">
        <f aca="false">-(T159-S159)*Inputs!$C$70</f>
        <v>-6173.6060125</v>
      </c>
      <c r="U160" s="65" t="n">
        <f aca="false">-(U159-T159)*Inputs!$C$70</f>
        <v>-6185.27267916667</v>
      </c>
      <c r="V160" s="65" t="n">
        <f aca="false">-(V159-U159)*Inputs!$C$70</f>
        <v>-6196.93934583334</v>
      </c>
      <c r="W160" s="65" t="n">
        <f aca="false">-(W159-V159)*Inputs!$C$70</f>
        <v>-6208.6060125</v>
      </c>
      <c r="X160" s="65" t="n">
        <f aca="false">-(X159-W159)*Inputs!$C$70</f>
        <v>-6220.27267916666</v>
      </c>
      <c r="Y160" s="65" t="n">
        <f aca="false">-(Y159-X159)*Inputs!$C$70</f>
        <v>-19728.3962708333</v>
      </c>
      <c r="Z160" s="65" t="n">
        <f aca="false">-(Z159-Y159)*Inputs!$C$70</f>
        <v>-19740.0629375</v>
      </c>
      <c r="AA160" s="65" t="n">
        <f aca="false">-(AA159-Z159)*Inputs!$C$70</f>
        <v>-10349.9918021042</v>
      </c>
      <c r="AB160" s="65" t="n">
        <f aca="false">-(AB159-AA159)*Inputs!$C$70</f>
        <v>-10361.6584687709</v>
      </c>
      <c r="AC160" s="65" t="n">
        <f aca="false">-(AC159-AB159)*Inputs!$C$70</f>
        <v>-10373.3251354375</v>
      </c>
      <c r="AD160" s="65" t="n">
        <f aca="false">-(AD159-AC159)*Inputs!$C$70</f>
        <v>-10384.9918021042</v>
      </c>
      <c r="AE160" s="65" t="n">
        <f aca="false">-(AE159-AD159)*Inputs!$C$70</f>
        <v>-10396.6584687708</v>
      </c>
      <c r="AF160" s="65" t="n">
        <f aca="false">-(AF159-AE159)*Inputs!$C$70</f>
        <v>-10408.3251354375</v>
      </c>
      <c r="AG160" s="65" t="n">
        <f aca="false">-(AG159-AF159)*Inputs!$C$70</f>
        <v>-10419.9918021042</v>
      </c>
      <c r="AH160" s="65" t="n">
        <f aca="false">-(AH159-AG159)*Inputs!$C$70</f>
        <v>-10431.6584687709</v>
      </c>
      <c r="AI160" s="65" t="n">
        <f aca="false">-(AI159-AH159)*Inputs!$C$70</f>
        <v>-10443.3251354375</v>
      </c>
      <c r="AJ160" s="65" t="n">
        <f aca="false">-(AJ159-AI159)*Inputs!$C$70</f>
        <v>-10454.9918021042</v>
      </c>
      <c r="AK160" s="65" t="n">
        <f aca="false">-(AK159-AJ159)*Inputs!$C$70</f>
        <v>-28185.3290887709</v>
      </c>
      <c r="AL160" s="65" t="n">
        <f aca="false">-(AL159-AK159)*Inputs!$C$70</f>
        <v>-28196.9957554375</v>
      </c>
      <c r="AM160" s="65" t="n">
        <f aca="false">-(AM159-AL159)*Inputs!$C$70</f>
        <v>-15107.8422848164</v>
      </c>
      <c r="AN160" s="65" t="n">
        <f aca="false">-(AN159-AM159)*Inputs!$C$70</f>
        <v>-15119.5089514831</v>
      </c>
      <c r="AO160" s="65" t="n">
        <f aca="false">-(AO159-AN159)*Inputs!$C$70</f>
        <v>-15131.1756181498</v>
      </c>
      <c r="AP160" s="65" t="n">
        <f aca="false">-(AP159-AO159)*Inputs!$C$70</f>
        <v>-15142.8422848164</v>
      </c>
      <c r="AQ160" s="65" t="n">
        <f aca="false">-(AQ159-AP159)*Inputs!$C$70</f>
        <v>-15154.5089514831</v>
      </c>
      <c r="AR160" s="65" t="n">
        <f aca="false">-(AR159-AQ159)*Inputs!$C$70</f>
        <v>-15166.1756181497</v>
      </c>
      <c r="AS160" s="65" t="n">
        <f aca="false">-(AS159-AR159)*Inputs!$C$70</f>
        <v>-15177.8422848164</v>
      </c>
      <c r="AT160" s="65" t="n">
        <f aca="false">-(AT159-AS159)*Inputs!$C$70</f>
        <v>-15189.5089514831</v>
      </c>
      <c r="AU160" s="65" t="n">
        <f aca="false">-(AU159-AT159)*Inputs!$C$70</f>
        <v>-15201.1756181497</v>
      </c>
      <c r="AV160" s="65" t="n">
        <f aca="false">-(AV159-AU159)*Inputs!$C$70</f>
        <v>-15212.8422848164</v>
      </c>
      <c r="AW160" s="65" t="n">
        <f aca="false">-(AW159-AV159)*Inputs!$C$70</f>
        <v>-37883.8539919831</v>
      </c>
      <c r="AX160" s="65" t="n">
        <f aca="false">-(AX159-AW159)*Inputs!$C$70</f>
        <v>-37895.5206586497</v>
      </c>
      <c r="AY160" s="65" t="n">
        <f aca="false">-(AY159-AX159)*Inputs!$C$70</f>
        <v>-20468.5373799647</v>
      </c>
      <c r="AZ160" s="65" t="n">
        <f aca="false">-(AZ159-AY159)*Inputs!$C$70</f>
        <v>-20480.2040466313</v>
      </c>
      <c r="BA160" s="65" t="n">
        <f aca="false">-(BA159-AZ159)*Inputs!$C$70</f>
        <v>-20491.8707132981</v>
      </c>
      <c r="BB160" s="65" t="n">
        <f aca="false">-(BB159-BA159)*Inputs!$C$70</f>
        <v>-20503.5373799647</v>
      </c>
      <c r="BC160" s="65" t="n">
        <f aca="false">-(BC159-BB159)*Inputs!$C$70</f>
        <v>-20515.2040466314</v>
      </c>
      <c r="BD160" s="65" t="n">
        <f aca="false">-(BD159-BC159)*Inputs!$C$70</f>
        <v>-20526.870713298</v>
      </c>
      <c r="BE160" s="65" t="n">
        <f aca="false">-(BE159-BD159)*Inputs!$C$70</f>
        <v>-20538.5373799647</v>
      </c>
      <c r="BF160" s="65" t="n">
        <f aca="false">-(BF159-BE159)*Inputs!$C$70</f>
        <v>-20550.2040466313</v>
      </c>
      <c r="BG160" s="65" t="n">
        <f aca="false">-(BG159-BF159)*Inputs!$C$70</f>
        <v>-20561.870713298</v>
      </c>
      <c r="BH160" s="65" t="n">
        <f aca="false">-(BH159-BG159)*Inputs!$C$70</f>
        <v>-20573.5373799647</v>
      </c>
      <c r="BI160" s="65" t="n">
        <f aca="false">-(BI159-BH159)*Inputs!$C$70</f>
        <v>-49086.2301886026</v>
      </c>
      <c r="BJ160" s="65" t="n">
        <f aca="false">-(BJ159-BI159)*Inputs!$C$70</f>
        <v>-49097.8968552692</v>
      </c>
    </row>
    <row r="161" customFormat="false" ht="15" hidden="false" customHeight="false" outlineLevel="0" collapsed="false">
      <c r="A161" s="110" t="s">
        <v>50</v>
      </c>
      <c r="C161" s="66" t="n">
        <f aca="false">C157+C160</f>
        <v>8801.23294047617</v>
      </c>
      <c r="D161" s="66" t="n">
        <f aca="false">D157+D160</f>
        <v>8823.17738492062</v>
      </c>
      <c r="E161" s="66" t="n">
        <f aca="false">E157+E160</f>
        <v>8867.0662738095</v>
      </c>
      <c r="F161" s="66" t="n">
        <f aca="false">F157+F160</f>
        <v>8910.95516269839</v>
      </c>
      <c r="G161" s="66" t="n">
        <f aca="false">G157+G160</f>
        <v>8954.84405158728</v>
      </c>
      <c r="H161" s="66" t="n">
        <f aca="false">H157+H160</f>
        <v>8998.73294047617</v>
      </c>
      <c r="I161" s="66" t="n">
        <f aca="false">I157+I160</f>
        <v>9042.62182936506</v>
      </c>
      <c r="J161" s="66" t="n">
        <f aca="false">J157+J160</f>
        <v>9086.51071825395</v>
      </c>
      <c r="K161" s="66" t="n">
        <f aca="false">K157+K160</f>
        <v>9130.39960714284</v>
      </c>
      <c r="L161" s="66" t="n">
        <f aca="false">L157+L160</f>
        <v>9174.28849603172</v>
      </c>
      <c r="M161" s="66" t="n">
        <f aca="false">M157+M160</f>
        <v>46271.5868849208</v>
      </c>
      <c r="N161" s="66" t="n">
        <f aca="false">N157+N160</f>
        <v>46315.4757738096</v>
      </c>
      <c r="O161" s="66" t="n">
        <f aca="false">O157+O160</f>
        <v>23005.0734121032</v>
      </c>
      <c r="P161" s="66" t="n">
        <f aca="false">P157+P160</f>
        <v>23048.9623009921</v>
      </c>
      <c r="Q161" s="66" t="n">
        <f aca="false">Q157+Q160</f>
        <v>23092.851189881</v>
      </c>
      <c r="R161" s="66" t="n">
        <f aca="false">R157+R160</f>
        <v>23136.7400787699</v>
      </c>
      <c r="S161" s="66" t="n">
        <f aca="false">S157+S160</f>
        <v>23180.6289676587</v>
      </c>
      <c r="T161" s="66" t="n">
        <f aca="false">T157+T160</f>
        <v>23224.5178565476</v>
      </c>
      <c r="U161" s="66" t="n">
        <f aca="false">U157+U160</f>
        <v>23268.4067454365</v>
      </c>
      <c r="V161" s="66" t="n">
        <f aca="false">V157+V160</f>
        <v>23312.2956343254</v>
      </c>
      <c r="W161" s="66" t="n">
        <f aca="false">W157+W160</f>
        <v>23356.1845232143</v>
      </c>
      <c r="X161" s="66" t="n">
        <f aca="false">X157+X160</f>
        <v>23400.0734121032</v>
      </c>
      <c r="Y161" s="66" t="n">
        <f aca="false">Y157+Y160</f>
        <v>74216.3478759921</v>
      </c>
      <c r="Z161" s="66" t="n">
        <f aca="false">Z157+Z160</f>
        <v>74260.236764881</v>
      </c>
      <c r="AA161" s="66" t="n">
        <f aca="false">AA157+AA160</f>
        <v>38935.683446011</v>
      </c>
      <c r="AB161" s="66" t="n">
        <f aca="false">AB157+AB160</f>
        <v>38979.5723348999</v>
      </c>
      <c r="AC161" s="66" t="n">
        <f aca="false">AC157+AC160</f>
        <v>39023.4612237888</v>
      </c>
      <c r="AD161" s="66" t="n">
        <f aca="false">AD157+AD160</f>
        <v>39067.3501126776</v>
      </c>
      <c r="AE161" s="66" t="n">
        <f aca="false">AE157+AE160</f>
        <v>39111.2390015665</v>
      </c>
      <c r="AF161" s="66" t="n">
        <f aca="false">AF157+AF160</f>
        <v>39155.1278904554</v>
      </c>
      <c r="AG161" s="66" t="n">
        <f aca="false">AG157+AG160</f>
        <v>39199.0167793443</v>
      </c>
      <c r="AH161" s="66" t="n">
        <f aca="false">AH157+AH160</f>
        <v>39242.9056682332</v>
      </c>
      <c r="AI161" s="66" t="n">
        <f aca="false">AI157+AI160</f>
        <v>39286.7945571221</v>
      </c>
      <c r="AJ161" s="66" t="n">
        <f aca="false">AJ157+AJ160</f>
        <v>39330.683446011</v>
      </c>
      <c r="AK161" s="66" t="n">
        <f aca="false">AK157+AK160</f>
        <v>106030.5237149</v>
      </c>
      <c r="AL161" s="66" t="n">
        <f aca="false">AL157+AL160</f>
        <v>106074.412603789</v>
      </c>
      <c r="AM161" s="66" t="n">
        <f aca="false">AM157+AM160</f>
        <v>56834.263833357</v>
      </c>
      <c r="AN161" s="66" t="n">
        <f aca="false">AN157+AN160</f>
        <v>56878.1527222459</v>
      </c>
      <c r="AO161" s="66" t="n">
        <f aca="false">AO157+AO160</f>
        <v>56922.0416111348</v>
      </c>
      <c r="AP161" s="66" t="n">
        <f aca="false">AP157+AP160</f>
        <v>56965.9305000237</v>
      </c>
      <c r="AQ161" s="66" t="n">
        <f aca="false">AQ157+AQ160</f>
        <v>57009.8193889126</v>
      </c>
      <c r="AR161" s="66" t="n">
        <f aca="false">AR157+AR160</f>
        <v>57053.7082778015</v>
      </c>
      <c r="AS161" s="66" t="n">
        <f aca="false">AS157+AS160</f>
        <v>57097.5971666903</v>
      </c>
      <c r="AT161" s="66" t="n">
        <f aca="false">AT157+AT160</f>
        <v>57141.4860555792</v>
      </c>
      <c r="AU161" s="66" t="n">
        <f aca="false">AU157+AU160</f>
        <v>57185.3749444681</v>
      </c>
      <c r="AV161" s="66" t="n">
        <f aca="false">AV157+AV160</f>
        <v>57229.263833357</v>
      </c>
      <c r="AW161" s="66" t="n">
        <f aca="false">AW157+AW160</f>
        <v>142515.450731746</v>
      </c>
      <c r="AX161" s="66" t="n">
        <f aca="false">AX157+AX160</f>
        <v>142559.339620635</v>
      </c>
      <c r="AY161" s="66" t="n">
        <f aca="false">AY157+AY160</f>
        <v>77000.6882389148</v>
      </c>
      <c r="AZ161" s="66" t="n">
        <f aca="false">AZ157+AZ160</f>
        <v>77044.5771278037</v>
      </c>
      <c r="BA161" s="66" t="n">
        <f aca="false">BA157+BA160</f>
        <v>77088.4660166925</v>
      </c>
      <c r="BB161" s="66" t="n">
        <f aca="false">BB157+BB160</f>
        <v>77132.3549055814</v>
      </c>
      <c r="BC161" s="66" t="n">
        <f aca="false">BC157+BC160</f>
        <v>77176.2437944703</v>
      </c>
      <c r="BD161" s="66" t="n">
        <f aca="false">BD157+BD160</f>
        <v>77220.1326833592</v>
      </c>
      <c r="BE161" s="66" t="n">
        <f aca="false">BE157+BE160</f>
        <v>77264.0215722481</v>
      </c>
      <c r="BF161" s="66" t="n">
        <f aca="false">BF157+BF160</f>
        <v>77307.910461137</v>
      </c>
      <c r="BG161" s="66" t="n">
        <f aca="false">BG157+BG160</f>
        <v>77351.7993500259</v>
      </c>
      <c r="BH161" s="66" t="n">
        <f aca="false">BH157+BH160</f>
        <v>77395.6882389148</v>
      </c>
      <c r="BI161" s="66" t="n">
        <f aca="false">BI157+BI160</f>
        <v>184657.723090457</v>
      </c>
      <c r="BJ161" s="66" t="n">
        <f aca="false">BJ157+BJ160</f>
        <v>184701.611979346</v>
      </c>
    </row>
    <row r="163" customFormat="false" ht="15.75" hidden="false" customHeight="true" outlineLevel="0" collapsed="false">
      <c r="A163" s="7" t="s">
        <v>422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customFormat="false" ht="15" hidden="false" customHeight="false" outlineLevel="0" collapsed="false">
      <c r="A164" s="6" t="s">
        <v>423</v>
      </c>
      <c r="C164" s="65" t="n">
        <f aca="false">IF(C$117=1,Inputs!$C$35+Inputs!$C$18*Inputs!$C$25,0)+IF(AND(C$117&gt;1,MOD(C$117-1,12)=0),Inputs!$C$19*Inputs!$C$25,0)</f>
        <v>350000</v>
      </c>
      <c r="D164" s="65" t="n">
        <f aca="false">IF(D$117=1,Inputs!$C$35+Inputs!$C$18*Inputs!$C$25,0)+IF(AND(D$117&gt;1,MOD(D$117-1,12)=0),Inputs!$C$19*Inputs!$C$25,0)</f>
        <v>0</v>
      </c>
      <c r="E164" s="65" t="n">
        <f aca="false">IF(E$117=1,Inputs!$C$35+Inputs!$C$18*Inputs!$C$25,0)+IF(AND(E$117&gt;1,MOD(E$117-1,12)=0),Inputs!$C$19*Inputs!$C$25,0)</f>
        <v>0</v>
      </c>
      <c r="F164" s="65" t="n">
        <f aca="false">IF(F$117=1,Inputs!$C$35+Inputs!$C$18*Inputs!$C$25,0)+IF(AND(F$117&gt;1,MOD(F$117-1,12)=0),Inputs!$C$19*Inputs!$C$25,0)</f>
        <v>0</v>
      </c>
      <c r="G164" s="65" t="n">
        <f aca="false">IF(G$117=1,Inputs!$C$35+Inputs!$C$18*Inputs!$C$25,0)+IF(AND(G$117&gt;1,MOD(G$117-1,12)=0),Inputs!$C$19*Inputs!$C$25,0)</f>
        <v>0</v>
      </c>
      <c r="H164" s="65" t="n">
        <f aca="false">IF(H$117=1,Inputs!$C$35+Inputs!$C$18*Inputs!$C$25,0)+IF(AND(H$117&gt;1,MOD(H$117-1,12)=0),Inputs!$C$19*Inputs!$C$25,0)</f>
        <v>0</v>
      </c>
      <c r="I164" s="65" t="n">
        <f aca="false">IF(I$117=1,Inputs!$C$35+Inputs!$C$18*Inputs!$C$25,0)+IF(AND(I$117&gt;1,MOD(I$117-1,12)=0),Inputs!$C$19*Inputs!$C$25,0)</f>
        <v>0</v>
      </c>
      <c r="J164" s="65" t="n">
        <f aca="false">IF(J$117=1,Inputs!$C$35+Inputs!$C$18*Inputs!$C$25,0)+IF(AND(J$117&gt;1,MOD(J$117-1,12)=0),Inputs!$C$19*Inputs!$C$25,0)</f>
        <v>0</v>
      </c>
      <c r="K164" s="65" t="n">
        <f aca="false">IF(K$117=1,Inputs!$C$35+Inputs!$C$18*Inputs!$C$25,0)+IF(AND(K$117&gt;1,MOD(K$117-1,12)=0),Inputs!$C$19*Inputs!$C$25,0)</f>
        <v>0</v>
      </c>
      <c r="L164" s="65" t="n">
        <f aca="false">IF(L$117=1,Inputs!$C$35+Inputs!$C$18*Inputs!$C$25,0)+IF(AND(L$117&gt;1,MOD(L$117-1,12)=0),Inputs!$C$19*Inputs!$C$25,0)</f>
        <v>0</v>
      </c>
      <c r="M164" s="65" t="n">
        <f aca="false">IF(M$117=1,Inputs!$C$35+Inputs!$C$18*Inputs!$C$25,0)+IF(AND(M$117&gt;1,MOD(M$117-1,12)=0),Inputs!$C$19*Inputs!$C$25,0)</f>
        <v>0</v>
      </c>
      <c r="N164" s="65" t="n">
        <f aca="false">IF(N$117=1,Inputs!$C$35+Inputs!$C$18*Inputs!$C$25,0)+IF(AND(N$117&gt;1,MOD(N$117-1,12)=0),Inputs!$C$19*Inputs!$C$25,0)</f>
        <v>0</v>
      </c>
      <c r="O164" s="65" t="n">
        <f aca="false">IF(O$117=1,Inputs!$C$35+Inputs!$C$18*Inputs!$C$25,0)+IF(AND(O$117&gt;1,MOD(O$117-1,12)=0),Inputs!$C$19*Inputs!$C$25,0)</f>
        <v>150000</v>
      </c>
      <c r="P164" s="65" t="n">
        <f aca="false">IF(P$117=1,Inputs!$C$35+Inputs!$C$18*Inputs!$C$25,0)+IF(AND(P$117&gt;1,MOD(P$117-1,12)=0),Inputs!$C$19*Inputs!$C$25,0)</f>
        <v>0</v>
      </c>
      <c r="Q164" s="65" t="n">
        <f aca="false">IF(Q$117=1,Inputs!$C$35+Inputs!$C$18*Inputs!$C$25,0)+IF(AND(Q$117&gt;1,MOD(Q$117-1,12)=0),Inputs!$C$19*Inputs!$C$25,0)</f>
        <v>0</v>
      </c>
      <c r="R164" s="65" t="n">
        <f aca="false">IF(R$117=1,Inputs!$C$35+Inputs!$C$18*Inputs!$C$25,0)+IF(AND(R$117&gt;1,MOD(R$117-1,12)=0),Inputs!$C$19*Inputs!$C$25,0)</f>
        <v>0</v>
      </c>
      <c r="S164" s="65" t="n">
        <f aca="false">IF(S$117=1,Inputs!$C$35+Inputs!$C$18*Inputs!$C$25,0)+IF(AND(S$117&gt;1,MOD(S$117-1,12)=0),Inputs!$C$19*Inputs!$C$25,0)</f>
        <v>0</v>
      </c>
      <c r="T164" s="65" t="n">
        <f aca="false">IF(T$117=1,Inputs!$C$35+Inputs!$C$18*Inputs!$C$25,0)+IF(AND(T$117&gt;1,MOD(T$117-1,12)=0),Inputs!$C$19*Inputs!$C$25,0)</f>
        <v>0</v>
      </c>
      <c r="U164" s="65" t="n">
        <f aca="false">IF(U$117=1,Inputs!$C$35+Inputs!$C$18*Inputs!$C$25,0)+IF(AND(U$117&gt;1,MOD(U$117-1,12)=0),Inputs!$C$19*Inputs!$C$25,0)</f>
        <v>0</v>
      </c>
      <c r="V164" s="65" t="n">
        <f aca="false">IF(V$117=1,Inputs!$C$35+Inputs!$C$18*Inputs!$C$25,0)+IF(AND(V$117&gt;1,MOD(V$117-1,12)=0),Inputs!$C$19*Inputs!$C$25,0)</f>
        <v>0</v>
      </c>
      <c r="W164" s="65" t="n">
        <f aca="false">IF(W$117=1,Inputs!$C$35+Inputs!$C$18*Inputs!$C$25,0)+IF(AND(W$117&gt;1,MOD(W$117-1,12)=0),Inputs!$C$19*Inputs!$C$25,0)</f>
        <v>0</v>
      </c>
      <c r="X164" s="65" t="n">
        <f aca="false">IF(X$117=1,Inputs!$C$35+Inputs!$C$18*Inputs!$C$25,0)+IF(AND(X$117&gt;1,MOD(X$117-1,12)=0),Inputs!$C$19*Inputs!$C$25,0)</f>
        <v>0</v>
      </c>
      <c r="Y164" s="65" t="n">
        <f aca="false">IF(Y$117=1,Inputs!$C$35+Inputs!$C$18*Inputs!$C$25,0)+IF(AND(Y$117&gt;1,MOD(Y$117-1,12)=0),Inputs!$C$19*Inputs!$C$25,0)</f>
        <v>0</v>
      </c>
      <c r="Z164" s="65" t="n">
        <f aca="false">IF(Z$117=1,Inputs!$C$35+Inputs!$C$18*Inputs!$C$25,0)+IF(AND(Z$117&gt;1,MOD(Z$117-1,12)=0),Inputs!$C$19*Inputs!$C$25,0)</f>
        <v>0</v>
      </c>
      <c r="AA164" s="65" t="n">
        <f aca="false">IF(AA$117=1,Inputs!$C$35+Inputs!$C$18*Inputs!$C$25,0)+IF(AND(AA$117&gt;1,MOD(AA$117-1,12)=0),Inputs!$C$19*Inputs!$C$25,0)</f>
        <v>150000</v>
      </c>
      <c r="AB164" s="65" t="n">
        <f aca="false">IF(AB$117=1,Inputs!$C$35+Inputs!$C$18*Inputs!$C$25,0)+IF(AND(AB$117&gt;1,MOD(AB$117-1,12)=0),Inputs!$C$19*Inputs!$C$25,0)</f>
        <v>0</v>
      </c>
      <c r="AC164" s="65" t="n">
        <f aca="false">IF(AC$117=1,Inputs!$C$35+Inputs!$C$18*Inputs!$C$25,0)+IF(AND(AC$117&gt;1,MOD(AC$117-1,12)=0),Inputs!$C$19*Inputs!$C$25,0)</f>
        <v>0</v>
      </c>
      <c r="AD164" s="65" t="n">
        <f aca="false">IF(AD$117=1,Inputs!$C$35+Inputs!$C$18*Inputs!$C$25,0)+IF(AND(AD$117&gt;1,MOD(AD$117-1,12)=0),Inputs!$C$19*Inputs!$C$25,0)</f>
        <v>0</v>
      </c>
      <c r="AE164" s="65" t="n">
        <f aca="false">IF(AE$117=1,Inputs!$C$35+Inputs!$C$18*Inputs!$C$25,0)+IF(AND(AE$117&gt;1,MOD(AE$117-1,12)=0),Inputs!$C$19*Inputs!$C$25,0)</f>
        <v>0</v>
      </c>
      <c r="AF164" s="65" t="n">
        <f aca="false">IF(AF$117=1,Inputs!$C$35+Inputs!$C$18*Inputs!$C$25,0)+IF(AND(AF$117&gt;1,MOD(AF$117-1,12)=0),Inputs!$C$19*Inputs!$C$25,0)</f>
        <v>0</v>
      </c>
      <c r="AG164" s="65" t="n">
        <f aca="false">IF(AG$117=1,Inputs!$C$35+Inputs!$C$18*Inputs!$C$25,0)+IF(AND(AG$117&gt;1,MOD(AG$117-1,12)=0),Inputs!$C$19*Inputs!$C$25,0)</f>
        <v>0</v>
      </c>
      <c r="AH164" s="65" t="n">
        <f aca="false">IF(AH$117=1,Inputs!$C$35+Inputs!$C$18*Inputs!$C$25,0)+IF(AND(AH$117&gt;1,MOD(AH$117-1,12)=0),Inputs!$C$19*Inputs!$C$25,0)</f>
        <v>0</v>
      </c>
      <c r="AI164" s="65" t="n">
        <f aca="false">IF(AI$117=1,Inputs!$C$35+Inputs!$C$18*Inputs!$C$25,0)+IF(AND(AI$117&gt;1,MOD(AI$117-1,12)=0),Inputs!$C$19*Inputs!$C$25,0)</f>
        <v>0</v>
      </c>
      <c r="AJ164" s="65" t="n">
        <f aca="false">IF(AJ$117=1,Inputs!$C$35+Inputs!$C$18*Inputs!$C$25,0)+IF(AND(AJ$117&gt;1,MOD(AJ$117-1,12)=0),Inputs!$C$19*Inputs!$C$25,0)</f>
        <v>0</v>
      </c>
      <c r="AK164" s="65" t="n">
        <f aca="false">IF(AK$117=1,Inputs!$C$35+Inputs!$C$18*Inputs!$C$25,0)+IF(AND(AK$117&gt;1,MOD(AK$117-1,12)=0),Inputs!$C$19*Inputs!$C$25,0)</f>
        <v>0</v>
      </c>
      <c r="AL164" s="65" t="n">
        <f aca="false">IF(AL$117=1,Inputs!$C$35+Inputs!$C$18*Inputs!$C$25,0)+IF(AND(AL$117&gt;1,MOD(AL$117-1,12)=0),Inputs!$C$19*Inputs!$C$25,0)</f>
        <v>0</v>
      </c>
      <c r="AM164" s="65" t="n">
        <f aca="false">IF(AM$117=1,Inputs!$C$35+Inputs!$C$18*Inputs!$C$25,0)+IF(AND(AM$117&gt;1,MOD(AM$117-1,12)=0),Inputs!$C$19*Inputs!$C$25,0)</f>
        <v>150000</v>
      </c>
      <c r="AN164" s="65" t="n">
        <f aca="false">IF(AN$117=1,Inputs!$C$35+Inputs!$C$18*Inputs!$C$25,0)+IF(AND(AN$117&gt;1,MOD(AN$117-1,12)=0),Inputs!$C$19*Inputs!$C$25,0)</f>
        <v>0</v>
      </c>
      <c r="AO164" s="65" t="n">
        <f aca="false">IF(AO$117=1,Inputs!$C$35+Inputs!$C$18*Inputs!$C$25,0)+IF(AND(AO$117&gt;1,MOD(AO$117-1,12)=0),Inputs!$C$19*Inputs!$C$25,0)</f>
        <v>0</v>
      </c>
      <c r="AP164" s="65" t="n">
        <f aca="false">IF(AP$117=1,Inputs!$C$35+Inputs!$C$18*Inputs!$C$25,0)+IF(AND(AP$117&gt;1,MOD(AP$117-1,12)=0),Inputs!$C$19*Inputs!$C$25,0)</f>
        <v>0</v>
      </c>
      <c r="AQ164" s="65" t="n">
        <f aca="false">IF(AQ$117=1,Inputs!$C$35+Inputs!$C$18*Inputs!$C$25,0)+IF(AND(AQ$117&gt;1,MOD(AQ$117-1,12)=0),Inputs!$C$19*Inputs!$C$25,0)</f>
        <v>0</v>
      </c>
      <c r="AR164" s="65" t="n">
        <f aca="false">IF(AR$117=1,Inputs!$C$35+Inputs!$C$18*Inputs!$C$25,0)+IF(AND(AR$117&gt;1,MOD(AR$117-1,12)=0),Inputs!$C$19*Inputs!$C$25,0)</f>
        <v>0</v>
      </c>
      <c r="AS164" s="65" t="n">
        <f aca="false">IF(AS$117=1,Inputs!$C$35+Inputs!$C$18*Inputs!$C$25,0)+IF(AND(AS$117&gt;1,MOD(AS$117-1,12)=0),Inputs!$C$19*Inputs!$C$25,0)</f>
        <v>0</v>
      </c>
      <c r="AT164" s="65" t="n">
        <f aca="false">IF(AT$117=1,Inputs!$C$35+Inputs!$C$18*Inputs!$C$25,0)+IF(AND(AT$117&gt;1,MOD(AT$117-1,12)=0),Inputs!$C$19*Inputs!$C$25,0)</f>
        <v>0</v>
      </c>
      <c r="AU164" s="65" t="n">
        <f aca="false">IF(AU$117=1,Inputs!$C$35+Inputs!$C$18*Inputs!$C$25,0)+IF(AND(AU$117&gt;1,MOD(AU$117-1,12)=0),Inputs!$C$19*Inputs!$C$25,0)</f>
        <v>0</v>
      </c>
      <c r="AV164" s="65" t="n">
        <f aca="false">IF(AV$117=1,Inputs!$C$35+Inputs!$C$18*Inputs!$C$25,0)+IF(AND(AV$117&gt;1,MOD(AV$117-1,12)=0),Inputs!$C$19*Inputs!$C$25,0)</f>
        <v>0</v>
      </c>
      <c r="AW164" s="65" t="n">
        <f aca="false">IF(AW$117=1,Inputs!$C$35+Inputs!$C$18*Inputs!$C$25,0)+IF(AND(AW$117&gt;1,MOD(AW$117-1,12)=0),Inputs!$C$19*Inputs!$C$25,0)</f>
        <v>0</v>
      </c>
      <c r="AX164" s="65" t="n">
        <f aca="false">IF(AX$117=1,Inputs!$C$35+Inputs!$C$18*Inputs!$C$25,0)+IF(AND(AX$117&gt;1,MOD(AX$117-1,12)=0),Inputs!$C$19*Inputs!$C$25,0)</f>
        <v>0</v>
      </c>
      <c r="AY164" s="65" t="n">
        <f aca="false">IF(AY$117=1,Inputs!$C$35+Inputs!$C$18*Inputs!$C$25,0)+IF(AND(AY$117&gt;1,MOD(AY$117-1,12)=0),Inputs!$C$19*Inputs!$C$25,0)</f>
        <v>150000</v>
      </c>
      <c r="AZ164" s="65" t="n">
        <f aca="false">IF(AZ$117=1,Inputs!$C$35+Inputs!$C$18*Inputs!$C$25,0)+IF(AND(AZ$117&gt;1,MOD(AZ$117-1,12)=0),Inputs!$C$19*Inputs!$C$25,0)</f>
        <v>0</v>
      </c>
      <c r="BA164" s="65" t="n">
        <f aca="false">IF(BA$117=1,Inputs!$C$35+Inputs!$C$18*Inputs!$C$25,0)+IF(AND(BA$117&gt;1,MOD(BA$117-1,12)=0),Inputs!$C$19*Inputs!$C$25,0)</f>
        <v>0</v>
      </c>
      <c r="BB164" s="65" t="n">
        <f aca="false">IF(BB$117=1,Inputs!$C$35+Inputs!$C$18*Inputs!$C$25,0)+IF(AND(BB$117&gt;1,MOD(BB$117-1,12)=0),Inputs!$C$19*Inputs!$C$25,0)</f>
        <v>0</v>
      </c>
      <c r="BC164" s="65" t="n">
        <f aca="false">IF(BC$117=1,Inputs!$C$35+Inputs!$C$18*Inputs!$C$25,0)+IF(AND(BC$117&gt;1,MOD(BC$117-1,12)=0),Inputs!$C$19*Inputs!$C$25,0)</f>
        <v>0</v>
      </c>
      <c r="BD164" s="65" t="n">
        <f aca="false">IF(BD$117=1,Inputs!$C$35+Inputs!$C$18*Inputs!$C$25,0)+IF(AND(BD$117&gt;1,MOD(BD$117-1,12)=0),Inputs!$C$19*Inputs!$C$25,0)</f>
        <v>0</v>
      </c>
      <c r="BE164" s="65" t="n">
        <f aca="false">IF(BE$117=1,Inputs!$C$35+Inputs!$C$18*Inputs!$C$25,0)+IF(AND(BE$117&gt;1,MOD(BE$117-1,12)=0),Inputs!$C$19*Inputs!$C$25,0)</f>
        <v>0</v>
      </c>
      <c r="BF164" s="65" t="n">
        <f aca="false">IF(BF$117=1,Inputs!$C$35+Inputs!$C$18*Inputs!$C$25,0)+IF(AND(BF$117&gt;1,MOD(BF$117-1,12)=0),Inputs!$C$19*Inputs!$C$25,0)</f>
        <v>0</v>
      </c>
      <c r="BG164" s="65" t="n">
        <f aca="false">IF(BG$117=1,Inputs!$C$35+Inputs!$C$18*Inputs!$C$25,0)+IF(AND(BG$117&gt;1,MOD(BG$117-1,12)=0),Inputs!$C$19*Inputs!$C$25,0)</f>
        <v>0</v>
      </c>
      <c r="BH164" s="65" t="n">
        <f aca="false">IF(BH$117=1,Inputs!$C$35+Inputs!$C$18*Inputs!$C$25,0)+IF(AND(BH$117&gt;1,MOD(BH$117-1,12)=0),Inputs!$C$19*Inputs!$C$25,0)</f>
        <v>0</v>
      </c>
      <c r="BI164" s="65" t="n">
        <f aca="false">IF(BI$117=1,Inputs!$C$35+Inputs!$C$18*Inputs!$C$25,0)+IF(AND(BI$117&gt;1,MOD(BI$117-1,12)=0),Inputs!$C$19*Inputs!$C$25,0)</f>
        <v>0</v>
      </c>
      <c r="BJ164" s="65" t="n">
        <f aca="false">IF(BJ$117=1,Inputs!$C$35+Inputs!$C$18*Inputs!$C$25,0)+IF(AND(BJ$117&gt;1,MOD(BJ$117-1,12)=0),Inputs!$C$19*Inputs!$C$25,0)</f>
        <v>0</v>
      </c>
    </row>
    <row r="165" customFormat="false" ht="15" hidden="false" customHeight="false" outlineLevel="0" collapsed="false">
      <c r="A165" s="6" t="s">
        <v>424</v>
      </c>
      <c r="C165" s="65" t="n">
        <f aca="false">C164</f>
        <v>350000</v>
      </c>
      <c r="D165" s="65" t="n">
        <f aca="false">C165+D164</f>
        <v>350000</v>
      </c>
      <c r="E165" s="65" t="n">
        <f aca="false">D165+E164</f>
        <v>350000</v>
      </c>
      <c r="F165" s="65" t="n">
        <f aca="false">E165+F164</f>
        <v>350000</v>
      </c>
      <c r="G165" s="65" t="n">
        <f aca="false">F165+G164</f>
        <v>350000</v>
      </c>
      <c r="H165" s="65" t="n">
        <f aca="false">G165+H164</f>
        <v>350000</v>
      </c>
      <c r="I165" s="65" t="n">
        <f aca="false">H165+I164</f>
        <v>350000</v>
      </c>
      <c r="J165" s="65" t="n">
        <f aca="false">I165+J164</f>
        <v>350000</v>
      </c>
      <c r="K165" s="65" t="n">
        <f aca="false">J165+K164</f>
        <v>350000</v>
      </c>
      <c r="L165" s="65" t="n">
        <f aca="false">K165+L164</f>
        <v>350000</v>
      </c>
      <c r="M165" s="65" t="n">
        <f aca="false">L165+M164</f>
        <v>350000</v>
      </c>
      <c r="N165" s="65" t="n">
        <f aca="false">M165+N164</f>
        <v>350000</v>
      </c>
      <c r="O165" s="65" t="n">
        <f aca="false">N165+O164</f>
        <v>500000</v>
      </c>
      <c r="P165" s="65" t="n">
        <f aca="false">O165+P164</f>
        <v>500000</v>
      </c>
      <c r="Q165" s="65" t="n">
        <f aca="false">P165+Q164</f>
        <v>500000</v>
      </c>
      <c r="R165" s="65" t="n">
        <f aca="false">Q165+R164</f>
        <v>500000</v>
      </c>
      <c r="S165" s="65" t="n">
        <f aca="false">R165+S164</f>
        <v>500000</v>
      </c>
      <c r="T165" s="65" t="n">
        <f aca="false">S165+T164</f>
        <v>500000</v>
      </c>
      <c r="U165" s="65" t="n">
        <f aca="false">T165+U164</f>
        <v>500000</v>
      </c>
      <c r="V165" s="65" t="n">
        <f aca="false">U165+V164</f>
        <v>500000</v>
      </c>
      <c r="W165" s="65" t="n">
        <f aca="false">V165+W164</f>
        <v>500000</v>
      </c>
      <c r="X165" s="65" t="n">
        <f aca="false">W165+X164</f>
        <v>500000</v>
      </c>
      <c r="Y165" s="65" t="n">
        <f aca="false">X165+Y164</f>
        <v>500000</v>
      </c>
      <c r="Z165" s="65" t="n">
        <f aca="false">Y165+Z164</f>
        <v>500000</v>
      </c>
      <c r="AA165" s="65" t="n">
        <f aca="false">Z165+AA164</f>
        <v>650000</v>
      </c>
      <c r="AB165" s="65" t="n">
        <f aca="false">AA165+AB164</f>
        <v>650000</v>
      </c>
      <c r="AC165" s="65" t="n">
        <f aca="false">AB165+AC164</f>
        <v>650000</v>
      </c>
      <c r="AD165" s="65" t="n">
        <f aca="false">AC165+AD164</f>
        <v>650000</v>
      </c>
      <c r="AE165" s="65" t="n">
        <f aca="false">AD165+AE164</f>
        <v>650000</v>
      </c>
      <c r="AF165" s="65" t="n">
        <f aca="false">AE165+AF164</f>
        <v>650000</v>
      </c>
      <c r="AG165" s="65" t="n">
        <f aca="false">AF165+AG164</f>
        <v>650000</v>
      </c>
      <c r="AH165" s="65" t="n">
        <f aca="false">AG165+AH164</f>
        <v>650000</v>
      </c>
      <c r="AI165" s="65" t="n">
        <f aca="false">AH165+AI164</f>
        <v>650000</v>
      </c>
      <c r="AJ165" s="65" t="n">
        <f aca="false">AI165+AJ164</f>
        <v>650000</v>
      </c>
      <c r="AK165" s="65" t="n">
        <f aca="false">AJ165+AK164</f>
        <v>650000</v>
      </c>
      <c r="AL165" s="65" t="n">
        <f aca="false">AK165+AL164</f>
        <v>650000</v>
      </c>
      <c r="AM165" s="65" t="n">
        <f aca="false">AL165+AM164</f>
        <v>800000</v>
      </c>
      <c r="AN165" s="65" t="n">
        <f aca="false">AM165+AN164</f>
        <v>800000</v>
      </c>
      <c r="AO165" s="65" t="n">
        <f aca="false">AN165+AO164</f>
        <v>800000</v>
      </c>
      <c r="AP165" s="65" t="n">
        <f aca="false">AO165+AP164</f>
        <v>800000</v>
      </c>
      <c r="AQ165" s="65" t="n">
        <f aca="false">AP165+AQ164</f>
        <v>800000</v>
      </c>
      <c r="AR165" s="65" t="n">
        <f aca="false">AQ165+AR164</f>
        <v>800000</v>
      </c>
      <c r="AS165" s="65" t="n">
        <f aca="false">AR165+AS164</f>
        <v>800000</v>
      </c>
      <c r="AT165" s="65" t="n">
        <f aca="false">AS165+AT164</f>
        <v>800000</v>
      </c>
      <c r="AU165" s="65" t="n">
        <f aca="false">AT165+AU164</f>
        <v>800000</v>
      </c>
      <c r="AV165" s="65" t="n">
        <f aca="false">AU165+AV164</f>
        <v>800000</v>
      </c>
      <c r="AW165" s="65" t="n">
        <f aca="false">AV165+AW164</f>
        <v>800000</v>
      </c>
      <c r="AX165" s="65" t="n">
        <f aca="false">AW165+AX164</f>
        <v>800000</v>
      </c>
      <c r="AY165" s="65" t="n">
        <f aca="false">AX165+AY164</f>
        <v>950000</v>
      </c>
      <c r="AZ165" s="65" t="n">
        <f aca="false">AY165+AZ164</f>
        <v>950000</v>
      </c>
      <c r="BA165" s="65" t="n">
        <f aca="false">AZ165+BA164</f>
        <v>950000</v>
      </c>
      <c r="BB165" s="65" t="n">
        <f aca="false">BA165+BB164</f>
        <v>950000</v>
      </c>
      <c r="BC165" s="65" t="n">
        <f aca="false">BB165+BC164</f>
        <v>950000</v>
      </c>
      <c r="BD165" s="65" t="n">
        <f aca="false">BC165+BD164</f>
        <v>950000</v>
      </c>
      <c r="BE165" s="65" t="n">
        <f aca="false">BD165+BE164</f>
        <v>950000</v>
      </c>
      <c r="BF165" s="65" t="n">
        <f aca="false">BE165+BF164</f>
        <v>950000</v>
      </c>
      <c r="BG165" s="65" t="n">
        <f aca="false">BF165+BG164</f>
        <v>950000</v>
      </c>
      <c r="BH165" s="65" t="n">
        <f aca="false">BG165+BH164</f>
        <v>950000</v>
      </c>
      <c r="BI165" s="65" t="n">
        <f aca="false">BH165+BI164</f>
        <v>950000</v>
      </c>
      <c r="BJ165" s="65" t="n">
        <f aca="false">BI165+BJ164</f>
        <v>950000</v>
      </c>
    </row>
    <row r="166" customFormat="false" ht="15" hidden="false" customHeight="false" outlineLevel="0" collapsed="false">
      <c r="A166" s="6" t="s">
        <v>78</v>
      </c>
      <c r="C166" s="65" t="n">
        <f aca="false">-MIN(C165/MAX(1,Inputs!$C$69*12),C164)</f>
        <v>-4166.66666666667</v>
      </c>
      <c r="D166" s="65" t="n">
        <f aca="false">-MIN(D165/MAX(1,Inputs!$C$69*12),C168+D164)</f>
        <v>-4166.66666666667</v>
      </c>
      <c r="E166" s="65" t="n">
        <f aca="false">-MIN(E165/MAX(1,Inputs!$C$69*12),D168+E164)</f>
        <v>-4166.66666666667</v>
      </c>
      <c r="F166" s="65" t="n">
        <f aca="false">-MIN(F165/MAX(1,Inputs!$C$69*12),E168+F164)</f>
        <v>-4166.66666666667</v>
      </c>
      <c r="G166" s="65" t="n">
        <f aca="false">-MIN(G165/MAX(1,Inputs!$C$69*12),F168+G164)</f>
        <v>-4166.66666666667</v>
      </c>
      <c r="H166" s="65" t="n">
        <f aca="false">-MIN(H165/MAX(1,Inputs!$C$69*12),G168+H164)</f>
        <v>-4166.66666666667</v>
      </c>
      <c r="I166" s="65" t="n">
        <f aca="false">-MIN(I165/MAX(1,Inputs!$C$69*12),H168+I164)</f>
        <v>-4166.66666666667</v>
      </c>
      <c r="J166" s="65" t="n">
        <f aca="false">-MIN(J165/MAX(1,Inputs!$C$69*12),I168+J164)</f>
        <v>-4166.66666666667</v>
      </c>
      <c r="K166" s="65" t="n">
        <f aca="false">-MIN(K165/MAX(1,Inputs!$C$69*12),J168+K164)</f>
        <v>-4166.66666666667</v>
      </c>
      <c r="L166" s="65" t="n">
        <f aca="false">-MIN(L165/MAX(1,Inputs!$C$69*12),K168+L164)</f>
        <v>-4166.66666666667</v>
      </c>
      <c r="M166" s="65" t="n">
        <f aca="false">-MIN(M165/MAX(1,Inputs!$C$69*12),L168+M164)</f>
        <v>-4166.66666666667</v>
      </c>
      <c r="N166" s="65" t="n">
        <f aca="false">-MIN(N165/MAX(1,Inputs!$C$69*12),M168+N164)</f>
        <v>-4166.66666666667</v>
      </c>
      <c r="O166" s="65" t="n">
        <f aca="false">-MIN(O165/MAX(1,Inputs!$C$69*12),N168+O164)</f>
        <v>-5952.38095238095</v>
      </c>
      <c r="P166" s="65" t="n">
        <f aca="false">-MIN(P165/MAX(1,Inputs!$C$69*12),O168+P164)</f>
        <v>-5952.38095238095</v>
      </c>
      <c r="Q166" s="65" t="n">
        <f aca="false">-MIN(Q165/MAX(1,Inputs!$C$69*12),P168+Q164)</f>
        <v>-5952.38095238095</v>
      </c>
      <c r="R166" s="65" t="n">
        <f aca="false">-MIN(R165/MAX(1,Inputs!$C$69*12),Q168+R164)</f>
        <v>-5952.38095238095</v>
      </c>
      <c r="S166" s="65" t="n">
        <f aca="false">-MIN(S165/MAX(1,Inputs!$C$69*12),R168+S164)</f>
        <v>-5952.38095238095</v>
      </c>
      <c r="T166" s="65" t="n">
        <f aca="false">-MIN(T165/MAX(1,Inputs!$C$69*12),S168+T164)</f>
        <v>-5952.38095238095</v>
      </c>
      <c r="U166" s="65" t="n">
        <f aca="false">-MIN(U165/MAX(1,Inputs!$C$69*12),T168+U164)</f>
        <v>-5952.38095238095</v>
      </c>
      <c r="V166" s="65" t="n">
        <f aca="false">-MIN(V165/MAX(1,Inputs!$C$69*12),U168+V164)</f>
        <v>-5952.38095238095</v>
      </c>
      <c r="W166" s="65" t="n">
        <f aca="false">-MIN(W165/MAX(1,Inputs!$C$69*12),V168+W164)</f>
        <v>-5952.38095238095</v>
      </c>
      <c r="X166" s="65" t="n">
        <f aca="false">-MIN(X165/MAX(1,Inputs!$C$69*12),W168+X164)</f>
        <v>-5952.38095238095</v>
      </c>
      <c r="Y166" s="65" t="n">
        <f aca="false">-MIN(Y165/MAX(1,Inputs!$C$69*12),X168+Y164)</f>
        <v>-5952.38095238095</v>
      </c>
      <c r="Z166" s="65" t="n">
        <f aca="false">-MIN(Z165/MAX(1,Inputs!$C$69*12),Y168+Z164)</f>
        <v>-5952.38095238095</v>
      </c>
      <c r="AA166" s="65" t="n">
        <f aca="false">-MIN(AA165/MAX(1,Inputs!$C$69*12),Z168+AA164)</f>
        <v>-7738.09523809524</v>
      </c>
      <c r="AB166" s="65" t="n">
        <f aca="false">-MIN(AB165/MAX(1,Inputs!$C$69*12),AA168+AB164)</f>
        <v>-7738.09523809524</v>
      </c>
      <c r="AC166" s="65" t="n">
        <f aca="false">-MIN(AC165/MAX(1,Inputs!$C$69*12),AB168+AC164)</f>
        <v>-7738.09523809524</v>
      </c>
      <c r="AD166" s="65" t="n">
        <f aca="false">-MIN(AD165/MAX(1,Inputs!$C$69*12),AC168+AD164)</f>
        <v>-7738.09523809524</v>
      </c>
      <c r="AE166" s="65" t="n">
        <f aca="false">-MIN(AE165/MAX(1,Inputs!$C$69*12),AD168+AE164)</f>
        <v>-7738.09523809524</v>
      </c>
      <c r="AF166" s="65" t="n">
        <f aca="false">-MIN(AF165/MAX(1,Inputs!$C$69*12),AE168+AF164)</f>
        <v>-7738.09523809524</v>
      </c>
      <c r="AG166" s="65" t="n">
        <f aca="false">-MIN(AG165/MAX(1,Inputs!$C$69*12),AF168+AG164)</f>
        <v>-7738.09523809524</v>
      </c>
      <c r="AH166" s="65" t="n">
        <f aca="false">-MIN(AH165/MAX(1,Inputs!$C$69*12),AG168+AH164)</f>
        <v>-7738.09523809524</v>
      </c>
      <c r="AI166" s="65" t="n">
        <f aca="false">-MIN(AI165/MAX(1,Inputs!$C$69*12),AH168+AI164)</f>
        <v>-7738.09523809524</v>
      </c>
      <c r="AJ166" s="65" t="n">
        <f aca="false">-MIN(AJ165/MAX(1,Inputs!$C$69*12),AI168+AJ164)</f>
        <v>-7738.09523809524</v>
      </c>
      <c r="AK166" s="65" t="n">
        <f aca="false">-MIN(AK165/MAX(1,Inputs!$C$69*12),AJ168+AK164)</f>
        <v>-7738.09523809524</v>
      </c>
      <c r="AL166" s="65" t="n">
        <f aca="false">-MIN(AL165/MAX(1,Inputs!$C$69*12),AK168+AL164)</f>
        <v>-7738.09523809524</v>
      </c>
      <c r="AM166" s="65" t="n">
        <f aca="false">-MIN(AM165/MAX(1,Inputs!$C$69*12),AL168+AM164)</f>
        <v>-9523.80952380952</v>
      </c>
      <c r="AN166" s="65" t="n">
        <f aca="false">-MIN(AN165/MAX(1,Inputs!$C$69*12),AM168+AN164)</f>
        <v>-9523.80952380952</v>
      </c>
      <c r="AO166" s="65" t="n">
        <f aca="false">-MIN(AO165/MAX(1,Inputs!$C$69*12),AN168+AO164)</f>
        <v>-9523.80952380952</v>
      </c>
      <c r="AP166" s="65" t="n">
        <f aca="false">-MIN(AP165/MAX(1,Inputs!$C$69*12),AO168+AP164)</f>
        <v>-9523.80952380952</v>
      </c>
      <c r="AQ166" s="65" t="n">
        <f aca="false">-MIN(AQ165/MAX(1,Inputs!$C$69*12),AP168+AQ164)</f>
        <v>-9523.80952380952</v>
      </c>
      <c r="AR166" s="65" t="n">
        <f aca="false">-MIN(AR165/MAX(1,Inputs!$C$69*12),AQ168+AR164)</f>
        <v>-9523.80952380952</v>
      </c>
      <c r="AS166" s="65" t="n">
        <f aca="false">-MIN(AS165/MAX(1,Inputs!$C$69*12),AR168+AS164)</f>
        <v>-9523.80952380952</v>
      </c>
      <c r="AT166" s="65" t="n">
        <f aca="false">-MIN(AT165/MAX(1,Inputs!$C$69*12),AS168+AT164)</f>
        <v>-9523.80952380952</v>
      </c>
      <c r="AU166" s="65" t="n">
        <f aca="false">-MIN(AU165/MAX(1,Inputs!$C$69*12),AT168+AU164)</f>
        <v>-9523.80952380952</v>
      </c>
      <c r="AV166" s="65" t="n">
        <f aca="false">-MIN(AV165/MAX(1,Inputs!$C$69*12),AU168+AV164)</f>
        <v>-9523.80952380952</v>
      </c>
      <c r="AW166" s="65" t="n">
        <f aca="false">-MIN(AW165/MAX(1,Inputs!$C$69*12),AV168+AW164)</f>
        <v>-9523.80952380952</v>
      </c>
      <c r="AX166" s="65" t="n">
        <f aca="false">-MIN(AX165/MAX(1,Inputs!$C$69*12),AW168+AX164)</f>
        <v>-9523.80952380952</v>
      </c>
      <c r="AY166" s="65" t="n">
        <f aca="false">-MIN(AY165/MAX(1,Inputs!$C$69*12),AX168+AY164)</f>
        <v>-11309.5238095238</v>
      </c>
      <c r="AZ166" s="65" t="n">
        <f aca="false">-MIN(AZ165/MAX(1,Inputs!$C$69*12),AY168+AZ164)</f>
        <v>-11309.5238095238</v>
      </c>
      <c r="BA166" s="65" t="n">
        <f aca="false">-MIN(BA165/MAX(1,Inputs!$C$69*12),AZ168+BA164)</f>
        <v>-11309.5238095238</v>
      </c>
      <c r="BB166" s="65" t="n">
        <f aca="false">-MIN(BB165/MAX(1,Inputs!$C$69*12),BA168+BB164)</f>
        <v>-11309.5238095238</v>
      </c>
      <c r="BC166" s="65" t="n">
        <f aca="false">-MIN(BC165/MAX(1,Inputs!$C$69*12),BB168+BC164)</f>
        <v>-11309.5238095238</v>
      </c>
      <c r="BD166" s="65" t="n">
        <f aca="false">-MIN(BD165/MAX(1,Inputs!$C$69*12),BC168+BD164)</f>
        <v>-11309.5238095238</v>
      </c>
      <c r="BE166" s="65" t="n">
        <f aca="false">-MIN(BE165/MAX(1,Inputs!$C$69*12),BD168+BE164)</f>
        <v>-11309.5238095238</v>
      </c>
      <c r="BF166" s="65" t="n">
        <f aca="false">-MIN(BF165/MAX(1,Inputs!$C$69*12),BE168+BF164)</f>
        <v>-11309.5238095238</v>
      </c>
      <c r="BG166" s="65" t="n">
        <f aca="false">-MIN(BG165/MAX(1,Inputs!$C$69*12),BF168+BG164)</f>
        <v>-11309.5238095238</v>
      </c>
      <c r="BH166" s="65" t="n">
        <f aca="false">-MIN(BH165/MAX(1,Inputs!$C$69*12),BG168+BH164)</f>
        <v>-11309.5238095238</v>
      </c>
      <c r="BI166" s="65" t="n">
        <f aca="false">-MIN(BI165/MAX(1,Inputs!$C$69*12),BH168+BI164)</f>
        <v>-11309.5238095238</v>
      </c>
      <c r="BJ166" s="65" t="n">
        <f aca="false">-MIN(BJ165/MAX(1,Inputs!$C$69*12),BI168+BJ164)</f>
        <v>-11309.5238095238</v>
      </c>
    </row>
    <row r="167" customFormat="false" ht="15" hidden="false" customHeight="false" outlineLevel="0" collapsed="false">
      <c r="A167" s="6" t="s">
        <v>425</v>
      </c>
      <c r="C167" s="65" t="n">
        <f aca="false">C166</f>
        <v>-4166.66666666667</v>
      </c>
      <c r="D167" s="65" t="n">
        <f aca="false">C167+D166</f>
        <v>-8333.33333333333</v>
      </c>
      <c r="E167" s="65" t="n">
        <f aca="false">D167+E166</f>
        <v>-12500</v>
      </c>
      <c r="F167" s="65" t="n">
        <f aca="false">E167+F166</f>
        <v>-16666.6666666667</v>
      </c>
      <c r="G167" s="65" t="n">
        <f aca="false">F167+G166</f>
        <v>-20833.3333333333</v>
      </c>
      <c r="H167" s="65" t="n">
        <f aca="false">G167+H166</f>
        <v>-25000</v>
      </c>
      <c r="I167" s="65" t="n">
        <f aca="false">H167+I166</f>
        <v>-29166.6666666667</v>
      </c>
      <c r="J167" s="65" t="n">
        <f aca="false">I167+J166</f>
        <v>-33333.3333333333</v>
      </c>
      <c r="K167" s="65" t="n">
        <f aca="false">J167+K166</f>
        <v>-37500</v>
      </c>
      <c r="L167" s="65" t="n">
        <f aca="false">K167+L166</f>
        <v>-41666.6666666667</v>
      </c>
      <c r="M167" s="65" t="n">
        <f aca="false">L167+M166</f>
        <v>-45833.3333333333</v>
      </c>
      <c r="N167" s="65" t="n">
        <f aca="false">M167+N166</f>
        <v>-50000</v>
      </c>
      <c r="O167" s="65" t="n">
        <f aca="false">N167+O166</f>
        <v>-55952.380952381</v>
      </c>
      <c r="P167" s="65" t="n">
        <f aca="false">O167+P166</f>
        <v>-61904.7619047619</v>
      </c>
      <c r="Q167" s="65" t="n">
        <f aca="false">P167+Q166</f>
        <v>-67857.1428571429</v>
      </c>
      <c r="R167" s="65" t="n">
        <f aca="false">Q167+R166</f>
        <v>-73809.5238095238</v>
      </c>
      <c r="S167" s="65" t="n">
        <f aca="false">R167+S166</f>
        <v>-79761.9047619048</v>
      </c>
      <c r="T167" s="65" t="n">
        <f aca="false">S167+T166</f>
        <v>-85714.2857142857</v>
      </c>
      <c r="U167" s="65" t="n">
        <f aca="false">T167+U166</f>
        <v>-91666.6666666666</v>
      </c>
      <c r="V167" s="65" t="n">
        <f aca="false">U167+V166</f>
        <v>-97619.0476190476</v>
      </c>
      <c r="W167" s="65" t="n">
        <f aca="false">V167+W166</f>
        <v>-103571.428571429</v>
      </c>
      <c r="X167" s="65" t="n">
        <f aca="false">W167+X166</f>
        <v>-109523.809523809</v>
      </c>
      <c r="Y167" s="65" t="n">
        <f aca="false">X167+Y166</f>
        <v>-115476.19047619</v>
      </c>
      <c r="Z167" s="65" t="n">
        <f aca="false">Y167+Z166</f>
        <v>-121428.571428571</v>
      </c>
      <c r="AA167" s="65" t="n">
        <f aca="false">Z167+AA166</f>
        <v>-129166.666666667</v>
      </c>
      <c r="AB167" s="65" t="n">
        <f aca="false">AA167+AB166</f>
        <v>-136904.761904762</v>
      </c>
      <c r="AC167" s="65" t="n">
        <f aca="false">AB167+AC166</f>
        <v>-144642.857142857</v>
      </c>
      <c r="AD167" s="65" t="n">
        <f aca="false">AC167+AD166</f>
        <v>-152380.952380952</v>
      </c>
      <c r="AE167" s="65" t="n">
        <f aca="false">AD167+AE166</f>
        <v>-160119.047619048</v>
      </c>
      <c r="AF167" s="65" t="n">
        <f aca="false">AE167+AF166</f>
        <v>-167857.142857143</v>
      </c>
      <c r="AG167" s="65" t="n">
        <f aca="false">AF167+AG166</f>
        <v>-175595.238095238</v>
      </c>
      <c r="AH167" s="65" t="n">
        <f aca="false">AG167+AH166</f>
        <v>-183333.333333333</v>
      </c>
      <c r="AI167" s="65" t="n">
        <f aca="false">AH167+AI166</f>
        <v>-191071.428571429</v>
      </c>
      <c r="AJ167" s="65" t="n">
        <f aca="false">AI167+AJ166</f>
        <v>-198809.523809524</v>
      </c>
      <c r="AK167" s="65" t="n">
        <f aca="false">AJ167+AK166</f>
        <v>-206547.619047619</v>
      </c>
      <c r="AL167" s="65" t="n">
        <f aca="false">AK167+AL166</f>
        <v>-214285.714285714</v>
      </c>
      <c r="AM167" s="65" t="n">
        <f aca="false">AL167+AM166</f>
        <v>-223809.523809524</v>
      </c>
      <c r="AN167" s="65" t="n">
        <f aca="false">AM167+AN166</f>
        <v>-233333.333333333</v>
      </c>
      <c r="AO167" s="65" t="n">
        <f aca="false">AN167+AO166</f>
        <v>-242857.142857143</v>
      </c>
      <c r="AP167" s="65" t="n">
        <f aca="false">AO167+AP166</f>
        <v>-252380.952380952</v>
      </c>
      <c r="AQ167" s="65" t="n">
        <f aca="false">AP167+AQ166</f>
        <v>-261904.761904762</v>
      </c>
      <c r="AR167" s="65" t="n">
        <f aca="false">AQ167+AR166</f>
        <v>-271428.571428571</v>
      </c>
      <c r="AS167" s="65" t="n">
        <f aca="false">AR167+AS166</f>
        <v>-280952.380952381</v>
      </c>
      <c r="AT167" s="65" t="n">
        <f aca="false">AS167+AT166</f>
        <v>-290476.19047619</v>
      </c>
      <c r="AU167" s="65" t="n">
        <f aca="false">AT167+AU166</f>
        <v>-300000</v>
      </c>
      <c r="AV167" s="65" t="n">
        <f aca="false">AU167+AV166</f>
        <v>-309523.809523809</v>
      </c>
      <c r="AW167" s="65" t="n">
        <f aca="false">AV167+AW166</f>
        <v>-319047.619047619</v>
      </c>
      <c r="AX167" s="65" t="n">
        <f aca="false">AW167+AX166</f>
        <v>-328571.428571429</v>
      </c>
      <c r="AY167" s="65" t="n">
        <f aca="false">AX167+AY166</f>
        <v>-339880.952380952</v>
      </c>
      <c r="AZ167" s="65" t="n">
        <f aca="false">AY167+AZ166</f>
        <v>-351190.476190476</v>
      </c>
      <c r="BA167" s="65" t="n">
        <f aca="false">AZ167+BA166</f>
        <v>-362500</v>
      </c>
      <c r="BB167" s="65" t="n">
        <f aca="false">BA167+BB166</f>
        <v>-373809.523809524</v>
      </c>
      <c r="BC167" s="65" t="n">
        <f aca="false">BB167+BC166</f>
        <v>-385119.047619047</v>
      </c>
      <c r="BD167" s="65" t="n">
        <f aca="false">BC167+BD166</f>
        <v>-396428.571428571</v>
      </c>
      <c r="BE167" s="65" t="n">
        <f aca="false">BD167+BE166</f>
        <v>-407738.095238095</v>
      </c>
      <c r="BF167" s="65" t="n">
        <f aca="false">BE167+BF166</f>
        <v>-419047.619047619</v>
      </c>
      <c r="BG167" s="65" t="n">
        <f aca="false">BF167+BG166</f>
        <v>-430357.142857143</v>
      </c>
      <c r="BH167" s="65" t="n">
        <f aca="false">BG167+BH166</f>
        <v>-441666.666666666</v>
      </c>
      <c r="BI167" s="65" t="n">
        <f aca="false">BH167+BI166</f>
        <v>-452976.19047619</v>
      </c>
      <c r="BJ167" s="65" t="n">
        <f aca="false">BI167+BJ166</f>
        <v>-464285.714285714</v>
      </c>
    </row>
    <row r="168" customFormat="false" ht="15" hidden="false" customHeight="false" outlineLevel="0" collapsed="false">
      <c r="A168" s="4" t="s">
        <v>92</v>
      </c>
      <c r="C168" s="71" t="n">
        <f aca="false">C165+C167</f>
        <v>345833.333333333</v>
      </c>
      <c r="D168" s="71" t="n">
        <f aca="false">D165+D167</f>
        <v>341666.666666667</v>
      </c>
      <c r="E168" s="71" t="n">
        <f aca="false">E165+E167</f>
        <v>337500</v>
      </c>
      <c r="F168" s="71" t="n">
        <f aca="false">F165+F167</f>
        <v>333333.333333333</v>
      </c>
      <c r="G168" s="71" t="n">
        <f aca="false">G165+G167</f>
        <v>329166.666666667</v>
      </c>
      <c r="H168" s="71" t="n">
        <f aca="false">H165+H167</f>
        <v>325000</v>
      </c>
      <c r="I168" s="71" t="n">
        <f aca="false">I165+I167</f>
        <v>320833.333333333</v>
      </c>
      <c r="J168" s="71" t="n">
        <f aca="false">J165+J167</f>
        <v>316666.666666667</v>
      </c>
      <c r="K168" s="71" t="n">
        <f aca="false">K165+K167</f>
        <v>312500</v>
      </c>
      <c r="L168" s="71" t="n">
        <f aca="false">L165+L167</f>
        <v>308333.333333333</v>
      </c>
      <c r="M168" s="71" t="n">
        <f aca="false">M165+M167</f>
        <v>304166.666666667</v>
      </c>
      <c r="N168" s="71" t="n">
        <f aca="false">N165+N167</f>
        <v>300000</v>
      </c>
      <c r="O168" s="71" t="n">
        <f aca="false">O165+O167</f>
        <v>444047.619047619</v>
      </c>
      <c r="P168" s="71" t="n">
        <f aca="false">P165+P167</f>
        <v>438095.238095238</v>
      </c>
      <c r="Q168" s="71" t="n">
        <f aca="false">Q165+Q167</f>
        <v>432142.857142857</v>
      </c>
      <c r="R168" s="71" t="n">
        <f aca="false">R165+R167</f>
        <v>426190.476190476</v>
      </c>
      <c r="S168" s="71" t="n">
        <f aca="false">S165+S167</f>
        <v>420238.095238095</v>
      </c>
      <c r="T168" s="71" t="n">
        <f aca="false">T165+T167</f>
        <v>414285.714285714</v>
      </c>
      <c r="U168" s="71" t="n">
        <f aca="false">U165+U167</f>
        <v>408333.333333333</v>
      </c>
      <c r="V168" s="71" t="n">
        <f aca="false">V165+V167</f>
        <v>402380.952380952</v>
      </c>
      <c r="W168" s="71" t="n">
        <f aca="false">W165+W167</f>
        <v>396428.571428572</v>
      </c>
      <c r="X168" s="71" t="n">
        <f aca="false">X165+X167</f>
        <v>390476.190476191</v>
      </c>
      <c r="Y168" s="71" t="n">
        <f aca="false">Y165+Y167</f>
        <v>384523.80952381</v>
      </c>
      <c r="Z168" s="71" t="n">
        <f aca="false">Z165+Z167</f>
        <v>378571.428571429</v>
      </c>
      <c r="AA168" s="71" t="n">
        <f aca="false">AA165+AA167</f>
        <v>520833.333333333</v>
      </c>
      <c r="AB168" s="71" t="n">
        <f aca="false">AB165+AB167</f>
        <v>513095.238095238</v>
      </c>
      <c r="AC168" s="71" t="n">
        <f aca="false">AC165+AC167</f>
        <v>505357.142857143</v>
      </c>
      <c r="AD168" s="71" t="n">
        <f aca="false">AD165+AD167</f>
        <v>497619.047619048</v>
      </c>
      <c r="AE168" s="71" t="n">
        <f aca="false">AE165+AE167</f>
        <v>489880.952380952</v>
      </c>
      <c r="AF168" s="71" t="n">
        <f aca="false">AF165+AF167</f>
        <v>482142.857142857</v>
      </c>
      <c r="AG168" s="71" t="n">
        <f aca="false">AG165+AG167</f>
        <v>474404.761904762</v>
      </c>
      <c r="AH168" s="71" t="n">
        <f aca="false">AH165+AH167</f>
        <v>466666.666666667</v>
      </c>
      <c r="AI168" s="71" t="n">
        <f aca="false">AI165+AI167</f>
        <v>458928.571428572</v>
      </c>
      <c r="AJ168" s="71" t="n">
        <f aca="false">AJ165+AJ167</f>
        <v>451190.476190476</v>
      </c>
      <c r="AK168" s="71" t="n">
        <f aca="false">AK165+AK167</f>
        <v>443452.380952381</v>
      </c>
      <c r="AL168" s="71" t="n">
        <f aca="false">AL165+AL167</f>
        <v>435714.285714286</v>
      </c>
      <c r="AM168" s="71" t="n">
        <f aca="false">AM165+AM167</f>
        <v>576190.476190476</v>
      </c>
      <c r="AN168" s="71" t="n">
        <f aca="false">AN165+AN167</f>
        <v>566666.666666667</v>
      </c>
      <c r="AO168" s="71" t="n">
        <f aca="false">AO165+AO167</f>
        <v>557142.857142857</v>
      </c>
      <c r="AP168" s="71" t="n">
        <f aca="false">AP165+AP167</f>
        <v>547619.047619048</v>
      </c>
      <c r="AQ168" s="71" t="n">
        <f aca="false">AQ165+AQ167</f>
        <v>538095.238095238</v>
      </c>
      <c r="AR168" s="71" t="n">
        <f aca="false">AR165+AR167</f>
        <v>528571.428571429</v>
      </c>
      <c r="AS168" s="71" t="n">
        <f aca="false">AS165+AS167</f>
        <v>519047.619047619</v>
      </c>
      <c r="AT168" s="71" t="n">
        <f aca="false">AT165+AT167</f>
        <v>509523.80952381</v>
      </c>
      <c r="AU168" s="71" t="n">
        <f aca="false">AU165+AU167</f>
        <v>500000</v>
      </c>
      <c r="AV168" s="71" t="n">
        <f aca="false">AV165+AV167</f>
        <v>490476.190476191</v>
      </c>
      <c r="AW168" s="71" t="n">
        <f aca="false">AW165+AW167</f>
        <v>480952.380952381</v>
      </c>
      <c r="AX168" s="71" t="n">
        <f aca="false">AX165+AX167</f>
        <v>471428.571428572</v>
      </c>
      <c r="AY168" s="71" t="n">
        <f aca="false">AY165+AY167</f>
        <v>610119.047619048</v>
      </c>
      <c r="AZ168" s="71" t="n">
        <f aca="false">AZ165+AZ167</f>
        <v>598809.523809524</v>
      </c>
      <c r="BA168" s="71" t="n">
        <f aca="false">BA165+BA167</f>
        <v>587500</v>
      </c>
      <c r="BB168" s="71" t="n">
        <f aca="false">BB165+BB167</f>
        <v>576190.476190476</v>
      </c>
      <c r="BC168" s="71" t="n">
        <f aca="false">BC165+BC167</f>
        <v>564880.952380953</v>
      </c>
      <c r="BD168" s="71" t="n">
        <f aca="false">BD165+BD167</f>
        <v>553571.428571429</v>
      </c>
      <c r="BE168" s="71" t="n">
        <f aca="false">BE165+BE167</f>
        <v>542261.904761905</v>
      </c>
      <c r="BF168" s="71" t="n">
        <f aca="false">BF165+BF167</f>
        <v>530952.380952381</v>
      </c>
      <c r="BG168" s="71" t="n">
        <f aca="false">BG165+BG167</f>
        <v>519642.857142857</v>
      </c>
      <c r="BH168" s="71" t="n">
        <f aca="false">BH165+BH167</f>
        <v>508333.333333334</v>
      </c>
      <c r="BI168" s="71" t="n">
        <f aca="false">BI165+BI167</f>
        <v>497023.80952381</v>
      </c>
      <c r="BJ168" s="71" t="n">
        <f aca="false">BJ165+BJ167</f>
        <v>485714.285714286</v>
      </c>
    </row>
    <row r="170" customFormat="false" ht="15.75" hidden="false" customHeight="true" outlineLevel="0" collapsed="false">
      <c r="A170" s="7" t="s">
        <v>426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customFormat="false" ht="15" hidden="false" customHeight="false" outlineLevel="0" collapsed="false">
      <c r="A171" s="6" t="s">
        <v>427</v>
      </c>
      <c r="C171" s="65" t="n">
        <f aca="false">0</f>
        <v>0</v>
      </c>
      <c r="D171" s="65" t="n">
        <f aca="false">C174</f>
        <v>500000</v>
      </c>
      <c r="E171" s="65" t="n">
        <f aca="false">D174</f>
        <v>491666.666666667</v>
      </c>
      <c r="F171" s="65" t="n">
        <f aca="false">E174</f>
        <v>483333.333333333</v>
      </c>
      <c r="G171" s="65" t="n">
        <f aca="false">F174</f>
        <v>475000</v>
      </c>
      <c r="H171" s="65" t="n">
        <f aca="false">G174</f>
        <v>466666.666666667</v>
      </c>
      <c r="I171" s="65" t="n">
        <f aca="false">H174</f>
        <v>458333.333333333</v>
      </c>
      <c r="J171" s="65" t="n">
        <f aca="false">I174</f>
        <v>450000</v>
      </c>
      <c r="K171" s="65" t="n">
        <f aca="false">J174</f>
        <v>441666.666666667</v>
      </c>
      <c r="L171" s="65" t="n">
        <f aca="false">K174</f>
        <v>433333.333333334</v>
      </c>
      <c r="M171" s="65" t="n">
        <f aca="false">L174</f>
        <v>425000</v>
      </c>
      <c r="N171" s="65" t="n">
        <f aca="false">M174</f>
        <v>416666.666666667</v>
      </c>
      <c r="O171" s="65" t="n">
        <f aca="false">N174</f>
        <v>408333.333333334</v>
      </c>
      <c r="P171" s="65" t="n">
        <f aca="false">O174</f>
        <v>400000</v>
      </c>
      <c r="Q171" s="65" t="n">
        <f aca="false">P174</f>
        <v>391666.666666667</v>
      </c>
      <c r="R171" s="65" t="n">
        <f aca="false">Q174</f>
        <v>383333.333333334</v>
      </c>
      <c r="S171" s="65" t="n">
        <f aca="false">R174</f>
        <v>375000</v>
      </c>
      <c r="T171" s="65" t="n">
        <f aca="false">S174</f>
        <v>366666.666666667</v>
      </c>
      <c r="U171" s="65" t="n">
        <f aca="false">T174</f>
        <v>358333.333333334</v>
      </c>
      <c r="V171" s="65" t="n">
        <f aca="false">U174</f>
        <v>350000</v>
      </c>
      <c r="W171" s="65" t="n">
        <f aca="false">V174</f>
        <v>341666.666666667</v>
      </c>
      <c r="X171" s="65" t="n">
        <f aca="false">W174</f>
        <v>333333.333333334</v>
      </c>
      <c r="Y171" s="65" t="n">
        <f aca="false">X174</f>
        <v>325000</v>
      </c>
      <c r="Z171" s="65" t="n">
        <f aca="false">Y174</f>
        <v>316666.666666667</v>
      </c>
      <c r="AA171" s="65" t="n">
        <f aca="false">Z174</f>
        <v>308333.333333334</v>
      </c>
      <c r="AB171" s="65" t="n">
        <f aca="false">AA174</f>
        <v>300000</v>
      </c>
      <c r="AC171" s="65" t="n">
        <f aca="false">AB174</f>
        <v>291666.666666667</v>
      </c>
      <c r="AD171" s="65" t="n">
        <f aca="false">AC174</f>
        <v>283333.333333334</v>
      </c>
      <c r="AE171" s="65" t="n">
        <f aca="false">AD174</f>
        <v>275000.000000001</v>
      </c>
      <c r="AF171" s="65" t="n">
        <f aca="false">AE174</f>
        <v>266666.666666667</v>
      </c>
      <c r="AG171" s="65" t="n">
        <f aca="false">AF174</f>
        <v>258333.333333334</v>
      </c>
      <c r="AH171" s="65" t="n">
        <f aca="false">AG174</f>
        <v>250000.000000001</v>
      </c>
      <c r="AI171" s="65" t="n">
        <f aca="false">AH174</f>
        <v>241666.666666667</v>
      </c>
      <c r="AJ171" s="65" t="n">
        <f aca="false">AI174</f>
        <v>233333.333333334</v>
      </c>
      <c r="AK171" s="65" t="n">
        <f aca="false">AJ174</f>
        <v>225000.000000001</v>
      </c>
      <c r="AL171" s="65" t="n">
        <f aca="false">AK174</f>
        <v>216666.666666667</v>
      </c>
      <c r="AM171" s="65" t="n">
        <f aca="false">AL174</f>
        <v>208333.333333334</v>
      </c>
      <c r="AN171" s="65" t="n">
        <f aca="false">AM174</f>
        <v>200000</v>
      </c>
      <c r="AO171" s="65" t="n">
        <f aca="false">AN174</f>
        <v>191666.666666667</v>
      </c>
      <c r="AP171" s="65" t="n">
        <f aca="false">AO174</f>
        <v>183333.333333334</v>
      </c>
      <c r="AQ171" s="65" t="n">
        <f aca="false">AP174</f>
        <v>175000</v>
      </c>
      <c r="AR171" s="65" t="n">
        <f aca="false">AQ174</f>
        <v>166666.666666667</v>
      </c>
      <c r="AS171" s="65" t="n">
        <f aca="false">AR174</f>
        <v>158333.333333334</v>
      </c>
      <c r="AT171" s="65" t="n">
        <f aca="false">AS174</f>
        <v>150000</v>
      </c>
      <c r="AU171" s="65" t="n">
        <f aca="false">AT174</f>
        <v>141666.666666667</v>
      </c>
      <c r="AV171" s="65" t="n">
        <f aca="false">AU174</f>
        <v>133333.333333334</v>
      </c>
      <c r="AW171" s="65" t="n">
        <f aca="false">AV174</f>
        <v>125000</v>
      </c>
      <c r="AX171" s="65" t="n">
        <f aca="false">AW174</f>
        <v>116666.666666667</v>
      </c>
      <c r="AY171" s="65" t="n">
        <f aca="false">AX174</f>
        <v>108333.333333334</v>
      </c>
      <c r="AZ171" s="65" t="n">
        <f aca="false">AY174</f>
        <v>100000</v>
      </c>
      <c r="BA171" s="65" t="n">
        <f aca="false">AZ174</f>
        <v>91666.6666666671</v>
      </c>
      <c r="BB171" s="65" t="n">
        <f aca="false">BA174</f>
        <v>83333.3333333338</v>
      </c>
      <c r="BC171" s="65" t="n">
        <f aca="false">BB174</f>
        <v>75000.0000000004</v>
      </c>
      <c r="BD171" s="65" t="n">
        <f aca="false">BC174</f>
        <v>66666.6666666671</v>
      </c>
      <c r="BE171" s="65" t="n">
        <f aca="false">BD174</f>
        <v>58333.3333333338</v>
      </c>
      <c r="BF171" s="65" t="n">
        <f aca="false">BE174</f>
        <v>50000.0000000004</v>
      </c>
      <c r="BG171" s="65" t="n">
        <f aca="false">BF174</f>
        <v>41666.6666666671</v>
      </c>
      <c r="BH171" s="65" t="n">
        <f aca="false">BG174</f>
        <v>33333.3333333338</v>
      </c>
      <c r="BI171" s="65" t="n">
        <f aca="false">BH174</f>
        <v>25000.0000000004</v>
      </c>
      <c r="BJ171" s="65" t="n">
        <f aca="false">BI174</f>
        <v>16666.6666666671</v>
      </c>
    </row>
    <row r="172" customFormat="false" ht="15" hidden="false" customHeight="false" outlineLevel="0" collapsed="false">
      <c r="A172" s="6" t="s">
        <v>85</v>
      </c>
      <c r="C172" s="65" t="n">
        <f aca="false">IF(C$117=1,Inputs!$C$59,0)</f>
        <v>500000</v>
      </c>
      <c r="D172" s="65" t="n">
        <f aca="false">IF(D$117=1,Inputs!$C$59,0)</f>
        <v>0</v>
      </c>
      <c r="E172" s="65" t="n">
        <f aca="false">IF(E$117=1,Inputs!$C$59,0)</f>
        <v>0</v>
      </c>
      <c r="F172" s="65" t="n">
        <f aca="false">IF(F$117=1,Inputs!$C$59,0)</f>
        <v>0</v>
      </c>
      <c r="G172" s="65" t="n">
        <f aca="false">IF(G$117=1,Inputs!$C$59,0)</f>
        <v>0</v>
      </c>
      <c r="H172" s="65" t="n">
        <f aca="false">IF(H$117=1,Inputs!$C$59,0)</f>
        <v>0</v>
      </c>
      <c r="I172" s="65" t="n">
        <f aca="false">IF(I$117=1,Inputs!$C$59,0)</f>
        <v>0</v>
      </c>
      <c r="J172" s="65" t="n">
        <f aca="false">IF(J$117=1,Inputs!$C$59,0)</f>
        <v>0</v>
      </c>
      <c r="K172" s="65" t="n">
        <f aca="false">IF(K$117=1,Inputs!$C$59,0)</f>
        <v>0</v>
      </c>
      <c r="L172" s="65" t="n">
        <f aca="false">IF(L$117=1,Inputs!$C$59,0)</f>
        <v>0</v>
      </c>
      <c r="M172" s="65" t="n">
        <f aca="false">IF(M$117=1,Inputs!$C$59,0)</f>
        <v>0</v>
      </c>
      <c r="N172" s="65" t="n">
        <f aca="false">IF(N$117=1,Inputs!$C$59,0)</f>
        <v>0</v>
      </c>
      <c r="O172" s="65" t="n">
        <f aca="false">IF(O$117=1,Inputs!$C$59,0)</f>
        <v>0</v>
      </c>
      <c r="P172" s="65" t="n">
        <f aca="false">IF(P$117=1,Inputs!$C$59,0)</f>
        <v>0</v>
      </c>
      <c r="Q172" s="65" t="n">
        <f aca="false">IF(Q$117=1,Inputs!$C$59,0)</f>
        <v>0</v>
      </c>
      <c r="R172" s="65" t="n">
        <f aca="false">IF(R$117=1,Inputs!$C$59,0)</f>
        <v>0</v>
      </c>
      <c r="S172" s="65" t="n">
        <f aca="false">IF(S$117=1,Inputs!$C$59,0)</f>
        <v>0</v>
      </c>
      <c r="T172" s="65" t="n">
        <f aca="false">IF(T$117=1,Inputs!$C$59,0)</f>
        <v>0</v>
      </c>
      <c r="U172" s="65" t="n">
        <f aca="false">IF(U$117=1,Inputs!$C$59,0)</f>
        <v>0</v>
      </c>
      <c r="V172" s="65" t="n">
        <f aca="false">IF(V$117=1,Inputs!$C$59,0)</f>
        <v>0</v>
      </c>
      <c r="W172" s="65" t="n">
        <f aca="false">IF(W$117=1,Inputs!$C$59,0)</f>
        <v>0</v>
      </c>
      <c r="X172" s="65" t="n">
        <f aca="false">IF(X$117=1,Inputs!$C$59,0)</f>
        <v>0</v>
      </c>
      <c r="Y172" s="65" t="n">
        <f aca="false">IF(Y$117=1,Inputs!$C$59,0)</f>
        <v>0</v>
      </c>
      <c r="Z172" s="65" t="n">
        <f aca="false">IF(Z$117=1,Inputs!$C$59,0)</f>
        <v>0</v>
      </c>
      <c r="AA172" s="65" t="n">
        <f aca="false">IF(AA$117=1,Inputs!$C$59,0)</f>
        <v>0</v>
      </c>
      <c r="AB172" s="65" t="n">
        <f aca="false">IF(AB$117=1,Inputs!$C$59,0)</f>
        <v>0</v>
      </c>
      <c r="AC172" s="65" t="n">
        <f aca="false">IF(AC$117=1,Inputs!$C$59,0)</f>
        <v>0</v>
      </c>
      <c r="AD172" s="65" t="n">
        <f aca="false">IF(AD$117=1,Inputs!$C$59,0)</f>
        <v>0</v>
      </c>
      <c r="AE172" s="65" t="n">
        <f aca="false">IF(AE$117=1,Inputs!$C$59,0)</f>
        <v>0</v>
      </c>
      <c r="AF172" s="65" t="n">
        <f aca="false">IF(AF$117=1,Inputs!$C$59,0)</f>
        <v>0</v>
      </c>
      <c r="AG172" s="65" t="n">
        <f aca="false">IF(AG$117=1,Inputs!$C$59,0)</f>
        <v>0</v>
      </c>
      <c r="AH172" s="65" t="n">
        <f aca="false">IF(AH$117=1,Inputs!$C$59,0)</f>
        <v>0</v>
      </c>
      <c r="AI172" s="65" t="n">
        <f aca="false">IF(AI$117=1,Inputs!$C$59,0)</f>
        <v>0</v>
      </c>
      <c r="AJ172" s="65" t="n">
        <f aca="false">IF(AJ$117=1,Inputs!$C$59,0)</f>
        <v>0</v>
      </c>
      <c r="AK172" s="65" t="n">
        <f aca="false">IF(AK$117=1,Inputs!$C$59,0)</f>
        <v>0</v>
      </c>
      <c r="AL172" s="65" t="n">
        <f aca="false">IF(AL$117=1,Inputs!$C$59,0)</f>
        <v>0</v>
      </c>
      <c r="AM172" s="65" t="n">
        <f aca="false">IF(AM$117=1,Inputs!$C$59,0)</f>
        <v>0</v>
      </c>
      <c r="AN172" s="65" t="n">
        <f aca="false">IF(AN$117=1,Inputs!$C$59,0)</f>
        <v>0</v>
      </c>
      <c r="AO172" s="65" t="n">
        <f aca="false">IF(AO$117=1,Inputs!$C$59,0)</f>
        <v>0</v>
      </c>
      <c r="AP172" s="65" t="n">
        <f aca="false">IF(AP$117=1,Inputs!$C$59,0)</f>
        <v>0</v>
      </c>
      <c r="AQ172" s="65" t="n">
        <f aca="false">IF(AQ$117=1,Inputs!$C$59,0)</f>
        <v>0</v>
      </c>
      <c r="AR172" s="65" t="n">
        <f aca="false">IF(AR$117=1,Inputs!$C$59,0)</f>
        <v>0</v>
      </c>
      <c r="AS172" s="65" t="n">
        <f aca="false">IF(AS$117=1,Inputs!$C$59,0)</f>
        <v>0</v>
      </c>
      <c r="AT172" s="65" t="n">
        <f aca="false">IF(AT$117=1,Inputs!$C$59,0)</f>
        <v>0</v>
      </c>
      <c r="AU172" s="65" t="n">
        <f aca="false">IF(AU$117=1,Inputs!$C$59,0)</f>
        <v>0</v>
      </c>
      <c r="AV172" s="65" t="n">
        <f aca="false">IF(AV$117=1,Inputs!$C$59,0)</f>
        <v>0</v>
      </c>
      <c r="AW172" s="65" t="n">
        <f aca="false">IF(AW$117=1,Inputs!$C$59,0)</f>
        <v>0</v>
      </c>
      <c r="AX172" s="65" t="n">
        <f aca="false">IF(AX$117=1,Inputs!$C$59,0)</f>
        <v>0</v>
      </c>
      <c r="AY172" s="65" t="n">
        <f aca="false">IF(AY$117=1,Inputs!$C$59,0)</f>
        <v>0</v>
      </c>
      <c r="AZ172" s="65" t="n">
        <f aca="false">IF(AZ$117=1,Inputs!$C$59,0)</f>
        <v>0</v>
      </c>
      <c r="BA172" s="65" t="n">
        <f aca="false">IF(BA$117=1,Inputs!$C$59,0)</f>
        <v>0</v>
      </c>
      <c r="BB172" s="65" t="n">
        <f aca="false">IF(BB$117=1,Inputs!$C$59,0)</f>
        <v>0</v>
      </c>
      <c r="BC172" s="65" t="n">
        <f aca="false">IF(BC$117=1,Inputs!$C$59,0)</f>
        <v>0</v>
      </c>
      <c r="BD172" s="65" t="n">
        <f aca="false">IF(BD$117=1,Inputs!$C$59,0)</f>
        <v>0</v>
      </c>
      <c r="BE172" s="65" t="n">
        <f aca="false">IF(BE$117=1,Inputs!$C$59,0)</f>
        <v>0</v>
      </c>
      <c r="BF172" s="65" t="n">
        <f aca="false">IF(BF$117=1,Inputs!$C$59,0)</f>
        <v>0</v>
      </c>
      <c r="BG172" s="65" t="n">
        <f aca="false">IF(BG$117=1,Inputs!$C$59,0)</f>
        <v>0</v>
      </c>
      <c r="BH172" s="65" t="n">
        <f aca="false">IF(BH$117=1,Inputs!$C$59,0)</f>
        <v>0</v>
      </c>
      <c r="BI172" s="65" t="n">
        <f aca="false">IF(BI$117=1,Inputs!$C$59,0)</f>
        <v>0</v>
      </c>
      <c r="BJ172" s="65" t="n">
        <f aca="false">IF(BJ$117=1,Inputs!$C$59,0)</f>
        <v>0</v>
      </c>
    </row>
    <row r="173" customFormat="false" ht="15" hidden="false" customHeight="false" outlineLevel="0" collapsed="false">
      <c r="A173" s="6" t="s">
        <v>86</v>
      </c>
      <c r="C173" s="65" t="n">
        <f aca="false">-MIN(C171,Inputs!$C$59/MAX(1,Inputs!$C$61*12))</f>
        <v>-0</v>
      </c>
      <c r="D173" s="65" t="n">
        <f aca="false">-MIN(D171,Inputs!$C$59/MAX(1,Inputs!$C$61*12))</f>
        <v>-8333.33333333333</v>
      </c>
      <c r="E173" s="65" t="n">
        <f aca="false">-MIN(E171,Inputs!$C$59/MAX(1,Inputs!$C$61*12))</f>
        <v>-8333.33333333333</v>
      </c>
      <c r="F173" s="65" t="n">
        <f aca="false">-MIN(F171,Inputs!$C$59/MAX(1,Inputs!$C$61*12))</f>
        <v>-8333.33333333333</v>
      </c>
      <c r="G173" s="65" t="n">
        <f aca="false">-MIN(G171,Inputs!$C$59/MAX(1,Inputs!$C$61*12))</f>
        <v>-8333.33333333333</v>
      </c>
      <c r="H173" s="65" t="n">
        <f aca="false">-MIN(H171,Inputs!$C$59/MAX(1,Inputs!$C$61*12))</f>
        <v>-8333.33333333333</v>
      </c>
      <c r="I173" s="65" t="n">
        <f aca="false">-MIN(I171,Inputs!$C$59/MAX(1,Inputs!$C$61*12))</f>
        <v>-8333.33333333333</v>
      </c>
      <c r="J173" s="65" t="n">
        <f aca="false">-MIN(J171,Inputs!$C$59/MAX(1,Inputs!$C$61*12))</f>
        <v>-8333.33333333333</v>
      </c>
      <c r="K173" s="65" t="n">
        <f aca="false">-MIN(K171,Inputs!$C$59/MAX(1,Inputs!$C$61*12))</f>
        <v>-8333.33333333333</v>
      </c>
      <c r="L173" s="65" t="n">
        <f aca="false">-MIN(L171,Inputs!$C$59/MAX(1,Inputs!$C$61*12))</f>
        <v>-8333.33333333333</v>
      </c>
      <c r="M173" s="65" t="n">
        <f aca="false">-MIN(M171,Inputs!$C$59/MAX(1,Inputs!$C$61*12))</f>
        <v>-8333.33333333333</v>
      </c>
      <c r="N173" s="65" t="n">
        <f aca="false">-MIN(N171,Inputs!$C$59/MAX(1,Inputs!$C$61*12))</f>
        <v>-8333.33333333333</v>
      </c>
      <c r="O173" s="65" t="n">
        <f aca="false">-MIN(O171,Inputs!$C$59/MAX(1,Inputs!$C$61*12))</f>
        <v>-8333.33333333333</v>
      </c>
      <c r="P173" s="65" t="n">
        <f aca="false">-MIN(P171,Inputs!$C$59/MAX(1,Inputs!$C$61*12))</f>
        <v>-8333.33333333333</v>
      </c>
      <c r="Q173" s="65" t="n">
        <f aca="false">-MIN(Q171,Inputs!$C$59/MAX(1,Inputs!$C$61*12))</f>
        <v>-8333.33333333333</v>
      </c>
      <c r="R173" s="65" t="n">
        <f aca="false">-MIN(R171,Inputs!$C$59/MAX(1,Inputs!$C$61*12))</f>
        <v>-8333.33333333333</v>
      </c>
      <c r="S173" s="65" t="n">
        <f aca="false">-MIN(S171,Inputs!$C$59/MAX(1,Inputs!$C$61*12))</f>
        <v>-8333.33333333333</v>
      </c>
      <c r="T173" s="65" t="n">
        <f aca="false">-MIN(T171,Inputs!$C$59/MAX(1,Inputs!$C$61*12))</f>
        <v>-8333.33333333333</v>
      </c>
      <c r="U173" s="65" t="n">
        <f aca="false">-MIN(U171,Inputs!$C$59/MAX(1,Inputs!$C$61*12))</f>
        <v>-8333.33333333333</v>
      </c>
      <c r="V173" s="65" t="n">
        <f aca="false">-MIN(V171,Inputs!$C$59/MAX(1,Inputs!$C$61*12))</f>
        <v>-8333.33333333333</v>
      </c>
      <c r="W173" s="65" t="n">
        <f aca="false">-MIN(W171,Inputs!$C$59/MAX(1,Inputs!$C$61*12))</f>
        <v>-8333.33333333333</v>
      </c>
      <c r="X173" s="65" t="n">
        <f aca="false">-MIN(X171,Inputs!$C$59/MAX(1,Inputs!$C$61*12))</f>
        <v>-8333.33333333333</v>
      </c>
      <c r="Y173" s="65" t="n">
        <f aca="false">-MIN(Y171,Inputs!$C$59/MAX(1,Inputs!$C$61*12))</f>
        <v>-8333.33333333333</v>
      </c>
      <c r="Z173" s="65" t="n">
        <f aca="false">-MIN(Z171,Inputs!$C$59/MAX(1,Inputs!$C$61*12))</f>
        <v>-8333.33333333333</v>
      </c>
      <c r="AA173" s="65" t="n">
        <f aca="false">-MIN(AA171,Inputs!$C$59/MAX(1,Inputs!$C$61*12))</f>
        <v>-8333.33333333333</v>
      </c>
      <c r="AB173" s="65" t="n">
        <f aca="false">-MIN(AB171,Inputs!$C$59/MAX(1,Inputs!$C$61*12))</f>
        <v>-8333.33333333333</v>
      </c>
      <c r="AC173" s="65" t="n">
        <f aca="false">-MIN(AC171,Inputs!$C$59/MAX(1,Inputs!$C$61*12))</f>
        <v>-8333.33333333333</v>
      </c>
      <c r="AD173" s="65" t="n">
        <f aca="false">-MIN(AD171,Inputs!$C$59/MAX(1,Inputs!$C$61*12))</f>
        <v>-8333.33333333333</v>
      </c>
      <c r="AE173" s="65" t="n">
        <f aca="false">-MIN(AE171,Inputs!$C$59/MAX(1,Inputs!$C$61*12))</f>
        <v>-8333.33333333333</v>
      </c>
      <c r="AF173" s="65" t="n">
        <f aca="false">-MIN(AF171,Inputs!$C$59/MAX(1,Inputs!$C$61*12))</f>
        <v>-8333.33333333333</v>
      </c>
      <c r="AG173" s="65" t="n">
        <f aca="false">-MIN(AG171,Inputs!$C$59/MAX(1,Inputs!$C$61*12))</f>
        <v>-8333.33333333333</v>
      </c>
      <c r="AH173" s="65" t="n">
        <f aca="false">-MIN(AH171,Inputs!$C$59/MAX(1,Inputs!$C$61*12))</f>
        <v>-8333.33333333333</v>
      </c>
      <c r="AI173" s="65" t="n">
        <f aca="false">-MIN(AI171,Inputs!$C$59/MAX(1,Inputs!$C$61*12))</f>
        <v>-8333.33333333333</v>
      </c>
      <c r="AJ173" s="65" t="n">
        <f aca="false">-MIN(AJ171,Inputs!$C$59/MAX(1,Inputs!$C$61*12))</f>
        <v>-8333.33333333333</v>
      </c>
      <c r="AK173" s="65" t="n">
        <f aca="false">-MIN(AK171,Inputs!$C$59/MAX(1,Inputs!$C$61*12))</f>
        <v>-8333.33333333333</v>
      </c>
      <c r="AL173" s="65" t="n">
        <f aca="false">-MIN(AL171,Inputs!$C$59/MAX(1,Inputs!$C$61*12))</f>
        <v>-8333.33333333333</v>
      </c>
      <c r="AM173" s="65" t="n">
        <f aca="false">-MIN(AM171,Inputs!$C$59/MAX(1,Inputs!$C$61*12))</f>
        <v>-8333.33333333333</v>
      </c>
      <c r="AN173" s="65" t="n">
        <f aca="false">-MIN(AN171,Inputs!$C$59/MAX(1,Inputs!$C$61*12))</f>
        <v>-8333.33333333333</v>
      </c>
      <c r="AO173" s="65" t="n">
        <f aca="false">-MIN(AO171,Inputs!$C$59/MAX(1,Inputs!$C$61*12))</f>
        <v>-8333.33333333333</v>
      </c>
      <c r="AP173" s="65" t="n">
        <f aca="false">-MIN(AP171,Inputs!$C$59/MAX(1,Inputs!$C$61*12))</f>
        <v>-8333.33333333333</v>
      </c>
      <c r="AQ173" s="65" t="n">
        <f aca="false">-MIN(AQ171,Inputs!$C$59/MAX(1,Inputs!$C$61*12))</f>
        <v>-8333.33333333333</v>
      </c>
      <c r="AR173" s="65" t="n">
        <f aca="false">-MIN(AR171,Inputs!$C$59/MAX(1,Inputs!$C$61*12))</f>
        <v>-8333.33333333333</v>
      </c>
      <c r="AS173" s="65" t="n">
        <f aca="false">-MIN(AS171,Inputs!$C$59/MAX(1,Inputs!$C$61*12))</f>
        <v>-8333.33333333333</v>
      </c>
      <c r="AT173" s="65" t="n">
        <f aca="false">-MIN(AT171,Inputs!$C$59/MAX(1,Inputs!$C$61*12))</f>
        <v>-8333.33333333333</v>
      </c>
      <c r="AU173" s="65" t="n">
        <f aca="false">-MIN(AU171,Inputs!$C$59/MAX(1,Inputs!$C$61*12))</f>
        <v>-8333.33333333333</v>
      </c>
      <c r="AV173" s="65" t="n">
        <f aca="false">-MIN(AV171,Inputs!$C$59/MAX(1,Inputs!$C$61*12))</f>
        <v>-8333.33333333333</v>
      </c>
      <c r="AW173" s="65" t="n">
        <f aca="false">-MIN(AW171,Inputs!$C$59/MAX(1,Inputs!$C$61*12))</f>
        <v>-8333.33333333333</v>
      </c>
      <c r="AX173" s="65" t="n">
        <f aca="false">-MIN(AX171,Inputs!$C$59/MAX(1,Inputs!$C$61*12))</f>
        <v>-8333.33333333333</v>
      </c>
      <c r="AY173" s="65" t="n">
        <f aca="false">-MIN(AY171,Inputs!$C$59/MAX(1,Inputs!$C$61*12))</f>
        <v>-8333.33333333333</v>
      </c>
      <c r="AZ173" s="65" t="n">
        <f aca="false">-MIN(AZ171,Inputs!$C$59/MAX(1,Inputs!$C$61*12))</f>
        <v>-8333.33333333333</v>
      </c>
      <c r="BA173" s="65" t="n">
        <f aca="false">-MIN(BA171,Inputs!$C$59/MAX(1,Inputs!$C$61*12))</f>
        <v>-8333.33333333333</v>
      </c>
      <c r="BB173" s="65" t="n">
        <f aca="false">-MIN(BB171,Inputs!$C$59/MAX(1,Inputs!$C$61*12))</f>
        <v>-8333.33333333333</v>
      </c>
      <c r="BC173" s="65" t="n">
        <f aca="false">-MIN(BC171,Inputs!$C$59/MAX(1,Inputs!$C$61*12))</f>
        <v>-8333.33333333333</v>
      </c>
      <c r="BD173" s="65" t="n">
        <f aca="false">-MIN(BD171,Inputs!$C$59/MAX(1,Inputs!$C$61*12))</f>
        <v>-8333.33333333333</v>
      </c>
      <c r="BE173" s="65" t="n">
        <f aca="false">-MIN(BE171,Inputs!$C$59/MAX(1,Inputs!$C$61*12))</f>
        <v>-8333.33333333333</v>
      </c>
      <c r="BF173" s="65" t="n">
        <f aca="false">-MIN(BF171,Inputs!$C$59/MAX(1,Inputs!$C$61*12))</f>
        <v>-8333.33333333333</v>
      </c>
      <c r="BG173" s="65" t="n">
        <f aca="false">-MIN(BG171,Inputs!$C$59/MAX(1,Inputs!$C$61*12))</f>
        <v>-8333.33333333333</v>
      </c>
      <c r="BH173" s="65" t="n">
        <f aca="false">-MIN(BH171,Inputs!$C$59/MAX(1,Inputs!$C$61*12))</f>
        <v>-8333.33333333333</v>
      </c>
      <c r="BI173" s="65" t="n">
        <f aca="false">-MIN(BI171,Inputs!$C$59/MAX(1,Inputs!$C$61*12))</f>
        <v>-8333.33333333333</v>
      </c>
      <c r="BJ173" s="65" t="n">
        <f aca="false">-MIN(BJ171,Inputs!$C$59/MAX(1,Inputs!$C$61*12))</f>
        <v>-8333.33333333333</v>
      </c>
    </row>
    <row r="174" customFormat="false" ht="15" hidden="false" customHeight="false" outlineLevel="0" collapsed="false">
      <c r="A174" s="4" t="s">
        <v>428</v>
      </c>
      <c r="C174" s="71" t="n">
        <f aca="false">C171+C172+C173</f>
        <v>500000</v>
      </c>
      <c r="D174" s="71" t="n">
        <f aca="false">D171+D172+D173</f>
        <v>491666.666666667</v>
      </c>
      <c r="E174" s="71" t="n">
        <f aca="false">E171+E172+E173</f>
        <v>483333.333333333</v>
      </c>
      <c r="F174" s="71" t="n">
        <f aca="false">F171+F172+F173</f>
        <v>475000</v>
      </c>
      <c r="G174" s="71" t="n">
        <f aca="false">G171+G172+G173</f>
        <v>466666.666666667</v>
      </c>
      <c r="H174" s="71" t="n">
        <f aca="false">H171+H172+H173</f>
        <v>458333.333333333</v>
      </c>
      <c r="I174" s="71" t="n">
        <f aca="false">I171+I172+I173</f>
        <v>450000</v>
      </c>
      <c r="J174" s="71" t="n">
        <f aca="false">J171+J172+J173</f>
        <v>441666.666666667</v>
      </c>
      <c r="K174" s="71" t="n">
        <f aca="false">K171+K172+K173</f>
        <v>433333.333333334</v>
      </c>
      <c r="L174" s="71" t="n">
        <f aca="false">L171+L172+L173</f>
        <v>425000</v>
      </c>
      <c r="M174" s="71" t="n">
        <f aca="false">M171+M172+M173</f>
        <v>416666.666666667</v>
      </c>
      <c r="N174" s="71" t="n">
        <f aca="false">N171+N172+N173</f>
        <v>408333.333333334</v>
      </c>
      <c r="O174" s="71" t="n">
        <f aca="false">O171+O172+O173</f>
        <v>400000</v>
      </c>
      <c r="P174" s="71" t="n">
        <f aca="false">P171+P172+P173</f>
        <v>391666.666666667</v>
      </c>
      <c r="Q174" s="71" t="n">
        <f aca="false">Q171+Q172+Q173</f>
        <v>383333.333333334</v>
      </c>
      <c r="R174" s="71" t="n">
        <f aca="false">R171+R172+R173</f>
        <v>375000</v>
      </c>
      <c r="S174" s="71" t="n">
        <f aca="false">S171+S172+S173</f>
        <v>366666.666666667</v>
      </c>
      <c r="T174" s="71" t="n">
        <f aca="false">T171+T172+T173</f>
        <v>358333.333333334</v>
      </c>
      <c r="U174" s="71" t="n">
        <f aca="false">U171+U172+U173</f>
        <v>350000</v>
      </c>
      <c r="V174" s="71" t="n">
        <f aca="false">V171+V172+V173</f>
        <v>341666.666666667</v>
      </c>
      <c r="W174" s="71" t="n">
        <f aca="false">W171+W172+W173</f>
        <v>333333.333333334</v>
      </c>
      <c r="X174" s="71" t="n">
        <f aca="false">X171+X172+X173</f>
        <v>325000</v>
      </c>
      <c r="Y174" s="71" t="n">
        <f aca="false">Y171+Y172+Y173</f>
        <v>316666.666666667</v>
      </c>
      <c r="Z174" s="71" t="n">
        <f aca="false">Z171+Z172+Z173</f>
        <v>308333.333333334</v>
      </c>
      <c r="AA174" s="71" t="n">
        <f aca="false">AA171+AA172+AA173</f>
        <v>300000</v>
      </c>
      <c r="AB174" s="71" t="n">
        <f aca="false">AB171+AB172+AB173</f>
        <v>291666.666666667</v>
      </c>
      <c r="AC174" s="71" t="n">
        <f aca="false">AC171+AC172+AC173</f>
        <v>283333.333333334</v>
      </c>
      <c r="AD174" s="71" t="n">
        <f aca="false">AD171+AD172+AD173</f>
        <v>275000.000000001</v>
      </c>
      <c r="AE174" s="71" t="n">
        <f aca="false">AE171+AE172+AE173</f>
        <v>266666.666666667</v>
      </c>
      <c r="AF174" s="71" t="n">
        <f aca="false">AF171+AF172+AF173</f>
        <v>258333.333333334</v>
      </c>
      <c r="AG174" s="71" t="n">
        <f aca="false">AG171+AG172+AG173</f>
        <v>250000.000000001</v>
      </c>
      <c r="AH174" s="71" t="n">
        <f aca="false">AH171+AH172+AH173</f>
        <v>241666.666666667</v>
      </c>
      <c r="AI174" s="71" t="n">
        <f aca="false">AI171+AI172+AI173</f>
        <v>233333.333333334</v>
      </c>
      <c r="AJ174" s="71" t="n">
        <f aca="false">AJ171+AJ172+AJ173</f>
        <v>225000.000000001</v>
      </c>
      <c r="AK174" s="71" t="n">
        <f aca="false">AK171+AK172+AK173</f>
        <v>216666.666666667</v>
      </c>
      <c r="AL174" s="71" t="n">
        <f aca="false">AL171+AL172+AL173</f>
        <v>208333.333333334</v>
      </c>
      <c r="AM174" s="71" t="n">
        <f aca="false">AM171+AM172+AM173</f>
        <v>200000</v>
      </c>
      <c r="AN174" s="71" t="n">
        <f aca="false">AN171+AN172+AN173</f>
        <v>191666.666666667</v>
      </c>
      <c r="AO174" s="71" t="n">
        <f aca="false">AO171+AO172+AO173</f>
        <v>183333.333333334</v>
      </c>
      <c r="AP174" s="71" t="n">
        <f aca="false">AP171+AP172+AP173</f>
        <v>175000</v>
      </c>
      <c r="AQ174" s="71" t="n">
        <f aca="false">AQ171+AQ172+AQ173</f>
        <v>166666.666666667</v>
      </c>
      <c r="AR174" s="71" t="n">
        <f aca="false">AR171+AR172+AR173</f>
        <v>158333.333333334</v>
      </c>
      <c r="AS174" s="71" t="n">
        <f aca="false">AS171+AS172+AS173</f>
        <v>150000</v>
      </c>
      <c r="AT174" s="71" t="n">
        <f aca="false">AT171+AT172+AT173</f>
        <v>141666.666666667</v>
      </c>
      <c r="AU174" s="71" t="n">
        <f aca="false">AU171+AU172+AU173</f>
        <v>133333.333333334</v>
      </c>
      <c r="AV174" s="71" t="n">
        <f aca="false">AV171+AV172+AV173</f>
        <v>125000</v>
      </c>
      <c r="AW174" s="71" t="n">
        <f aca="false">AW171+AW172+AW173</f>
        <v>116666.666666667</v>
      </c>
      <c r="AX174" s="71" t="n">
        <f aca="false">AX171+AX172+AX173</f>
        <v>108333.333333334</v>
      </c>
      <c r="AY174" s="71" t="n">
        <f aca="false">AY171+AY172+AY173</f>
        <v>100000</v>
      </c>
      <c r="AZ174" s="71" t="n">
        <f aca="false">AZ171+AZ172+AZ173</f>
        <v>91666.6666666671</v>
      </c>
      <c r="BA174" s="71" t="n">
        <f aca="false">BA171+BA172+BA173</f>
        <v>83333.3333333338</v>
      </c>
      <c r="BB174" s="71" t="n">
        <f aca="false">BB171+BB172+BB173</f>
        <v>75000.0000000004</v>
      </c>
      <c r="BC174" s="71" t="n">
        <f aca="false">BC171+BC172+BC173</f>
        <v>66666.6666666671</v>
      </c>
      <c r="BD174" s="71" t="n">
        <f aca="false">BD171+BD172+BD173</f>
        <v>58333.3333333338</v>
      </c>
      <c r="BE174" s="71" t="n">
        <f aca="false">BE171+BE172+BE173</f>
        <v>50000.0000000004</v>
      </c>
      <c r="BF174" s="71" t="n">
        <f aca="false">BF171+BF172+BF173</f>
        <v>41666.6666666671</v>
      </c>
      <c r="BG174" s="71" t="n">
        <f aca="false">BG171+BG172+BG173</f>
        <v>33333.3333333338</v>
      </c>
      <c r="BH174" s="71" t="n">
        <f aca="false">BH171+BH172+BH173</f>
        <v>25000.0000000004</v>
      </c>
      <c r="BI174" s="71" t="n">
        <f aca="false">BI171+BI172+BI173</f>
        <v>16666.6666666671</v>
      </c>
      <c r="BJ174" s="71" t="n">
        <f aca="false">BJ171+BJ172+BJ173</f>
        <v>8333.33333333375</v>
      </c>
    </row>
    <row r="176" customFormat="false" ht="15.75" hidden="false" customHeight="true" outlineLevel="0" collapsed="false">
      <c r="A176" s="7" t="s">
        <v>313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customFormat="false" ht="15" hidden="false" customHeight="false" outlineLevel="0" collapsed="false">
      <c r="A177" s="6" t="s">
        <v>90</v>
      </c>
      <c r="C177" s="65" t="n">
        <f aca="false">C138*Inputs!$C$64/30</f>
        <v>29523.4714285714</v>
      </c>
      <c r="D177" s="65" t="n">
        <f aca="false">D138*Inputs!$C$64/30</f>
        <v>29523.4714285714</v>
      </c>
      <c r="E177" s="65" t="n">
        <f aca="false">E138*Inputs!$C$64/30</f>
        <v>29523.4714285714</v>
      </c>
      <c r="F177" s="65" t="n">
        <f aca="false">F138*Inputs!$C$64/30</f>
        <v>29523.4714285714</v>
      </c>
      <c r="G177" s="65" t="n">
        <f aca="false">G138*Inputs!$C$64/30</f>
        <v>29523.4714285714</v>
      </c>
      <c r="H177" s="65" t="n">
        <f aca="false">H138*Inputs!$C$64/30</f>
        <v>29523.4714285714</v>
      </c>
      <c r="I177" s="65" t="n">
        <f aca="false">I138*Inputs!$C$64/30</f>
        <v>29523.4714285714</v>
      </c>
      <c r="J177" s="65" t="n">
        <f aca="false">J138*Inputs!$C$64/30</f>
        <v>29523.4714285714</v>
      </c>
      <c r="K177" s="65" t="n">
        <f aca="false">K138*Inputs!$C$64/30</f>
        <v>29523.4714285714</v>
      </c>
      <c r="L177" s="65" t="n">
        <f aca="false">L138*Inputs!$C$64/30</f>
        <v>29523.4714285714</v>
      </c>
      <c r="M177" s="65" t="n">
        <f aca="false">M138*Inputs!$C$64/30</f>
        <v>36214.0714285714</v>
      </c>
      <c r="N177" s="65" t="n">
        <f aca="false">N138*Inputs!$C$64/30</f>
        <v>36214.0714285714</v>
      </c>
      <c r="O177" s="65" t="n">
        <f aca="false">O138*Inputs!$C$64/30</f>
        <v>38376.0064285714</v>
      </c>
      <c r="P177" s="65" t="n">
        <f aca="false">P138*Inputs!$C$64/30</f>
        <v>38376.0064285714</v>
      </c>
      <c r="Q177" s="65" t="n">
        <f aca="false">Q138*Inputs!$C$64/30</f>
        <v>38376.0064285714</v>
      </c>
      <c r="R177" s="65" t="n">
        <f aca="false">R138*Inputs!$C$64/30</f>
        <v>38376.0064285714</v>
      </c>
      <c r="S177" s="65" t="n">
        <f aca="false">S138*Inputs!$C$64/30</f>
        <v>38376.0064285714</v>
      </c>
      <c r="T177" s="65" t="n">
        <f aca="false">T138*Inputs!$C$64/30</f>
        <v>38376.0064285714</v>
      </c>
      <c r="U177" s="65" t="n">
        <f aca="false">U138*Inputs!$C$64/30</f>
        <v>38376.0064285714</v>
      </c>
      <c r="V177" s="65" t="n">
        <f aca="false">V138*Inputs!$C$64/30</f>
        <v>38376.0064285714</v>
      </c>
      <c r="W177" s="65" t="n">
        <f aca="false">W138*Inputs!$C$64/30</f>
        <v>38376.0064285714</v>
      </c>
      <c r="X177" s="65" t="n">
        <f aca="false">X138*Inputs!$C$64/30</f>
        <v>38376.0064285714</v>
      </c>
      <c r="Y177" s="65" t="n">
        <f aca="false">Y138*Inputs!$C$64/30</f>
        <v>47422.8964285714</v>
      </c>
      <c r="Z177" s="65" t="n">
        <f aca="false">Z138*Inputs!$C$64/30</f>
        <v>47422.8964285714</v>
      </c>
      <c r="AA177" s="65" t="n">
        <f aca="false">AA138*Inputs!$C$64/30</f>
        <v>48864.6154285714</v>
      </c>
      <c r="AB177" s="65" t="n">
        <f aca="false">AB138*Inputs!$C$64/30</f>
        <v>48864.6154285714</v>
      </c>
      <c r="AC177" s="65" t="n">
        <f aca="false">AC138*Inputs!$C$64/30</f>
        <v>48864.6154285714</v>
      </c>
      <c r="AD177" s="65" t="n">
        <f aca="false">AD138*Inputs!$C$64/30</f>
        <v>48864.6154285714</v>
      </c>
      <c r="AE177" s="65" t="n">
        <f aca="false">AE138*Inputs!$C$64/30</f>
        <v>48864.6154285714</v>
      </c>
      <c r="AF177" s="65" t="n">
        <f aca="false">AF138*Inputs!$C$64/30</f>
        <v>48864.6154285714</v>
      </c>
      <c r="AG177" s="65" t="n">
        <f aca="false">AG138*Inputs!$C$64/30</f>
        <v>48864.6154285714</v>
      </c>
      <c r="AH177" s="65" t="n">
        <f aca="false">AH138*Inputs!$C$64/30</f>
        <v>48864.6154285714</v>
      </c>
      <c r="AI177" s="65" t="n">
        <f aca="false">AI138*Inputs!$C$64/30</f>
        <v>48864.6154285714</v>
      </c>
      <c r="AJ177" s="65" t="n">
        <f aca="false">AJ138*Inputs!$C$64/30</f>
        <v>48864.6154285714</v>
      </c>
      <c r="AK177" s="65" t="n">
        <f aca="false">AK138*Inputs!$C$64/30</f>
        <v>60662.7514285714</v>
      </c>
      <c r="AL177" s="65" t="n">
        <f aca="false">AL138*Inputs!$C$64/30</f>
        <v>60662.7514285714</v>
      </c>
      <c r="AM177" s="65" t="n">
        <f aca="false">AM138*Inputs!$C$64/30</f>
        <v>61381.4077285714</v>
      </c>
      <c r="AN177" s="65" t="n">
        <f aca="false">AN138*Inputs!$C$64/30</f>
        <v>61381.4077285714</v>
      </c>
      <c r="AO177" s="65" t="n">
        <f aca="false">AO138*Inputs!$C$64/30</f>
        <v>61381.4077285714</v>
      </c>
      <c r="AP177" s="65" t="n">
        <f aca="false">AP138*Inputs!$C$64/30</f>
        <v>61381.4077285714</v>
      </c>
      <c r="AQ177" s="65" t="n">
        <f aca="false">AQ138*Inputs!$C$64/30</f>
        <v>61381.4077285714</v>
      </c>
      <c r="AR177" s="65" t="n">
        <f aca="false">AR138*Inputs!$C$64/30</f>
        <v>61381.4077285714</v>
      </c>
      <c r="AS177" s="65" t="n">
        <f aca="false">AS138*Inputs!$C$64/30</f>
        <v>61381.4077285714</v>
      </c>
      <c r="AT177" s="65" t="n">
        <f aca="false">AT138*Inputs!$C$64/30</f>
        <v>61381.4077285714</v>
      </c>
      <c r="AU177" s="65" t="n">
        <f aca="false">AU138*Inputs!$C$64/30</f>
        <v>61381.4077285714</v>
      </c>
      <c r="AV177" s="65" t="n">
        <f aca="false">AV138*Inputs!$C$64/30</f>
        <v>61381.4077285714</v>
      </c>
      <c r="AW177" s="65" t="n">
        <f aca="false">AW138*Inputs!$C$64/30</f>
        <v>76424.0311285714</v>
      </c>
      <c r="AX177" s="65" t="n">
        <f aca="false">AX138*Inputs!$C$64/30</f>
        <v>76424.0311285714</v>
      </c>
      <c r="AY177" s="65" t="n">
        <f aca="false">AY138*Inputs!$C$64/30</f>
        <v>76418.5990701214</v>
      </c>
      <c r="AZ177" s="65" t="n">
        <f aca="false">AZ138*Inputs!$C$64/30</f>
        <v>76418.5990701214</v>
      </c>
      <c r="BA177" s="65" t="n">
        <f aca="false">BA138*Inputs!$C$64/30</f>
        <v>76418.5990701214</v>
      </c>
      <c r="BB177" s="65" t="n">
        <f aca="false">BB138*Inputs!$C$64/30</f>
        <v>76418.5990701214</v>
      </c>
      <c r="BC177" s="65" t="n">
        <f aca="false">BC138*Inputs!$C$64/30</f>
        <v>76418.5990701214</v>
      </c>
      <c r="BD177" s="65" t="n">
        <f aca="false">BD138*Inputs!$C$64/30</f>
        <v>76418.5990701214</v>
      </c>
      <c r="BE177" s="65" t="n">
        <f aca="false">BE138*Inputs!$C$64/30</f>
        <v>76418.5990701214</v>
      </c>
      <c r="BF177" s="65" t="n">
        <f aca="false">BF138*Inputs!$C$64/30</f>
        <v>76418.5990701214</v>
      </c>
      <c r="BG177" s="65" t="n">
        <f aca="false">BG138*Inputs!$C$64/30</f>
        <v>76418.5990701214</v>
      </c>
      <c r="BH177" s="65" t="n">
        <f aca="false">BH138*Inputs!$C$64/30</f>
        <v>76418.5990701214</v>
      </c>
      <c r="BI177" s="65" t="n">
        <f aca="false">BI138*Inputs!$C$64/30</f>
        <v>95323.9532646214</v>
      </c>
      <c r="BJ177" s="65" t="n">
        <f aca="false">BJ138*Inputs!$C$64/30</f>
        <v>95323.9532646214</v>
      </c>
    </row>
    <row r="178" customFormat="false" ht="15" hidden="false" customHeight="false" outlineLevel="0" collapsed="false">
      <c r="A178" s="6" t="s">
        <v>91</v>
      </c>
      <c r="C178" s="65" t="n">
        <f aca="false">-C139*Inputs!$C$65/30</f>
        <v>464994.675</v>
      </c>
      <c r="D178" s="65" t="n">
        <f aca="false">-D139*Inputs!$C$65/30</f>
        <v>464994.675</v>
      </c>
      <c r="E178" s="65" t="n">
        <f aca="false">-E139*Inputs!$C$65/30</f>
        <v>464994.675</v>
      </c>
      <c r="F178" s="65" t="n">
        <f aca="false">-F139*Inputs!$C$65/30</f>
        <v>464994.675</v>
      </c>
      <c r="G178" s="65" t="n">
        <f aca="false">-G139*Inputs!$C$65/30</f>
        <v>464994.675</v>
      </c>
      <c r="H178" s="65" t="n">
        <f aca="false">-H139*Inputs!$C$65/30</f>
        <v>464994.675</v>
      </c>
      <c r="I178" s="65" t="n">
        <f aca="false">-I139*Inputs!$C$65/30</f>
        <v>464994.675</v>
      </c>
      <c r="J178" s="65" t="n">
        <f aca="false">-J139*Inputs!$C$65/30</f>
        <v>464994.675</v>
      </c>
      <c r="K178" s="65" t="n">
        <f aca="false">-K139*Inputs!$C$65/30</f>
        <v>464994.675</v>
      </c>
      <c r="L178" s="65" t="n">
        <f aca="false">-L139*Inputs!$C$65/30</f>
        <v>464994.675</v>
      </c>
      <c r="M178" s="65" t="n">
        <f aca="false">-M139*Inputs!$C$65/30</f>
        <v>570371.625</v>
      </c>
      <c r="N178" s="65" t="n">
        <f aca="false">-N139*Inputs!$C$65/30</f>
        <v>570371.625</v>
      </c>
      <c r="O178" s="65" t="n">
        <f aca="false">-O139*Inputs!$C$65/30</f>
        <v>604422.10125</v>
      </c>
      <c r="P178" s="65" t="n">
        <f aca="false">-P139*Inputs!$C$65/30</f>
        <v>604422.10125</v>
      </c>
      <c r="Q178" s="65" t="n">
        <f aca="false">-Q139*Inputs!$C$65/30</f>
        <v>604422.10125</v>
      </c>
      <c r="R178" s="65" t="n">
        <f aca="false">-R139*Inputs!$C$65/30</f>
        <v>604422.10125</v>
      </c>
      <c r="S178" s="65" t="n">
        <f aca="false">-S139*Inputs!$C$65/30</f>
        <v>604422.10125</v>
      </c>
      <c r="T178" s="65" t="n">
        <f aca="false">-T139*Inputs!$C$65/30</f>
        <v>604422.10125</v>
      </c>
      <c r="U178" s="65" t="n">
        <f aca="false">-U139*Inputs!$C$65/30</f>
        <v>604422.10125</v>
      </c>
      <c r="V178" s="65" t="n">
        <f aca="false">-V139*Inputs!$C$65/30</f>
        <v>604422.10125</v>
      </c>
      <c r="W178" s="65" t="n">
        <f aca="false">-W139*Inputs!$C$65/30</f>
        <v>604422.10125</v>
      </c>
      <c r="X178" s="65" t="n">
        <f aca="false">-X139*Inputs!$C$65/30</f>
        <v>604422.10125</v>
      </c>
      <c r="Y178" s="65" t="n">
        <f aca="false">-Y139*Inputs!$C$65/30</f>
        <v>746910.61875</v>
      </c>
      <c r="Z178" s="65" t="n">
        <f aca="false">-Z139*Inputs!$C$65/30</f>
        <v>746910.61875</v>
      </c>
      <c r="AA178" s="65" t="n">
        <f aca="false">-AA139*Inputs!$C$65/30</f>
        <v>769617.693</v>
      </c>
      <c r="AB178" s="65" t="n">
        <f aca="false">-AB139*Inputs!$C$65/30</f>
        <v>769617.693</v>
      </c>
      <c r="AC178" s="65" t="n">
        <f aca="false">-AC139*Inputs!$C$65/30</f>
        <v>769617.693</v>
      </c>
      <c r="AD178" s="65" t="n">
        <f aca="false">-AD139*Inputs!$C$65/30</f>
        <v>769617.693</v>
      </c>
      <c r="AE178" s="65" t="n">
        <f aca="false">-AE139*Inputs!$C$65/30</f>
        <v>769617.693</v>
      </c>
      <c r="AF178" s="65" t="n">
        <f aca="false">-AF139*Inputs!$C$65/30</f>
        <v>769617.693</v>
      </c>
      <c r="AG178" s="65" t="n">
        <f aca="false">-AG139*Inputs!$C$65/30</f>
        <v>769617.693</v>
      </c>
      <c r="AH178" s="65" t="n">
        <f aca="false">-AH139*Inputs!$C$65/30</f>
        <v>769617.693</v>
      </c>
      <c r="AI178" s="65" t="n">
        <f aca="false">-AI139*Inputs!$C$65/30</f>
        <v>769617.693</v>
      </c>
      <c r="AJ178" s="65" t="n">
        <f aca="false">-AJ139*Inputs!$C$65/30</f>
        <v>769617.693</v>
      </c>
      <c r="AK178" s="65" t="n">
        <f aca="false">-AK139*Inputs!$C$65/30</f>
        <v>955438.335</v>
      </c>
      <c r="AL178" s="65" t="n">
        <f aca="false">-AL139*Inputs!$C$65/30</f>
        <v>955438.335</v>
      </c>
      <c r="AM178" s="65" t="n">
        <f aca="false">-AM139*Inputs!$C$65/30</f>
        <v>966757.171725</v>
      </c>
      <c r="AN178" s="65" t="n">
        <f aca="false">-AN139*Inputs!$C$65/30</f>
        <v>966757.171725</v>
      </c>
      <c r="AO178" s="65" t="n">
        <f aca="false">-AO139*Inputs!$C$65/30</f>
        <v>966757.171725</v>
      </c>
      <c r="AP178" s="65" t="n">
        <f aca="false">-AP139*Inputs!$C$65/30</f>
        <v>966757.171725</v>
      </c>
      <c r="AQ178" s="65" t="n">
        <f aca="false">-AQ139*Inputs!$C$65/30</f>
        <v>966757.171725</v>
      </c>
      <c r="AR178" s="65" t="n">
        <f aca="false">-AR139*Inputs!$C$65/30</f>
        <v>966757.171725</v>
      </c>
      <c r="AS178" s="65" t="n">
        <f aca="false">-AS139*Inputs!$C$65/30</f>
        <v>966757.171725</v>
      </c>
      <c r="AT178" s="65" t="n">
        <f aca="false">-AT139*Inputs!$C$65/30</f>
        <v>966757.171725</v>
      </c>
      <c r="AU178" s="65" t="n">
        <f aca="false">-AU139*Inputs!$C$65/30</f>
        <v>966757.171725</v>
      </c>
      <c r="AV178" s="65" t="n">
        <f aca="false">-AV139*Inputs!$C$65/30</f>
        <v>966757.171725</v>
      </c>
      <c r="AW178" s="65" t="n">
        <f aca="false">-AW139*Inputs!$C$65/30</f>
        <v>1203678.490275</v>
      </c>
      <c r="AX178" s="65" t="n">
        <f aca="false">-AX139*Inputs!$C$65/30</f>
        <v>1203678.490275</v>
      </c>
      <c r="AY178" s="65" t="n">
        <f aca="false">-AY139*Inputs!$C$65/30</f>
        <v>1203592.93535441</v>
      </c>
      <c r="AZ178" s="65" t="n">
        <f aca="false">-AZ139*Inputs!$C$65/30</f>
        <v>1203592.93535441</v>
      </c>
      <c r="BA178" s="65" t="n">
        <f aca="false">-BA139*Inputs!$C$65/30</f>
        <v>1203592.93535441</v>
      </c>
      <c r="BB178" s="65" t="n">
        <f aca="false">-BB139*Inputs!$C$65/30</f>
        <v>1203592.93535441</v>
      </c>
      <c r="BC178" s="65" t="n">
        <f aca="false">-BC139*Inputs!$C$65/30</f>
        <v>1203592.93535441</v>
      </c>
      <c r="BD178" s="65" t="n">
        <f aca="false">-BD139*Inputs!$C$65/30</f>
        <v>1203592.93535441</v>
      </c>
      <c r="BE178" s="65" t="n">
        <f aca="false">-BE139*Inputs!$C$65/30</f>
        <v>1203592.93535441</v>
      </c>
      <c r="BF178" s="65" t="n">
        <f aca="false">-BF139*Inputs!$C$65/30</f>
        <v>1203592.93535441</v>
      </c>
      <c r="BG178" s="65" t="n">
        <f aca="false">-BG139*Inputs!$C$65/30</f>
        <v>1203592.93535441</v>
      </c>
      <c r="BH178" s="65" t="n">
        <f aca="false">-BH139*Inputs!$C$65/30</f>
        <v>1203592.93535441</v>
      </c>
      <c r="BI178" s="65" t="n">
        <f aca="false">-BI139*Inputs!$C$65/30</f>
        <v>1501352.26391779</v>
      </c>
      <c r="BJ178" s="65" t="n">
        <f aca="false">-BJ139*Inputs!$C$65/30</f>
        <v>1501352.26391779</v>
      </c>
    </row>
    <row r="179" customFormat="false" ht="15" hidden="false" customHeight="false" outlineLevel="0" collapsed="false">
      <c r="A179" s="6" t="s">
        <v>94</v>
      </c>
      <c r="C179" s="65" t="n">
        <f aca="false">-C139*Inputs!$C$66/30</f>
        <v>185997.87</v>
      </c>
      <c r="D179" s="65" t="n">
        <f aca="false">-D139*Inputs!$C$66/30</f>
        <v>185997.87</v>
      </c>
      <c r="E179" s="65" t="n">
        <f aca="false">-E139*Inputs!$C$66/30</f>
        <v>185997.87</v>
      </c>
      <c r="F179" s="65" t="n">
        <f aca="false">-F139*Inputs!$C$66/30</f>
        <v>185997.87</v>
      </c>
      <c r="G179" s="65" t="n">
        <f aca="false">-G139*Inputs!$C$66/30</f>
        <v>185997.87</v>
      </c>
      <c r="H179" s="65" t="n">
        <f aca="false">-H139*Inputs!$C$66/30</f>
        <v>185997.87</v>
      </c>
      <c r="I179" s="65" t="n">
        <f aca="false">-I139*Inputs!$C$66/30</f>
        <v>185997.87</v>
      </c>
      <c r="J179" s="65" t="n">
        <f aca="false">-J139*Inputs!$C$66/30</f>
        <v>185997.87</v>
      </c>
      <c r="K179" s="65" t="n">
        <f aca="false">-K139*Inputs!$C$66/30</f>
        <v>185997.87</v>
      </c>
      <c r="L179" s="65" t="n">
        <f aca="false">-L139*Inputs!$C$66/30</f>
        <v>185997.87</v>
      </c>
      <c r="M179" s="65" t="n">
        <f aca="false">-M139*Inputs!$C$66/30</f>
        <v>228148.65</v>
      </c>
      <c r="N179" s="65" t="n">
        <f aca="false">-N139*Inputs!$C$66/30</f>
        <v>228148.65</v>
      </c>
      <c r="O179" s="65" t="n">
        <f aca="false">-O139*Inputs!$C$66/30</f>
        <v>241768.8405</v>
      </c>
      <c r="P179" s="65" t="n">
        <f aca="false">-P139*Inputs!$C$66/30</f>
        <v>241768.8405</v>
      </c>
      <c r="Q179" s="65" t="n">
        <f aca="false">-Q139*Inputs!$C$66/30</f>
        <v>241768.8405</v>
      </c>
      <c r="R179" s="65" t="n">
        <f aca="false">-R139*Inputs!$C$66/30</f>
        <v>241768.8405</v>
      </c>
      <c r="S179" s="65" t="n">
        <f aca="false">-S139*Inputs!$C$66/30</f>
        <v>241768.8405</v>
      </c>
      <c r="T179" s="65" t="n">
        <f aca="false">-T139*Inputs!$C$66/30</f>
        <v>241768.8405</v>
      </c>
      <c r="U179" s="65" t="n">
        <f aca="false">-U139*Inputs!$C$66/30</f>
        <v>241768.8405</v>
      </c>
      <c r="V179" s="65" t="n">
        <f aca="false">-V139*Inputs!$C$66/30</f>
        <v>241768.8405</v>
      </c>
      <c r="W179" s="65" t="n">
        <f aca="false">-W139*Inputs!$C$66/30</f>
        <v>241768.8405</v>
      </c>
      <c r="X179" s="65" t="n">
        <f aca="false">-X139*Inputs!$C$66/30</f>
        <v>241768.8405</v>
      </c>
      <c r="Y179" s="65" t="n">
        <f aca="false">-Y139*Inputs!$C$66/30</f>
        <v>298764.2475</v>
      </c>
      <c r="Z179" s="65" t="n">
        <f aca="false">-Z139*Inputs!$C$66/30</f>
        <v>298764.2475</v>
      </c>
      <c r="AA179" s="65" t="n">
        <f aca="false">-AA139*Inputs!$C$66/30</f>
        <v>307847.0772</v>
      </c>
      <c r="AB179" s="65" t="n">
        <f aca="false">-AB139*Inputs!$C$66/30</f>
        <v>307847.0772</v>
      </c>
      <c r="AC179" s="65" t="n">
        <f aca="false">-AC139*Inputs!$C$66/30</f>
        <v>307847.0772</v>
      </c>
      <c r="AD179" s="65" t="n">
        <f aca="false">-AD139*Inputs!$C$66/30</f>
        <v>307847.0772</v>
      </c>
      <c r="AE179" s="65" t="n">
        <f aca="false">-AE139*Inputs!$C$66/30</f>
        <v>307847.0772</v>
      </c>
      <c r="AF179" s="65" t="n">
        <f aca="false">-AF139*Inputs!$C$66/30</f>
        <v>307847.0772</v>
      </c>
      <c r="AG179" s="65" t="n">
        <f aca="false">-AG139*Inputs!$C$66/30</f>
        <v>307847.0772</v>
      </c>
      <c r="AH179" s="65" t="n">
        <f aca="false">-AH139*Inputs!$C$66/30</f>
        <v>307847.0772</v>
      </c>
      <c r="AI179" s="65" t="n">
        <f aca="false">-AI139*Inputs!$C$66/30</f>
        <v>307847.0772</v>
      </c>
      <c r="AJ179" s="65" t="n">
        <f aca="false">-AJ139*Inputs!$C$66/30</f>
        <v>307847.0772</v>
      </c>
      <c r="AK179" s="65" t="n">
        <f aca="false">-AK139*Inputs!$C$66/30</f>
        <v>382175.334</v>
      </c>
      <c r="AL179" s="65" t="n">
        <f aca="false">-AL139*Inputs!$C$66/30</f>
        <v>382175.334</v>
      </c>
      <c r="AM179" s="65" t="n">
        <f aca="false">-AM139*Inputs!$C$66/30</f>
        <v>386702.86869</v>
      </c>
      <c r="AN179" s="65" t="n">
        <f aca="false">-AN139*Inputs!$C$66/30</f>
        <v>386702.86869</v>
      </c>
      <c r="AO179" s="65" t="n">
        <f aca="false">-AO139*Inputs!$C$66/30</f>
        <v>386702.86869</v>
      </c>
      <c r="AP179" s="65" t="n">
        <f aca="false">-AP139*Inputs!$C$66/30</f>
        <v>386702.86869</v>
      </c>
      <c r="AQ179" s="65" t="n">
        <f aca="false">-AQ139*Inputs!$C$66/30</f>
        <v>386702.86869</v>
      </c>
      <c r="AR179" s="65" t="n">
        <f aca="false">-AR139*Inputs!$C$66/30</f>
        <v>386702.86869</v>
      </c>
      <c r="AS179" s="65" t="n">
        <f aca="false">-AS139*Inputs!$C$66/30</f>
        <v>386702.86869</v>
      </c>
      <c r="AT179" s="65" t="n">
        <f aca="false">-AT139*Inputs!$C$66/30</f>
        <v>386702.86869</v>
      </c>
      <c r="AU179" s="65" t="n">
        <f aca="false">-AU139*Inputs!$C$66/30</f>
        <v>386702.86869</v>
      </c>
      <c r="AV179" s="65" t="n">
        <f aca="false">-AV139*Inputs!$C$66/30</f>
        <v>386702.86869</v>
      </c>
      <c r="AW179" s="65" t="n">
        <f aca="false">-AW139*Inputs!$C$66/30</f>
        <v>481471.39611</v>
      </c>
      <c r="AX179" s="65" t="n">
        <f aca="false">-AX139*Inputs!$C$66/30</f>
        <v>481471.39611</v>
      </c>
      <c r="AY179" s="65" t="n">
        <f aca="false">-AY139*Inputs!$C$66/30</f>
        <v>481437.174141765</v>
      </c>
      <c r="AZ179" s="65" t="n">
        <f aca="false">-AZ139*Inputs!$C$66/30</f>
        <v>481437.174141765</v>
      </c>
      <c r="BA179" s="65" t="n">
        <f aca="false">-BA139*Inputs!$C$66/30</f>
        <v>481437.174141765</v>
      </c>
      <c r="BB179" s="65" t="n">
        <f aca="false">-BB139*Inputs!$C$66/30</f>
        <v>481437.174141765</v>
      </c>
      <c r="BC179" s="65" t="n">
        <f aca="false">-BC139*Inputs!$C$66/30</f>
        <v>481437.174141765</v>
      </c>
      <c r="BD179" s="65" t="n">
        <f aca="false">-BD139*Inputs!$C$66/30</f>
        <v>481437.174141765</v>
      </c>
      <c r="BE179" s="65" t="n">
        <f aca="false">-BE139*Inputs!$C$66/30</f>
        <v>481437.174141765</v>
      </c>
      <c r="BF179" s="65" t="n">
        <f aca="false">-BF139*Inputs!$C$66/30</f>
        <v>481437.174141765</v>
      </c>
      <c r="BG179" s="65" t="n">
        <f aca="false">-BG139*Inputs!$C$66/30</f>
        <v>481437.174141765</v>
      </c>
      <c r="BH179" s="65" t="n">
        <f aca="false">-BH139*Inputs!$C$66/30</f>
        <v>481437.174141765</v>
      </c>
      <c r="BI179" s="65" t="n">
        <f aca="false">-BI139*Inputs!$C$66/30</f>
        <v>600540.905567115</v>
      </c>
      <c r="BJ179" s="65" t="n">
        <f aca="false">-BJ139*Inputs!$C$66/30</f>
        <v>600540.905567115</v>
      </c>
    </row>
    <row r="180" customFormat="false" ht="15" hidden="false" customHeight="false" outlineLevel="0" collapsed="false">
      <c r="A180" s="6" t="s">
        <v>338</v>
      </c>
      <c r="C180" s="65" t="n">
        <f aca="false">-C177</f>
        <v>-29523.4714285714</v>
      </c>
      <c r="D180" s="65" t="n">
        <f aca="false">C177-D177</f>
        <v>0</v>
      </c>
      <c r="E180" s="65" t="n">
        <f aca="false">D177-E177</f>
        <v>0</v>
      </c>
      <c r="F180" s="65" t="n">
        <f aca="false">E177-F177</f>
        <v>0</v>
      </c>
      <c r="G180" s="65" t="n">
        <f aca="false">F177-G177</f>
        <v>0</v>
      </c>
      <c r="H180" s="65" t="n">
        <f aca="false">G177-H177</f>
        <v>0</v>
      </c>
      <c r="I180" s="65" t="n">
        <f aca="false">H177-I177</f>
        <v>0</v>
      </c>
      <c r="J180" s="65" t="n">
        <f aca="false">I177-J177</f>
        <v>0</v>
      </c>
      <c r="K180" s="65" t="n">
        <f aca="false">J177-K177</f>
        <v>0</v>
      </c>
      <c r="L180" s="65" t="n">
        <f aca="false">K177-L177</f>
        <v>0</v>
      </c>
      <c r="M180" s="65" t="n">
        <f aca="false">L177-M177</f>
        <v>-6690.60000000002</v>
      </c>
      <c r="N180" s="65" t="n">
        <f aca="false">M177-N177</f>
        <v>0</v>
      </c>
      <c r="O180" s="65" t="n">
        <f aca="false">N177-O177</f>
        <v>-2161.93499999999</v>
      </c>
      <c r="P180" s="65" t="n">
        <f aca="false">O177-P177</f>
        <v>0</v>
      </c>
      <c r="Q180" s="65" t="n">
        <f aca="false">P177-Q177</f>
        <v>0</v>
      </c>
      <c r="R180" s="65" t="n">
        <f aca="false">Q177-R177</f>
        <v>0</v>
      </c>
      <c r="S180" s="65" t="n">
        <f aca="false">R177-S177</f>
        <v>0</v>
      </c>
      <c r="T180" s="65" t="n">
        <f aca="false">S177-T177</f>
        <v>0</v>
      </c>
      <c r="U180" s="65" t="n">
        <f aca="false">T177-U177</f>
        <v>0</v>
      </c>
      <c r="V180" s="65" t="n">
        <f aca="false">U177-V177</f>
        <v>0</v>
      </c>
      <c r="W180" s="65" t="n">
        <f aca="false">V177-W177</f>
        <v>0</v>
      </c>
      <c r="X180" s="65" t="n">
        <f aca="false">W177-X177</f>
        <v>0</v>
      </c>
      <c r="Y180" s="65" t="n">
        <f aca="false">X177-Y177</f>
        <v>-9046.89</v>
      </c>
      <c r="Z180" s="65" t="n">
        <f aca="false">Y177-Z177</f>
        <v>0</v>
      </c>
      <c r="AA180" s="65" t="n">
        <f aca="false">Z177-AA177</f>
        <v>-1441.719</v>
      </c>
      <c r="AB180" s="65" t="n">
        <f aca="false">AA177-AB177</f>
        <v>0</v>
      </c>
      <c r="AC180" s="65" t="n">
        <f aca="false">AB177-AC177</f>
        <v>0</v>
      </c>
      <c r="AD180" s="65" t="n">
        <f aca="false">AC177-AD177</f>
        <v>0</v>
      </c>
      <c r="AE180" s="65" t="n">
        <f aca="false">AD177-AE177</f>
        <v>0</v>
      </c>
      <c r="AF180" s="65" t="n">
        <f aca="false">AE177-AF177</f>
        <v>0</v>
      </c>
      <c r="AG180" s="65" t="n">
        <f aca="false">AF177-AG177</f>
        <v>0</v>
      </c>
      <c r="AH180" s="65" t="n">
        <f aca="false">AG177-AH177</f>
        <v>0</v>
      </c>
      <c r="AI180" s="65" t="n">
        <f aca="false">AH177-AI177</f>
        <v>0</v>
      </c>
      <c r="AJ180" s="65" t="n">
        <f aca="false">AI177-AJ177</f>
        <v>0</v>
      </c>
      <c r="AK180" s="65" t="n">
        <f aca="false">AJ177-AK177</f>
        <v>-11798.136</v>
      </c>
      <c r="AL180" s="65" t="n">
        <f aca="false">AK177-AL177</f>
        <v>0</v>
      </c>
      <c r="AM180" s="65" t="n">
        <f aca="false">AL177-AM177</f>
        <v>-718.65630000001</v>
      </c>
      <c r="AN180" s="65" t="n">
        <f aca="false">AM177-AN177</f>
        <v>0</v>
      </c>
      <c r="AO180" s="65" t="n">
        <f aca="false">AN177-AO177</f>
        <v>0</v>
      </c>
      <c r="AP180" s="65" t="n">
        <f aca="false">AO177-AP177</f>
        <v>0</v>
      </c>
      <c r="AQ180" s="65" t="n">
        <f aca="false">AP177-AQ177</f>
        <v>0</v>
      </c>
      <c r="AR180" s="65" t="n">
        <f aca="false">AQ177-AR177</f>
        <v>0</v>
      </c>
      <c r="AS180" s="65" t="n">
        <f aca="false">AR177-AS177</f>
        <v>0</v>
      </c>
      <c r="AT180" s="65" t="n">
        <f aca="false">AS177-AT177</f>
        <v>0</v>
      </c>
      <c r="AU180" s="65" t="n">
        <f aca="false">AT177-AU177</f>
        <v>0</v>
      </c>
      <c r="AV180" s="65" t="n">
        <f aca="false">AU177-AV177</f>
        <v>0</v>
      </c>
      <c r="AW180" s="65" t="n">
        <f aca="false">AV177-AW177</f>
        <v>-15042.6234</v>
      </c>
      <c r="AX180" s="65" t="n">
        <f aca="false">AW177-AX177</f>
        <v>0</v>
      </c>
      <c r="AY180" s="65" t="n">
        <f aca="false">AX177-AY177</f>
        <v>5.43205844999466</v>
      </c>
      <c r="AZ180" s="65" t="n">
        <f aca="false">AY177-AZ177</f>
        <v>0</v>
      </c>
      <c r="BA180" s="65" t="n">
        <f aca="false">AZ177-BA177</f>
        <v>0</v>
      </c>
      <c r="BB180" s="65" t="n">
        <f aca="false">BA177-BB177</f>
        <v>0</v>
      </c>
      <c r="BC180" s="65" t="n">
        <f aca="false">BB177-BC177</f>
        <v>0</v>
      </c>
      <c r="BD180" s="65" t="n">
        <f aca="false">BC177-BD177</f>
        <v>0</v>
      </c>
      <c r="BE180" s="65" t="n">
        <f aca="false">BD177-BE177</f>
        <v>0</v>
      </c>
      <c r="BF180" s="65" t="n">
        <f aca="false">BE177-BF177</f>
        <v>0</v>
      </c>
      <c r="BG180" s="65" t="n">
        <f aca="false">BF177-BG177</f>
        <v>0</v>
      </c>
      <c r="BH180" s="65" t="n">
        <f aca="false">BG177-BH177</f>
        <v>0</v>
      </c>
      <c r="BI180" s="65" t="n">
        <f aca="false">BH177-BI177</f>
        <v>-18905.3541945</v>
      </c>
      <c r="BJ180" s="65" t="n">
        <f aca="false">BI177-BJ177</f>
        <v>0</v>
      </c>
    </row>
    <row r="181" customFormat="false" ht="15" hidden="false" customHeight="false" outlineLevel="0" collapsed="false">
      <c r="A181" s="6" t="s">
        <v>339</v>
      </c>
      <c r="C181" s="65" t="n">
        <f aca="false">-C178</f>
        <v>-464994.675</v>
      </c>
      <c r="D181" s="65" t="n">
        <f aca="false">C178-D178</f>
        <v>0</v>
      </c>
      <c r="E181" s="65" t="n">
        <f aca="false">D178-E178</f>
        <v>0</v>
      </c>
      <c r="F181" s="65" t="n">
        <f aca="false">E178-F178</f>
        <v>0</v>
      </c>
      <c r="G181" s="65" t="n">
        <f aca="false">F178-G178</f>
        <v>0</v>
      </c>
      <c r="H181" s="65" t="n">
        <f aca="false">G178-H178</f>
        <v>0</v>
      </c>
      <c r="I181" s="65" t="n">
        <f aca="false">H178-I178</f>
        <v>0</v>
      </c>
      <c r="J181" s="65" t="n">
        <f aca="false">I178-J178</f>
        <v>0</v>
      </c>
      <c r="K181" s="65" t="n">
        <f aca="false">J178-K178</f>
        <v>0</v>
      </c>
      <c r="L181" s="65" t="n">
        <f aca="false">K178-L178</f>
        <v>0</v>
      </c>
      <c r="M181" s="65" t="n">
        <f aca="false">L178-M178</f>
        <v>-105376.95</v>
      </c>
      <c r="N181" s="65" t="n">
        <f aca="false">M178-N178</f>
        <v>0</v>
      </c>
      <c r="O181" s="65" t="n">
        <f aca="false">N178-O178</f>
        <v>-34050.47625</v>
      </c>
      <c r="P181" s="65" t="n">
        <f aca="false">O178-P178</f>
        <v>0</v>
      </c>
      <c r="Q181" s="65" t="n">
        <f aca="false">P178-Q178</f>
        <v>0</v>
      </c>
      <c r="R181" s="65" t="n">
        <f aca="false">Q178-R178</f>
        <v>0</v>
      </c>
      <c r="S181" s="65" t="n">
        <f aca="false">R178-S178</f>
        <v>0</v>
      </c>
      <c r="T181" s="65" t="n">
        <f aca="false">S178-T178</f>
        <v>0</v>
      </c>
      <c r="U181" s="65" t="n">
        <f aca="false">T178-U178</f>
        <v>0</v>
      </c>
      <c r="V181" s="65" t="n">
        <f aca="false">U178-V178</f>
        <v>0</v>
      </c>
      <c r="W181" s="65" t="n">
        <f aca="false">V178-W178</f>
        <v>0</v>
      </c>
      <c r="X181" s="65" t="n">
        <f aca="false">W178-X178</f>
        <v>0</v>
      </c>
      <c r="Y181" s="65" t="n">
        <f aca="false">X178-Y178</f>
        <v>-142488.5175</v>
      </c>
      <c r="Z181" s="65" t="n">
        <f aca="false">Y178-Z178</f>
        <v>0</v>
      </c>
      <c r="AA181" s="65" t="n">
        <f aca="false">Z178-AA178</f>
        <v>-22707.0742499999</v>
      </c>
      <c r="AB181" s="65" t="n">
        <f aca="false">AA178-AB178</f>
        <v>0</v>
      </c>
      <c r="AC181" s="65" t="n">
        <f aca="false">AB178-AC178</f>
        <v>0</v>
      </c>
      <c r="AD181" s="65" t="n">
        <f aca="false">AC178-AD178</f>
        <v>0</v>
      </c>
      <c r="AE181" s="65" t="n">
        <f aca="false">AD178-AE178</f>
        <v>0</v>
      </c>
      <c r="AF181" s="65" t="n">
        <f aca="false">AE178-AF178</f>
        <v>0</v>
      </c>
      <c r="AG181" s="65" t="n">
        <f aca="false">AF178-AG178</f>
        <v>0</v>
      </c>
      <c r="AH181" s="65" t="n">
        <f aca="false">AG178-AH178</f>
        <v>0</v>
      </c>
      <c r="AI181" s="65" t="n">
        <f aca="false">AH178-AI178</f>
        <v>0</v>
      </c>
      <c r="AJ181" s="65" t="n">
        <f aca="false">AI178-AJ178</f>
        <v>0</v>
      </c>
      <c r="AK181" s="65" t="n">
        <f aca="false">AJ178-AK178</f>
        <v>-185820.642</v>
      </c>
      <c r="AL181" s="65" t="n">
        <f aca="false">AK178-AL178</f>
        <v>0</v>
      </c>
      <c r="AM181" s="65" t="n">
        <f aca="false">AL178-AM178</f>
        <v>-11318.8367250002</v>
      </c>
      <c r="AN181" s="65" t="n">
        <f aca="false">AM178-AN178</f>
        <v>0</v>
      </c>
      <c r="AO181" s="65" t="n">
        <f aca="false">AN178-AO178</f>
        <v>0</v>
      </c>
      <c r="AP181" s="65" t="n">
        <f aca="false">AO178-AP178</f>
        <v>0</v>
      </c>
      <c r="AQ181" s="65" t="n">
        <f aca="false">AP178-AQ178</f>
        <v>0</v>
      </c>
      <c r="AR181" s="65" t="n">
        <f aca="false">AQ178-AR178</f>
        <v>0</v>
      </c>
      <c r="AS181" s="65" t="n">
        <f aca="false">AR178-AS178</f>
        <v>0</v>
      </c>
      <c r="AT181" s="65" t="n">
        <f aca="false">AS178-AT178</f>
        <v>0</v>
      </c>
      <c r="AU181" s="65" t="n">
        <f aca="false">AT178-AU178</f>
        <v>0</v>
      </c>
      <c r="AV181" s="65" t="n">
        <f aca="false">AU178-AV178</f>
        <v>0</v>
      </c>
      <c r="AW181" s="65" t="n">
        <f aca="false">AV178-AW178</f>
        <v>-236921.31855</v>
      </c>
      <c r="AX181" s="65" t="n">
        <f aca="false">AW178-AX178</f>
        <v>0</v>
      </c>
      <c r="AY181" s="65" t="n">
        <f aca="false">AX178-AY178</f>
        <v>85.5549205874559</v>
      </c>
      <c r="AZ181" s="65" t="n">
        <f aca="false">AY178-AZ178</f>
        <v>0</v>
      </c>
      <c r="BA181" s="65" t="n">
        <f aca="false">AZ178-BA178</f>
        <v>0</v>
      </c>
      <c r="BB181" s="65" t="n">
        <f aca="false">BA178-BB178</f>
        <v>0</v>
      </c>
      <c r="BC181" s="65" t="n">
        <f aca="false">BB178-BC178</f>
        <v>0</v>
      </c>
      <c r="BD181" s="65" t="n">
        <f aca="false">BC178-BD178</f>
        <v>0</v>
      </c>
      <c r="BE181" s="65" t="n">
        <f aca="false">BD178-BE178</f>
        <v>0</v>
      </c>
      <c r="BF181" s="65" t="n">
        <f aca="false">BE178-BF178</f>
        <v>0</v>
      </c>
      <c r="BG181" s="65" t="n">
        <f aca="false">BF178-BG178</f>
        <v>0</v>
      </c>
      <c r="BH181" s="65" t="n">
        <f aca="false">BG178-BH178</f>
        <v>0</v>
      </c>
      <c r="BI181" s="65" t="n">
        <f aca="false">BH178-BI178</f>
        <v>-297759.328563375</v>
      </c>
      <c r="BJ181" s="65" t="n">
        <f aca="false">BI178-BJ178</f>
        <v>0</v>
      </c>
    </row>
    <row r="182" customFormat="false" ht="15" hidden="false" customHeight="false" outlineLevel="0" collapsed="false">
      <c r="A182" s="6" t="s">
        <v>340</v>
      </c>
      <c r="C182" s="65" t="n">
        <f aca="false">C179</f>
        <v>185997.87</v>
      </c>
      <c r="D182" s="65" t="n">
        <f aca="false">D179-C179</f>
        <v>0</v>
      </c>
      <c r="E182" s="65" t="n">
        <f aca="false">E179-D179</f>
        <v>0</v>
      </c>
      <c r="F182" s="65" t="n">
        <f aca="false">F179-E179</f>
        <v>0</v>
      </c>
      <c r="G182" s="65" t="n">
        <f aca="false">G179-F179</f>
        <v>0</v>
      </c>
      <c r="H182" s="65" t="n">
        <f aca="false">H179-G179</f>
        <v>0</v>
      </c>
      <c r="I182" s="65" t="n">
        <f aca="false">I179-H179</f>
        <v>0</v>
      </c>
      <c r="J182" s="65" t="n">
        <f aca="false">J179-I179</f>
        <v>0</v>
      </c>
      <c r="K182" s="65" t="n">
        <f aca="false">K179-J179</f>
        <v>0</v>
      </c>
      <c r="L182" s="65" t="n">
        <f aca="false">L179-K179</f>
        <v>0</v>
      </c>
      <c r="M182" s="65" t="n">
        <f aca="false">M179-L179</f>
        <v>42150.7800000001</v>
      </c>
      <c r="N182" s="65" t="n">
        <f aca="false">N179-M179</f>
        <v>0</v>
      </c>
      <c r="O182" s="65" t="n">
        <f aca="false">O179-N179</f>
        <v>13620.1905</v>
      </c>
      <c r="P182" s="65" t="n">
        <f aca="false">P179-O179</f>
        <v>0</v>
      </c>
      <c r="Q182" s="65" t="n">
        <f aca="false">Q179-P179</f>
        <v>0</v>
      </c>
      <c r="R182" s="65" t="n">
        <f aca="false">R179-Q179</f>
        <v>0</v>
      </c>
      <c r="S182" s="65" t="n">
        <f aca="false">S179-R179</f>
        <v>0</v>
      </c>
      <c r="T182" s="65" t="n">
        <f aca="false">T179-S179</f>
        <v>0</v>
      </c>
      <c r="U182" s="65" t="n">
        <f aca="false">U179-T179</f>
        <v>0</v>
      </c>
      <c r="V182" s="65" t="n">
        <f aca="false">V179-U179</f>
        <v>0</v>
      </c>
      <c r="W182" s="65" t="n">
        <f aca="false">W179-V179</f>
        <v>0</v>
      </c>
      <c r="X182" s="65" t="n">
        <f aca="false">X179-W179</f>
        <v>0</v>
      </c>
      <c r="Y182" s="65" t="n">
        <f aca="false">Y179-X179</f>
        <v>56995.407</v>
      </c>
      <c r="Z182" s="65" t="n">
        <f aca="false">Z179-Y179</f>
        <v>0</v>
      </c>
      <c r="AA182" s="65" t="n">
        <f aca="false">AA179-Z179</f>
        <v>9082.8297</v>
      </c>
      <c r="AB182" s="65" t="n">
        <f aca="false">AB179-AA179</f>
        <v>0</v>
      </c>
      <c r="AC182" s="65" t="n">
        <f aca="false">AC179-AB179</f>
        <v>0</v>
      </c>
      <c r="AD182" s="65" t="n">
        <f aca="false">AD179-AC179</f>
        <v>0</v>
      </c>
      <c r="AE182" s="65" t="n">
        <f aca="false">AE179-AD179</f>
        <v>0</v>
      </c>
      <c r="AF182" s="65" t="n">
        <f aca="false">AF179-AE179</f>
        <v>0</v>
      </c>
      <c r="AG182" s="65" t="n">
        <f aca="false">AG179-AF179</f>
        <v>0</v>
      </c>
      <c r="AH182" s="65" t="n">
        <f aca="false">AH179-AG179</f>
        <v>0</v>
      </c>
      <c r="AI182" s="65" t="n">
        <f aca="false">AI179-AH179</f>
        <v>0</v>
      </c>
      <c r="AJ182" s="65" t="n">
        <f aca="false">AJ179-AI179</f>
        <v>0</v>
      </c>
      <c r="AK182" s="65" t="n">
        <f aca="false">AK179-AJ179</f>
        <v>74328.2568</v>
      </c>
      <c r="AL182" s="65" t="n">
        <f aca="false">AL179-AK179</f>
        <v>0</v>
      </c>
      <c r="AM182" s="65" t="n">
        <f aca="false">AM179-AL179</f>
        <v>4527.53469000006</v>
      </c>
      <c r="AN182" s="65" t="n">
        <f aca="false">AN179-AM179</f>
        <v>0</v>
      </c>
      <c r="AO182" s="65" t="n">
        <f aca="false">AO179-AN179</f>
        <v>0</v>
      </c>
      <c r="AP182" s="65" t="n">
        <f aca="false">AP179-AO179</f>
        <v>0</v>
      </c>
      <c r="AQ182" s="65" t="n">
        <f aca="false">AQ179-AP179</f>
        <v>0</v>
      </c>
      <c r="AR182" s="65" t="n">
        <f aca="false">AR179-AQ179</f>
        <v>0</v>
      </c>
      <c r="AS182" s="65" t="n">
        <f aca="false">AS179-AR179</f>
        <v>0</v>
      </c>
      <c r="AT182" s="65" t="n">
        <f aca="false">AT179-AS179</f>
        <v>0</v>
      </c>
      <c r="AU182" s="65" t="n">
        <f aca="false">AU179-AT179</f>
        <v>0</v>
      </c>
      <c r="AV182" s="65" t="n">
        <f aca="false">AV179-AU179</f>
        <v>0</v>
      </c>
      <c r="AW182" s="65" t="n">
        <f aca="false">AW179-AV179</f>
        <v>94768.5274199999</v>
      </c>
      <c r="AX182" s="65" t="n">
        <f aca="false">AX179-AW179</f>
        <v>0</v>
      </c>
      <c r="AY182" s="65" t="n">
        <f aca="false">AY179-AX179</f>
        <v>-34.2219682349823</v>
      </c>
      <c r="AZ182" s="65" t="n">
        <f aca="false">AZ179-AY179</f>
        <v>0</v>
      </c>
      <c r="BA182" s="65" t="n">
        <f aca="false">BA179-AZ179</f>
        <v>0</v>
      </c>
      <c r="BB182" s="65" t="n">
        <f aca="false">BB179-BA179</f>
        <v>0</v>
      </c>
      <c r="BC182" s="65" t="n">
        <f aca="false">BC179-BB179</f>
        <v>0</v>
      </c>
      <c r="BD182" s="65" t="n">
        <f aca="false">BD179-BC179</f>
        <v>0</v>
      </c>
      <c r="BE182" s="65" t="n">
        <f aca="false">BE179-BD179</f>
        <v>0</v>
      </c>
      <c r="BF182" s="65" t="n">
        <f aca="false">BF179-BE179</f>
        <v>0</v>
      </c>
      <c r="BG182" s="65" t="n">
        <f aca="false">BG179-BF179</f>
        <v>0</v>
      </c>
      <c r="BH182" s="65" t="n">
        <f aca="false">BH179-BG179</f>
        <v>0</v>
      </c>
      <c r="BI182" s="65" t="n">
        <f aca="false">BI179-BH179</f>
        <v>119103.73142535</v>
      </c>
      <c r="BJ182" s="65" t="n">
        <f aca="false">BJ179-BI179</f>
        <v>0</v>
      </c>
    </row>
    <row r="184" customFormat="false" ht="15.75" hidden="false" customHeight="true" outlineLevel="0" collapsed="false">
      <c r="A184" s="7" t="s">
        <v>429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customFormat="false" ht="15" hidden="false" customHeight="false" outlineLevel="0" collapsed="false">
      <c r="A185" s="4" t="s">
        <v>52</v>
      </c>
      <c r="C185" s="71" t="n">
        <f aca="false">C161-C166+C180+C181+C182</f>
        <v>-295552.376821429</v>
      </c>
      <c r="D185" s="71" t="n">
        <f aca="false">D161-D166+D180+D181+D182</f>
        <v>12989.8440515873</v>
      </c>
      <c r="E185" s="71" t="n">
        <f aca="false">E161-E166+E180+E181+E182</f>
        <v>13033.7329404762</v>
      </c>
      <c r="F185" s="71" t="n">
        <f aca="false">F161-F166+F180+F181+F182</f>
        <v>13077.6218293651</v>
      </c>
      <c r="G185" s="71" t="n">
        <f aca="false">G161-G166+G180+G181+G182</f>
        <v>13121.5107182539</v>
      </c>
      <c r="H185" s="71" t="n">
        <f aca="false">H161-H166+H180+H181+H182</f>
        <v>13165.3996071428</v>
      </c>
      <c r="I185" s="71" t="n">
        <f aca="false">I161-I166+I180+I181+I182</f>
        <v>13209.2884960317</v>
      </c>
      <c r="J185" s="71" t="n">
        <f aca="false">J161-J166+J180+J181+J182</f>
        <v>13253.1773849206</v>
      </c>
      <c r="K185" s="71" t="n">
        <f aca="false">K161-K166+K180+K181+K182</f>
        <v>13297.0662738095</v>
      </c>
      <c r="L185" s="71" t="n">
        <f aca="false">L161-L166+L180+L181+L182</f>
        <v>13340.9551626984</v>
      </c>
      <c r="M185" s="71" t="n">
        <f aca="false">M161-M166+M180+M181+M182</f>
        <v>-19478.5164484127</v>
      </c>
      <c r="N185" s="71" t="n">
        <f aca="false">N161-N166+N180+N181+N182</f>
        <v>50482.1424404763</v>
      </c>
      <c r="O185" s="71" t="n">
        <f aca="false">O161-O166+O180+O181+O182</f>
        <v>6365.23361448417</v>
      </c>
      <c r="P185" s="71" t="n">
        <f aca="false">P161-P166+P180+P181+P182</f>
        <v>29001.343253373</v>
      </c>
      <c r="Q185" s="71" t="n">
        <f aca="false">Q161-Q166+Q180+Q181+Q182</f>
        <v>29045.2321422619</v>
      </c>
      <c r="R185" s="71" t="n">
        <f aca="false">R161-R166+R180+R181+R182</f>
        <v>29089.1210311508</v>
      </c>
      <c r="S185" s="71" t="n">
        <f aca="false">S161-S166+S180+S181+S182</f>
        <v>29133.0099200397</v>
      </c>
      <c r="T185" s="71" t="n">
        <f aca="false">T161-T166+T180+T181+T182</f>
        <v>29176.8988089286</v>
      </c>
      <c r="U185" s="71" t="n">
        <f aca="false">U161-U166+U180+U181+U182</f>
        <v>29220.7876978175</v>
      </c>
      <c r="V185" s="71" t="n">
        <f aca="false">V161-V166+V180+V181+V182</f>
        <v>29264.6765867064</v>
      </c>
      <c r="W185" s="71" t="n">
        <f aca="false">W161-W166+W180+W181+W182</f>
        <v>29308.5654755952</v>
      </c>
      <c r="X185" s="71" t="n">
        <f aca="false">X161-X166+X180+X181+X182</f>
        <v>29352.4543644841</v>
      </c>
      <c r="Y185" s="71" t="n">
        <f aca="false">Y161-Y166+Y180+Y181+Y182</f>
        <v>-14371.2716716269</v>
      </c>
      <c r="Z185" s="71" t="n">
        <f aca="false">Z161-Z166+Z180+Z181+Z182</f>
        <v>80212.6177172619</v>
      </c>
      <c r="AA185" s="71" t="n">
        <f aca="false">AA161-AA166+AA180+AA181+AA182</f>
        <v>31607.8151341063</v>
      </c>
      <c r="AB185" s="71" t="n">
        <f aca="false">AB161-AB166+AB180+AB181+AB182</f>
        <v>46717.6675729951</v>
      </c>
      <c r="AC185" s="71" t="n">
        <f aca="false">AC161-AC166+AC180+AC181+AC182</f>
        <v>46761.556461884</v>
      </c>
      <c r="AD185" s="71" t="n">
        <f aca="false">AD161-AD166+AD180+AD181+AD182</f>
        <v>46805.4453507729</v>
      </c>
      <c r="AE185" s="71" t="n">
        <f aca="false">AE161-AE166+AE180+AE181+AE182</f>
        <v>46849.3342396618</v>
      </c>
      <c r="AF185" s="71" t="n">
        <f aca="false">AF161-AF166+AF180+AF181+AF182</f>
        <v>46893.2231285506</v>
      </c>
      <c r="AG185" s="71" t="n">
        <f aca="false">AG161-AG166+AG180+AG181+AG182</f>
        <v>46937.1120174396</v>
      </c>
      <c r="AH185" s="71" t="n">
        <f aca="false">AH161-AH166+AH180+AH181+AH182</f>
        <v>46981.0009063284</v>
      </c>
      <c r="AI185" s="71" t="n">
        <f aca="false">AI161-AI166+AI180+AI181+AI182</f>
        <v>47024.8897952173</v>
      </c>
      <c r="AJ185" s="71" t="n">
        <f aca="false">AJ161-AJ166+AJ180+AJ181+AJ182</f>
        <v>47068.7786841062</v>
      </c>
      <c r="AK185" s="71" t="n">
        <f aca="false">AK161-AK166+AK180+AK181+AK182</f>
        <v>-9521.90224700479</v>
      </c>
      <c r="AL185" s="71" t="n">
        <f aca="false">AL161-AL166+AL180+AL181+AL182</f>
        <v>113812.507841884</v>
      </c>
      <c r="AM185" s="71" t="n">
        <f aca="false">AM161-AM166+AM180+AM181+AM182</f>
        <v>58848.1150221664</v>
      </c>
      <c r="AN185" s="71" t="n">
        <f aca="false">AN161-AN166+AN180+AN181+AN182</f>
        <v>66401.9622460554</v>
      </c>
      <c r="AO185" s="71" t="n">
        <f aca="false">AO161-AO166+AO180+AO181+AO182</f>
        <v>66445.8511349443</v>
      </c>
      <c r="AP185" s="71" t="n">
        <f aca="false">AP161-AP166+AP180+AP181+AP182</f>
        <v>66489.7400238332</v>
      </c>
      <c r="AQ185" s="71" t="n">
        <f aca="false">AQ161-AQ166+AQ180+AQ181+AQ182</f>
        <v>66533.6289127221</v>
      </c>
      <c r="AR185" s="71" t="n">
        <f aca="false">AR161-AR166+AR180+AR181+AR182</f>
        <v>66577.517801611</v>
      </c>
      <c r="AS185" s="71" t="n">
        <f aca="false">AS161-AS166+AS180+AS181+AS182</f>
        <v>66621.4066904998</v>
      </c>
      <c r="AT185" s="71" t="n">
        <f aca="false">AT161-AT166+AT180+AT181+AT182</f>
        <v>66665.2955793887</v>
      </c>
      <c r="AU185" s="71" t="n">
        <f aca="false">AU161-AU166+AU180+AU181+AU182</f>
        <v>66709.1844682776</v>
      </c>
      <c r="AV185" s="71" t="n">
        <f aca="false">AV161-AV166+AV180+AV181+AV182</f>
        <v>66753.0733571665</v>
      </c>
      <c r="AW185" s="71" t="n">
        <f aca="false">AW161-AW166+AW180+AW181+AW182</f>
        <v>-5156.15427444465</v>
      </c>
      <c r="AX185" s="71" t="n">
        <f aca="false">AX161-AX166+AX180+AX181+AX182</f>
        <v>152083.149144444</v>
      </c>
      <c r="AY185" s="71" t="n">
        <f aca="false">AY161-AY166+AY180+AY181+AY182</f>
        <v>88366.9770592411</v>
      </c>
      <c r="AZ185" s="71" t="n">
        <f aca="false">AZ161-AZ166+AZ180+AZ181+AZ182</f>
        <v>88354.1009373275</v>
      </c>
      <c r="BA185" s="71" t="n">
        <f aca="false">BA161-BA166+BA180+BA181+BA182</f>
        <v>88397.9898262163</v>
      </c>
      <c r="BB185" s="71" t="n">
        <f aca="false">BB161-BB166+BB180+BB181+BB182</f>
        <v>88441.8787151052</v>
      </c>
      <c r="BC185" s="71" t="n">
        <f aca="false">BC161-BC166+BC180+BC181+BC182</f>
        <v>88485.7676039941</v>
      </c>
      <c r="BD185" s="71" t="n">
        <f aca="false">BD161-BD166+BD180+BD181+BD182</f>
        <v>88529.656492883</v>
      </c>
      <c r="BE185" s="71" t="n">
        <f aca="false">BE161-BE166+BE180+BE181+BE182</f>
        <v>88573.5453817719</v>
      </c>
      <c r="BF185" s="71" t="n">
        <f aca="false">BF161-BF166+BF180+BF181+BF182</f>
        <v>88617.4342706608</v>
      </c>
      <c r="BG185" s="71" t="n">
        <f aca="false">BG161-BG166+BG180+BG181+BG182</f>
        <v>88661.3231595497</v>
      </c>
      <c r="BH185" s="71" t="n">
        <f aca="false">BH161-BH166+BH180+BH181+BH182</f>
        <v>88705.2120484386</v>
      </c>
      <c r="BI185" s="71" t="n">
        <f aca="false">BI161-BI166+BI180+BI181+BI182</f>
        <v>-1593.70443254372</v>
      </c>
      <c r="BJ185" s="71" t="n">
        <f aca="false">BJ161-BJ166+BJ180+BJ181+BJ182</f>
        <v>196011.13578887</v>
      </c>
    </row>
    <row r="186" customFormat="false" ht="15" hidden="false" customHeight="false" outlineLevel="0" collapsed="false">
      <c r="A186" s="6" t="s">
        <v>430</v>
      </c>
      <c r="C186" s="65" t="n">
        <f aca="false">-C164</f>
        <v>-350000</v>
      </c>
      <c r="D186" s="65" t="n">
        <f aca="false">-D164</f>
        <v>-0</v>
      </c>
      <c r="E186" s="65" t="n">
        <f aca="false">-E164</f>
        <v>-0</v>
      </c>
      <c r="F186" s="65" t="n">
        <f aca="false">-F164</f>
        <v>-0</v>
      </c>
      <c r="G186" s="65" t="n">
        <f aca="false">-G164</f>
        <v>-0</v>
      </c>
      <c r="H186" s="65" t="n">
        <f aca="false">-H164</f>
        <v>-0</v>
      </c>
      <c r="I186" s="65" t="n">
        <f aca="false">-I164</f>
        <v>-0</v>
      </c>
      <c r="J186" s="65" t="n">
        <f aca="false">-J164</f>
        <v>-0</v>
      </c>
      <c r="K186" s="65" t="n">
        <f aca="false">-K164</f>
        <v>-0</v>
      </c>
      <c r="L186" s="65" t="n">
        <f aca="false">-L164</f>
        <v>-0</v>
      </c>
      <c r="M186" s="65" t="n">
        <f aca="false">-M164</f>
        <v>-0</v>
      </c>
      <c r="N186" s="65" t="n">
        <f aca="false">-N164</f>
        <v>-0</v>
      </c>
      <c r="O186" s="65" t="n">
        <f aca="false">-O164</f>
        <v>-150000</v>
      </c>
      <c r="P186" s="65" t="n">
        <f aca="false">-P164</f>
        <v>-0</v>
      </c>
      <c r="Q186" s="65" t="n">
        <f aca="false">-Q164</f>
        <v>-0</v>
      </c>
      <c r="R186" s="65" t="n">
        <f aca="false">-R164</f>
        <v>-0</v>
      </c>
      <c r="S186" s="65" t="n">
        <f aca="false">-S164</f>
        <v>-0</v>
      </c>
      <c r="T186" s="65" t="n">
        <f aca="false">-T164</f>
        <v>-0</v>
      </c>
      <c r="U186" s="65" t="n">
        <f aca="false">-U164</f>
        <v>-0</v>
      </c>
      <c r="V186" s="65" t="n">
        <f aca="false">-V164</f>
        <v>-0</v>
      </c>
      <c r="W186" s="65" t="n">
        <f aca="false">-W164</f>
        <v>-0</v>
      </c>
      <c r="X186" s="65" t="n">
        <f aca="false">-X164</f>
        <v>-0</v>
      </c>
      <c r="Y186" s="65" t="n">
        <f aca="false">-Y164</f>
        <v>-0</v>
      </c>
      <c r="Z186" s="65" t="n">
        <f aca="false">-Z164</f>
        <v>-0</v>
      </c>
      <c r="AA186" s="65" t="n">
        <f aca="false">-AA164</f>
        <v>-150000</v>
      </c>
      <c r="AB186" s="65" t="n">
        <f aca="false">-AB164</f>
        <v>-0</v>
      </c>
      <c r="AC186" s="65" t="n">
        <f aca="false">-AC164</f>
        <v>-0</v>
      </c>
      <c r="AD186" s="65" t="n">
        <f aca="false">-AD164</f>
        <v>-0</v>
      </c>
      <c r="AE186" s="65" t="n">
        <f aca="false">-AE164</f>
        <v>-0</v>
      </c>
      <c r="AF186" s="65" t="n">
        <f aca="false">-AF164</f>
        <v>-0</v>
      </c>
      <c r="AG186" s="65" t="n">
        <f aca="false">-AG164</f>
        <v>-0</v>
      </c>
      <c r="AH186" s="65" t="n">
        <f aca="false">-AH164</f>
        <v>-0</v>
      </c>
      <c r="AI186" s="65" t="n">
        <f aca="false">-AI164</f>
        <v>-0</v>
      </c>
      <c r="AJ186" s="65" t="n">
        <f aca="false">-AJ164</f>
        <v>-0</v>
      </c>
      <c r="AK186" s="65" t="n">
        <f aca="false">-AK164</f>
        <v>-0</v>
      </c>
      <c r="AL186" s="65" t="n">
        <f aca="false">-AL164</f>
        <v>-0</v>
      </c>
      <c r="AM186" s="65" t="n">
        <f aca="false">-AM164</f>
        <v>-150000</v>
      </c>
      <c r="AN186" s="65" t="n">
        <f aca="false">-AN164</f>
        <v>-0</v>
      </c>
      <c r="AO186" s="65" t="n">
        <f aca="false">-AO164</f>
        <v>-0</v>
      </c>
      <c r="AP186" s="65" t="n">
        <f aca="false">-AP164</f>
        <v>-0</v>
      </c>
      <c r="AQ186" s="65" t="n">
        <f aca="false">-AQ164</f>
        <v>-0</v>
      </c>
      <c r="AR186" s="65" t="n">
        <f aca="false">-AR164</f>
        <v>-0</v>
      </c>
      <c r="AS186" s="65" t="n">
        <f aca="false">-AS164</f>
        <v>-0</v>
      </c>
      <c r="AT186" s="65" t="n">
        <f aca="false">-AT164</f>
        <v>-0</v>
      </c>
      <c r="AU186" s="65" t="n">
        <f aca="false">-AU164</f>
        <v>-0</v>
      </c>
      <c r="AV186" s="65" t="n">
        <f aca="false">-AV164</f>
        <v>-0</v>
      </c>
      <c r="AW186" s="65" t="n">
        <f aca="false">-AW164</f>
        <v>-0</v>
      </c>
      <c r="AX186" s="65" t="n">
        <f aca="false">-AX164</f>
        <v>-0</v>
      </c>
      <c r="AY186" s="65" t="n">
        <f aca="false">-AY164</f>
        <v>-150000</v>
      </c>
      <c r="AZ186" s="65" t="n">
        <f aca="false">-AZ164</f>
        <v>-0</v>
      </c>
      <c r="BA186" s="65" t="n">
        <f aca="false">-BA164</f>
        <v>-0</v>
      </c>
      <c r="BB186" s="65" t="n">
        <f aca="false">-BB164</f>
        <v>-0</v>
      </c>
      <c r="BC186" s="65" t="n">
        <f aca="false">-BC164</f>
        <v>-0</v>
      </c>
      <c r="BD186" s="65" t="n">
        <f aca="false">-BD164</f>
        <v>-0</v>
      </c>
      <c r="BE186" s="65" t="n">
        <f aca="false">-BE164</f>
        <v>-0</v>
      </c>
      <c r="BF186" s="65" t="n">
        <f aca="false">-BF164</f>
        <v>-0</v>
      </c>
      <c r="BG186" s="65" t="n">
        <f aca="false">-BG164</f>
        <v>-0</v>
      </c>
      <c r="BH186" s="65" t="n">
        <f aca="false">-BH164</f>
        <v>-0</v>
      </c>
      <c r="BI186" s="65" t="n">
        <f aca="false">-BI164</f>
        <v>-0</v>
      </c>
      <c r="BJ186" s="65" t="n">
        <f aca="false">-BJ164</f>
        <v>-0</v>
      </c>
    </row>
    <row r="187" customFormat="false" ht="15" hidden="false" customHeight="false" outlineLevel="0" collapsed="false">
      <c r="A187" s="6" t="s">
        <v>64</v>
      </c>
      <c r="C187" s="65" t="n">
        <f aca="false">IF(C$117=1,Inputs!$C$58,0)</f>
        <v>1500000</v>
      </c>
      <c r="D187" s="65" t="n">
        <f aca="false">IF(D$117=1,Inputs!$C$58,0)</f>
        <v>0</v>
      </c>
      <c r="E187" s="65" t="n">
        <f aca="false">IF(E$117=1,Inputs!$C$58,0)</f>
        <v>0</v>
      </c>
      <c r="F187" s="65" t="n">
        <f aca="false">IF(F$117=1,Inputs!$C$58,0)</f>
        <v>0</v>
      </c>
      <c r="G187" s="65" t="n">
        <f aca="false">IF(G$117=1,Inputs!$C$58,0)</f>
        <v>0</v>
      </c>
      <c r="H187" s="65" t="n">
        <f aca="false">IF(H$117=1,Inputs!$C$58,0)</f>
        <v>0</v>
      </c>
      <c r="I187" s="65" t="n">
        <f aca="false">IF(I$117=1,Inputs!$C$58,0)</f>
        <v>0</v>
      </c>
      <c r="J187" s="65" t="n">
        <f aca="false">IF(J$117=1,Inputs!$C$58,0)</f>
        <v>0</v>
      </c>
      <c r="K187" s="65" t="n">
        <f aca="false">IF(K$117=1,Inputs!$C$58,0)</f>
        <v>0</v>
      </c>
      <c r="L187" s="65" t="n">
        <f aca="false">IF(L$117=1,Inputs!$C$58,0)</f>
        <v>0</v>
      </c>
      <c r="M187" s="65" t="n">
        <f aca="false">IF(M$117=1,Inputs!$C$58,0)</f>
        <v>0</v>
      </c>
      <c r="N187" s="65" t="n">
        <f aca="false">IF(N$117=1,Inputs!$C$58,0)</f>
        <v>0</v>
      </c>
      <c r="O187" s="65" t="n">
        <f aca="false">IF(O$117=1,Inputs!$C$58,0)</f>
        <v>0</v>
      </c>
      <c r="P187" s="65" t="n">
        <f aca="false">IF(P$117=1,Inputs!$C$58,0)</f>
        <v>0</v>
      </c>
      <c r="Q187" s="65" t="n">
        <f aca="false">IF(Q$117=1,Inputs!$C$58,0)</f>
        <v>0</v>
      </c>
      <c r="R187" s="65" t="n">
        <f aca="false">IF(R$117=1,Inputs!$C$58,0)</f>
        <v>0</v>
      </c>
      <c r="S187" s="65" t="n">
        <f aca="false">IF(S$117=1,Inputs!$C$58,0)</f>
        <v>0</v>
      </c>
      <c r="T187" s="65" t="n">
        <f aca="false">IF(T$117=1,Inputs!$C$58,0)</f>
        <v>0</v>
      </c>
      <c r="U187" s="65" t="n">
        <f aca="false">IF(U$117=1,Inputs!$C$58,0)</f>
        <v>0</v>
      </c>
      <c r="V187" s="65" t="n">
        <f aca="false">IF(V$117=1,Inputs!$C$58,0)</f>
        <v>0</v>
      </c>
      <c r="W187" s="65" t="n">
        <f aca="false">IF(W$117=1,Inputs!$C$58,0)</f>
        <v>0</v>
      </c>
      <c r="X187" s="65" t="n">
        <f aca="false">IF(X$117=1,Inputs!$C$58,0)</f>
        <v>0</v>
      </c>
      <c r="Y187" s="65" t="n">
        <f aca="false">IF(Y$117=1,Inputs!$C$58,0)</f>
        <v>0</v>
      </c>
      <c r="Z187" s="65" t="n">
        <f aca="false">IF(Z$117=1,Inputs!$C$58,0)</f>
        <v>0</v>
      </c>
      <c r="AA187" s="65" t="n">
        <f aca="false">IF(AA$117=1,Inputs!$C$58,0)</f>
        <v>0</v>
      </c>
      <c r="AB187" s="65" t="n">
        <f aca="false">IF(AB$117=1,Inputs!$C$58,0)</f>
        <v>0</v>
      </c>
      <c r="AC187" s="65" t="n">
        <f aca="false">IF(AC$117=1,Inputs!$C$58,0)</f>
        <v>0</v>
      </c>
      <c r="AD187" s="65" t="n">
        <f aca="false">IF(AD$117=1,Inputs!$C$58,0)</f>
        <v>0</v>
      </c>
      <c r="AE187" s="65" t="n">
        <f aca="false">IF(AE$117=1,Inputs!$C$58,0)</f>
        <v>0</v>
      </c>
      <c r="AF187" s="65" t="n">
        <f aca="false">IF(AF$117=1,Inputs!$C$58,0)</f>
        <v>0</v>
      </c>
      <c r="AG187" s="65" t="n">
        <f aca="false">IF(AG$117=1,Inputs!$C$58,0)</f>
        <v>0</v>
      </c>
      <c r="AH187" s="65" t="n">
        <f aca="false">IF(AH$117=1,Inputs!$C$58,0)</f>
        <v>0</v>
      </c>
      <c r="AI187" s="65" t="n">
        <f aca="false">IF(AI$117=1,Inputs!$C$58,0)</f>
        <v>0</v>
      </c>
      <c r="AJ187" s="65" t="n">
        <f aca="false">IF(AJ$117=1,Inputs!$C$58,0)</f>
        <v>0</v>
      </c>
      <c r="AK187" s="65" t="n">
        <f aca="false">IF(AK$117=1,Inputs!$C$58,0)</f>
        <v>0</v>
      </c>
      <c r="AL187" s="65" t="n">
        <f aca="false">IF(AL$117=1,Inputs!$C$58,0)</f>
        <v>0</v>
      </c>
      <c r="AM187" s="65" t="n">
        <f aca="false">IF(AM$117=1,Inputs!$C$58,0)</f>
        <v>0</v>
      </c>
      <c r="AN187" s="65" t="n">
        <f aca="false">IF(AN$117=1,Inputs!$C$58,0)</f>
        <v>0</v>
      </c>
      <c r="AO187" s="65" t="n">
        <f aca="false">IF(AO$117=1,Inputs!$C$58,0)</f>
        <v>0</v>
      </c>
      <c r="AP187" s="65" t="n">
        <f aca="false">IF(AP$117=1,Inputs!$C$58,0)</f>
        <v>0</v>
      </c>
      <c r="AQ187" s="65" t="n">
        <f aca="false">IF(AQ$117=1,Inputs!$C$58,0)</f>
        <v>0</v>
      </c>
      <c r="AR187" s="65" t="n">
        <f aca="false">IF(AR$117=1,Inputs!$C$58,0)</f>
        <v>0</v>
      </c>
      <c r="AS187" s="65" t="n">
        <f aca="false">IF(AS$117=1,Inputs!$C$58,0)</f>
        <v>0</v>
      </c>
      <c r="AT187" s="65" t="n">
        <f aca="false">IF(AT$117=1,Inputs!$C$58,0)</f>
        <v>0</v>
      </c>
      <c r="AU187" s="65" t="n">
        <f aca="false">IF(AU$117=1,Inputs!$C$58,0)</f>
        <v>0</v>
      </c>
      <c r="AV187" s="65" t="n">
        <f aca="false">IF(AV$117=1,Inputs!$C$58,0)</f>
        <v>0</v>
      </c>
      <c r="AW187" s="65" t="n">
        <f aca="false">IF(AW$117=1,Inputs!$C$58,0)</f>
        <v>0</v>
      </c>
      <c r="AX187" s="65" t="n">
        <f aca="false">IF(AX$117=1,Inputs!$C$58,0)</f>
        <v>0</v>
      </c>
      <c r="AY187" s="65" t="n">
        <f aca="false">IF(AY$117=1,Inputs!$C$58,0)</f>
        <v>0</v>
      </c>
      <c r="AZ187" s="65" t="n">
        <f aca="false">IF(AZ$117=1,Inputs!$C$58,0)</f>
        <v>0</v>
      </c>
      <c r="BA187" s="65" t="n">
        <f aca="false">IF(BA$117=1,Inputs!$C$58,0)</f>
        <v>0</v>
      </c>
      <c r="BB187" s="65" t="n">
        <f aca="false">IF(BB$117=1,Inputs!$C$58,0)</f>
        <v>0</v>
      </c>
      <c r="BC187" s="65" t="n">
        <f aca="false">IF(BC$117=1,Inputs!$C$58,0)</f>
        <v>0</v>
      </c>
      <c r="BD187" s="65" t="n">
        <f aca="false">IF(BD$117=1,Inputs!$C$58,0)</f>
        <v>0</v>
      </c>
      <c r="BE187" s="65" t="n">
        <f aca="false">IF(BE$117=1,Inputs!$C$58,0)</f>
        <v>0</v>
      </c>
      <c r="BF187" s="65" t="n">
        <f aca="false">IF(BF$117=1,Inputs!$C$58,0)</f>
        <v>0</v>
      </c>
      <c r="BG187" s="65" t="n">
        <f aca="false">IF(BG$117=1,Inputs!$C$58,0)</f>
        <v>0</v>
      </c>
      <c r="BH187" s="65" t="n">
        <f aca="false">IF(BH$117=1,Inputs!$C$58,0)</f>
        <v>0</v>
      </c>
      <c r="BI187" s="65" t="n">
        <f aca="false">IF(BI$117=1,Inputs!$C$58,0)</f>
        <v>0</v>
      </c>
      <c r="BJ187" s="65" t="n">
        <f aca="false">IF(BJ$117=1,Inputs!$C$58,0)</f>
        <v>0</v>
      </c>
    </row>
    <row r="188" customFormat="false" ht="15" hidden="false" customHeight="false" outlineLevel="0" collapsed="false">
      <c r="A188" s="6" t="s">
        <v>54</v>
      </c>
      <c r="C188" s="65" t="n">
        <f aca="false">C187+C172+C173</f>
        <v>2000000</v>
      </c>
      <c r="D188" s="65" t="n">
        <f aca="false">D187+D172+D173</f>
        <v>-8333.33333333333</v>
      </c>
      <c r="E188" s="65" t="n">
        <f aca="false">E187+E172+E173</f>
        <v>-8333.33333333333</v>
      </c>
      <c r="F188" s="65" t="n">
        <f aca="false">F187+F172+F173</f>
        <v>-8333.33333333333</v>
      </c>
      <c r="G188" s="65" t="n">
        <f aca="false">G187+G172+G173</f>
        <v>-8333.33333333333</v>
      </c>
      <c r="H188" s="65" t="n">
        <f aca="false">H187+H172+H173</f>
        <v>-8333.33333333333</v>
      </c>
      <c r="I188" s="65" t="n">
        <f aca="false">I187+I172+I173</f>
        <v>-8333.33333333333</v>
      </c>
      <c r="J188" s="65" t="n">
        <f aca="false">J187+J172+J173</f>
        <v>-8333.33333333333</v>
      </c>
      <c r="K188" s="65" t="n">
        <f aca="false">K187+K172+K173</f>
        <v>-8333.33333333333</v>
      </c>
      <c r="L188" s="65" t="n">
        <f aca="false">L187+L172+L173</f>
        <v>-8333.33333333333</v>
      </c>
      <c r="M188" s="65" t="n">
        <f aca="false">M187+M172+M173</f>
        <v>-8333.33333333333</v>
      </c>
      <c r="N188" s="65" t="n">
        <f aca="false">N187+N172+N173</f>
        <v>-8333.33333333333</v>
      </c>
      <c r="O188" s="65" t="n">
        <f aca="false">O187+O172+O173</f>
        <v>-8333.33333333333</v>
      </c>
      <c r="P188" s="65" t="n">
        <f aca="false">P187+P172+P173</f>
        <v>-8333.33333333333</v>
      </c>
      <c r="Q188" s="65" t="n">
        <f aca="false">Q187+Q172+Q173</f>
        <v>-8333.33333333333</v>
      </c>
      <c r="R188" s="65" t="n">
        <f aca="false">R187+R172+R173</f>
        <v>-8333.33333333333</v>
      </c>
      <c r="S188" s="65" t="n">
        <f aca="false">S187+S172+S173</f>
        <v>-8333.33333333333</v>
      </c>
      <c r="T188" s="65" t="n">
        <f aca="false">T187+T172+T173</f>
        <v>-8333.33333333333</v>
      </c>
      <c r="U188" s="65" t="n">
        <f aca="false">U187+U172+U173</f>
        <v>-8333.33333333333</v>
      </c>
      <c r="V188" s="65" t="n">
        <f aca="false">V187+V172+V173</f>
        <v>-8333.33333333333</v>
      </c>
      <c r="W188" s="65" t="n">
        <f aca="false">W187+W172+W173</f>
        <v>-8333.33333333333</v>
      </c>
      <c r="X188" s="65" t="n">
        <f aca="false">X187+X172+X173</f>
        <v>-8333.33333333333</v>
      </c>
      <c r="Y188" s="65" t="n">
        <f aca="false">Y187+Y172+Y173</f>
        <v>-8333.33333333333</v>
      </c>
      <c r="Z188" s="65" t="n">
        <f aca="false">Z187+Z172+Z173</f>
        <v>-8333.33333333333</v>
      </c>
      <c r="AA188" s="65" t="n">
        <f aca="false">AA187+AA172+AA173</f>
        <v>-8333.33333333333</v>
      </c>
      <c r="AB188" s="65" t="n">
        <f aca="false">AB187+AB172+AB173</f>
        <v>-8333.33333333333</v>
      </c>
      <c r="AC188" s="65" t="n">
        <f aca="false">AC187+AC172+AC173</f>
        <v>-8333.33333333333</v>
      </c>
      <c r="AD188" s="65" t="n">
        <f aca="false">AD187+AD172+AD173</f>
        <v>-8333.33333333333</v>
      </c>
      <c r="AE188" s="65" t="n">
        <f aca="false">AE187+AE172+AE173</f>
        <v>-8333.33333333333</v>
      </c>
      <c r="AF188" s="65" t="n">
        <f aca="false">AF187+AF172+AF173</f>
        <v>-8333.33333333333</v>
      </c>
      <c r="AG188" s="65" t="n">
        <f aca="false">AG187+AG172+AG173</f>
        <v>-8333.33333333333</v>
      </c>
      <c r="AH188" s="65" t="n">
        <f aca="false">AH187+AH172+AH173</f>
        <v>-8333.33333333333</v>
      </c>
      <c r="AI188" s="65" t="n">
        <f aca="false">AI187+AI172+AI173</f>
        <v>-8333.33333333333</v>
      </c>
      <c r="AJ188" s="65" t="n">
        <f aca="false">AJ187+AJ172+AJ173</f>
        <v>-8333.33333333333</v>
      </c>
      <c r="AK188" s="65" t="n">
        <f aca="false">AK187+AK172+AK173</f>
        <v>-8333.33333333333</v>
      </c>
      <c r="AL188" s="65" t="n">
        <f aca="false">AL187+AL172+AL173</f>
        <v>-8333.33333333333</v>
      </c>
      <c r="AM188" s="65" t="n">
        <f aca="false">AM187+AM172+AM173</f>
        <v>-8333.33333333333</v>
      </c>
      <c r="AN188" s="65" t="n">
        <f aca="false">AN187+AN172+AN173</f>
        <v>-8333.33333333333</v>
      </c>
      <c r="AO188" s="65" t="n">
        <f aca="false">AO187+AO172+AO173</f>
        <v>-8333.33333333333</v>
      </c>
      <c r="AP188" s="65" t="n">
        <f aca="false">AP187+AP172+AP173</f>
        <v>-8333.33333333333</v>
      </c>
      <c r="AQ188" s="65" t="n">
        <f aca="false">AQ187+AQ172+AQ173</f>
        <v>-8333.33333333333</v>
      </c>
      <c r="AR188" s="65" t="n">
        <f aca="false">AR187+AR172+AR173</f>
        <v>-8333.33333333333</v>
      </c>
      <c r="AS188" s="65" t="n">
        <f aca="false">AS187+AS172+AS173</f>
        <v>-8333.33333333333</v>
      </c>
      <c r="AT188" s="65" t="n">
        <f aca="false">AT187+AT172+AT173</f>
        <v>-8333.33333333333</v>
      </c>
      <c r="AU188" s="65" t="n">
        <f aca="false">AU187+AU172+AU173</f>
        <v>-8333.33333333333</v>
      </c>
      <c r="AV188" s="65" t="n">
        <f aca="false">AV187+AV172+AV173</f>
        <v>-8333.33333333333</v>
      </c>
      <c r="AW188" s="65" t="n">
        <f aca="false">AW187+AW172+AW173</f>
        <v>-8333.33333333333</v>
      </c>
      <c r="AX188" s="65" t="n">
        <f aca="false">AX187+AX172+AX173</f>
        <v>-8333.33333333333</v>
      </c>
      <c r="AY188" s="65" t="n">
        <f aca="false">AY187+AY172+AY173</f>
        <v>-8333.33333333333</v>
      </c>
      <c r="AZ188" s="65" t="n">
        <f aca="false">AZ187+AZ172+AZ173</f>
        <v>-8333.33333333333</v>
      </c>
      <c r="BA188" s="65" t="n">
        <f aca="false">BA187+BA172+BA173</f>
        <v>-8333.33333333333</v>
      </c>
      <c r="BB188" s="65" t="n">
        <f aca="false">BB187+BB172+BB173</f>
        <v>-8333.33333333333</v>
      </c>
      <c r="BC188" s="65" t="n">
        <f aca="false">BC187+BC172+BC173</f>
        <v>-8333.33333333333</v>
      </c>
      <c r="BD188" s="65" t="n">
        <f aca="false">BD187+BD172+BD173</f>
        <v>-8333.33333333333</v>
      </c>
      <c r="BE188" s="65" t="n">
        <f aca="false">BE187+BE172+BE173</f>
        <v>-8333.33333333333</v>
      </c>
      <c r="BF188" s="65" t="n">
        <f aca="false">BF187+BF172+BF173</f>
        <v>-8333.33333333333</v>
      </c>
      <c r="BG188" s="65" t="n">
        <f aca="false">BG187+BG172+BG173</f>
        <v>-8333.33333333333</v>
      </c>
      <c r="BH188" s="65" t="n">
        <f aca="false">BH187+BH172+BH173</f>
        <v>-8333.33333333333</v>
      </c>
      <c r="BI188" s="65" t="n">
        <f aca="false">BI187+BI172+BI173</f>
        <v>-8333.33333333333</v>
      </c>
      <c r="BJ188" s="65" t="n">
        <f aca="false">BJ187+BJ172+BJ173</f>
        <v>-8333.33333333333</v>
      </c>
    </row>
    <row r="189" customFormat="false" ht="15" hidden="false" customHeight="false" outlineLevel="0" collapsed="false">
      <c r="A189" s="110" t="s">
        <v>431</v>
      </c>
      <c r="C189" s="66" t="n">
        <f aca="false">C185+C186+C188</f>
        <v>1354447.62317857</v>
      </c>
      <c r="D189" s="66" t="n">
        <f aca="false">D185+D186+D188</f>
        <v>4656.51071825395</v>
      </c>
      <c r="E189" s="66" t="n">
        <f aca="false">E185+E186+E188</f>
        <v>4700.39960714284</v>
      </c>
      <c r="F189" s="66" t="n">
        <f aca="false">F185+F186+F188</f>
        <v>4744.28849603173</v>
      </c>
      <c r="G189" s="66" t="n">
        <f aca="false">G185+G186+G188</f>
        <v>4788.17738492061</v>
      </c>
      <c r="H189" s="66" t="n">
        <f aca="false">H185+H186+H188</f>
        <v>4832.0662738095</v>
      </c>
      <c r="I189" s="66" t="n">
        <f aca="false">I185+I186+I188</f>
        <v>4875.95516269839</v>
      </c>
      <c r="J189" s="66" t="n">
        <f aca="false">J185+J186+J188</f>
        <v>4919.84405158728</v>
      </c>
      <c r="K189" s="66" t="n">
        <f aca="false">K185+K186+K188</f>
        <v>4963.73294047617</v>
      </c>
      <c r="L189" s="66" t="n">
        <f aca="false">L185+L186+L188</f>
        <v>5007.62182936506</v>
      </c>
      <c r="M189" s="66" t="n">
        <f aca="false">M185+M186+M188</f>
        <v>-27811.849781746</v>
      </c>
      <c r="N189" s="66" t="n">
        <f aca="false">N185+N186+N188</f>
        <v>42148.809107143</v>
      </c>
      <c r="O189" s="66" t="n">
        <f aca="false">O185+O186+O188</f>
        <v>-151968.099718849</v>
      </c>
      <c r="P189" s="66" t="n">
        <f aca="false">P185+P186+P188</f>
        <v>20668.0099200397</v>
      </c>
      <c r="Q189" s="66" t="n">
        <f aca="false">Q185+Q186+Q188</f>
        <v>20711.8988089286</v>
      </c>
      <c r="R189" s="66" t="n">
        <f aca="false">R185+R186+R188</f>
        <v>20755.7876978175</v>
      </c>
      <c r="S189" s="66" t="n">
        <f aca="false">S185+S186+S188</f>
        <v>20799.6765867064</v>
      </c>
      <c r="T189" s="66" t="n">
        <f aca="false">T185+T186+T188</f>
        <v>20843.5654755952</v>
      </c>
      <c r="U189" s="66" t="n">
        <f aca="false">U185+U186+U188</f>
        <v>20887.4543644841</v>
      </c>
      <c r="V189" s="66" t="n">
        <f aca="false">V185+V186+V188</f>
        <v>20931.343253373</v>
      </c>
      <c r="W189" s="66" t="n">
        <f aca="false">W185+W186+W188</f>
        <v>20975.2321422619</v>
      </c>
      <c r="X189" s="66" t="n">
        <f aca="false">X185+X186+X188</f>
        <v>21019.1210311508</v>
      </c>
      <c r="Y189" s="66" t="n">
        <f aca="false">Y185+Y186+Y188</f>
        <v>-22704.6050049603</v>
      </c>
      <c r="Z189" s="66" t="n">
        <f aca="false">Z185+Z186+Z188</f>
        <v>71879.2843839286</v>
      </c>
      <c r="AA189" s="66" t="n">
        <f aca="false">AA185+AA186+AA188</f>
        <v>-126725.518199227</v>
      </c>
      <c r="AB189" s="66" t="n">
        <f aca="false">AB185+AB186+AB188</f>
        <v>38384.3342396618</v>
      </c>
      <c r="AC189" s="66" t="n">
        <f aca="false">AC185+AC186+AC188</f>
        <v>38428.2231285507</v>
      </c>
      <c r="AD189" s="66" t="n">
        <f aca="false">AD185+AD186+AD188</f>
        <v>38472.1120174395</v>
      </c>
      <c r="AE189" s="66" t="n">
        <f aca="false">AE185+AE186+AE188</f>
        <v>38516.0009063284</v>
      </c>
      <c r="AF189" s="66" t="n">
        <f aca="false">AF185+AF186+AF188</f>
        <v>38559.8897952173</v>
      </c>
      <c r="AG189" s="66" t="n">
        <f aca="false">AG185+AG186+AG188</f>
        <v>38603.7786841062</v>
      </c>
      <c r="AH189" s="66" t="n">
        <f aca="false">AH185+AH186+AH188</f>
        <v>38647.6675729951</v>
      </c>
      <c r="AI189" s="66" t="n">
        <f aca="false">AI185+AI186+AI188</f>
        <v>38691.556461884</v>
      </c>
      <c r="AJ189" s="66" t="n">
        <f aca="false">AJ185+AJ186+AJ188</f>
        <v>38735.4453507729</v>
      </c>
      <c r="AK189" s="66" t="n">
        <f aca="false">AK185+AK186+AK188</f>
        <v>-17855.2355803381</v>
      </c>
      <c r="AL189" s="66" t="n">
        <f aca="false">AL185+AL186+AL188</f>
        <v>105479.174508551</v>
      </c>
      <c r="AM189" s="66" t="n">
        <f aca="false">AM185+AM186+AM188</f>
        <v>-99485.2183111669</v>
      </c>
      <c r="AN189" s="66" t="n">
        <f aca="false">AN185+AN186+AN188</f>
        <v>58068.628912722</v>
      </c>
      <c r="AO189" s="66" t="n">
        <f aca="false">AO185+AO186+AO188</f>
        <v>58112.517801611</v>
      </c>
      <c r="AP189" s="66" t="n">
        <f aca="false">AP185+AP186+AP188</f>
        <v>58156.4066904998</v>
      </c>
      <c r="AQ189" s="66" t="n">
        <f aca="false">AQ185+AQ186+AQ188</f>
        <v>58200.2955793887</v>
      </c>
      <c r="AR189" s="66" t="n">
        <f aca="false">AR185+AR186+AR188</f>
        <v>58244.1844682776</v>
      </c>
      <c r="AS189" s="66" t="n">
        <f aca="false">AS185+AS186+AS188</f>
        <v>58288.0733571665</v>
      </c>
      <c r="AT189" s="66" t="n">
        <f aca="false">AT185+AT186+AT188</f>
        <v>58331.9622460554</v>
      </c>
      <c r="AU189" s="66" t="n">
        <f aca="false">AU185+AU186+AU188</f>
        <v>58375.8511349443</v>
      </c>
      <c r="AV189" s="66" t="n">
        <f aca="false">AV185+AV186+AV188</f>
        <v>58419.7400238332</v>
      </c>
      <c r="AW189" s="66" t="n">
        <f aca="false">AW185+AW186+AW188</f>
        <v>-13489.487607778</v>
      </c>
      <c r="AX189" s="66" t="n">
        <f aca="false">AX185+AX186+AX188</f>
        <v>143749.815811111</v>
      </c>
      <c r="AY189" s="66" t="n">
        <f aca="false">AY185+AY186+AY188</f>
        <v>-69966.3562740923</v>
      </c>
      <c r="AZ189" s="66" t="n">
        <f aca="false">AZ185+AZ186+AZ188</f>
        <v>80020.7676039942</v>
      </c>
      <c r="BA189" s="66" t="n">
        <f aca="false">BA185+BA186+BA188</f>
        <v>80064.656492883</v>
      </c>
      <c r="BB189" s="66" t="n">
        <f aca="false">BB185+BB186+BB188</f>
        <v>80108.5453817719</v>
      </c>
      <c r="BC189" s="66" t="n">
        <f aca="false">BC185+BC186+BC188</f>
        <v>80152.4342706608</v>
      </c>
      <c r="BD189" s="66" t="n">
        <f aca="false">BD185+BD186+BD188</f>
        <v>80196.3231595497</v>
      </c>
      <c r="BE189" s="66" t="n">
        <f aca="false">BE185+BE186+BE188</f>
        <v>80240.2120484386</v>
      </c>
      <c r="BF189" s="66" t="n">
        <f aca="false">BF185+BF186+BF188</f>
        <v>80284.1009373275</v>
      </c>
      <c r="BG189" s="66" t="n">
        <f aca="false">BG185+BG186+BG188</f>
        <v>80327.9898262164</v>
      </c>
      <c r="BH189" s="66" t="n">
        <f aca="false">BH185+BH186+BH188</f>
        <v>80371.8787151053</v>
      </c>
      <c r="BI189" s="66" t="n">
        <f aca="false">BI185+BI186+BI188</f>
        <v>-9927.03776587705</v>
      </c>
      <c r="BJ189" s="66" t="n">
        <f aca="false">BJ185+BJ186+BJ188</f>
        <v>187677.802455537</v>
      </c>
    </row>
    <row r="190" customFormat="false" ht="15" hidden="false" customHeight="false" outlineLevel="0" collapsed="false">
      <c r="A190" s="6" t="s">
        <v>341</v>
      </c>
      <c r="C190" s="65" t="n">
        <f aca="false">0</f>
        <v>0</v>
      </c>
      <c r="D190" s="65" t="n">
        <f aca="false">C191</f>
        <v>1354447.62317857</v>
      </c>
      <c r="E190" s="65" t="n">
        <f aca="false">D191</f>
        <v>1359104.13389683</v>
      </c>
      <c r="F190" s="65" t="n">
        <f aca="false">E191</f>
        <v>1363804.53350397</v>
      </c>
      <c r="G190" s="65" t="n">
        <f aca="false">F191</f>
        <v>1368548.822</v>
      </c>
      <c r="H190" s="65" t="n">
        <f aca="false">G191</f>
        <v>1373336.99938492</v>
      </c>
      <c r="I190" s="65" t="n">
        <f aca="false">H191</f>
        <v>1378169.06565873</v>
      </c>
      <c r="J190" s="65" t="n">
        <f aca="false">I191</f>
        <v>1383045.02082143</v>
      </c>
      <c r="K190" s="65" t="n">
        <f aca="false">J191</f>
        <v>1387964.86487302</v>
      </c>
      <c r="L190" s="65" t="n">
        <f aca="false">K191</f>
        <v>1392928.59781349</v>
      </c>
      <c r="M190" s="65" t="n">
        <f aca="false">L191</f>
        <v>1397936.21964286</v>
      </c>
      <c r="N190" s="65" t="n">
        <f aca="false">M191</f>
        <v>1370124.36986111</v>
      </c>
      <c r="O190" s="65" t="n">
        <f aca="false">N191</f>
        <v>1412273.17896825</v>
      </c>
      <c r="P190" s="65" t="n">
        <f aca="false">O191</f>
        <v>1260305.0792494</v>
      </c>
      <c r="Q190" s="65" t="n">
        <f aca="false">P191</f>
        <v>1280973.08916944</v>
      </c>
      <c r="R190" s="65" t="n">
        <f aca="false">Q191</f>
        <v>1301684.98797837</v>
      </c>
      <c r="S190" s="65" t="n">
        <f aca="false">R191</f>
        <v>1322440.77567619</v>
      </c>
      <c r="T190" s="65" t="n">
        <f aca="false">S191</f>
        <v>1343240.4522629</v>
      </c>
      <c r="U190" s="65" t="n">
        <f aca="false">T191</f>
        <v>1364084.01773849</v>
      </c>
      <c r="V190" s="65" t="n">
        <f aca="false">U191</f>
        <v>1384971.47210298</v>
      </c>
      <c r="W190" s="65" t="n">
        <f aca="false">V191</f>
        <v>1405902.81535635</v>
      </c>
      <c r="X190" s="65" t="n">
        <f aca="false">W191</f>
        <v>1426878.04749861</v>
      </c>
      <c r="Y190" s="65" t="n">
        <f aca="false">X191</f>
        <v>1447897.16852976</v>
      </c>
      <c r="Z190" s="65" t="n">
        <f aca="false">Y191</f>
        <v>1425192.5635248</v>
      </c>
      <c r="AA190" s="65" t="n">
        <f aca="false">Z191</f>
        <v>1497071.84790873</v>
      </c>
      <c r="AB190" s="65" t="n">
        <f aca="false">AA191</f>
        <v>1370346.3297095</v>
      </c>
      <c r="AC190" s="65" t="n">
        <f aca="false">AB191</f>
        <v>1408730.66394917</v>
      </c>
      <c r="AD190" s="65" t="n">
        <f aca="false">AC191</f>
        <v>1447158.88707772</v>
      </c>
      <c r="AE190" s="65" t="n">
        <f aca="false">AD191</f>
        <v>1485630.99909516</v>
      </c>
      <c r="AF190" s="65" t="n">
        <f aca="false">AE191</f>
        <v>1524147.00000148</v>
      </c>
      <c r="AG190" s="65" t="n">
        <f aca="false">AF191</f>
        <v>1562706.8897967</v>
      </c>
      <c r="AH190" s="65" t="n">
        <f aca="false">AG191</f>
        <v>1601310.66848081</v>
      </c>
      <c r="AI190" s="65" t="n">
        <f aca="false">AH191</f>
        <v>1639958.3360538</v>
      </c>
      <c r="AJ190" s="65" t="n">
        <f aca="false">AI191</f>
        <v>1678649.89251569</v>
      </c>
      <c r="AK190" s="65" t="n">
        <f aca="false">AJ191</f>
        <v>1717385.33786646</v>
      </c>
      <c r="AL190" s="65" t="n">
        <f aca="false">AK191</f>
        <v>1699530.10228612</v>
      </c>
      <c r="AM190" s="65" t="n">
        <f aca="false">AL191</f>
        <v>1805009.27679467</v>
      </c>
      <c r="AN190" s="65" t="n">
        <f aca="false">AM191</f>
        <v>1705524.0584835</v>
      </c>
      <c r="AO190" s="65" t="n">
        <f aca="false">AN191</f>
        <v>1763592.68739623</v>
      </c>
      <c r="AP190" s="65" t="n">
        <f aca="false">AO191</f>
        <v>1821705.20519784</v>
      </c>
      <c r="AQ190" s="65" t="n">
        <f aca="false">AP191</f>
        <v>1879861.61188834</v>
      </c>
      <c r="AR190" s="65" t="n">
        <f aca="false">AQ191</f>
        <v>1938061.90746773</v>
      </c>
      <c r="AS190" s="65" t="n">
        <f aca="false">AR191</f>
        <v>1996306.091936</v>
      </c>
      <c r="AT190" s="65" t="n">
        <f aca="false">AS191</f>
        <v>2054594.16529317</v>
      </c>
      <c r="AU190" s="65" t="n">
        <f aca="false">AT191</f>
        <v>2112926.12753923</v>
      </c>
      <c r="AV190" s="65" t="n">
        <f aca="false">AU191</f>
        <v>2171301.97867417</v>
      </c>
      <c r="AW190" s="65" t="n">
        <f aca="false">AV191</f>
        <v>2229721.718698</v>
      </c>
      <c r="AX190" s="65" t="n">
        <f aca="false">AW191</f>
        <v>2216232.23109023</v>
      </c>
      <c r="AY190" s="65" t="n">
        <f aca="false">AX191</f>
        <v>2359982.04690134</v>
      </c>
      <c r="AZ190" s="65" t="n">
        <f aca="false">AY191</f>
        <v>2290015.69062724</v>
      </c>
      <c r="BA190" s="65" t="n">
        <f aca="false">AZ191</f>
        <v>2370036.45823124</v>
      </c>
      <c r="BB190" s="65" t="n">
        <f aca="false">BA191</f>
        <v>2450101.11472412</v>
      </c>
      <c r="BC190" s="65" t="n">
        <f aca="false">BB191</f>
        <v>2530209.66010589</v>
      </c>
      <c r="BD190" s="65" t="n">
        <f aca="false">BC191</f>
        <v>2610362.09437655</v>
      </c>
      <c r="BE190" s="65" t="n">
        <f aca="false">BD191</f>
        <v>2690558.4175361</v>
      </c>
      <c r="BF190" s="65" t="n">
        <f aca="false">BE191</f>
        <v>2770798.62958454</v>
      </c>
      <c r="BG190" s="65" t="n">
        <f aca="false">BF191</f>
        <v>2851082.73052187</v>
      </c>
      <c r="BH190" s="65" t="n">
        <f aca="false">BG191</f>
        <v>2931410.72034809</v>
      </c>
      <c r="BI190" s="65" t="n">
        <f aca="false">BH191</f>
        <v>3011782.59906319</v>
      </c>
      <c r="BJ190" s="65" t="n">
        <f aca="false">BI191</f>
        <v>3001855.56129731</v>
      </c>
    </row>
    <row r="191" customFormat="false" ht="15" hidden="false" customHeight="false" outlineLevel="0" collapsed="false">
      <c r="A191" s="110" t="s">
        <v>87</v>
      </c>
      <c r="C191" s="66" t="n">
        <f aca="false">C190+C189</f>
        <v>1354447.62317857</v>
      </c>
      <c r="D191" s="66" t="n">
        <f aca="false">D190+D189</f>
        <v>1359104.13389683</v>
      </c>
      <c r="E191" s="66" t="n">
        <f aca="false">E190+E189</f>
        <v>1363804.53350397</v>
      </c>
      <c r="F191" s="66" t="n">
        <f aca="false">F190+F189</f>
        <v>1368548.822</v>
      </c>
      <c r="G191" s="66" t="n">
        <f aca="false">G190+G189</f>
        <v>1373336.99938492</v>
      </c>
      <c r="H191" s="66" t="n">
        <f aca="false">H190+H189</f>
        <v>1378169.06565873</v>
      </c>
      <c r="I191" s="66" t="n">
        <f aca="false">I190+I189</f>
        <v>1383045.02082143</v>
      </c>
      <c r="J191" s="66" t="n">
        <f aca="false">J190+J189</f>
        <v>1387964.86487302</v>
      </c>
      <c r="K191" s="66" t="n">
        <f aca="false">K190+K189</f>
        <v>1392928.59781349</v>
      </c>
      <c r="L191" s="66" t="n">
        <f aca="false">L190+L189</f>
        <v>1397936.21964286</v>
      </c>
      <c r="M191" s="66" t="n">
        <f aca="false">M190+M189</f>
        <v>1370124.36986111</v>
      </c>
      <c r="N191" s="66" t="n">
        <f aca="false">N190+N189</f>
        <v>1412273.17896825</v>
      </c>
      <c r="O191" s="66" t="n">
        <f aca="false">O190+O189</f>
        <v>1260305.0792494</v>
      </c>
      <c r="P191" s="66" t="n">
        <f aca="false">P190+P189</f>
        <v>1280973.08916944</v>
      </c>
      <c r="Q191" s="66" t="n">
        <f aca="false">Q190+Q189</f>
        <v>1301684.98797837</v>
      </c>
      <c r="R191" s="66" t="n">
        <f aca="false">R190+R189</f>
        <v>1322440.77567619</v>
      </c>
      <c r="S191" s="66" t="n">
        <f aca="false">S190+S189</f>
        <v>1343240.4522629</v>
      </c>
      <c r="T191" s="66" t="n">
        <f aca="false">T190+T189</f>
        <v>1364084.01773849</v>
      </c>
      <c r="U191" s="66" t="n">
        <f aca="false">U190+U189</f>
        <v>1384971.47210298</v>
      </c>
      <c r="V191" s="66" t="n">
        <f aca="false">V190+V189</f>
        <v>1405902.81535635</v>
      </c>
      <c r="W191" s="66" t="n">
        <f aca="false">W190+W189</f>
        <v>1426878.04749861</v>
      </c>
      <c r="X191" s="66" t="n">
        <f aca="false">X190+X189</f>
        <v>1447897.16852976</v>
      </c>
      <c r="Y191" s="66" t="n">
        <f aca="false">Y190+Y189</f>
        <v>1425192.5635248</v>
      </c>
      <c r="Z191" s="66" t="n">
        <f aca="false">Z190+Z189</f>
        <v>1497071.84790873</v>
      </c>
      <c r="AA191" s="66" t="n">
        <f aca="false">AA190+AA189</f>
        <v>1370346.3297095</v>
      </c>
      <c r="AB191" s="66" t="n">
        <f aca="false">AB190+AB189</f>
        <v>1408730.66394917</v>
      </c>
      <c r="AC191" s="66" t="n">
        <f aca="false">AC190+AC189</f>
        <v>1447158.88707772</v>
      </c>
      <c r="AD191" s="66" t="n">
        <f aca="false">AD190+AD189</f>
        <v>1485630.99909516</v>
      </c>
      <c r="AE191" s="66" t="n">
        <f aca="false">AE190+AE189</f>
        <v>1524147.00000148</v>
      </c>
      <c r="AF191" s="66" t="n">
        <f aca="false">AF190+AF189</f>
        <v>1562706.8897967</v>
      </c>
      <c r="AG191" s="66" t="n">
        <f aca="false">AG190+AG189</f>
        <v>1601310.66848081</v>
      </c>
      <c r="AH191" s="66" t="n">
        <f aca="false">AH190+AH189</f>
        <v>1639958.3360538</v>
      </c>
      <c r="AI191" s="66" t="n">
        <f aca="false">AI190+AI189</f>
        <v>1678649.89251569</v>
      </c>
      <c r="AJ191" s="66" t="n">
        <f aca="false">AJ190+AJ189</f>
        <v>1717385.33786646</v>
      </c>
      <c r="AK191" s="66" t="n">
        <f aca="false">AK190+AK189</f>
        <v>1699530.10228612</v>
      </c>
      <c r="AL191" s="66" t="n">
        <f aca="false">AL190+AL189</f>
        <v>1805009.27679467</v>
      </c>
      <c r="AM191" s="66" t="n">
        <f aca="false">AM190+AM189</f>
        <v>1705524.0584835</v>
      </c>
      <c r="AN191" s="66" t="n">
        <f aca="false">AN190+AN189</f>
        <v>1763592.68739623</v>
      </c>
      <c r="AO191" s="66" t="n">
        <f aca="false">AO190+AO189</f>
        <v>1821705.20519784</v>
      </c>
      <c r="AP191" s="66" t="n">
        <f aca="false">AP190+AP189</f>
        <v>1879861.61188834</v>
      </c>
      <c r="AQ191" s="66" t="n">
        <f aca="false">AQ190+AQ189</f>
        <v>1938061.90746773</v>
      </c>
      <c r="AR191" s="66" t="n">
        <f aca="false">AR190+AR189</f>
        <v>1996306.091936</v>
      </c>
      <c r="AS191" s="66" t="n">
        <f aca="false">AS190+AS189</f>
        <v>2054594.16529317</v>
      </c>
      <c r="AT191" s="66" t="n">
        <f aca="false">AT190+AT189</f>
        <v>2112926.12753923</v>
      </c>
      <c r="AU191" s="66" t="n">
        <f aca="false">AU190+AU189</f>
        <v>2171301.97867417</v>
      </c>
      <c r="AV191" s="66" t="n">
        <f aca="false">AV190+AV189</f>
        <v>2229721.718698</v>
      </c>
      <c r="AW191" s="66" t="n">
        <f aca="false">AW190+AW189</f>
        <v>2216232.23109023</v>
      </c>
      <c r="AX191" s="66" t="n">
        <f aca="false">AX190+AX189</f>
        <v>2359982.04690134</v>
      </c>
      <c r="AY191" s="66" t="n">
        <f aca="false">AY190+AY189</f>
        <v>2290015.69062724</v>
      </c>
      <c r="AZ191" s="66" t="n">
        <f aca="false">AZ190+AZ189</f>
        <v>2370036.45823124</v>
      </c>
      <c r="BA191" s="66" t="n">
        <f aca="false">BA190+BA189</f>
        <v>2450101.11472412</v>
      </c>
      <c r="BB191" s="66" t="n">
        <f aca="false">BB190+BB189</f>
        <v>2530209.66010589</v>
      </c>
      <c r="BC191" s="66" t="n">
        <f aca="false">BC190+BC189</f>
        <v>2610362.09437655</v>
      </c>
      <c r="BD191" s="66" t="n">
        <f aca="false">BD190+BD189</f>
        <v>2690558.4175361</v>
      </c>
      <c r="BE191" s="66" t="n">
        <f aca="false">BE190+BE189</f>
        <v>2770798.62958454</v>
      </c>
      <c r="BF191" s="66" t="n">
        <f aca="false">BF190+BF189</f>
        <v>2851082.73052187</v>
      </c>
      <c r="BG191" s="66" t="n">
        <f aca="false">BG190+BG189</f>
        <v>2931410.72034809</v>
      </c>
      <c r="BH191" s="66" t="n">
        <f aca="false">BH190+BH189</f>
        <v>3011782.59906319</v>
      </c>
      <c r="BI191" s="66" t="n">
        <f aca="false">BI190+BI189</f>
        <v>3001855.56129731</v>
      </c>
      <c r="BJ191" s="66" t="n">
        <f aca="false">BJ190+BJ189</f>
        <v>3189533.36375285</v>
      </c>
    </row>
    <row r="192" customFormat="false" ht="15" hidden="false" customHeight="false" outlineLevel="0" collapsed="false">
      <c r="A192" s="117" t="s">
        <v>432</v>
      </c>
      <c r="C192" s="113" t="n">
        <f aca="false">IF(C152&gt;0,1,0)</f>
        <v>1</v>
      </c>
      <c r="D192" s="113" t="n">
        <f aca="false">IF(D152&gt;0,1,0)</f>
        <v>1</v>
      </c>
      <c r="E192" s="113" t="n">
        <f aca="false">IF(E152&gt;0,1,0)</f>
        <v>1</v>
      </c>
      <c r="F192" s="113" t="n">
        <f aca="false">IF(F152&gt;0,1,0)</f>
        <v>1</v>
      </c>
      <c r="G192" s="113" t="n">
        <f aca="false">IF(G152&gt;0,1,0)</f>
        <v>1</v>
      </c>
      <c r="H192" s="113" t="n">
        <f aca="false">IF(H152&gt;0,1,0)</f>
        <v>1</v>
      </c>
      <c r="I192" s="113" t="n">
        <f aca="false">IF(I152&gt;0,1,0)</f>
        <v>1</v>
      </c>
      <c r="J192" s="113" t="n">
        <f aca="false">IF(J152&gt;0,1,0)</f>
        <v>1</v>
      </c>
      <c r="K192" s="113" t="n">
        <f aca="false">IF(K152&gt;0,1,0)</f>
        <v>1</v>
      </c>
      <c r="L192" s="113" t="n">
        <f aca="false">IF(L152&gt;0,1,0)</f>
        <v>1</v>
      </c>
      <c r="M192" s="113" t="n">
        <f aca="false">IF(M152&gt;0,1,0)</f>
        <v>1</v>
      </c>
      <c r="N192" s="113" t="n">
        <f aca="false">IF(N152&gt;0,1,0)</f>
        <v>1</v>
      </c>
      <c r="O192" s="113" t="n">
        <f aca="false">IF(O152&gt;0,1,0)</f>
        <v>1</v>
      </c>
      <c r="P192" s="113" t="n">
        <f aca="false">IF(P152&gt;0,1,0)</f>
        <v>1</v>
      </c>
      <c r="Q192" s="113" t="n">
        <f aca="false">IF(Q152&gt;0,1,0)</f>
        <v>1</v>
      </c>
      <c r="R192" s="113" t="n">
        <f aca="false">IF(R152&gt;0,1,0)</f>
        <v>1</v>
      </c>
      <c r="S192" s="113" t="n">
        <f aca="false">IF(S152&gt;0,1,0)</f>
        <v>1</v>
      </c>
      <c r="T192" s="113" t="n">
        <f aca="false">IF(T152&gt;0,1,0)</f>
        <v>1</v>
      </c>
      <c r="U192" s="113" t="n">
        <f aca="false">IF(U152&gt;0,1,0)</f>
        <v>1</v>
      </c>
      <c r="V192" s="113" t="n">
        <f aca="false">IF(V152&gt;0,1,0)</f>
        <v>1</v>
      </c>
      <c r="W192" s="113" t="n">
        <f aca="false">IF(W152&gt;0,1,0)</f>
        <v>1</v>
      </c>
      <c r="X192" s="113" t="n">
        <f aca="false">IF(X152&gt;0,1,0)</f>
        <v>1</v>
      </c>
      <c r="Y192" s="113" t="n">
        <f aca="false">IF(Y152&gt;0,1,0)</f>
        <v>1</v>
      </c>
      <c r="Z192" s="113" t="n">
        <f aca="false">IF(Z152&gt;0,1,0)</f>
        <v>1</v>
      </c>
      <c r="AA192" s="113" t="n">
        <f aca="false">IF(AA152&gt;0,1,0)</f>
        <v>1</v>
      </c>
      <c r="AB192" s="113" t="n">
        <f aca="false">IF(AB152&gt;0,1,0)</f>
        <v>1</v>
      </c>
      <c r="AC192" s="113" t="n">
        <f aca="false">IF(AC152&gt;0,1,0)</f>
        <v>1</v>
      </c>
      <c r="AD192" s="113" t="n">
        <f aca="false">IF(AD152&gt;0,1,0)</f>
        <v>1</v>
      </c>
      <c r="AE192" s="113" t="n">
        <f aca="false">IF(AE152&gt;0,1,0)</f>
        <v>1</v>
      </c>
      <c r="AF192" s="113" t="n">
        <f aca="false">IF(AF152&gt;0,1,0)</f>
        <v>1</v>
      </c>
      <c r="AG192" s="113" t="n">
        <f aca="false">IF(AG152&gt;0,1,0)</f>
        <v>1</v>
      </c>
      <c r="AH192" s="113" t="n">
        <f aca="false">IF(AH152&gt;0,1,0)</f>
        <v>1</v>
      </c>
      <c r="AI192" s="113" t="n">
        <f aca="false">IF(AI152&gt;0,1,0)</f>
        <v>1</v>
      </c>
      <c r="AJ192" s="113" t="n">
        <f aca="false">IF(AJ152&gt;0,1,0)</f>
        <v>1</v>
      </c>
      <c r="AK192" s="113" t="n">
        <f aca="false">IF(AK152&gt;0,1,0)</f>
        <v>1</v>
      </c>
      <c r="AL192" s="113" t="n">
        <f aca="false">IF(AL152&gt;0,1,0)</f>
        <v>1</v>
      </c>
      <c r="AM192" s="113" t="n">
        <f aca="false">IF(AM152&gt;0,1,0)</f>
        <v>1</v>
      </c>
      <c r="AN192" s="113" t="n">
        <f aca="false">IF(AN152&gt;0,1,0)</f>
        <v>1</v>
      </c>
      <c r="AO192" s="113" t="n">
        <f aca="false">IF(AO152&gt;0,1,0)</f>
        <v>1</v>
      </c>
      <c r="AP192" s="113" t="n">
        <f aca="false">IF(AP152&gt;0,1,0)</f>
        <v>1</v>
      </c>
      <c r="AQ192" s="113" t="n">
        <f aca="false">IF(AQ152&gt;0,1,0)</f>
        <v>1</v>
      </c>
      <c r="AR192" s="113" t="n">
        <f aca="false">IF(AR152&gt;0,1,0)</f>
        <v>1</v>
      </c>
      <c r="AS192" s="113" t="n">
        <f aca="false">IF(AS152&gt;0,1,0)</f>
        <v>1</v>
      </c>
      <c r="AT192" s="113" t="n">
        <f aca="false">IF(AT152&gt;0,1,0)</f>
        <v>1</v>
      </c>
      <c r="AU192" s="113" t="n">
        <f aca="false">IF(AU152&gt;0,1,0)</f>
        <v>1</v>
      </c>
      <c r="AV192" s="113" t="n">
        <f aca="false">IF(AV152&gt;0,1,0)</f>
        <v>1</v>
      </c>
      <c r="AW192" s="113" t="n">
        <f aca="false">IF(AW152&gt;0,1,0)</f>
        <v>1</v>
      </c>
      <c r="AX192" s="113" t="n">
        <f aca="false">IF(AX152&gt;0,1,0)</f>
        <v>1</v>
      </c>
      <c r="AY192" s="113" t="n">
        <f aca="false">IF(AY152&gt;0,1,0)</f>
        <v>1</v>
      </c>
      <c r="AZ192" s="113" t="n">
        <f aca="false">IF(AZ152&gt;0,1,0)</f>
        <v>1</v>
      </c>
      <c r="BA192" s="113" t="n">
        <f aca="false">IF(BA152&gt;0,1,0)</f>
        <v>1</v>
      </c>
      <c r="BB192" s="113" t="n">
        <f aca="false">IF(BB152&gt;0,1,0)</f>
        <v>1</v>
      </c>
      <c r="BC192" s="113" t="n">
        <f aca="false">IF(BC152&gt;0,1,0)</f>
        <v>1</v>
      </c>
      <c r="BD192" s="113" t="n">
        <f aca="false">IF(BD152&gt;0,1,0)</f>
        <v>1</v>
      </c>
      <c r="BE192" s="113" t="n">
        <f aca="false">IF(BE152&gt;0,1,0)</f>
        <v>1</v>
      </c>
      <c r="BF192" s="113" t="n">
        <f aca="false">IF(BF152&gt;0,1,0)</f>
        <v>1</v>
      </c>
      <c r="BG192" s="113" t="n">
        <f aca="false">IF(BG152&gt;0,1,0)</f>
        <v>1</v>
      </c>
      <c r="BH192" s="113" t="n">
        <f aca="false">IF(BH152&gt;0,1,0)</f>
        <v>1</v>
      </c>
      <c r="BI192" s="113" t="n">
        <f aca="false">IF(BI152&gt;0,1,0)</f>
        <v>1</v>
      </c>
      <c r="BJ192" s="113" t="n">
        <f aca="false">IF(BJ152&gt;0,1,0)</f>
        <v>1</v>
      </c>
    </row>
    <row r="194" customFormat="false" ht="15.75" hidden="false" customHeight="true" outlineLevel="0" collapsed="false">
      <c r="A194" s="7" t="s">
        <v>433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customFormat="false" ht="15" hidden="false" customHeight="false" outlineLevel="0" collapsed="false">
      <c r="A195" s="117" t="s">
        <v>434</v>
      </c>
      <c r="C195" s="113" t="n">
        <f aca="false">IF(C161&gt;0,1,0)</f>
        <v>1</v>
      </c>
      <c r="D195" s="113" t="n">
        <f aca="false">IF(D161&gt;0,1,0)</f>
        <v>1</v>
      </c>
      <c r="E195" s="113" t="n">
        <f aca="false">IF(E161&gt;0,1,0)</f>
        <v>1</v>
      </c>
      <c r="F195" s="113" t="n">
        <f aca="false">IF(F161&gt;0,1,0)</f>
        <v>1</v>
      </c>
      <c r="G195" s="113" t="n">
        <f aca="false">IF(G161&gt;0,1,0)</f>
        <v>1</v>
      </c>
      <c r="H195" s="113" t="n">
        <f aca="false">IF(H161&gt;0,1,0)</f>
        <v>1</v>
      </c>
      <c r="I195" s="113" t="n">
        <f aca="false">IF(I161&gt;0,1,0)</f>
        <v>1</v>
      </c>
      <c r="J195" s="113" t="n">
        <f aca="false">IF(J161&gt;0,1,0)</f>
        <v>1</v>
      </c>
      <c r="K195" s="113" t="n">
        <f aca="false">IF(K161&gt;0,1,0)</f>
        <v>1</v>
      </c>
      <c r="L195" s="113" t="n">
        <f aca="false">IF(L161&gt;0,1,0)</f>
        <v>1</v>
      </c>
      <c r="M195" s="113" t="n">
        <f aca="false">IF(M161&gt;0,1,0)</f>
        <v>1</v>
      </c>
      <c r="N195" s="113" t="n">
        <f aca="false">IF(N161&gt;0,1,0)</f>
        <v>1</v>
      </c>
      <c r="O195" s="113" t="n">
        <f aca="false">IF(O161&gt;0,1,0)</f>
        <v>1</v>
      </c>
      <c r="P195" s="113" t="n">
        <f aca="false">IF(P161&gt;0,1,0)</f>
        <v>1</v>
      </c>
      <c r="Q195" s="113" t="n">
        <f aca="false">IF(Q161&gt;0,1,0)</f>
        <v>1</v>
      </c>
      <c r="R195" s="113" t="n">
        <f aca="false">IF(R161&gt;0,1,0)</f>
        <v>1</v>
      </c>
      <c r="S195" s="113" t="n">
        <f aca="false">IF(S161&gt;0,1,0)</f>
        <v>1</v>
      </c>
      <c r="T195" s="113" t="n">
        <f aca="false">IF(T161&gt;0,1,0)</f>
        <v>1</v>
      </c>
      <c r="U195" s="113" t="n">
        <f aca="false">IF(U161&gt;0,1,0)</f>
        <v>1</v>
      </c>
      <c r="V195" s="113" t="n">
        <f aca="false">IF(V161&gt;0,1,0)</f>
        <v>1</v>
      </c>
      <c r="W195" s="113" t="n">
        <f aca="false">IF(W161&gt;0,1,0)</f>
        <v>1</v>
      </c>
      <c r="X195" s="113" t="n">
        <f aca="false">IF(X161&gt;0,1,0)</f>
        <v>1</v>
      </c>
      <c r="Y195" s="113" t="n">
        <f aca="false">IF(Y161&gt;0,1,0)</f>
        <v>1</v>
      </c>
      <c r="Z195" s="113" t="n">
        <f aca="false">IF(Z161&gt;0,1,0)</f>
        <v>1</v>
      </c>
      <c r="AA195" s="113" t="n">
        <f aca="false">IF(AA161&gt;0,1,0)</f>
        <v>1</v>
      </c>
      <c r="AB195" s="113" t="n">
        <f aca="false">IF(AB161&gt;0,1,0)</f>
        <v>1</v>
      </c>
      <c r="AC195" s="113" t="n">
        <f aca="false">IF(AC161&gt;0,1,0)</f>
        <v>1</v>
      </c>
      <c r="AD195" s="113" t="n">
        <f aca="false">IF(AD161&gt;0,1,0)</f>
        <v>1</v>
      </c>
      <c r="AE195" s="113" t="n">
        <f aca="false">IF(AE161&gt;0,1,0)</f>
        <v>1</v>
      </c>
      <c r="AF195" s="113" t="n">
        <f aca="false">IF(AF161&gt;0,1,0)</f>
        <v>1</v>
      </c>
      <c r="AG195" s="113" t="n">
        <f aca="false">IF(AG161&gt;0,1,0)</f>
        <v>1</v>
      </c>
      <c r="AH195" s="113" t="n">
        <f aca="false">IF(AH161&gt;0,1,0)</f>
        <v>1</v>
      </c>
      <c r="AI195" s="113" t="n">
        <f aca="false">IF(AI161&gt;0,1,0)</f>
        <v>1</v>
      </c>
      <c r="AJ195" s="113" t="n">
        <f aca="false">IF(AJ161&gt;0,1,0)</f>
        <v>1</v>
      </c>
      <c r="AK195" s="113" t="n">
        <f aca="false">IF(AK161&gt;0,1,0)</f>
        <v>1</v>
      </c>
      <c r="AL195" s="113" t="n">
        <f aca="false">IF(AL161&gt;0,1,0)</f>
        <v>1</v>
      </c>
      <c r="AM195" s="113" t="n">
        <f aca="false">IF(AM161&gt;0,1,0)</f>
        <v>1</v>
      </c>
      <c r="AN195" s="113" t="n">
        <f aca="false">IF(AN161&gt;0,1,0)</f>
        <v>1</v>
      </c>
      <c r="AO195" s="113" t="n">
        <f aca="false">IF(AO161&gt;0,1,0)</f>
        <v>1</v>
      </c>
      <c r="AP195" s="113" t="n">
        <f aca="false">IF(AP161&gt;0,1,0)</f>
        <v>1</v>
      </c>
      <c r="AQ195" s="113" t="n">
        <f aca="false">IF(AQ161&gt;0,1,0)</f>
        <v>1</v>
      </c>
      <c r="AR195" s="113" t="n">
        <f aca="false">IF(AR161&gt;0,1,0)</f>
        <v>1</v>
      </c>
      <c r="AS195" s="113" t="n">
        <f aca="false">IF(AS161&gt;0,1,0)</f>
        <v>1</v>
      </c>
      <c r="AT195" s="113" t="n">
        <f aca="false">IF(AT161&gt;0,1,0)</f>
        <v>1</v>
      </c>
      <c r="AU195" s="113" t="n">
        <f aca="false">IF(AU161&gt;0,1,0)</f>
        <v>1</v>
      </c>
      <c r="AV195" s="113" t="n">
        <f aca="false">IF(AV161&gt;0,1,0)</f>
        <v>1</v>
      </c>
      <c r="AW195" s="113" t="n">
        <f aca="false">IF(AW161&gt;0,1,0)</f>
        <v>1</v>
      </c>
      <c r="AX195" s="113" t="n">
        <f aca="false">IF(AX161&gt;0,1,0)</f>
        <v>1</v>
      </c>
      <c r="AY195" s="113" t="n">
        <f aca="false">IF(AY161&gt;0,1,0)</f>
        <v>1</v>
      </c>
      <c r="AZ195" s="113" t="n">
        <f aca="false">IF(AZ161&gt;0,1,0)</f>
        <v>1</v>
      </c>
      <c r="BA195" s="113" t="n">
        <f aca="false">IF(BA161&gt;0,1,0)</f>
        <v>1</v>
      </c>
      <c r="BB195" s="113" t="n">
        <f aca="false">IF(BB161&gt;0,1,0)</f>
        <v>1</v>
      </c>
      <c r="BC195" s="113" t="n">
        <f aca="false">IF(BC161&gt;0,1,0)</f>
        <v>1</v>
      </c>
      <c r="BD195" s="113" t="n">
        <f aca="false">IF(BD161&gt;0,1,0)</f>
        <v>1</v>
      </c>
      <c r="BE195" s="113" t="n">
        <f aca="false">IF(BE161&gt;0,1,0)</f>
        <v>1</v>
      </c>
      <c r="BF195" s="113" t="n">
        <f aca="false">IF(BF161&gt;0,1,0)</f>
        <v>1</v>
      </c>
      <c r="BG195" s="113" t="n">
        <f aca="false">IF(BG161&gt;0,1,0)</f>
        <v>1</v>
      </c>
      <c r="BH195" s="113" t="n">
        <f aca="false">IF(BH161&gt;0,1,0)</f>
        <v>1</v>
      </c>
      <c r="BI195" s="113" t="n">
        <f aca="false">IF(BI161&gt;0,1,0)</f>
        <v>1</v>
      </c>
      <c r="BJ195" s="113" t="n">
        <f aca="false">IF(BJ161&gt;0,1,0)</f>
        <v>1</v>
      </c>
    </row>
    <row r="196" customFormat="false" ht="15" hidden="false" customHeight="false" outlineLevel="0" collapsed="false">
      <c r="A196" s="6" t="s">
        <v>435</v>
      </c>
      <c r="C196" s="65" t="n">
        <f aca="false">C185+C186</f>
        <v>-645552.376821429</v>
      </c>
      <c r="D196" s="65" t="n">
        <f aca="false">D185+D186</f>
        <v>12989.8440515873</v>
      </c>
      <c r="E196" s="65" t="n">
        <f aca="false">E185+E186</f>
        <v>13033.7329404762</v>
      </c>
      <c r="F196" s="65" t="n">
        <f aca="false">F185+F186</f>
        <v>13077.6218293651</v>
      </c>
      <c r="G196" s="65" t="n">
        <f aca="false">G185+G186</f>
        <v>13121.5107182539</v>
      </c>
      <c r="H196" s="65" t="n">
        <f aca="false">H185+H186</f>
        <v>13165.3996071428</v>
      </c>
      <c r="I196" s="65" t="n">
        <f aca="false">I185+I186</f>
        <v>13209.2884960317</v>
      </c>
      <c r="J196" s="65" t="n">
        <f aca="false">J185+J186</f>
        <v>13253.1773849206</v>
      </c>
      <c r="K196" s="65" t="n">
        <f aca="false">K185+K186</f>
        <v>13297.0662738095</v>
      </c>
      <c r="L196" s="65" t="n">
        <f aca="false">L185+L186</f>
        <v>13340.9551626984</v>
      </c>
      <c r="M196" s="65" t="n">
        <f aca="false">M185+M186</f>
        <v>-19478.5164484127</v>
      </c>
      <c r="N196" s="65" t="n">
        <f aca="false">N185+N186</f>
        <v>50482.1424404763</v>
      </c>
      <c r="O196" s="65" t="n">
        <f aca="false">O185+O186</f>
        <v>-143634.766385516</v>
      </c>
      <c r="P196" s="65" t="n">
        <f aca="false">P185+P186</f>
        <v>29001.343253373</v>
      </c>
      <c r="Q196" s="65" t="n">
        <f aca="false">Q185+Q186</f>
        <v>29045.2321422619</v>
      </c>
      <c r="R196" s="65" t="n">
        <f aca="false">R185+R186</f>
        <v>29089.1210311508</v>
      </c>
      <c r="S196" s="65" t="n">
        <f aca="false">S185+S186</f>
        <v>29133.0099200397</v>
      </c>
      <c r="T196" s="65" t="n">
        <f aca="false">T185+T186</f>
        <v>29176.8988089286</v>
      </c>
      <c r="U196" s="65" t="n">
        <f aca="false">U185+U186</f>
        <v>29220.7876978175</v>
      </c>
      <c r="V196" s="65" t="n">
        <f aca="false">V185+V186</f>
        <v>29264.6765867064</v>
      </c>
      <c r="W196" s="65" t="n">
        <f aca="false">W185+W186</f>
        <v>29308.5654755952</v>
      </c>
      <c r="X196" s="65" t="n">
        <f aca="false">X185+X186</f>
        <v>29352.4543644841</v>
      </c>
      <c r="Y196" s="65" t="n">
        <f aca="false">Y185+Y186</f>
        <v>-14371.2716716269</v>
      </c>
      <c r="Z196" s="65" t="n">
        <f aca="false">Z185+Z186</f>
        <v>80212.6177172619</v>
      </c>
      <c r="AA196" s="65" t="n">
        <f aca="false">AA185+AA186</f>
        <v>-118392.184865894</v>
      </c>
      <c r="AB196" s="65" t="n">
        <f aca="false">AB185+AB186</f>
        <v>46717.6675729951</v>
      </c>
      <c r="AC196" s="65" t="n">
        <f aca="false">AC185+AC186</f>
        <v>46761.556461884</v>
      </c>
      <c r="AD196" s="65" t="n">
        <f aca="false">AD185+AD186</f>
        <v>46805.4453507729</v>
      </c>
      <c r="AE196" s="65" t="n">
        <f aca="false">AE185+AE186</f>
        <v>46849.3342396618</v>
      </c>
      <c r="AF196" s="65" t="n">
        <f aca="false">AF185+AF186</f>
        <v>46893.2231285506</v>
      </c>
      <c r="AG196" s="65" t="n">
        <f aca="false">AG185+AG186</f>
        <v>46937.1120174396</v>
      </c>
      <c r="AH196" s="65" t="n">
        <f aca="false">AH185+AH186</f>
        <v>46981.0009063284</v>
      </c>
      <c r="AI196" s="65" t="n">
        <f aca="false">AI185+AI186</f>
        <v>47024.8897952173</v>
      </c>
      <c r="AJ196" s="65" t="n">
        <f aca="false">AJ185+AJ186</f>
        <v>47068.7786841062</v>
      </c>
      <c r="AK196" s="65" t="n">
        <f aca="false">AK185+AK186</f>
        <v>-9521.90224700479</v>
      </c>
      <c r="AL196" s="65" t="n">
        <f aca="false">AL185+AL186</f>
        <v>113812.507841884</v>
      </c>
      <c r="AM196" s="65" t="n">
        <f aca="false">AM185+AM186</f>
        <v>-91151.8849778336</v>
      </c>
      <c r="AN196" s="65" t="n">
        <f aca="false">AN185+AN186</f>
        <v>66401.9622460554</v>
      </c>
      <c r="AO196" s="65" t="n">
        <f aca="false">AO185+AO186</f>
        <v>66445.8511349443</v>
      </c>
      <c r="AP196" s="65" t="n">
        <f aca="false">AP185+AP186</f>
        <v>66489.7400238332</v>
      </c>
      <c r="AQ196" s="65" t="n">
        <f aca="false">AQ185+AQ186</f>
        <v>66533.6289127221</v>
      </c>
      <c r="AR196" s="65" t="n">
        <f aca="false">AR185+AR186</f>
        <v>66577.517801611</v>
      </c>
      <c r="AS196" s="65" t="n">
        <f aca="false">AS185+AS186</f>
        <v>66621.4066904998</v>
      </c>
      <c r="AT196" s="65" t="n">
        <f aca="false">AT185+AT186</f>
        <v>66665.2955793887</v>
      </c>
      <c r="AU196" s="65" t="n">
        <f aca="false">AU185+AU186</f>
        <v>66709.1844682776</v>
      </c>
      <c r="AV196" s="65" t="n">
        <f aca="false">AV185+AV186</f>
        <v>66753.0733571665</v>
      </c>
      <c r="AW196" s="65" t="n">
        <f aca="false">AW185+AW186</f>
        <v>-5156.15427444465</v>
      </c>
      <c r="AX196" s="65" t="n">
        <f aca="false">AX185+AX186</f>
        <v>152083.149144444</v>
      </c>
      <c r="AY196" s="65" t="n">
        <f aca="false">AY185+AY186</f>
        <v>-61633.0229407589</v>
      </c>
      <c r="AZ196" s="65" t="n">
        <f aca="false">AZ185+AZ186</f>
        <v>88354.1009373275</v>
      </c>
      <c r="BA196" s="65" t="n">
        <f aca="false">BA185+BA186</f>
        <v>88397.9898262163</v>
      </c>
      <c r="BB196" s="65" t="n">
        <f aca="false">BB185+BB186</f>
        <v>88441.8787151052</v>
      </c>
      <c r="BC196" s="65" t="n">
        <f aca="false">BC185+BC186</f>
        <v>88485.7676039941</v>
      </c>
      <c r="BD196" s="65" t="n">
        <f aca="false">BD185+BD186</f>
        <v>88529.656492883</v>
      </c>
      <c r="BE196" s="65" t="n">
        <f aca="false">BE185+BE186</f>
        <v>88573.5453817719</v>
      </c>
      <c r="BF196" s="65" t="n">
        <f aca="false">BF185+BF186</f>
        <v>88617.4342706608</v>
      </c>
      <c r="BG196" s="65" t="n">
        <f aca="false">BG185+BG186</f>
        <v>88661.3231595497</v>
      </c>
      <c r="BH196" s="65" t="n">
        <f aca="false">BH185+BH186</f>
        <v>88705.2120484386</v>
      </c>
      <c r="BI196" s="65" t="n">
        <f aca="false">BI185+BI186</f>
        <v>-1593.70443254372</v>
      </c>
      <c r="BJ196" s="65" t="n">
        <f aca="false">BJ185+BJ186</f>
        <v>196011.13578887</v>
      </c>
    </row>
    <row r="197" customFormat="false" ht="15" hidden="false" customHeight="false" outlineLevel="0" collapsed="false">
      <c r="A197" s="6" t="s">
        <v>436</v>
      </c>
      <c r="C197" s="65" t="n">
        <f aca="false">C196</f>
        <v>-645552.376821429</v>
      </c>
      <c r="D197" s="65" t="n">
        <f aca="false">C197+D196</f>
        <v>-632562.532769841</v>
      </c>
      <c r="E197" s="65" t="n">
        <f aca="false">D197+E196</f>
        <v>-619528.799829365</v>
      </c>
      <c r="F197" s="65" t="n">
        <f aca="false">E197+F196</f>
        <v>-606451.178</v>
      </c>
      <c r="G197" s="65" t="n">
        <f aca="false">F197+G196</f>
        <v>-593329.667281746</v>
      </c>
      <c r="H197" s="65" t="n">
        <f aca="false">G197+H196</f>
        <v>-580164.267674603</v>
      </c>
      <c r="I197" s="65" t="n">
        <f aca="false">H197+I196</f>
        <v>-566954.979178572</v>
      </c>
      <c r="J197" s="65" t="n">
        <f aca="false">I197+J196</f>
        <v>-553701.801793651</v>
      </c>
      <c r="K197" s="65" t="n">
        <f aca="false">J197+K196</f>
        <v>-540404.735519841</v>
      </c>
      <c r="L197" s="65" t="n">
        <f aca="false">K197+L196</f>
        <v>-527063.780357143</v>
      </c>
      <c r="M197" s="65" t="n">
        <f aca="false">L197+M196</f>
        <v>-546542.296805556</v>
      </c>
      <c r="N197" s="65" t="n">
        <f aca="false">M197+N196</f>
        <v>-496060.154365079</v>
      </c>
      <c r="O197" s="65" t="n">
        <f aca="false">N197+O196</f>
        <v>-639694.920750595</v>
      </c>
      <c r="P197" s="65" t="n">
        <f aca="false">O197+P196</f>
        <v>-610693.577497222</v>
      </c>
      <c r="Q197" s="65" t="n">
        <f aca="false">P197+Q196</f>
        <v>-581648.34535496</v>
      </c>
      <c r="R197" s="65" t="n">
        <f aca="false">Q197+R196</f>
        <v>-552559.22432381</v>
      </c>
      <c r="S197" s="65" t="n">
        <f aca="false">R197+S196</f>
        <v>-523426.21440377</v>
      </c>
      <c r="T197" s="65" t="n">
        <f aca="false">S197+T196</f>
        <v>-494249.315594841</v>
      </c>
      <c r="U197" s="65" t="n">
        <f aca="false">T197+U196</f>
        <v>-465028.527897024</v>
      </c>
      <c r="V197" s="65" t="n">
        <f aca="false">U197+V196</f>
        <v>-435763.851310317</v>
      </c>
      <c r="W197" s="65" t="n">
        <f aca="false">V197+W196</f>
        <v>-406455.285834722</v>
      </c>
      <c r="X197" s="65" t="n">
        <f aca="false">W197+X196</f>
        <v>-377102.831470238</v>
      </c>
      <c r="Y197" s="65" t="n">
        <f aca="false">X197+Y196</f>
        <v>-391474.103141865</v>
      </c>
      <c r="Z197" s="65" t="n">
        <f aca="false">Y197+Z196</f>
        <v>-311261.485424603</v>
      </c>
      <c r="AA197" s="65" t="n">
        <f aca="false">Z197+AA196</f>
        <v>-429653.670290497</v>
      </c>
      <c r="AB197" s="65" t="n">
        <f aca="false">AA197+AB196</f>
        <v>-382936.002717502</v>
      </c>
      <c r="AC197" s="65" t="n">
        <f aca="false">AB197+AC196</f>
        <v>-336174.446255618</v>
      </c>
      <c r="AD197" s="65" t="n">
        <f aca="false">AC197+AD196</f>
        <v>-289369.000904845</v>
      </c>
      <c r="AE197" s="65" t="n">
        <f aca="false">AD197+AE196</f>
        <v>-242519.666665183</v>
      </c>
      <c r="AF197" s="65" t="n">
        <f aca="false">AE197+AF196</f>
        <v>-195626.443536632</v>
      </c>
      <c r="AG197" s="65" t="n">
        <f aca="false">AF197+AG196</f>
        <v>-148689.331519193</v>
      </c>
      <c r="AH197" s="65" t="n">
        <f aca="false">AG197+AH196</f>
        <v>-101708.330612864</v>
      </c>
      <c r="AI197" s="65" t="n">
        <f aca="false">AH197+AI196</f>
        <v>-54683.4408176472</v>
      </c>
      <c r="AJ197" s="65" t="n">
        <f aca="false">AI197+AJ196</f>
        <v>-7614.66213354094</v>
      </c>
      <c r="AK197" s="65" t="n">
        <f aca="false">AJ197+AK196</f>
        <v>-17136.5643805457</v>
      </c>
      <c r="AL197" s="65" t="n">
        <f aca="false">AK197+AL196</f>
        <v>96675.9434613383</v>
      </c>
      <c r="AM197" s="65" t="n">
        <f aca="false">AL197+AM196</f>
        <v>5524.05848350468</v>
      </c>
      <c r="AN197" s="65" t="n">
        <f aca="false">AM197+AN196</f>
        <v>71926.0207295601</v>
      </c>
      <c r="AO197" s="65" t="n">
        <f aca="false">AN197+AO196</f>
        <v>138371.871864504</v>
      </c>
      <c r="AP197" s="65" t="n">
        <f aca="false">AO197+AP196</f>
        <v>204861.611888338</v>
      </c>
      <c r="AQ197" s="65" t="n">
        <f aca="false">AP197+AQ196</f>
        <v>271395.24080106</v>
      </c>
      <c r="AR197" s="65" t="n">
        <f aca="false">AQ197+AR196</f>
        <v>337972.758602671</v>
      </c>
      <c r="AS197" s="65" t="n">
        <f aca="false">AR197+AS196</f>
        <v>404594.165293171</v>
      </c>
      <c r="AT197" s="65" t="n">
        <f aca="false">AS197+AT196</f>
        <v>471259.460872559</v>
      </c>
      <c r="AU197" s="65" t="n">
        <f aca="false">AT197+AU196</f>
        <v>537968.645340837</v>
      </c>
      <c r="AV197" s="65" t="n">
        <f aca="false">AU197+AV196</f>
        <v>604721.718698003</v>
      </c>
      <c r="AW197" s="65" t="n">
        <f aca="false">AV197+AW196</f>
        <v>599565.564423559</v>
      </c>
      <c r="AX197" s="65" t="n">
        <f aca="false">AW197+AX196</f>
        <v>751648.713568003</v>
      </c>
      <c r="AY197" s="65" t="n">
        <f aca="false">AX197+AY196</f>
        <v>690015.690627244</v>
      </c>
      <c r="AZ197" s="65" t="n">
        <f aca="false">AY197+AZ196</f>
        <v>778369.791564571</v>
      </c>
      <c r="BA197" s="65" t="n">
        <f aca="false">AZ197+BA196</f>
        <v>866767.781390788</v>
      </c>
      <c r="BB197" s="65" t="n">
        <f aca="false">BA197+BB196</f>
        <v>955209.660105893</v>
      </c>
      <c r="BC197" s="65" t="n">
        <f aca="false">BB197+BC196</f>
        <v>1043695.42770989</v>
      </c>
      <c r="BD197" s="65" t="n">
        <f aca="false">BC197+BD196</f>
        <v>1132225.08420277</v>
      </c>
      <c r="BE197" s="65" t="n">
        <f aca="false">BD197+BE196</f>
        <v>1220798.62958454</v>
      </c>
      <c r="BF197" s="65" t="n">
        <f aca="false">BE197+BF196</f>
        <v>1309416.0638552</v>
      </c>
      <c r="BG197" s="65" t="n">
        <f aca="false">BF197+BG196</f>
        <v>1398077.38701475</v>
      </c>
      <c r="BH197" s="65" t="n">
        <f aca="false">BG197+BH196</f>
        <v>1486782.59906319</v>
      </c>
      <c r="BI197" s="65" t="n">
        <f aca="false">BH197+BI196</f>
        <v>1485188.89463065</v>
      </c>
      <c r="BJ197" s="65" t="n">
        <f aca="false">BI197+BJ196</f>
        <v>1681200.03041952</v>
      </c>
    </row>
    <row r="198" customFormat="false" ht="15" hidden="false" customHeight="false" outlineLevel="0" collapsed="false">
      <c r="A198" s="117" t="s">
        <v>437</v>
      </c>
      <c r="C198" s="65" t="n">
        <f aca="false">C197</f>
        <v>-645552.376821429</v>
      </c>
      <c r="D198" s="65" t="n">
        <f aca="false">MIN(C198,D197)</f>
        <v>-645552.376821429</v>
      </c>
      <c r="E198" s="65" t="n">
        <f aca="false">MIN(D198,E197)</f>
        <v>-645552.376821429</v>
      </c>
      <c r="F198" s="65" t="n">
        <f aca="false">MIN(E198,F197)</f>
        <v>-645552.376821429</v>
      </c>
      <c r="G198" s="65" t="n">
        <f aca="false">MIN(F198,G197)</f>
        <v>-645552.376821429</v>
      </c>
      <c r="H198" s="65" t="n">
        <f aca="false">MIN(G198,H197)</f>
        <v>-645552.376821429</v>
      </c>
      <c r="I198" s="65" t="n">
        <f aca="false">MIN(H198,I197)</f>
        <v>-645552.376821429</v>
      </c>
      <c r="J198" s="65" t="n">
        <f aca="false">MIN(I198,J197)</f>
        <v>-645552.376821429</v>
      </c>
      <c r="K198" s="65" t="n">
        <f aca="false">MIN(J198,K197)</f>
        <v>-645552.376821429</v>
      </c>
      <c r="L198" s="65" t="n">
        <f aca="false">MIN(K198,L197)</f>
        <v>-645552.376821429</v>
      </c>
      <c r="M198" s="65" t="n">
        <f aca="false">MIN(L198,M197)</f>
        <v>-645552.376821429</v>
      </c>
      <c r="N198" s="65" t="n">
        <f aca="false">MIN(M198,N197)</f>
        <v>-645552.376821429</v>
      </c>
      <c r="O198" s="65" t="n">
        <f aca="false">MIN(N198,O197)</f>
        <v>-645552.376821429</v>
      </c>
      <c r="P198" s="65" t="n">
        <f aca="false">MIN(O198,P197)</f>
        <v>-645552.376821429</v>
      </c>
      <c r="Q198" s="65" t="n">
        <f aca="false">MIN(P198,Q197)</f>
        <v>-645552.376821429</v>
      </c>
      <c r="R198" s="65" t="n">
        <f aca="false">MIN(Q198,R197)</f>
        <v>-645552.376821429</v>
      </c>
      <c r="S198" s="65" t="n">
        <f aca="false">MIN(R198,S197)</f>
        <v>-645552.376821429</v>
      </c>
      <c r="T198" s="65" t="n">
        <f aca="false">MIN(S198,T197)</f>
        <v>-645552.376821429</v>
      </c>
      <c r="U198" s="65" t="n">
        <f aca="false">MIN(T198,U197)</f>
        <v>-645552.376821429</v>
      </c>
      <c r="V198" s="65" t="n">
        <f aca="false">MIN(U198,V197)</f>
        <v>-645552.376821429</v>
      </c>
      <c r="W198" s="65" t="n">
        <f aca="false">MIN(V198,W197)</f>
        <v>-645552.376821429</v>
      </c>
      <c r="X198" s="65" t="n">
        <f aca="false">MIN(W198,X197)</f>
        <v>-645552.376821429</v>
      </c>
      <c r="Y198" s="65" t="n">
        <f aca="false">MIN(X198,Y197)</f>
        <v>-645552.376821429</v>
      </c>
      <c r="Z198" s="65" t="n">
        <f aca="false">MIN(Y198,Z197)</f>
        <v>-645552.376821429</v>
      </c>
      <c r="AA198" s="65" t="n">
        <f aca="false">MIN(Z198,AA197)</f>
        <v>-645552.376821429</v>
      </c>
      <c r="AB198" s="65" t="n">
        <f aca="false">MIN(AA198,AB197)</f>
        <v>-645552.376821429</v>
      </c>
      <c r="AC198" s="65" t="n">
        <f aca="false">MIN(AB198,AC197)</f>
        <v>-645552.376821429</v>
      </c>
      <c r="AD198" s="65" t="n">
        <f aca="false">MIN(AC198,AD197)</f>
        <v>-645552.376821429</v>
      </c>
      <c r="AE198" s="65" t="n">
        <f aca="false">MIN(AD198,AE197)</f>
        <v>-645552.376821429</v>
      </c>
      <c r="AF198" s="65" t="n">
        <f aca="false">MIN(AE198,AF197)</f>
        <v>-645552.376821429</v>
      </c>
      <c r="AG198" s="65" t="n">
        <f aca="false">MIN(AF198,AG197)</f>
        <v>-645552.376821429</v>
      </c>
      <c r="AH198" s="65" t="n">
        <f aca="false">MIN(AG198,AH197)</f>
        <v>-645552.376821429</v>
      </c>
      <c r="AI198" s="65" t="n">
        <f aca="false">MIN(AH198,AI197)</f>
        <v>-645552.376821429</v>
      </c>
      <c r="AJ198" s="65" t="n">
        <f aca="false">MIN(AI198,AJ197)</f>
        <v>-645552.376821429</v>
      </c>
      <c r="AK198" s="65" t="n">
        <f aca="false">MIN(AJ198,AK197)</f>
        <v>-645552.376821429</v>
      </c>
      <c r="AL198" s="65" t="n">
        <f aca="false">MIN(AK198,AL197)</f>
        <v>-645552.376821429</v>
      </c>
      <c r="AM198" s="65" t="n">
        <f aca="false">MIN(AL198,AM197)</f>
        <v>-645552.376821429</v>
      </c>
      <c r="AN198" s="65" t="n">
        <f aca="false">MIN(AM198,AN197)</f>
        <v>-645552.376821429</v>
      </c>
      <c r="AO198" s="65" t="n">
        <f aca="false">MIN(AN198,AO197)</f>
        <v>-645552.376821429</v>
      </c>
      <c r="AP198" s="65" t="n">
        <f aca="false">MIN(AO198,AP197)</f>
        <v>-645552.376821429</v>
      </c>
      <c r="AQ198" s="65" t="n">
        <f aca="false">MIN(AP198,AQ197)</f>
        <v>-645552.376821429</v>
      </c>
      <c r="AR198" s="65" t="n">
        <f aca="false">MIN(AQ198,AR197)</f>
        <v>-645552.376821429</v>
      </c>
      <c r="AS198" s="65" t="n">
        <f aca="false">MIN(AR198,AS197)</f>
        <v>-645552.376821429</v>
      </c>
      <c r="AT198" s="65" t="n">
        <f aca="false">MIN(AS198,AT197)</f>
        <v>-645552.376821429</v>
      </c>
      <c r="AU198" s="65" t="n">
        <f aca="false">MIN(AT198,AU197)</f>
        <v>-645552.376821429</v>
      </c>
      <c r="AV198" s="65" t="n">
        <f aca="false">MIN(AU198,AV197)</f>
        <v>-645552.376821429</v>
      </c>
      <c r="AW198" s="65" t="n">
        <f aca="false">MIN(AV198,AW197)</f>
        <v>-645552.376821429</v>
      </c>
      <c r="AX198" s="65" t="n">
        <f aca="false">MIN(AW198,AX197)</f>
        <v>-645552.376821429</v>
      </c>
      <c r="AY198" s="65" t="n">
        <f aca="false">MIN(AX198,AY197)</f>
        <v>-645552.376821429</v>
      </c>
      <c r="AZ198" s="65" t="n">
        <f aca="false">MIN(AY198,AZ197)</f>
        <v>-645552.376821429</v>
      </c>
      <c r="BA198" s="65" t="n">
        <f aca="false">MIN(AZ198,BA197)</f>
        <v>-645552.376821429</v>
      </c>
      <c r="BB198" s="65" t="n">
        <f aca="false">MIN(BA198,BB197)</f>
        <v>-645552.376821429</v>
      </c>
      <c r="BC198" s="65" t="n">
        <f aca="false">MIN(BB198,BC197)</f>
        <v>-645552.376821429</v>
      </c>
      <c r="BD198" s="65" t="n">
        <f aca="false">MIN(BC198,BD197)</f>
        <v>-645552.376821429</v>
      </c>
      <c r="BE198" s="65" t="n">
        <f aca="false">MIN(BD198,BE197)</f>
        <v>-645552.376821429</v>
      </c>
      <c r="BF198" s="65" t="n">
        <f aca="false">MIN(BE198,BF197)</f>
        <v>-645552.376821429</v>
      </c>
      <c r="BG198" s="65" t="n">
        <f aca="false">MIN(BF198,BG197)</f>
        <v>-645552.376821429</v>
      </c>
      <c r="BH198" s="65" t="n">
        <f aca="false">MIN(BG198,BH197)</f>
        <v>-645552.376821429</v>
      </c>
      <c r="BI198" s="65" t="n">
        <f aca="false">MIN(BH198,BI197)</f>
        <v>-645552.376821429</v>
      </c>
      <c r="BJ198" s="65" t="n">
        <f aca="false">MIN(BI198,BJ197)</f>
        <v>-645552.376821429</v>
      </c>
    </row>
    <row r="199" customFormat="false" ht="15" hidden="false" customHeight="false" outlineLevel="0" collapsed="false">
      <c r="A199" s="117" t="s">
        <v>438</v>
      </c>
      <c r="C199" s="113" t="n">
        <f aca="false">IF(AND(C197&gt;=0,C198&lt;0),1,0)</f>
        <v>0</v>
      </c>
      <c r="D199" s="113" t="n">
        <f aca="false">IF(AND(D197&gt;=0,D198&lt;0),1,0)</f>
        <v>0</v>
      </c>
      <c r="E199" s="113" t="n">
        <f aca="false">IF(AND(E197&gt;=0,E198&lt;0),1,0)</f>
        <v>0</v>
      </c>
      <c r="F199" s="113" t="n">
        <f aca="false">IF(AND(F197&gt;=0,F198&lt;0),1,0)</f>
        <v>0</v>
      </c>
      <c r="G199" s="113" t="n">
        <f aca="false">IF(AND(G197&gt;=0,G198&lt;0),1,0)</f>
        <v>0</v>
      </c>
      <c r="H199" s="113" t="n">
        <f aca="false">IF(AND(H197&gt;=0,H198&lt;0),1,0)</f>
        <v>0</v>
      </c>
      <c r="I199" s="113" t="n">
        <f aca="false">IF(AND(I197&gt;=0,I198&lt;0),1,0)</f>
        <v>0</v>
      </c>
      <c r="J199" s="113" t="n">
        <f aca="false">IF(AND(J197&gt;=0,J198&lt;0),1,0)</f>
        <v>0</v>
      </c>
      <c r="K199" s="113" t="n">
        <f aca="false">IF(AND(K197&gt;=0,K198&lt;0),1,0)</f>
        <v>0</v>
      </c>
      <c r="L199" s="113" t="n">
        <f aca="false">IF(AND(L197&gt;=0,L198&lt;0),1,0)</f>
        <v>0</v>
      </c>
      <c r="M199" s="113" t="n">
        <f aca="false">IF(AND(M197&gt;=0,M198&lt;0),1,0)</f>
        <v>0</v>
      </c>
      <c r="N199" s="113" t="n">
        <f aca="false">IF(AND(N197&gt;=0,N198&lt;0),1,0)</f>
        <v>0</v>
      </c>
      <c r="O199" s="113" t="n">
        <f aca="false">IF(AND(O197&gt;=0,O198&lt;0),1,0)</f>
        <v>0</v>
      </c>
      <c r="P199" s="113" t="n">
        <f aca="false">IF(AND(P197&gt;=0,P198&lt;0),1,0)</f>
        <v>0</v>
      </c>
      <c r="Q199" s="113" t="n">
        <f aca="false">IF(AND(Q197&gt;=0,Q198&lt;0),1,0)</f>
        <v>0</v>
      </c>
      <c r="R199" s="113" t="n">
        <f aca="false">IF(AND(R197&gt;=0,R198&lt;0),1,0)</f>
        <v>0</v>
      </c>
      <c r="S199" s="113" t="n">
        <f aca="false">IF(AND(S197&gt;=0,S198&lt;0),1,0)</f>
        <v>0</v>
      </c>
      <c r="T199" s="113" t="n">
        <f aca="false">IF(AND(T197&gt;=0,T198&lt;0),1,0)</f>
        <v>0</v>
      </c>
      <c r="U199" s="113" t="n">
        <f aca="false">IF(AND(U197&gt;=0,U198&lt;0),1,0)</f>
        <v>0</v>
      </c>
      <c r="V199" s="113" t="n">
        <f aca="false">IF(AND(V197&gt;=0,V198&lt;0),1,0)</f>
        <v>0</v>
      </c>
      <c r="W199" s="113" t="n">
        <f aca="false">IF(AND(W197&gt;=0,W198&lt;0),1,0)</f>
        <v>0</v>
      </c>
      <c r="X199" s="113" t="n">
        <f aca="false">IF(AND(X197&gt;=0,X198&lt;0),1,0)</f>
        <v>0</v>
      </c>
      <c r="Y199" s="113" t="n">
        <f aca="false">IF(AND(Y197&gt;=0,Y198&lt;0),1,0)</f>
        <v>0</v>
      </c>
      <c r="Z199" s="113" t="n">
        <f aca="false">IF(AND(Z197&gt;=0,Z198&lt;0),1,0)</f>
        <v>0</v>
      </c>
      <c r="AA199" s="113" t="n">
        <f aca="false">IF(AND(AA197&gt;=0,AA198&lt;0),1,0)</f>
        <v>0</v>
      </c>
      <c r="AB199" s="113" t="n">
        <f aca="false">IF(AND(AB197&gt;=0,AB198&lt;0),1,0)</f>
        <v>0</v>
      </c>
      <c r="AC199" s="113" t="n">
        <f aca="false">IF(AND(AC197&gt;=0,AC198&lt;0),1,0)</f>
        <v>0</v>
      </c>
      <c r="AD199" s="113" t="n">
        <f aca="false">IF(AND(AD197&gt;=0,AD198&lt;0),1,0)</f>
        <v>0</v>
      </c>
      <c r="AE199" s="113" t="n">
        <f aca="false">IF(AND(AE197&gt;=0,AE198&lt;0),1,0)</f>
        <v>0</v>
      </c>
      <c r="AF199" s="113" t="n">
        <f aca="false">IF(AND(AF197&gt;=0,AF198&lt;0),1,0)</f>
        <v>0</v>
      </c>
      <c r="AG199" s="113" t="n">
        <f aca="false">IF(AND(AG197&gt;=0,AG198&lt;0),1,0)</f>
        <v>0</v>
      </c>
      <c r="AH199" s="113" t="n">
        <f aca="false">IF(AND(AH197&gt;=0,AH198&lt;0),1,0)</f>
        <v>0</v>
      </c>
      <c r="AI199" s="113" t="n">
        <f aca="false">IF(AND(AI197&gt;=0,AI198&lt;0),1,0)</f>
        <v>0</v>
      </c>
      <c r="AJ199" s="113" t="n">
        <f aca="false">IF(AND(AJ197&gt;=0,AJ198&lt;0),1,0)</f>
        <v>0</v>
      </c>
      <c r="AK199" s="113" t="n">
        <f aca="false">IF(AND(AK197&gt;=0,AK198&lt;0),1,0)</f>
        <v>0</v>
      </c>
      <c r="AL199" s="113" t="n">
        <f aca="false">IF(AND(AL197&gt;=0,AL198&lt;0),1,0)</f>
        <v>1</v>
      </c>
      <c r="AM199" s="113" t="n">
        <f aca="false">IF(AND(AM197&gt;=0,AM198&lt;0),1,0)</f>
        <v>1</v>
      </c>
      <c r="AN199" s="113" t="n">
        <f aca="false">IF(AND(AN197&gt;=0,AN198&lt;0),1,0)</f>
        <v>1</v>
      </c>
      <c r="AO199" s="113" t="n">
        <f aca="false">IF(AND(AO197&gt;=0,AO198&lt;0),1,0)</f>
        <v>1</v>
      </c>
      <c r="AP199" s="113" t="n">
        <f aca="false">IF(AND(AP197&gt;=0,AP198&lt;0),1,0)</f>
        <v>1</v>
      </c>
      <c r="AQ199" s="113" t="n">
        <f aca="false">IF(AND(AQ197&gt;=0,AQ198&lt;0),1,0)</f>
        <v>1</v>
      </c>
      <c r="AR199" s="113" t="n">
        <f aca="false">IF(AND(AR197&gt;=0,AR198&lt;0),1,0)</f>
        <v>1</v>
      </c>
      <c r="AS199" s="113" t="n">
        <f aca="false">IF(AND(AS197&gt;=0,AS198&lt;0),1,0)</f>
        <v>1</v>
      </c>
      <c r="AT199" s="113" t="n">
        <f aca="false">IF(AND(AT197&gt;=0,AT198&lt;0),1,0)</f>
        <v>1</v>
      </c>
      <c r="AU199" s="113" t="n">
        <f aca="false">IF(AND(AU197&gt;=0,AU198&lt;0),1,0)</f>
        <v>1</v>
      </c>
      <c r="AV199" s="113" t="n">
        <f aca="false">IF(AND(AV197&gt;=0,AV198&lt;0),1,0)</f>
        <v>1</v>
      </c>
      <c r="AW199" s="113" t="n">
        <f aca="false">IF(AND(AW197&gt;=0,AW198&lt;0),1,0)</f>
        <v>1</v>
      </c>
      <c r="AX199" s="113" t="n">
        <f aca="false">IF(AND(AX197&gt;=0,AX198&lt;0),1,0)</f>
        <v>1</v>
      </c>
      <c r="AY199" s="113" t="n">
        <f aca="false">IF(AND(AY197&gt;=0,AY198&lt;0),1,0)</f>
        <v>1</v>
      </c>
      <c r="AZ199" s="113" t="n">
        <f aca="false">IF(AND(AZ197&gt;=0,AZ198&lt;0),1,0)</f>
        <v>1</v>
      </c>
      <c r="BA199" s="113" t="n">
        <f aca="false">IF(AND(BA197&gt;=0,BA198&lt;0),1,0)</f>
        <v>1</v>
      </c>
      <c r="BB199" s="113" t="n">
        <f aca="false">IF(AND(BB197&gt;=0,BB198&lt;0),1,0)</f>
        <v>1</v>
      </c>
      <c r="BC199" s="113" t="n">
        <f aca="false">IF(AND(BC197&gt;=0,BC198&lt;0),1,0)</f>
        <v>1</v>
      </c>
      <c r="BD199" s="113" t="n">
        <f aca="false">IF(AND(BD197&gt;=0,BD198&lt;0),1,0)</f>
        <v>1</v>
      </c>
      <c r="BE199" s="113" t="n">
        <f aca="false">IF(AND(BE197&gt;=0,BE198&lt;0),1,0)</f>
        <v>1</v>
      </c>
      <c r="BF199" s="113" t="n">
        <f aca="false">IF(AND(BF197&gt;=0,BF198&lt;0),1,0)</f>
        <v>1</v>
      </c>
      <c r="BG199" s="113" t="n">
        <f aca="false">IF(AND(BG197&gt;=0,BG198&lt;0),1,0)</f>
        <v>1</v>
      </c>
      <c r="BH199" s="113" t="n">
        <f aca="false">IF(AND(BH197&gt;=0,BH198&lt;0),1,0)</f>
        <v>1</v>
      </c>
      <c r="BI199" s="113" t="n">
        <f aca="false">IF(AND(BI197&gt;=0,BI198&lt;0),1,0)</f>
        <v>1</v>
      </c>
      <c r="BJ199" s="113" t="n">
        <f aca="false">IF(AND(BJ197&gt;=0,BJ198&lt;0),1,0)</f>
        <v>1</v>
      </c>
    </row>
    <row r="200" customFormat="false" ht="15" hidden="false" customHeight="false" outlineLevel="0" collapsed="false">
      <c r="A200" s="6" t="s">
        <v>439</v>
      </c>
      <c r="C200" s="65" t="n">
        <f aca="false">C185-C156*(1-Inputs!$C$70)+C186</f>
        <v>-642919.043488095</v>
      </c>
      <c r="D200" s="65" t="n">
        <f aca="false">D185-D156*(1-Inputs!$C$70)+D186</f>
        <v>15601.2329404762</v>
      </c>
      <c r="E200" s="65" t="n">
        <f aca="false">E185-E156*(1-Inputs!$C$70)+E186</f>
        <v>15601.2329404762</v>
      </c>
      <c r="F200" s="65" t="n">
        <f aca="false">F185-F156*(1-Inputs!$C$70)+F186</f>
        <v>15601.2329404762</v>
      </c>
      <c r="G200" s="65" t="n">
        <f aca="false">G185-G156*(1-Inputs!$C$70)+G186</f>
        <v>15601.2329404762</v>
      </c>
      <c r="H200" s="65" t="n">
        <f aca="false">H185-H156*(1-Inputs!$C$70)+H186</f>
        <v>15601.2329404762</v>
      </c>
      <c r="I200" s="65" t="n">
        <f aca="false">I185-I156*(1-Inputs!$C$70)+I186</f>
        <v>15601.2329404762</v>
      </c>
      <c r="J200" s="65" t="n">
        <f aca="false">J185-J156*(1-Inputs!$C$70)+J186</f>
        <v>15601.2329404762</v>
      </c>
      <c r="K200" s="65" t="n">
        <f aca="false">K185-K156*(1-Inputs!$C$70)+K186</f>
        <v>15601.2329404762</v>
      </c>
      <c r="L200" s="65" t="n">
        <f aca="false">L185-L156*(1-Inputs!$C$70)+L186</f>
        <v>15601.2329404762</v>
      </c>
      <c r="M200" s="65" t="n">
        <f aca="false">M185-M156*(1-Inputs!$C$70)+M186</f>
        <v>-17262.1275595238</v>
      </c>
      <c r="N200" s="65" t="n">
        <f aca="false">N185-N156*(1-Inputs!$C$70)+N186</f>
        <v>52654.6424404763</v>
      </c>
      <c r="O200" s="65" t="n">
        <f aca="false">O185-O156*(1-Inputs!$C$70)+O186</f>
        <v>-141506.155274405</v>
      </c>
      <c r="P200" s="65" t="n">
        <f aca="false">P185-P156*(1-Inputs!$C$70)+P186</f>
        <v>31086.0654755952</v>
      </c>
      <c r="Q200" s="65" t="n">
        <f aca="false">Q185-Q156*(1-Inputs!$C$70)+Q186</f>
        <v>31086.0654755952</v>
      </c>
      <c r="R200" s="65" t="n">
        <f aca="false">R185-R156*(1-Inputs!$C$70)+R186</f>
        <v>31086.0654755953</v>
      </c>
      <c r="S200" s="65" t="n">
        <f aca="false">S185-S156*(1-Inputs!$C$70)+S186</f>
        <v>31086.0654755953</v>
      </c>
      <c r="T200" s="65" t="n">
        <f aca="false">T185-T156*(1-Inputs!$C$70)+T186</f>
        <v>31086.0654755952</v>
      </c>
      <c r="U200" s="65" t="n">
        <f aca="false">U185-U156*(1-Inputs!$C$70)+U186</f>
        <v>31086.0654755953</v>
      </c>
      <c r="V200" s="65" t="n">
        <f aca="false">V185-V156*(1-Inputs!$C$70)+V186</f>
        <v>31086.0654755952</v>
      </c>
      <c r="W200" s="65" t="n">
        <f aca="false">W185-W156*(1-Inputs!$C$70)+W186</f>
        <v>31086.0654755952</v>
      </c>
      <c r="X200" s="65" t="n">
        <f aca="false">X185-X156*(1-Inputs!$C$70)+X186</f>
        <v>31086.0654755953</v>
      </c>
      <c r="Y200" s="65" t="n">
        <f aca="false">Y185-Y156*(1-Inputs!$C$70)+Y186</f>
        <v>-12681.5494494047</v>
      </c>
      <c r="Z200" s="65" t="n">
        <f aca="false">Z185-Z156*(1-Inputs!$C$70)+Z186</f>
        <v>81858.4510505953</v>
      </c>
      <c r="AA200" s="65" t="n">
        <f aca="false">AA185-AA156*(1-Inputs!$C$70)+AA186</f>
        <v>-116790.240421449</v>
      </c>
      <c r="AB200" s="65" t="n">
        <f aca="false">AB185-AB156*(1-Inputs!$C$70)+AB186</f>
        <v>48275.7231285507</v>
      </c>
      <c r="AC200" s="65" t="n">
        <f aca="false">AC185-AC156*(1-Inputs!$C$70)+AC186</f>
        <v>48275.7231285507</v>
      </c>
      <c r="AD200" s="65" t="n">
        <f aca="false">AD185-AD156*(1-Inputs!$C$70)+AD186</f>
        <v>48275.7231285506</v>
      </c>
      <c r="AE200" s="65" t="n">
        <f aca="false">AE185-AE156*(1-Inputs!$C$70)+AE186</f>
        <v>48275.7231285507</v>
      </c>
      <c r="AF200" s="65" t="n">
        <f aca="false">AF185-AF156*(1-Inputs!$C$70)+AF186</f>
        <v>48275.7231285506</v>
      </c>
      <c r="AG200" s="65" t="n">
        <f aca="false">AG185-AG156*(1-Inputs!$C$70)+AG186</f>
        <v>48275.7231285507</v>
      </c>
      <c r="AH200" s="65" t="n">
        <f aca="false">AH185-AH156*(1-Inputs!$C$70)+AH186</f>
        <v>48275.7231285507</v>
      </c>
      <c r="AI200" s="65" t="n">
        <f aca="false">AI185-AI156*(1-Inputs!$C$70)+AI186</f>
        <v>48275.7231285507</v>
      </c>
      <c r="AJ200" s="65" t="n">
        <f aca="false">AJ185-AJ156*(1-Inputs!$C$70)+AJ186</f>
        <v>48275.7231285507</v>
      </c>
      <c r="AK200" s="65" t="n">
        <f aca="false">AK185-AK156*(1-Inputs!$C$70)+AK186</f>
        <v>-8358.84669144924</v>
      </c>
      <c r="AL200" s="65" t="n">
        <f aca="false">AL185-AL156*(1-Inputs!$C$70)+AL186</f>
        <v>114931.674508551</v>
      </c>
      <c r="AM200" s="65" t="n">
        <f aca="false">AM185-AM156*(1-Inputs!$C$70)+AM186</f>
        <v>-90076.6072000558</v>
      </c>
      <c r="AN200" s="65" t="n">
        <f aca="false">AN185-AN156*(1-Inputs!$C$70)+AN186</f>
        <v>67433.3511349443</v>
      </c>
      <c r="AO200" s="65" t="n">
        <f aca="false">AO185-AO156*(1-Inputs!$C$70)+AO186</f>
        <v>67433.3511349443</v>
      </c>
      <c r="AP200" s="65" t="n">
        <f aca="false">AP185-AP156*(1-Inputs!$C$70)+AP186</f>
        <v>67433.3511349443</v>
      </c>
      <c r="AQ200" s="65" t="n">
        <f aca="false">AQ185-AQ156*(1-Inputs!$C$70)+AQ186</f>
        <v>67433.3511349443</v>
      </c>
      <c r="AR200" s="65" t="n">
        <f aca="false">AR185-AR156*(1-Inputs!$C$70)+AR186</f>
        <v>67433.3511349443</v>
      </c>
      <c r="AS200" s="65" t="n">
        <f aca="false">AS185-AS156*(1-Inputs!$C$70)+AS186</f>
        <v>67433.3511349443</v>
      </c>
      <c r="AT200" s="65" t="n">
        <f aca="false">AT185-AT156*(1-Inputs!$C$70)+AT186</f>
        <v>67433.3511349443</v>
      </c>
      <c r="AU200" s="65" t="n">
        <f aca="false">AU185-AU156*(1-Inputs!$C$70)+AU186</f>
        <v>67433.3511349443</v>
      </c>
      <c r="AV200" s="65" t="n">
        <f aca="false">AV185-AV156*(1-Inputs!$C$70)+AV186</f>
        <v>67433.3511349443</v>
      </c>
      <c r="AW200" s="65" t="n">
        <f aca="false">AW185-AW156*(1-Inputs!$C$70)+AW186</f>
        <v>-4519.76538555576</v>
      </c>
      <c r="AX200" s="65" t="n">
        <f aca="false">AX185-AX156*(1-Inputs!$C$70)+AX186</f>
        <v>152675.649144444</v>
      </c>
      <c r="AY200" s="65" t="n">
        <f aca="false">AY185-AY156*(1-Inputs!$C$70)+AY186</f>
        <v>-61084.4118296478</v>
      </c>
      <c r="AZ200" s="65" t="n">
        <f aca="false">AZ185-AZ156*(1-Inputs!$C$70)+AZ186</f>
        <v>88858.8231595497</v>
      </c>
      <c r="BA200" s="65" t="n">
        <f aca="false">BA185-BA156*(1-Inputs!$C$70)+BA186</f>
        <v>88858.8231595496</v>
      </c>
      <c r="BB200" s="65" t="n">
        <f aca="false">BB185-BB156*(1-Inputs!$C$70)+BB186</f>
        <v>88858.8231595497</v>
      </c>
      <c r="BC200" s="65" t="n">
        <f aca="false">BC185-BC156*(1-Inputs!$C$70)+BC186</f>
        <v>88858.8231595497</v>
      </c>
      <c r="BD200" s="65" t="n">
        <f aca="false">BD185-BD156*(1-Inputs!$C$70)+BD186</f>
        <v>88858.8231595497</v>
      </c>
      <c r="BE200" s="65" t="n">
        <f aca="false">BE185-BE156*(1-Inputs!$C$70)+BE186</f>
        <v>88858.8231595497</v>
      </c>
      <c r="BF200" s="65" t="n">
        <f aca="false">BF185-BF156*(1-Inputs!$C$70)+BF186</f>
        <v>88858.8231595497</v>
      </c>
      <c r="BG200" s="65" t="n">
        <f aca="false">BG185-BG156*(1-Inputs!$C$70)+BG186</f>
        <v>88858.8231595497</v>
      </c>
      <c r="BH200" s="65" t="n">
        <f aca="false">BH185-BH156*(1-Inputs!$C$70)+BH186</f>
        <v>88858.8231595497</v>
      </c>
      <c r="BI200" s="65" t="n">
        <f aca="false">BI185-BI156*(1-Inputs!$C$70)+BI186</f>
        <v>-1483.98221032149</v>
      </c>
      <c r="BJ200" s="65" t="n">
        <f aca="false">BJ185-BJ156*(1-Inputs!$C$70)+BJ186</f>
        <v>196076.969122204</v>
      </c>
    </row>
    <row r="202" customFormat="false" ht="15.75" hidden="false" customHeight="true" outlineLevel="0" collapsed="false">
      <c r="A202" s="7" t="s">
        <v>440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customFormat="false" ht="15" hidden="false" customHeight="false" outlineLevel="0" collapsed="false">
      <c r="A203" s="6" t="s">
        <v>97</v>
      </c>
      <c r="C203" s="65" t="n">
        <f aca="false">C187</f>
        <v>1500000</v>
      </c>
      <c r="D203" s="65" t="n">
        <f aca="false">C203+D187</f>
        <v>1500000</v>
      </c>
      <c r="E203" s="65" t="n">
        <f aca="false">D203+E187</f>
        <v>1500000</v>
      </c>
      <c r="F203" s="65" t="n">
        <f aca="false">E203+F187</f>
        <v>1500000</v>
      </c>
      <c r="G203" s="65" t="n">
        <f aca="false">F203+G187</f>
        <v>1500000</v>
      </c>
      <c r="H203" s="65" t="n">
        <f aca="false">G203+H187</f>
        <v>1500000</v>
      </c>
      <c r="I203" s="65" t="n">
        <f aca="false">H203+I187</f>
        <v>1500000</v>
      </c>
      <c r="J203" s="65" t="n">
        <f aca="false">I203+J187</f>
        <v>1500000</v>
      </c>
      <c r="K203" s="65" t="n">
        <f aca="false">J203+K187</f>
        <v>1500000</v>
      </c>
      <c r="L203" s="65" t="n">
        <f aca="false">K203+L187</f>
        <v>1500000</v>
      </c>
      <c r="M203" s="65" t="n">
        <f aca="false">L203+M187</f>
        <v>1500000</v>
      </c>
      <c r="N203" s="65" t="n">
        <f aca="false">M203+N187</f>
        <v>1500000</v>
      </c>
      <c r="O203" s="65" t="n">
        <f aca="false">N203+O187</f>
        <v>1500000</v>
      </c>
      <c r="P203" s="65" t="n">
        <f aca="false">O203+P187</f>
        <v>1500000</v>
      </c>
      <c r="Q203" s="65" t="n">
        <f aca="false">P203+Q187</f>
        <v>1500000</v>
      </c>
      <c r="R203" s="65" t="n">
        <f aca="false">Q203+R187</f>
        <v>1500000</v>
      </c>
      <c r="S203" s="65" t="n">
        <f aca="false">R203+S187</f>
        <v>1500000</v>
      </c>
      <c r="T203" s="65" t="n">
        <f aca="false">S203+T187</f>
        <v>1500000</v>
      </c>
      <c r="U203" s="65" t="n">
        <f aca="false">T203+U187</f>
        <v>1500000</v>
      </c>
      <c r="V203" s="65" t="n">
        <f aca="false">U203+V187</f>
        <v>1500000</v>
      </c>
      <c r="W203" s="65" t="n">
        <f aca="false">V203+W187</f>
        <v>1500000</v>
      </c>
      <c r="X203" s="65" t="n">
        <f aca="false">W203+X187</f>
        <v>1500000</v>
      </c>
      <c r="Y203" s="65" t="n">
        <f aca="false">X203+Y187</f>
        <v>1500000</v>
      </c>
      <c r="Z203" s="65" t="n">
        <f aca="false">Y203+Z187</f>
        <v>1500000</v>
      </c>
      <c r="AA203" s="65" t="n">
        <f aca="false">Z203+AA187</f>
        <v>1500000</v>
      </c>
      <c r="AB203" s="65" t="n">
        <f aca="false">AA203+AB187</f>
        <v>1500000</v>
      </c>
      <c r="AC203" s="65" t="n">
        <f aca="false">AB203+AC187</f>
        <v>1500000</v>
      </c>
      <c r="AD203" s="65" t="n">
        <f aca="false">AC203+AD187</f>
        <v>1500000</v>
      </c>
      <c r="AE203" s="65" t="n">
        <f aca="false">AD203+AE187</f>
        <v>1500000</v>
      </c>
      <c r="AF203" s="65" t="n">
        <f aca="false">AE203+AF187</f>
        <v>1500000</v>
      </c>
      <c r="AG203" s="65" t="n">
        <f aca="false">AF203+AG187</f>
        <v>1500000</v>
      </c>
      <c r="AH203" s="65" t="n">
        <f aca="false">AG203+AH187</f>
        <v>1500000</v>
      </c>
      <c r="AI203" s="65" t="n">
        <f aca="false">AH203+AI187</f>
        <v>1500000</v>
      </c>
      <c r="AJ203" s="65" t="n">
        <f aca="false">AI203+AJ187</f>
        <v>1500000</v>
      </c>
      <c r="AK203" s="65" t="n">
        <f aca="false">AJ203+AK187</f>
        <v>1500000</v>
      </c>
      <c r="AL203" s="65" t="n">
        <f aca="false">AK203+AL187</f>
        <v>1500000</v>
      </c>
      <c r="AM203" s="65" t="n">
        <f aca="false">AL203+AM187</f>
        <v>1500000</v>
      </c>
      <c r="AN203" s="65" t="n">
        <f aca="false">AM203+AN187</f>
        <v>1500000</v>
      </c>
      <c r="AO203" s="65" t="n">
        <f aca="false">AN203+AO187</f>
        <v>1500000</v>
      </c>
      <c r="AP203" s="65" t="n">
        <f aca="false">AO203+AP187</f>
        <v>1500000</v>
      </c>
      <c r="AQ203" s="65" t="n">
        <f aca="false">AP203+AQ187</f>
        <v>1500000</v>
      </c>
      <c r="AR203" s="65" t="n">
        <f aca="false">AQ203+AR187</f>
        <v>1500000</v>
      </c>
      <c r="AS203" s="65" t="n">
        <f aca="false">AR203+AS187</f>
        <v>1500000</v>
      </c>
      <c r="AT203" s="65" t="n">
        <f aca="false">AS203+AT187</f>
        <v>1500000</v>
      </c>
      <c r="AU203" s="65" t="n">
        <f aca="false">AT203+AU187</f>
        <v>1500000</v>
      </c>
      <c r="AV203" s="65" t="n">
        <f aca="false">AU203+AV187</f>
        <v>1500000</v>
      </c>
      <c r="AW203" s="65" t="n">
        <f aca="false">AV203+AW187</f>
        <v>1500000</v>
      </c>
      <c r="AX203" s="65" t="n">
        <f aca="false">AW203+AX187</f>
        <v>1500000</v>
      </c>
      <c r="AY203" s="65" t="n">
        <f aca="false">AX203+AY187</f>
        <v>1500000</v>
      </c>
      <c r="AZ203" s="65" t="n">
        <f aca="false">AY203+AZ187</f>
        <v>1500000</v>
      </c>
      <c r="BA203" s="65" t="n">
        <f aca="false">AZ203+BA187</f>
        <v>1500000</v>
      </c>
      <c r="BB203" s="65" t="n">
        <f aca="false">BA203+BB187</f>
        <v>1500000</v>
      </c>
      <c r="BC203" s="65" t="n">
        <f aca="false">BB203+BC187</f>
        <v>1500000</v>
      </c>
      <c r="BD203" s="65" t="n">
        <f aca="false">BC203+BD187</f>
        <v>1500000</v>
      </c>
      <c r="BE203" s="65" t="n">
        <f aca="false">BD203+BE187</f>
        <v>1500000</v>
      </c>
      <c r="BF203" s="65" t="n">
        <f aca="false">BE203+BF187</f>
        <v>1500000</v>
      </c>
      <c r="BG203" s="65" t="n">
        <f aca="false">BF203+BG187</f>
        <v>1500000</v>
      </c>
      <c r="BH203" s="65" t="n">
        <f aca="false">BG203+BH187</f>
        <v>1500000</v>
      </c>
      <c r="BI203" s="65" t="n">
        <f aca="false">BH203+BI187</f>
        <v>1500000</v>
      </c>
      <c r="BJ203" s="65" t="n">
        <f aca="false">BI203+BJ187</f>
        <v>1500000</v>
      </c>
    </row>
    <row r="204" customFormat="false" ht="15" hidden="false" customHeight="false" outlineLevel="0" collapsed="false">
      <c r="A204" s="6" t="s">
        <v>98</v>
      </c>
      <c r="C204" s="65" t="n">
        <f aca="false">C161</f>
        <v>8801.23294047617</v>
      </c>
      <c r="D204" s="65" t="n">
        <f aca="false">C204+D161</f>
        <v>17624.4103253968</v>
      </c>
      <c r="E204" s="65" t="n">
        <f aca="false">D204+E161</f>
        <v>26491.4765992063</v>
      </c>
      <c r="F204" s="65" t="n">
        <f aca="false">E204+F161</f>
        <v>35402.4317619047</v>
      </c>
      <c r="G204" s="65" t="n">
        <f aca="false">F204+G161</f>
        <v>44357.275813492</v>
      </c>
      <c r="H204" s="65" t="n">
        <f aca="false">G204+H161</f>
        <v>53356.0087539681</v>
      </c>
      <c r="I204" s="65" t="n">
        <f aca="false">H204+I161</f>
        <v>62398.6305833332</v>
      </c>
      <c r="J204" s="65" t="n">
        <f aca="false">I204+J161</f>
        <v>71485.1413015871</v>
      </c>
      <c r="K204" s="65" t="n">
        <f aca="false">J204+K161</f>
        <v>80615.54090873</v>
      </c>
      <c r="L204" s="65" t="n">
        <f aca="false">K204+L161</f>
        <v>89789.8294047617</v>
      </c>
      <c r="M204" s="65" t="n">
        <f aca="false">L204+M161</f>
        <v>136061.416289682</v>
      </c>
      <c r="N204" s="65" t="n">
        <f aca="false">M204+N161</f>
        <v>182376.892063492</v>
      </c>
      <c r="O204" s="65" t="n">
        <f aca="false">N204+O161</f>
        <v>205381.965475595</v>
      </c>
      <c r="P204" s="65" t="n">
        <f aca="false">O204+P161</f>
        <v>228430.927776587</v>
      </c>
      <c r="Q204" s="65" t="n">
        <f aca="false">P204+Q161</f>
        <v>251523.778966468</v>
      </c>
      <c r="R204" s="65" t="n">
        <f aca="false">Q204+R161</f>
        <v>274660.519045238</v>
      </c>
      <c r="S204" s="65" t="n">
        <f aca="false">R204+S161</f>
        <v>297841.148012897</v>
      </c>
      <c r="T204" s="65" t="n">
        <f aca="false">S204+T161</f>
        <v>321065.665869445</v>
      </c>
      <c r="U204" s="65" t="n">
        <f aca="false">T204+U161</f>
        <v>344334.072614881</v>
      </c>
      <c r="V204" s="65" t="n">
        <f aca="false">U204+V161</f>
        <v>367646.368249206</v>
      </c>
      <c r="W204" s="65" t="n">
        <f aca="false">V204+W161</f>
        <v>391002.552772421</v>
      </c>
      <c r="X204" s="65" t="n">
        <f aca="false">W204+X161</f>
        <v>414402.626184524</v>
      </c>
      <c r="Y204" s="65" t="n">
        <f aca="false">X204+Y161</f>
        <v>488618.974060516</v>
      </c>
      <c r="Z204" s="65" t="n">
        <f aca="false">Y204+Z161</f>
        <v>562879.210825397</v>
      </c>
      <c r="AA204" s="65" t="n">
        <f aca="false">Z204+AA161</f>
        <v>601814.894271408</v>
      </c>
      <c r="AB204" s="65" t="n">
        <f aca="false">AA204+AB161</f>
        <v>640794.466606308</v>
      </c>
      <c r="AC204" s="65" t="n">
        <f aca="false">AB204+AC161</f>
        <v>679817.927830097</v>
      </c>
      <c r="AD204" s="65" t="n">
        <f aca="false">AC204+AD161</f>
        <v>718885.277942774</v>
      </c>
      <c r="AE204" s="65" t="n">
        <f aca="false">AD204+AE161</f>
        <v>757996.516944341</v>
      </c>
      <c r="AF204" s="65" t="n">
        <f aca="false">AE204+AF161</f>
        <v>797151.644834796</v>
      </c>
      <c r="AG204" s="65" t="n">
        <f aca="false">AF204+AG161</f>
        <v>836350.661614141</v>
      </c>
      <c r="AH204" s="65" t="n">
        <f aca="false">AG204+AH161</f>
        <v>875593.567282374</v>
      </c>
      <c r="AI204" s="65" t="n">
        <f aca="false">AH204+AI161</f>
        <v>914880.361839496</v>
      </c>
      <c r="AJ204" s="65" t="n">
        <f aca="false">AI204+AJ161</f>
        <v>954211.045285507</v>
      </c>
      <c r="AK204" s="65" t="n">
        <f aca="false">AJ204+AK161</f>
        <v>1060241.56900041</v>
      </c>
      <c r="AL204" s="65" t="n">
        <f aca="false">AK204+AL161</f>
        <v>1166315.9816042</v>
      </c>
      <c r="AM204" s="65" t="n">
        <f aca="false">AL204+AM161</f>
        <v>1223150.24543755</v>
      </c>
      <c r="AN204" s="65" t="n">
        <f aca="false">AM204+AN161</f>
        <v>1280028.3981598</v>
      </c>
      <c r="AO204" s="65" t="n">
        <f aca="false">AN204+AO161</f>
        <v>1336950.43977093</v>
      </c>
      <c r="AP204" s="65" t="n">
        <f aca="false">AO204+AP161</f>
        <v>1393916.37027096</v>
      </c>
      <c r="AQ204" s="65" t="n">
        <f aca="false">AP204+AQ161</f>
        <v>1450926.18965987</v>
      </c>
      <c r="AR204" s="65" t="n">
        <f aca="false">AQ204+AR161</f>
        <v>1507979.89793767</v>
      </c>
      <c r="AS204" s="65" t="n">
        <f aca="false">AR204+AS161</f>
        <v>1565077.49510436</v>
      </c>
      <c r="AT204" s="65" t="n">
        <f aca="false">AS204+AT161</f>
        <v>1622218.98115994</v>
      </c>
      <c r="AU204" s="65" t="n">
        <f aca="false">AT204+AU161</f>
        <v>1679404.35610441</v>
      </c>
      <c r="AV204" s="65" t="n">
        <f aca="false">AU204+AV161</f>
        <v>1736633.61993777</v>
      </c>
      <c r="AW204" s="65" t="n">
        <f aca="false">AV204+AW161</f>
        <v>1879149.07066951</v>
      </c>
      <c r="AX204" s="65" t="n">
        <f aca="false">AW204+AX161</f>
        <v>2021708.41029015</v>
      </c>
      <c r="AY204" s="65" t="n">
        <f aca="false">AX204+AY161</f>
        <v>2098709.09852906</v>
      </c>
      <c r="AZ204" s="65" t="n">
        <f aca="false">AY204+AZ161</f>
        <v>2175753.67565686</v>
      </c>
      <c r="BA204" s="65" t="n">
        <f aca="false">AZ204+BA161</f>
        <v>2252842.14167356</v>
      </c>
      <c r="BB204" s="65" t="n">
        <f aca="false">BA204+BB161</f>
        <v>2329974.49657914</v>
      </c>
      <c r="BC204" s="65" t="n">
        <f aca="false">BB204+BC161</f>
        <v>2407150.74037361</v>
      </c>
      <c r="BD204" s="65" t="n">
        <f aca="false">BC204+BD161</f>
        <v>2484370.87305697</v>
      </c>
      <c r="BE204" s="65" t="n">
        <f aca="false">BD204+BE161</f>
        <v>2561634.89462922</v>
      </c>
      <c r="BF204" s="65" t="n">
        <f aca="false">BE204+BF161</f>
        <v>2638942.80509035</v>
      </c>
      <c r="BG204" s="65" t="n">
        <f aca="false">BF204+BG161</f>
        <v>2716294.60444038</v>
      </c>
      <c r="BH204" s="65" t="n">
        <f aca="false">BG204+BH161</f>
        <v>2793690.29267929</v>
      </c>
      <c r="BI204" s="65" t="n">
        <f aca="false">BH204+BI161</f>
        <v>2978348.01576975</v>
      </c>
      <c r="BJ204" s="65" t="n">
        <f aca="false">BI204+BJ161</f>
        <v>3163049.6277491</v>
      </c>
    </row>
    <row r="205" customFormat="false" ht="15" hidden="false" customHeight="false" outlineLevel="0" collapsed="false">
      <c r="A205" s="4" t="s">
        <v>93</v>
      </c>
      <c r="C205" s="71" t="n">
        <f aca="false">C191+C177+C178+C168</f>
        <v>2194799.10294048</v>
      </c>
      <c r="D205" s="71" t="n">
        <f aca="false">D191+D177+D178+D168</f>
        <v>2195288.94699206</v>
      </c>
      <c r="E205" s="71" t="n">
        <f aca="false">E191+E177+E178+E168</f>
        <v>2195822.67993254</v>
      </c>
      <c r="F205" s="71" t="n">
        <f aca="false">F191+F177+F178+F168</f>
        <v>2196400.3017619</v>
      </c>
      <c r="G205" s="71" t="n">
        <f aca="false">G191+G177+G178+G168</f>
        <v>2197021.81248016</v>
      </c>
      <c r="H205" s="71" t="n">
        <f aca="false">H191+H177+H178+H168</f>
        <v>2197687.2120873</v>
      </c>
      <c r="I205" s="71" t="n">
        <f aca="false">I191+I177+I178+I168</f>
        <v>2198396.50058333</v>
      </c>
      <c r="J205" s="71" t="n">
        <f aca="false">J191+J177+J178+J168</f>
        <v>2199149.67796825</v>
      </c>
      <c r="K205" s="71" t="n">
        <f aca="false">K191+K177+K178+K168</f>
        <v>2199946.74424206</v>
      </c>
      <c r="L205" s="71" t="n">
        <f aca="false">L191+L177+L178+L168</f>
        <v>2200787.69940476</v>
      </c>
      <c r="M205" s="71" t="n">
        <f aca="false">M191+M177+M178+M168</f>
        <v>2280876.73295635</v>
      </c>
      <c r="N205" s="71" t="n">
        <f aca="false">N191+N177+N178+N168</f>
        <v>2318858.87539683</v>
      </c>
      <c r="O205" s="71" t="n">
        <f aca="false">O191+O177+O178+O168</f>
        <v>2347150.8059756</v>
      </c>
      <c r="P205" s="71" t="n">
        <f aca="false">P191+P177+P178+P168</f>
        <v>2361866.43494325</v>
      </c>
      <c r="Q205" s="71" t="n">
        <f aca="false">Q191+Q177+Q178+Q168</f>
        <v>2376625.9527998</v>
      </c>
      <c r="R205" s="71" t="n">
        <f aca="false">R191+R177+R178+R168</f>
        <v>2391429.35954524</v>
      </c>
      <c r="S205" s="71" t="n">
        <f aca="false">S191+S177+S178+S168</f>
        <v>2406276.65517956</v>
      </c>
      <c r="T205" s="71" t="n">
        <f aca="false">T191+T177+T178+T168</f>
        <v>2421167.83970278</v>
      </c>
      <c r="U205" s="71" t="n">
        <f aca="false">U191+U177+U178+U168</f>
        <v>2436102.91311488</v>
      </c>
      <c r="V205" s="71" t="n">
        <f aca="false">V191+V177+V178+V168</f>
        <v>2451081.87541587</v>
      </c>
      <c r="W205" s="71" t="n">
        <f aca="false">W191+W177+W178+W168</f>
        <v>2466104.72660575</v>
      </c>
      <c r="X205" s="71" t="n">
        <f aca="false">X191+X177+X178+X168</f>
        <v>2481171.46668452</v>
      </c>
      <c r="Y205" s="71" t="n">
        <f aca="false">Y191+Y177+Y178+Y168</f>
        <v>2604049.88822718</v>
      </c>
      <c r="Z205" s="71" t="n">
        <f aca="false">Z191+Z177+Z178+Z168</f>
        <v>2669976.79165873</v>
      </c>
      <c r="AA205" s="71" t="n">
        <f aca="false">AA191+AA177+AA178+AA168</f>
        <v>2709661.97147141</v>
      </c>
      <c r="AB205" s="71" t="n">
        <f aca="false">AB191+AB177+AB178+AB168</f>
        <v>2740308.21047297</v>
      </c>
      <c r="AC205" s="71" t="n">
        <f aca="false">AC191+AC177+AC178+AC168</f>
        <v>2770998.33836343</v>
      </c>
      <c r="AD205" s="71" t="n">
        <f aca="false">AD191+AD177+AD178+AD168</f>
        <v>2801732.35514277</v>
      </c>
      <c r="AE205" s="71" t="n">
        <f aca="false">AE191+AE177+AE178+AE168</f>
        <v>2832510.26081101</v>
      </c>
      <c r="AF205" s="71" t="n">
        <f aca="false">AF191+AF177+AF178+AF168</f>
        <v>2863332.05536813</v>
      </c>
      <c r="AG205" s="71" t="n">
        <f aca="false">AG191+AG177+AG178+AG168</f>
        <v>2894197.73881414</v>
      </c>
      <c r="AH205" s="71" t="n">
        <f aca="false">AH191+AH177+AH178+AH168</f>
        <v>2925107.31114904</v>
      </c>
      <c r="AI205" s="71" t="n">
        <f aca="false">AI191+AI177+AI178+AI168</f>
        <v>2956060.77237283</v>
      </c>
      <c r="AJ205" s="71" t="n">
        <f aca="false">AJ191+AJ177+AJ178+AJ168</f>
        <v>2987058.12248551</v>
      </c>
      <c r="AK205" s="71" t="n">
        <f aca="false">AK191+AK177+AK178+AK168</f>
        <v>3159083.56966707</v>
      </c>
      <c r="AL205" s="71" t="n">
        <f aca="false">AL191+AL177+AL178+AL168</f>
        <v>3256824.64893753</v>
      </c>
      <c r="AM205" s="71" t="n">
        <f aca="false">AM191+AM177+AM178+AM168</f>
        <v>3309853.11412755</v>
      </c>
      <c r="AN205" s="71" t="n">
        <f aca="false">AN191+AN177+AN178+AN168</f>
        <v>3358397.93351647</v>
      </c>
      <c r="AO205" s="71" t="n">
        <f aca="false">AO191+AO177+AO178+AO168</f>
        <v>3406986.64179427</v>
      </c>
      <c r="AP205" s="71" t="n">
        <f aca="false">AP191+AP177+AP178+AP168</f>
        <v>3455619.23896096</v>
      </c>
      <c r="AQ205" s="71" t="n">
        <f aca="false">AQ191+AQ177+AQ178+AQ168</f>
        <v>3504295.72501654</v>
      </c>
      <c r="AR205" s="71" t="n">
        <f aca="false">AR191+AR177+AR178+AR168</f>
        <v>3553016.099961</v>
      </c>
      <c r="AS205" s="71" t="n">
        <f aca="false">AS191+AS177+AS178+AS168</f>
        <v>3601780.36379436</v>
      </c>
      <c r="AT205" s="71" t="n">
        <f aca="false">AT191+AT177+AT178+AT168</f>
        <v>3650588.51651661</v>
      </c>
      <c r="AU205" s="71" t="n">
        <f aca="false">AU191+AU177+AU178+AU168</f>
        <v>3699440.55812774</v>
      </c>
      <c r="AV205" s="71" t="n">
        <f aca="false">AV191+AV177+AV178+AV168</f>
        <v>3748336.48862777</v>
      </c>
      <c r="AW205" s="71" t="n">
        <f aca="false">AW191+AW177+AW178+AW168</f>
        <v>3977287.13344618</v>
      </c>
      <c r="AX205" s="71" t="n">
        <f aca="false">AX191+AX177+AX178+AX168</f>
        <v>4111513.13973348</v>
      </c>
      <c r="AY205" s="71" t="n">
        <f aca="false">AY191+AY177+AY178+AY168</f>
        <v>4180146.27267083</v>
      </c>
      <c r="AZ205" s="71" t="n">
        <f aca="false">AZ191+AZ177+AZ178+AZ168</f>
        <v>4248857.5164653</v>
      </c>
      <c r="BA205" s="71" t="n">
        <f aca="false">BA191+BA177+BA178+BA168</f>
        <v>4317612.64914866</v>
      </c>
      <c r="BB205" s="71" t="n">
        <f aca="false">BB191+BB177+BB178+BB168</f>
        <v>4386411.6707209</v>
      </c>
      <c r="BC205" s="71" t="n">
        <f aca="false">BC191+BC177+BC178+BC168</f>
        <v>4455254.58118204</v>
      </c>
      <c r="BD205" s="71" t="n">
        <f aca="false">BD191+BD177+BD178+BD168</f>
        <v>4524141.38053207</v>
      </c>
      <c r="BE205" s="71" t="n">
        <f aca="false">BE191+BE177+BE178+BE168</f>
        <v>4593072.06877098</v>
      </c>
      <c r="BF205" s="71" t="n">
        <f aca="false">BF191+BF177+BF178+BF168</f>
        <v>4662046.64589879</v>
      </c>
      <c r="BG205" s="71" t="n">
        <f aca="false">BG191+BG177+BG178+BG168</f>
        <v>4731065.11191548</v>
      </c>
      <c r="BH205" s="71" t="n">
        <f aca="false">BH191+BH177+BH178+BH168</f>
        <v>4800127.46682106</v>
      </c>
      <c r="BI205" s="71" t="n">
        <f aca="false">BI191+BI177+BI178+BI168</f>
        <v>5095555.58800353</v>
      </c>
      <c r="BJ205" s="71" t="n">
        <f aca="false">BJ191+BJ177+BJ178+BJ168</f>
        <v>5271923.86664955</v>
      </c>
    </row>
    <row r="206" customFormat="false" ht="15" hidden="false" customHeight="false" outlineLevel="0" collapsed="false">
      <c r="A206" s="6" t="s">
        <v>96</v>
      </c>
      <c r="C206" s="65" t="n">
        <f aca="false">C179+C174</f>
        <v>685997.87</v>
      </c>
      <c r="D206" s="65" t="n">
        <f aca="false">D179+D174</f>
        <v>677664.536666667</v>
      </c>
      <c r="E206" s="65" t="n">
        <f aca="false">E179+E174</f>
        <v>669331.203333333</v>
      </c>
      <c r="F206" s="65" t="n">
        <f aca="false">F179+F174</f>
        <v>660997.87</v>
      </c>
      <c r="G206" s="65" t="n">
        <f aca="false">G179+G174</f>
        <v>652664.536666667</v>
      </c>
      <c r="H206" s="65" t="n">
        <f aca="false">H179+H174</f>
        <v>644331.203333333</v>
      </c>
      <c r="I206" s="65" t="n">
        <f aca="false">I179+I174</f>
        <v>635997.87</v>
      </c>
      <c r="J206" s="65" t="n">
        <f aca="false">J179+J174</f>
        <v>627664.536666667</v>
      </c>
      <c r="K206" s="65" t="n">
        <f aca="false">K179+K174</f>
        <v>619331.203333334</v>
      </c>
      <c r="L206" s="65" t="n">
        <f aca="false">L179+L174</f>
        <v>610997.87</v>
      </c>
      <c r="M206" s="65" t="n">
        <f aca="false">M179+M174</f>
        <v>644815.316666667</v>
      </c>
      <c r="N206" s="65" t="n">
        <f aca="false">N179+N174</f>
        <v>636481.983333334</v>
      </c>
      <c r="O206" s="65" t="n">
        <f aca="false">O179+O174</f>
        <v>641768.8405</v>
      </c>
      <c r="P206" s="65" t="n">
        <f aca="false">P179+P174</f>
        <v>633435.507166667</v>
      </c>
      <c r="Q206" s="65" t="n">
        <f aca="false">Q179+Q174</f>
        <v>625102.173833334</v>
      </c>
      <c r="R206" s="65" t="n">
        <f aca="false">R179+R174</f>
        <v>616768.8405</v>
      </c>
      <c r="S206" s="65" t="n">
        <f aca="false">S179+S174</f>
        <v>608435.507166667</v>
      </c>
      <c r="T206" s="65" t="n">
        <f aca="false">T179+T174</f>
        <v>600102.173833334</v>
      </c>
      <c r="U206" s="65" t="n">
        <f aca="false">U179+U174</f>
        <v>591768.8405</v>
      </c>
      <c r="V206" s="65" t="n">
        <f aca="false">V179+V174</f>
        <v>583435.507166667</v>
      </c>
      <c r="W206" s="65" t="n">
        <f aca="false">W179+W174</f>
        <v>575102.173833334</v>
      </c>
      <c r="X206" s="65" t="n">
        <f aca="false">X179+X174</f>
        <v>566768.8405</v>
      </c>
      <c r="Y206" s="65" t="n">
        <f aca="false">Y179+Y174</f>
        <v>615430.914166667</v>
      </c>
      <c r="Z206" s="65" t="n">
        <f aca="false">Z179+Z174</f>
        <v>607097.580833334</v>
      </c>
      <c r="AA206" s="65" t="n">
        <f aca="false">AA179+AA174</f>
        <v>607847.0772</v>
      </c>
      <c r="AB206" s="65" t="n">
        <f aca="false">AB179+AB174</f>
        <v>599513.743866667</v>
      </c>
      <c r="AC206" s="65" t="n">
        <f aca="false">AC179+AC174</f>
        <v>591180.410533334</v>
      </c>
      <c r="AD206" s="65" t="n">
        <f aca="false">AD179+AD174</f>
        <v>582847.077200001</v>
      </c>
      <c r="AE206" s="65" t="n">
        <f aca="false">AE179+AE174</f>
        <v>574513.743866667</v>
      </c>
      <c r="AF206" s="65" t="n">
        <f aca="false">AF179+AF174</f>
        <v>566180.410533334</v>
      </c>
      <c r="AG206" s="65" t="n">
        <f aca="false">AG179+AG174</f>
        <v>557847.077200001</v>
      </c>
      <c r="AH206" s="65" t="n">
        <f aca="false">AH179+AH174</f>
        <v>549513.743866667</v>
      </c>
      <c r="AI206" s="65" t="n">
        <f aca="false">AI179+AI174</f>
        <v>541180.410533334</v>
      </c>
      <c r="AJ206" s="65" t="n">
        <f aca="false">AJ179+AJ174</f>
        <v>532847.077200001</v>
      </c>
      <c r="AK206" s="65" t="n">
        <f aca="false">AK179+AK174</f>
        <v>598842.000666667</v>
      </c>
      <c r="AL206" s="65" t="n">
        <f aca="false">AL179+AL174</f>
        <v>590508.667333334</v>
      </c>
      <c r="AM206" s="65" t="n">
        <f aca="false">AM179+AM174</f>
        <v>586702.868690001</v>
      </c>
      <c r="AN206" s="65" t="n">
        <f aca="false">AN179+AN174</f>
        <v>578369.535356667</v>
      </c>
      <c r="AO206" s="65" t="n">
        <f aca="false">AO179+AO174</f>
        <v>570036.202023334</v>
      </c>
      <c r="AP206" s="65" t="n">
        <f aca="false">AP179+AP174</f>
        <v>561702.868690001</v>
      </c>
      <c r="AQ206" s="65" t="n">
        <f aca="false">AQ179+AQ174</f>
        <v>553369.535356667</v>
      </c>
      <c r="AR206" s="65" t="n">
        <f aca="false">AR179+AR174</f>
        <v>545036.202023334</v>
      </c>
      <c r="AS206" s="65" t="n">
        <f aca="false">AS179+AS174</f>
        <v>536702.86869</v>
      </c>
      <c r="AT206" s="65" t="n">
        <f aca="false">AT179+AT174</f>
        <v>528369.535356667</v>
      </c>
      <c r="AU206" s="65" t="n">
        <f aca="false">AU179+AU174</f>
        <v>520036.202023334</v>
      </c>
      <c r="AV206" s="65" t="n">
        <f aca="false">AV179+AV174</f>
        <v>511702.86869</v>
      </c>
      <c r="AW206" s="65" t="n">
        <f aca="false">AW179+AW174</f>
        <v>598138.062776667</v>
      </c>
      <c r="AX206" s="65" t="n">
        <f aca="false">AX179+AX174</f>
        <v>589804.729443334</v>
      </c>
      <c r="AY206" s="65" t="n">
        <f aca="false">AY179+AY174</f>
        <v>581437.174141765</v>
      </c>
      <c r="AZ206" s="65" t="n">
        <f aca="false">AZ179+AZ174</f>
        <v>573103.840808432</v>
      </c>
      <c r="BA206" s="65" t="n">
        <f aca="false">BA179+BA174</f>
        <v>564770.507475099</v>
      </c>
      <c r="BB206" s="65" t="n">
        <f aca="false">BB179+BB174</f>
        <v>556437.174141766</v>
      </c>
      <c r="BC206" s="65" t="n">
        <f aca="false">BC179+BC174</f>
        <v>548103.840808432</v>
      </c>
      <c r="BD206" s="65" t="n">
        <f aca="false">BD179+BD174</f>
        <v>539770.507475099</v>
      </c>
      <c r="BE206" s="65" t="n">
        <f aca="false">BE179+BE174</f>
        <v>531437.174141766</v>
      </c>
      <c r="BF206" s="65" t="n">
        <f aca="false">BF179+BF174</f>
        <v>523103.840808432</v>
      </c>
      <c r="BG206" s="65" t="n">
        <f aca="false">BG179+BG174</f>
        <v>514770.507475099</v>
      </c>
      <c r="BH206" s="65" t="n">
        <f aca="false">BH179+BH174</f>
        <v>506437.174141765</v>
      </c>
      <c r="BI206" s="65" t="n">
        <f aca="false">BI179+BI174</f>
        <v>617207.572233782</v>
      </c>
      <c r="BJ206" s="65" t="n">
        <f aca="false">BJ179+BJ174</f>
        <v>608874.238900449</v>
      </c>
    </row>
    <row r="207" customFormat="false" ht="15" hidden="false" customHeight="false" outlineLevel="0" collapsed="false">
      <c r="A207" s="6" t="s">
        <v>99</v>
      </c>
      <c r="C207" s="65" t="n">
        <f aca="false">C203+C204</f>
        <v>1508801.23294048</v>
      </c>
      <c r="D207" s="65" t="n">
        <f aca="false">D203+D204</f>
        <v>1517624.4103254</v>
      </c>
      <c r="E207" s="65" t="n">
        <f aca="false">E203+E204</f>
        <v>1526491.47659921</v>
      </c>
      <c r="F207" s="65" t="n">
        <f aca="false">F203+F204</f>
        <v>1535402.4317619</v>
      </c>
      <c r="G207" s="65" t="n">
        <f aca="false">G203+G204</f>
        <v>1544357.27581349</v>
      </c>
      <c r="H207" s="65" t="n">
        <f aca="false">H203+H204</f>
        <v>1553356.00875397</v>
      </c>
      <c r="I207" s="65" t="n">
        <f aca="false">I203+I204</f>
        <v>1562398.63058333</v>
      </c>
      <c r="J207" s="65" t="n">
        <f aca="false">J203+J204</f>
        <v>1571485.14130159</v>
      </c>
      <c r="K207" s="65" t="n">
        <f aca="false">K203+K204</f>
        <v>1580615.54090873</v>
      </c>
      <c r="L207" s="65" t="n">
        <f aca="false">L203+L204</f>
        <v>1589789.82940476</v>
      </c>
      <c r="M207" s="65" t="n">
        <f aca="false">M203+M204</f>
        <v>1636061.41628968</v>
      </c>
      <c r="N207" s="65" t="n">
        <f aca="false">N203+N204</f>
        <v>1682376.89206349</v>
      </c>
      <c r="O207" s="65" t="n">
        <f aca="false">O203+O204</f>
        <v>1705381.9654756</v>
      </c>
      <c r="P207" s="65" t="n">
        <f aca="false">P203+P204</f>
        <v>1728430.92777659</v>
      </c>
      <c r="Q207" s="65" t="n">
        <f aca="false">Q203+Q204</f>
        <v>1751523.77896647</v>
      </c>
      <c r="R207" s="65" t="n">
        <f aca="false">R203+R204</f>
        <v>1774660.51904524</v>
      </c>
      <c r="S207" s="65" t="n">
        <f aca="false">S203+S204</f>
        <v>1797841.1480129</v>
      </c>
      <c r="T207" s="65" t="n">
        <f aca="false">T203+T204</f>
        <v>1821065.66586944</v>
      </c>
      <c r="U207" s="65" t="n">
        <f aca="false">U203+U204</f>
        <v>1844334.07261488</v>
      </c>
      <c r="V207" s="65" t="n">
        <f aca="false">V203+V204</f>
        <v>1867646.36824921</v>
      </c>
      <c r="W207" s="65" t="n">
        <f aca="false">W203+W204</f>
        <v>1891002.55277242</v>
      </c>
      <c r="X207" s="65" t="n">
        <f aca="false">X203+X204</f>
        <v>1914402.62618452</v>
      </c>
      <c r="Y207" s="65" t="n">
        <f aca="false">Y203+Y204</f>
        <v>1988618.97406052</v>
      </c>
      <c r="Z207" s="65" t="n">
        <f aca="false">Z203+Z204</f>
        <v>2062879.2108254</v>
      </c>
      <c r="AA207" s="65" t="n">
        <f aca="false">AA203+AA204</f>
        <v>2101814.89427141</v>
      </c>
      <c r="AB207" s="65" t="n">
        <f aca="false">AB203+AB204</f>
        <v>2140794.46660631</v>
      </c>
      <c r="AC207" s="65" t="n">
        <f aca="false">AC203+AC204</f>
        <v>2179817.9278301</v>
      </c>
      <c r="AD207" s="65" t="n">
        <f aca="false">AD203+AD204</f>
        <v>2218885.27794277</v>
      </c>
      <c r="AE207" s="65" t="n">
        <f aca="false">AE203+AE204</f>
        <v>2257996.51694434</v>
      </c>
      <c r="AF207" s="65" t="n">
        <f aca="false">AF203+AF204</f>
        <v>2297151.6448348</v>
      </c>
      <c r="AG207" s="65" t="n">
        <f aca="false">AG203+AG204</f>
        <v>2336350.66161414</v>
      </c>
      <c r="AH207" s="65" t="n">
        <f aca="false">AH203+AH204</f>
        <v>2375593.56728237</v>
      </c>
      <c r="AI207" s="65" t="n">
        <f aca="false">AI203+AI204</f>
        <v>2414880.3618395</v>
      </c>
      <c r="AJ207" s="65" t="n">
        <f aca="false">AJ203+AJ204</f>
        <v>2454211.04528551</v>
      </c>
      <c r="AK207" s="65" t="n">
        <f aca="false">AK203+AK204</f>
        <v>2560241.56900041</v>
      </c>
      <c r="AL207" s="65" t="n">
        <f aca="false">AL203+AL204</f>
        <v>2666315.9816042</v>
      </c>
      <c r="AM207" s="65" t="n">
        <f aca="false">AM203+AM204</f>
        <v>2723150.24543755</v>
      </c>
      <c r="AN207" s="65" t="n">
        <f aca="false">AN203+AN204</f>
        <v>2780028.3981598</v>
      </c>
      <c r="AO207" s="65" t="n">
        <f aca="false">AO203+AO204</f>
        <v>2836950.43977093</v>
      </c>
      <c r="AP207" s="65" t="n">
        <f aca="false">AP203+AP204</f>
        <v>2893916.37027096</v>
      </c>
      <c r="AQ207" s="65" t="n">
        <f aca="false">AQ203+AQ204</f>
        <v>2950926.18965987</v>
      </c>
      <c r="AR207" s="65" t="n">
        <f aca="false">AR203+AR204</f>
        <v>3007979.89793767</v>
      </c>
      <c r="AS207" s="65" t="n">
        <f aca="false">AS203+AS204</f>
        <v>3065077.49510436</v>
      </c>
      <c r="AT207" s="65" t="n">
        <f aca="false">AT203+AT204</f>
        <v>3122218.98115994</v>
      </c>
      <c r="AU207" s="65" t="n">
        <f aca="false">AU203+AU204</f>
        <v>3179404.35610441</v>
      </c>
      <c r="AV207" s="65" t="n">
        <f aca="false">AV203+AV204</f>
        <v>3236633.61993777</v>
      </c>
      <c r="AW207" s="65" t="n">
        <f aca="false">AW203+AW204</f>
        <v>3379149.07066951</v>
      </c>
      <c r="AX207" s="65" t="n">
        <f aca="false">AX203+AX204</f>
        <v>3521708.41029015</v>
      </c>
      <c r="AY207" s="65" t="n">
        <f aca="false">AY203+AY204</f>
        <v>3598709.09852906</v>
      </c>
      <c r="AZ207" s="65" t="n">
        <f aca="false">AZ203+AZ204</f>
        <v>3675753.67565686</v>
      </c>
      <c r="BA207" s="65" t="n">
        <f aca="false">BA203+BA204</f>
        <v>3752842.14167356</v>
      </c>
      <c r="BB207" s="65" t="n">
        <f aca="false">BB203+BB204</f>
        <v>3829974.49657914</v>
      </c>
      <c r="BC207" s="65" t="n">
        <f aca="false">BC203+BC204</f>
        <v>3907150.74037361</v>
      </c>
      <c r="BD207" s="65" t="n">
        <f aca="false">BD203+BD204</f>
        <v>3984370.87305697</v>
      </c>
      <c r="BE207" s="65" t="n">
        <f aca="false">BE203+BE204</f>
        <v>4061634.89462922</v>
      </c>
      <c r="BF207" s="65" t="n">
        <f aca="false">BF203+BF204</f>
        <v>4138942.80509035</v>
      </c>
      <c r="BG207" s="65" t="n">
        <f aca="false">BG203+BG204</f>
        <v>4216294.60444038</v>
      </c>
      <c r="BH207" s="65" t="n">
        <f aca="false">BH203+BH204</f>
        <v>4293690.29267929</v>
      </c>
      <c r="BI207" s="65" t="n">
        <f aca="false">BI203+BI204</f>
        <v>4478348.01576975</v>
      </c>
      <c r="BJ207" s="65" t="n">
        <f aca="false">BJ203+BJ204</f>
        <v>4663049.6277491</v>
      </c>
    </row>
    <row r="208" customFormat="false" ht="15" hidden="false" customHeight="false" outlineLevel="0" collapsed="false">
      <c r="A208" s="4" t="s">
        <v>100</v>
      </c>
      <c r="C208" s="71" t="n">
        <f aca="false">C206+C207</f>
        <v>2194799.10294048</v>
      </c>
      <c r="D208" s="71" t="n">
        <f aca="false">D206+D207</f>
        <v>2195288.94699206</v>
      </c>
      <c r="E208" s="71" t="n">
        <f aca="false">E206+E207</f>
        <v>2195822.67993254</v>
      </c>
      <c r="F208" s="71" t="n">
        <f aca="false">F206+F207</f>
        <v>2196400.3017619</v>
      </c>
      <c r="G208" s="71" t="n">
        <f aca="false">G206+G207</f>
        <v>2197021.81248016</v>
      </c>
      <c r="H208" s="71" t="n">
        <f aca="false">H206+H207</f>
        <v>2197687.2120873</v>
      </c>
      <c r="I208" s="71" t="n">
        <f aca="false">I206+I207</f>
        <v>2198396.50058333</v>
      </c>
      <c r="J208" s="71" t="n">
        <f aca="false">J206+J207</f>
        <v>2199149.67796825</v>
      </c>
      <c r="K208" s="71" t="n">
        <f aca="false">K206+K207</f>
        <v>2199946.74424206</v>
      </c>
      <c r="L208" s="71" t="n">
        <f aca="false">L206+L207</f>
        <v>2200787.69940476</v>
      </c>
      <c r="M208" s="71" t="n">
        <f aca="false">M206+M207</f>
        <v>2280876.73295635</v>
      </c>
      <c r="N208" s="71" t="n">
        <f aca="false">N206+N207</f>
        <v>2318858.87539683</v>
      </c>
      <c r="O208" s="71" t="n">
        <f aca="false">O206+O207</f>
        <v>2347150.8059756</v>
      </c>
      <c r="P208" s="71" t="n">
        <f aca="false">P206+P207</f>
        <v>2361866.43494325</v>
      </c>
      <c r="Q208" s="71" t="n">
        <f aca="false">Q206+Q207</f>
        <v>2376625.9527998</v>
      </c>
      <c r="R208" s="71" t="n">
        <f aca="false">R206+R207</f>
        <v>2391429.35954524</v>
      </c>
      <c r="S208" s="71" t="n">
        <f aca="false">S206+S207</f>
        <v>2406276.65517956</v>
      </c>
      <c r="T208" s="71" t="n">
        <f aca="false">T206+T207</f>
        <v>2421167.83970278</v>
      </c>
      <c r="U208" s="71" t="n">
        <f aca="false">U206+U207</f>
        <v>2436102.91311488</v>
      </c>
      <c r="V208" s="71" t="n">
        <f aca="false">V206+V207</f>
        <v>2451081.87541587</v>
      </c>
      <c r="W208" s="71" t="n">
        <f aca="false">W206+W207</f>
        <v>2466104.72660575</v>
      </c>
      <c r="X208" s="71" t="n">
        <f aca="false">X206+X207</f>
        <v>2481171.46668452</v>
      </c>
      <c r="Y208" s="71" t="n">
        <f aca="false">Y206+Y207</f>
        <v>2604049.88822718</v>
      </c>
      <c r="Z208" s="71" t="n">
        <f aca="false">Z206+Z207</f>
        <v>2669976.79165873</v>
      </c>
      <c r="AA208" s="71" t="n">
        <f aca="false">AA206+AA207</f>
        <v>2709661.97147141</v>
      </c>
      <c r="AB208" s="71" t="n">
        <f aca="false">AB206+AB207</f>
        <v>2740308.21047298</v>
      </c>
      <c r="AC208" s="71" t="n">
        <f aca="false">AC206+AC207</f>
        <v>2770998.33836343</v>
      </c>
      <c r="AD208" s="71" t="n">
        <f aca="false">AD206+AD207</f>
        <v>2801732.35514278</v>
      </c>
      <c r="AE208" s="71" t="n">
        <f aca="false">AE206+AE207</f>
        <v>2832510.26081101</v>
      </c>
      <c r="AF208" s="71" t="n">
        <f aca="false">AF206+AF207</f>
        <v>2863332.05536813</v>
      </c>
      <c r="AG208" s="71" t="n">
        <f aca="false">AG206+AG207</f>
        <v>2894197.73881414</v>
      </c>
      <c r="AH208" s="71" t="n">
        <f aca="false">AH206+AH207</f>
        <v>2925107.31114904</v>
      </c>
      <c r="AI208" s="71" t="n">
        <f aca="false">AI206+AI207</f>
        <v>2956060.77237283</v>
      </c>
      <c r="AJ208" s="71" t="n">
        <f aca="false">AJ206+AJ207</f>
        <v>2987058.12248551</v>
      </c>
      <c r="AK208" s="71" t="n">
        <f aca="false">AK206+AK207</f>
        <v>3159083.56966707</v>
      </c>
      <c r="AL208" s="71" t="n">
        <f aca="false">AL206+AL207</f>
        <v>3256824.64893753</v>
      </c>
      <c r="AM208" s="71" t="n">
        <f aca="false">AM206+AM207</f>
        <v>3309853.11412755</v>
      </c>
      <c r="AN208" s="71" t="n">
        <f aca="false">AN206+AN207</f>
        <v>3358397.93351647</v>
      </c>
      <c r="AO208" s="71" t="n">
        <f aca="false">AO206+AO207</f>
        <v>3406986.64179427</v>
      </c>
      <c r="AP208" s="71" t="n">
        <f aca="false">AP206+AP207</f>
        <v>3455619.23896096</v>
      </c>
      <c r="AQ208" s="71" t="n">
        <f aca="false">AQ206+AQ207</f>
        <v>3504295.72501654</v>
      </c>
      <c r="AR208" s="71" t="n">
        <f aca="false">AR206+AR207</f>
        <v>3553016.099961</v>
      </c>
      <c r="AS208" s="71" t="n">
        <f aca="false">AS206+AS207</f>
        <v>3601780.36379436</v>
      </c>
      <c r="AT208" s="71" t="n">
        <f aca="false">AT206+AT207</f>
        <v>3650588.51651661</v>
      </c>
      <c r="AU208" s="71" t="n">
        <f aca="false">AU206+AU207</f>
        <v>3699440.55812774</v>
      </c>
      <c r="AV208" s="71" t="n">
        <f aca="false">AV206+AV207</f>
        <v>3748336.48862777</v>
      </c>
      <c r="AW208" s="71" t="n">
        <f aca="false">AW206+AW207</f>
        <v>3977287.13344618</v>
      </c>
      <c r="AX208" s="71" t="n">
        <f aca="false">AX206+AX207</f>
        <v>4111513.13973348</v>
      </c>
      <c r="AY208" s="71" t="n">
        <f aca="false">AY206+AY207</f>
        <v>4180146.27267083</v>
      </c>
      <c r="AZ208" s="71" t="n">
        <f aca="false">AZ206+AZ207</f>
        <v>4248857.5164653</v>
      </c>
      <c r="BA208" s="71" t="n">
        <f aca="false">BA206+BA207</f>
        <v>4317612.64914866</v>
      </c>
      <c r="BB208" s="71" t="n">
        <f aca="false">BB206+BB207</f>
        <v>4386411.6707209</v>
      </c>
      <c r="BC208" s="71" t="n">
        <f aca="false">BC206+BC207</f>
        <v>4455254.58118204</v>
      </c>
      <c r="BD208" s="71" t="n">
        <f aca="false">BD206+BD207</f>
        <v>4524141.38053207</v>
      </c>
      <c r="BE208" s="71" t="n">
        <f aca="false">BE206+BE207</f>
        <v>4593072.06877098</v>
      </c>
      <c r="BF208" s="71" t="n">
        <f aca="false">BF206+BF207</f>
        <v>4662046.64589878</v>
      </c>
      <c r="BG208" s="71" t="n">
        <f aca="false">BG206+BG207</f>
        <v>4731065.11191548</v>
      </c>
      <c r="BH208" s="71" t="n">
        <f aca="false">BH206+BH207</f>
        <v>4800127.46682106</v>
      </c>
      <c r="BI208" s="71" t="n">
        <f aca="false">BI206+BI207</f>
        <v>5095555.58800353</v>
      </c>
      <c r="BJ208" s="71" t="n">
        <f aca="false">BJ206+BJ207</f>
        <v>5271923.86664955</v>
      </c>
    </row>
    <row r="209" customFormat="false" ht="15" hidden="false" customHeight="false" outlineLevel="0" collapsed="false">
      <c r="A209" s="6" t="s">
        <v>441</v>
      </c>
      <c r="C209" s="65" t="n">
        <f aca="false">C205-C208</f>
        <v>0</v>
      </c>
      <c r="D209" s="65" t="n">
        <f aca="false">D205-D208</f>
        <v>0</v>
      </c>
      <c r="E209" s="65" t="n">
        <f aca="false">E205-E208</f>
        <v>0</v>
      </c>
      <c r="F209" s="65" t="n">
        <f aca="false">F205-F208</f>
        <v>0</v>
      </c>
      <c r="G209" s="65" t="n">
        <f aca="false">G205-G208</f>
        <v>0</v>
      </c>
      <c r="H209" s="65" t="n">
        <f aca="false">H205-H208</f>
        <v>0</v>
      </c>
      <c r="I209" s="65" t="n">
        <f aca="false">I205-I208</f>
        <v>0</v>
      </c>
      <c r="J209" s="65" t="n">
        <f aca="false">J205-J208</f>
        <v>0</v>
      </c>
      <c r="K209" s="65" t="n">
        <f aca="false">K205-K208</f>
        <v>0</v>
      </c>
      <c r="L209" s="65" t="n">
        <f aca="false">L205-L208</f>
        <v>0</v>
      </c>
      <c r="M209" s="65" t="n">
        <f aca="false">M205-M208</f>
        <v>0</v>
      </c>
      <c r="N209" s="65" t="n">
        <f aca="false">N205-N208</f>
        <v>0</v>
      </c>
      <c r="O209" s="65" t="n">
        <f aca="false">O205-O208</f>
        <v>0</v>
      </c>
      <c r="P209" s="65" t="n">
        <f aca="false">P205-P208</f>
        <v>0</v>
      </c>
      <c r="Q209" s="65" t="n">
        <f aca="false">Q205-Q208</f>
        <v>0</v>
      </c>
      <c r="R209" s="65" t="n">
        <f aca="false">R205-R208</f>
        <v>0</v>
      </c>
      <c r="S209" s="65" t="n">
        <f aca="false">S205-S208</f>
        <v>0</v>
      </c>
      <c r="T209" s="65" t="n">
        <f aca="false">T205-T208</f>
        <v>0</v>
      </c>
      <c r="U209" s="65" t="n">
        <f aca="false">U205-U208</f>
        <v>0</v>
      </c>
      <c r="V209" s="65" t="n">
        <f aca="false">V205-V208</f>
        <v>0</v>
      </c>
      <c r="W209" s="65" t="n">
        <f aca="false">W205-W208</f>
        <v>0</v>
      </c>
      <c r="X209" s="65" t="n">
        <f aca="false">X205-X208</f>
        <v>0</v>
      </c>
      <c r="Y209" s="65" t="n">
        <f aca="false">Y205-Y208</f>
        <v>0</v>
      </c>
      <c r="Z209" s="65" t="n">
        <f aca="false">Z205-Z208</f>
        <v>0</v>
      </c>
      <c r="AA209" s="65" t="n">
        <f aca="false">AA205-AA208</f>
        <v>0</v>
      </c>
      <c r="AB209" s="65" t="n">
        <f aca="false">AB205-AB208</f>
        <v>0</v>
      </c>
      <c r="AC209" s="65" t="n">
        <f aca="false">AC205-AC208</f>
        <v>0</v>
      </c>
      <c r="AD209" s="65" t="n">
        <f aca="false">AD205-AD208</f>
        <v>0</v>
      </c>
      <c r="AE209" s="65" t="n">
        <f aca="false">AE205-AE208</f>
        <v>0</v>
      </c>
      <c r="AF209" s="65" t="n">
        <f aca="false">AF205-AF208</f>
        <v>0</v>
      </c>
      <c r="AG209" s="65" t="n">
        <f aca="false">AG205-AG208</f>
        <v>0</v>
      </c>
      <c r="AH209" s="65" t="n">
        <f aca="false">AH205-AH208</f>
        <v>0</v>
      </c>
      <c r="AI209" s="65" t="n">
        <f aca="false">AI205-AI208</f>
        <v>0</v>
      </c>
      <c r="AJ209" s="65" t="n">
        <f aca="false">AJ205-AJ208</f>
        <v>0</v>
      </c>
      <c r="AK209" s="65" t="n">
        <f aca="false">AK205-AK208</f>
        <v>0</v>
      </c>
      <c r="AL209" s="65" t="n">
        <f aca="false">AL205-AL208</f>
        <v>0</v>
      </c>
      <c r="AM209" s="65" t="n">
        <f aca="false">AM205-AM208</f>
        <v>0</v>
      </c>
      <c r="AN209" s="65" t="n">
        <f aca="false">AN205-AN208</f>
        <v>0</v>
      </c>
      <c r="AO209" s="65" t="n">
        <f aca="false">AO205-AO208</f>
        <v>0</v>
      </c>
      <c r="AP209" s="65" t="n">
        <f aca="false">AP205-AP208</f>
        <v>0</v>
      </c>
      <c r="AQ209" s="65" t="n">
        <f aca="false">AQ205-AQ208</f>
        <v>0</v>
      </c>
      <c r="AR209" s="65" t="n">
        <f aca="false">AR205-AR208</f>
        <v>0</v>
      </c>
      <c r="AS209" s="65" t="n">
        <f aca="false">AS205-AS208</f>
        <v>0</v>
      </c>
      <c r="AT209" s="65" t="n">
        <f aca="false">AT205-AT208</f>
        <v>0</v>
      </c>
      <c r="AU209" s="65" t="n">
        <f aca="false">AU205-AU208</f>
        <v>0</v>
      </c>
      <c r="AV209" s="65" t="n">
        <f aca="false">AV205-AV208</f>
        <v>0</v>
      </c>
      <c r="AW209" s="65" t="n">
        <f aca="false">AW205-AW208</f>
        <v>0</v>
      </c>
      <c r="AX209" s="65" t="n">
        <f aca="false">AX205-AX208</f>
        <v>0</v>
      </c>
      <c r="AY209" s="65" t="n">
        <f aca="false">AY205-AY208</f>
        <v>0</v>
      </c>
      <c r="AZ209" s="65" t="n">
        <f aca="false">AZ205-AZ208</f>
        <v>0</v>
      </c>
      <c r="BA209" s="65" t="n">
        <f aca="false">BA205-BA208</f>
        <v>0</v>
      </c>
      <c r="BB209" s="65" t="n">
        <f aca="false">BB205-BB208</f>
        <v>0</v>
      </c>
      <c r="BC209" s="65" t="n">
        <f aca="false">BC205-BC208</f>
        <v>0</v>
      </c>
      <c r="BD209" s="65" t="n">
        <f aca="false">BD205-BD208</f>
        <v>0</v>
      </c>
      <c r="BE209" s="65" t="n">
        <f aca="false">BE205-BE208</f>
        <v>0</v>
      </c>
      <c r="BF209" s="65" t="n">
        <f aca="false">BF205-BF208</f>
        <v>0</v>
      </c>
      <c r="BG209" s="65" t="n">
        <f aca="false">BG205-BG208</f>
        <v>0</v>
      </c>
      <c r="BH209" s="65" t="n">
        <f aca="false">BH205-BH208</f>
        <v>0</v>
      </c>
      <c r="BI209" s="65" t="n">
        <f aca="false">BI205-BI208</f>
        <v>0</v>
      </c>
      <c r="BJ209" s="65" t="n">
        <f aca="false">BJ205-BJ208</f>
        <v>0</v>
      </c>
    </row>
    <row r="211" customFormat="false" ht="15.75" hidden="false" customHeight="true" outlineLevel="0" collapsed="false">
      <c r="A211" s="7" t="s">
        <v>443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customFormat="false" ht="15" hidden="false" customHeight="false" outlineLevel="0" collapsed="false">
      <c r="A212" s="6" t="s">
        <v>444</v>
      </c>
      <c r="C212" s="114" t="n">
        <f aca="false">Inputs!$C$38*(1+Inputs!$C$40)^(C$118-1)*MAX(0,MIN(1,C$117*1-Inputs!$C$41+1))/1</f>
        <v>6</v>
      </c>
      <c r="D212" s="114" t="n">
        <f aca="false">Inputs!$C$38*(1+Inputs!$C$40)^(D$118-1)*MAX(0,MIN(1,D$117*1-Inputs!$C$41+1))/1</f>
        <v>6</v>
      </c>
      <c r="E212" s="114" t="n">
        <f aca="false">Inputs!$C$38*(1+Inputs!$C$40)^(E$118-1)*MAX(0,MIN(1,E$117*1-Inputs!$C$41+1))/1</f>
        <v>6</v>
      </c>
      <c r="F212" s="114" t="n">
        <f aca="false">Inputs!$C$38*(1+Inputs!$C$40)^(F$118-1)*MAX(0,MIN(1,F$117*1-Inputs!$C$41+1))/1</f>
        <v>6</v>
      </c>
      <c r="G212" s="114" t="n">
        <f aca="false">Inputs!$C$38*(1+Inputs!$C$40)^(G$118-1)*MAX(0,MIN(1,G$117*1-Inputs!$C$41+1))/1</f>
        <v>6</v>
      </c>
      <c r="H212" s="114" t="n">
        <f aca="false">Inputs!$C$38*(1+Inputs!$C$40)^(H$118-1)*MAX(0,MIN(1,H$117*1-Inputs!$C$41+1))/1</f>
        <v>6</v>
      </c>
      <c r="I212" s="114" t="n">
        <f aca="false">Inputs!$C$38*(1+Inputs!$C$40)^(I$118-1)*MAX(0,MIN(1,I$117*1-Inputs!$C$41+1))/1</f>
        <v>6</v>
      </c>
      <c r="J212" s="114" t="n">
        <f aca="false">Inputs!$C$38*(1+Inputs!$C$40)^(J$118-1)*MAX(0,MIN(1,J$117*1-Inputs!$C$41+1))/1</f>
        <v>6</v>
      </c>
      <c r="K212" s="114" t="n">
        <f aca="false">Inputs!$C$38*(1+Inputs!$C$40)^(K$118-1)*MAX(0,MIN(1,K$117*1-Inputs!$C$41+1))/1</f>
        <v>6</v>
      </c>
      <c r="L212" s="114" t="n">
        <f aca="false">Inputs!$C$38*(1+Inputs!$C$40)^(L$118-1)*MAX(0,MIN(1,L$117*1-Inputs!$C$41+1))/1</f>
        <v>6</v>
      </c>
      <c r="M212" s="114" t="n">
        <f aca="false">Inputs!$C$38*(1+Inputs!$C$40)^(M$118-1)*MAX(0,MIN(1,M$117*1-Inputs!$C$41+1))/1</f>
        <v>6</v>
      </c>
      <c r="N212" s="114" t="n">
        <f aca="false">Inputs!$C$38*(1+Inputs!$C$40)^(N$118-1)*MAX(0,MIN(1,N$117*1-Inputs!$C$41+1))/1</f>
        <v>6</v>
      </c>
      <c r="O212" s="114" t="n">
        <f aca="false">Inputs!$C$38*(1+Inputs!$C$40)^(O$118-1)*MAX(0,MIN(1,O$117*1-Inputs!$C$41+1))/1</f>
        <v>7.2</v>
      </c>
      <c r="P212" s="114" t="n">
        <f aca="false">Inputs!$C$38*(1+Inputs!$C$40)^(P$118-1)*MAX(0,MIN(1,P$117*1-Inputs!$C$41+1))/1</f>
        <v>7.2</v>
      </c>
      <c r="Q212" s="114" t="n">
        <f aca="false">Inputs!$C$38*(1+Inputs!$C$40)^(Q$118-1)*MAX(0,MIN(1,Q$117*1-Inputs!$C$41+1))/1</f>
        <v>7.2</v>
      </c>
      <c r="R212" s="114" t="n">
        <f aca="false">Inputs!$C$38*(1+Inputs!$C$40)^(R$118-1)*MAX(0,MIN(1,R$117*1-Inputs!$C$41+1))/1</f>
        <v>7.2</v>
      </c>
      <c r="S212" s="114" t="n">
        <f aca="false">Inputs!$C$38*(1+Inputs!$C$40)^(S$118-1)*MAX(0,MIN(1,S$117*1-Inputs!$C$41+1))/1</f>
        <v>7.2</v>
      </c>
      <c r="T212" s="114" t="n">
        <f aca="false">Inputs!$C$38*(1+Inputs!$C$40)^(T$118-1)*MAX(0,MIN(1,T$117*1-Inputs!$C$41+1))/1</f>
        <v>7.2</v>
      </c>
      <c r="U212" s="114" t="n">
        <f aca="false">Inputs!$C$38*(1+Inputs!$C$40)^(U$118-1)*MAX(0,MIN(1,U$117*1-Inputs!$C$41+1))/1</f>
        <v>7.2</v>
      </c>
      <c r="V212" s="114" t="n">
        <f aca="false">Inputs!$C$38*(1+Inputs!$C$40)^(V$118-1)*MAX(0,MIN(1,V$117*1-Inputs!$C$41+1))/1</f>
        <v>7.2</v>
      </c>
      <c r="W212" s="114" t="n">
        <f aca="false">Inputs!$C$38*(1+Inputs!$C$40)^(W$118-1)*MAX(0,MIN(1,W$117*1-Inputs!$C$41+1))/1</f>
        <v>7.2</v>
      </c>
      <c r="X212" s="114" t="n">
        <f aca="false">Inputs!$C$38*(1+Inputs!$C$40)^(X$118-1)*MAX(0,MIN(1,X$117*1-Inputs!$C$41+1))/1</f>
        <v>7.2</v>
      </c>
      <c r="Y212" s="114" t="n">
        <f aca="false">Inputs!$C$38*(1+Inputs!$C$40)^(Y$118-1)*MAX(0,MIN(1,Y$117*1-Inputs!$C$41+1))/1</f>
        <v>7.2</v>
      </c>
      <c r="Z212" s="114" t="n">
        <f aca="false">Inputs!$C$38*(1+Inputs!$C$40)^(Z$118-1)*MAX(0,MIN(1,Z$117*1-Inputs!$C$41+1))/1</f>
        <v>7.2</v>
      </c>
      <c r="AA212" s="114" t="n">
        <f aca="false">Inputs!$C$38*(1+Inputs!$C$40)^(AA$118-1)*MAX(0,MIN(1,AA$117*1-Inputs!$C$41+1))/1</f>
        <v>8.64</v>
      </c>
      <c r="AB212" s="114" t="n">
        <f aca="false">Inputs!$C$38*(1+Inputs!$C$40)^(AB$118-1)*MAX(0,MIN(1,AB$117*1-Inputs!$C$41+1))/1</f>
        <v>8.64</v>
      </c>
      <c r="AC212" s="114" t="n">
        <f aca="false">Inputs!$C$38*(1+Inputs!$C$40)^(AC$118-1)*MAX(0,MIN(1,AC$117*1-Inputs!$C$41+1))/1</f>
        <v>8.64</v>
      </c>
      <c r="AD212" s="114" t="n">
        <f aca="false">Inputs!$C$38*(1+Inputs!$C$40)^(AD$118-1)*MAX(0,MIN(1,AD$117*1-Inputs!$C$41+1))/1</f>
        <v>8.64</v>
      </c>
      <c r="AE212" s="114" t="n">
        <f aca="false">Inputs!$C$38*(1+Inputs!$C$40)^(AE$118-1)*MAX(0,MIN(1,AE$117*1-Inputs!$C$41+1))/1</f>
        <v>8.64</v>
      </c>
      <c r="AF212" s="114" t="n">
        <f aca="false">Inputs!$C$38*(1+Inputs!$C$40)^(AF$118-1)*MAX(0,MIN(1,AF$117*1-Inputs!$C$41+1))/1</f>
        <v>8.64</v>
      </c>
      <c r="AG212" s="114" t="n">
        <f aca="false">Inputs!$C$38*(1+Inputs!$C$40)^(AG$118-1)*MAX(0,MIN(1,AG$117*1-Inputs!$C$41+1))/1</f>
        <v>8.64</v>
      </c>
      <c r="AH212" s="114" t="n">
        <f aca="false">Inputs!$C$38*(1+Inputs!$C$40)^(AH$118-1)*MAX(0,MIN(1,AH$117*1-Inputs!$C$41+1))/1</f>
        <v>8.64</v>
      </c>
      <c r="AI212" s="114" t="n">
        <f aca="false">Inputs!$C$38*(1+Inputs!$C$40)^(AI$118-1)*MAX(0,MIN(1,AI$117*1-Inputs!$C$41+1))/1</f>
        <v>8.64</v>
      </c>
      <c r="AJ212" s="114" t="n">
        <f aca="false">Inputs!$C$38*(1+Inputs!$C$40)^(AJ$118-1)*MAX(0,MIN(1,AJ$117*1-Inputs!$C$41+1))/1</f>
        <v>8.64</v>
      </c>
      <c r="AK212" s="114" t="n">
        <f aca="false">Inputs!$C$38*(1+Inputs!$C$40)^(AK$118-1)*MAX(0,MIN(1,AK$117*1-Inputs!$C$41+1))/1</f>
        <v>8.64</v>
      </c>
      <c r="AL212" s="114" t="n">
        <f aca="false">Inputs!$C$38*(1+Inputs!$C$40)^(AL$118-1)*MAX(0,MIN(1,AL$117*1-Inputs!$C$41+1))/1</f>
        <v>8.64</v>
      </c>
      <c r="AM212" s="114" t="n">
        <f aca="false">Inputs!$C$38*(1+Inputs!$C$40)^(AM$118-1)*MAX(0,MIN(1,AM$117*1-Inputs!$C$41+1))/1</f>
        <v>10.368</v>
      </c>
      <c r="AN212" s="114" t="n">
        <f aca="false">Inputs!$C$38*(1+Inputs!$C$40)^(AN$118-1)*MAX(0,MIN(1,AN$117*1-Inputs!$C$41+1))/1</f>
        <v>10.368</v>
      </c>
      <c r="AO212" s="114" t="n">
        <f aca="false">Inputs!$C$38*(1+Inputs!$C$40)^(AO$118-1)*MAX(0,MIN(1,AO$117*1-Inputs!$C$41+1))/1</f>
        <v>10.368</v>
      </c>
      <c r="AP212" s="114" t="n">
        <f aca="false">Inputs!$C$38*(1+Inputs!$C$40)^(AP$118-1)*MAX(0,MIN(1,AP$117*1-Inputs!$C$41+1))/1</f>
        <v>10.368</v>
      </c>
      <c r="AQ212" s="114" t="n">
        <f aca="false">Inputs!$C$38*(1+Inputs!$C$40)^(AQ$118-1)*MAX(0,MIN(1,AQ$117*1-Inputs!$C$41+1))/1</f>
        <v>10.368</v>
      </c>
      <c r="AR212" s="114" t="n">
        <f aca="false">Inputs!$C$38*(1+Inputs!$C$40)^(AR$118-1)*MAX(0,MIN(1,AR$117*1-Inputs!$C$41+1))/1</f>
        <v>10.368</v>
      </c>
      <c r="AS212" s="114" t="n">
        <f aca="false">Inputs!$C$38*(1+Inputs!$C$40)^(AS$118-1)*MAX(0,MIN(1,AS$117*1-Inputs!$C$41+1))/1</f>
        <v>10.368</v>
      </c>
      <c r="AT212" s="114" t="n">
        <f aca="false">Inputs!$C$38*(1+Inputs!$C$40)^(AT$118-1)*MAX(0,MIN(1,AT$117*1-Inputs!$C$41+1))/1</f>
        <v>10.368</v>
      </c>
      <c r="AU212" s="114" t="n">
        <f aca="false">Inputs!$C$38*(1+Inputs!$C$40)^(AU$118-1)*MAX(0,MIN(1,AU$117*1-Inputs!$C$41+1))/1</f>
        <v>10.368</v>
      </c>
      <c r="AV212" s="114" t="n">
        <f aca="false">Inputs!$C$38*(1+Inputs!$C$40)^(AV$118-1)*MAX(0,MIN(1,AV$117*1-Inputs!$C$41+1))/1</f>
        <v>10.368</v>
      </c>
      <c r="AW212" s="114" t="n">
        <f aca="false">Inputs!$C$38*(1+Inputs!$C$40)^(AW$118-1)*MAX(0,MIN(1,AW$117*1-Inputs!$C$41+1))/1</f>
        <v>10.368</v>
      </c>
      <c r="AX212" s="114" t="n">
        <f aca="false">Inputs!$C$38*(1+Inputs!$C$40)^(AX$118-1)*MAX(0,MIN(1,AX$117*1-Inputs!$C$41+1))/1</f>
        <v>10.368</v>
      </c>
      <c r="AY212" s="114" t="n">
        <f aca="false">Inputs!$C$38*(1+Inputs!$C$40)^(AY$118-1)*MAX(0,MIN(1,AY$117*1-Inputs!$C$41+1))/1</f>
        <v>12.4416</v>
      </c>
      <c r="AZ212" s="114" t="n">
        <f aca="false">Inputs!$C$38*(1+Inputs!$C$40)^(AZ$118-1)*MAX(0,MIN(1,AZ$117*1-Inputs!$C$41+1))/1</f>
        <v>12.4416</v>
      </c>
      <c r="BA212" s="114" t="n">
        <f aca="false">Inputs!$C$38*(1+Inputs!$C$40)^(BA$118-1)*MAX(0,MIN(1,BA$117*1-Inputs!$C$41+1))/1</f>
        <v>12.4416</v>
      </c>
      <c r="BB212" s="114" t="n">
        <f aca="false">Inputs!$C$38*(1+Inputs!$C$40)^(BB$118-1)*MAX(0,MIN(1,BB$117*1-Inputs!$C$41+1))/1</f>
        <v>12.4416</v>
      </c>
      <c r="BC212" s="114" t="n">
        <f aca="false">Inputs!$C$38*(1+Inputs!$C$40)^(BC$118-1)*MAX(0,MIN(1,BC$117*1-Inputs!$C$41+1))/1</f>
        <v>12.4416</v>
      </c>
      <c r="BD212" s="114" t="n">
        <f aca="false">Inputs!$C$38*(1+Inputs!$C$40)^(BD$118-1)*MAX(0,MIN(1,BD$117*1-Inputs!$C$41+1))/1</f>
        <v>12.4416</v>
      </c>
      <c r="BE212" s="114" t="n">
        <f aca="false">Inputs!$C$38*(1+Inputs!$C$40)^(BE$118-1)*MAX(0,MIN(1,BE$117*1-Inputs!$C$41+1))/1</f>
        <v>12.4416</v>
      </c>
      <c r="BF212" s="114" t="n">
        <f aca="false">Inputs!$C$38*(1+Inputs!$C$40)^(BF$118-1)*MAX(0,MIN(1,BF$117*1-Inputs!$C$41+1))/1</f>
        <v>12.4416</v>
      </c>
      <c r="BG212" s="114" t="n">
        <f aca="false">Inputs!$C$38*(1+Inputs!$C$40)^(BG$118-1)*MAX(0,MIN(1,BG$117*1-Inputs!$C$41+1))/1</f>
        <v>12.4416</v>
      </c>
      <c r="BH212" s="114" t="n">
        <f aca="false">Inputs!$C$38*(1+Inputs!$C$40)^(BH$118-1)*MAX(0,MIN(1,BH$117*1-Inputs!$C$41+1))/1</f>
        <v>12.4416</v>
      </c>
      <c r="BI212" s="114" t="n">
        <f aca="false">Inputs!$C$38*(1+Inputs!$C$40)^(BI$118-1)*MAX(0,MIN(1,BI$117*1-Inputs!$C$41+1))/1</f>
        <v>12.4416</v>
      </c>
      <c r="BJ212" s="114" t="n">
        <f aca="false">Inputs!$C$38*(1+Inputs!$C$40)^(BJ$118-1)*MAX(0,MIN(1,BJ$117*1-Inputs!$C$41+1))/1</f>
        <v>12.4416</v>
      </c>
    </row>
    <row r="213" customFormat="false" ht="15" hidden="false" customHeight="false" outlineLevel="0" collapsed="false">
      <c r="A213" s="6" t="s">
        <v>445</v>
      </c>
      <c r="C213" s="114" t="n">
        <f aca="false">Inputs!$C$42*(1+Inputs!$C$44)^(C$118-1)*MAX(0,MIN(1,C$117*1-Inputs!$C$45+1))/1</f>
        <v>4</v>
      </c>
      <c r="D213" s="114" t="n">
        <f aca="false">Inputs!$C$42*(1+Inputs!$C$44)^(D$118-1)*MAX(0,MIN(1,D$117*1-Inputs!$C$45+1))/1</f>
        <v>4</v>
      </c>
      <c r="E213" s="114" t="n">
        <f aca="false">Inputs!$C$42*(1+Inputs!$C$44)^(E$118-1)*MAX(0,MIN(1,E$117*1-Inputs!$C$45+1))/1</f>
        <v>4</v>
      </c>
      <c r="F213" s="114" t="n">
        <f aca="false">Inputs!$C$42*(1+Inputs!$C$44)^(F$118-1)*MAX(0,MIN(1,F$117*1-Inputs!$C$45+1))/1</f>
        <v>4</v>
      </c>
      <c r="G213" s="114" t="n">
        <f aca="false">Inputs!$C$42*(1+Inputs!$C$44)^(G$118-1)*MAX(0,MIN(1,G$117*1-Inputs!$C$45+1))/1</f>
        <v>4</v>
      </c>
      <c r="H213" s="114" t="n">
        <f aca="false">Inputs!$C$42*(1+Inputs!$C$44)^(H$118-1)*MAX(0,MIN(1,H$117*1-Inputs!$C$45+1))/1</f>
        <v>4</v>
      </c>
      <c r="I213" s="114" t="n">
        <f aca="false">Inputs!$C$42*(1+Inputs!$C$44)^(I$118-1)*MAX(0,MIN(1,I$117*1-Inputs!$C$45+1))/1</f>
        <v>4</v>
      </c>
      <c r="J213" s="114" t="n">
        <f aca="false">Inputs!$C$42*(1+Inputs!$C$44)^(J$118-1)*MAX(0,MIN(1,J$117*1-Inputs!$C$45+1))/1</f>
        <v>4</v>
      </c>
      <c r="K213" s="114" t="n">
        <f aca="false">Inputs!$C$42*(1+Inputs!$C$44)^(K$118-1)*MAX(0,MIN(1,K$117*1-Inputs!$C$45+1))/1</f>
        <v>4</v>
      </c>
      <c r="L213" s="114" t="n">
        <f aca="false">Inputs!$C$42*(1+Inputs!$C$44)^(L$118-1)*MAX(0,MIN(1,L$117*1-Inputs!$C$45+1))/1</f>
        <v>4</v>
      </c>
      <c r="M213" s="114" t="n">
        <f aca="false">Inputs!$C$42*(1+Inputs!$C$44)^(M$118-1)*MAX(0,MIN(1,M$117*1-Inputs!$C$45+1))/1</f>
        <v>4</v>
      </c>
      <c r="N213" s="114" t="n">
        <f aca="false">Inputs!$C$42*(1+Inputs!$C$44)^(N$118-1)*MAX(0,MIN(1,N$117*1-Inputs!$C$45+1))/1</f>
        <v>4</v>
      </c>
      <c r="O213" s="114" t="n">
        <f aca="false">Inputs!$C$42*(1+Inputs!$C$44)^(O$118-1)*MAX(0,MIN(1,O$117*1-Inputs!$C$45+1))/1</f>
        <v>4.8</v>
      </c>
      <c r="P213" s="114" t="n">
        <f aca="false">Inputs!$C$42*(1+Inputs!$C$44)^(P$118-1)*MAX(0,MIN(1,P$117*1-Inputs!$C$45+1))/1</f>
        <v>4.8</v>
      </c>
      <c r="Q213" s="114" t="n">
        <f aca="false">Inputs!$C$42*(1+Inputs!$C$44)^(Q$118-1)*MAX(0,MIN(1,Q$117*1-Inputs!$C$45+1))/1</f>
        <v>4.8</v>
      </c>
      <c r="R213" s="114" t="n">
        <f aca="false">Inputs!$C$42*(1+Inputs!$C$44)^(R$118-1)*MAX(0,MIN(1,R$117*1-Inputs!$C$45+1))/1</f>
        <v>4.8</v>
      </c>
      <c r="S213" s="114" t="n">
        <f aca="false">Inputs!$C$42*(1+Inputs!$C$44)^(S$118-1)*MAX(0,MIN(1,S$117*1-Inputs!$C$45+1))/1</f>
        <v>4.8</v>
      </c>
      <c r="T213" s="114" t="n">
        <f aca="false">Inputs!$C$42*(1+Inputs!$C$44)^(T$118-1)*MAX(0,MIN(1,T$117*1-Inputs!$C$45+1))/1</f>
        <v>4.8</v>
      </c>
      <c r="U213" s="114" t="n">
        <f aca="false">Inputs!$C$42*(1+Inputs!$C$44)^(U$118-1)*MAX(0,MIN(1,U$117*1-Inputs!$C$45+1))/1</f>
        <v>4.8</v>
      </c>
      <c r="V213" s="114" t="n">
        <f aca="false">Inputs!$C$42*(1+Inputs!$C$44)^(V$118-1)*MAX(0,MIN(1,V$117*1-Inputs!$C$45+1))/1</f>
        <v>4.8</v>
      </c>
      <c r="W213" s="114" t="n">
        <f aca="false">Inputs!$C$42*(1+Inputs!$C$44)^(W$118-1)*MAX(0,MIN(1,W$117*1-Inputs!$C$45+1))/1</f>
        <v>4.8</v>
      </c>
      <c r="X213" s="114" t="n">
        <f aca="false">Inputs!$C$42*(1+Inputs!$C$44)^(X$118-1)*MAX(0,MIN(1,X$117*1-Inputs!$C$45+1))/1</f>
        <v>4.8</v>
      </c>
      <c r="Y213" s="114" t="n">
        <f aca="false">Inputs!$C$42*(1+Inputs!$C$44)^(Y$118-1)*MAX(0,MIN(1,Y$117*1-Inputs!$C$45+1))/1</f>
        <v>4.8</v>
      </c>
      <c r="Z213" s="114" t="n">
        <f aca="false">Inputs!$C$42*(1+Inputs!$C$44)^(Z$118-1)*MAX(0,MIN(1,Z$117*1-Inputs!$C$45+1))/1</f>
        <v>4.8</v>
      </c>
      <c r="AA213" s="114" t="n">
        <f aca="false">Inputs!$C$42*(1+Inputs!$C$44)^(AA$118-1)*MAX(0,MIN(1,AA$117*1-Inputs!$C$45+1))/1</f>
        <v>5.76</v>
      </c>
      <c r="AB213" s="114" t="n">
        <f aca="false">Inputs!$C$42*(1+Inputs!$C$44)^(AB$118-1)*MAX(0,MIN(1,AB$117*1-Inputs!$C$45+1))/1</f>
        <v>5.76</v>
      </c>
      <c r="AC213" s="114" t="n">
        <f aca="false">Inputs!$C$42*(1+Inputs!$C$44)^(AC$118-1)*MAX(0,MIN(1,AC$117*1-Inputs!$C$45+1))/1</f>
        <v>5.76</v>
      </c>
      <c r="AD213" s="114" t="n">
        <f aca="false">Inputs!$C$42*(1+Inputs!$C$44)^(AD$118-1)*MAX(0,MIN(1,AD$117*1-Inputs!$C$45+1))/1</f>
        <v>5.76</v>
      </c>
      <c r="AE213" s="114" t="n">
        <f aca="false">Inputs!$C$42*(1+Inputs!$C$44)^(AE$118-1)*MAX(0,MIN(1,AE$117*1-Inputs!$C$45+1))/1</f>
        <v>5.76</v>
      </c>
      <c r="AF213" s="114" t="n">
        <f aca="false">Inputs!$C$42*(1+Inputs!$C$44)^(AF$118-1)*MAX(0,MIN(1,AF$117*1-Inputs!$C$45+1))/1</f>
        <v>5.76</v>
      </c>
      <c r="AG213" s="114" t="n">
        <f aca="false">Inputs!$C$42*(1+Inputs!$C$44)^(AG$118-1)*MAX(0,MIN(1,AG$117*1-Inputs!$C$45+1))/1</f>
        <v>5.76</v>
      </c>
      <c r="AH213" s="114" t="n">
        <f aca="false">Inputs!$C$42*(1+Inputs!$C$44)^(AH$118-1)*MAX(0,MIN(1,AH$117*1-Inputs!$C$45+1))/1</f>
        <v>5.76</v>
      </c>
      <c r="AI213" s="114" t="n">
        <f aca="false">Inputs!$C$42*(1+Inputs!$C$44)^(AI$118-1)*MAX(0,MIN(1,AI$117*1-Inputs!$C$45+1))/1</f>
        <v>5.76</v>
      </c>
      <c r="AJ213" s="114" t="n">
        <f aca="false">Inputs!$C$42*(1+Inputs!$C$44)^(AJ$118-1)*MAX(0,MIN(1,AJ$117*1-Inputs!$C$45+1))/1</f>
        <v>5.76</v>
      </c>
      <c r="AK213" s="114" t="n">
        <f aca="false">Inputs!$C$42*(1+Inputs!$C$44)^(AK$118-1)*MAX(0,MIN(1,AK$117*1-Inputs!$C$45+1))/1</f>
        <v>5.76</v>
      </c>
      <c r="AL213" s="114" t="n">
        <f aca="false">Inputs!$C$42*(1+Inputs!$C$44)^(AL$118-1)*MAX(0,MIN(1,AL$117*1-Inputs!$C$45+1))/1</f>
        <v>5.76</v>
      </c>
      <c r="AM213" s="114" t="n">
        <f aca="false">Inputs!$C$42*(1+Inputs!$C$44)^(AM$118-1)*MAX(0,MIN(1,AM$117*1-Inputs!$C$45+1))/1</f>
        <v>6.912</v>
      </c>
      <c r="AN213" s="114" t="n">
        <f aca="false">Inputs!$C$42*(1+Inputs!$C$44)^(AN$118-1)*MAX(0,MIN(1,AN$117*1-Inputs!$C$45+1))/1</f>
        <v>6.912</v>
      </c>
      <c r="AO213" s="114" t="n">
        <f aca="false">Inputs!$C$42*(1+Inputs!$C$44)^(AO$118-1)*MAX(0,MIN(1,AO$117*1-Inputs!$C$45+1))/1</f>
        <v>6.912</v>
      </c>
      <c r="AP213" s="114" t="n">
        <f aca="false">Inputs!$C$42*(1+Inputs!$C$44)^(AP$118-1)*MAX(0,MIN(1,AP$117*1-Inputs!$C$45+1))/1</f>
        <v>6.912</v>
      </c>
      <c r="AQ213" s="114" t="n">
        <f aca="false">Inputs!$C$42*(1+Inputs!$C$44)^(AQ$118-1)*MAX(0,MIN(1,AQ$117*1-Inputs!$C$45+1))/1</f>
        <v>6.912</v>
      </c>
      <c r="AR213" s="114" t="n">
        <f aca="false">Inputs!$C$42*(1+Inputs!$C$44)^(AR$118-1)*MAX(0,MIN(1,AR$117*1-Inputs!$C$45+1))/1</f>
        <v>6.912</v>
      </c>
      <c r="AS213" s="114" t="n">
        <f aca="false">Inputs!$C$42*(1+Inputs!$C$44)^(AS$118-1)*MAX(0,MIN(1,AS$117*1-Inputs!$C$45+1))/1</f>
        <v>6.912</v>
      </c>
      <c r="AT213" s="114" t="n">
        <f aca="false">Inputs!$C$42*(1+Inputs!$C$44)^(AT$118-1)*MAX(0,MIN(1,AT$117*1-Inputs!$C$45+1))/1</f>
        <v>6.912</v>
      </c>
      <c r="AU213" s="114" t="n">
        <f aca="false">Inputs!$C$42*(1+Inputs!$C$44)^(AU$118-1)*MAX(0,MIN(1,AU$117*1-Inputs!$C$45+1))/1</f>
        <v>6.912</v>
      </c>
      <c r="AV213" s="114" t="n">
        <f aca="false">Inputs!$C$42*(1+Inputs!$C$44)^(AV$118-1)*MAX(0,MIN(1,AV$117*1-Inputs!$C$45+1))/1</f>
        <v>6.912</v>
      </c>
      <c r="AW213" s="114" t="n">
        <f aca="false">Inputs!$C$42*(1+Inputs!$C$44)^(AW$118-1)*MAX(0,MIN(1,AW$117*1-Inputs!$C$45+1))/1</f>
        <v>6.912</v>
      </c>
      <c r="AX213" s="114" t="n">
        <f aca="false">Inputs!$C$42*(1+Inputs!$C$44)^(AX$118-1)*MAX(0,MIN(1,AX$117*1-Inputs!$C$45+1))/1</f>
        <v>6.912</v>
      </c>
      <c r="AY213" s="114" t="n">
        <f aca="false">Inputs!$C$42*(1+Inputs!$C$44)^(AY$118-1)*MAX(0,MIN(1,AY$117*1-Inputs!$C$45+1))/1</f>
        <v>8.2944</v>
      </c>
      <c r="AZ213" s="114" t="n">
        <f aca="false">Inputs!$C$42*(1+Inputs!$C$44)^(AZ$118-1)*MAX(0,MIN(1,AZ$117*1-Inputs!$C$45+1))/1</f>
        <v>8.2944</v>
      </c>
      <c r="BA213" s="114" t="n">
        <f aca="false">Inputs!$C$42*(1+Inputs!$C$44)^(BA$118-1)*MAX(0,MIN(1,BA$117*1-Inputs!$C$45+1))/1</f>
        <v>8.2944</v>
      </c>
      <c r="BB213" s="114" t="n">
        <f aca="false">Inputs!$C$42*(1+Inputs!$C$44)^(BB$118-1)*MAX(0,MIN(1,BB$117*1-Inputs!$C$45+1))/1</f>
        <v>8.2944</v>
      </c>
      <c r="BC213" s="114" t="n">
        <f aca="false">Inputs!$C$42*(1+Inputs!$C$44)^(BC$118-1)*MAX(0,MIN(1,BC$117*1-Inputs!$C$45+1))/1</f>
        <v>8.2944</v>
      </c>
      <c r="BD213" s="114" t="n">
        <f aca="false">Inputs!$C$42*(1+Inputs!$C$44)^(BD$118-1)*MAX(0,MIN(1,BD$117*1-Inputs!$C$45+1))/1</f>
        <v>8.2944</v>
      </c>
      <c r="BE213" s="114" t="n">
        <f aca="false">Inputs!$C$42*(1+Inputs!$C$44)^(BE$118-1)*MAX(0,MIN(1,BE$117*1-Inputs!$C$45+1))/1</f>
        <v>8.2944</v>
      </c>
      <c r="BF213" s="114" t="n">
        <f aca="false">Inputs!$C$42*(1+Inputs!$C$44)^(BF$118-1)*MAX(0,MIN(1,BF$117*1-Inputs!$C$45+1))/1</f>
        <v>8.2944</v>
      </c>
      <c r="BG213" s="114" t="n">
        <f aca="false">Inputs!$C$42*(1+Inputs!$C$44)^(BG$118-1)*MAX(0,MIN(1,BG$117*1-Inputs!$C$45+1))/1</f>
        <v>8.2944</v>
      </c>
      <c r="BH213" s="114" t="n">
        <f aca="false">Inputs!$C$42*(1+Inputs!$C$44)^(BH$118-1)*MAX(0,MIN(1,BH$117*1-Inputs!$C$45+1))/1</f>
        <v>8.2944</v>
      </c>
      <c r="BI213" s="114" t="n">
        <f aca="false">Inputs!$C$42*(1+Inputs!$C$44)^(BI$118-1)*MAX(0,MIN(1,BI$117*1-Inputs!$C$45+1))/1</f>
        <v>8.2944</v>
      </c>
      <c r="BJ213" s="114" t="n">
        <f aca="false">Inputs!$C$42*(1+Inputs!$C$44)^(BJ$118-1)*MAX(0,MIN(1,BJ$117*1-Inputs!$C$45+1))/1</f>
        <v>8.2944</v>
      </c>
    </row>
    <row r="214" customFormat="false" ht="15" hidden="false" customHeight="false" outlineLevel="0" collapsed="false">
      <c r="A214" s="6" t="s">
        <v>446</v>
      </c>
      <c r="C214" s="114" t="n">
        <f aca="false">Inputs!$C$46*(1+Inputs!$C$48)^(C$118-1)*MAX(0,MIN(1,C$117*1-Inputs!$C$49+1))/1</f>
        <v>8</v>
      </c>
      <c r="D214" s="114" t="n">
        <f aca="false">Inputs!$C$46*(1+Inputs!$C$48)^(D$118-1)*MAX(0,MIN(1,D$117*1-Inputs!$C$49+1))/1</f>
        <v>8</v>
      </c>
      <c r="E214" s="114" t="n">
        <f aca="false">Inputs!$C$46*(1+Inputs!$C$48)^(E$118-1)*MAX(0,MIN(1,E$117*1-Inputs!$C$49+1))/1</f>
        <v>8</v>
      </c>
      <c r="F214" s="114" t="n">
        <f aca="false">Inputs!$C$46*(1+Inputs!$C$48)^(F$118-1)*MAX(0,MIN(1,F$117*1-Inputs!$C$49+1))/1</f>
        <v>8</v>
      </c>
      <c r="G214" s="114" t="n">
        <f aca="false">Inputs!$C$46*(1+Inputs!$C$48)^(G$118-1)*MAX(0,MIN(1,G$117*1-Inputs!$C$49+1))/1</f>
        <v>8</v>
      </c>
      <c r="H214" s="114" t="n">
        <f aca="false">Inputs!$C$46*(1+Inputs!$C$48)^(H$118-1)*MAX(0,MIN(1,H$117*1-Inputs!$C$49+1))/1</f>
        <v>8</v>
      </c>
      <c r="I214" s="114" t="n">
        <f aca="false">Inputs!$C$46*(1+Inputs!$C$48)^(I$118-1)*MAX(0,MIN(1,I$117*1-Inputs!$C$49+1))/1</f>
        <v>8</v>
      </c>
      <c r="J214" s="114" t="n">
        <f aca="false">Inputs!$C$46*(1+Inputs!$C$48)^(J$118-1)*MAX(0,MIN(1,J$117*1-Inputs!$C$49+1))/1</f>
        <v>8</v>
      </c>
      <c r="K214" s="114" t="n">
        <f aca="false">Inputs!$C$46*(1+Inputs!$C$48)^(K$118-1)*MAX(0,MIN(1,K$117*1-Inputs!$C$49+1))/1</f>
        <v>8</v>
      </c>
      <c r="L214" s="114" t="n">
        <f aca="false">Inputs!$C$46*(1+Inputs!$C$48)^(L$118-1)*MAX(0,MIN(1,L$117*1-Inputs!$C$49+1))/1</f>
        <v>8</v>
      </c>
      <c r="M214" s="114" t="n">
        <f aca="false">Inputs!$C$46*(1+Inputs!$C$48)^(M$118-1)*MAX(0,MIN(1,M$117*1-Inputs!$C$49+1))/1</f>
        <v>8</v>
      </c>
      <c r="N214" s="114" t="n">
        <f aca="false">Inputs!$C$46*(1+Inputs!$C$48)^(N$118-1)*MAX(0,MIN(1,N$117*1-Inputs!$C$49+1))/1</f>
        <v>8</v>
      </c>
      <c r="O214" s="114" t="n">
        <f aca="false">Inputs!$C$46*(1+Inputs!$C$48)^(O$118-1)*MAX(0,MIN(1,O$117*1-Inputs!$C$49+1))/1</f>
        <v>10.4</v>
      </c>
      <c r="P214" s="114" t="n">
        <f aca="false">Inputs!$C$46*(1+Inputs!$C$48)^(P$118-1)*MAX(0,MIN(1,P$117*1-Inputs!$C$49+1))/1</f>
        <v>10.4</v>
      </c>
      <c r="Q214" s="114" t="n">
        <f aca="false">Inputs!$C$46*(1+Inputs!$C$48)^(Q$118-1)*MAX(0,MIN(1,Q$117*1-Inputs!$C$49+1))/1</f>
        <v>10.4</v>
      </c>
      <c r="R214" s="114" t="n">
        <f aca="false">Inputs!$C$46*(1+Inputs!$C$48)^(R$118-1)*MAX(0,MIN(1,R$117*1-Inputs!$C$49+1))/1</f>
        <v>10.4</v>
      </c>
      <c r="S214" s="114" t="n">
        <f aca="false">Inputs!$C$46*(1+Inputs!$C$48)^(S$118-1)*MAX(0,MIN(1,S$117*1-Inputs!$C$49+1))/1</f>
        <v>10.4</v>
      </c>
      <c r="T214" s="114" t="n">
        <f aca="false">Inputs!$C$46*(1+Inputs!$C$48)^(T$118-1)*MAX(0,MIN(1,T$117*1-Inputs!$C$49+1))/1</f>
        <v>10.4</v>
      </c>
      <c r="U214" s="114" t="n">
        <f aca="false">Inputs!$C$46*(1+Inputs!$C$48)^(U$118-1)*MAX(0,MIN(1,U$117*1-Inputs!$C$49+1))/1</f>
        <v>10.4</v>
      </c>
      <c r="V214" s="114" t="n">
        <f aca="false">Inputs!$C$46*(1+Inputs!$C$48)^(V$118-1)*MAX(0,MIN(1,V$117*1-Inputs!$C$49+1))/1</f>
        <v>10.4</v>
      </c>
      <c r="W214" s="114" t="n">
        <f aca="false">Inputs!$C$46*(1+Inputs!$C$48)^(W$118-1)*MAX(0,MIN(1,W$117*1-Inputs!$C$49+1))/1</f>
        <v>10.4</v>
      </c>
      <c r="X214" s="114" t="n">
        <f aca="false">Inputs!$C$46*(1+Inputs!$C$48)^(X$118-1)*MAX(0,MIN(1,X$117*1-Inputs!$C$49+1))/1</f>
        <v>10.4</v>
      </c>
      <c r="Y214" s="114" t="n">
        <f aca="false">Inputs!$C$46*(1+Inputs!$C$48)^(Y$118-1)*MAX(0,MIN(1,Y$117*1-Inputs!$C$49+1))/1</f>
        <v>10.4</v>
      </c>
      <c r="Z214" s="114" t="n">
        <f aca="false">Inputs!$C$46*(1+Inputs!$C$48)^(Z$118-1)*MAX(0,MIN(1,Z$117*1-Inputs!$C$49+1))/1</f>
        <v>10.4</v>
      </c>
      <c r="AA214" s="114" t="n">
        <f aca="false">Inputs!$C$46*(1+Inputs!$C$48)^(AA$118-1)*MAX(0,MIN(1,AA$117*1-Inputs!$C$49+1))/1</f>
        <v>13.52</v>
      </c>
      <c r="AB214" s="114" t="n">
        <f aca="false">Inputs!$C$46*(1+Inputs!$C$48)^(AB$118-1)*MAX(0,MIN(1,AB$117*1-Inputs!$C$49+1))/1</f>
        <v>13.52</v>
      </c>
      <c r="AC214" s="114" t="n">
        <f aca="false">Inputs!$C$46*(1+Inputs!$C$48)^(AC$118-1)*MAX(0,MIN(1,AC$117*1-Inputs!$C$49+1))/1</f>
        <v>13.52</v>
      </c>
      <c r="AD214" s="114" t="n">
        <f aca="false">Inputs!$C$46*(1+Inputs!$C$48)^(AD$118-1)*MAX(0,MIN(1,AD$117*1-Inputs!$C$49+1))/1</f>
        <v>13.52</v>
      </c>
      <c r="AE214" s="114" t="n">
        <f aca="false">Inputs!$C$46*(1+Inputs!$C$48)^(AE$118-1)*MAX(0,MIN(1,AE$117*1-Inputs!$C$49+1))/1</f>
        <v>13.52</v>
      </c>
      <c r="AF214" s="114" t="n">
        <f aca="false">Inputs!$C$46*(1+Inputs!$C$48)^(AF$118-1)*MAX(0,MIN(1,AF$117*1-Inputs!$C$49+1))/1</f>
        <v>13.52</v>
      </c>
      <c r="AG214" s="114" t="n">
        <f aca="false">Inputs!$C$46*(1+Inputs!$C$48)^(AG$118-1)*MAX(0,MIN(1,AG$117*1-Inputs!$C$49+1))/1</f>
        <v>13.52</v>
      </c>
      <c r="AH214" s="114" t="n">
        <f aca="false">Inputs!$C$46*(1+Inputs!$C$48)^(AH$118-1)*MAX(0,MIN(1,AH$117*1-Inputs!$C$49+1))/1</f>
        <v>13.52</v>
      </c>
      <c r="AI214" s="114" t="n">
        <f aca="false">Inputs!$C$46*(1+Inputs!$C$48)^(AI$118-1)*MAX(0,MIN(1,AI$117*1-Inputs!$C$49+1))/1</f>
        <v>13.52</v>
      </c>
      <c r="AJ214" s="114" t="n">
        <f aca="false">Inputs!$C$46*(1+Inputs!$C$48)^(AJ$118-1)*MAX(0,MIN(1,AJ$117*1-Inputs!$C$49+1))/1</f>
        <v>13.52</v>
      </c>
      <c r="AK214" s="114" t="n">
        <f aca="false">Inputs!$C$46*(1+Inputs!$C$48)^(AK$118-1)*MAX(0,MIN(1,AK$117*1-Inputs!$C$49+1))/1</f>
        <v>13.52</v>
      </c>
      <c r="AL214" s="114" t="n">
        <f aca="false">Inputs!$C$46*(1+Inputs!$C$48)^(AL$118-1)*MAX(0,MIN(1,AL$117*1-Inputs!$C$49+1))/1</f>
        <v>13.52</v>
      </c>
      <c r="AM214" s="114" t="n">
        <f aca="false">Inputs!$C$46*(1+Inputs!$C$48)^(AM$118-1)*MAX(0,MIN(1,AM$117*1-Inputs!$C$49+1))/1</f>
        <v>17.576</v>
      </c>
      <c r="AN214" s="114" t="n">
        <f aca="false">Inputs!$C$46*(1+Inputs!$C$48)^(AN$118-1)*MAX(0,MIN(1,AN$117*1-Inputs!$C$49+1))/1</f>
        <v>17.576</v>
      </c>
      <c r="AO214" s="114" t="n">
        <f aca="false">Inputs!$C$46*(1+Inputs!$C$48)^(AO$118-1)*MAX(0,MIN(1,AO$117*1-Inputs!$C$49+1))/1</f>
        <v>17.576</v>
      </c>
      <c r="AP214" s="114" t="n">
        <f aca="false">Inputs!$C$46*(1+Inputs!$C$48)^(AP$118-1)*MAX(0,MIN(1,AP$117*1-Inputs!$C$49+1))/1</f>
        <v>17.576</v>
      </c>
      <c r="AQ214" s="114" t="n">
        <f aca="false">Inputs!$C$46*(1+Inputs!$C$48)^(AQ$118-1)*MAX(0,MIN(1,AQ$117*1-Inputs!$C$49+1))/1</f>
        <v>17.576</v>
      </c>
      <c r="AR214" s="114" t="n">
        <f aca="false">Inputs!$C$46*(1+Inputs!$C$48)^(AR$118-1)*MAX(0,MIN(1,AR$117*1-Inputs!$C$49+1))/1</f>
        <v>17.576</v>
      </c>
      <c r="AS214" s="114" t="n">
        <f aca="false">Inputs!$C$46*(1+Inputs!$C$48)^(AS$118-1)*MAX(0,MIN(1,AS$117*1-Inputs!$C$49+1))/1</f>
        <v>17.576</v>
      </c>
      <c r="AT214" s="114" t="n">
        <f aca="false">Inputs!$C$46*(1+Inputs!$C$48)^(AT$118-1)*MAX(0,MIN(1,AT$117*1-Inputs!$C$49+1))/1</f>
        <v>17.576</v>
      </c>
      <c r="AU214" s="114" t="n">
        <f aca="false">Inputs!$C$46*(1+Inputs!$C$48)^(AU$118-1)*MAX(0,MIN(1,AU$117*1-Inputs!$C$49+1))/1</f>
        <v>17.576</v>
      </c>
      <c r="AV214" s="114" t="n">
        <f aca="false">Inputs!$C$46*(1+Inputs!$C$48)^(AV$118-1)*MAX(0,MIN(1,AV$117*1-Inputs!$C$49+1))/1</f>
        <v>17.576</v>
      </c>
      <c r="AW214" s="114" t="n">
        <f aca="false">Inputs!$C$46*(1+Inputs!$C$48)^(AW$118-1)*MAX(0,MIN(1,AW$117*1-Inputs!$C$49+1))/1</f>
        <v>17.576</v>
      </c>
      <c r="AX214" s="114" t="n">
        <f aca="false">Inputs!$C$46*(1+Inputs!$C$48)^(AX$118-1)*MAX(0,MIN(1,AX$117*1-Inputs!$C$49+1))/1</f>
        <v>17.576</v>
      </c>
      <c r="AY214" s="114" t="n">
        <f aca="false">Inputs!$C$46*(1+Inputs!$C$48)^(AY$118-1)*MAX(0,MIN(1,AY$117*1-Inputs!$C$49+1))/1</f>
        <v>22.8488</v>
      </c>
      <c r="AZ214" s="114" t="n">
        <f aca="false">Inputs!$C$46*(1+Inputs!$C$48)^(AZ$118-1)*MAX(0,MIN(1,AZ$117*1-Inputs!$C$49+1))/1</f>
        <v>22.8488</v>
      </c>
      <c r="BA214" s="114" t="n">
        <f aca="false">Inputs!$C$46*(1+Inputs!$C$48)^(BA$118-1)*MAX(0,MIN(1,BA$117*1-Inputs!$C$49+1))/1</f>
        <v>22.8488</v>
      </c>
      <c r="BB214" s="114" t="n">
        <f aca="false">Inputs!$C$46*(1+Inputs!$C$48)^(BB$118-1)*MAX(0,MIN(1,BB$117*1-Inputs!$C$49+1))/1</f>
        <v>22.8488</v>
      </c>
      <c r="BC214" s="114" t="n">
        <f aca="false">Inputs!$C$46*(1+Inputs!$C$48)^(BC$118-1)*MAX(0,MIN(1,BC$117*1-Inputs!$C$49+1))/1</f>
        <v>22.8488</v>
      </c>
      <c r="BD214" s="114" t="n">
        <f aca="false">Inputs!$C$46*(1+Inputs!$C$48)^(BD$118-1)*MAX(0,MIN(1,BD$117*1-Inputs!$C$49+1))/1</f>
        <v>22.8488</v>
      </c>
      <c r="BE214" s="114" t="n">
        <f aca="false">Inputs!$C$46*(1+Inputs!$C$48)^(BE$118-1)*MAX(0,MIN(1,BE$117*1-Inputs!$C$49+1))/1</f>
        <v>22.8488</v>
      </c>
      <c r="BF214" s="114" t="n">
        <f aca="false">Inputs!$C$46*(1+Inputs!$C$48)^(BF$118-1)*MAX(0,MIN(1,BF$117*1-Inputs!$C$49+1))/1</f>
        <v>22.8488</v>
      </c>
      <c r="BG214" s="114" t="n">
        <f aca="false">Inputs!$C$46*(1+Inputs!$C$48)^(BG$118-1)*MAX(0,MIN(1,BG$117*1-Inputs!$C$49+1))/1</f>
        <v>22.8488</v>
      </c>
      <c r="BH214" s="114" t="n">
        <f aca="false">Inputs!$C$46*(1+Inputs!$C$48)^(BH$118-1)*MAX(0,MIN(1,BH$117*1-Inputs!$C$49+1))/1</f>
        <v>22.8488</v>
      </c>
      <c r="BI214" s="114" t="n">
        <f aca="false">Inputs!$C$46*(1+Inputs!$C$48)^(BI$118-1)*MAX(0,MIN(1,BI$117*1-Inputs!$C$49+1))/1</f>
        <v>22.8488</v>
      </c>
      <c r="BJ214" s="114" t="n">
        <f aca="false">Inputs!$C$46*(1+Inputs!$C$48)^(BJ$118-1)*MAX(0,MIN(1,BJ$117*1-Inputs!$C$49+1))/1</f>
        <v>22.8488</v>
      </c>
    </row>
    <row r="215" customFormat="false" ht="15" hidden="false" customHeight="false" outlineLevel="0" collapsed="false">
      <c r="A215" s="6" t="s">
        <v>447</v>
      </c>
      <c r="C215" s="114" t="n">
        <f aca="false">Inputs!$C$50*(1+Inputs!$C$52)^(C$118-1)*MAX(0,MIN(1,C$117*1-Inputs!$C$53+1))/1</f>
        <v>3</v>
      </c>
      <c r="D215" s="114" t="n">
        <f aca="false">Inputs!$C$50*(1+Inputs!$C$52)^(D$118-1)*MAX(0,MIN(1,D$117*1-Inputs!$C$53+1))/1</f>
        <v>3</v>
      </c>
      <c r="E215" s="114" t="n">
        <f aca="false">Inputs!$C$50*(1+Inputs!$C$52)^(E$118-1)*MAX(0,MIN(1,E$117*1-Inputs!$C$53+1))/1</f>
        <v>3</v>
      </c>
      <c r="F215" s="114" t="n">
        <f aca="false">Inputs!$C$50*(1+Inputs!$C$52)^(F$118-1)*MAX(0,MIN(1,F$117*1-Inputs!$C$53+1))/1</f>
        <v>3</v>
      </c>
      <c r="G215" s="114" t="n">
        <f aca="false">Inputs!$C$50*(1+Inputs!$C$52)^(G$118-1)*MAX(0,MIN(1,G$117*1-Inputs!$C$53+1))/1</f>
        <v>3</v>
      </c>
      <c r="H215" s="114" t="n">
        <f aca="false">Inputs!$C$50*(1+Inputs!$C$52)^(H$118-1)*MAX(0,MIN(1,H$117*1-Inputs!$C$53+1))/1</f>
        <v>3</v>
      </c>
      <c r="I215" s="114" t="n">
        <f aca="false">Inputs!$C$50*(1+Inputs!$C$52)^(I$118-1)*MAX(0,MIN(1,I$117*1-Inputs!$C$53+1))/1</f>
        <v>3</v>
      </c>
      <c r="J215" s="114" t="n">
        <f aca="false">Inputs!$C$50*(1+Inputs!$C$52)^(J$118-1)*MAX(0,MIN(1,J$117*1-Inputs!$C$53+1))/1</f>
        <v>3</v>
      </c>
      <c r="K215" s="114" t="n">
        <f aca="false">Inputs!$C$50*(1+Inputs!$C$52)^(K$118-1)*MAX(0,MIN(1,K$117*1-Inputs!$C$53+1))/1</f>
        <v>3</v>
      </c>
      <c r="L215" s="114" t="n">
        <f aca="false">Inputs!$C$50*(1+Inputs!$C$52)^(L$118-1)*MAX(0,MIN(1,L$117*1-Inputs!$C$53+1))/1</f>
        <v>3</v>
      </c>
      <c r="M215" s="114" t="n">
        <f aca="false">Inputs!$C$50*(1+Inputs!$C$52)^(M$118-1)*MAX(0,MIN(1,M$117*1-Inputs!$C$53+1))/1</f>
        <v>3</v>
      </c>
      <c r="N215" s="114" t="n">
        <f aca="false">Inputs!$C$50*(1+Inputs!$C$52)^(N$118-1)*MAX(0,MIN(1,N$117*1-Inputs!$C$53+1))/1</f>
        <v>3</v>
      </c>
      <c r="O215" s="114" t="n">
        <f aca="false">Inputs!$C$50*(1+Inputs!$C$52)^(O$118-1)*MAX(0,MIN(1,O$117*1-Inputs!$C$53+1))/1</f>
        <v>3.45</v>
      </c>
      <c r="P215" s="114" t="n">
        <f aca="false">Inputs!$C$50*(1+Inputs!$C$52)^(P$118-1)*MAX(0,MIN(1,P$117*1-Inputs!$C$53+1))/1</f>
        <v>3.45</v>
      </c>
      <c r="Q215" s="114" t="n">
        <f aca="false">Inputs!$C$50*(1+Inputs!$C$52)^(Q$118-1)*MAX(0,MIN(1,Q$117*1-Inputs!$C$53+1))/1</f>
        <v>3.45</v>
      </c>
      <c r="R215" s="114" t="n">
        <f aca="false">Inputs!$C$50*(1+Inputs!$C$52)^(R$118-1)*MAX(0,MIN(1,R$117*1-Inputs!$C$53+1))/1</f>
        <v>3.45</v>
      </c>
      <c r="S215" s="114" t="n">
        <f aca="false">Inputs!$C$50*(1+Inputs!$C$52)^(S$118-1)*MAX(0,MIN(1,S$117*1-Inputs!$C$53+1))/1</f>
        <v>3.45</v>
      </c>
      <c r="T215" s="114" t="n">
        <f aca="false">Inputs!$C$50*(1+Inputs!$C$52)^(T$118-1)*MAX(0,MIN(1,T$117*1-Inputs!$C$53+1))/1</f>
        <v>3.45</v>
      </c>
      <c r="U215" s="114" t="n">
        <f aca="false">Inputs!$C$50*(1+Inputs!$C$52)^(U$118-1)*MAX(0,MIN(1,U$117*1-Inputs!$C$53+1))/1</f>
        <v>3.45</v>
      </c>
      <c r="V215" s="114" t="n">
        <f aca="false">Inputs!$C$50*(1+Inputs!$C$52)^(V$118-1)*MAX(0,MIN(1,V$117*1-Inputs!$C$53+1))/1</f>
        <v>3.45</v>
      </c>
      <c r="W215" s="114" t="n">
        <f aca="false">Inputs!$C$50*(1+Inputs!$C$52)^(W$118-1)*MAX(0,MIN(1,W$117*1-Inputs!$C$53+1))/1</f>
        <v>3.45</v>
      </c>
      <c r="X215" s="114" t="n">
        <f aca="false">Inputs!$C$50*(1+Inputs!$C$52)^(X$118-1)*MAX(0,MIN(1,X$117*1-Inputs!$C$53+1))/1</f>
        <v>3.45</v>
      </c>
      <c r="Y215" s="114" t="n">
        <f aca="false">Inputs!$C$50*(1+Inputs!$C$52)^(Y$118-1)*MAX(0,MIN(1,Y$117*1-Inputs!$C$53+1))/1</f>
        <v>3.45</v>
      </c>
      <c r="Z215" s="114" t="n">
        <f aca="false">Inputs!$C$50*(1+Inputs!$C$52)^(Z$118-1)*MAX(0,MIN(1,Z$117*1-Inputs!$C$53+1))/1</f>
        <v>3.45</v>
      </c>
      <c r="AA215" s="114" t="n">
        <f aca="false">Inputs!$C$50*(1+Inputs!$C$52)^(AA$118-1)*MAX(0,MIN(1,AA$117*1-Inputs!$C$53+1))/1</f>
        <v>3.9675</v>
      </c>
      <c r="AB215" s="114" t="n">
        <f aca="false">Inputs!$C$50*(1+Inputs!$C$52)^(AB$118-1)*MAX(0,MIN(1,AB$117*1-Inputs!$C$53+1))/1</f>
        <v>3.9675</v>
      </c>
      <c r="AC215" s="114" t="n">
        <f aca="false">Inputs!$C$50*(1+Inputs!$C$52)^(AC$118-1)*MAX(0,MIN(1,AC$117*1-Inputs!$C$53+1))/1</f>
        <v>3.9675</v>
      </c>
      <c r="AD215" s="114" t="n">
        <f aca="false">Inputs!$C$50*(1+Inputs!$C$52)^(AD$118-1)*MAX(0,MIN(1,AD$117*1-Inputs!$C$53+1))/1</f>
        <v>3.9675</v>
      </c>
      <c r="AE215" s="114" t="n">
        <f aca="false">Inputs!$C$50*(1+Inputs!$C$52)^(AE$118-1)*MAX(0,MIN(1,AE$117*1-Inputs!$C$53+1))/1</f>
        <v>3.9675</v>
      </c>
      <c r="AF215" s="114" t="n">
        <f aca="false">Inputs!$C$50*(1+Inputs!$C$52)^(AF$118-1)*MAX(0,MIN(1,AF$117*1-Inputs!$C$53+1))/1</f>
        <v>3.9675</v>
      </c>
      <c r="AG215" s="114" t="n">
        <f aca="false">Inputs!$C$50*(1+Inputs!$C$52)^(AG$118-1)*MAX(0,MIN(1,AG$117*1-Inputs!$C$53+1))/1</f>
        <v>3.9675</v>
      </c>
      <c r="AH215" s="114" t="n">
        <f aca="false">Inputs!$C$50*(1+Inputs!$C$52)^(AH$118-1)*MAX(0,MIN(1,AH$117*1-Inputs!$C$53+1))/1</f>
        <v>3.9675</v>
      </c>
      <c r="AI215" s="114" t="n">
        <f aca="false">Inputs!$C$50*(1+Inputs!$C$52)^(AI$118-1)*MAX(0,MIN(1,AI$117*1-Inputs!$C$53+1))/1</f>
        <v>3.9675</v>
      </c>
      <c r="AJ215" s="114" t="n">
        <f aca="false">Inputs!$C$50*(1+Inputs!$C$52)^(AJ$118-1)*MAX(0,MIN(1,AJ$117*1-Inputs!$C$53+1))/1</f>
        <v>3.9675</v>
      </c>
      <c r="AK215" s="114" t="n">
        <f aca="false">Inputs!$C$50*(1+Inputs!$C$52)^(AK$118-1)*MAX(0,MIN(1,AK$117*1-Inputs!$C$53+1))/1</f>
        <v>3.9675</v>
      </c>
      <c r="AL215" s="114" t="n">
        <f aca="false">Inputs!$C$50*(1+Inputs!$C$52)^(AL$118-1)*MAX(0,MIN(1,AL$117*1-Inputs!$C$53+1))/1</f>
        <v>3.9675</v>
      </c>
      <c r="AM215" s="114" t="n">
        <f aca="false">Inputs!$C$50*(1+Inputs!$C$52)^(AM$118-1)*MAX(0,MIN(1,AM$117*1-Inputs!$C$53+1))/1</f>
        <v>4.562625</v>
      </c>
      <c r="AN215" s="114" t="n">
        <f aca="false">Inputs!$C$50*(1+Inputs!$C$52)^(AN$118-1)*MAX(0,MIN(1,AN$117*1-Inputs!$C$53+1))/1</f>
        <v>4.562625</v>
      </c>
      <c r="AO215" s="114" t="n">
        <f aca="false">Inputs!$C$50*(1+Inputs!$C$52)^(AO$118-1)*MAX(0,MIN(1,AO$117*1-Inputs!$C$53+1))/1</f>
        <v>4.562625</v>
      </c>
      <c r="AP215" s="114" t="n">
        <f aca="false">Inputs!$C$50*(1+Inputs!$C$52)^(AP$118-1)*MAX(0,MIN(1,AP$117*1-Inputs!$C$53+1))/1</f>
        <v>4.562625</v>
      </c>
      <c r="AQ215" s="114" t="n">
        <f aca="false">Inputs!$C$50*(1+Inputs!$C$52)^(AQ$118-1)*MAX(0,MIN(1,AQ$117*1-Inputs!$C$53+1))/1</f>
        <v>4.562625</v>
      </c>
      <c r="AR215" s="114" t="n">
        <f aca="false">Inputs!$C$50*(1+Inputs!$C$52)^(AR$118-1)*MAX(0,MIN(1,AR$117*1-Inputs!$C$53+1))/1</f>
        <v>4.562625</v>
      </c>
      <c r="AS215" s="114" t="n">
        <f aca="false">Inputs!$C$50*(1+Inputs!$C$52)^(AS$118-1)*MAX(0,MIN(1,AS$117*1-Inputs!$C$53+1))/1</f>
        <v>4.562625</v>
      </c>
      <c r="AT215" s="114" t="n">
        <f aca="false">Inputs!$C$50*(1+Inputs!$C$52)^(AT$118-1)*MAX(0,MIN(1,AT$117*1-Inputs!$C$53+1))/1</f>
        <v>4.562625</v>
      </c>
      <c r="AU215" s="114" t="n">
        <f aca="false">Inputs!$C$50*(1+Inputs!$C$52)^(AU$118-1)*MAX(0,MIN(1,AU$117*1-Inputs!$C$53+1))/1</f>
        <v>4.562625</v>
      </c>
      <c r="AV215" s="114" t="n">
        <f aca="false">Inputs!$C$50*(1+Inputs!$C$52)^(AV$118-1)*MAX(0,MIN(1,AV$117*1-Inputs!$C$53+1))/1</f>
        <v>4.562625</v>
      </c>
      <c r="AW215" s="114" t="n">
        <f aca="false">Inputs!$C$50*(1+Inputs!$C$52)^(AW$118-1)*MAX(0,MIN(1,AW$117*1-Inputs!$C$53+1))/1</f>
        <v>4.562625</v>
      </c>
      <c r="AX215" s="114" t="n">
        <f aca="false">Inputs!$C$50*(1+Inputs!$C$52)^(AX$118-1)*MAX(0,MIN(1,AX$117*1-Inputs!$C$53+1))/1</f>
        <v>4.562625</v>
      </c>
      <c r="AY215" s="114" t="n">
        <f aca="false">Inputs!$C$50*(1+Inputs!$C$52)^(AY$118-1)*MAX(0,MIN(1,AY$117*1-Inputs!$C$53+1))/1</f>
        <v>5.24701875</v>
      </c>
      <c r="AZ215" s="114" t="n">
        <f aca="false">Inputs!$C$50*(1+Inputs!$C$52)^(AZ$118-1)*MAX(0,MIN(1,AZ$117*1-Inputs!$C$53+1))/1</f>
        <v>5.24701875</v>
      </c>
      <c r="BA215" s="114" t="n">
        <f aca="false">Inputs!$C$50*(1+Inputs!$C$52)^(BA$118-1)*MAX(0,MIN(1,BA$117*1-Inputs!$C$53+1))/1</f>
        <v>5.24701875</v>
      </c>
      <c r="BB215" s="114" t="n">
        <f aca="false">Inputs!$C$50*(1+Inputs!$C$52)^(BB$118-1)*MAX(0,MIN(1,BB$117*1-Inputs!$C$53+1))/1</f>
        <v>5.24701875</v>
      </c>
      <c r="BC215" s="114" t="n">
        <f aca="false">Inputs!$C$50*(1+Inputs!$C$52)^(BC$118-1)*MAX(0,MIN(1,BC$117*1-Inputs!$C$53+1))/1</f>
        <v>5.24701875</v>
      </c>
      <c r="BD215" s="114" t="n">
        <f aca="false">Inputs!$C$50*(1+Inputs!$C$52)^(BD$118-1)*MAX(0,MIN(1,BD$117*1-Inputs!$C$53+1))/1</f>
        <v>5.24701875</v>
      </c>
      <c r="BE215" s="114" t="n">
        <f aca="false">Inputs!$C$50*(1+Inputs!$C$52)^(BE$118-1)*MAX(0,MIN(1,BE$117*1-Inputs!$C$53+1))/1</f>
        <v>5.24701875</v>
      </c>
      <c r="BF215" s="114" t="n">
        <f aca="false">Inputs!$C$50*(1+Inputs!$C$52)^(BF$118-1)*MAX(0,MIN(1,BF$117*1-Inputs!$C$53+1))/1</f>
        <v>5.24701875</v>
      </c>
      <c r="BG215" s="114" t="n">
        <f aca="false">Inputs!$C$50*(1+Inputs!$C$52)^(BG$118-1)*MAX(0,MIN(1,BG$117*1-Inputs!$C$53+1))/1</f>
        <v>5.24701875</v>
      </c>
      <c r="BH215" s="114" t="n">
        <f aca="false">Inputs!$C$50*(1+Inputs!$C$52)^(BH$118-1)*MAX(0,MIN(1,BH$117*1-Inputs!$C$53+1))/1</f>
        <v>5.24701875</v>
      </c>
      <c r="BI215" s="114" t="n">
        <f aca="false">Inputs!$C$50*(1+Inputs!$C$52)^(BI$118-1)*MAX(0,MIN(1,BI$117*1-Inputs!$C$53+1))/1</f>
        <v>5.24701875</v>
      </c>
      <c r="BJ215" s="114" t="n">
        <f aca="false">Inputs!$C$50*(1+Inputs!$C$52)^(BJ$118-1)*MAX(0,MIN(1,BJ$117*1-Inputs!$C$53+1))/1</f>
        <v>5.24701875</v>
      </c>
    </row>
    <row r="216" customFormat="false" ht="15" hidden="false" customHeight="false" outlineLevel="0" collapsed="false">
      <c r="A216" s="110" t="s">
        <v>448</v>
      </c>
      <c r="C216" s="118" t="n">
        <f aca="false">C212+C213+C214+C215</f>
        <v>21</v>
      </c>
      <c r="D216" s="118" t="n">
        <f aca="false">D212+D213+D214+D215</f>
        <v>21</v>
      </c>
      <c r="E216" s="118" t="n">
        <f aca="false">E212+E213+E214+E215</f>
        <v>21</v>
      </c>
      <c r="F216" s="118" t="n">
        <f aca="false">F212+F213+F214+F215</f>
        <v>21</v>
      </c>
      <c r="G216" s="118" t="n">
        <f aca="false">G212+G213+G214+G215</f>
        <v>21</v>
      </c>
      <c r="H216" s="118" t="n">
        <f aca="false">H212+H213+H214+H215</f>
        <v>21</v>
      </c>
      <c r="I216" s="118" t="n">
        <f aca="false">I212+I213+I214+I215</f>
        <v>21</v>
      </c>
      <c r="J216" s="118" t="n">
        <f aca="false">J212+J213+J214+J215</f>
        <v>21</v>
      </c>
      <c r="K216" s="118" t="n">
        <f aca="false">K212+K213+K214+K215</f>
        <v>21</v>
      </c>
      <c r="L216" s="118" t="n">
        <f aca="false">L212+L213+L214+L215</f>
        <v>21</v>
      </c>
      <c r="M216" s="118" t="n">
        <f aca="false">M212+M213+M214+M215</f>
        <v>21</v>
      </c>
      <c r="N216" s="118" t="n">
        <f aca="false">N212+N213+N214+N215</f>
        <v>21</v>
      </c>
      <c r="O216" s="118" t="n">
        <f aca="false">O212+O213+O214+O215</f>
        <v>25.85</v>
      </c>
      <c r="P216" s="118" t="n">
        <f aca="false">P212+P213+P214+P215</f>
        <v>25.85</v>
      </c>
      <c r="Q216" s="118" t="n">
        <f aca="false">Q212+Q213+Q214+Q215</f>
        <v>25.85</v>
      </c>
      <c r="R216" s="118" t="n">
        <f aca="false">R212+R213+R214+R215</f>
        <v>25.85</v>
      </c>
      <c r="S216" s="118" t="n">
        <f aca="false">S212+S213+S214+S215</f>
        <v>25.85</v>
      </c>
      <c r="T216" s="118" t="n">
        <f aca="false">T212+T213+T214+T215</f>
        <v>25.85</v>
      </c>
      <c r="U216" s="118" t="n">
        <f aca="false">U212+U213+U214+U215</f>
        <v>25.85</v>
      </c>
      <c r="V216" s="118" t="n">
        <f aca="false">V212+V213+V214+V215</f>
        <v>25.85</v>
      </c>
      <c r="W216" s="118" t="n">
        <f aca="false">W212+W213+W214+W215</f>
        <v>25.85</v>
      </c>
      <c r="X216" s="118" t="n">
        <f aca="false">X212+X213+X214+X215</f>
        <v>25.85</v>
      </c>
      <c r="Y216" s="118" t="n">
        <f aca="false">Y212+Y213+Y214+Y215</f>
        <v>25.85</v>
      </c>
      <c r="Z216" s="118" t="n">
        <f aca="false">Z212+Z213+Z214+Z215</f>
        <v>25.85</v>
      </c>
      <c r="AA216" s="118" t="n">
        <f aca="false">AA212+AA213+AA214+AA215</f>
        <v>31.8875</v>
      </c>
      <c r="AB216" s="118" t="n">
        <f aca="false">AB212+AB213+AB214+AB215</f>
        <v>31.8875</v>
      </c>
      <c r="AC216" s="118" t="n">
        <f aca="false">AC212+AC213+AC214+AC215</f>
        <v>31.8875</v>
      </c>
      <c r="AD216" s="118" t="n">
        <f aca="false">AD212+AD213+AD214+AD215</f>
        <v>31.8875</v>
      </c>
      <c r="AE216" s="118" t="n">
        <f aca="false">AE212+AE213+AE214+AE215</f>
        <v>31.8875</v>
      </c>
      <c r="AF216" s="118" t="n">
        <f aca="false">AF212+AF213+AF214+AF215</f>
        <v>31.8875</v>
      </c>
      <c r="AG216" s="118" t="n">
        <f aca="false">AG212+AG213+AG214+AG215</f>
        <v>31.8875</v>
      </c>
      <c r="AH216" s="118" t="n">
        <f aca="false">AH212+AH213+AH214+AH215</f>
        <v>31.8875</v>
      </c>
      <c r="AI216" s="118" t="n">
        <f aca="false">AI212+AI213+AI214+AI215</f>
        <v>31.8875</v>
      </c>
      <c r="AJ216" s="118" t="n">
        <f aca="false">AJ212+AJ213+AJ214+AJ215</f>
        <v>31.8875</v>
      </c>
      <c r="AK216" s="118" t="n">
        <f aca="false">AK212+AK213+AK214+AK215</f>
        <v>31.8875</v>
      </c>
      <c r="AL216" s="118" t="n">
        <f aca="false">AL212+AL213+AL214+AL215</f>
        <v>31.8875</v>
      </c>
      <c r="AM216" s="118" t="n">
        <f aca="false">AM212+AM213+AM214+AM215</f>
        <v>39.418625</v>
      </c>
      <c r="AN216" s="118" t="n">
        <f aca="false">AN212+AN213+AN214+AN215</f>
        <v>39.418625</v>
      </c>
      <c r="AO216" s="118" t="n">
        <f aca="false">AO212+AO213+AO214+AO215</f>
        <v>39.418625</v>
      </c>
      <c r="AP216" s="118" t="n">
        <f aca="false">AP212+AP213+AP214+AP215</f>
        <v>39.418625</v>
      </c>
      <c r="AQ216" s="118" t="n">
        <f aca="false">AQ212+AQ213+AQ214+AQ215</f>
        <v>39.418625</v>
      </c>
      <c r="AR216" s="118" t="n">
        <f aca="false">AR212+AR213+AR214+AR215</f>
        <v>39.418625</v>
      </c>
      <c r="AS216" s="118" t="n">
        <f aca="false">AS212+AS213+AS214+AS215</f>
        <v>39.418625</v>
      </c>
      <c r="AT216" s="118" t="n">
        <f aca="false">AT212+AT213+AT214+AT215</f>
        <v>39.418625</v>
      </c>
      <c r="AU216" s="118" t="n">
        <f aca="false">AU212+AU213+AU214+AU215</f>
        <v>39.418625</v>
      </c>
      <c r="AV216" s="118" t="n">
        <f aca="false">AV212+AV213+AV214+AV215</f>
        <v>39.418625</v>
      </c>
      <c r="AW216" s="118" t="n">
        <f aca="false">AW212+AW213+AW214+AW215</f>
        <v>39.418625</v>
      </c>
      <c r="AX216" s="118" t="n">
        <f aca="false">AX212+AX213+AX214+AX215</f>
        <v>39.418625</v>
      </c>
      <c r="AY216" s="118" t="n">
        <f aca="false">AY212+AY213+AY214+AY215</f>
        <v>48.83181875</v>
      </c>
      <c r="AZ216" s="118" t="n">
        <f aca="false">AZ212+AZ213+AZ214+AZ215</f>
        <v>48.83181875</v>
      </c>
      <c r="BA216" s="118" t="n">
        <f aca="false">BA212+BA213+BA214+BA215</f>
        <v>48.83181875</v>
      </c>
      <c r="BB216" s="118" t="n">
        <f aca="false">BB212+BB213+BB214+BB215</f>
        <v>48.83181875</v>
      </c>
      <c r="BC216" s="118" t="n">
        <f aca="false">BC212+BC213+BC214+BC215</f>
        <v>48.83181875</v>
      </c>
      <c r="BD216" s="118" t="n">
        <f aca="false">BD212+BD213+BD214+BD215</f>
        <v>48.83181875</v>
      </c>
      <c r="BE216" s="118" t="n">
        <f aca="false">BE212+BE213+BE214+BE215</f>
        <v>48.83181875</v>
      </c>
      <c r="BF216" s="118" t="n">
        <f aca="false">BF212+BF213+BF214+BF215</f>
        <v>48.83181875</v>
      </c>
      <c r="BG216" s="118" t="n">
        <f aca="false">BG212+BG213+BG214+BG215</f>
        <v>48.83181875</v>
      </c>
      <c r="BH216" s="118" t="n">
        <f aca="false">BH212+BH213+BH214+BH215</f>
        <v>48.83181875</v>
      </c>
      <c r="BI216" s="118" t="n">
        <f aca="false">BI212+BI213+BI214+BI215</f>
        <v>48.83181875</v>
      </c>
      <c r="BJ216" s="118" t="n">
        <f aca="false">BJ212+BJ213+BJ214+BJ215</f>
        <v>48.83181875</v>
      </c>
    </row>
    <row r="218" customFormat="false" ht="15.75" hidden="false" customHeight="true" outlineLevel="0" collapsed="false">
      <c r="A218" s="7" t="s">
        <v>449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customFormat="false" ht="15" hidden="false" customHeight="false" outlineLevel="0" collapsed="false">
      <c r="A219" s="6" t="s">
        <v>450</v>
      </c>
      <c r="C219" s="65" t="n">
        <f aca="false">-C212*Inputs!$C$39/12*1*(1+Inputs!$C$54)*(1+Inputs!$C$55)^(C$118-1)</f>
        <v>-28750</v>
      </c>
      <c r="D219" s="65" t="n">
        <f aca="false">-D212*Inputs!$C$39/12*1*(1+Inputs!$C$54)*(1+Inputs!$C$55)^(D$118-1)</f>
        <v>-28750</v>
      </c>
      <c r="E219" s="65" t="n">
        <f aca="false">-E212*Inputs!$C$39/12*1*(1+Inputs!$C$54)*(1+Inputs!$C$55)^(E$118-1)</f>
        <v>-28750</v>
      </c>
      <c r="F219" s="65" t="n">
        <f aca="false">-F212*Inputs!$C$39/12*1*(1+Inputs!$C$54)*(1+Inputs!$C$55)^(F$118-1)</f>
        <v>-28750</v>
      </c>
      <c r="G219" s="65" t="n">
        <f aca="false">-G212*Inputs!$C$39/12*1*(1+Inputs!$C$54)*(1+Inputs!$C$55)^(G$118-1)</f>
        <v>-28750</v>
      </c>
      <c r="H219" s="65" t="n">
        <f aca="false">-H212*Inputs!$C$39/12*1*(1+Inputs!$C$54)*(1+Inputs!$C$55)^(H$118-1)</f>
        <v>-28750</v>
      </c>
      <c r="I219" s="65" t="n">
        <f aca="false">-I212*Inputs!$C$39/12*1*(1+Inputs!$C$54)*(1+Inputs!$C$55)^(I$118-1)</f>
        <v>-28750</v>
      </c>
      <c r="J219" s="65" t="n">
        <f aca="false">-J212*Inputs!$C$39/12*1*(1+Inputs!$C$54)*(1+Inputs!$C$55)^(J$118-1)</f>
        <v>-28750</v>
      </c>
      <c r="K219" s="65" t="n">
        <f aca="false">-K212*Inputs!$C$39/12*1*(1+Inputs!$C$54)*(1+Inputs!$C$55)^(K$118-1)</f>
        <v>-28750</v>
      </c>
      <c r="L219" s="65" t="n">
        <f aca="false">-L212*Inputs!$C$39/12*1*(1+Inputs!$C$54)*(1+Inputs!$C$55)^(L$118-1)</f>
        <v>-28750</v>
      </c>
      <c r="M219" s="65" t="n">
        <f aca="false">-M212*Inputs!$C$39/12*1*(1+Inputs!$C$54)*(1+Inputs!$C$55)^(M$118-1)</f>
        <v>-28750</v>
      </c>
      <c r="N219" s="65" t="n">
        <f aca="false">-N212*Inputs!$C$39/12*1*(1+Inputs!$C$54)*(1+Inputs!$C$55)^(N$118-1)</f>
        <v>-28750</v>
      </c>
      <c r="O219" s="65" t="n">
        <f aca="false">-O212*Inputs!$C$39/12*1*(1+Inputs!$C$54)*(1+Inputs!$C$55)^(O$118-1)</f>
        <v>-35535</v>
      </c>
      <c r="P219" s="65" t="n">
        <f aca="false">-P212*Inputs!$C$39/12*1*(1+Inputs!$C$54)*(1+Inputs!$C$55)^(P$118-1)</f>
        <v>-35535</v>
      </c>
      <c r="Q219" s="65" t="n">
        <f aca="false">-Q212*Inputs!$C$39/12*1*(1+Inputs!$C$54)*(1+Inputs!$C$55)^(Q$118-1)</f>
        <v>-35535</v>
      </c>
      <c r="R219" s="65" t="n">
        <f aca="false">-R212*Inputs!$C$39/12*1*(1+Inputs!$C$54)*(1+Inputs!$C$55)^(R$118-1)</f>
        <v>-35535</v>
      </c>
      <c r="S219" s="65" t="n">
        <f aca="false">-S212*Inputs!$C$39/12*1*(1+Inputs!$C$54)*(1+Inputs!$C$55)^(S$118-1)</f>
        <v>-35535</v>
      </c>
      <c r="T219" s="65" t="n">
        <f aca="false">-T212*Inputs!$C$39/12*1*(1+Inputs!$C$54)*(1+Inputs!$C$55)^(T$118-1)</f>
        <v>-35535</v>
      </c>
      <c r="U219" s="65" t="n">
        <f aca="false">-U212*Inputs!$C$39/12*1*(1+Inputs!$C$54)*(1+Inputs!$C$55)^(U$118-1)</f>
        <v>-35535</v>
      </c>
      <c r="V219" s="65" t="n">
        <f aca="false">-V212*Inputs!$C$39/12*1*(1+Inputs!$C$54)*(1+Inputs!$C$55)^(V$118-1)</f>
        <v>-35535</v>
      </c>
      <c r="W219" s="65" t="n">
        <f aca="false">-W212*Inputs!$C$39/12*1*(1+Inputs!$C$54)*(1+Inputs!$C$55)^(W$118-1)</f>
        <v>-35535</v>
      </c>
      <c r="X219" s="65" t="n">
        <f aca="false">-X212*Inputs!$C$39/12*1*(1+Inputs!$C$54)*(1+Inputs!$C$55)^(X$118-1)</f>
        <v>-35535</v>
      </c>
      <c r="Y219" s="65" t="n">
        <f aca="false">-Y212*Inputs!$C$39/12*1*(1+Inputs!$C$54)*(1+Inputs!$C$55)^(Y$118-1)</f>
        <v>-35535</v>
      </c>
      <c r="Z219" s="65" t="n">
        <f aca="false">-Z212*Inputs!$C$39/12*1*(1+Inputs!$C$54)*(1+Inputs!$C$55)^(Z$118-1)</f>
        <v>-35535</v>
      </c>
      <c r="AA219" s="65" t="n">
        <f aca="false">-AA212*Inputs!$C$39/12*1*(1+Inputs!$C$54)*(1+Inputs!$C$55)^(AA$118-1)</f>
        <v>-43921.26</v>
      </c>
      <c r="AB219" s="65" t="n">
        <f aca="false">-AB212*Inputs!$C$39/12*1*(1+Inputs!$C$54)*(1+Inputs!$C$55)^(AB$118-1)</f>
        <v>-43921.26</v>
      </c>
      <c r="AC219" s="65" t="n">
        <f aca="false">-AC212*Inputs!$C$39/12*1*(1+Inputs!$C$54)*(1+Inputs!$C$55)^(AC$118-1)</f>
        <v>-43921.26</v>
      </c>
      <c r="AD219" s="65" t="n">
        <f aca="false">-AD212*Inputs!$C$39/12*1*(1+Inputs!$C$54)*(1+Inputs!$C$55)^(AD$118-1)</f>
        <v>-43921.26</v>
      </c>
      <c r="AE219" s="65" t="n">
        <f aca="false">-AE212*Inputs!$C$39/12*1*(1+Inputs!$C$54)*(1+Inputs!$C$55)^(AE$118-1)</f>
        <v>-43921.26</v>
      </c>
      <c r="AF219" s="65" t="n">
        <f aca="false">-AF212*Inputs!$C$39/12*1*(1+Inputs!$C$54)*(1+Inputs!$C$55)^(AF$118-1)</f>
        <v>-43921.26</v>
      </c>
      <c r="AG219" s="65" t="n">
        <f aca="false">-AG212*Inputs!$C$39/12*1*(1+Inputs!$C$54)*(1+Inputs!$C$55)^(AG$118-1)</f>
        <v>-43921.26</v>
      </c>
      <c r="AH219" s="65" t="n">
        <f aca="false">-AH212*Inputs!$C$39/12*1*(1+Inputs!$C$54)*(1+Inputs!$C$55)^(AH$118-1)</f>
        <v>-43921.26</v>
      </c>
      <c r="AI219" s="65" t="n">
        <f aca="false">-AI212*Inputs!$C$39/12*1*(1+Inputs!$C$54)*(1+Inputs!$C$55)^(AI$118-1)</f>
        <v>-43921.26</v>
      </c>
      <c r="AJ219" s="65" t="n">
        <f aca="false">-AJ212*Inputs!$C$39/12*1*(1+Inputs!$C$54)*(1+Inputs!$C$55)^(AJ$118-1)</f>
        <v>-43921.26</v>
      </c>
      <c r="AK219" s="65" t="n">
        <f aca="false">-AK212*Inputs!$C$39/12*1*(1+Inputs!$C$54)*(1+Inputs!$C$55)^(AK$118-1)</f>
        <v>-43921.26</v>
      </c>
      <c r="AL219" s="65" t="n">
        <f aca="false">-AL212*Inputs!$C$39/12*1*(1+Inputs!$C$54)*(1+Inputs!$C$55)^(AL$118-1)</f>
        <v>-43921.26</v>
      </c>
      <c r="AM219" s="65" t="n">
        <f aca="false">-AM212*Inputs!$C$39/12*1*(1+Inputs!$C$54)*(1+Inputs!$C$55)^(AM$118-1)</f>
        <v>-54286.67736</v>
      </c>
      <c r="AN219" s="65" t="n">
        <f aca="false">-AN212*Inputs!$C$39/12*1*(1+Inputs!$C$54)*(1+Inputs!$C$55)^(AN$118-1)</f>
        <v>-54286.67736</v>
      </c>
      <c r="AO219" s="65" t="n">
        <f aca="false">-AO212*Inputs!$C$39/12*1*(1+Inputs!$C$54)*(1+Inputs!$C$55)^(AO$118-1)</f>
        <v>-54286.67736</v>
      </c>
      <c r="AP219" s="65" t="n">
        <f aca="false">-AP212*Inputs!$C$39/12*1*(1+Inputs!$C$54)*(1+Inputs!$C$55)^(AP$118-1)</f>
        <v>-54286.67736</v>
      </c>
      <c r="AQ219" s="65" t="n">
        <f aca="false">-AQ212*Inputs!$C$39/12*1*(1+Inputs!$C$54)*(1+Inputs!$C$55)^(AQ$118-1)</f>
        <v>-54286.67736</v>
      </c>
      <c r="AR219" s="65" t="n">
        <f aca="false">-AR212*Inputs!$C$39/12*1*(1+Inputs!$C$54)*(1+Inputs!$C$55)^(AR$118-1)</f>
        <v>-54286.67736</v>
      </c>
      <c r="AS219" s="65" t="n">
        <f aca="false">-AS212*Inputs!$C$39/12*1*(1+Inputs!$C$54)*(1+Inputs!$C$55)^(AS$118-1)</f>
        <v>-54286.67736</v>
      </c>
      <c r="AT219" s="65" t="n">
        <f aca="false">-AT212*Inputs!$C$39/12*1*(1+Inputs!$C$54)*(1+Inputs!$C$55)^(AT$118-1)</f>
        <v>-54286.67736</v>
      </c>
      <c r="AU219" s="65" t="n">
        <f aca="false">-AU212*Inputs!$C$39/12*1*(1+Inputs!$C$54)*(1+Inputs!$C$55)^(AU$118-1)</f>
        <v>-54286.67736</v>
      </c>
      <c r="AV219" s="65" t="n">
        <f aca="false">-AV212*Inputs!$C$39/12*1*(1+Inputs!$C$54)*(1+Inputs!$C$55)^(AV$118-1)</f>
        <v>-54286.67736</v>
      </c>
      <c r="AW219" s="65" t="n">
        <f aca="false">-AW212*Inputs!$C$39/12*1*(1+Inputs!$C$54)*(1+Inputs!$C$55)^(AW$118-1)</f>
        <v>-54286.67736</v>
      </c>
      <c r="AX219" s="65" t="n">
        <f aca="false">-AX212*Inputs!$C$39/12*1*(1+Inputs!$C$54)*(1+Inputs!$C$55)^(AX$118-1)</f>
        <v>-54286.67736</v>
      </c>
      <c r="AY219" s="65" t="n">
        <f aca="false">-AY212*Inputs!$C$39/12*1*(1+Inputs!$C$54)*(1+Inputs!$C$55)^(AY$118-1)</f>
        <v>-67098.33321696</v>
      </c>
      <c r="AZ219" s="65" t="n">
        <f aca="false">-AZ212*Inputs!$C$39/12*1*(1+Inputs!$C$54)*(1+Inputs!$C$55)^(AZ$118-1)</f>
        <v>-67098.33321696</v>
      </c>
      <c r="BA219" s="65" t="n">
        <f aca="false">-BA212*Inputs!$C$39/12*1*(1+Inputs!$C$54)*(1+Inputs!$C$55)^(BA$118-1)</f>
        <v>-67098.33321696</v>
      </c>
      <c r="BB219" s="65" t="n">
        <f aca="false">-BB212*Inputs!$C$39/12*1*(1+Inputs!$C$54)*(1+Inputs!$C$55)^(BB$118-1)</f>
        <v>-67098.33321696</v>
      </c>
      <c r="BC219" s="65" t="n">
        <f aca="false">-BC212*Inputs!$C$39/12*1*(1+Inputs!$C$54)*(1+Inputs!$C$55)^(BC$118-1)</f>
        <v>-67098.33321696</v>
      </c>
      <c r="BD219" s="65" t="n">
        <f aca="false">-BD212*Inputs!$C$39/12*1*(1+Inputs!$C$54)*(1+Inputs!$C$55)^(BD$118-1)</f>
        <v>-67098.33321696</v>
      </c>
      <c r="BE219" s="65" t="n">
        <f aca="false">-BE212*Inputs!$C$39/12*1*(1+Inputs!$C$54)*(1+Inputs!$C$55)^(BE$118-1)</f>
        <v>-67098.33321696</v>
      </c>
      <c r="BF219" s="65" t="n">
        <f aca="false">-BF212*Inputs!$C$39/12*1*(1+Inputs!$C$54)*(1+Inputs!$C$55)^(BF$118-1)</f>
        <v>-67098.33321696</v>
      </c>
      <c r="BG219" s="65" t="n">
        <f aca="false">-BG212*Inputs!$C$39/12*1*(1+Inputs!$C$54)*(1+Inputs!$C$55)^(BG$118-1)</f>
        <v>-67098.33321696</v>
      </c>
      <c r="BH219" s="65" t="n">
        <f aca="false">-BH212*Inputs!$C$39/12*1*(1+Inputs!$C$54)*(1+Inputs!$C$55)^(BH$118-1)</f>
        <v>-67098.33321696</v>
      </c>
      <c r="BI219" s="65" t="n">
        <f aca="false">-BI212*Inputs!$C$39/12*1*(1+Inputs!$C$54)*(1+Inputs!$C$55)^(BI$118-1)</f>
        <v>-67098.33321696</v>
      </c>
      <c r="BJ219" s="65" t="n">
        <f aca="false">-BJ212*Inputs!$C$39/12*1*(1+Inputs!$C$54)*(1+Inputs!$C$55)^(BJ$118-1)</f>
        <v>-67098.33321696</v>
      </c>
    </row>
    <row r="220" customFormat="false" ht="15" hidden="false" customHeight="false" outlineLevel="0" collapsed="false">
      <c r="A220" s="6" t="s">
        <v>451</v>
      </c>
      <c r="C220" s="65" t="n">
        <f aca="false">-C213*Inputs!$C$43/12*1*(1+Inputs!$C$54)*(1+Inputs!$C$55)^(C$118-1)</f>
        <v>-26833.3333333333</v>
      </c>
      <c r="D220" s="65" t="n">
        <f aca="false">-D213*Inputs!$C$43/12*1*(1+Inputs!$C$54)*(1+Inputs!$C$55)^(D$118-1)</f>
        <v>-26833.3333333333</v>
      </c>
      <c r="E220" s="65" t="n">
        <f aca="false">-E213*Inputs!$C$43/12*1*(1+Inputs!$C$54)*(1+Inputs!$C$55)^(E$118-1)</f>
        <v>-26833.3333333333</v>
      </c>
      <c r="F220" s="65" t="n">
        <f aca="false">-F213*Inputs!$C$43/12*1*(1+Inputs!$C$54)*(1+Inputs!$C$55)^(F$118-1)</f>
        <v>-26833.3333333333</v>
      </c>
      <c r="G220" s="65" t="n">
        <f aca="false">-G213*Inputs!$C$43/12*1*(1+Inputs!$C$54)*(1+Inputs!$C$55)^(G$118-1)</f>
        <v>-26833.3333333333</v>
      </c>
      <c r="H220" s="65" t="n">
        <f aca="false">-H213*Inputs!$C$43/12*1*(1+Inputs!$C$54)*(1+Inputs!$C$55)^(H$118-1)</f>
        <v>-26833.3333333333</v>
      </c>
      <c r="I220" s="65" t="n">
        <f aca="false">-I213*Inputs!$C$43/12*1*(1+Inputs!$C$54)*(1+Inputs!$C$55)^(I$118-1)</f>
        <v>-26833.3333333333</v>
      </c>
      <c r="J220" s="65" t="n">
        <f aca="false">-J213*Inputs!$C$43/12*1*(1+Inputs!$C$54)*(1+Inputs!$C$55)^(J$118-1)</f>
        <v>-26833.3333333333</v>
      </c>
      <c r="K220" s="65" t="n">
        <f aca="false">-K213*Inputs!$C$43/12*1*(1+Inputs!$C$54)*(1+Inputs!$C$55)^(K$118-1)</f>
        <v>-26833.3333333333</v>
      </c>
      <c r="L220" s="65" t="n">
        <f aca="false">-L213*Inputs!$C$43/12*1*(1+Inputs!$C$54)*(1+Inputs!$C$55)^(L$118-1)</f>
        <v>-26833.3333333333</v>
      </c>
      <c r="M220" s="65" t="n">
        <f aca="false">-M213*Inputs!$C$43/12*1*(1+Inputs!$C$54)*(1+Inputs!$C$55)^(M$118-1)</f>
        <v>-26833.3333333333</v>
      </c>
      <c r="N220" s="65" t="n">
        <f aca="false">-N213*Inputs!$C$43/12*1*(1+Inputs!$C$54)*(1+Inputs!$C$55)^(N$118-1)</f>
        <v>-26833.3333333333</v>
      </c>
      <c r="O220" s="65" t="n">
        <f aca="false">-O213*Inputs!$C$43/12*1*(1+Inputs!$C$54)*(1+Inputs!$C$55)^(O$118-1)</f>
        <v>-33166</v>
      </c>
      <c r="P220" s="65" t="n">
        <f aca="false">-P213*Inputs!$C$43/12*1*(1+Inputs!$C$54)*(1+Inputs!$C$55)^(P$118-1)</f>
        <v>-33166</v>
      </c>
      <c r="Q220" s="65" t="n">
        <f aca="false">-Q213*Inputs!$C$43/12*1*(1+Inputs!$C$54)*(1+Inputs!$C$55)^(Q$118-1)</f>
        <v>-33166</v>
      </c>
      <c r="R220" s="65" t="n">
        <f aca="false">-R213*Inputs!$C$43/12*1*(1+Inputs!$C$54)*(1+Inputs!$C$55)^(R$118-1)</f>
        <v>-33166</v>
      </c>
      <c r="S220" s="65" t="n">
        <f aca="false">-S213*Inputs!$C$43/12*1*(1+Inputs!$C$54)*(1+Inputs!$C$55)^(S$118-1)</f>
        <v>-33166</v>
      </c>
      <c r="T220" s="65" t="n">
        <f aca="false">-T213*Inputs!$C$43/12*1*(1+Inputs!$C$54)*(1+Inputs!$C$55)^(T$118-1)</f>
        <v>-33166</v>
      </c>
      <c r="U220" s="65" t="n">
        <f aca="false">-U213*Inputs!$C$43/12*1*(1+Inputs!$C$54)*(1+Inputs!$C$55)^(U$118-1)</f>
        <v>-33166</v>
      </c>
      <c r="V220" s="65" t="n">
        <f aca="false">-V213*Inputs!$C$43/12*1*(1+Inputs!$C$54)*(1+Inputs!$C$55)^(V$118-1)</f>
        <v>-33166</v>
      </c>
      <c r="W220" s="65" t="n">
        <f aca="false">-W213*Inputs!$C$43/12*1*(1+Inputs!$C$54)*(1+Inputs!$C$55)^(W$118-1)</f>
        <v>-33166</v>
      </c>
      <c r="X220" s="65" t="n">
        <f aca="false">-X213*Inputs!$C$43/12*1*(1+Inputs!$C$54)*(1+Inputs!$C$55)^(X$118-1)</f>
        <v>-33166</v>
      </c>
      <c r="Y220" s="65" t="n">
        <f aca="false">-Y213*Inputs!$C$43/12*1*(1+Inputs!$C$54)*(1+Inputs!$C$55)^(Y$118-1)</f>
        <v>-33166</v>
      </c>
      <c r="Z220" s="65" t="n">
        <f aca="false">-Z213*Inputs!$C$43/12*1*(1+Inputs!$C$54)*(1+Inputs!$C$55)^(Z$118-1)</f>
        <v>-33166</v>
      </c>
      <c r="AA220" s="65" t="n">
        <f aca="false">-AA213*Inputs!$C$43/12*1*(1+Inputs!$C$54)*(1+Inputs!$C$55)^(AA$118-1)</f>
        <v>-40993.176</v>
      </c>
      <c r="AB220" s="65" t="n">
        <f aca="false">-AB213*Inputs!$C$43/12*1*(1+Inputs!$C$54)*(1+Inputs!$C$55)^(AB$118-1)</f>
        <v>-40993.176</v>
      </c>
      <c r="AC220" s="65" t="n">
        <f aca="false">-AC213*Inputs!$C$43/12*1*(1+Inputs!$C$54)*(1+Inputs!$C$55)^(AC$118-1)</f>
        <v>-40993.176</v>
      </c>
      <c r="AD220" s="65" t="n">
        <f aca="false">-AD213*Inputs!$C$43/12*1*(1+Inputs!$C$54)*(1+Inputs!$C$55)^(AD$118-1)</f>
        <v>-40993.176</v>
      </c>
      <c r="AE220" s="65" t="n">
        <f aca="false">-AE213*Inputs!$C$43/12*1*(1+Inputs!$C$54)*(1+Inputs!$C$55)^(AE$118-1)</f>
        <v>-40993.176</v>
      </c>
      <c r="AF220" s="65" t="n">
        <f aca="false">-AF213*Inputs!$C$43/12*1*(1+Inputs!$C$54)*(1+Inputs!$C$55)^(AF$118-1)</f>
        <v>-40993.176</v>
      </c>
      <c r="AG220" s="65" t="n">
        <f aca="false">-AG213*Inputs!$C$43/12*1*(1+Inputs!$C$54)*(1+Inputs!$C$55)^(AG$118-1)</f>
        <v>-40993.176</v>
      </c>
      <c r="AH220" s="65" t="n">
        <f aca="false">-AH213*Inputs!$C$43/12*1*(1+Inputs!$C$54)*(1+Inputs!$C$55)^(AH$118-1)</f>
        <v>-40993.176</v>
      </c>
      <c r="AI220" s="65" t="n">
        <f aca="false">-AI213*Inputs!$C$43/12*1*(1+Inputs!$C$54)*(1+Inputs!$C$55)^(AI$118-1)</f>
        <v>-40993.176</v>
      </c>
      <c r="AJ220" s="65" t="n">
        <f aca="false">-AJ213*Inputs!$C$43/12*1*(1+Inputs!$C$54)*(1+Inputs!$C$55)^(AJ$118-1)</f>
        <v>-40993.176</v>
      </c>
      <c r="AK220" s="65" t="n">
        <f aca="false">-AK213*Inputs!$C$43/12*1*(1+Inputs!$C$54)*(1+Inputs!$C$55)^(AK$118-1)</f>
        <v>-40993.176</v>
      </c>
      <c r="AL220" s="65" t="n">
        <f aca="false">-AL213*Inputs!$C$43/12*1*(1+Inputs!$C$54)*(1+Inputs!$C$55)^(AL$118-1)</f>
        <v>-40993.176</v>
      </c>
      <c r="AM220" s="65" t="n">
        <f aca="false">-AM213*Inputs!$C$43/12*1*(1+Inputs!$C$54)*(1+Inputs!$C$55)^(AM$118-1)</f>
        <v>-50667.565536</v>
      </c>
      <c r="AN220" s="65" t="n">
        <f aca="false">-AN213*Inputs!$C$43/12*1*(1+Inputs!$C$54)*(1+Inputs!$C$55)^(AN$118-1)</f>
        <v>-50667.565536</v>
      </c>
      <c r="AO220" s="65" t="n">
        <f aca="false">-AO213*Inputs!$C$43/12*1*(1+Inputs!$C$54)*(1+Inputs!$C$55)^(AO$118-1)</f>
        <v>-50667.565536</v>
      </c>
      <c r="AP220" s="65" t="n">
        <f aca="false">-AP213*Inputs!$C$43/12*1*(1+Inputs!$C$54)*(1+Inputs!$C$55)^(AP$118-1)</f>
        <v>-50667.565536</v>
      </c>
      <c r="AQ220" s="65" t="n">
        <f aca="false">-AQ213*Inputs!$C$43/12*1*(1+Inputs!$C$54)*(1+Inputs!$C$55)^(AQ$118-1)</f>
        <v>-50667.565536</v>
      </c>
      <c r="AR220" s="65" t="n">
        <f aca="false">-AR213*Inputs!$C$43/12*1*(1+Inputs!$C$54)*(1+Inputs!$C$55)^(AR$118-1)</f>
        <v>-50667.565536</v>
      </c>
      <c r="AS220" s="65" t="n">
        <f aca="false">-AS213*Inputs!$C$43/12*1*(1+Inputs!$C$54)*(1+Inputs!$C$55)^(AS$118-1)</f>
        <v>-50667.565536</v>
      </c>
      <c r="AT220" s="65" t="n">
        <f aca="false">-AT213*Inputs!$C$43/12*1*(1+Inputs!$C$54)*(1+Inputs!$C$55)^(AT$118-1)</f>
        <v>-50667.565536</v>
      </c>
      <c r="AU220" s="65" t="n">
        <f aca="false">-AU213*Inputs!$C$43/12*1*(1+Inputs!$C$54)*(1+Inputs!$C$55)^(AU$118-1)</f>
        <v>-50667.565536</v>
      </c>
      <c r="AV220" s="65" t="n">
        <f aca="false">-AV213*Inputs!$C$43/12*1*(1+Inputs!$C$54)*(1+Inputs!$C$55)^(AV$118-1)</f>
        <v>-50667.565536</v>
      </c>
      <c r="AW220" s="65" t="n">
        <f aca="false">-AW213*Inputs!$C$43/12*1*(1+Inputs!$C$54)*(1+Inputs!$C$55)^(AW$118-1)</f>
        <v>-50667.565536</v>
      </c>
      <c r="AX220" s="65" t="n">
        <f aca="false">-AX213*Inputs!$C$43/12*1*(1+Inputs!$C$54)*(1+Inputs!$C$55)^(AX$118-1)</f>
        <v>-50667.565536</v>
      </c>
      <c r="AY220" s="65" t="n">
        <f aca="false">-AY213*Inputs!$C$43/12*1*(1+Inputs!$C$54)*(1+Inputs!$C$55)^(AY$118-1)</f>
        <v>-62625.111002496</v>
      </c>
      <c r="AZ220" s="65" t="n">
        <f aca="false">-AZ213*Inputs!$C$43/12*1*(1+Inputs!$C$54)*(1+Inputs!$C$55)^(AZ$118-1)</f>
        <v>-62625.111002496</v>
      </c>
      <c r="BA220" s="65" t="n">
        <f aca="false">-BA213*Inputs!$C$43/12*1*(1+Inputs!$C$54)*(1+Inputs!$C$55)^(BA$118-1)</f>
        <v>-62625.111002496</v>
      </c>
      <c r="BB220" s="65" t="n">
        <f aca="false">-BB213*Inputs!$C$43/12*1*(1+Inputs!$C$54)*(1+Inputs!$C$55)^(BB$118-1)</f>
        <v>-62625.111002496</v>
      </c>
      <c r="BC220" s="65" t="n">
        <f aca="false">-BC213*Inputs!$C$43/12*1*(1+Inputs!$C$54)*(1+Inputs!$C$55)^(BC$118-1)</f>
        <v>-62625.111002496</v>
      </c>
      <c r="BD220" s="65" t="n">
        <f aca="false">-BD213*Inputs!$C$43/12*1*(1+Inputs!$C$54)*(1+Inputs!$C$55)^(BD$118-1)</f>
        <v>-62625.111002496</v>
      </c>
      <c r="BE220" s="65" t="n">
        <f aca="false">-BE213*Inputs!$C$43/12*1*(1+Inputs!$C$54)*(1+Inputs!$C$55)^(BE$118-1)</f>
        <v>-62625.111002496</v>
      </c>
      <c r="BF220" s="65" t="n">
        <f aca="false">-BF213*Inputs!$C$43/12*1*(1+Inputs!$C$54)*(1+Inputs!$C$55)^(BF$118-1)</f>
        <v>-62625.111002496</v>
      </c>
      <c r="BG220" s="65" t="n">
        <f aca="false">-BG213*Inputs!$C$43/12*1*(1+Inputs!$C$54)*(1+Inputs!$C$55)^(BG$118-1)</f>
        <v>-62625.111002496</v>
      </c>
      <c r="BH220" s="65" t="n">
        <f aca="false">-BH213*Inputs!$C$43/12*1*(1+Inputs!$C$54)*(1+Inputs!$C$55)^(BH$118-1)</f>
        <v>-62625.111002496</v>
      </c>
      <c r="BI220" s="65" t="n">
        <f aca="false">-BI213*Inputs!$C$43/12*1*(1+Inputs!$C$54)*(1+Inputs!$C$55)^(BI$118-1)</f>
        <v>-62625.111002496</v>
      </c>
      <c r="BJ220" s="65" t="n">
        <f aca="false">-BJ213*Inputs!$C$43/12*1*(1+Inputs!$C$54)*(1+Inputs!$C$55)^(BJ$118-1)</f>
        <v>-62625.111002496</v>
      </c>
    </row>
    <row r="221" customFormat="false" ht="15" hidden="false" customHeight="false" outlineLevel="0" collapsed="false">
      <c r="A221" s="6" t="s">
        <v>452</v>
      </c>
      <c r="C221" s="65" t="n">
        <f aca="false">-C214*Inputs!$C$47/12*1*(1+Inputs!$C$54)*(1+Inputs!$C$55)^(C$118-1)</f>
        <v>-29133.3333333333</v>
      </c>
      <c r="D221" s="65" t="n">
        <f aca="false">-D214*Inputs!$C$47/12*1*(1+Inputs!$C$54)*(1+Inputs!$C$55)^(D$118-1)</f>
        <v>-29133.3333333333</v>
      </c>
      <c r="E221" s="65" t="n">
        <f aca="false">-E214*Inputs!$C$47/12*1*(1+Inputs!$C$54)*(1+Inputs!$C$55)^(E$118-1)</f>
        <v>-29133.3333333333</v>
      </c>
      <c r="F221" s="65" t="n">
        <f aca="false">-F214*Inputs!$C$47/12*1*(1+Inputs!$C$54)*(1+Inputs!$C$55)^(F$118-1)</f>
        <v>-29133.3333333333</v>
      </c>
      <c r="G221" s="65" t="n">
        <f aca="false">-G214*Inputs!$C$47/12*1*(1+Inputs!$C$54)*(1+Inputs!$C$55)^(G$118-1)</f>
        <v>-29133.3333333333</v>
      </c>
      <c r="H221" s="65" t="n">
        <f aca="false">-H214*Inputs!$C$47/12*1*(1+Inputs!$C$54)*(1+Inputs!$C$55)^(H$118-1)</f>
        <v>-29133.3333333333</v>
      </c>
      <c r="I221" s="65" t="n">
        <f aca="false">-I214*Inputs!$C$47/12*1*(1+Inputs!$C$54)*(1+Inputs!$C$55)^(I$118-1)</f>
        <v>-29133.3333333333</v>
      </c>
      <c r="J221" s="65" t="n">
        <f aca="false">-J214*Inputs!$C$47/12*1*(1+Inputs!$C$54)*(1+Inputs!$C$55)^(J$118-1)</f>
        <v>-29133.3333333333</v>
      </c>
      <c r="K221" s="65" t="n">
        <f aca="false">-K214*Inputs!$C$47/12*1*(1+Inputs!$C$54)*(1+Inputs!$C$55)^(K$118-1)</f>
        <v>-29133.3333333333</v>
      </c>
      <c r="L221" s="65" t="n">
        <f aca="false">-L214*Inputs!$C$47/12*1*(1+Inputs!$C$54)*(1+Inputs!$C$55)^(L$118-1)</f>
        <v>-29133.3333333333</v>
      </c>
      <c r="M221" s="65" t="n">
        <f aca="false">-M214*Inputs!$C$47/12*1*(1+Inputs!$C$54)*(1+Inputs!$C$55)^(M$118-1)</f>
        <v>-29133.3333333333</v>
      </c>
      <c r="N221" s="65" t="n">
        <f aca="false">-N214*Inputs!$C$47/12*1*(1+Inputs!$C$54)*(1+Inputs!$C$55)^(N$118-1)</f>
        <v>-29133.3333333333</v>
      </c>
      <c r="O221" s="65" t="n">
        <f aca="false">-O214*Inputs!$C$47/12*1*(1+Inputs!$C$54)*(1+Inputs!$C$55)^(O$118-1)</f>
        <v>-39009.5333333333</v>
      </c>
      <c r="P221" s="65" t="n">
        <f aca="false">-P214*Inputs!$C$47/12*1*(1+Inputs!$C$54)*(1+Inputs!$C$55)^(P$118-1)</f>
        <v>-39009.5333333333</v>
      </c>
      <c r="Q221" s="65" t="n">
        <f aca="false">-Q214*Inputs!$C$47/12*1*(1+Inputs!$C$54)*(1+Inputs!$C$55)^(Q$118-1)</f>
        <v>-39009.5333333333</v>
      </c>
      <c r="R221" s="65" t="n">
        <f aca="false">-R214*Inputs!$C$47/12*1*(1+Inputs!$C$54)*(1+Inputs!$C$55)^(R$118-1)</f>
        <v>-39009.5333333333</v>
      </c>
      <c r="S221" s="65" t="n">
        <f aca="false">-S214*Inputs!$C$47/12*1*(1+Inputs!$C$54)*(1+Inputs!$C$55)^(S$118-1)</f>
        <v>-39009.5333333333</v>
      </c>
      <c r="T221" s="65" t="n">
        <f aca="false">-T214*Inputs!$C$47/12*1*(1+Inputs!$C$54)*(1+Inputs!$C$55)^(T$118-1)</f>
        <v>-39009.5333333333</v>
      </c>
      <c r="U221" s="65" t="n">
        <f aca="false">-U214*Inputs!$C$47/12*1*(1+Inputs!$C$54)*(1+Inputs!$C$55)^(U$118-1)</f>
        <v>-39009.5333333333</v>
      </c>
      <c r="V221" s="65" t="n">
        <f aca="false">-V214*Inputs!$C$47/12*1*(1+Inputs!$C$54)*(1+Inputs!$C$55)^(V$118-1)</f>
        <v>-39009.5333333333</v>
      </c>
      <c r="W221" s="65" t="n">
        <f aca="false">-W214*Inputs!$C$47/12*1*(1+Inputs!$C$54)*(1+Inputs!$C$55)^(W$118-1)</f>
        <v>-39009.5333333333</v>
      </c>
      <c r="X221" s="65" t="n">
        <f aca="false">-X214*Inputs!$C$47/12*1*(1+Inputs!$C$54)*(1+Inputs!$C$55)^(X$118-1)</f>
        <v>-39009.5333333333</v>
      </c>
      <c r="Y221" s="65" t="n">
        <f aca="false">-Y214*Inputs!$C$47/12*1*(1+Inputs!$C$54)*(1+Inputs!$C$55)^(Y$118-1)</f>
        <v>-39009.5333333333</v>
      </c>
      <c r="Z221" s="65" t="n">
        <f aca="false">-Z214*Inputs!$C$47/12*1*(1+Inputs!$C$54)*(1+Inputs!$C$55)^(Z$118-1)</f>
        <v>-39009.5333333333</v>
      </c>
      <c r="AA221" s="65" t="n">
        <f aca="false">-AA214*Inputs!$C$47/12*1*(1+Inputs!$C$54)*(1+Inputs!$C$55)^(AA$118-1)</f>
        <v>-52233.7651333333</v>
      </c>
      <c r="AB221" s="65" t="n">
        <f aca="false">-AB214*Inputs!$C$47/12*1*(1+Inputs!$C$54)*(1+Inputs!$C$55)^(AB$118-1)</f>
        <v>-52233.7651333333</v>
      </c>
      <c r="AC221" s="65" t="n">
        <f aca="false">-AC214*Inputs!$C$47/12*1*(1+Inputs!$C$54)*(1+Inputs!$C$55)^(AC$118-1)</f>
        <v>-52233.7651333333</v>
      </c>
      <c r="AD221" s="65" t="n">
        <f aca="false">-AD214*Inputs!$C$47/12*1*(1+Inputs!$C$54)*(1+Inputs!$C$55)^(AD$118-1)</f>
        <v>-52233.7651333333</v>
      </c>
      <c r="AE221" s="65" t="n">
        <f aca="false">-AE214*Inputs!$C$47/12*1*(1+Inputs!$C$54)*(1+Inputs!$C$55)^(AE$118-1)</f>
        <v>-52233.7651333333</v>
      </c>
      <c r="AF221" s="65" t="n">
        <f aca="false">-AF214*Inputs!$C$47/12*1*(1+Inputs!$C$54)*(1+Inputs!$C$55)^(AF$118-1)</f>
        <v>-52233.7651333333</v>
      </c>
      <c r="AG221" s="65" t="n">
        <f aca="false">-AG214*Inputs!$C$47/12*1*(1+Inputs!$C$54)*(1+Inputs!$C$55)^(AG$118-1)</f>
        <v>-52233.7651333333</v>
      </c>
      <c r="AH221" s="65" t="n">
        <f aca="false">-AH214*Inputs!$C$47/12*1*(1+Inputs!$C$54)*(1+Inputs!$C$55)^(AH$118-1)</f>
        <v>-52233.7651333333</v>
      </c>
      <c r="AI221" s="65" t="n">
        <f aca="false">-AI214*Inputs!$C$47/12*1*(1+Inputs!$C$54)*(1+Inputs!$C$55)^(AI$118-1)</f>
        <v>-52233.7651333333</v>
      </c>
      <c r="AJ221" s="65" t="n">
        <f aca="false">-AJ214*Inputs!$C$47/12*1*(1+Inputs!$C$54)*(1+Inputs!$C$55)^(AJ$118-1)</f>
        <v>-52233.7651333333</v>
      </c>
      <c r="AK221" s="65" t="n">
        <f aca="false">-AK214*Inputs!$C$47/12*1*(1+Inputs!$C$54)*(1+Inputs!$C$55)^(AK$118-1)</f>
        <v>-52233.7651333333</v>
      </c>
      <c r="AL221" s="65" t="n">
        <f aca="false">-AL214*Inputs!$C$47/12*1*(1+Inputs!$C$54)*(1+Inputs!$C$55)^(AL$118-1)</f>
        <v>-52233.7651333333</v>
      </c>
      <c r="AM221" s="65" t="n">
        <f aca="false">-AM214*Inputs!$C$47/12*1*(1+Inputs!$C$54)*(1+Inputs!$C$55)^(AM$118-1)</f>
        <v>-69941.0115135333</v>
      </c>
      <c r="AN221" s="65" t="n">
        <f aca="false">-AN214*Inputs!$C$47/12*1*(1+Inputs!$C$54)*(1+Inputs!$C$55)^(AN$118-1)</f>
        <v>-69941.0115135333</v>
      </c>
      <c r="AO221" s="65" t="n">
        <f aca="false">-AO214*Inputs!$C$47/12*1*(1+Inputs!$C$54)*(1+Inputs!$C$55)^(AO$118-1)</f>
        <v>-69941.0115135333</v>
      </c>
      <c r="AP221" s="65" t="n">
        <f aca="false">-AP214*Inputs!$C$47/12*1*(1+Inputs!$C$54)*(1+Inputs!$C$55)^(AP$118-1)</f>
        <v>-69941.0115135333</v>
      </c>
      <c r="AQ221" s="65" t="n">
        <f aca="false">-AQ214*Inputs!$C$47/12*1*(1+Inputs!$C$54)*(1+Inputs!$C$55)^(AQ$118-1)</f>
        <v>-69941.0115135333</v>
      </c>
      <c r="AR221" s="65" t="n">
        <f aca="false">-AR214*Inputs!$C$47/12*1*(1+Inputs!$C$54)*(1+Inputs!$C$55)^(AR$118-1)</f>
        <v>-69941.0115135333</v>
      </c>
      <c r="AS221" s="65" t="n">
        <f aca="false">-AS214*Inputs!$C$47/12*1*(1+Inputs!$C$54)*(1+Inputs!$C$55)^(AS$118-1)</f>
        <v>-69941.0115135333</v>
      </c>
      <c r="AT221" s="65" t="n">
        <f aca="false">-AT214*Inputs!$C$47/12*1*(1+Inputs!$C$54)*(1+Inputs!$C$55)^(AT$118-1)</f>
        <v>-69941.0115135333</v>
      </c>
      <c r="AU221" s="65" t="n">
        <f aca="false">-AU214*Inputs!$C$47/12*1*(1+Inputs!$C$54)*(1+Inputs!$C$55)^(AU$118-1)</f>
        <v>-69941.0115135333</v>
      </c>
      <c r="AV221" s="65" t="n">
        <f aca="false">-AV214*Inputs!$C$47/12*1*(1+Inputs!$C$54)*(1+Inputs!$C$55)^(AV$118-1)</f>
        <v>-69941.0115135333</v>
      </c>
      <c r="AW221" s="65" t="n">
        <f aca="false">-AW214*Inputs!$C$47/12*1*(1+Inputs!$C$54)*(1+Inputs!$C$55)^(AW$118-1)</f>
        <v>-69941.0115135333</v>
      </c>
      <c r="AX221" s="65" t="n">
        <f aca="false">-AX214*Inputs!$C$47/12*1*(1+Inputs!$C$54)*(1+Inputs!$C$55)^(AX$118-1)</f>
        <v>-69941.0115135333</v>
      </c>
      <c r="AY221" s="65" t="n">
        <f aca="false">-AY214*Inputs!$C$47/12*1*(1+Inputs!$C$54)*(1+Inputs!$C$55)^(AY$118-1)</f>
        <v>-93651.0144166211</v>
      </c>
      <c r="AZ221" s="65" t="n">
        <f aca="false">-AZ214*Inputs!$C$47/12*1*(1+Inputs!$C$54)*(1+Inputs!$C$55)^(AZ$118-1)</f>
        <v>-93651.0144166211</v>
      </c>
      <c r="BA221" s="65" t="n">
        <f aca="false">-BA214*Inputs!$C$47/12*1*(1+Inputs!$C$54)*(1+Inputs!$C$55)^(BA$118-1)</f>
        <v>-93651.0144166211</v>
      </c>
      <c r="BB221" s="65" t="n">
        <f aca="false">-BB214*Inputs!$C$47/12*1*(1+Inputs!$C$54)*(1+Inputs!$C$55)^(BB$118-1)</f>
        <v>-93651.0144166211</v>
      </c>
      <c r="BC221" s="65" t="n">
        <f aca="false">-BC214*Inputs!$C$47/12*1*(1+Inputs!$C$54)*(1+Inputs!$C$55)^(BC$118-1)</f>
        <v>-93651.0144166211</v>
      </c>
      <c r="BD221" s="65" t="n">
        <f aca="false">-BD214*Inputs!$C$47/12*1*(1+Inputs!$C$54)*(1+Inputs!$C$55)^(BD$118-1)</f>
        <v>-93651.0144166211</v>
      </c>
      <c r="BE221" s="65" t="n">
        <f aca="false">-BE214*Inputs!$C$47/12*1*(1+Inputs!$C$54)*(1+Inputs!$C$55)^(BE$118-1)</f>
        <v>-93651.0144166211</v>
      </c>
      <c r="BF221" s="65" t="n">
        <f aca="false">-BF214*Inputs!$C$47/12*1*(1+Inputs!$C$54)*(1+Inputs!$C$55)^(BF$118-1)</f>
        <v>-93651.0144166211</v>
      </c>
      <c r="BG221" s="65" t="n">
        <f aca="false">-BG214*Inputs!$C$47/12*1*(1+Inputs!$C$54)*(1+Inputs!$C$55)^(BG$118-1)</f>
        <v>-93651.0144166211</v>
      </c>
      <c r="BH221" s="65" t="n">
        <f aca="false">-BH214*Inputs!$C$47/12*1*(1+Inputs!$C$54)*(1+Inputs!$C$55)^(BH$118-1)</f>
        <v>-93651.0144166211</v>
      </c>
      <c r="BI221" s="65" t="n">
        <f aca="false">-BI214*Inputs!$C$47/12*1*(1+Inputs!$C$54)*(1+Inputs!$C$55)^(BI$118-1)</f>
        <v>-93651.0144166211</v>
      </c>
      <c r="BJ221" s="65" t="n">
        <f aca="false">-BJ214*Inputs!$C$47/12*1*(1+Inputs!$C$54)*(1+Inputs!$C$55)^(BJ$118-1)</f>
        <v>-93651.0144166211</v>
      </c>
    </row>
    <row r="222" customFormat="false" ht="15" hidden="false" customHeight="false" outlineLevel="0" collapsed="false">
      <c r="A222" s="6" t="s">
        <v>453</v>
      </c>
      <c r="C222" s="65" t="n">
        <f aca="false">-C215*Inputs!$C$51/12*1*(1+Inputs!$C$54)*(1+Inputs!$C$55)^(C$118-1)</f>
        <v>-20125</v>
      </c>
      <c r="D222" s="65" t="n">
        <f aca="false">-D215*Inputs!$C$51/12*1*(1+Inputs!$C$54)*(1+Inputs!$C$55)^(D$118-1)</f>
        <v>-20125</v>
      </c>
      <c r="E222" s="65" t="n">
        <f aca="false">-E215*Inputs!$C$51/12*1*(1+Inputs!$C$54)*(1+Inputs!$C$55)^(E$118-1)</f>
        <v>-20125</v>
      </c>
      <c r="F222" s="65" t="n">
        <f aca="false">-F215*Inputs!$C$51/12*1*(1+Inputs!$C$54)*(1+Inputs!$C$55)^(F$118-1)</f>
        <v>-20125</v>
      </c>
      <c r="G222" s="65" t="n">
        <f aca="false">-G215*Inputs!$C$51/12*1*(1+Inputs!$C$54)*(1+Inputs!$C$55)^(G$118-1)</f>
        <v>-20125</v>
      </c>
      <c r="H222" s="65" t="n">
        <f aca="false">-H215*Inputs!$C$51/12*1*(1+Inputs!$C$54)*(1+Inputs!$C$55)^(H$118-1)</f>
        <v>-20125</v>
      </c>
      <c r="I222" s="65" t="n">
        <f aca="false">-I215*Inputs!$C$51/12*1*(1+Inputs!$C$54)*(1+Inputs!$C$55)^(I$118-1)</f>
        <v>-20125</v>
      </c>
      <c r="J222" s="65" t="n">
        <f aca="false">-J215*Inputs!$C$51/12*1*(1+Inputs!$C$54)*(1+Inputs!$C$55)^(J$118-1)</f>
        <v>-20125</v>
      </c>
      <c r="K222" s="65" t="n">
        <f aca="false">-K215*Inputs!$C$51/12*1*(1+Inputs!$C$54)*(1+Inputs!$C$55)^(K$118-1)</f>
        <v>-20125</v>
      </c>
      <c r="L222" s="65" t="n">
        <f aca="false">-L215*Inputs!$C$51/12*1*(1+Inputs!$C$54)*(1+Inputs!$C$55)^(L$118-1)</f>
        <v>-20125</v>
      </c>
      <c r="M222" s="65" t="n">
        <f aca="false">-M215*Inputs!$C$51/12*1*(1+Inputs!$C$54)*(1+Inputs!$C$55)^(M$118-1)</f>
        <v>-20125</v>
      </c>
      <c r="N222" s="65" t="n">
        <f aca="false">-N215*Inputs!$C$51/12*1*(1+Inputs!$C$54)*(1+Inputs!$C$55)^(N$118-1)</f>
        <v>-20125</v>
      </c>
      <c r="O222" s="65" t="n">
        <f aca="false">-O215*Inputs!$C$51/12*1*(1+Inputs!$C$54)*(1+Inputs!$C$55)^(O$118-1)</f>
        <v>-23838.0625</v>
      </c>
      <c r="P222" s="65" t="n">
        <f aca="false">-P215*Inputs!$C$51/12*1*(1+Inputs!$C$54)*(1+Inputs!$C$55)^(P$118-1)</f>
        <v>-23838.0625</v>
      </c>
      <c r="Q222" s="65" t="n">
        <f aca="false">-Q215*Inputs!$C$51/12*1*(1+Inputs!$C$54)*(1+Inputs!$C$55)^(Q$118-1)</f>
        <v>-23838.0625</v>
      </c>
      <c r="R222" s="65" t="n">
        <f aca="false">-R215*Inputs!$C$51/12*1*(1+Inputs!$C$54)*(1+Inputs!$C$55)^(R$118-1)</f>
        <v>-23838.0625</v>
      </c>
      <c r="S222" s="65" t="n">
        <f aca="false">-S215*Inputs!$C$51/12*1*(1+Inputs!$C$54)*(1+Inputs!$C$55)^(S$118-1)</f>
        <v>-23838.0625</v>
      </c>
      <c r="T222" s="65" t="n">
        <f aca="false">-T215*Inputs!$C$51/12*1*(1+Inputs!$C$54)*(1+Inputs!$C$55)^(T$118-1)</f>
        <v>-23838.0625</v>
      </c>
      <c r="U222" s="65" t="n">
        <f aca="false">-U215*Inputs!$C$51/12*1*(1+Inputs!$C$54)*(1+Inputs!$C$55)^(U$118-1)</f>
        <v>-23838.0625</v>
      </c>
      <c r="V222" s="65" t="n">
        <f aca="false">-V215*Inputs!$C$51/12*1*(1+Inputs!$C$54)*(1+Inputs!$C$55)^(V$118-1)</f>
        <v>-23838.0625</v>
      </c>
      <c r="W222" s="65" t="n">
        <f aca="false">-W215*Inputs!$C$51/12*1*(1+Inputs!$C$54)*(1+Inputs!$C$55)^(W$118-1)</f>
        <v>-23838.0625</v>
      </c>
      <c r="X222" s="65" t="n">
        <f aca="false">-X215*Inputs!$C$51/12*1*(1+Inputs!$C$54)*(1+Inputs!$C$55)^(X$118-1)</f>
        <v>-23838.0625</v>
      </c>
      <c r="Y222" s="65" t="n">
        <f aca="false">-Y215*Inputs!$C$51/12*1*(1+Inputs!$C$54)*(1+Inputs!$C$55)^(Y$118-1)</f>
        <v>-23838.0625</v>
      </c>
      <c r="Z222" s="65" t="n">
        <f aca="false">-Z215*Inputs!$C$51/12*1*(1+Inputs!$C$54)*(1+Inputs!$C$55)^(Z$118-1)</f>
        <v>-23838.0625</v>
      </c>
      <c r="AA222" s="65" t="n">
        <f aca="false">-AA215*Inputs!$C$51/12*1*(1+Inputs!$C$54)*(1+Inputs!$C$55)^(AA$118-1)</f>
        <v>-28236.18503125</v>
      </c>
      <c r="AB222" s="65" t="n">
        <f aca="false">-AB215*Inputs!$C$51/12*1*(1+Inputs!$C$54)*(1+Inputs!$C$55)^(AB$118-1)</f>
        <v>-28236.18503125</v>
      </c>
      <c r="AC222" s="65" t="n">
        <f aca="false">-AC215*Inputs!$C$51/12*1*(1+Inputs!$C$54)*(1+Inputs!$C$55)^(AC$118-1)</f>
        <v>-28236.18503125</v>
      </c>
      <c r="AD222" s="65" t="n">
        <f aca="false">-AD215*Inputs!$C$51/12*1*(1+Inputs!$C$54)*(1+Inputs!$C$55)^(AD$118-1)</f>
        <v>-28236.18503125</v>
      </c>
      <c r="AE222" s="65" t="n">
        <f aca="false">-AE215*Inputs!$C$51/12*1*(1+Inputs!$C$54)*(1+Inputs!$C$55)^(AE$118-1)</f>
        <v>-28236.18503125</v>
      </c>
      <c r="AF222" s="65" t="n">
        <f aca="false">-AF215*Inputs!$C$51/12*1*(1+Inputs!$C$54)*(1+Inputs!$C$55)^(AF$118-1)</f>
        <v>-28236.18503125</v>
      </c>
      <c r="AG222" s="65" t="n">
        <f aca="false">-AG215*Inputs!$C$51/12*1*(1+Inputs!$C$54)*(1+Inputs!$C$55)^(AG$118-1)</f>
        <v>-28236.18503125</v>
      </c>
      <c r="AH222" s="65" t="n">
        <f aca="false">-AH215*Inputs!$C$51/12*1*(1+Inputs!$C$54)*(1+Inputs!$C$55)^(AH$118-1)</f>
        <v>-28236.18503125</v>
      </c>
      <c r="AI222" s="65" t="n">
        <f aca="false">-AI215*Inputs!$C$51/12*1*(1+Inputs!$C$54)*(1+Inputs!$C$55)^(AI$118-1)</f>
        <v>-28236.18503125</v>
      </c>
      <c r="AJ222" s="65" t="n">
        <f aca="false">-AJ215*Inputs!$C$51/12*1*(1+Inputs!$C$54)*(1+Inputs!$C$55)^(AJ$118-1)</f>
        <v>-28236.18503125</v>
      </c>
      <c r="AK222" s="65" t="n">
        <f aca="false">-AK215*Inputs!$C$51/12*1*(1+Inputs!$C$54)*(1+Inputs!$C$55)^(AK$118-1)</f>
        <v>-28236.18503125</v>
      </c>
      <c r="AL222" s="65" t="n">
        <f aca="false">-AL215*Inputs!$C$51/12*1*(1+Inputs!$C$54)*(1+Inputs!$C$55)^(AL$118-1)</f>
        <v>-28236.18503125</v>
      </c>
      <c r="AM222" s="65" t="n">
        <f aca="false">-AM215*Inputs!$C$51/12*1*(1+Inputs!$C$54)*(1+Inputs!$C$55)^(AM$118-1)</f>
        <v>-33445.7611695156</v>
      </c>
      <c r="AN222" s="65" t="n">
        <f aca="false">-AN215*Inputs!$C$51/12*1*(1+Inputs!$C$54)*(1+Inputs!$C$55)^(AN$118-1)</f>
        <v>-33445.7611695156</v>
      </c>
      <c r="AO222" s="65" t="n">
        <f aca="false">-AO215*Inputs!$C$51/12*1*(1+Inputs!$C$54)*(1+Inputs!$C$55)^(AO$118-1)</f>
        <v>-33445.7611695156</v>
      </c>
      <c r="AP222" s="65" t="n">
        <f aca="false">-AP215*Inputs!$C$51/12*1*(1+Inputs!$C$54)*(1+Inputs!$C$55)^(AP$118-1)</f>
        <v>-33445.7611695156</v>
      </c>
      <c r="AQ222" s="65" t="n">
        <f aca="false">-AQ215*Inputs!$C$51/12*1*(1+Inputs!$C$54)*(1+Inputs!$C$55)^(AQ$118-1)</f>
        <v>-33445.7611695156</v>
      </c>
      <c r="AR222" s="65" t="n">
        <f aca="false">-AR215*Inputs!$C$51/12*1*(1+Inputs!$C$54)*(1+Inputs!$C$55)^(AR$118-1)</f>
        <v>-33445.7611695156</v>
      </c>
      <c r="AS222" s="65" t="n">
        <f aca="false">-AS215*Inputs!$C$51/12*1*(1+Inputs!$C$54)*(1+Inputs!$C$55)^(AS$118-1)</f>
        <v>-33445.7611695156</v>
      </c>
      <c r="AT222" s="65" t="n">
        <f aca="false">-AT215*Inputs!$C$51/12*1*(1+Inputs!$C$54)*(1+Inputs!$C$55)^(AT$118-1)</f>
        <v>-33445.7611695156</v>
      </c>
      <c r="AU222" s="65" t="n">
        <f aca="false">-AU215*Inputs!$C$51/12*1*(1+Inputs!$C$54)*(1+Inputs!$C$55)^(AU$118-1)</f>
        <v>-33445.7611695156</v>
      </c>
      <c r="AV222" s="65" t="n">
        <f aca="false">-AV215*Inputs!$C$51/12*1*(1+Inputs!$C$54)*(1+Inputs!$C$55)^(AV$118-1)</f>
        <v>-33445.7611695156</v>
      </c>
      <c r="AW222" s="65" t="n">
        <f aca="false">-AW215*Inputs!$C$51/12*1*(1+Inputs!$C$54)*(1+Inputs!$C$55)^(AW$118-1)</f>
        <v>-33445.7611695156</v>
      </c>
      <c r="AX222" s="65" t="n">
        <f aca="false">-AX215*Inputs!$C$51/12*1*(1+Inputs!$C$54)*(1+Inputs!$C$55)^(AX$118-1)</f>
        <v>-33445.7611695156</v>
      </c>
      <c r="AY222" s="65" t="n">
        <f aca="false">-AY215*Inputs!$C$51/12*1*(1+Inputs!$C$54)*(1+Inputs!$C$55)^(AY$118-1)</f>
        <v>-39616.5041052912</v>
      </c>
      <c r="AZ222" s="65" t="n">
        <f aca="false">-AZ215*Inputs!$C$51/12*1*(1+Inputs!$C$54)*(1+Inputs!$C$55)^(AZ$118-1)</f>
        <v>-39616.5041052912</v>
      </c>
      <c r="BA222" s="65" t="n">
        <f aca="false">-BA215*Inputs!$C$51/12*1*(1+Inputs!$C$54)*(1+Inputs!$C$55)^(BA$118-1)</f>
        <v>-39616.5041052912</v>
      </c>
      <c r="BB222" s="65" t="n">
        <f aca="false">-BB215*Inputs!$C$51/12*1*(1+Inputs!$C$54)*(1+Inputs!$C$55)^(BB$118-1)</f>
        <v>-39616.5041052912</v>
      </c>
      <c r="BC222" s="65" t="n">
        <f aca="false">-BC215*Inputs!$C$51/12*1*(1+Inputs!$C$54)*(1+Inputs!$C$55)^(BC$118-1)</f>
        <v>-39616.5041052912</v>
      </c>
      <c r="BD222" s="65" t="n">
        <f aca="false">-BD215*Inputs!$C$51/12*1*(1+Inputs!$C$54)*(1+Inputs!$C$55)^(BD$118-1)</f>
        <v>-39616.5041052912</v>
      </c>
      <c r="BE222" s="65" t="n">
        <f aca="false">-BE215*Inputs!$C$51/12*1*(1+Inputs!$C$54)*(1+Inputs!$C$55)^(BE$118-1)</f>
        <v>-39616.5041052912</v>
      </c>
      <c r="BF222" s="65" t="n">
        <f aca="false">-BF215*Inputs!$C$51/12*1*(1+Inputs!$C$54)*(1+Inputs!$C$55)^(BF$118-1)</f>
        <v>-39616.5041052912</v>
      </c>
      <c r="BG222" s="65" t="n">
        <f aca="false">-BG215*Inputs!$C$51/12*1*(1+Inputs!$C$54)*(1+Inputs!$C$55)^(BG$118-1)</f>
        <v>-39616.5041052912</v>
      </c>
      <c r="BH222" s="65" t="n">
        <f aca="false">-BH215*Inputs!$C$51/12*1*(1+Inputs!$C$54)*(1+Inputs!$C$55)^(BH$118-1)</f>
        <v>-39616.5041052912</v>
      </c>
      <c r="BI222" s="65" t="n">
        <f aca="false">-BI215*Inputs!$C$51/12*1*(1+Inputs!$C$54)*(1+Inputs!$C$55)^(BI$118-1)</f>
        <v>-39616.5041052912</v>
      </c>
      <c r="BJ222" s="65" t="n">
        <f aca="false">-BJ215*Inputs!$C$51/12*1*(1+Inputs!$C$54)*(1+Inputs!$C$55)^(BJ$118-1)</f>
        <v>-39616.5041052912</v>
      </c>
    </row>
    <row r="223" customFormat="false" ht="15" hidden="false" customHeight="false" outlineLevel="0" collapsed="false">
      <c r="A223" s="110" t="s">
        <v>454</v>
      </c>
      <c r="C223" s="66" t="n">
        <f aca="false">C219+C220+C221+C222</f>
        <v>-104841.666666667</v>
      </c>
      <c r="D223" s="66" t="n">
        <f aca="false">D219+D220+D221+D222</f>
        <v>-104841.666666667</v>
      </c>
      <c r="E223" s="66" t="n">
        <f aca="false">E219+E220+E221+E222</f>
        <v>-104841.666666667</v>
      </c>
      <c r="F223" s="66" t="n">
        <f aca="false">F219+F220+F221+F222</f>
        <v>-104841.666666667</v>
      </c>
      <c r="G223" s="66" t="n">
        <f aca="false">G219+G220+G221+G222</f>
        <v>-104841.666666667</v>
      </c>
      <c r="H223" s="66" t="n">
        <f aca="false">H219+H220+H221+H222</f>
        <v>-104841.666666667</v>
      </c>
      <c r="I223" s="66" t="n">
        <f aca="false">I219+I220+I221+I222</f>
        <v>-104841.666666667</v>
      </c>
      <c r="J223" s="66" t="n">
        <f aca="false">J219+J220+J221+J222</f>
        <v>-104841.666666667</v>
      </c>
      <c r="K223" s="66" t="n">
        <f aca="false">K219+K220+K221+K222</f>
        <v>-104841.666666667</v>
      </c>
      <c r="L223" s="66" t="n">
        <f aca="false">L219+L220+L221+L222</f>
        <v>-104841.666666667</v>
      </c>
      <c r="M223" s="66" t="n">
        <f aca="false">M219+M220+M221+M222</f>
        <v>-104841.666666667</v>
      </c>
      <c r="N223" s="66" t="n">
        <f aca="false">N219+N220+N221+N222</f>
        <v>-104841.666666667</v>
      </c>
      <c r="O223" s="66" t="n">
        <f aca="false">O219+O220+O221+O222</f>
        <v>-131548.595833333</v>
      </c>
      <c r="P223" s="66" t="n">
        <f aca="false">P219+P220+P221+P222</f>
        <v>-131548.595833333</v>
      </c>
      <c r="Q223" s="66" t="n">
        <f aca="false">Q219+Q220+Q221+Q222</f>
        <v>-131548.595833333</v>
      </c>
      <c r="R223" s="66" t="n">
        <f aca="false">R219+R220+R221+R222</f>
        <v>-131548.595833333</v>
      </c>
      <c r="S223" s="66" t="n">
        <f aca="false">S219+S220+S221+S222</f>
        <v>-131548.595833333</v>
      </c>
      <c r="T223" s="66" t="n">
        <f aca="false">T219+T220+T221+T222</f>
        <v>-131548.595833333</v>
      </c>
      <c r="U223" s="66" t="n">
        <f aca="false">U219+U220+U221+U222</f>
        <v>-131548.595833333</v>
      </c>
      <c r="V223" s="66" t="n">
        <f aca="false">V219+V220+V221+V222</f>
        <v>-131548.595833333</v>
      </c>
      <c r="W223" s="66" t="n">
        <f aca="false">W219+W220+W221+W222</f>
        <v>-131548.595833333</v>
      </c>
      <c r="X223" s="66" t="n">
        <f aca="false">X219+X220+X221+X222</f>
        <v>-131548.595833333</v>
      </c>
      <c r="Y223" s="66" t="n">
        <f aca="false">Y219+Y220+Y221+Y222</f>
        <v>-131548.595833333</v>
      </c>
      <c r="Z223" s="66" t="n">
        <f aca="false">Z219+Z220+Z221+Z222</f>
        <v>-131548.595833333</v>
      </c>
      <c r="AA223" s="66" t="n">
        <f aca="false">AA219+AA220+AA221+AA222</f>
        <v>-165384.386164583</v>
      </c>
      <c r="AB223" s="66" t="n">
        <f aca="false">AB219+AB220+AB221+AB222</f>
        <v>-165384.386164583</v>
      </c>
      <c r="AC223" s="66" t="n">
        <f aca="false">AC219+AC220+AC221+AC222</f>
        <v>-165384.386164583</v>
      </c>
      <c r="AD223" s="66" t="n">
        <f aca="false">AD219+AD220+AD221+AD222</f>
        <v>-165384.386164583</v>
      </c>
      <c r="AE223" s="66" t="n">
        <f aca="false">AE219+AE220+AE221+AE222</f>
        <v>-165384.386164583</v>
      </c>
      <c r="AF223" s="66" t="n">
        <f aca="false">AF219+AF220+AF221+AF222</f>
        <v>-165384.386164583</v>
      </c>
      <c r="AG223" s="66" t="n">
        <f aca="false">AG219+AG220+AG221+AG222</f>
        <v>-165384.386164583</v>
      </c>
      <c r="AH223" s="66" t="n">
        <f aca="false">AH219+AH220+AH221+AH222</f>
        <v>-165384.386164583</v>
      </c>
      <c r="AI223" s="66" t="n">
        <f aca="false">AI219+AI220+AI221+AI222</f>
        <v>-165384.386164583</v>
      </c>
      <c r="AJ223" s="66" t="n">
        <f aca="false">AJ219+AJ220+AJ221+AJ222</f>
        <v>-165384.386164583</v>
      </c>
      <c r="AK223" s="66" t="n">
        <f aca="false">AK219+AK220+AK221+AK222</f>
        <v>-165384.386164583</v>
      </c>
      <c r="AL223" s="66" t="n">
        <f aca="false">AL219+AL220+AL221+AL222</f>
        <v>-165384.386164583</v>
      </c>
      <c r="AM223" s="66" t="n">
        <f aca="false">AM219+AM220+AM221+AM222</f>
        <v>-208341.015579049</v>
      </c>
      <c r="AN223" s="66" t="n">
        <f aca="false">AN219+AN220+AN221+AN222</f>
        <v>-208341.015579049</v>
      </c>
      <c r="AO223" s="66" t="n">
        <f aca="false">AO219+AO220+AO221+AO222</f>
        <v>-208341.015579049</v>
      </c>
      <c r="AP223" s="66" t="n">
        <f aca="false">AP219+AP220+AP221+AP222</f>
        <v>-208341.015579049</v>
      </c>
      <c r="AQ223" s="66" t="n">
        <f aca="false">AQ219+AQ220+AQ221+AQ222</f>
        <v>-208341.015579049</v>
      </c>
      <c r="AR223" s="66" t="n">
        <f aca="false">AR219+AR220+AR221+AR222</f>
        <v>-208341.015579049</v>
      </c>
      <c r="AS223" s="66" t="n">
        <f aca="false">AS219+AS220+AS221+AS222</f>
        <v>-208341.015579049</v>
      </c>
      <c r="AT223" s="66" t="n">
        <f aca="false">AT219+AT220+AT221+AT222</f>
        <v>-208341.015579049</v>
      </c>
      <c r="AU223" s="66" t="n">
        <f aca="false">AU219+AU220+AU221+AU222</f>
        <v>-208341.015579049</v>
      </c>
      <c r="AV223" s="66" t="n">
        <f aca="false">AV219+AV220+AV221+AV222</f>
        <v>-208341.015579049</v>
      </c>
      <c r="AW223" s="66" t="n">
        <f aca="false">AW219+AW220+AW221+AW222</f>
        <v>-208341.015579049</v>
      </c>
      <c r="AX223" s="66" t="n">
        <f aca="false">AX219+AX220+AX221+AX222</f>
        <v>-208341.015579049</v>
      </c>
      <c r="AY223" s="66" t="n">
        <f aca="false">AY219+AY220+AY221+AY222</f>
        <v>-262990.962741368</v>
      </c>
      <c r="AZ223" s="66" t="n">
        <f aca="false">AZ219+AZ220+AZ221+AZ222</f>
        <v>-262990.962741368</v>
      </c>
      <c r="BA223" s="66" t="n">
        <f aca="false">BA219+BA220+BA221+BA222</f>
        <v>-262990.962741368</v>
      </c>
      <c r="BB223" s="66" t="n">
        <f aca="false">BB219+BB220+BB221+BB222</f>
        <v>-262990.962741368</v>
      </c>
      <c r="BC223" s="66" t="n">
        <f aca="false">BC219+BC220+BC221+BC222</f>
        <v>-262990.962741368</v>
      </c>
      <c r="BD223" s="66" t="n">
        <f aca="false">BD219+BD220+BD221+BD222</f>
        <v>-262990.962741368</v>
      </c>
      <c r="BE223" s="66" t="n">
        <f aca="false">BE219+BE220+BE221+BE222</f>
        <v>-262990.962741368</v>
      </c>
      <c r="BF223" s="66" t="n">
        <f aca="false">BF219+BF220+BF221+BF222</f>
        <v>-262990.962741368</v>
      </c>
      <c r="BG223" s="66" t="n">
        <f aca="false">BG219+BG220+BG221+BG222</f>
        <v>-262990.962741368</v>
      </c>
      <c r="BH223" s="66" t="n">
        <f aca="false">BH219+BH220+BH221+BH222</f>
        <v>-262990.962741368</v>
      </c>
      <c r="BI223" s="66" t="n">
        <f aca="false">BI219+BI220+BI221+BI222</f>
        <v>-262990.962741368</v>
      </c>
      <c r="BJ223" s="66" t="n">
        <f aca="false">BJ219+BJ220+BJ221+BJ222</f>
        <v>-262990.962741368</v>
      </c>
    </row>
    <row r="226" customFormat="false" ht="15.75" hidden="false" customHeight="true" outlineLevel="0" collapsed="false">
      <c r="A226" s="7" t="s">
        <v>459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customFormat="false" ht="15" hidden="false" customHeight="false" outlineLevel="0" collapsed="false">
      <c r="A227" s="33" t="s">
        <v>345</v>
      </c>
      <c r="C227" s="50" t="s">
        <v>346</v>
      </c>
      <c r="D227" s="50" t="s">
        <v>347</v>
      </c>
      <c r="E227" s="50" t="s">
        <v>348</v>
      </c>
      <c r="F227" s="50" t="s">
        <v>349</v>
      </c>
      <c r="G227" s="50" t="s">
        <v>350</v>
      </c>
      <c r="H227" s="50" t="s">
        <v>351</v>
      </c>
      <c r="I227" s="50" t="s">
        <v>352</v>
      </c>
      <c r="J227" s="50" t="s">
        <v>353</v>
      </c>
      <c r="K227" s="50" t="s">
        <v>354</v>
      </c>
      <c r="L227" s="50" t="s">
        <v>355</v>
      </c>
      <c r="M227" s="50" t="s">
        <v>356</v>
      </c>
      <c r="N227" s="50" t="s">
        <v>357</v>
      </c>
      <c r="O227" s="50" t="s">
        <v>358</v>
      </c>
      <c r="P227" s="50" t="s">
        <v>359</v>
      </c>
      <c r="Q227" s="50" t="s">
        <v>360</v>
      </c>
      <c r="R227" s="50" t="s">
        <v>361</v>
      </c>
      <c r="S227" s="50" t="s">
        <v>362</v>
      </c>
      <c r="T227" s="50" t="s">
        <v>363</v>
      </c>
      <c r="U227" s="50" t="s">
        <v>364</v>
      </c>
      <c r="V227" s="50" t="s">
        <v>365</v>
      </c>
      <c r="W227" s="50" t="s">
        <v>366</v>
      </c>
      <c r="X227" s="50" t="s">
        <v>367</v>
      </c>
      <c r="Y227" s="50" t="s">
        <v>368</v>
      </c>
      <c r="Z227" s="50" t="s">
        <v>369</v>
      </c>
      <c r="AA227" s="50" t="s">
        <v>370</v>
      </c>
      <c r="AB227" s="50" t="s">
        <v>371</v>
      </c>
      <c r="AC227" s="50" t="s">
        <v>372</v>
      </c>
      <c r="AD227" s="50" t="s">
        <v>373</v>
      </c>
      <c r="AE227" s="50" t="s">
        <v>374</v>
      </c>
      <c r="AF227" s="50" t="s">
        <v>375</v>
      </c>
      <c r="AG227" s="50" t="s">
        <v>376</v>
      </c>
      <c r="AH227" s="50" t="s">
        <v>377</v>
      </c>
      <c r="AI227" s="50" t="s">
        <v>378</v>
      </c>
      <c r="AJ227" s="50" t="s">
        <v>379</v>
      </c>
      <c r="AK227" s="50" t="s">
        <v>380</v>
      </c>
      <c r="AL227" s="50" t="s">
        <v>381</v>
      </c>
      <c r="AM227" s="50" t="s">
        <v>382</v>
      </c>
      <c r="AN227" s="50" t="s">
        <v>383</v>
      </c>
      <c r="AO227" s="50" t="s">
        <v>384</v>
      </c>
      <c r="AP227" s="50" t="s">
        <v>385</v>
      </c>
      <c r="AQ227" s="50" t="s">
        <v>386</v>
      </c>
      <c r="AR227" s="50" t="s">
        <v>387</v>
      </c>
      <c r="AS227" s="50" t="s">
        <v>388</v>
      </c>
      <c r="AT227" s="50" t="s">
        <v>389</v>
      </c>
      <c r="AU227" s="50" t="s">
        <v>390</v>
      </c>
      <c r="AV227" s="50" t="s">
        <v>391</v>
      </c>
      <c r="AW227" s="50" t="s">
        <v>392</v>
      </c>
      <c r="AX227" s="50" t="s">
        <v>393</v>
      </c>
      <c r="AY227" s="50" t="s">
        <v>394</v>
      </c>
      <c r="AZ227" s="50" t="s">
        <v>395</v>
      </c>
      <c r="BA227" s="50" t="s">
        <v>396</v>
      </c>
      <c r="BB227" s="50" t="s">
        <v>397</v>
      </c>
      <c r="BC227" s="50" t="s">
        <v>398</v>
      </c>
      <c r="BD227" s="50" t="s">
        <v>399</v>
      </c>
      <c r="BE227" s="50" t="s">
        <v>400</v>
      </c>
      <c r="BF227" s="50" t="s">
        <v>401</v>
      </c>
      <c r="BG227" s="50" t="s">
        <v>402</v>
      </c>
      <c r="BH227" s="50" t="s">
        <v>403</v>
      </c>
      <c r="BI227" s="50" t="s">
        <v>404</v>
      </c>
      <c r="BJ227" s="50" t="s">
        <v>405</v>
      </c>
    </row>
    <row r="228" customFormat="false" ht="15" hidden="false" customHeight="false" outlineLevel="0" collapsed="false">
      <c r="A228" s="70" t="s">
        <v>406</v>
      </c>
      <c r="C228" s="70" t="n">
        <v>1</v>
      </c>
      <c r="D228" s="70" t="n">
        <v>2</v>
      </c>
      <c r="E228" s="70" t="n">
        <v>3</v>
      </c>
      <c r="F228" s="70" t="n">
        <v>4</v>
      </c>
      <c r="G228" s="70" t="n">
        <v>5</v>
      </c>
      <c r="H228" s="70" t="n">
        <v>6</v>
      </c>
      <c r="I228" s="70" t="n">
        <v>7</v>
      </c>
      <c r="J228" s="70" t="n">
        <v>8</v>
      </c>
      <c r="K228" s="70" t="n">
        <v>9</v>
      </c>
      <c r="L228" s="70" t="n">
        <v>10</v>
      </c>
      <c r="M228" s="70" t="n">
        <v>11</v>
      </c>
      <c r="N228" s="70" t="n">
        <v>12</v>
      </c>
      <c r="O228" s="70" t="n">
        <v>13</v>
      </c>
      <c r="P228" s="70" t="n">
        <v>14</v>
      </c>
      <c r="Q228" s="70" t="n">
        <v>15</v>
      </c>
      <c r="R228" s="70" t="n">
        <v>16</v>
      </c>
      <c r="S228" s="70" t="n">
        <v>17</v>
      </c>
      <c r="T228" s="70" t="n">
        <v>18</v>
      </c>
      <c r="U228" s="70" t="n">
        <v>19</v>
      </c>
      <c r="V228" s="70" t="n">
        <v>20</v>
      </c>
      <c r="W228" s="70" t="n">
        <v>21</v>
      </c>
      <c r="X228" s="70" t="n">
        <v>22</v>
      </c>
      <c r="Y228" s="70" t="n">
        <v>23</v>
      </c>
      <c r="Z228" s="70" t="n">
        <v>24</v>
      </c>
      <c r="AA228" s="70" t="n">
        <v>25</v>
      </c>
      <c r="AB228" s="70" t="n">
        <v>26</v>
      </c>
      <c r="AC228" s="70" t="n">
        <v>27</v>
      </c>
      <c r="AD228" s="70" t="n">
        <v>28</v>
      </c>
      <c r="AE228" s="70" t="n">
        <v>29</v>
      </c>
      <c r="AF228" s="70" t="n">
        <v>30</v>
      </c>
      <c r="AG228" s="70" t="n">
        <v>31</v>
      </c>
      <c r="AH228" s="70" t="n">
        <v>32</v>
      </c>
      <c r="AI228" s="70" t="n">
        <v>33</v>
      </c>
      <c r="AJ228" s="70" t="n">
        <v>34</v>
      </c>
      <c r="AK228" s="70" t="n">
        <v>35</v>
      </c>
      <c r="AL228" s="70" t="n">
        <v>36</v>
      </c>
      <c r="AM228" s="70" t="n">
        <v>37</v>
      </c>
      <c r="AN228" s="70" t="n">
        <v>38</v>
      </c>
      <c r="AO228" s="70" t="n">
        <v>39</v>
      </c>
      <c r="AP228" s="70" t="n">
        <v>40</v>
      </c>
      <c r="AQ228" s="70" t="n">
        <v>41</v>
      </c>
      <c r="AR228" s="70" t="n">
        <v>42</v>
      </c>
      <c r="AS228" s="70" t="n">
        <v>43</v>
      </c>
      <c r="AT228" s="70" t="n">
        <v>44</v>
      </c>
      <c r="AU228" s="70" t="n">
        <v>45</v>
      </c>
      <c r="AV228" s="70" t="n">
        <v>46</v>
      </c>
      <c r="AW228" s="70" t="n">
        <v>47</v>
      </c>
      <c r="AX228" s="70" t="n">
        <v>48</v>
      </c>
      <c r="AY228" s="70" t="n">
        <v>49</v>
      </c>
      <c r="AZ228" s="70" t="n">
        <v>50</v>
      </c>
      <c r="BA228" s="70" t="n">
        <v>51</v>
      </c>
      <c r="BB228" s="70" t="n">
        <v>52</v>
      </c>
      <c r="BC228" s="70" t="n">
        <v>53</v>
      </c>
      <c r="BD228" s="70" t="n">
        <v>54</v>
      </c>
      <c r="BE228" s="70" t="n">
        <v>55</v>
      </c>
      <c r="BF228" s="70" t="n">
        <v>56</v>
      </c>
      <c r="BG228" s="70" t="n">
        <v>57</v>
      </c>
      <c r="BH228" s="70" t="n">
        <v>58</v>
      </c>
      <c r="BI228" s="70" t="n">
        <v>59</v>
      </c>
      <c r="BJ228" s="70" t="n">
        <v>60</v>
      </c>
    </row>
    <row r="229" customFormat="false" ht="15" hidden="false" customHeight="false" outlineLevel="0" collapsed="false">
      <c r="A229" s="70" t="s">
        <v>154</v>
      </c>
      <c r="C229" s="70" t="n">
        <f aca="false">ROUNDUP(C228*1/12,0)</f>
        <v>1</v>
      </c>
      <c r="D229" s="70" t="n">
        <f aca="false">ROUNDUP(D228*1/12,0)</f>
        <v>1</v>
      </c>
      <c r="E229" s="70" t="n">
        <f aca="false">ROUNDUP(E228*1/12,0)</f>
        <v>1</v>
      </c>
      <c r="F229" s="70" t="n">
        <f aca="false">ROUNDUP(F228*1/12,0)</f>
        <v>1</v>
      </c>
      <c r="G229" s="70" t="n">
        <f aca="false">ROUNDUP(G228*1/12,0)</f>
        <v>1</v>
      </c>
      <c r="H229" s="70" t="n">
        <f aca="false">ROUNDUP(H228*1/12,0)</f>
        <v>1</v>
      </c>
      <c r="I229" s="70" t="n">
        <f aca="false">ROUNDUP(I228*1/12,0)</f>
        <v>1</v>
      </c>
      <c r="J229" s="70" t="n">
        <f aca="false">ROUNDUP(J228*1/12,0)</f>
        <v>1</v>
      </c>
      <c r="K229" s="70" t="n">
        <f aca="false">ROUNDUP(K228*1/12,0)</f>
        <v>1</v>
      </c>
      <c r="L229" s="70" t="n">
        <f aca="false">ROUNDUP(L228*1/12,0)</f>
        <v>1</v>
      </c>
      <c r="M229" s="70" t="n">
        <f aca="false">ROUNDUP(M228*1/12,0)</f>
        <v>1</v>
      </c>
      <c r="N229" s="70" t="n">
        <f aca="false">ROUNDUP(N228*1/12,0)</f>
        <v>1</v>
      </c>
      <c r="O229" s="70" t="n">
        <f aca="false">ROUNDUP(O228*1/12,0)</f>
        <v>2</v>
      </c>
      <c r="P229" s="70" t="n">
        <f aca="false">ROUNDUP(P228*1/12,0)</f>
        <v>2</v>
      </c>
      <c r="Q229" s="70" t="n">
        <f aca="false">ROUNDUP(Q228*1/12,0)</f>
        <v>2</v>
      </c>
      <c r="R229" s="70" t="n">
        <f aca="false">ROUNDUP(R228*1/12,0)</f>
        <v>2</v>
      </c>
      <c r="S229" s="70" t="n">
        <f aca="false">ROUNDUP(S228*1/12,0)</f>
        <v>2</v>
      </c>
      <c r="T229" s="70" t="n">
        <f aca="false">ROUNDUP(T228*1/12,0)</f>
        <v>2</v>
      </c>
      <c r="U229" s="70" t="n">
        <f aca="false">ROUNDUP(U228*1/12,0)</f>
        <v>2</v>
      </c>
      <c r="V229" s="70" t="n">
        <f aca="false">ROUNDUP(V228*1/12,0)</f>
        <v>2</v>
      </c>
      <c r="W229" s="70" t="n">
        <f aca="false">ROUNDUP(W228*1/12,0)</f>
        <v>2</v>
      </c>
      <c r="X229" s="70" t="n">
        <f aca="false">ROUNDUP(X228*1/12,0)</f>
        <v>2</v>
      </c>
      <c r="Y229" s="70" t="n">
        <f aca="false">ROUNDUP(Y228*1/12,0)</f>
        <v>2</v>
      </c>
      <c r="Z229" s="70" t="n">
        <f aca="false">ROUNDUP(Z228*1/12,0)</f>
        <v>2</v>
      </c>
      <c r="AA229" s="70" t="n">
        <f aca="false">ROUNDUP(AA228*1/12,0)</f>
        <v>3</v>
      </c>
      <c r="AB229" s="70" t="n">
        <f aca="false">ROUNDUP(AB228*1/12,0)</f>
        <v>3</v>
      </c>
      <c r="AC229" s="70" t="n">
        <f aca="false">ROUNDUP(AC228*1/12,0)</f>
        <v>3</v>
      </c>
      <c r="AD229" s="70" t="n">
        <f aca="false">ROUNDUP(AD228*1/12,0)</f>
        <v>3</v>
      </c>
      <c r="AE229" s="70" t="n">
        <f aca="false">ROUNDUP(AE228*1/12,0)</f>
        <v>3</v>
      </c>
      <c r="AF229" s="70" t="n">
        <f aca="false">ROUNDUP(AF228*1/12,0)</f>
        <v>3</v>
      </c>
      <c r="AG229" s="70" t="n">
        <f aca="false">ROUNDUP(AG228*1/12,0)</f>
        <v>3</v>
      </c>
      <c r="AH229" s="70" t="n">
        <f aca="false">ROUNDUP(AH228*1/12,0)</f>
        <v>3</v>
      </c>
      <c r="AI229" s="70" t="n">
        <f aca="false">ROUNDUP(AI228*1/12,0)</f>
        <v>3</v>
      </c>
      <c r="AJ229" s="70" t="n">
        <f aca="false">ROUNDUP(AJ228*1/12,0)</f>
        <v>3</v>
      </c>
      <c r="AK229" s="70" t="n">
        <f aca="false">ROUNDUP(AK228*1/12,0)</f>
        <v>3</v>
      </c>
      <c r="AL229" s="70" t="n">
        <f aca="false">ROUNDUP(AL228*1/12,0)</f>
        <v>3</v>
      </c>
      <c r="AM229" s="70" t="n">
        <f aca="false">ROUNDUP(AM228*1/12,0)</f>
        <v>4</v>
      </c>
      <c r="AN229" s="70" t="n">
        <f aca="false">ROUNDUP(AN228*1/12,0)</f>
        <v>4</v>
      </c>
      <c r="AO229" s="70" t="n">
        <f aca="false">ROUNDUP(AO228*1/12,0)</f>
        <v>4</v>
      </c>
      <c r="AP229" s="70" t="n">
        <f aca="false">ROUNDUP(AP228*1/12,0)</f>
        <v>4</v>
      </c>
      <c r="AQ229" s="70" t="n">
        <f aca="false">ROUNDUP(AQ228*1/12,0)</f>
        <v>4</v>
      </c>
      <c r="AR229" s="70" t="n">
        <f aca="false">ROUNDUP(AR228*1/12,0)</f>
        <v>4</v>
      </c>
      <c r="AS229" s="70" t="n">
        <f aca="false">ROUNDUP(AS228*1/12,0)</f>
        <v>4</v>
      </c>
      <c r="AT229" s="70" t="n">
        <f aca="false">ROUNDUP(AT228*1/12,0)</f>
        <v>4</v>
      </c>
      <c r="AU229" s="70" t="n">
        <f aca="false">ROUNDUP(AU228*1/12,0)</f>
        <v>4</v>
      </c>
      <c r="AV229" s="70" t="n">
        <f aca="false">ROUNDUP(AV228*1/12,0)</f>
        <v>4</v>
      </c>
      <c r="AW229" s="70" t="n">
        <f aca="false">ROUNDUP(AW228*1/12,0)</f>
        <v>4</v>
      </c>
      <c r="AX229" s="70" t="n">
        <f aca="false">ROUNDUP(AX228*1/12,0)</f>
        <v>4</v>
      </c>
      <c r="AY229" s="70" t="n">
        <f aca="false">ROUNDUP(AY228*1/12,0)</f>
        <v>5</v>
      </c>
      <c r="AZ229" s="70" t="n">
        <f aca="false">ROUNDUP(AZ228*1/12,0)</f>
        <v>5</v>
      </c>
      <c r="BA229" s="70" t="n">
        <f aca="false">ROUNDUP(BA228*1/12,0)</f>
        <v>5</v>
      </c>
      <c r="BB229" s="70" t="n">
        <f aca="false">ROUNDUP(BB228*1/12,0)</f>
        <v>5</v>
      </c>
      <c r="BC229" s="70" t="n">
        <f aca="false">ROUNDUP(BC228*1/12,0)</f>
        <v>5</v>
      </c>
      <c r="BD229" s="70" t="n">
        <f aca="false">ROUNDUP(BD228*1/12,0)</f>
        <v>5</v>
      </c>
      <c r="BE229" s="70" t="n">
        <f aca="false">ROUNDUP(BE228*1/12,0)</f>
        <v>5</v>
      </c>
      <c r="BF229" s="70" t="n">
        <f aca="false">ROUNDUP(BF228*1/12,0)</f>
        <v>5</v>
      </c>
      <c r="BG229" s="70" t="n">
        <f aca="false">ROUNDUP(BG228*1/12,0)</f>
        <v>5</v>
      </c>
      <c r="BH229" s="70" t="n">
        <f aca="false">ROUNDUP(BH228*1/12,0)</f>
        <v>5</v>
      </c>
      <c r="BI229" s="70" t="n">
        <f aca="false">ROUNDUP(BI228*1/12,0)</f>
        <v>5</v>
      </c>
      <c r="BJ229" s="70" t="n">
        <f aca="false">ROUNDUP(BJ228*1/12,0)</f>
        <v>5</v>
      </c>
    </row>
    <row r="231" customFormat="false" ht="15.75" hidden="false" customHeight="true" outlineLevel="0" collapsed="false">
      <c r="A231" s="7" t="s">
        <v>247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customFormat="false" ht="15" hidden="false" customHeight="false" outlineLevel="0" collapsed="false">
      <c r="A232" s="6" t="s">
        <v>407</v>
      </c>
      <c r="C232" s="76" t="n">
        <f aca="false">IF(MOD(C$228-1,12)&gt;=10,1+Inputs!$D$28,1-Inputs!$D$28/5)</f>
        <v>0.94</v>
      </c>
      <c r="D232" s="76" t="n">
        <f aca="false">IF(MOD(D$228-1,12)&gt;=10,1+Inputs!$D$28,1-Inputs!$D$28/5)</f>
        <v>0.94</v>
      </c>
      <c r="E232" s="76" t="n">
        <f aca="false">IF(MOD(E$228-1,12)&gt;=10,1+Inputs!$D$28,1-Inputs!$D$28/5)</f>
        <v>0.94</v>
      </c>
      <c r="F232" s="76" t="n">
        <f aca="false">IF(MOD(F$228-1,12)&gt;=10,1+Inputs!$D$28,1-Inputs!$D$28/5)</f>
        <v>0.94</v>
      </c>
      <c r="G232" s="76" t="n">
        <f aca="false">IF(MOD(G$228-1,12)&gt;=10,1+Inputs!$D$28,1-Inputs!$D$28/5)</f>
        <v>0.94</v>
      </c>
      <c r="H232" s="76" t="n">
        <f aca="false">IF(MOD(H$228-1,12)&gt;=10,1+Inputs!$D$28,1-Inputs!$D$28/5)</f>
        <v>0.94</v>
      </c>
      <c r="I232" s="76" t="n">
        <f aca="false">IF(MOD(I$228-1,12)&gt;=10,1+Inputs!$D$28,1-Inputs!$D$28/5)</f>
        <v>0.94</v>
      </c>
      <c r="J232" s="76" t="n">
        <f aca="false">IF(MOD(J$228-1,12)&gt;=10,1+Inputs!$D$28,1-Inputs!$D$28/5)</f>
        <v>0.94</v>
      </c>
      <c r="K232" s="76" t="n">
        <f aca="false">IF(MOD(K$228-1,12)&gt;=10,1+Inputs!$D$28,1-Inputs!$D$28/5)</f>
        <v>0.94</v>
      </c>
      <c r="L232" s="76" t="n">
        <f aca="false">IF(MOD(L$228-1,12)&gt;=10,1+Inputs!$D$28,1-Inputs!$D$28/5)</f>
        <v>0.94</v>
      </c>
      <c r="M232" s="76" t="n">
        <f aca="false">IF(MOD(M$228-1,12)&gt;=10,1+Inputs!$D$28,1-Inputs!$D$28/5)</f>
        <v>1.3</v>
      </c>
      <c r="N232" s="76" t="n">
        <f aca="false">IF(MOD(N$228-1,12)&gt;=10,1+Inputs!$D$28,1-Inputs!$D$28/5)</f>
        <v>1.3</v>
      </c>
      <c r="O232" s="76" t="n">
        <f aca="false">IF(MOD(O$228-1,12)&gt;=10,1+Inputs!$D$28,1-Inputs!$D$28/5)</f>
        <v>0.94</v>
      </c>
      <c r="P232" s="76" t="n">
        <f aca="false">IF(MOD(P$228-1,12)&gt;=10,1+Inputs!$D$28,1-Inputs!$D$28/5)</f>
        <v>0.94</v>
      </c>
      <c r="Q232" s="76" t="n">
        <f aca="false">IF(MOD(Q$228-1,12)&gt;=10,1+Inputs!$D$28,1-Inputs!$D$28/5)</f>
        <v>0.94</v>
      </c>
      <c r="R232" s="76" t="n">
        <f aca="false">IF(MOD(R$228-1,12)&gt;=10,1+Inputs!$D$28,1-Inputs!$D$28/5)</f>
        <v>0.94</v>
      </c>
      <c r="S232" s="76" t="n">
        <f aca="false">IF(MOD(S$228-1,12)&gt;=10,1+Inputs!$D$28,1-Inputs!$D$28/5)</f>
        <v>0.94</v>
      </c>
      <c r="T232" s="76" t="n">
        <f aca="false">IF(MOD(T$228-1,12)&gt;=10,1+Inputs!$D$28,1-Inputs!$D$28/5)</f>
        <v>0.94</v>
      </c>
      <c r="U232" s="76" t="n">
        <f aca="false">IF(MOD(U$228-1,12)&gt;=10,1+Inputs!$D$28,1-Inputs!$D$28/5)</f>
        <v>0.94</v>
      </c>
      <c r="V232" s="76" t="n">
        <f aca="false">IF(MOD(V$228-1,12)&gt;=10,1+Inputs!$D$28,1-Inputs!$D$28/5)</f>
        <v>0.94</v>
      </c>
      <c r="W232" s="76" t="n">
        <f aca="false">IF(MOD(W$228-1,12)&gt;=10,1+Inputs!$D$28,1-Inputs!$D$28/5)</f>
        <v>0.94</v>
      </c>
      <c r="X232" s="76" t="n">
        <f aca="false">IF(MOD(X$228-1,12)&gt;=10,1+Inputs!$D$28,1-Inputs!$D$28/5)</f>
        <v>0.94</v>
      </c>
      <c r="Y232" s="76" t="n">
        <f aca="false">IF(MOD(Y$228-1,12)&gt;=10,1+Inputs!$D$28,1-Inputs!$D$28/5)</f>
        <v>1.3</v>
      </c>
      <c r="Z232" s="76" t="n">
        <f aca="false">IF(MOD(Z$228-1,12)&gt;=10,1+Inputs!$D$28,1-Inputs!$D$28/5)</f>
        <v>1.3</v>
      </c>
      <c r="AA232" s="76" t="n">
        <f aca="false">IF(MOD(AA$228-1,12)&gt;=10,1+Inputs!$D$28,1-Inputs!$D$28/5)</f>
        <v>0.94</v>
      </c>
      <c r="AB232" s="76" t="n">
        <f aca="false">IF(MOD(AB$228-1,12)&gt;=10,1+Inputs!$D$28,1-Inputs!$D$28/5)</f>
        <v>0.94</v>
      </c>
      <c r="AC232" s="76" t="n">
        <f aca="false">IF(MOD(AC$228-1,12)&gt;=10,1+Inputs!$D$28,1-Inputs!$D$28/5)</f>
        <v>0.94</v>
      </c>
      <c r="AD232" s="76" t="n">
        <f aca="false">IF(MOD(AD$228-1,12)&gt;=10,1+Inputs!$D$28,1-Inputs!$D$28/5)</f>
        <v>0.94</v>
      </c>
      <c r="AE232" s="76" t="n">
        <f aca="false">IF(MOD(AE$228-1,12)&gt;=10,1+Inputs!$D$28,1-Inputs!$D$28/5)</f>
        <v>0.94</v>
      </c>
      <c r="AF232" s="76" t="n">
        <f aca="false">IF(MOD(AF$228-1,12)&gt;=10,1+Inputs!$D$28,1-Inputs!$D$28/5)</f>
        <v>0.94</v>
      </c>
      <c r="AG232" s="76" t="n">
        <f aca="false">IF(MOD(AG$228-1,12)&gt;=10,1+Inputs!$D$28,1-Inputs!$D$28/5)</f>
        <v>0.94</v>
      </c>
      <c r="AH232" s="76" t="n">
        <f aca="false">IF(MOD(AH$228-1,12)&gt;=10,1+Inputs!$D$28,1-Inputs!$D$28/5)</f>
        <v>0.94</v>
      </c>
      <c r="AI232" s="76" t="n">
        <f aca="false">IF(MOD(AI$228-1,12)&gt;=10,1+Inputs!$D$28,1-Inputs!$D$28/5)</f>
        <v>0.94</v>
      </c>
      <c r="AJ232" s="76" t="n">
        <f aca="false">IF(MOD(AJ$228-1,12)&gt;=10,1+Inputs!$D$28,1-Inputs!$D$28/5)</f>
        <v>0.94</v>
      </c>
      <c r="AK232" s="76" t="n">
        <f aca="false">IF(MOD(AK$228-1,12)&gt;=10,1+Inputs!$D$28,1-Inputs!$D$28/5)</f>
        <v>1.3</v>
      </c>
      <c r="AL232" s="76" t="n">
        <f aca="false">IF(MOD(AL$228-1,12)&gt;=10,1+Inputs!$D$28,1-Inputs!$D$28/5)</f>
        <v>1.3</v>
      </c>
      <c r="AM232" s="76" t="n">
        <f aca="false">IF(MOD(AM$228-1,12)&gt;=10,1+Inputs!$D$28,1-Inputs!$D$28/5)</f>
        <v>0.94</v>
      </c>
      <c r="AN232" s="76" t="n">
        <f aca="false">IF(MOD(AN$228-1,12)&gt;=10,1+Inputs!$D$28,1-Inputs!$D$28/5)</f>
        <v>0.94</v>
      </c>
      <c r="AO232" s="76" t="n">
        <f aca="false">IF(MOD(AO$228-1,12)&gt;=10,1+Inputs!$D$28,1-Inputs!$D$28/5)</f>
        <v>0.94</v>
      </c>
      <c r="AP232" s="76" t="n">
        <f aca="false">IF(MOD(AP$228-1,12)&gt;=10,1+Inputs!$D$28,1-Inputs!$D$28/5)</f>
        <v>0.94</v>
      </c>
      <c r="AQ232" s="76" t="n">
        <f aca="false">IF(MOD(AQ$228-1,12)&gt;=10,1+Inputs!$D$28,1-Inputs!$D$28/5)</f>
        <v>0.94</v>
      </c>
      <c r="AR232" s="76" t="n">
        <f aca="false">IF(MOD(AR$228-1,12)&gt;=10,1+Inputs!$D$28,1-Inputs!$D$28/5)</f>
        <v>0.94</v>
      </c>
      <c r="AS232" s="76" t="n">
        <f aca="false">IF(MOD(AS$228-1,12)&gt;=10,1+Inputs!$D$28,1-Inputs!$D$28/5)</f>
        <v>0.94</v>
      </c>
      <c r="AT232" s="76" t="n">
        <f aca="false">IF(MOD(AT$228-1,12)&gt;=10,1+Inputs!$D$28,1-Inputs!$D$28/5)</f>
        <v>0.94</v>
      </c>
      <c r="AU232" s="76" t="n">
        <f aca="false">IF(MOD(AU$228-1,12)&gt;=10,1+Inputs!$D$28,1-Inputs!$D$28/5)</f>
        <v>0.94</v>
      </c>
      <c r="AV232" s="76" t="n">
        <f aca="false">IF(MOD(AV$228-1,12)&gt;=10,1+Inputs!$D$28,1-Inputs!$D$28/5)</f>
        <v>0.94</v>
      </c>
      <c r="AW232" s="76" t="n">
        <f aca="false">IF(MOD(AW$228-1,12)&gt;=10,1+Inputs!$D$28,1-Inputs!$D$28/5)</f>
        <v>1.3</v>
      </c>
      <c r="AX232" s="76" t="n">
        <f aca="false">IF(MOD(AX$228-1,12)&gt;=10,1+Inputs!$D$28,1-Inputs!$D$28/5)</f>
        <v>1.3</v>
      </c>
      <c r="AY232" s="76" t="n">
        <f aca="false">IF(MOD(AY$228-1,12)&gt;=10,1+Inputs!$D$28,1-Inputs!$D$28/5)</f>
        <v>0.94</v>
      </c>
      <c r="AZ232" s="76" t="n">
        <f aca="false">IF(MOD(AZ$228-1,12)&gt;=10,1+Inputs!$D$28,1-Inputs!$D$28/5)</f>
        <v>0.94</v>
      </c>
      <c r="BA232" s="76" t="n">
        <f aca="false">IF(MOD(BA$228-1,12)&gt;=10,1+Inputs!$D$28,1-Inputs!$D$28/5)</f>
        <v>0.94</v>
      </c>
      <c r="BB232" s="76" t="n">
        <f aca="false">IF(MOD(BB$228-1,12)&gt;=10,1+Inputs!$D$28,1-Inputs!$D$28/5)</f>
        <v>0.94</v>
      </c>
      <c r="BC232" s="76" t="n">
        <f aca="false">IF(MOD(BC$228-1,12)&gt;=10,1+Inputs!$D$28,1-Inputs!$D$28/5)</f>
        <v>0.94</v>
      </c>
      <c r="BD232" s="76" t="n">
        <f aca="false">IF(MOD(BD$228-1,12)&gt;=10,1+Inputs!$D$28,1-Inputs!$D$28/5)</f>
        <v>0.94</v>
      </c>
      <c r="BE232" s="76" t="n">
        <f aca="false">IF(MOD(BE$228-1,12)&gt;=10,1+Inputs!$D$28,1-Inputs!$D$28/5)</f>
        <v>0.94</v>
      </c>
      <c r="BF232" s="76" t="n">
        <f aca="false">IF(MOD(BF$228-1,12)&gt;=10,1+Inputs!$D$28,1-Inputs!$D$28/5)</f>
        <v>0.94</v>
      </c>
      <c r="BG232" s="76" t="n">
        <f aca="false">IF(MOD(BG$228-1,12)&gt;=10,1+Inputs!$D$28,1-Inputs!$D$28/5)</f>
        <v>0.94</v>
      </c>
      <c r="BH232" s="76" t="n">
        <f aca="false">IF(MOD(BH$228-1,12)&gt;=10,1+Inputs!$D$28,1-Inputs!$D$28/5)</f>
        <v>0.94</v>
      </c>
      <c r="BI232" s="76" t="n">
        <f aca="false">IF(MOD(BI$228-1,12)&gt;=10,1+Inputs!$D$28,1-Inputs!$D$28/5)</f>
        <v>1.3</v>
      </c>
      <c r="BJ232" s="76" t="n">
        <f aca="false">IF(MOD(BJ$228-1,12)&gt;=10,1+Inputs!$D$28,1-Inputs!$D$28/5)</f>
        <v>1.3</v>
      </c>
    </row>
    <row r="233" customFormat="false" ht="15" hidden="false" customHeight="false" outlineLevel="0" collapsed="false">
      <c r="A233" s="6" t="s">
        <v>408</v>
      </c>
      <c r="C233" s="113" t="n">
        <f aca="false">Inputs!$D$7*(1+Inputs!$D$8)^(C$229-1)*1*C232</f>
        <v>94000</v>
      </c>
      <c r="D233" s="113" t="n">
        <f aca="false">Inputs!$D$7*(1+Inputs!$D$8)^(D$229-1)*1*D232</f>
        <v>94000</v>
      </c>
      <c r="E233" s="113" t="n">
        <f aca="false">Inputs!$D$7*(1+Inputs!$D$8)^(E$229-1)*1*E232</f>
        <v>94000</v>
      </c>
      <c r="F233" s="113" t="n">
        <f aca="false">Inputs!$D$7*(1+Inputs!$D$8)^(F$229-1)*1*F232</f>
        <v>94000</v>
      </c>
      <c r="G233" s="113" t="n">
        <f aca="false">Inputs!$D$7*(1+Inputs!$D$8)^(G$229-1)*1*G232</f>
        <v>94000</v>
      </c>
      <c r="H233" s="113" t="n">
        <f aca="false">Inputs!$D$7*(1+Inputs!$D$8)^(H$229-1)*1*H232</f>
        <v>94000</v>
      </c>
      <c r="I233" s="113" t="n">
        <f aca="false">Inputs!$D$7*(1+Inputs!$D$8)^(I$229-1)*1*I232</f>
        <v>94000</v>
      </c>
      <c r="J233" s="113" t="n">
        <f aca="false">Inputs!$D$7*(1+Inputs!$D$8)^(J$229-1)*1*J232</f>
        <v>94000</v>
      </c>
      <c r="K233" s="113" t="n">
        <f aca="false">Inputs!$D$7*(1+Inputs!$D$8)^(K$229-1)*1*K232</f>
        <v>94000</v>
      </c>
      <c r="L233" s="113" t="n">
        <f aca="false">Inputs!$D$7*(1+Inputs!$D$8)^(L$229-1)*1*L232</f>
        <v>94000</v>
      </c>
      <c r="M233" s="113" t="n">
        <f aca="false">Inputs!$D$7*(1+Inputs!$D$8)^(M$229-1)*1*M232</f>
        <v>130000</v>
      </c>
      <c r="N233" s="113" t="n">
        <f aca="false">Inputs!$D$7*(1+Inputs!$D$8)^(N$229-1)*1*N232</f>
        <v>130000</v>
      </c>
      <c r="O233" s="113" t="n">
        <f aca="false">Inputs!$D$7*(1+Inputs!$D$8)^(O$229-1)*1*O232</f>
        <v>131600</v>
      </c>
      <c r="P233" s="113" t="n">
        <f aca="false">Inputs!$D$7*(1+Inputs!$D$8)^(P$229-1)*1*P232</f>
        <v>131600</v>
      </c>
      <c r="Q233" s="113" t="n">
        <f aca="false">Inputs!$D$7*(1+Inputs!$D$8)^(Q$229-1)*1*Q232</f>
        <v>131600</v>
      </c>
      <c r="R233" s="113" t="n">
        <f aca="false">Inputs!$D$7*(1+Inputs!$D$8)^(R$229-1)*1*R232</f>
        <v>131600</v>
      </c>
      <c r="S233" s="113" t="n">
        <f aca="false">Inputs!$D$7*(1+Inputs!$D$8)^(S$229-1)*1*S232</f>
        <v>131600</v>
      </c>
      <c r="T233" s="113" t="n">
        <f aca="false">Inputs!$D$7*(1+Inputs!$D$8)^(T$229-1)*1*T232</f>
        <v>131600</v>
      </c>
      <c r="U233" s="113" t="n">
        <f aca="false">Inputs!$D$7*(1+Inputs!$D$8)^(U$229-1)*1*U232</f>
        <v>131600</v>
      </c>
      <c r="V233" s="113" t="n">
        <f aca="false">Inputs!$D$7*(1+Inputs!$D$8)^(V$229-1)*1*V232</f>
        <v>131600</v>
      </c>
      <c r="W233" s="113" t="n">
        <f aca="false">Inputs!$D$7*(1+Inputs!$D$8)^(W$229-1)*1*W232</f>
        <v>131600</v>
      </c>
      <c r="X233" s="113" t="n">
        <f aca="false">Inputs!$D$7*(1+Inputs!$D$8)^(X$229-1)*1*X232</f>
        <v>131600</v>
      </c>
      <c r="Y233" s="113" t="n">
        <f aca="false">Inputs!$D$7*(1+Inputs!$D$8)^(Y$229-1)*1*Y232</f>
        <v>182000</v>
      </c>
      <c r="Z233" s="113" t="n">
        <f aca="false">Inputs!$D$7*(1+Inputs!$D$8)^(Z$229-1)*1*Z232</f>
        <v>182000</v>
      </c>
      <c r="AA233" s="113" t="n">
        <f aca="false">Inputs!$D$7*(1+Inputs!$D$8)^(AA$229-1)*1*AA232</f>
        <v>184240</v>
      </c>
      <c r="AB233" s="113" t="n">
        <f aca="false">Inputs!$D$7*(1+Inputs!$D$8)^(AB$229-1)*1*AB232</f>
        <v>184240</v>
      </c>
      <c r="AC233" s="113" t="n">
        <f aca="false">Inputs!$D$7*(1+Inputs!$D$8)^(AC$229-1)*1*AC232</f>
        <v>184240</v>
      </c>
      <c r="AD233" s="113" t="n">
        <f aca="false">Inputs!$D$7*(1+Inputs!$D$8)^(AD$229-1)*1*AD232</f>
        <v>184240</v>
      </c>
      <c r="AE233" s="113" t="n">
        <f aca="false">Inputs!$D$7*(1+Inputs!$D$8)^(AE$229-1)*1*AE232</f>
        <v>184240</v>
      </c>
      <c r="AF233" s="113" t="n">
        <f aca="false">Inputs!$D$7*(1+Inputs!$D$8)^(AF$229-1)*1*AF232</f>
        <v>184240</v>
      </c>
      <c r="AG233" s="113" t="n">
        <f aca="false">Inputs!$D$7*(1+Inputs!$D$8)^(AG$229-1)*1*AG232</f>
        <v>184240</v>
      </c>
      <c r="AH233" s="113" t="n">
        <f aca="false">Inputs!$D$7*(1+Inputs!$D$8)^(AH$229-1)*1*AH232</f>
        <v>184240</v>
      </c>
      <c r="AI233" s="113" t="n">
        <f aca="false">Inputs!$D$7*(1+Inputs!$D$8)^(AI$229-1)*1*AI232</f>
        <v>184240</v>
      </c>
      <c r="AJ233" s="113" t="n">
        <f aca="false">Inputs!$D$7*(1+Inputs!$D$8)^(AJ$229-1)*1*AJ232</f>
        <v>184240</v>
      </c>
      <c r="AK233" s="113" t="n">
        <f aca="false">Inputs!$D$7*(1+Inputs!$D$8)^(AK$229-1)*1*AK232</f>
        <v>254800</v>
      </c>
      <c r="AL233" s="113" t="n">
        <f aca="false">Inputs!$D$7*(1+Inputs!$D$8)^(AL$229-1)*1*AL232</f>
        <v>254800</v>
      </c>
      <c r="AM233" s="113" t="n">
        <f aca="false">Inputs!$D$7*(1+Inputs!$D$8)^(AM$229-1)*1*AM232</f>
        <v>257936</v>
      </c>
      <c r="AN233" s="113" t="n">
        <f aca="false">Inputs!$D$7*(1+Inputs!$D$8)^(AN$229-1)*1*AN232</f>
        <v>257936</v>
      </c>
      <c r="AO233" s="113" t="n">
        <f aca="false">Inputs!$D$7*(1+Inputs!$D$8)^(AO$229-1)*1*AO232</f>
        <v>257936</v>
      </c>
      <c r="AP233" s="113" t="n">
        <f aca="false">Inputs!$D$7*(1+Inputs!$D$8)^(AP$229-1)*1*AP232</f>
        <v>257936</v>
      </c>
      <c r="AQ233" s="113" t="n">
        <f aca="false">Inputs!$D$7*(1+Inputs!$D$8)^(AQ$229-1)*1*AQ232</f>
        <v>257936</v>
      </c>
      <c r="AR233" s="113" t="n">
        <f aca="false">Inputs!$D$7*(1+Inputs!$D$8)^(AR$229-1)*1*AR232</f>
        <v>257936</v>
      </c>
      <c r="AS233" s="113" t="n">
        <f aca="false">Inputs!$D$7*(1+Inputs!$D$8)^(AS$229-1)*1*AS232</f>
        <v>257936</v>
      </c>
      <c r="AT233" s="113" t="n">
        <f aca="false">Inputs!$D$7*(1+Inputs!$D$8)^(AT$229-1)*1*AT232</f>
        <v>257936</v>
      </c>
      <c r="AU233" s="113" t="n">
        <f aca="false">Inputs!$D$7*(1+Inputs!$D$8)^(AU$229-1)*1*AU232</f>
        <v>257936</v>
      </c>
      <c r="AV233" s="113" t="n">
        <f aca="false">Inputs!$D$7*(1+Inputs!$D$8)^(AV$229-1)*1*AV232</f>
        <v>257936</v>
      </c>
      <c r="AW233" s="113" t="n">
        <f aca="false">Inputs!$D$7*(1+Inputs!$D$8)^(AW$229-1)*1*AW232</f>
        <v>356720</v>
      </c>
      <c r="AX233" s="113" t="n">
        <f aca="false">Inputs!$D$7*(1+Inputs!$D$8)^(AX$229-1)*1*AX232</f>
        <v>356720</v>
      </c>
      <c r="AY233" s="113" t="n">
        <f aca="false">Inputs!$D$7*(1+Inputs!$D$8)^(AY$229-1)*1*AY232</f>
        <v>361110.4</v>
      </c>
      <c r="AZ233" s="113" t="n">
        <f aca="false">Inputs!$D$7*(1+Inputs!$D$8)^(AZ$229-1)*1*AZ232</f>
        <v>361110.4</v>
      </c>
      <c r="BA233" s="113" t="n">
        <f aca="false">Inputs!$D$7*(1+Inputs!$D$8)^(BA$229-1)*1*BA232</f>
        <v>361110.4</v>
      </c>
      <c r="BB233" s="113" t="n">
        <f aca="false">Inputs!$D$7*(1+Inputs!$D$8)^(BB$229-1)*1*BB232</f>
        <v>361110.4</v>
      </c>
      <c r="BC233" s="113" t="n">
        <f aca="false">Inputs!$D$7*(1+Inputs!$D$8)^(BC$229-1)*1*BC232</f>
        <v>361110.4</v>
      </c>
      <c r="BD233" s="113" t="n">
        <f aca="false">Inputs!$D$7*(1+Inputs!$D$8)^(BD$229-1)*1*BD232</f>
        <v>361110.4</v>
      </c>
      <c r="BE233" s="113" t="n">
        <f aca="false">Inputs!$D$7*(1+Inputs!$D$8)^(BE$229-1)*1*BE232</f>
        <v>361110.4</v>
      </c>
      <c r="BF233" s="113" t="n">
        <f aca="false">Inputs!$D$7*(1+Inputs!$D$8)^(BF$229-1)*1*BF232</f>
        <v>361110.4</v>
      </c>
      <c r="BG233" s="113" t="n">
        <f aca="false">Inputs!$D$7*(1+Inputs!$D$8)^(BG$229-1)*1*BG232</f>
        <v>361110.4</v>
      </c>
      <c r="BH233" s="113" t="n">
        <f aca="false">Inputs!$D$7*(1+Inputs!$D$8)^(BH$229-1)*1*BH232</f>
        <v>361110.4</v>
      </c>
      <c r="BI233" s="113" t="n">
        <f aca="false">Inputs!$D$7*(1+Inputs!$D$8)^(BI$229-1)*1*BI232</f>
        <v>499408</v>
      </c>
      <c r="BJ233" s="113" t="n">
        <f aca="false">Inputs!$D$7*(1+Inputs!$D$8)^(BJ$229-1)*1*BJ232</f>
        <v>499408</v>
      </c>
    </row>
    <row r="234" customFormat="false" ht="15" hidden="false" customHeight="false" outlineLevel="0" collapsed="false">
      <c r="A234" s="6" t="s">
        <v>409</v>
      </c>
      <c r="C234" s="114" t="n">
        <f aca="false">C233*Inputs!$D$9</f>
        <v>2632</v>
      </c>
      <c r="D234" s="114" t="n">
        <f aca="false">D233*Inputs!$D$9</f>
        <v>2632</v>
      </c>
      <c r="E234" s="114" t="n">
        <f aca="false">E233*Inputs!$D$9</f>
        <v>2632</v>
      </c>
      <c r="F234" s="114" t="n">
        <f aca="false">F233*Inputs!$D$9</f>
        <v>2632</v>
      </c>
      <c r="G234" s="114" t="n">
        <f aca="false">G233*Inputs!$D$9</f>
        <v>2632</v>
      </c>
      <c r="H234" s="114" t="n">
        <f aca="false">H233*Inputs!$D$9</f>
        <v>2632</v>
      </c>
      <c r="I234" s="114" t="n">
        <f aca="false">I233*Inputs!$D$9</f>
        <v>2632</v>
      </c>
      <c r="J234" s="114" t="n">
        <f aca="false">J233*Inputs!$D$9</f>
        <v>2632</v>
      </c>
      <c r="K234" s="114" t="n">
        <f aca="false">K233*Inputs!$D$9</f>
        <v>2632</v>
      </c>
      <c r="L234" s="114" t="n">
        <f aca="false">L233*Inputs!$D$9</f>
        <v>2632</v>
      </c>
      <c r="M234" s="114" t="n">
        <f aca="false">M233*Inputs!$D$9</f>
        <v>3640</v>
      </c>
      <c r="N234" s="114" t="n">
        <f aca="false">N233*Inputs!$D$9</f>
        <v>3640</v>
      </c>
      <c r="O234" s="114" t="n">
        <f aca="false">O233*Inputs!$D$9</f>
        <v>3684.8</v>
      </c>
      <c r="P234" s="114" t="n">
        <f aca="false">P233*Inputs!$D$9</f>
        <v>3684.8</v>
      </c>
      <c r="Q234" s="114" t="n">
        <f aca="false">Q233*Inputs!$D$9</f>
        <v>3684.8</v>
      </c>
      <c r="R234" s="114" t="n">
        <f aca="false">R233*Inputs!$D$9</f>
        <v>3684.8</v>
      </c>
      <c r="S234" s="114" t="n">
        <f aca="false">S233*Inputs!$D$9</f>
        <v>3684.8</v>
      </c>
      <c r="T234" s="114" t="n">
        <f aca="false">T233*Inputs!$D$9</f>
        <v>3684.8</v>
      </c>
      <c r="U234" s="114" t="n">
        <f aca="false">U233*Inputs!$D$9</f>
        <v>3684.8</v>
      </c>
      <c r="V234" s="114" t="n">
        <f aca="false">V233*Inputs!$D$9</f>
        <v>3684.8</v>
      </c>
      <c r="W234" s="114" t="n">
        <f aca="false">W233*Inputs!$D$9</f>
        <v>3684.8</v>
      </c>
      <c r="X234" s="114" t="n">
        <f aca="false">X233*Inputs!$D$9</f>
        <v>3684.8</v>
      </c>
      <c r="Y234" s="114" t="n">
        <f aca="false">Y233*Inputs!$D$9</f>
        <v>5096</v>
      </c>
      <c r="Z234" s="114" t="n">
        <f aca="false">Z233*Inputs!$D$9</f>
        <v>5096</v>
      </c>
      <c r="AA234" s="114" t="n">
        <f aca="false">AA233*Inputs!$D$9</f>
        <v>5158.72</v>
      </c>
      <c r="AB234" s="114" t="n">
        <f aca="false">AB233*Inputs!$D$9</f>
        <v>5158.72</v>
      </c>
      <c r="AC234" s="114" t="n">
        <f aca="false">AC233*Inputs!$D$9</f>
        <v>5158.72</v>
      </c>
      <c r="AD234" s="114" t="n">
        <f aca="false">AD233*Inputs!$D$9</f>
        <v>5158.72</v>
      </c>
      <c r="AE234" s="114" t="n">
        <f aca="false">AE233*Inputs!$D$9</f>
        <v>5158.72</v>
      </c>
      <c r="AF234" s="114" t="n">
        <f aca="false">AF233*Inputs!$D$9</f>
        <v>5158.72</v>
      </c>
      <c r="AG234" s="114" t="n">
        <f aca="false">AG233*Inputs!$D$9</f>
        <v>5158.72</v>
      </c>
      <c r="AH234" s="114" t="n">
        <f aca="false">AH233*Inputs!$D$9</f>
        <v>5158.72</v>
      </c>
      <c r="AI234" s="114" t="n">
        <f aca="false">AI233*Inputs!$D$9</f>
        <v>5158.72</v>
      </c>
      <c r="AJ234" s="114" t="n">
        <f aca="false">AJ233*Inputs!$D$9</f>
        <v>5158.72</v>
      </c>
      <c r="AK234" s="114" t="n">
        <f aca="false">AK233*Inputs!$D$9</f>
        <v>7134.4</v>
      </c>
      <c r="AL234" s="114" t="n">
        <f aca="false">AL233*Inputs!$D$9</f>
        <v>7134.4</v>
      </c>
      <c r="AM234" s="114" t="n">
        <f aca="false">AM233*Inputs!$D$9</f>
        <v>7222.208</v>
      </c>
      <c r="AN234" s="114" t="n">
        <f aca="false">AN233*Inputs!$D$9</f>
        <v>7222.208</v>
      </c>
      <c r="AO234" s="114" t="n">
        <f aca="false">AO233*Inputs!$D$9</f>
        <v>7222.208</v>
      </c>
      <c r="AP234" s="114" t="n">
        <f aca="false">AP233*Inputs!$D$9</f>
        <v>7222.208</v>
      </c>
      <c r="AQ234" s="114" t="n">
        <f aca="false">AQ233*Inputs!$D$9</f>
        <v>7222.208</v>
      </c>
      <c r="AR234" s="114" t="n">
        <f aca="false">AR233*Inputs!$D$9</f>
        <v>7222.208</v>
      </c>
      <c r="AS234" s="114" t="n">
        <f aca="false">AS233*Inputs!$D$9</f>
        <v>7222.208</v>
      </c>
      <c r="AT234" s="114" t="n">
        <f aca="false">AT233*Inputs!$D$9</f>
        <v>7222.208</v>
      </c>
      <c r="AU234" s="114" t="n">
        <f aca="false">AU233*Inputs!$D$9</f>
        <v>7222.208</v>
      </c>
      <c r="AV234" s="114" t="n">
        <f aca="false">AV233*Inputs!$D$9</f>
        <v>7222.208</v>
      </c>
      <c r="AW234" s="114" t="n">
        <f aca="false">AW233*Inputs!$D$9</f>
        <v>9988.16</v>
      </c>
      <c r="AX234" s="114" t="n">
        <f aca="false">AX233*Inputs!$D$9</f>
        <v>9988.16</v>
      </c>
      <c r="AY234" s="114" t="n">
        <f aca="false">AY233*Inputs!$D$9</f>
        <v>10111.0912</v>
      </c>
      <c r="AZ234" s="114" t="n">
        <f aca="false">AZ233*Inputs!$D$9</f>
        <v>10111.0912</v>
      </c>
      <c r="BA234" s="114" t="n">
        <f aca="false">BA233*Inputs!$D$9</f>
        <v>10111.0912</v>
      </c>
      <c r="BB234" s="114" t="n">
        <f aca="false">BB233*Inputs!$D$9</f>
        <v>10111.0912</v>
      </c>
      <c r="BC234" s="114" t="n">
        <f aca="false">BC233*Inputs!$D$9</f>
        <v>10111.0912</v>
      </c>
      <c r="BD234" s="114" t="n">
        <f aca="false">BD233*Inputs!$D$9</f>
        <v>10111.0912</v>
      </c>
      <c r="BE234" s="114" t="n">
        <f aca="false">BE233*Inputs!$D$9</f>
        <v>10111.0912</v>
      </c>
      <c r="BF234" s="114" t="n">
        <f aca="false">BF233*Inputs!$D$9</f>
        <v>10111.0912</v>
      </c>
      <c r="BG234" s="114" t="n">
        <f aca="false">BG233*Inputs!$D$9</f>
        <v>10111.0912</v>
      </c>
      <c r="BH234" s="114" t="n">
        <f aca="false">BH233*Inputs!$D$9</f>
        <v>10111.0912</v>
      </c>
      <c r="BI234" s="114" t="n">
        <f aca="false">BI233*Inputs!$D$9</f>
        <v>13983.424</v>
      </c>
      <c r="BJ234" s="114" t="n">
        <f aca="false">BJ233*Inputs!$D$9</f>
        <v>13983.424</v>
      </c>
    </row>
    <row r="235" customFormat="false" ht="15" hidden="false" customHeight="false" outlineLevel="0" collapsed="false">
      <c r="A235" s="6" t="s">
        <v>410</v>
      </c>
      <c r="C235" s="114" t="n">
        <f aca="false">-C256/MAX(1,Inputs!$D$15)</f>
        <v>2272.72727272727</v>
      </c>
      <c r="D235" s="114" t="n">
        <f aca="false">-D256/MAX(1,Inputs!$D$15)</f>
        <v>2272.72727272727</v>
      </c>
      <c r="E235" s="114" t="n">
        <f aca="false">-E256/MAX(1,Inputs!$D$15)</f>
        <v>2272.72727272727</v>
      </c>
      <c r="F235" s="114" t="n">
        <f aca="false">-F256/MAX(1,Inputs!$D$15)</f>
        <v>2272.72727272727</v>
      </c>
      <c r="G235" s="114" t="n">
        <f aca="false">-G256/MAX(1,Inputs!$D$15)</f>
        <v>2272.72727272727</v>
      </c>
      <c r="H235" s="114" t="n">
        <f aca="false">-H256/MAX(1,Inputs!$D$15)</f>
        <v>2272.72727272727</v>
      </c>
      <c r="I235" s="114" t="n">
        <f aca="false">-I256/MAX(1,Inputs!$D$15)</f>
        <v>2272.72727272727</v>
      </c>
      <c r="J235" s="114" t="n">
        <f aca="false">-J256/MAX(1,Inputs!$D$15)</f>
        <v>2272.72727272727</v>
      </c>
      <c r="K235" s="114" t="n">
        <f aca="false">-K256/MAX(1,Inputs!$D$15)</f>
        <v>2272.72727272727</v>
      </c>
      <c r="L235" s="114" t="n">
        <f aca="false">-L256/MAX(1,Inputs!$D$15)</f>
        <v>2272.72727272727</v>
      </c>
      <c r="M235" s="114" t="n">
        <f aca="false">-M256/MAX(1,Inputs!$D$15)</f>
        <v>2272.72727272727</v>
      </c>
      <c r="N235" s="114" t="n">
        <f aca="false">-N256/MAX(1,Inputs!$D$15)</f>
        <v>2272.72727272727</v>
      </c>
      <c r="O235" s="114" t="n">
        <f aca="false">-O256/MAX(1,Inputs!$D$15)</f>
        <v>2727.27272727273</v>
      </c>
      <c r="P235" s="114" t="n">
        <f aca="false">-P256/MAX(1,Inputs!$D$15)</f>
        <v>2727.27272727273</v>
      </c>
      <c r="Q235" s="114" t="n">
        <f aca="false">-Q256/MAX(1,Inputs!$D$15)</f>
        <v>2727.27272727273</v>
      </c>
      <c r="R235" s="114" t="n">
        <f aca="false">-R256/MAX(1,Inputs!$D$15)</f>
        <v>2727.27272727273</v>
      </c>
      <c r="S235" s="114" t="n">
        <f aca="false">-S256/MAX(1,Inputs!$D$15)</f>
        <v>2727.27272727273</v>
      </c>
      <c r="T235" s="114" t="n">
        <f aca="false">-T256/MAX(1,Inputs!$D$15)</f>
        <v>2727.27272727273</v>
      </c>
      <c r="U235" s="114" t="n">
        <f aca="false">-U256/MAX(1,Inputs!$D$15)</f>
        <v>2727.27272727273</v>
      </c>
      <c r="V235" s="114" t="n">
        <f aca="false">-V256/MAX(1,Inputs!$D$15)</f>
        <v>2727.27272727273</v>
      </c>
      <c r="W235" s="114" t="n">
        <f aca="false">-W256/MAX(1,Inputs!$D$15)</f>
        <v>2727.27272727273</v>
      </c>
      <c r="X235" s="114" t="n">
        <f aca="false">-X256/MAX(1,Inputs!$D$15)</f>
        <v>2727.27272727273</v>
      </c>
      <c r="Y235" s="114" t="n">
        <f aca="false">-Y256/MAX(1,Inputs!$D$15)</f>
        <v>2727.27272727273</v>
      </c>
      <c r="Z235" s="114" t="n">
        <f aca="false">-Z256/MAX(1,Inputs!$D$15)</f>
        <v>2727.27272727273</v>
      </c>
      <c r="AA235" s="114" t="n">
        <f aca="false">-AA256/MAX(1,Inputs!$D$15)</f>
        <v>3272.72727272727</v>
      </c>
      <c r="AB235" s="114" t="n">
        <f aca="false">-AB256/MAX(1,Inputs!$D$15)</f>
        <v>3272.72727272727</v>
      </c>
      <c r="AC235" s="114" t="n">
        <f aca="false">-AC256/MAX(1,Inputs!$D$15)</f>
        <v>3272.72727272727</v>
      </c>
      <c r="AD235" s="114" t="n">
        <f aca="false">-AD256/MAX(1,Inputs!$D$15)</f>
        <v>3272.72727272727</v>
      </c>
      <c r="AE235" s="114" t="n">
        <f aca="false">-AE256/MAX(1,Inputs!$D$15)</f>
        <v>3272.72727272727</v>
      </c>
      <c r="AF235" s="114" t="n">
        <f aca="false">-AF256/MAX(1,Inputs!$D$15)</f>
        <v>3272.72727272727</v>
      </c>
      <c r="AG235" s="114" t="n">
        <f aca="false">-AG256/MAX(1,Inputs!$D$15)</f>
        <v>3272.72727272727</v>
      </c>
      <c r="AH235" s="114" t="n">
        <f aca="false">-AH256/MAX(1,Inputs!$D$15)</f>
        <v>3272.72727272727</v>
      </c>
      <c r="AI235" s="114" t="n">
        <f aca="false">-AI256/MAX(1,Inputs!$D$15)</f>
        <v>3272.72727272727</v>
      </c>
      <c r="AJ235" s="114" t="n">
        <f aca="false">-AJ256/MAX(1,Inputs!$D$15)</f>
        <v>3272.72727272727</v>
      </c>
      <c r="AK235" s="114" t="n">
        <f aca="false">-AK256/MAX(1,Inputs!$D$15)</f>
        <v>3272.72727272727</v>
      </c>
      <c r="AL235" s="114" t="n">
        <f aca="false">-AL256/MAX(1,Inputs!$D$15)</f>
        <v>3272.72727272727</v>
      </c>
      <c r="AM235" s="114" t="n">
        <f aca="false">-AM256/MAX(1,Inputs!$D$15)</f>
        <v>3927.27272727273</v>
      </c>
      <c r="AN235" s="114" t="n">
        <f aca="false">-AN256/MAX(1,Inputs!$D$15)</f>
        <v>3927.27272727273</v>
      </c>
      <c r="AO235" s="114" t="n">
        <f aca="false">-AO256/MAX(1,Inputs!$D$15)</f>
        <v>3927.27272727273</v>
      </c>
      <c r="AP235" s="114" t="n">
        <f aca="false">-AP256/MAX(1,Inputs!$D$15)</f>
        <v>3927.27272727273</v>
      </c>
      <c r="AQ235" s="114" t="n">
        <f aca="false">-AQ256/MAX(1,Inputs!$D$15)</f>
        <v>3927.27272727273</v>
      </c>
      <c r="AR235" s="114" t="n">
        <f aca="false">-AR256/MAX(1,Inputs!$D$15)</f>
        <v>3927.27272727273</v>
      </c>
      <c r="AS235" s="114" t="n">
        <f aca="false">-AS256/MAX(1,Inputs!$D$15)</f>
        <v>3927.27272727273</v>
      </c>
      <c r="AT235" s="114" t="n">
        <f aca="false">-AT256/MAX(1,Inputs!$D$15)</f>
        <v>3927.27272727273</v>
      </c>
      <c r="AU235" s="114" t="n">
        <f aca="false">-AU256/MAX(1,Inputs!$D$15)</f>
        <v>3927.27272727273</v>
      </c>
      <c r="AV235" s="114" t="n">
        <f aca="false">-AV256/MAX(1,Inputs!$D$15)</f>
        <v>3927.27272727273</v>
      </c>
      <c r="AW235" s="114" t="n">
        <f aca="false">-AW256/MAX(1,Inputs!$D$15)</f>
        <v>3927.27272727273</v>
      </c>
      <c r="AX235" s="114" t="n">
        <f aca="false">-AX256/MAX(1,Inputs!$D$15)</f>
        <v>3927.27272727273</v>
      </c>
      <c r="AY235" s="114" t="n">
        <f aca="false">-AY256/MAX(1,Inputs!$D$15)</f>
        <v>4712.72727272727</v>
      </c>
      <c r="AZ235" s="114" t="n">
        <f aca="false">-AZ256/MAX(1,Inputs!$D$15)</f>
        <v>4712.72727272727</v>
      </c>
      <c r="BA235" s="114" t="n">
        <f aca="false">-BA256/MAX(1,Inputs!$D$15)</f>
        <v>4712.72727272727</v>
      </c>
      <c r="BB235" s="114" t="n">
        <f aca="false">-BB256/MAX(1,Inputs!$D$15)</f>
        <v>4712.72727272727</v>
      </c>
      <c r="BC235" s="114" t="n">
        <f aca="false">-BC256/MAX(1,Inputs!$D$15)</f>
        <v>4712.72727272727</v>
      </c>
      <c r="BD235" s="114" t="n">
        <f aca="false">-BD256/MAX(1,Inputs!$D$15)</f>
        <v>4712.72727272727</v>
      </c>
      <c r="BE235" s="114" t="n">
        <f aca="false">-BE256/MAX(1,Inputs!$D$15)</f>
        <v>4712.72727272727</v>
      </c>
      <c r="BF235" s="114" t="n">
        <f aca="false">-BF256/MAX(1,Inputs!$D$15)</f>
        <v>4712.72727272727</v>
      </c>
      <c r="BG235" s="114" t="n">
        <f aca="false">-BG256/MAX(1,Inputs!$D$15)</f>
        <v>4712.72727272727</v>
      </c>
      <c r="BH235" s="114" t="n">
        <f aca="false">-BH256/MAX(1,Inputs!$D$15)</f>
        <v>4712.72727272727</v>
      </c>
      <c r="BI235" s="114" t="n">
        <f aca="false">-BI256/MAX(1,Inputs!$D$15)</f>
        <v>4712.72727272727</v>
      </c>
      <c r="BJ235" s="114" t="n">
        <f aca="false">-BJ256/MAX(1,Inputs!$D$15)</f>
        <v>4712.72727272727</v>
      </c>
    </row>
    <row r="236" customFormat="false" ht="15" hidden="false" customHeight="false" outlineLevel="0" collapsed="false">
      <c r="A236" s="6" t="s">
        <v>411</v>
      </c>
      <c r="C236" s="114" t="n">
        <f aca="false">C234+C235</f>
        <v>4904.72727272727</v>
      </c>
      <c r="D236" s="114" t="n">
        <f aca="false">D234+D235</f>
        <v>4904.72727272727</v>
      </c>
      <c r="E236" s="114" t="n">
        <f aca="false">E234+E235</f>
        <v>4904.72727272727</v>
      </c>
      <c r="F236" s="114" t="n">
        <f aca="false">F234+F235</f>
        <v>4904.72727272727</v>
      </c>
      <c r="G236" s="114" t="n">
        <f aca="false">G234+G235</f>
        <v>4904.72727272727</v>
      </c>
      <c r="H236" s="114" t="n">
        <f aca="false">H234+H235</f>
        <v>4904.72727272727</v>
      </c>
      <c r="I236" s="114" t="n">
        <f aca="false">I234+I235</f>
        <v>4904.72727272727</v>
      </c>
      <c r="J236" s="114" t="n">
        <f aca="false">J234+J235</f>
        <v>4904.72727272727</v>
      </c>
      <c r="K236" s="114" t="n">
        <f aca="false">K234+K235</f>
        <v>4904.72727272727</v>
      </c>
      <c r="L236" s="114" t="n">
        <f aca="false">L234+L235</f>
        <v>4904.72727272727</v>
      </c>
      <c r="M236" s="114" t="n">
        <f aca="false">M234+M235</f>
        <v>5912.72727272727</v>
      </c>
      <c r="N236" s="114" t="n">
        <f aca="false">N234+N235</f>
        <v>5912.72727272727</v>
      </c>
      <c r="O236" s="114" t="n">
        <f aca="false">O234+O235</f>
        <v>6412.07272727273</v>
      </c>
      <c r="P236" s="114" t="n">
        <f aca="false">P234+P235</f>
        <v>6412.07272727273</v>
      </c>
      <c r="Q236" s="114" t="n">
        <f aca="false">Q234+Q235</f>
        <v>6412.07272727273</v>
      </c>
      <c r="R236" s="114" t="n">
        <f aca="false">R234+R235</f>
        <v>6412.07272727273</v>
      </c>
      <c r="S236" s="114" t="n">
        <f aca="false">S234+S235</f>
        <v>6412.07272727273</v>
      </c>
      <c r="T236" s="114" t="n">
        <f aca="false">T234+T235</f>
        <v>6412.07272727273</v>
      </c>
      <c r="U236" s="114" t="n">
        <f aca="false">U234+U235</f>
        <v>6412.07272727273</v>
      </c>
      <c r="V236" s="114" t="n">
        <f aca="false">V234+V235</f>
        <v>6412.07272727273</v>
      </c>
      <c r="W236" s="114" t="n">
        <f aca="false">W234+W235</f>
        <v>6412.07272727273</v>
      </c>
      <c r="X236" s="114" t="n">
        <f aca="false">X234+X235</f>
        <v>6412.07272727273</v>
      </c>
      <c r="Y236" s="114" t="n">
        <f aca="false">Y234+Y235</f>
        <v>7823.27272727273</v>
      </c>
      <c r="Z236" s="114" t="n">
        <f aca="false">Z234+Z235</f>
        <v>7823.27272727273</v>
      </c>
      <c r="AA236" s="114" t="n">
        <f aca="false">AA234+AA235</f>
        <v>8431.44727272727</v>
      </c>
      <c r="AB236" s="114" t="n">
        <f aca="false">AB234+AB235</f>
        <v>8431.44727272727</v>
      </c>
      <c r="AC236" s="114" t="n">
        <f aca="false">AC234+AC235</f>
        <v>8431.44727272727</v>
      </c>
      <c r="AD236" s="114" t="n">
        <f aca="false">AD234+AD235</f>
        <v>8431.44727272727</v>
      </c>
      <c r="AE236" s="114" t="n">
        <f aca="false">AE234+AE235</f>
        <v>8431.44727272727</v>
      </c>
      <c r="AF236" s="114" t="n">
        <f aca="false">AF234+AF235</f>
        <v>8431.44727272727</v>
      </c>
      <c r="AG236" s="114" t="n">
        <f aca="false">AG234+AG235</f>
        <v>8431.44727272727</v>
      </c>
      <c r="AH236" s="114" t="n">
        <f aca="false">AH234+AH235</f>
        <v>8431.44727272727</v>
      </c>
      <c r="AI236" s="114" t="n">
        <f aca="false">AI234+AI235</f>
        <v>8431.44727272727</v>
      </c>
      <c r="AJ236" s="114" t="n">
        <f aca="false">AJ234+AJ235</f>
        <v>8431.44727272727</v>
      </c>
      <c r="AK236" s="114" t="n">
        <f aca="false">AK234+AK235</f>
        <v>10407.1272727273</v>
      </c>
      <c r="AL236" s="114" t="n">
        <f aca="false">AL234+AL235</f>
        <v>10407.1272727273</v>
      </c>
      <c r="AM236" s="114" t="n">
        <f aca="false">AM234+AM235</f>
        <v>11149.4807272727</v>
      </c>
      <c r="AN236" s="114" t="n">
        <f aca="false">AN234+AN235</f>
        <v>11149.4807272727</v>
      </c>
      <c r="AO236" s="114" t="n">
        <f aca="false">AO234+AO235</f>
        <v>11149.4807272727</v>
      </c>
      <c r="AP236" s="114" t="n">
        <f aca="false">AP234+AP235</f>
        <v>11149.4807272727</v>
      </c>
      <c r="AQ236" s="114" t="n">
        <f aca="false">AQ234+AQ235</f>
        <v>11149.4807272727</v>
      </c>
      <c r="AR236" s="114" t="n">
        <f aca="false">AR234+AR235</f>
        <v>11149.4807272727</v>
      </c>
      <c r="AS236" s="114" t="n">
        <f aca="false">AS234+AS235</f>
        <v>11149.4807272727</v>
      </c>
      <c r="AT236" s="114" t="n">
        <f aca="false">AT234+AT235</f>
        <v>11149.4807272727</v>
      </c>
      <c r="AU236" s="114" t="n">
        <f aca="false">AU234+AU235</f>
        <v>11149.4807272727</v>
      </c>
      <c r="AV236" s="114" t="n">
        <f aca="false">AV234+AV235</f>
        <v>11149.4807272727</v>
      </c>
      <c r="AW236" s="114" t="n">
        <f aca="false">AW234+AW235</f>
        <v>13915.4327272727</v>
      </c>
      <c r="AX236" s="114" t="n">
        <f aca="false">AX234+AX235</f>
        <v>13915.4327272727</v>
      </c>
      <c r="AY236" s="114" t="n">
        <f aca="false">AY234+AY235</f>
        <v>14823.8184727273</v>
      </c>
      <c r="AZ236" s="114" t="n">
        <f aca="false">AZ234+AZ235</f>
        <v>14823.8184727273</v>
      </c>
      <c r="BA236" s="114" t="n">
        <f aca="false">BA234+BA235</f>
        <v>14823.8184727273</v>
      </c>
      <c r="BB236" s="114" t="n">
        <f aca="false">BB234+BB235</f>
        <v>14823.8184727273</v>
      </c>
      <c r="BC236" s="114" t="n">
        <f aca="false">BC234+BC235</f>
        <v>14823.8184727273</v>
      </c>
      <c r="BD236" s="114" t="n">
        <f aca="false">BD234+BD235</f>
        <v>14823.8184727273</v>
      </c>
      <c r="BE236" s="114" t="n">
        <f aca="false">BE234+BE235</f>
        <v>14823.8184727273</v>
      </c>
      <c r="BF236" s="114" t="n">
        <f aca="false">BF234+BF235</f>
        <v>14823.8184727273</v>
      </c>
      <c r="BG236" s="114" t="n">
        <f aca="false">BG234+BG235</f>
        <v>14823.8184727273</v>
      </c>
      <c r="BH236" s="114" t="n">
        <f aca="false">BH234+BH235</f>
        <v>14823.8184727273</v>
      </c>
      <c r="BI236" s="114" t="n">
        <f aca="false">BI234+BI235</f>
        <v>18696.1512727273</v>
      </c>
      <c r="BJ236" s="114" t="n">
        <f aca="false">BJ234+BJ235</f>
        <v>18696.1512727273</v>
      </c>
    </row>
    <row r="237" customFormat="false" ht="15" hidden="false" customHeight="false" outlineLevel="0" collapsed="false">
      <c r="A237" s="6" t="s">
        <v>412</v>
      </c>
      <c r="C237" s="114" t="n">
        <f aca="false">C236*Inputs!$D$12</f>
        <v>2942.83636363636</v>
      </c>
      <c r="D237" s="114" t="n">
        <f aca="false">D236*Inputs!$D$12</f>
        <v>2942.83636363636</v>
      </c>
      <c r="E237" s="114" t="n">
        <f aca="false">E236*Inputs!$D$12</f>
        <v>2942.83636363636</v>
      </c>
      <c r="F237" s="114" t="n">
        <f aca="false">F236*Inputs!$D$12</f>
        <v>2942.83636363636</v>
      </c>
      <c r="G237" s="114" t="n">
        <f aca="false">G236*Inputs!$D$12</f>
        <v>2942.83636363636</v>
      </c>
      <c r="H237" s="114" t="n">
        <f aca="false">H236*Inputs!$D$12</f>
        <v>2942.83636363636</v>
      </c>
      <c r="I237" s="114" t="n">
        <f aca="false">I236*Inputs!$D$12</f>
        <v>2942.83636363636</v>
      </c>
      <c r="J237" s="114" t="n">
        <f aca="false">J236*Inputs!$D$12</f>
        <v>2942.83636363636</v>
      </c>
      <c r="K237" s="114" t="n">
        <f aca="false">K236*Inputs!$D$12</f>
        <v>2942.83636363636</v>
      </c>
      <c r="L237" s="114" t="n">
        <f aca="false">L236*Inputs!$D$12</f>
        <v>2942.83636363636</v>
      </c>
      <c r="M237" s="114" t="n">
        <f aca="false">M236*Inputs!$D$12</f>
        <v>3547.63636363636</v>
      </c>
      <c r="N237" s="114" t="n">
        <f aca="false">N236*Inputs!$D$12</f>
        <v>3547.63636363636</v>
      </c>
      <c r="O237" s="114" t="n">
        <f aca="false">O236*Inputs!$D$12</f>
        <v>3847.24363636364</v>
      </c>
      <c r="P237" s="114" t="n">
        <f aca="false">P236*Inputs!$D$12</f>
        <v>3847.24363636364</v>
      </c>
      <c r="Q237" s="114" t="n">
        <f aca="false">Q236*Inputs!$D$12</f>
        <v>3847.24363636364</v>
      </c>
      <c r="R237" s="114" t="n">
        <f aca="false">R236*Inputs!$D$12</f>
        <v>3847.24363636364</v>
      </c>
      <c r="S237" s="114" t="n">
        <f aca="false">S236*Inputs!$D$12</f>
        <v>3847.24363636364</v>
      </c>
      <c r="T237" s="114" t="n">
        <f aca="false">T236*Inputs!$D$12</f>
        <v>3847.24363636364</v>
      </c>
      <c r="U237" s="114" t="n">
        <f aca="false">U236*Inputs!$D$12</f>
        <v>3847.24363636364</v>
      </c>
      <c r="V237" s="114" t="n">
        <f aca="false">V236*Inputs!$D$12</f>
        <v>3847.24363636364</v>
      </c>
      <c r="W237" s="114" t="n">
        <f aca="false">W236*Inputs!$D$12</f>
        <v>3847.24363636364</v>
      </c>
      <c r="X237" s="114" t="n">
        <f aca="false">X236*Inputs!$D$12</f>
        <v>3847.24363636364</v>
      </c>
      <c r="Y237" s="114" t="n">
        <f aca="false">Y236*Inputs!$D$12</f>
        <v>4693.96363636364</v>
      </c>
      <c r="Z237" s="114" t="n">
        <f aca="false">Z236*Inputs!$D$12</f>
        <v>4693.96363636364</v>
      </c>
      <c r="AA237" s="114" t="n">
        <f aca="false">AA236*Inputs!$D$12</f>
        <v>5058.86836363636</v>
      </c>
      <c r="AB237" s="114" t="n">
        <f aca="false">AB236*Inputs!$D$12</f>
        <v>5058.86836363636</v>
      </c>
      <c r="AC237" s="114" t="n">
        <f aca="false">AC236*Inputs!$D$12</f>
        <v>5058.86836363636</v>
      </c>
      <c r="AD237" s="114" t="n">
        <f aca="false">AD236*Inputs!$D$12</f>
        <v>5058.86836363636</v>
      </c>
      <c r="AE237" s="114" t="n">
        <f aca="false">AE236*Inputs!$D$12</f>
        <v>5058.86836363636</v>
      </c>
      <c r="AF237" s="114" t="n">
        <f aca="false">AF236*Inputs!$D$12</f>
        <v>5058.86836363636</v>
      </c>
      <c r="AG237" s="114" t="n">
        <f aca="false">AG236*Inputs!$D$12</f>
        <v>5058.86836363636</v>
      </c>
      <c r="AH237" s="114" t="n">
        <f aca="false">AH236*Inputs!$D$12</f>
        <v>5058.86836363636</v>
      </c>
      <c r="AI237" s="114" t="n">
        <f aca="false">AI236*Inputs!$D$12</f>
        <v>5058.86836363636</v>
      </c>
      <c r="AJ237" s="114" t="n">
        <f aca="false">AJ236*Inputs!$D$12</f>
        <v>5058.86836363636</v>
      </c>
      <c r="AK237" s="114" t="n">
        <f aca="false">AK236*Inputs!$D$12</f>
        <v>6244.27636363636</v>
      </c>
      <c r="AL237" s="114" t="n">
        <f aca="false">AL236*Inputs!$D$12</f>
        <v>6244.27636363636</v>
      </c>
      <c r="AM237" s="114" t="n">
        <f aca="false">AM236*Inputs!$D$12</f>
        <v>6689.68843636363</v>
      </c>
      <c r="AN237" s="114" t="n">
        <f aca="false">AN236*Inputs!$D$12</f>
        <v>6689.68843636363</v>
      </c>
      <c r="AO237" s="114" t="n">
        <f aca="false">AO236*Inputs!$D$12</f>
        <v>6689.68843636363</v>
      </c>
      <c r="AP237" s="114" t="n">
        <f aca="false">AP236*Inputs!$D$12</f>
        <v>6689.68843636363</v>
      </c>
      <c r="AQ237" s="114" t="n">
        <f aca="false">AQ236*Inputs!$D$12</f>
        <v>6689.68843636363</v>
      </c>
      <c r="AR237" s="114" t="n">
        <f aca="false">AR236*Inputs!$D$12</f>
        <v>6689.68843636363</v>
      </c>
      <c r="AS237" s="114" t="n">
        <f aca="false">AS236*Inputs!$D$12</f>
        <v>6689.68843636363</v>
      </c>
      <c r="AT237" s="114" t="n">
        <f aca="false">AT236*Inputs!$D$12</f>
        <v>6689.68843636363</v>
      </c>
      <c r="AU237" s="114" t="n">
        <f aca="false">AU236*Inputs!$D$12</f>
        <v>6689.68843636363</v>
      </c>
      <c r="AV237" s="114" t="n">
        <f aca="false">AV236*Inputs!$D$12</f>
        <v>6689.68843636363</v>
      </c>
      <c r="AW237" s="114" t="n">
        <f aca="false">AW236*Inputs!$D$12</f>
        <v>8349.25963636364</v>
      </c>
      <c r="AX237" s="114" t="n">
        <f aca="false">AX236*Inputs!$D$12</f>
        <v>8349.25963636364</v>
      </c>
      <c r="AY237" s="114" t="n">
        <f aca="false">AY236*Inputs!$D$12</f>
        <v>8894.29108363636</v>
      </c>
      <c r="AZ237" s="114" t="n">
        <f aca="false">AZ236*Inputs!$D$12</f>
        <v>8894.29108363636</v>
      </c>
      <c r="BA237" s="114" t="n">
        <f aca="false">BA236*Inputs!$D$12</f>
        <v>8894.29108363636</v>
      </c>
      <c r="BB237" s="114" t="n">
        <f aca="false">BB236*Inputs!$D$12</f>
        <v>8894.29108363636</v>
      </c>
      <c r="BC237" s="114" t="n">
        <f aca="false">BC236*Inputs!$D$12</f>
        <v>8894.29108363636</v>
      </c>
      <c r="BD237" s="114" t="n">
        <f aca="false">BD236*Inputs!$D$12</f>
        <v>8894.29108363636</v>
      </c>
      <c r="BE237" s="114" t="n">
        <f aca="false">BE236*Inputs!$D$12</f>
        <v>8894.29108363636</v>
      </c>
      <c r="BF237" s="114" t="n">
        <f aca="false">BF236*Inputs!$D$12</f>
        <v>8894.29108363636</v>
      </c>
      <c r="BG237" s="114" t="n">
        <f aca="false">BG236*Inputs!$D$12</f>
        <v>8894.29108363636</v>
      </c>
      <c r="BH237" s="114" t="n">
        <f aca="false">BH236*Inputs!$D$12</f>
        <v>8894.29108363636</v>
      </c>
      <c r="BI237" s="114" t="n">
        <f aca="false">BI236*Inputs!$D$12</f>
        <v>11217.6907636364</v>
      </c>
      <c r="BJ237" s="114" t="n">
        <f aca="false">BJ236*Inputs!$D$12</f>
        <v>11217.6907636364</v>
      </c>
    </row>
    <row r="238" customFormat="false" ht="15" hidden="false" customHeight="false" outlineLevel="0" collapsed="false">
      <c r="A238" s="4" t="s">
        <v>60</v>
      </c>
      <c r="C238" s="115" t="n">
        <f aca="false">C236+C237</f>
        <v>7847.56363636364</v>
      </c>
      <c r="D238" s="115" t="n">
        <f aca="false">D236+D237</f>
        <v>7847.56363636364</v>
      </c>
      <c r="E238" s="115" t="n">
        <f aca="false">E236+E237</f>
        <v>7847.56363636364</v>
      </c>
      <c r="F238" s="115" t="n">
        <f aca="false">F236+F237</f>
        <v>7847.56363636364</v>
      </c>
      <c r="G238" s="115" t="n">
        <f aca="false">G236+G237</f>
        <v>7847.56363636364</v>
      </c>
      <c r="H238" s="115" t="n">
        <f aca="false">H236+H237</f>
        <v>7847.56363636364</v>
      </c>
      <c r="I238" s="115" t="n">
        <f aca="false">I236+I237</f>
        <v>7847.56363636364</v>
      </c>
      <c r="J238" s="115" t="n">
        <f aca="false">J236+J237</f>
        <v>7847.56363636364</v>
      </c>
      <c r="K238" s="115" t="n">
        <f aca="false">K236+K237</f>
        <v>7847.56363636364</v>
      </c>
      <c r="L238" s="115" t="n">
        <f aca="false">L236+L237</f>
        <v>7847.56363636364</v>
      </c>
      <c r="M238" s="115" t="n">
        <f aca="false">M236+M237</f>
        <v>9460.36363636364</v>
      </c>
      <c r="N238" s="115" t="n">
        <f aca="false">N236+N237</f>
        <v>9460.36363636364</v>
      </c>
      <c r="O238" s="115" t="n">
        <f aca="false">O236+O237</f>
        <v>10259.3163636364</v>
      </c>
      <c r="P238" s="115" t="n">
        <f aca="false">P236+P237</f>
        <v>10259.3163636364</v>
      </c>
      <c r="Q238" s="115" t="n">
        <f aca="false">Q236+Q237</f>
        <v>10259.3163636364</v>
      </c>
      <c r="R238" s="115" t="n">
        <f aca="false">R236+R237</f>
        <v>10259.3163636364</v>
      </c>
      <c r="S238" s="115" t="n">
        <f aca="false">S236+S237</f>
        <v>10259.3163636364</v>
      </c>
      <c r="T238" s="115" t="n">
        <f aca="false">T236+T237</f>
        <v>10259.3163636364</v>
      </c>
      <c r="U238" s="115" t="n">
        <f aca="false">U236+U237</f>
        <v>10259.3163636364</v>
      </c>
      <c r="V238" s="115" t="n">
        <f aca="false">V236+V237</f>
        <v>10259.3163636364</v>
      </c>
      <c r="W238" s="115" t="n">
        <f aca="false">W236+W237</f>
        <v>10259.3163636364</v>
      </c>
      <c r="X238" s="115" t="n">
        <f aca="false">X236+X237</f>
        <v>10259.3163636364</v>
      </c>
      <c r="Y238" s="115" t="n">
        <f aca="false">Y236+Y237</f>
        <v>12517.2363636364</v>
      </c>
      <c r="Z238" s="115" t="n">
        <f aca="false">Z236+Z237</f>
        <v>12517.2363636364</v>
      </c>
      <c r="AA238" s="115" t="n">
        <f aca="false">AA236+AA237</f>
        <v>13490.3156363636</v>
      </c>
      <c r="AB238" s="115" t="n">
        <f aca="false">AB236+AB237</f>
        <v>13490.3156363636</v>
      </c>
      <c r="AC238" s="115" t="n">
        <f aca="false">AC236+AC237</f>
        <v>13490.3156363636</v>
      </c>
      <c r="AD238" s="115" t="n">
        <f aca="false">AD236+AD237</f>
        <v>13490.3156363636</v>
      </c>
      <c r="AE238" s="115" t="n">
        <f aca="false">AE236+AE237</f>
        <v>13490.3156363636</v>
      </c>
      <c r="AF238" s="115" t="n">
        <f aca="false">AF236+AF237</f>
        <v>13490.3156363636</v>
      </c>
      <c r="AG238" s="115" t="n">
        <f aca="false">AG236+AG237</f>
        <v>13490.3156363636</v>
      </c>
      <c r="AH238" s="115" t="n">
        <f aca="false">AH236+AH237</f>
        <v>13490.3156363636</v>
      </c>
      <c r="AI238" s="115" t="n">
        <f aca="false">AI236+AI237</f>
        <v>13490.3156363636</v>
      </c>
      <c r="AJ238" s="115" t="n">
        <f aca="false">AJ236+AJ237</f>
        <v>13490.3156363636</v>
      </c>
      <c r="AK238" s="115" t="n">
        <f aca="false">AK236+AK237</f>
        <v>16651.4036363636</v>
      </c>
      <c r="AL238" s="115" t="n">
        <f aca="false">AL236+AL237</f>
        <v>16651.4036363636</v>
      </c>
      <c r="AM238" s="115" t="n">
        <f aca="false">AM236+AM237</f>
        <v>17839.1691636364</v>
      </c>
      <c r="AN238" s="115" t="n">
        <f aca="false">AN236+AN237</f>
        <v>17839.1691636364</v>
      </c>
      <c r="AO238" s="115" t="n">
        <f aca="false">AO236+AO237</f>
        <v>17839.1691636364</v>
      </c>
      <c r="AP238" s="115" t="n">
        <f aca="false">AP236+AP237</f>
        <v>17839.1691636364</v>
      </c>
      <c r="AQ238" s="115" t="n">
        <f aca="false">AQ236+AQ237</f>
        <v>17839.1691636364</v>
      </c>
      <c r="AR238" s="115" t="n">
        <f aca="false">AR236+AR237</f>
        <v>17839.1691636364</v>
      </c>
      <c r="AS238" s="115" t="n">
        <f aca="false">AS236+AS237</f>
        <v>17839.1691636364</v>
      </c>
      <c r="AT238" s="115" t="n">
        <f aca="false">AT236+AT237</f>
        <v>17839.1691636364</v>
      </c>
      <c r="AU238" s="115" t="n">
        <f aca="false">AU236+AU237</f>
        <v>17839.1691636364</v>
      </c>
      <c r="AV238" s="115" t="n">
        <f aca="false">AV236+AV237</f>
        <v>17839.1691636364</v>
      </c>
      <c r="AW238" s="115" t="n">
        <f aca="false">AW236+AW237</f>
        <v>22264.6923636364</v>
      </c>
      <c r="AX238" s="115" t="n">
        <f aca="false">AX236+AX237</f>
        <v>22264.6923636364</v>
      </c>
      <c r="AY238" s="115" t="n">
        <f aca="false">AY236+AY237</f>
        <v>23718.1095563636</v>
      </c>
      <c r="AZ238" s="115" t="n">
        <f aca="false">AZ236+AZ237</f>
        <v>23718.1095563636</v>
      </c>
      <c r="BA238" s="115" t="n">
        <f aca="false">BA236+BA237</f>
        <v>23718.1095563636</v>
      </c>
      <c r="BB238" s="115" t="n">
        <f aca="false">BB236+BB237</f>
        <v>23718.1095563636</v>
      </c>
      <c r="BC238" s="115" t="n">
        <f aca="false">BC236+BC237</f>
        <v>23718.1095563636</v>
      </c>
      <c r="BD238" s="115" t="n">
        <f aca="false">BD236+BD237</f>
        <v>23718.1095563636</v>
      </c>
      <c r="BE238" s="115" t="n">
        <f aca="false">BE236+BE237</f>
        <v>23718.1095563636</v>
      </c>
      <c r="BF238" s="115" t="n">
        <f aca="false">BF236+BF237</f>
        <v>23718.1095563636</v>
      </c>
      <c r="BG238" s="115" t="n">
        <f aca="false">BG236+BG237</f>
        <v>23718.1095563636</v>
      </c>
      <c r="BH238" s="115" t="n">
        <f aca="false">BH236+BH237</f>
        <v>23718.1095563636</v>
      </c>
      <c r="BI238" s="115" t="n">
        <f aca="false">BI236+BI237</f>
        <v>29913.8420363636</v>
      </c>
      <c r="BJ238" s="115" t="n">
        <f aca="false">BJ236+BJ237</f>
        <v>29913.8420363636</v>
      </c>
    </row>
    <row r="239" customFormat="false" ht="15" hidden="false" customHeight="false" outlineLevel="0" collapsed="false">
      <c r="A239" s="6" t="s">
        <v>413</v>
      </c>
      <c r="C239" s="116" t="n">
        <f aca="false">Inputs!$D$10*(1+Inputs!$D$11)^(C$229-1)</f>
        <v>85</v>
      </c>
      <c r="D239" s="116" t="n">
        <f aca="false">Inputs!$D$10*(1+Inputs!$D$11)^(D$229-1)</f>
        <v>85</v>
      </c>
      <c r="E239" s="116" t="n">
        <f aca="false">Inputs!$D$10*(1+Inputs!$D$11)^(E$229-1)</f>
        <v>85</v>
      </c>
      <c r="F239" s="116" t="n">
        <f aca="false">Inputs!$D$10*(1+Inputs!$D$11)^(F$229-1)</f>
        <v>85</v>
      </c>
      <c r="G239" s="116" t="n">
        <f aca="false">Inputs!$D$10*(1+Inputs!$D$11)^(G$229-1)</f>
        <v>85</v>
      </c>
      <c r="H239" s="116" t="n">
        <f aca="false">Inputs!$D$10*(1+Inputs!$D$11)^(H$229-1)</f>
        <v>85</v>
      </c>
      <c r="I239" s="116" t="n">
        <f aca="false">Inputs!$D$10*(1+Inputs!$D$11)^(I$229-1)</f>
        <v>85</v>
      </c>
      <c r="J239" s="116" t="n">
        <f aca="false">Inputs!$D$10*(1+Inputs!$D$11)^(J$229-1)</f>
        <v>85</v>
      </c>
      <c r="K239" s="116" t="n">
        <f aca="false">Inputs!$D$10*(1+Inputs!$D$11)^(K$229-1)</f>
        <v>85</v>
      </c>
      <c r="L239" s="116" t="n">
        <f aca="false">Inputs!$D$10*(1+Inputs!$D$11)^(L$229-1)</f>
        <v>85</v>
      </c>
      <c r="M239" s="116" t="n">
        <f aca="false">Inputs!$D$10*(1+Inputs!$D$11)^(M$229-1)</f>
        <v>85</v>
      </c>
      <c r="N239" s="116" t="n">
        <f aca="false">Inputs!$D$10*(1+Inputs!$D$11)^(N$229-1)</f>
        <v>85</v>
      </c>
      <c r="O239" s="116" t="n">
        <f aca="false">Inputs!$D$10*(1+Inputs!$D$11)^(O$229-1)</f>
        <v>88.4</v>
      </c>
      <c r="P239" s="116" t="n">
        <f aca="false">Inputs!$D$10*(1+Inputs!$D$11)^(P$229-1)</f>
        <v>88.4</v>
      </c>
      <c r="Q239" s="116" t="n">
        <f aca="false">Inputs!$D$10*(1+Inputs!$D$11)^(Q$229-1)</f>
        <v>88.4</v>
      </c>
      <c r="R239" s="116" t="n">
        <f aca="false">Inputs!$D$10*(1+Inputs!$D$11)^(R$229-1)</f>
        <v>88.4</v>
      </c>
      <c r="S239" s="116" t="n">
        <f aca="false">Inputs!$D$10*(1+Inputs!$D$11)^(S$229-1)</f>
        <v>88.4</v>
      </c>
      <c r="T239" s="116" t="n">
        <f aca="false">Inputs!$D$10*(1+Inputs!$D$11)^(T$229-1)</f>
        <v>88.4</v>
      </c>
      <c r="U239" s="116" t="n">
        <f aca="false">Inputs!$D$10*(1+Inputs!$D$11)^(U$229-1)</f>
        <v>88.4</v>
      </c>
      <c r="V239" s="116" t="n">
        <f aca="false">Inputs!$D$10*(1+Inputs!$D$11)^(V$229-1)</f>
        <v>88.4</v>
      </c>
      <c r="W239" s="116" t="n">
        <f aca="false">Inputs!$D$10*(1+Inputs!$D$11)^(W$229-1)</f>
        <v>88.4</v>
      </c>
      <c r="X239" s="116" t="n">
        <f aca="false">Inputs!$D$10*(1+Inputs!$D$11)^(X$229-1)</f>
        <v>88.4</v>
      </c>
      <c r="Y239" s="116" t="n">
        <f aca="false">Inputs!$D$10*(1+Inputs!$D$11)^(Y$229-1)</f>
        <v>88.4</v>
      </c>
      <c r="Z239" s="116" t="n">
        <f aca="false">Inputs!$D$10*(1+Inputs!$D$11)^(Z$229-1)</f>
        <v>88.4</v>
      </c>
      <c r="AA239" s="116" t="n">
        <f aca="false">Inputs!$D$10*(1+Inputs!$D$11)^(AA$229-1)</f>
        <v>91.936</v>
      </c>
      <c r="AB239" s="116" t="n">
        <f aca="false">Inputs!$D$10*(1+Inputs!$D$11)^(AB$229-1)</f>
        <v>91.936</v>
      </c>
      <c r="AC239" s="116" t="n">
        <f aca="false">Inputs!$D$10*(1+Inputs!$D$11)^(AC$229-1)</f>
        <v>91.936</v>
      </c>
      <c r="AD239" s="116" t="n">
        <f aca="false">Inputs!$D$10*(1+Inputs!$D$11)^(AD$229-1)</f>
        <v>91.936</v>
      </c>
      <c r="AE239" s="116" t="n">
        <f aca="false">Inputs!$D$10*(1+Inputs!$D$11)^(AE$229-1)</f>
        <v>91.936</v>
      </c>
      <c r="AF239" s="116" t="n">
        <f aca="false">Inputs!$D$10*(1+Inputs!$D$11)^(AF$229-1)</f>
        <v>91.936</v>
      </c>
      <c r="AG239" s="116" t="n">
        <f aca="false">Inputs!$D$10*(1+Inputs!$D$11)^(AG$229-1)</f>
        <v>91.936</v>
      </c>
      <c r="AH239" s="116" t="n">
        <f aca="false">Inputs!$D$10*(1+Inputs!$D$11)^(AH$229-1)</f>
        <v>91.936</v>
      </c>
      <c r="AI239" s="116" t="n">
        <f aca="false">Inputs!$D$10*(1+Inputs!$D$11)^(AI$229-1)</f>
        <v>91.936</v>
      </c>
      <c r="AJ239" s="116" t="n">
        <f aca="false">Inputs!$D$10*(1+Inputs!$D$11)^(AJ$229-1)</f>
        <v>91.936</v>
      </c>
      <c r="AK239" s="116" t="n">
        <f aca="false">Inputs!$D$10*(1+Inputs!$D$11)^(AK$229-1)</f>
        <v>91.936</v>
      </c>
      <c r="AL239" s="116" t="n">
        <f aca="false">Inputs!$D$10*(1+Inputs!$D$11)^(AL$229-1)</f>
        <v>91.936</v>
      </c>
      <c r="AM239" s="116" t="n">
        <f aca="false">Inputs!$D$10*(1+Inputs!$D$11)^(AM$229-1)</f>
        <v>95.61344</v>
      </c>
      <c r="AN239" s="116" t="n">
        <f aca="false">Inputs!$D$10*(1+Inputs!$D$11)^(AN$229-1)</f>
        <v>95.61344</v>
      </c>
      <c r="AO239" s="116" t="n">
        <f aca="false">Inputs!$D$10*(1+Inputs!$D$11)^(AO$229-1)</f>
        <v>95.61344</v>
      </c>
      <c r="AP239" s="116" t="n">
        <f aca="false">Inputs!$D$10*(1+Inputs!$D$11)^(AP$229-1)</f>
        <v>95.61344</v>
      </c>
      <c r="AQ239" s="116" t="n">
        <f aca="false">Inputs!$D$10*(1+Inputs!$D$11)^(AQ$229-1)</f>
        <v>95.61344</v>
      </c>
      <c r="AR239" s="116" t="n">
        <f aca="false">Inputs!$D$10*(1+Inputs!$D$11)^(AR$229-1)</f>
        <v>95.61344</v>
      </c>
      <c r="AS239" s="116" t="n">
        <f aca="false">Inputs!$D$10*(1+Inputs!$D$11)^(AS$229-1)</f>
        <v>95.61344</v>
      </c>
      <c r="AT239" s="116" t="n">
        <f aca="false">Inputs!$D$10*(1+Inputs!$D$11)^(AT$229-1)</f>
        <v>95.61344</v>
      </c>
      <c r="AU239" s="116" t="n">
        <f aca="false">Inputs!$D$10*(1+Inputs!$D$11)^(AU$229-1)</f>
        <v>95.61344</v>
      </c>
      <c r="AV239" s="116" t="n">
        <f aca="false">Inputs!$D$10*(1+Inputs!$D$11)^(AV$229-1)</f>
        <v>95.61344</v>
      </c>
      <c r="AW239" s="116" t="n">
        <f aca="false">Inputs!$D$10*(1+Inputs!$D$11)^(AW$229-1)</f>
        <v>95.61344</v>
      </c>
      <c r="AX239" s="116" t="n">
        <f aca="false">Inputs!$D$10*(1+Inputs!$D$11)^(AX$229-1)</f>
        <v>95.61344</v>
      </c>
      <c r="AY239" s="116" t="n">
        <f aca="false">Inputs!$D$10*(1+Inputs!$D$11)^(AY$229-1)</f>
        <v>99.4379776</v>
      </c>
      <c r="AZ239" s="116" t="n">
        <f aca="false">Inputs!$D$10*(1+Inputs!$D$11)^(AZ$229-1)</f>
        <v>99.4379776</v>
      </c>
      <c r="BA239" s="116" t="n">
        <f aca="false">Inputs!$D$10*(1+Inputs!$D$11)^(BA$229-1)</f>
        <v>99.4379776</v>
      </c>
      <c r="BB239" s="116" t="n">
        <f aca="false">Inputs!$D$10*(1+Inputs!$D$11)^(BB$229-1)</f>
        <v>99.4379776</v>
      </c>
      <c r="BC239" s="116" t="n">
        <f aca="false">Inputs!$D$10*(1+Inputs!$D$11)^(BC$229-1)</f>
        <v>99.4379776</v>
      </c>
      <c r="BD239" s="116" t="n">
        <f aca="false">Inputs!$D$10*(1+Inputs!$D$11)^(BD$229-1)</f>
        <v>99.4379776</v>
      </c>
      <c r="BE239" s="116" t="n">
        <f aca="false">Inputs!$D$10*(1+Inputs!$D$11)^(BE$229-1)</f>
        <v>99.4379776</v>
      </c>
      <c r="BF239" s="116" t="n">
        <f aca="false">Inputs!$D$10*(1+Inputs!$D$11)^(BF$229-1)</f>
        <v>99.4379776</v>
      </c>
      <c r="BG239" s="116" t="n">
        <f aca="false">Inputs!$D$10*(1+Inputs!$D$11)^(BG$229-1)</f>
        <v>99.4379776</v>
      </c>
      <c r="BH239" s="116" t="n">
        <f aca="false">Inputs!$D$10*(1+Inputs!$D$11)^(BH$229-1)</f>
        <v>99.4379776</v>
      </c>
      <c r="BI239" s="116" t="n">
        <f aca="false">Inputs!$D$10*(1+Inputs!$D$11)^(BI$229-1)</f>
        <v>99.4379776</v>
      </c>
      <c r="BJ239" s="116" t="n">
        <f aca="false">Inputs!$D$10*(1+Inputs!$D$11)^(BJ$229-1)</f>
        <v>99.4379776</v>
      </c>
    </row>
    <row r="240" customFormat="false" ht="15" hidden="false" customHeight="false" outlineLevel="0" collapsed="false">
      <c r="A240" s="4" t="s">
        <v>58</v>
      </c>
      <c r="C240" s="71" t="n">
        <f aca="false">C238*C239</f>
        <v>667042.909090909</v>
      </c>
      <c r="D240" s="71" t="n">
        <f aca="false">D238*D239</f>
        <v>667042.909090909</v>
      </c>
      <c r="E240" s="71" t="n">
        <f aca="false">E238*E239</f>
        <v>667042.909090909</v>
      </c>
      <c r="F240" s="71" t="n">
        <f aca="false">F238*F239</f>
        <v>667042.909090909</v>
      </c>
      <c r="G240" s="71" t="n">
        <f aca="false">G238*G239</f>
        <v>667042.909090909</v>
      </c>
      <c r="H240" s="71" t="n">
        <f aca="false">H238*H239</f>
        <v>667042.909090909</v>
      </c>
      <c r="I240" s="71" t="n">
        <f aca="false">I238*I239</f>
        <v>667042.909090909</v>
      </c>
      <c r="J240" s="71" t="n">
        <f aca="false">J238*J239</f>
        <v>667042.909090909</v>
      </c>
      <c r="K240" s="71" t="n">
        <f aca="false">K238*K239</f>
        <v>667042.909090909</v>
      </c>
      <c r="L240" s="71" t="n">
        <f aca="false">L238*L239</f>
        <v>667042.909090909</v>
      </c>
      <c r="M240" s="71" t="n">
        <f aca="false">M238*M239</f>
        <v>804130.909090909</v>
      </c>
      <c r="N240" s="71" t="n">
        <f aca="false">N238*N239</f>
        <v>804130.909090909</v>
      </c>
      <c r="O240" s="71" t="n">
        <f aca="false">O238*O239</f>
        <v>906923.566545455</v>
      </c>
      <c r="P240" s="71" t="n">
        <f aca="false">P238*P239</f>
        <v>906923.566545455</v>
      </c>
      <c r="Q240" s="71" t="n">
        <f aca="false">Q238*Q239</f>
        <v>906923.566545455</v>
      </c>
      <c r="R240" s="71" t="n">
        <f aca="false">R238*R239</f>
        <v>906923.566545455</v>
      </c>
      <c r="S240" s="71" t="n">
        <f aca="false">S238*S239</f>
        <v>906923.566545455</v>
      </c>
      <c r="T240" s="71" t="n">
        <f aca="false">T238*T239</f>
        <v>906923.566545455</v>
      </c>
      <c r="U240" s="71" t="n">
        <f aca="false">U238*U239</f>
        <v>906923.566545455</v>
      </c>
      <c r="V240" s="71" t="n">
        <f aca="false">V238*V239</f>
        <v>906923.566545455</v>
      </c>
      <c r="W240" s="71" t="n">
        <f aca="false">W238*W239</f>
        <v>906923.566545455</v>
      </c>
      <c r="X240" s="71" t="n">
        <f aca="false">X238*X239</f>
        <v>906923.566545455</v>
      </c>
      <c r="Y240" s="71" t="n">
        <f aca="false">Y238*Y239</f>
        <v>1106523.69454545</v>
      </c>
      <c r="Z240" s="71" t="n">
        <f aca="false">Z238*Z239</f>
        <v>1106523.69454545</v>
      </c>
      <c r="AA240" s="71" t="n">
        <f aca="false">AA238*AA239</f>
        <v>1240245.65834473</v>
      </c>
      <c r="AB240" s="71" t="n">
        <f aca="false">AB238*AB239</f>
        <v>1240245.65834473</v>
      </c>
      <c r="AC240" s="71" t="n">
        <f aca="false">AC238*AC239</f>
        <v>1240245.65834473</v>
      </c>
      <c r="AD240" s="71" t="n">
        <f aca="false">AD238*AD239</f>
        <v>1240245.65834473</v>
      </c>
      <c r="AE240" s="71" t="n">
        <f aca="false">AE238*AE239</f>
        <v>1240245.65834473</v>
      </c>
      <c r="AF240" s="71" t="n">
        <f aca="false">AF238*AF239</f>
        <v>1240245.65834473</v>
      </c>
      <c r="AG240" s="71" t="n">
        <f aca="false">AG238*AG239</f>
        <v>1240245.65834473</v>
      </c>
      <c r="AH240" s="71" t="n">
        <f aca="false">AH238*AH239</f>
        <v>1240245.65834473</v>
      </c>
      <c r="AI240" s="71" t="n">
        <f aca="false">AI238*AI239</f>
        <v>1240245.65834473</v>
      </c>
      <c r="AJ240" s="71" t="n">
        <f aca="false">AJ238*AJ239</f>
        <v>1240245.65834473</v>
      </c>
      <c r="AK240" s="71" t="n">
        <f aca="false">AK238*AK239</f>
        <v>1530863.44471273</v>
      </c>
      <c r="AL240" s="71" t="n">
        <f aca="false">AL238*AL239</f>
        <v>1530863.44471273</v>
      </c>
      <c r="AM240" s="71" t="n">
        <f aca="false">AM238*AM239</f>
        <v>1705664.3304772</v>
      </c>
      <c r="AN240" s="71" t="n">
        <f aca="false">AN238*AN239</f>
        <v>1705664.3304772</v>
      </c>
      <c r="AO240" s="71" t="n">
        <f aca="false">AO238*AO239</f>
        <v>1705664.3304772</v>
      </c>
      <c r="AP240" s="71" t="n">
        <f aca="false">AP238*AP239</f>
        <v>1705664.3304772</v>
      </c>
      <c r="AQ240" s="71" t="n">
        <f aca="false">AQ238*AQ239</f>
        <v>1705664.3304772</v>
      </c>
      <c r="AR240" s="71" t="n">
        <f aca="false">AR238*AR239</f>
        <v>1705664.3304772</v>
      </c>
      <c r="AS240" s="71" t="n">
        <f aca="false">AS238*AS239</f>
        <v>1705664.3304772</v>
      </c>
      <c r="AT240" s="71" t="n">
        <f aca="false">AT238*AT239</f>
        <v>1705664.3304772</v>
      </c>
      <c r="AU240" s="71" t="n">
        <f aca="false">AU238*AU239</f>
        <v>1705664.3304772</v>
      </c>
      <c r="AV240" s="71" t="n">
        <f aca="false">AV238*AV239</f>
        <v>1705664.3304772</v>
      </c>
      <c r="AW240" s="71" t="n">
        <f aca="false">AW238*AW239</f>
        <v>2128803.827429</v>
      </c>
      <c r="AX240" s="71" t="n">
        <f aca="false">AX238*AX239</f>
        <v>2128803.827429</v>
      </c>
      <c r="AY240" s="71" t="n">
        <f aca="false">AY238*AY239</f>
        <v>2358480.84678003</v>
      </c>
      <c r="AZ240" s="71" t="n">
        <f aca="false">AZ238*AZ239</f>
        <v>2358480.84678003</v>
      </c>
      <c r="BA240" s="71" t="n">
        <f aca="false">BA238*BA239</f>
        <v>2358480.84678003</v>
      </c>
      <c r="BB240" s="71" t="n">
        <f aca="false">BB238*BB239</f>
        <v>2358480.84678003</v>
      </c>
      <c r="BC240" s="71" t="n">
        <f aca="false">BC238*BC239</f>
        <v>2358480.84678003</v>
      </c>
      <c r="BD240" s="71" t="n">
        <f aca="false">BD238*BD239</f>
        <v>2358480.84678003</v>
      </c>
      <c r="BE240" s="71" t="n">
        <f aca="false">BE238*BE239</f>
        <v>2358480.84678003</v>
      </c>
      <c r="BF240" s="71" t="n">
        <f aca="false">BF238*BF239</f>
        <v>2358480.84678003</v>
      </c>
      <c r="BG240" s="71" t="n">
        <f aca="false">BG238*BG239</f>
        <v>2358480.84678003</v>
      </c>
      <c r="BH240" s="71" t="n">
        <f aca="false">BH238*BH239</f>
        <v>2358480.84678003</v>
      </c>
      <c r="BI240" s="71" t="n">
        <f aca="false">BI238*BI239</f>
        <v>2974571.95434187</v>
      </c>
      <c r="BJ240" s="71" t="n">
        <f aca="false">BJ238*BJ239</f>
        <v>2974571.95434187</v>
      </c>
    </row>
    <row r="242" customFormat="false" ht="15.75" hidden="false" customHeight="true" outlineLevel="0" collapsed="false">
      <c r="A242" s="7" t="s">
        <v>264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customFormat="false" ht="15" hidden="false" customHeight="false" outlineLevel="0" collapsed="false">
      <c r="A243" s="6" t="s">
        <v>414</v>
      </c>
      <c r="C243" s="113" t="n">
        <f aca="false">Inputs!$D$18+Inputs!$D$19*(C$229-1)</f>
        <v>2</v>
      </c>
      <c r="D243" s="113" t="n">
        <f aca="false">Inputs!$D$18+Inputs!$D$19*(D$229-1)</f>
        <v>2</v>
      </c>
      <c r="E243" s="113" t="n">
        <f aca="false">Inputs!$D$18+Inputs!$D$19*(E$229-1)</f>
        <v>2</v>
      </c>
      <c r="F243" s="113" t="n">
        <f aca="false">Inputs!$D$18+Inputs!$D$19*(F$229-1)</f>
        <v>2</v>
      </c>
      <c r="G243" s="113" t="n">
        <f aca="false">Inputs!$D$18+Inputs!$D$19*(G$229-1)</f>
        <v>2</v>
      </c>
      <c r="H243" s="113" t="n">
        <f aca="false">Inputs!$D$18+Inputs!$D$19*(H$229-1)</f>
        <v>2</v>
      </c>
      <c r="I243" s="113" t="n">
        <f aca="false">Inputs!$D$18+Inputs!$D$19*(I$229-1)</f>
        <v>2</v>
      </c>
      <c r="J243" s="113" t="n">
        <f aca="false">Inputs!$D$18+Inputs!$D$19*(J$229-1)</f>
        <v>2</v>
      </c>
      <c r="K243" s="113" t="n">
        <f aca="false">Inputs!$D$18+Inputs!$D$19*(K$229-1)</f>
        <v>2</v>
      </c>
      <c r="L243" s="113" t="n">
        <f aca="false">Inputs!$D$18+Inputs!$D$19*(L$229-1)</f>
        <v>2</v>
      </c>
      <c r="M243" s="113" t="n">
        <f aca="false">Inputs!$D$18+Inputs!$D$19*(M$229-1)</f>
        <v>2</v>
      </c>
      <c r="N243" s="113" t="n">
        <f aca="false">Inputs!$D$18+Inputs!$D$19*(N$229-1)</f>
        <v>2</v>
      </c>
      <c r="O243" s="113" t="n">
        <f aca="false">Inputs!$D$18+Inputs!$D$19*(O$229-1)</f>
        <v>3</v>
      </c>
      <c r="P243" s="113" t="n">
        <f aca="false">Inputs!$D$18+Inputs!$D$19*(P$229-1)</f>
        <v>3</v>
      </c>
      <c r="Q243" s="113" t="n">
        <f aca="false">Inputs!$D$18+Inputs!$D$19*(Q$229-1)</f>
        <v>3</v>
      </c>
      <c r="R243" s="113" t="n">
        <f aca="false">Inputs!$D$18+Inputs!$D$19*(R$229-1)</f>
        <v>3</v>
      </c>
      <c r="S243" s="113" t="n">
        <f aca="false">Inputs!$D$18+Inputs!$D$19*(S$229-1)</f>
        <v>3</v>
      </c>
      <c r="T243" s="113" t="n">
        <f aca="false">Inputs!$D$18+Inputs!$D$19*(T$229-1)</f>
        <v>3</v>
      </c>
      <c r="U243" s="113" t="n">
        <f aca="false">Inputs!$D$18+Inputs!$D$19*(U$229-1)</f>
        <v>3</v>
      </c>
      <c r="V243" s="113" t="n">
        <f aca="false">Inputs!$D$18+Inputs!$D$19*(V$229-1)</f>
        <v>3</v>
      </c>
      <c r="W243" s="113" t="n">
        <f aca="false">Inputs!$D$18+Inputs!$D$19*(W$229-1)</f>
        <v>3</v>
      </c>
      <c r="X243" s="113" t="n">
        <f aca="false">Inputs!$D$18+Inputs!$D$19*(X$229-1)</f>
        <v>3</v>
      </c>
      <c r="Y243" s="113" t="n">
        <f aca="false">Inputs!$D$18+Inputs!$D$19*(Y$229-1)</f>
        <v>3</v>
      </c>
      <c r="Z243" s="113" t="n">
        <f aca="false">Inputs!$D$18+Inputs!$D$19*(Z$229-1)</f>
        <v>3</v>
      </c>
      <c r="AA243" s="113" t="n">
        <f aca="false">Inputs!$D$18+Inputs!$D$19*(AA$229-1)</f>
        <v>4</v>
      </c>
      <c r="AB243" s="113" t="n">
        <f aca="false">Inputs!$D$18+Inputs!$D$19*(AB$229-1)</f>
        <v>4</v>
      </c>
      <c r="AC243" s="113" t="n">
        <f aca="false">Inputs!$D$18+Inputs!$D$19*(AC$229-1)</f>
        <v>4</v>
      </c>
      <c r="AD243" s="113" t="n">
        <f aca="false">Inputs!$D$18+Inputs!$D$19*(AD$229-1)</f>
        <v>4</v>
      </c>
      <c r="AE243" s="113" t="n">
        <f aca="false">Inputs!$D$18+Inputs!$D$19*(AE$229-1)</f>
        <v>4</v>
      </c>
      <c r="AF243" s="113" t="n">
        <f aca="false">Inputs!$D$18+Inputs!$D$19*(AF$229-1)</f>
        <v>4</v>
      </c>
      <c r="AG243" s="113" t="n">
        <f aca="false">Inputs!$D$18+Inputs!$D$19*(AG$229-1)</f>
        <v>4</v>
      </c>
      <c r="AH243" s="113" t="n">
        <f aca="false">Inputs!$D$18+Inputs!$D$19*(AH$229-1)</f>
        <v>4</v>
      </c>
      <c r="AI243" s="113" t="n">
        <f aca="false">Inputs!$D$18+Inputs!$D$19*(AI$229-1)</f>
        <v>4</v>
      </c>
      <c r="AJ243" s="113" t="n">
        <f aca="false">Inputs!$D$18+Inputs!$D$19*(AJ$229-1)</f>
        <v>4</v>
      </c>
      <c r="AK243" s="113" t="n">
        <f aca="false">Inputs!$D$18+Inputs!$D$19*(AK$229-1)</f>
        <v>4</v>
      </c>
      <c r="AL243" s="113" t="n">
        <f aca="false">Inputs!$D$18+Inputs!$D$19*(AL$229-1)</f>
        <v>4</v>
      </c>
      <c r="AM243" s="113" t="n">
        <f aca="false">Inputs!$D$18+Inputs!$D$19*(AM$229-1)</f>
        <v>5</v>
      </c>
      <c r="AN243" s="113" t="n">
        <f aca="false">Inputs!$D$18+Inputs!$D$19*(AN$229-1)</f>
        <v>5</v>
      </c>
      <c r="AO243" s="113" t="n">
        <f aca="false">Inputs!$D$18+Inputs!$D$19*(AO$229-1)</f>
        <v>5</v>
      </c>
      <c r="AP243" s="113" t="n">
        <f aca="false">Inputs!$D$18+Inputs!$D$19*(AP$229-1)</f>
        <v>5</v>
      </c>
      <c r="AQ243" s="113" t="n">
        <f aca="false">Inputs!$D$18+Inputs!$D$19*(AQ$229-1)</f>
        <v>5</v>
      </c>
      <c r="AR243" s="113" t="n">
        <f aca="false">Inputs!$D$18+Inputs!$D$19*(AR$229-1)</f>
        <v>5</v>
      </c>
      <c r="AS243" s="113" t="n">
        <f aca="false">Inputs!$D$18+Inputs!$D$19*(AS$229-1)</f>
        <v>5</v>
      </c>
      <c r="AT243" s="113" t="n">
        <f aca="false">Inputs!$D$18+Inputs!$D$19*(AT$229-1)</f>
        <v>5</v>
      </c>
      <c r="AU243" s="113" t="n">
        <f aca="false">Inputs!$D$18+Inputs!$D$19*(AU$229-1)</f>
        <v>5</v>
      </c>
      <c r="AV243" s="113" t="n">
        <f aca="false">Inputs!$D$18+Inputs!$D$19*(AV$229-1)</f>
        <v>5</v>
      </c>
      <c r="AW243" s="113" t="n">
        <f aca="false">Inputs!$D$18+Inputs!$D$19*(AW$229-1)</f>
        <v>5</v>
      </c>
      <c r="AX243" s="113" t="n">
        <f aca="false">Inputs!$D$18+Inputs!$D$19*(AX$229-1)</f>
        <v>5</v>
      </c>
      <c r="AY243" s="113" t="n">
        <f aca="false">Inputs!$D$18+Inputs!$D$19*(AY$229-1)</f>
        <v>6</v>
      </c>
      <c r="AZ243" s="113" t="n">
        <f aca="false">Inputs!$D$18+Inputs!$D$19*(AZ$229-1)</f>
        <v>6</v>
      </c>
      <c r="BA243" s="113" t="n">
        <f aca="false">Inputs!$D$18+Inputs!$D$19*(BA$229-1)</f>
        <v>6</v>
      </c>
      <c r="BB243" s="113" t="n">
        <f aca="false">Inputs!$D$18+Inputs!$D$19*(BB$229-1)</f>
        <v>6</v>
      </c>
      <c r="BC243" s="113" t="n">
        <f aca="false">Inputs!$D$18+Inputs!$D$19*(BC$229-1)</f>
        <v>6</v>
      </c>
      <c r="BD243" s="113" t="n">
        <f aca="false">Inputs!$D$18+Inputs!$D$19*(BD$229-1)</f>
        <v>6</v>
      </c>
      <c r="BE243" s="113" t="n">
        <f aca="false">Inputs!$D$18+Inputs!$D$19*(BE$229-1)</f>
        <v>6</v>
      </c>
      <c r="BF243" s="113" t="n">
        <f aca="false">Inputs!$D$18+Inputs!$D$19*(BF$229-1)</f>
        <v>6</v>
      </c>
      <c r="BG243" s="113" t="n">
        <f aca="false">Inputs!$D$18+Inputs!$D$19*(BG$229-1)</f>
        <v>6</v>
      </c>
      <c r="BH243" s="113" t="n">
        <f aca="false">Inputs!$D$18+Inputs!$D$19*(BH$229-1)</f>
        <v>6</v>
      </c>
      <c r="BI243" s="113" t="n">
        <f aca="false">Inputs!$D$18+Inputs!$D$19*(BI$229-1)</f>
        <v>6</v>
      </c>
      <c r="BJ243" s="113" t="n">
        <f aca="false">Inputs!$D$18+Inputs!$D$19*(BJ$229-1)</f>
        <v>6</v>
      </c>
    </row>
    <row r="244" customFormat="false" ht="15" hidden="false" customHeight="false" outlineLevel="0" collapsed="false">
      <c r="A244" s="4" t="s">
        <v>59</v>
      </c>
      <c r="C244" s="71" t="n">
        <f aca="false">C243*Inputs!$D$20*Inputs!$D$21*(1+Inputs!$D$22)^(C$229-1)/12*1*C232</f>
        <v>105750</v>
      </c>
      <c r="D244" s="71" t="n">
        <f aca="false">D243*Inputs!$D$20*Inputs!$D$21*(1+Inputs!$D$22)^(D$229-1)/12*1*D232</f>
        <v>105750</v>
      </c>
      <c r="E244" s="71" t="n">
        <f aca="false">E243*Inputs!$D$20*Inputs!$D$21*(1+Inputs!$D$22)^(E$229-1)/12*1*E232</f>
        <v>105750</v>
      </c>
      <c r="F244" s="71" t="n">
        <f aca="false">F243*Inputs!$D$20*Inputs!$D$21*(1+Inputs!$D$22)^(F$229-1)/12*1*F232</f>
        <v>105750</v>
      </c>
      <c r="G244" s="71" t="n">
        <f aca="false">G243*Inputs!$D$20*Inputs!$D$21*(1+Inputs!$D$22)^(G$229-1)/12*1*G232</f>
        <v>105750</v>
      </c>
      <c r="H244" s="71" t="n">
        <f aca="false">H243*Inputs!$D$20*Inputs!$D$21*(1+Inputs!$D$22)^(H$229-1)/12*1*H232</f>
        <v>105750</v>
      </c>
      <c r="I244" s="71" t="n">
        <f aca="false">I243*Inputs!$D$20*Inputs!$D$21*(1+Inputs!$D$22)^(I$229-1)/12*1*I232</f>
        <v>105750</v>
      </c>
      <c r="J244" s="71" t="n">
        <f aca="false">J243*Inputs!$D$20*Inputs!$D$21*(1+Inputs!$D$22)^(J$229-1)/12*1*J232</f>
        <v>105750</v>
      </c>
      <c r="K244" s="71" t="n">
        <f aca="false">K243*Inputs!$D$20*Inputs!$D$21*(1+Inputs!$D$22)^(K$229-1)/12*1*K232</f>
        <v>105750</v>
      </c>
      <c r="L244" s="71" t="n">
        <f aca="false">L243*Inputs!$D$20*Inputs!$D$21*(1+Inputs!$D$22)^(L$229-1)/12*1*L232</f>
        <v>105750</v>
      </c>
      <c r="M244" s="71" t="n">
        <f aca="false">M243*Inputs!$D$20*Inputs!$D$21*(1+Inputs!$D$22)^(M$229-1)/12*1*M232</f>
        <v>146250</v>
      </c>
      <c r="N244" s="71" t="n">
        <f aca="false">N243*Inputs!$D$20*Inputs!$D$21*(1+Inputs!$D$22)^(N$229-1)/12*1*N232</f>
        <v>146250</v>
      </c>
      <c r="O244" s="71" t="n">
        <f aca="false">O243*Inputs!$D$20*Inputs!$D$21*(1+Inputs!$D$22)^(O$229-1)/12*1*O232</f>
        <v>164970</v>
      </c>
      <c r="P244" s="71" t="n">
        <f aca="false">P243*Inputs!$D$20*Inputs!$D$21*(1+Inputs!$D$22)^(P$229-1)/12*1*P232</f>
        <v>164970</v>
      </c>
      <c r="Q244" s="71" t="n">
        <f aca="false">Q243*Inputs!$D$20*Inputs!$D$21*(1+Inputs!$D$22)^(Q$229-1)/12*1*Q232</f>
        <v>164970</v>
      </c>
      <c r="R244" s="71" t="n">
        <f aca="false">R243*Inputs!$D$20*Inputs!$D$21*(1+Inputs!$D$22)^(R$229-1)/12*1*R232</f>
        <v>164970</v>
      </c>
      <c r="S244" s="71" t="n">
        <f aca="false">S243*Inputs!$D$20*Inputs!$D$21*(1+Inputs!$D$22)^(S$229-1)/12*1*S232</f>
        <v>164970</v>
      </c>
      <c r="T244" s="71" t="n">
        <f aca="false">T243*Inputs!$D$20*Inputs!$D$21*(1+Inputs!$D$22)^(T$229-1)/12*1*T232</f>
        <v>164970</v>
      </c>
      <c r="U244" s="71" t="n">
        <f aca="false">U243*Inputs!$D$20*Inputs!$D$21*(1+Inputs!$D$22)^(U$229-1)/12*1*U232</f>
        <v>164970</v>
      </c>
      <c r="V244" s="71" t="n">
        <f aca="false">V243*Inputs!$D$20*Inputs!$D$21*(1+Inputs!$D$22)^(V$229-1)/12*1*V232</f>
        <v>164970</v>
      </c>
      <c r="W244" s="71" t="n">
        <f aca="false">W243*Inputs!$D$20*Inputs!$D$21*(1+Inputs!$D$22)^(W$229-1)/12*1*W232</f>
        <v>164970</v>
      </c>
      <c r="X244" s="71" t="n">
        <f aca="false">X243*Inputs!$D$20*Inputs!$D$21*(1+Inputs!$D$22)^(X$229-1)/12*1*X232</f>
        <v>164970</v>
      </c>
      <c r="Y244" s="71" t="n">
        <f aca="false">Y243*Inputs!$D$20*Inputs!$D$21*(1+Inputs!$D$22)^(Y$229-1)/12*1*Y232</f>
        <v>228150</v>
      </c>
      <c r="Z244" s="71" t="n">
        <f aca="false">Z243*Inputs!$D$20*Inputs!$D$21*(1+Inputs!$D$22)^(Z$229-1)/12*1*Z232</f>
        <v>228150</v>
      </c>
      <c r="AA244" s="71" t="n">
        <f aca="false">AA243*Inputs!$D$20*Inputs!$D$21*(1+Inputs!$D$22)^(AA$229-1)/12*1*AA232</f>
        <v>228758.4</v>
      </c>
      <c r="AB244" s="71" t="n">
        <f aca="false">AB243*Inputs!$D$20*Inputs!$D$21*(1+Inputs!$D$22)^(AB$229-1)/12*1*AB232</f>
        <v>228758.4</v>
      </c>
      <c r="AC244" s="71" t="n">
        <f aca="false">AC243*Inputs!$D$20*Inputs!$D$21*(1+Inputs!$D$22)^(AC$229-1)/12*1*AC232</f>
        <v>228758.4</v>
      </c>
      <c r="AD244" s="71" t="n">
        <f aca="false">AD243*Inputs!$D$20*Inputs!$D$21*(1+Inputs!$D$22)^(AD$229-1)/12*1*AD232</f>
        <v>228758.4</v>
      </c>
      <c r="AE244" s="71" t="n">
        <f aca="false">AE243*Inputs!$D$20*Inputs!$D$21*(1+Inputs!$D$22)^(AE$229-1)/12*1*AE232</f>
        <v>228758.4</v>
      </c>
      <c r="AF244" s="71" t="n">
        <f aca="false">AF243*Inputs!$D$20*Inputs!$D$21*(1+Inputs!$D$22)^(AF$229-1)/12*1*AF232</f>
        <v>228758.4</v>
      </c>
      <c r="AG244" s="71" t="n">
        <f aca="false">AG243*Inputs!$D$20*Inputs!$D$21*(1+Inputs!$D$22)^(AG$229-1)/12*1*AG232</f>
        <v>228758.4</v>
      </c>
      <c r="AH244" s="71" t="n">
        <f aca="false">AH243*Inputs!$D$20*Inputs!$D$21*(1+Inputs!$D$22)^(AH$229-1)/12*1*AH232</f>
        <v>228758.4</v>
      </c>
      <c r="AI244" s="71" t="n">
        <f aca="false">AI243*Inputs!$D$20*Inputs!$D$21*(1+Inputs!$D$22)^(AI$229-1)/12*1*AI232</f>
        <v>228758.4</v>
      </c>
      <c r="AJ244" s="71" t="n">
        <f aca="false">AJ243*Inputs!$D$20*Inputs!$D$21*(1+Inputs!$D$22)^(AJ$229-1)/12*1*AJ232</f>
        <v>228758.4</v>
      </c>
      <c r="AK244" s="71" t="n">
        <f aca="false">AK243*Inputs!$D$20*Inputs!$D$21*(1+Inputs!$D$22)^(AK$229-1)/12*1*AK232</f>
        <v>316368</v>
      </c>
      <c r="AL244" s="71" t="n">
        <f aca="false">AL243*Inputs!$D$20*Inputs!$D$21*(1+Inputs!$D$22)^(AL$229-1)/12*1*AL232</f>
        <v>316368</v>
      </c>
      <c r="AM244" s="71" t="n">
        <f aca="false">AM243*Inputs!$D$20*Inputs!$D$21*(1+Inputs!$D$22)^(AM$229-1)/12*1*AM232</f>
        <v>297385.92</v>
      </c>
      <c r="AN244" s="71" t="n">
        <f aca="false">AN243*Inputs!$D$20*Inputs!$D$21*(1+Inputs!$D$22)^(AN$229-1)/12*1*AN232</f>
        <v>297385.92</v>
      </c>
      <c r="AO244" s="71" t="n">
        <f aca="false">AO243*Inputs!$D$20*Inputs!$D$21*(1+Inputs!$D$22)^(AO$229-1)/12*1*AO232</f>
        <v>297385.92</v>
      </c>
      <c r="AP244" s="71" t="n">
        <f aca="false">AP243*Inputs!$D$20*Inputs!$D$21*(1+Inputs!$D$22)^(AP$229-1)/12*1*AP232</f>
        <v>297385.92</v>
      </c>
      <c r="AQ244" s="71" t="n">
        <f aca="false">AQ243*Inputs!$D$20*Inputs!$D$21*(1+Inputs!$D$22)^(AQ$229-1)/12*1*AQ232</f>
        <v>297385.92</v>
      </c>
      <c r="AR244" s="71" t="n">
        <f aca="false">AR243*Inputs!$D$20*Inputs!$D$21*(1+Inputs!$D$22)^(AR$229-1)/12*1*AR232</f>
        <v>297385.92</v>
      </c>
      <c r="AS244" s="71" t="n">
        <f aca="false">AS243*Inputs!$D$20*Inputs!$D$21*(1+Inputs!$D$22)^(AS$229-1)/12*1*AS232</f>
        <v>297385.92</v>
      </c>
      <c r="AT244" s="71" t="n">
        <f aca="false">AT243*Inputs!$D$20*Inputs!$D$21*(1+Inputs!$D$22)^(AT$229-1)/12*1*AT232</f>
        <v>297385.92</v>
      </c>
      <c r="AU244" s="71" t="n">
        <f aca="false">AU243*Inputs!$D$20*Inputs!$D$21*(1+Inputs!$D$22)^(AU$229-1)/12*1*AU232</f>
        <v>297385.92</v>
      </c>
      <c r="AV244" s="71" t="n">
        <f aca="false">AV243*Inputs!$D$20*Inputs!$D$21*(1+Inputs!$D$22)^(AV$229-1)/12*1*AV232</f>
        <v>297385.92</v>
      </c>
      <c r="AW244" s="71" t="n">
        <f aca="false">AW243*Inputs!$D$20*Inputs!$D$21*(1+Inputs!$D$22)^(AW$229-1)/12*1*AW232</f>
        <v>411278.4</v>
      </c>
      <c r="AX244" s="71" t="n">
        <f aca="false">AX243*Inputs!$D$20*Inputs!$D$21*(1+Inputs!$D$22)^(AX$229-1)/12*1*AX232</f>
        <v>411278.4</v>
      </c>
      <c r="AY244" s="71" t="n">
        <f aca="false">AY243*Inputs!$D$20*Inputs!$D$21*(1+Inputs!$D$22)^(AY$229-1)/12*1*AY232</f>
        <v>371137.62816</v>
      </c>
      <c r="AZ244" s="71" t="n">
        <f aca="false">AZ243*Inputs!$D$20*Inputs!$D$21*(1+Inputs!$D$22)^(AZ$229-1)/12*1*AZ232</f>
        <v>371137.62816</v>
      </c>
      <c r="BA244" s="71" t="n">
        <f aca="false">BA243*Inputs!$D$20*Inputs!$D$21*(1+Inputs!$D$22)^(BA$229-1)/12*1*BA232</f>
        <v>371137.62816</v>
      </c>
      <c r="BB244" s="71" t="n">
        <f aca="false">BB243*Inputs!$D$20*Inputs!$D$21*(1+Inputs!$D$22)^(BB$229-1)/12*1*BB232</f>
        <v>371137.62816</v>
      </c>
      <c r="BC244" s="71" t="n">
        <f aca="false">BC243*Inputs!$D$20*Inputs!$D$21*(1+Inputs!$D$22)^(BC$229-1)/12*1*BC232</f>
        <v>371137.62816</v>
      </c>
      <c r="BD244" s="71" t="n">
        <f aca="false">BD243*Inputs!$D$20*Inputs!$D$21*(1+Inputs!$D$22)^(BD$229-1)/12*1*BD232</f>
        <v>371137.62816</v>
      </c>
      <c r="BE244" s="71" t="n">
        <f aca="false">BE243*Inputs!$D$20*Inputs!$D$21*(1+Inputs!$D$22)^(BE$229-1)/12*1*BE232</f>
        <v>371137.62816</v>
      </c>
      <c r="BF244" s="71" t="n">
        <f aca="false">BF243*Inputs!$D$20*Inputs!$D$21*(1+Inputs!$D$22)^(BF$229-1)/12*1*BF232</f>
        <v>371137.62816</v>
      </c>
      <c r="BG244" s="71" t="n">
        <f aca="false">BG243*Inputs!$D$20*Inputs!$D$21*(1+Inputs!$D$22)^(BG$229-1)/12*1*BG232</f>
        <v>371137.62816</v>
      </c>
      <c r="BH244" s="71" t="n">
        <f aca="false">BH243*Inputs!$D$20*Inputs!$D$21*(1+Inputs!$D$22)^(BH$229-1)/12*1*BH232</f>
        <v>371137.62816</v>
      </c>
      <c r="BI244" s="71" t="n">
        <f aca="false">BI243*Inputs!$D$20*Inputs!$D$21*(1+Inputs!$D$22)^(BI$229-1)/12*1*BI232</f>
        <v>513275.4432</v>
      </c>
      <c r="BJ244" s="71" t="n">
        <f aca="false">BJ243*Inputs!$D$20*Inputs!$D$21*(1+Inputs!$D$22)^(BJ$229-1)/12*1*BJ232</f>
        <v>513275.4432</v>
      </c>
    </row>
    <row r="246" customFormat="false" ht="15.75" hidden="false" customHeight="true" outlineLevel="0" collapsed="false">
      <c r="A246" s="7" t="s">
        <v>415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customFormat="false" ht="15" hidden="false" customHeight="false" outlineLevel="0" collapsed="false">
      <c r="A247" s="110" t="s">
        <v>416</v>
      </c>
      <c r="C247" s="66" t="n">
        <f aca="false">C240+C244</f>
        <v>772792.909090909</v>
      </c>
      <c r="D247" s="66" t="n">
        <f aca="false">D240+D244</f>
        <v>772792.909090909</v>
      </c>
      <c r="E247" s="66" t="n">
        <f aca="false">E240+E244</f>
        <v>772792.909090909</v>
      </c>
      <c r="F247" s="66" t="n">
        <f aca="false">F240+F244</f>
        <v>772792.909090909</v>
      </c>
      <c r="G247" s="66" t="n">
        <f aca="false">G240+G244</f>
        <v>772792.909090909</v>
      </c>
      <c r="H247" s="66" t="n">
        <f aca="false">H240+H244</f>
        <v>772792.909090909</v>
      </c>
      <c r="I247" s="66" t="n">
        <f aca="false">I240+I244</f>
        <v>772792.909090909</v>
      </c>
      <c r="J247" s="66" t="n">
        <f aca="false">J240+J244</f>
        <v>772792.909090909</v>
      </c>
      <c r="K247" s="66" t="n">
        <f aca="false">K240+K244</f>
        <v>772792.909090909</v>
      </c>
      <c r="L247" s="66" t="n">
        <f aca="false">L240+L244</f>
        <v>772792.909090909</v>
      </c>
      <c r="M247" s="66" t="n">
        <f aca="false">M240+M244</f>
        <v>950380.909090909</v>
      </c>
      <c r="N247" s="66" t="n">
        <f aca="false">N240+N244</f>
        <v>950380.909090909</v>
      </c>
      <c r="O247" s="66" t="n">
        <f aca="false">O240+O244</f>
        <v>1071893.56654545</v>
      </c>
      <c r="P247" s="66" t="n">
        <f aca="false">P240+P244</f>
        <v>1071893.56654545</v>
      </c>
      <c r="Q247" s="66" t="n">
        <f aca="false">Q240+Q244</f>
        <v>1071893.56654545</v>
      </c>
      <c r="R247" s="66" t="n">
        <f aca="false">R240+R244</f>
        <v>1071893.56654545</v>
      </c>
      <c r="S247" s="66" t="n">
        <f aca="false">S240+S244</f>
        <v>1071893.56654545</v>
      </c>
      <c r="T247" s="66" t="n">
        <f aca="false">T240+T244</f>
        <v>1071893.56654545</v>
      </c>
      <c r="U247" s="66" t="n">
        <f aca="false">U240+U244</f>
        <v>1071893.56654545</v>
      </c>
      <c r="V247" s="66" t="n">
        <f aca="false">V240+V244</f>
        <v>1071893.56654545</v>
      </c>
      <c r="W247" s="66" t="n">
        <f aca="false">W240+W244</f>
        <v>1071893.56654545</v>
      </c>
      <c r="X247" s="66" t="n">
        <f aca="false">X240+X244</f>
        <v>1071893.56654545</v>
      </c>
      <c r="Y247" s="66" t="n">
        <f aca="false">Y240+Y244</f>
        <v>1334673.69454545</v>
      </c>
      <c r="Z247" s="66" t="n">
        <f aca="false">Z240+Z244</f>
        <v>1334673.69454545</v>
      </c>
      <c r="AA247" s="66" t="n">
        <f aca="false">AA240+AA244</f>
        <v>1469004.05834473</v>
      </c>
      <c r="AB247" s="66" t="n">
        <f aca="false">AB240+AB244</f>
        <v>1469004.05834473</v>
      </c>
      <c r="AC247" s="66" t="n">
        <f aca="false">AC240+AC244</f>
        <v>1469004.05834473</v>
      </c>
      <c r="AD247" s="66" t="n">
        <f aca="false">AD240+AD244</f>
        <v>1469004.05834473</v>
      </c>
      <c r="AE247" s="66" t="n">
        <f aca="false">AE240+AE244</f>
        <v>1469004.05834473</v>
      </c>
      <c r="AF247" s="66" t="n">
        <f aca="false">AF240+AF244</f>
        <v>1469004.05834473</v>
      </c>
      <c r="AG247" s="66" t="n">
        <f aca="false">AG240+AG244</f>
        <v>1469004.05834473</v>
      </c>
      <c r="AH247" s="66" t="n">
        <f aca="false">AH240+AH244</f>
        <v>1469004.05834473</v>
      </c>
      <c r="AI247" s="66" t="n">
        <f aca="false">AI240+AI244</f>
        <v>1469004.05834473</v>
      </c>
      <c r="AJ247" s="66" t="n">
        <f aca="false">AJ240+AJ244</f>
        <v>1469004.05834473</v>
      </c>
      <c r="AK247" s="66" t="n">
        <f aca="false">AK240+AK244</f>
        <v>1847231.44471273</v>
      </c>
      <c r="AL247" s="66" t="n">
        <f aca="false">AL240+AL244</f>
        <v>1847231.44471273</v>
      </c>
      <c r="AM247" s="66" t="n">
        <f aca="false">AM240+AM244</f>
        <v>2003050.2504772</v>
      </c>
      <c r="AN247" s="66" t="n">
        <f aca="false">AN240+AN244</f>
        <v>2003050.2504772</v>
      </c>
      <c r="AO247" s="66" t="n">
        <f aca="false">AO240+AO244</f>
        <v>2003050.2504772</v>
      </c>
      <c r="AP247" s="66" t="n">
        <f aca="false">AP240+AP244</f>
        <v>2003050.2504772</v>
      </c>
      <c r="AQ247" s="66" t="n">
        <f aca="false">AQ240+AQ244</f>
        <v>2003050.2504772</v>
      </c>
      <c r="AR247" s="66" t="n">
        <f aca="false">AR240+AR244</f>
        <v>2003050.2504772</v>
      </c>
      <c r="AS247" s="66" t="n">
        <f aca="false">AS240+AS244</f>
        <v>2003050.2504772</v>
      </c>
      <c r="AT247" s="66" t="n">
        <f aca="false">AT240+AT244</f>
        <v>2003050.2504772</v>
      </c>
      <c r="AU247" s="66" t="n">
        <f aca="false">AU240+AU244</f>
        <v>2003050.2504772</v>
      </c>
      <c r="AV247" s="66" t="n">
        <f aca="false">AV240+AV244</f>
        <v>2003050.2504772</v>
      </c>
      <c r="AW247" s="66" t="n">
        <f aca="false">AW240+AW244</f>
        <v>2540082.227429</v>
      </c>
      <c r="AX247" s="66" t="n">
        <f aca="false">AX240+AX244</f>
        <v>2540082.227429</v>
      </c>
      <c r="AY247" s="66" t="n">
        <f aca="false">AY240+AY244</f>
        <v>2729618.47494003</v>
      </c>
      <c r="AZ247" s="66" t="n">
        <f aca="false">AZ240+AZ244</f>
        <v>2729618.47494003</v>
      </c>
      <c r="BA247" s="66" t="n">
        <f aca="false">BA240+BA244</f>
        <v>2729618.47494003</v>
      </c>
      <c r="BB247" s="66" t="n">
        <f aca="false">BB240+BB244</f>
        <v>2729618.47494003</v>
      </c>
      <c r="BC247" s="66" t="n">
        <f aca="false">BC240+BC244</f>
        <v>2729618.47494003</v>
      </c>
      <c r="BD247" s="66" t="n">
        <f aca="false">BD240+BD244</f>
        <v>2729618.47494003</v>
      </c>
      <c r="BE247" s="66" t="n">
        <f aca="false">BE240+BE244</f>
        <v>2729618.47494003</v>
      </c>
      <c r="BF247" s="66" t="n">
        <f aca="false">BF240+BF244</f>
        <v>2729618.47494003</v>
      </c>
      <c r="BG247" s="66" t="n">
        <f aca="false">BG240+BG244</f>
        <v>2729618.47494003</v>
      </c>
      <c r="BH247" s="66" t="n">
        <f aca="false">BH240+BH244</f>
        <v>2729618.47494003</v>
      </c>
      <c r="BI247" s="66" t="n">
        <f aca="false">BI240+BI244</f>
        <v>3487847.39754187</v>
      </c>
      <c r="BJ247" s="66" t="n">
        <f aca="false">BJ240+BJ244</f>
        <v>3487847.39754187</v>
      </c>
    </row>
    <row r="248" customFormat="false" ht="15" hidden="false" customHeight="false" outlineLevel="0" collapsed="false">
      <c r="A248" s="6" t="s">
        <v>417</v>
      </c>
      <c r="C248" s="65" t="n">
        <f aca="false">-C247*Inputs!$D$29</f>
        <v>-61823.4327272727</v>
      </c>
      <c r="D248" s="65" t="n">
        <f aca="false">-D247*Inputs!$D$29</f>
        <v>-61823.4327272727</v>
      </c>
      <c r="E248" s="65" t="n">
        <f aca="false">-E247*Inputs!$D$29</f>
        <v>-61823.4327272727</v>
      </c>
      <c r="F248" s="65" t="n">
        <f aca="false">-F247*Inputs!$D$29</f>
        <v>-61823.4327272727</v>
      </c>
      <c r="G248" s="65" t="n">
        <f aca="false">-G247*Inputs!$D$29</f>
        <v>-61823.4327272727</v>
      </c>
      <c r="H248" s="65" t="n">
        <f aca="false">-H247*Inputs!$D$29</f>
        <v>-61823.4327272727</v>
      </c>
      <c r="I248" s="65" t="n">
        <f aca="false">-I247*Inputs!$D$29</f>
        <v>-61823.4327272727</v>
      </c>
      <c r="J248" s="65" t="n">
        <f aca="false">-J247*Inputs!$D$29</f>
        <v>-61823.4327272727</v>
      </c>
      <c r="K248" s="65" t="n">
        <f aca="false">-K247*Inputs!$D$29</f>
        <v>-61823.4327272727</v>
      </c>
      <c r="L248" s="65" t="n">
        <f aca="false">-L247*Inputs!$D$29</f>
        <v>-61823.4327272727</v>
      </c>
      <c r="M248" s="65" t="n">
        <f aca="false">-M247*Inputs!$D$29</f>
        <v>-76030.4727272727</v>
      </c>
      <c r="N248" s="65" t="n">
        <f aca="false">-N247*Inputs!$D$29</f>
        <v>-76030.4727272727</v>
      </c>
      <c r="O248" s="65" t="n">
        <f aca="false">-O247*Inputs!$D$29</f>
        <v>-85751.4853236364</v>
      </c>
      <c r="P248" s="65" t="n">
        <f aca="false">-P247*Inputs!$D$29</f>
        <v>-85751.4853236364</v>
      </c>
      <c r="Q248" s="65" t="n">
        <f aca="false">-Q247*Inputs!$D$29</f>
        <v>-85751.4853236364</v>
      </c>
      <c r="R248" s="65" t="n">
        <f aca="false">-R247*Inputs!$D$29</f>
        <v>-85751.4853236364</v>
      </c>
      <c r="S248" s="65" t="n">
        <f aca="false">-S247*Inputs!$D$29</f>
        <v>-85751.4853236364</v>
      </c>
      <c r="T248" s="65" t="n">
        <f aca="false">-T247*Inputs!$D$29</f>
        <v>-85751.4853236364</v>
      </c>
      <c r="U248" s="65" t="n">
        <f aca="false">-U247*Inputs!$D$29</f>
        <v>-85751.4853236364</v>
      </c>
      <c r="V248" s="65" t="n">
        <f aca="false">-V247*Inputs!$D$29</f>
        <v>-85751.4853236364</v>
      </c>
      <c r="W248" s="65" t="n">
        <f aca="false">-W247*Inputs!$D$29</f>
        <v>-85751.4853236364</v>
      </c>
      <c r="X248" s="65" t="n">
        <f aca="false">-X247*Inputs!$D$29</f>
        <v>-85751.4853236364</v>
      </c>
      <c r="Y248" s="65" t="n">
        <f aca="false">-Y247*Inputs!$D$29</f>
        <v>-106773.895563636</v>
      </c>
      <c r="Z248" s="65" t="n">
        <f aca="false">-Z247*Inputs!$D$29</f>
        <v>-106773.895563636</v>
      </c>
      <c r="AA248" s="65" t="n">
        <f aca="false">-AA247*Inputs!$D$29</f>
        <v>-117520.324667578</v>
      </c>
      <c r="AB248" s="65" t="n">
        <f aca="false">-AB247*Inputs!$D$29</f>
        <v>-117520.324667578</v>
      </c>
      <c r="AC248" s="65" t="n">
        <f aca="false">-AC247*Inputs!$D$29</f>
        <v>-117520.324667578</v>
      </c>
      <c r="AD248" s="65" t="n">
        <f aca="false">-AD247*Inputs!$D$29</f>
        <v>-117520.324667578</v>
      </c>
      <c r="AE248" s="65" t="n">
        <f aca="false">-AE247*Inputs!$D$29</f>
        <v>-117520.324667578</v>
      </c>
      <c r="AF248" s="65" t="n">
        <f aca="false">-AF247*Inputs!$D$29</f>
        <v>-117520.324667578</v>
      </c>
      <c r="AG248" s="65" t="n">
        <f aca="false">-AG247*Inputs!$D$29</f>
        <v>-117520.324667578</v>
      </c>
      <c r="AH248" s="65" t="n">
        <f aca="false">-AH247*Inputs!$D$29</f>
        <v>-117520.324667578</v>
      </c>
      <c r="AI248" s="65" t="n">
        <f aca="false">-AI247*Inputs!$D$29</f>
        <v>-117520.324667578</v>
      </c>
      <c r="AJ248" s="65" t="n">
        <f aca="false">-AJ247*Inputs!$D$29</f>
        <v>-117520.324667578</v>
      </c>
      <c r="AK248" s="65" t="n">
        <f aca="false">-AK247*Inputs!$D$29</f>
        <v>-147778.515577018</v>
      </c>
      <c r="AL248" s="65" t="n">
        <f aca="false">-AL247*Inputs!$D$29</f>
        <v>-147778.515577018</v>
      </c>
      <c r="AM248" s="65" t="n">
        <f aca="false">-AM247*Inputs!$D$29</f>
        <v>-160244.020038176</v>
      </c>
      <c r="AN248" s="65" t="n">
        <f aca="false">-AN247*Inputs!$D$29</f>
        <v>-160244.020038176</v>
      </c>
      <c r="AO248" s="65" t="n">
        <f aca="false">-AO247*Inputs!$D$29</f>
        <v>-160244.020038176</v>
      </c>
      <c r="AP248" s="65" t="n">
        <f aca="false">-AP247*Inputs!$D$29</f>
        <v>-160244.020038176</v>
      </c>
      <c r="AQ248" s="65" t="n">
        <f aca="false">-AQ247*Inputs!$D$29</f>
        <v>-160244.020038176</v>
      </c>
      <c r="AR248" s="65" t="n">
        <f aca="false">-AR247*Inputs!$D$29</f>
        <v>-160244.020038176</v>
      </c>
      <c r="AS248" s="65" t="n">
        <f aca="false">-AS247*Inputs!$D$29</f>
        <v>-160244.020038176</v>
      </c>
      <c r="AT248" s="65" t="n">
        <f aca="false">-AT247*Inputs!$D$29</f>
        <v>-160244.020038176</v>
      </c>
      <c r="AU248" s="65" t="n">
        <f aca="false">-AU247*Inputs!$D$29</f>
        <v>-160244.020038176</v>
      </c>
      <c r="AV248" s="65" t="n">
        <f aca="false">-AV247*Inputs!$D$29</f>
        <v>-160244.020038176</v>
      </c>
      <c r="AW248" s="65" t="n">
        <f aca="false">-AW247*Inputs!$D$29</f>
        <v>-203206.57819432</v>
      </c>
      <c r="AX248" s="65" t="n">
        <f aca="false">-AX247*Inputs!$D$29</f>
        <v>-203206.57819432</v>
      </c>
      <c r="AY248" s="65" t="n">
        <f aca="false">-AY247*Inputs!$D$29</f>
        <v>-218369.477995203</v>
      </c>
      <c r="AZ248" s="65" t="n">
        <f aca="false">-AZ247*Inputs!$D$29</f>
        <v>-218369.477995203</v>
      </c>
      <c r="BA248" s="65" t="n">
        <f aca="false">-BA247*Inputs!$D$29</f>
        <v>-218369.477995203</v>
      </c>
      <c r="BB248" s="65" t="n">
        <f aca="false">-BB247*Inputs!$D$29</f>
        <v>-218369.477995203</v>
      </c>
      <c r="BC248" s="65" t="n">
        <f aca="false">-BC247*Inputs!$D$29</f>
        <v>-218369.477995203</v>
      </c>
      <c r="BD248" s="65" t="n">
        <f aca="false">-BD247*Inputs!$D$29</f>
        <v>-218369.477995203</v>
      </c>
      <c r="BE248" s="65" t="n">
        <f aca="false">-BE247*Inputs!$D$29</f>
        <v>-218369.477995203</v>
      </c>
      <c r="BF248" s="65" t="n">
        <f aca="false">-BF247*Inputs!$D$29</f>
        <v>-218369.477995203</v>
      </c>
      <c r="BG248" s="65" t="n">
        <f aca="false">-BG247*Inputs!$D$29</f>
        <v>-218369.477995203</v>
      </c>
      <c r="BH248" s="65" t="n">
        <f aca="false">-BH247*Inputs!$D$29</f>
        <v>-218369.477995203</v>
      </c>
      <c r="BI248" s="65" t="n">
        <f aca="false">-BI247*Inputs!$D$29</f>
        <v>-279027.791803349</v>
      </c>
      <c r="BJ248" s="65" t="n">
        <f aca="false">-BJ247*Inputs!$D$29</f>
        <v>-279027.791803349</v>
      </c>
    </row>
    <row r="249" customFormat="false" ht="15" hidden="false" customHeight="false" outlineLevel="0" collapsed="false">
      <c r="A249" s="110" t="s">
        <v>239</v>
      </c>
      <c r="C249" s="66" t="n">
        <f aca="false">C247+C248</f>
        <v>710969.476363636</v>
      </c>
      <c r="D249" s="66" t="n">
        <f aca="false">D247+D248</f>
        <v>710969.476363636</v>
      </c>
      <c r="E249" s="66" t="n">
        <f aca="false">E247+E248</f>
        <v>710969.476363636</v>
      </c>
      <c r="F249" s="66" t="n">
        <f aca="false">F247+F248</f>
        <v>710969.476363636</v>
      </c>
      <c r="G249" s="66" t="n">
        <f aca="false">G247+G248</f>
        <v>710969.476363636</v>
      </c>
      <c r="H249" s="66" t="n">
        <f aca="false">H247+H248</f>
        <v>710969.476363636</v>
      </c>
      <c r="I249" s="66" t="n">
        <f aca="false">I247+I248</f>
        <v>710969.476363636</v>
      </c>
      <c r="J249" s="66" t="n">
        <f aca="false">J247+J248</f>
        <v>710969.476363636</v>
      </c>
      <c r="K249" s="66" t="n">
        <f aca="false">K247+K248</f>
        <v>710969.476363636</v>
      </c>
      <c r="L249" s="66" t="n">
        <f aca="false">L247+L248</f>
        <v>710969.476363636</v>
      </c>
      <c r="M249" s="66" t="n">
        <f aca="false">M247+M248</f>
        <v>874350.436363636</v>
      </c>
      <c r="N249" s="66" t="n">
        <f aca="false">N247+N248</f>
        <v>874350.436363636</v>
      </c>
      <c r="O249" s="66" t="n">
        <f aca="false">O247+O248</f>
        <v>986142.081221819</v>
      </c>
      <c r="P249" s="66" t="n">
        <f aca="false">P247+P248</f>
        <v>986142.081221819</v>
      </c>
      <c r="Q249" s="66" t="n">
        <f aca="false">Q247+Q248</f>
        <v>986142.081221819</v>
      </c>
      <c r="R249" s="66" t="n">
        <f aca="false">R247+R248</f>
        <v>986142.081221819</v>
      </c>
      <c r="S249" s="66" t="n">
        <f aca="false">S247+S248</f>
        <v>986142.081221819</v>
      </c>
      <c r="T249" s="66" t="n">
        <f aca="false">T247+T248</f>
        <v>986142.081221819</v>
      </c>
      <c r="U249" s="66" t="n">
        <f aca="false">U247+U248</f>
        <v>986142.081221819</v>
      </c>
      <c r="V249" s="66" t="n">
        <f aca="false">V247+V248</f>
        <v>986142.081221819</v>
      </c>
      <c r="W249" s="66" t="n">
        <f aca="false">W247+W248</f>
        <v>986142.081221819</v>
      </c>
      <c r="X249" s="66" t="n">
        <f aca="false">X247+X248</f>
        <v>986142.081221819</v>
      </c>
      <c r="Y249" s="66" t="n">
        <f aca="false">Y247+Y248</f>
        <v>1227899.79898182</v>
      </c>
      <c r="Z249" s="66" t="n">
        <f aca="false">Z247+Z248</f>
        <v>1227899.79898182</v>
      </c>
      <c r="AA249" s="66" t="n">
        <f aca="false">AA247+AA248</f>
        <v>1351483.73367715</v>
      </c>
      <c r="AB249" s="66" t="n">
        <f aca="false">AB247+AB248</f>
        <v>1351483.73367715</v>
      </c>
      <c r="AC249" s="66" t="n">
        <f aca="false">AC247+AC248</f>
        <v>1351483.73367715</v>
      </c>
      <c r="AD249" s="66" t="n">
        <f aca="false">AD247+AD248</f>
        <v>1351483.73367715</v>
      </c>
      <c r="AE249" s="66" t="n">
        <f aca="false">AE247+AE248</f>
        <v>1351483.73367715</v>
      </c>
      <c r="AF249" s="66" t="n">
        <f aca="false">AF247+AF248</f>
        <v>1351483.73367715</v>
      </c>
      <c r="AG249" s="66" t="n">
        <f aca="false">AG247+AG248</f>
        <v>1351483.73367715</v>
      </c>
      <c r="AH249" s="66" t="n">
        <f aca="false">AH247+AH248</f>
        <v>1351483.73367715</v>
      </c>
      <c r="AI249" s="66" t="n">
        <f aca="false">AI247+AI248</f>
        <v>1351483.73367715</v>
      </c>
      <c r="AJ249" s="66" t="n">
        <f aca="false">AJ247+AJ248</f>
        <v>1351483.73367715</v>
      </c>
      <c r="AK249" s="66" t="n">
        <f aca="false">AK247+AK248</f>
        <v>1699452.92913571</v>
      </c>
      <c r="AL249" s="66" t="n">
        <f aca="false">AL247+AL248</f>
        <v>1699452.92913571</v>
      </c>
      <c r="AM249" s="66" t="n">
        <f aca="false">AM247+AM248</f>
        <v>1842806.23043902</v>
      </c>
      <c r="AN249" s="66" t="n">
        <f aca="false">AN247+AN248</f>
        <v>1842806.23043902</v>
      </c>
      <c r="AO249" s="66" t="n">
        <f aca="false">AO247+AO248</f>
        <v>1842806.23043902</v>
      </c>
      <c r="AP249" s="66" t="n">
        <f aca="false">AP247+AP248</f>
        <v>1842806.23043902</v>
      </c>
      <c r="AQ249" s="66" t="n">
        <f aca="false">AQ247+AQ248</f>
        <v>1842806.23043902</v>
      </c>
      <c r="AR249" s="66" t="n">
        <f aca="false">AR247+AR248</f>
        <v>1842806.23043902</v>
      </c>
      <c r="AS249" s="66" t="n">
        <f aca="false">AS247+AS248</f>
        <v>1842806.23043902</v>
      </c>
      <c r="AT249" s="66" t="n">
        <f aca="false">AT247+AT248</f>
        <v>1842806.23043902</v>
      </c>
      <c r="AU249" s="66" t="n">
        <f aca="false">AU247+AU248</f>
        <v>1842806.23043902</v>
      </c>
      <c r="AV249" s="66" t="n">
        <f aca="false">AV247+AV248</f>
        <v>1842806.23043902</v>
      </c>
      <c r="AW249" s="66" t="n">
        <f aca="false">AW247+AW248</f>
        <v>2336875.64923468</v>
      </c>
      <c r="AX249" s="66" t="n">
        <f aca="false">AX247+AX248</f>
        <v>2336875.64923468</v>
      </c>
      <c r="AY249" s="66" t="n">
        <f aca="false">AY247+AY248</f>
        <v>2511248.99694483</v>
      </c>
      <c r="AZ249" s="66" t="n">
        <f aca="false">AZ247+AZ248</f>
        <v>2511248.99694483</v>
      </c>
      <c r="BA249" s="66" t="n">
        <f aca="false">BA247+BA248</f>
        <v>2511248.99694483</v>
      </c>
      <c r="BB249" s="66" t="n">
        <f aca="false">BB247+BB248</f>
        <v>2511248.99694483</v>
      </c>
      <c r="BC249" s="66" t="n">
        <f aca="false">BC247+BC248</f>
        <v>2511248.99694483</v>
      </c>
      <c r="BD249" s="66" t="n">
        <f aca="false">BD247+BD248</f>
        <v>2511248.99694483</v>
      </c>
      <c r="BE249" s="66" t="n">
        <f aca="false">BE247+BE248</f>
        <v>2511248.99694483</v>
      </c>
      <c r="BF249" s="66" t="n">
        <f aca="false">BF247+BF248</f>
        <v>2511248.99694483</v>
      </c>
      <c r="BG249" s="66" t="n">
        <f aca="false">BG247+BG248</f>
        <v>2511248.99694483</v>
      </c>
      <c r="BH249" s="66" t="n">
        <f aca="false">BH247+BH248</f>
        <v>2511248.99694483</v>
      </c>
      <c r="BI249" s="66" t="n">
        <f aca="false">BI247+BI248</f>
        <v>3208819.60573852</v>
      </c>
      <c r="BJ249" s="66" t="n">
        <f aca="false">BJ247+BJ248</f>
        <v>3208819.60573852</v>
      </c>
    </row>
    <row r="250" customFormat="false" ht="15" hidden="false" customHeight="false" outlineLevel="0" collapsed="false">
      <c r="A250" s="6" t="s">
        <v>76</v>
      </c>
      <c r="C250" s="65" t="n">
        <f aca="false">-C249*Inputs!$D$30</f>
        <v>-277278.095781818</v>
      </c>
      <c r="D250" s="65" t="n">
        <f aca="false">-D249*Inputs!$D$30</f>
        <v>-277278.095781818</v>
      </c>
      <c r="E250" s="65" t="n">
        <f aca="false">-E249*Inputs!$D$30</f>
        <v>-277278.095781818</v>
      </c>
      <c r="F250" s="65" t="n">
        <f aca="false">-F249*Inputs!$D$30</f>
        <v>-277278.095781818</v>
      </c>
      <c r="G250" s="65" t="n">
        <f aca="false">-G249*Inputs!$D$30</f>
        <v>-277278.095781818</v>
      </c>
      <c r="H250" s="65" t="n">
        <f aca="false">-H249*Inputs!$D$30</f>
        <v>-277278.095781818</v>
      </c>
      <c r="I250" s="65" t="n">
        <f aca="false">-I249*Inputs!$D$30</f>
        <v>-277278.095781818</v>
      </c>
      <c r="J250" s="65" t="n">
        <f aca="false">-J249*Inputs!$D$30</f>
        <v>-277278.095781818</v>
      </c>
      <c r="K250" s="65" t="n">
        <f aca="false">-K249*Inputs!$D$30</f>
        <v>-277278.095781818</v>
      </c>
      <c r="L250" s="65" t="n">
        <f aca="false">-L249*Inputs!$D$30</f>
        <v>-277278.095781818</v>
      </c>
      <c r="M250" s="65" t="n">
        <f aca="false">-M249*Inputs!$D$30</f>
        <v>-340996.670181818</v>
      </c>
      <c r="N250" s="65" t="n">
        <f aca="false">-N249*Inputs!$D$30</f>
        <v>-340996.670181818</v>
      </c>
      <c r="O250" s="65" t="n">
        <f aca="false">-O249*Inputs!$D$30</f>
        <v>-384595.411676509</v>
      </c>
      <c r="P250" s="65" t="n">
        <f aca="false">-P249*Inputs!$D$30</f>
        <v>-384595.411676509</v>
      </c>
      <c r="Q250" s="65" t="n">
        <f aca="false">-Q249*Inputs!$D$30</f>
        <v>-384595.411676509</v>
      </c>
      <c r="R250" s="65" t="n">
        <f aca="false">-R249*Inputs!$D$30</f>
        <v>-384595.411676509</v>
      </c>
      <c r="S250" s="65" t="n">
        <f aca="false">-S249*Inputs!$D$30</f>
        <v>-384595.411676509</v>
      </c>
      <c r="T250" s="65" t="n">
        <f aca="false">-T249*Inputs!$D$30</f>
        <v>-384595.411676509</v>
      </c>
      <c r="U250" s="65" t="n">
        <f aca="false">-U249*Inputs!$D$30</f>
        <v>-384595.411676509</v>
      </c>
      <c r="V250" s="65" t="n">
        <f aca="false">-V249*Inputs!$D$30</f>
        <v>-384595.411676509</v>
      </c>
      <c r="W250" s="65" t="n">
        <f aca="false">-W249*Inputs!$D$30</f>
        <v>-384595.411676509</v>
      </c>
      <c r="X250" s="65" t="n">
        <f aca="false">-X249*Inputs!$D$30</f>
        <v>-384595.411676509</v>
      </c>
      <c r="Y250" s="65" t="n">
        <f aca="false">-Y249*Inputs!$D$30</f>
        <v>-478880.921602909</v>
      </c>
      <c r="Z250" s="65" t="n">
        <f aca="false">-Z249*Inputs!$D$30</f>
        <v>-478880.921602909</v>
      </c>
      <c r="AA250" s="65" t="n">
        <f aca="false">-AA249*Inputs!$D$30</f>
        <v>-527078.656134088</v>
      </c>
      <c r="AB250" s="65" t="n">
        <f aca="false">-AB249*Inputs!$D$30</f>
        <v>-527078.656134088</v>
      </c>
      <c r="AC250" s="65" t="n">
        <f aca="false">-AC249*Inputs!$D$30</f>
        <v>-527078.656134088</v>
      </c>
      <c r="AD250" s="65" t="n">
        <f aca="false">-AD249*Inputs!$D$30</f>
        <v>-527078.656134088</v>
      </c>
      <c r="AE250" s="65" t="n">
        <f aca="false">-AE249*Inputs!$D$30</f>
        <v>-527078.656134088</v>
      </c>
      <c r="AF250" s="65" t="n">
        <f aca="false">-AF249*Inputs!$D$30</f>
        <v>-527078.656134088</v>
      </c>
      <c r="AG250" s="65" t="n">
        <f aca="false">-AG249*Inputs!$D$30</f>
        <v>-527078.656134088</v>
      </c>
      <c r="AH250" s="65" t="n">
        <f aca="false">-AH249*Inputs!$D$30</f>
        <v>-527078.656134088</v>
      </c>
      <c r="AI250" s="65" t="n">
        <f aca="false">-AI249*Inputs!$D$30</f>
        <v>-527078.656134088</v>
      </c>
      <c r="AJ250" s="65" t="n">
        <f aca="false">-AJ249*Inputs!$D$30</f>
        <v>-527078.656134088</v>
      </c>
      <c r="AK250" s="65" t="n">
        <f aca="false">-AK249*Inputs!$D$30</f>
        <v>-662786.642362927</v>
      </c>
      <c r="AL250" s="65" t="n">
        <f aca="false">-AL249*Inputs!$D$30</f>
        <v>-662786.642362927</v>
      </c>
      <c r="AM250" s="65" t="n">
        <f aca="false">-AM249*Inputs!$D$30</f>
        <v>-718694.429871218</v>
      </c>
      <c r="AN250" s="65" t="n">
        <f aca="false">-AN249*Inputs!$D$30</f>
        <v>-718694.429871218</v>
      </c>
      <c r="AO250" s="65" t="n">
        <f aca="false">-AO249*Inputs!$D$30</f>
        <v>-718694.429871218</v>
      </c>
      <c r="AP250" s="65" t="n">
        <f aca="false">-AP249*Inputs!$D$30</f>
        <v>-718694.429871218</v>
      </c>
      <c r="AQ250" s="65" t="n">
        <f aca="false">-AQ249*Inputs!$D$30</f>
        <v>-718694.429871218</v>
      </c>
      <c r="AR250" s="65" t="n">
        <f aca="false">-AR249*Inputs!$D$30</f>
        <v>-718694.429871218</v>
      </c>
      <c r="AS250" s="65" t="n">
        <f aca="false">-AS249*Inputs!$D$30</f>
        <v>-718694.429871218</v>
      </c>
      <c r="AT250" s="65" t="n">
        <f aca="false">-AT249*Inputs!$D$30</f>
        <v>-718694.429871218</v>
      </c>
      <c r="AU250" s="65" t="n">
        <f aca="false">-AU249*Inputs!$D$30</f>
        <v>-718694.429871218</v>
      </c>
      <c r="AV250" s="65" t="n">
        <f aca="false">-AV249*Inputs!$D$30</f>
        <v>-718694.429871218</v>
      </c>
      <c r="AW250" s="65" t="n">
        <f aca="false">-AW249*Inputs!$D$30</f>
        <v>-911381.503201526</v>
      </c>
      <c r="AX250" s="65" t="n">
        <f aca="false">-AX249*Inputs!$D$30</f>
        <v>-911381.503201526</v>
      </c>
      <c r="AY250" s="65" t="n">
        <f aca="false">-AY249*Inputs!$D$30</f>
        <v>-979387.108808484</v>
      </c>
      <c r="AZ250" s="65" t="n">
        <f aca="false">-AZ249*Inputs!$D$30</f>
        <v>-979387.108808484</v>
      </c>
      <c r="BA250" s="65" t="n">
        <f aca="false">-BA249*Inputs!$D$30</f>
        <v>-979387.108808484</v>
      </c>
      <c r="BB250" s="65" t="n">
        <f aca="false">-BB249*Inputs!$D$30</f>
        <v>-979387.108808484</v>
      </c>
      <c r="BC250" s="65" t="n">
        <f aca="false">-BC249*Inputs!$D$30</f>
        <v>-979387.108808484</v>
      </c>
      <c r="BD250" s="65" t="n">
        <f aca="false">-BD249*Inputs!$D$30</f>
        <v>-979387.108808484</v>
      </c>
      <c r="BE250" s="65" t="n">
        <f aca="false">-BE249*Inputs!$D$30</f>
        <v>-979387.108808484</v>
      </c>
      <c r="BF250" s="65" t="n">
        <f aca="false">-BF249*Inputs!$D$30</f>
        <v>-979387.108808484</v>
      </c>
      <c r="BG250" s="65" t="n">
        <f aca="false">-BG249*Inputs!$D$30</f>
        <v>-979387.108808484</v>
      </c>
      <c r="BH250" s="65" t="n">
        <f aca="false">-BH249*Inputs!$D$30</f>
        <v>-979387.108808484</v>
      </c>
      <c r="BI250" s="65" t="n">
        <f aca="false">-BI249*Inputs!$D$30</f>
        <v>-1251439.64623802</v>
      </c>
      <c r="BJ250" s="65" t="n">
        <f aca="false">-BJ249*Inputs!$D$30</f>
        <v>-1251439.64623802</v>
      </c>
    </row>
    <row r="251" customFormat="false" ht="15" hidden="false" customHeight="false" outlineLevel="0" collapsed="false">
      <c r="A251" s="110" t="s">
        <v>45</v>
      </c>
      <c r="C251" s="66" t="n">
        <f aca="false">C249+C250</f>
        <v>433691.380581818</v>
      </c>
      <c r="D251" s="66" t="n">
        <f aca="false">D249+D250</f>
        <v>433691.380581818</v>
      </c>
      <c r="E251" s="66" t="n">
        <f aca="false">E249+E250</f>
        <v>433691.380581818</v>
      </c>
      <c r="F251" s="66" t="n">
        <f aca="false">F249+F250</f>
        <v>433691.380581818</v>
      </c>
      <c r="G251" s="66" t="n">
        <f aca="false">G249+G250</f>
        <v>433691.380581818</v>
      </c>
      <c r="H251" s="66" t="n">
        <f aca="false">H249+H250</f>
        <v>433691.380581818</v>
      </c>
      <c r="I251" s="66" t="n">
        <f aca="false">I249+I250</f>
        <v>433691.380581818</v>
      </c>
      <c r="J251" s="66" t="n">
        <f aca="false">J249+J250</f>
        <v>433691.380581818</v>
      </c>
      <c r="K251" s="66" t="n">
        <f aca="false">K249+K250</f>
        <v>433691.380581818</v>
      </c>
      <c r="L251" s="66" t="n">
        <f aca="false">L249+L250</f>
        <v>433691.380581818</v>
      </c>
      <c r="M251" s="66" t="n">
        <f aca="false">M249+M250</f>
        <v>533353.766181818</v>
      </c>
      <c r="N251" s="66" t="n">
        <f aca="false">N249+N250</f>
        <v>533353.766181818</v>
      </c>
      <c r="O251" s="66" t="n">
        <f aca="false">O249+O250</f>
        <v>601546.669545309</v>
      </c>
      <c r="P251" s="66" t="n">
        <f aca="false">P249+P250</f>
        <v>601546.669545309</v>
      </c>
      <c r="Q251" s="66" t="n">
        <f aca="false">Q249+Q250</f>
        <v>601546.669545309</v>
      </c>
      <c r="R251" s="66" t="n">
        <f aca="false">R249+R250</f>
        <v>601546.669545309</v>
      </c>
      <c r="S251" s="66" t="n">
        <f aca="false">S249+S250</f>
        <v>601546.669545309</v>
      </c>
      <c r="T251" s="66" t="n">
        <f aca="false">T249+T250</f>
        <v>601546.669545309</v>
      </c>
      <c r="U251" s="66" t="n">
        <f aca="false">U249+U250</f>
        <v>601546.669545309</v>
      </c>
      <c r="V251" s="66" t="n">
        <f aca="false">V249+V250</f>
        <v>601546.669545309</v>
      </c>
      <c r="W251" s="66" t="n">
        <f aca="false">W249+W250</f>
        <v>601546.669545309</v>
      </c>
      <c r="X251" s="66" t="n">
        <f aca="false">X249+X250</f>
        <v>601546.669545309</v>
      </c>
      <c r="Y251" s="66" t="n">
        <f aca="false">Y249+Y250</f>
        <v>749018.877378909</v>
      </c>
      <c r="Z251" s="66" t="n">
        <f aca="false">Z249+Z250</f>
        <v>749018.877378909</v>
      </c>
      <c r="AA251" s="66" t="n">
        <f aca="false">AA249+AA250</f>
        <v>824405.077543061</v>
      </c>
      <c r="AB251" s="66" t="n">
        <f aca="false">AB249+AB250</f>
        <v>824405.077543061</v>
      </c>
      <c r="AC251" s="66" t="n">
        <f aca="false">AC249+AC250</f>
        <v>824405.077543061</v>
      </c>
      <c r="AD251" s="66" t="n">
        <f aca="false">AD249+AD250</f>
        <v>824405.077543061</v>
      </c>
      <c r="AE251" s="66" t="n">
        <f aca="false">AE249+AE250</f>
        <v>824405.077543061</v>
      </c>
      <c r="AF251" s="66" t="n">
        <f aca="false">AF249+AF250</f>
        <v>824405.077543061</v>
      </c>
      <c r="AG251" s="66" t="n">
        <f aca="false">AG249+AG250</f>
        <v>824405.077543061</v>
      </c>
      <c r="AH251" s="66" t="n">
        <f aca="false">AH249+AH250</f>
        <v>824405.077543061</v>
      </c>
      <c r="AI251" s="66" t="n">
        <f aca="false">AI249+AI250</f>
        <v>824405.077543061</v>
      </c>
      <c r="AJ251" s="66" t="n">
        <f aca="false">AJ249+AJ250</f>
        <v>824405.077543061</v>
      </c>
      <c r="AK251" s="66" t="n">
        <f aca="false">AK249+AK250</f>
        <v>1036666.28677278</v>
      </c>
      <c r="AL251" s="66" t="n">
        <f aca="false">AL249+AL250</f>
        <v>1036666.28677278</v>
      </c>
      <c r="AM251" s="66" t="n">
        <f aca="false">AM249+AM250</f>
        <v>1124111.8005678</v>
      </c>
      <c r="AN251" s="66" t="n">
        <f aca="false">AN249+AN250</f>
        <v>1124111.8005678</v>
      </c>
      <c r="AO251" s="66" t="n">
        <f aca="false">AO249+AO250</f>
        <v>1124111.8005678</v>
      </c>
      <c r="AP251" s="66" t="n">
        <f aca="false">AP249+AP250</f>
        <v>1124111.8005678</v>
      </c>
      <c r="AQ251" s="66" t="n">
        <f aca="false">AQ249+AQ250</f>
        <v>1124111.8005678</v>
      </c>
      <c r="AR251" s="66" t="n">
        <f aca="false">AR249+AR250</f>
        <v>1124111.8005678</v>
      </c>
      <c r="AS251" s="66" t="n">
        <f aca="false">AS249+AS250</f>
        <v>1124111.8005678</v>
      </c>
      <c r="AT251" s="66" t="n">
        <f aca="false">AT249+AT250</f>
        <v>1124111.8005678</v>
      </c>
      <c r="AU251" s="66" t="n">
        <f aca="false">AU249+AU250</f>
        <v>1124111.8005678</v>
      </c>
      <c r="AV251" s="66" t="n">
        <f aca="false">AV249+AV250</f>
        <v>1124111.8005678</v>
      </c>
      <c r="AW251" s="66" t="n">
        <f aca="false">AW249+AW250</f>
        <v>1425494.14603316</v>
      </c>
      <c r="AX251" s="66" t="n">
        <f aca="false">AX249+AX250</f>
        <v>1425494.14603316</v>
      </c>
      <c r="AY251" s="66" t="n">
        <f aca="false">AY249+AY250</f>
        <v>1531861.88813635</v>
      </c>
      <c r="AZ251" s="66" t="n">
        <f aca="false">AZ249+AZ250</f>
        <v>1531861.88813635</v>
      </c>
      <c r="BA251" s="66" t="n">
        <f aca="false">BA249+BA250</f>
        <v>1531861.88813635</v>
      </c>
      <c r="BB251" s="66" t="n">
        <f aca="false">BB249+BB250</f>
        <v>1531861.88813635</v>
      </c>
      <c r="BC251" s="66" t="n">
        <f aca="false">BC249+BC250</f>
        <v>1531861.88813635</v>
      </c>
      <c r="BD251" s="66" t="n">
        <f aca="false">BD249+BD250</f>
        <v>1531861.88813635</v>
      </c>
      <c r="BE251" s="66" t="n">
        <f aca="false">BE249+BE250</f>
        <v>1531861.88813635</v>
      </c>
      <c r="BF251" s="66" t="n">
        <f aca="false">BF249+BF250</f>
        <v>1531861.88813635</v>
      </c>
      <c r="BG251" s="66" t="n">
        <f aca="false">BG249+BG250</f>
        <v>1531861.88813635</v>
      </c>
      <c r="BH251" s="66" t="n">
        <f aca="false">BH249+BH250</f>
        <v>1531861.88813635</v>
      </c>
      <c r="BI251" s="66" t="n">
        <f aca="false">BI249+BI250</f>
        <v>1957379.9595005</v>
      </c>
      <c r="BJ251" s="66" t="n">
        <f aca="false">BJ249+BJ250</f>
        <v>1957379.9595005</v>
      </c>
    </row>
    <row r="253" customFormat="false" ht="15.75" hidden="false" customHeight="true" outlineLevel="0" collapsed="false">
      <c r="A253" s="7" t="s">
        <v>47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customFormat="false" ht="15" hidden="false" customHeight="false" outlineLevel="0" collapsed="false">
      <c r="A254" s="6" t="s">
        <v>329</v>
      </c>
      <c r="C254" s="65" t="n">
        <f aca="false">-C238*Inputs!$D$31</f>
        <v>-54932.9454545454</v>
      </c>
      <c r="D254" s="65" t="n">
        <f aca="false">-D238*Inputs!$D$31</f>
        <v>-54932.9454545454</v>
      </c>
      <c r="E254" s="65" t="n">
        <f aca="false">-E238*Inputs!$D$31</f>
        <v>-54932.9454545454</v>
      </c>
      <c r="F254" s="65" t="n">
        <f aca="false">-F238*Inputs!$D$31</f>
        <v>-54932.9454545454</v>
      </c>
      <c r="G254" s="65" t="n">
        <f aca="false">-G238*Inputs!$D$31</f>
        <v>-54932.9454545454</v>
      </c>
      <c r="H254" s="65" t="n">
        <f aca="false">-H238*Inputs!$D$31</f>
        <v>-54932.9454545454</v>
      </c>
      <c r="I254" s="65" t="n">
        <f aca="false">-I238*Inputs!$D$31</f>
        <v>-54932.9454545454</v>
      </c>
      <c r="J254" s="65" t="n">
        <f aca="false">-J238*Inputs!$D$31</f>
        <v>-54932.9454545454</v>
      </c>
      <c r="K254" s="65" t="n">
        <f aca="false">-K238*Inputs!$D$31</f>
        <v>-54932.9454545454</v>
      </c>
      <c r="L254" s="65" t="n">
        <f aca="false">-L238*Inputs!$D$31</f>
        <v>-54932.9454545454</v>
      </c>
      <c r="M254" s="65" t="n">
        <f aca="false">-M238*Inputs!$D$31</f>
        <v>-66222.5454545455</v>
      </c>
      <c r="N254" s="65" t="n">
        <f aca="false">-N238*Inputs!$D$31</f>
        <v>-66222.5454545455</v>
      </c>
      <c r="O254" s="65" t="n">
        <f aca="false">-O238*Inputs!$D$31</f>
        <v>-71815.2145454546</v>
      </c>
      <c r="P254" s="65" t="n">
        <f aca="false">-P238*Inputs!$D$31</f>
        <v>-71815.2145454546</v>
      </c>
      <c r="Q254" s="65" t="n">
        <f aca="false">-Q238*Inputs!$D$31</f>
        <v>-71815.2145454546</v>
      </c>
      <c r="R254" s="65" t="n">
        <f aca="false">-R238*Inputs!$D$31</f>
        <v>-71815.2145454546</v>
      </c>
      <c r="S254" s="65" t="n">
        <f aca="false">-S238*Inputs!$D$31</f>
        <v>-71815.2145454546</v>
      </c>
      <c r="T254" s="65" t="n">
        <f aca="false">-T238*Inputs!$D$31</f>
        <v>-71815.2145454546</v>
      </c>
      <c r="U254" s="65" t="n">
        <f aca="false">-U238*Inputs!$D$31</f>
        <v>-71815.2145454546</v>
      </c>
      <c r="V254" s="65" t="n">
        <f aca="false">-V238*Inputs!$D$31</f>
        <v>-71815.2145454546</v>
      </c>
      <c r="W254" s="65" t="n">
        <f aca="false">-W238*Inputs!$D$31</f>
        <v>-71815.2145454546</v>
      </c>
      <c r="X254" s="65" t="n">
        <f aca="false">-X238*Inputs!$D$31</f>
        <v>-71815.2145454546</v>
      </c>
      <c r="Y254" s="65" t="n">
        <f aca="false">-Y238*Inputs!$D$31</f>
        <v>-87620.6545454546</v>
      </c>
      <c r="Z254" s="65" t="n">
        <f aca="false">-Z238*Inputs!$D$31</f>
        <v>-87620.6545454546</v>
      </c>
      <c r="AA254" s="65" t="n">
        <f aca="false">-AA238*Inputs!$D$31</f>
        <v>-94432.2094545454</v>
      </c>
      <c r="AB254" s="65" t="n">
        <f aca="false">-AB238*Inputs!$D$31</f>
        <v>-94432.2094545454</v>
      </c>
      <c r="AC254" s="65" t="n">
        <f aca="false">-AC238*Inputs!$D$31</f>
        <v>-94432.2094545454</v>
      </c>
      <c r="AD254" s="65" t="n">
        <f aca="false">-AD238*Inputs!$D$31</f>
        <v>-94432.2094545454</v>
      </c>
      <c r="AE254" s="65" t="n">
        <f aca="false">-AE238*Inputs!$D$31</f>
        <v>-94432.2094545454</v>
      </c>
      <c r="AF254" s="65" t="n">
        <f aca="false">-AF238*Inputs!$D$31</f>
        <v>-94432.2094545454</v>
      </c>
      <c r="AG254" s="65" t="n">
        <f aca="false">-AG238*Inputs!$D$31</f>
        <v>-94432.2094545454</v>
      </c>
      <c r="AH254" s="65" t="n">
        <f aca="false">-AH238*Inputs!$D$31</f>
        <v>-94432.2094545454</v>
      </c>
      <c r="AI254" s="65" t="n">
        <f aca="false">-AI238*Inputs!$D$31</f>
        <v>-94432.2094545454</v>
      </c>
      <c r="AJ254" s="65" t="n">
        <f aca="false">-AJ238*Inputs!$D$31</f>
        <v>-94432.2094545454</v>
      </c>
      <c r="AK254" s="65" t="n">
        <f aca="false">-AK238*Inputs!$D$31</f>
        <v>-116559.825454545</v>
      </c>
      <c r="AL254" s="65" t="n">
        <f aca="false">-AL238*Inputs!$D$31</f>
        <v>-116559.825454545</v>
      </c>
      <c r="AM254" s="65" t="n">
        <f aca="false">-AM238*Inputs!$D$31</f>
        <v>-124874.184145455</v>
      </c>
      <c r="AN254" s="65" t="n">
        <f aca="false">-AN238*Inputs!$D$31</f>
        <v>-124874.184145455</v>
      </c>
      <c r="AO254" s="65" t="n">
        <f aca="false">-AO238*Inputs!$D$31</f>
        <v>-124874.184145455</v>
      </c>
      <c r="AP254" s="65" t="n">
        <f aca="false">-AP238*Inputs!$D$31</f>
        <v>-124874.184145455</v>
      </c>
      <c r="AQ254" s="65" t="n">
        <f aca="false">-AQ238*Inputs!$D$31</f>
        <v>-124874.184145455</v>
      </c>
      <c r="AR254" s="65" t="n">
        <f aca="false">-AR238*Inputs!$D$31</f>
        <v>-124874.184145455</v>
      </c>
      <c r="AS254" s="65" t="n">
        <f aca="false">-AS238*Inputs!$D$31</f>
        <v>-124874.184145455</v>
      </c>
      <c r="AT254" s="65" t="n">
        <f aca="false">-AT238*Inputs!$D$31</f>
        <v>-124874.184145455</v>
      </c>
      <c r="AU254" s="65" t="n">
        <f aca="false">-AU238*Inputs!$D$31</f>
        <v>-124874.184145455</v>
      </c>
      <c r="AV254" s="65" t="n">
        <f aca="false">-AV238*Inputs!$D$31</f>
        <v>-124874.184145455</v>
      </c>
      <c r="AW254" s="65" t="n">
        <f aca="false">-AW238*Inputs!$D$31</f>
        <v>-155852.846545455</v>
      </c>
      <c r="AX254" s="65" t="n">
        <f aca="false">-AX238*Inputs!$D$31</f>
        <v>-155852.846545455</v>
      </c>
      <c r="AY254" s="65" t="n">
        <f aca="false">-AY238*Inputs!$D$31</f>
        <v>-166026.766894545</v>
      </c>
      <c r="AZ254" s="65" t="n">
        <f aca="false">-AZ238*Inputs!$D$31</f>
        <v>-166026.766894545</v>
      </c>
      <c r="BA254" s="65" t="n">
        <f aca="false">-BA238*Inputs!$D$31</f>
        <v>-166026.766894545</v>
      </c>
      <c r="BB254" s="65" t="n">
        <f aca="false">-BB238*Inputs!$D$31</f>
        <v>-166026.766894545</v>
      </c>
      <c r="BC254" s="65" t="n">
        <f aca="false">-BC238*Inputs!$D$31</f>
        <v>-166026.766894545</v>
      </c>
      <c r="BD254" s="65" t="n">
        <f aca="false">-BD238*Inputs!$D$31</f>
        <v>-166026.766894545</v>
      </c>
      <c r="BE254" s="65" t="n">
        <f aca="false">-BE238*Inputs!$D$31</f>
        <v>-166026.766894545</v>
      </c>
      <c r="BF254" s="65" t="n">
        <f aca="false">-BF238*Inputs!$D$31</f>
        <v>-166026.766894545</v>
      </c>
      <c r="BG254" s="65" t="n">
        <f aca="false">-BG238*Inputs!$D$31</f>
        <v>-166026.766894545</v>
      </c>
      <c r="BH254" s="65" t="n">
        <f aca="false">-BH238*Inputs!$D$31</f>
        <v>-166026.766894545</v>
      </c>
      <c r="BI254" s="65" t="n">
        <f aca="false">-BI238*Inputs!$D$31</f>
        <v>-209396.894254545</v>
      </c>
      <c r="BJ254" s="65" t="n">
        <f aca="false">-BJ238*Inputs!$D$31</f>
        <v>-209396.894254545</v>
      </c>
    </row>
    <row r="255" customFormat="false" ht="15" hidden="false" customHeight="false" outlineLevel="0" collapsed="false">
      <c r="A255" s="6" t="s">
        <v>330</v>
      </c>
      <c r="C255" s="65" t="n">
        <f aca="false">-C249*Inputs!$D$32</f>
        <v>-21329.0842909091</v>
      </c>
      <c r="D255" s="65" t="n">
        <f aca="false">-D249*Inputs!$D$32</f>
        <v>-21329.0842909091</v>
      </c>
      <c r="E255" s="65" t="n">
        <f aca="false">-E249*Inputs!$D$32</f>
        <v>-21329.0842909091</v>
      </c>
      <c r="F255" s="65" t="n">
        <f aca="false">-F249*Inputs!$D$32</f>
        <v>-21329.0842909091</v>
      </c>
      <c r="G255" s="65" t="n">
        <f aca="false">-G249*Inputs!$D$32</f>
        <v>-21329.0842909091</v>
      </c>
      <c r="H255" s="65" t="n">
        <f aca="false">-H249*Inputs!$D$32</f>
        <v>-21329.0842909091</v>
      </c>
      <c r="I255" s="65" t="n">
        <f aca="false">-I249*Inputs!$D$32</f>
        <v>-21329.0842909091</v>
      </c>
      <c r="J255" s="65" t="n">
        <f aca="false">-J249*Inputs!$D$32</f>
        <v>-21329.0842909091</v>
      </c>
      <c r="K255" s="65" t="n">
        <f aca="false">-K249*Inputs!$D$32</f>
        <v>-21329.0842909091</v>
      </c>
      <c r="L255" s="65" t="n">
        <f aca="false">-L249*Inputs!$D$32</f>
        <v>-21329.0842909091</v>
      </c>
      <c r="M255" s="65" t="n">
        <f aca="false">-M249*Inputs!$D$32</f>
        <v>-26230.5130909091</v>
      </c>
      <c r="N255" s="65" t="n">
        <f aca="false">-N249*Inputs!$D$32</f>
        <v>-26230.5130909091</v>
      </c>
      <c r="O255" s="65" t="n">
        <f aca="false">-O249*Inputs!$D$32</f>
        <v>-29584.2624366546</v>
      </c>
      <c r="P255" s="65" t="n">
        <f aca="false">-P249*Inputs!$D$32</f>
        <v>-29584.2624366546</v>
      </c>
      <c r="Q255" s="65" t="n">
        <f aca="false">-Q249*Inputs!$D$32</f>
        <v>-29584.2624366546</v>
      </c>
      <c r="R255" s="65" t="n">
        <f aca="false">-R249*Inputs!$D$32</f>
        <v>-29584.2624366546</v>
      </c>
      <c r="S255" s="65" t="n">
        <f aca="false">-S249*Inputs!$D$32</f>
        <v>-29584.2624366546</v>
      </c>
      <c r="T255" s="65" t="n">
        <f aca="false">-T249*Inputs!$D$32</f>
        <v>-29584.2624366546</v>
      </c>
      <c r="U255" s="65" t="n">
        <f aca="false">-U249*Inputs!$D$32</f>
        <v>-29584.2624366546</v>
      </c>
      <c r="V255" s="65" t="n">
        <f aca="false">-V249*Inputs!$D$32</f>
        <v>-29584.2624366546</v>
      </c>
      <c r="W255" s="65" t="n">
        <f aca="false">-W249*Inputs!$D$32</f>
        <v>-29584.2624366546</v>
      </c>
      <c r="X255" s="65" t="n">
        <f aca="false">-X249*Inputs!$D$32</f>
        <v>-29584.2624366546</v>
      </c>
      <c r="Y255" s="65" t="n">
        <f aca="false">-Y249*Inputs!$D$32</f>
        <v>-36836.9939694545</v>
      </c>
      <c r="Z255" s="65" t="n">
        <f aca="false">-Z249*Inputs!$D$32</f>
        <v>-36836.9939694545</v>
      </c>
      <c r="AA255" s="65" t="n">
        <f aca="false">-AA249*Inputs!$D$32</f>
        <v>-40544.5120103145</v>
      </c>
      <c r="AB255" s="65" t="n">
        <f aca="false">-AB249*Inputs!$D$32</f>
        <v>-40544.5120103145</v>
      </c>
      <c r="AC255" s="65" t="n">
        <f aca="false">-AC249*Inputs!$D$32</f>
        <v>-40544.5120103145</v>
      </c>
      <c r="AD255" s="65" t="n">
        <f aca="false">-AD249*Inputs!$D$32</f>
        <v>-40544.5120103145</v>
      </c>
      <c r="AE255" s="65" t="n">
        <f aca="false">-AE249*Inputs!$D$32</f>
        <v>-40544.5120103145</v>
      </c>
      <c r="AF255" s="65" t="n">
        <f aca="false">-AF249*Inputs!$D$32</f>
        <v>-40544.5120103145</v>
      </c>
      <c r="AG255" s="65" t="n">
        <f aca="false">-AG249*Inputs!$D$32</f>
        <v>-40544.5120103145</v>
      </c>
      <c r="AH255" s="65" t="n">
        <f aca="false">-AH249*Inputs!$D$32</f>
        <v>-40544.5120103145</v>
      </c>
      <c r="AI255" s="65" t="n">
        <f aca="false">-AI249*Inputs!$D$32</f>
        <v>-40544.5120103145</v>
      </c>
      <c r="AJ255" s="65" t="n">
        <f aca="false">-AJ249*Inputs!$D$32</f>
        <v>-40544.5120103145</v>
      </c>
      <c r="AK255" s="65" t="n">
        <f aca="false">-AK249*Inputs!$D$32</f>
        <v>-50983.5878740713</v>
      </c>
      <c r="AL255" s="65" t="n">
        <f aca="false">-AL249*Inputs!$D$32</f>
        <v>-50983.5878740713</v>
      </c>
      <c r="AM255" s="65" t="n">
        <f aca="false">-AM249*Inputs!$D$32</f>
        <v>-55284.1869131706</v>
      </c>
      <c r="AN255" s="65" t="n">
        <f aca="false">-AN249*Inputs!$D$32</f>
        <v>-55284.1869131706</v>
      </c>
      <c r="AO255" s="65" t="n">
        <f aca="false">-AO249*Inputs!$D$32</f>
        <v>-55284.1869131706</v>
      </c>
      <c r="AP255" s="65" t="n">
        <f aca="false">-AP249*Inputs!$D$32</f>
        <v>-55284.1869131706</v>
      </c>
      <c r="AQ255" s="65" t="n">
        <f aca="false">-AQ249*Inputs!$D$32</f>
        <v>-55284.1869131706</v>
      </c>
      <c r="AR255" s="65" t="n">
        <f aca="false">-AR249*Inputs!$D$32</f>
        <v>-55284.1869131706</v>
      </c>
      <c r="AS255" s="65" t="n">
        <f aca="false">-AS249*Inputs!$D$32</f>
        <v>-55284.1869131706</v>
      </c>
      <c r="AT255" s="65" t="n">
        <f aca="false">-AT249*Inputs!$D$32</f>
        <v>-55284.1869131706</v>
      </c>
      <c r="AU255" s="65" t="n">
        <f aca="false">-AU249*Inputs!$D$32</f>
        <v>-55284.1869131706</v>
      </c>
      <c r="AV255" s="65" t="n">
        <f aca="false">-AV249*Inputs!$D$32</f>
        <v>-55284.1869131706</v>
      </c>
      <c r="AW255" s="65" t="n">
        <f aca="false">-AW249*Inputs!$D$32</f>
        <v>-70106.2694770405</v>
      </c>
      <c r="AX255" s="65" t="n">
        <f aca="false">-AX249*Inputs!$D$32</f>
        <v>-70106.2694770405</v>
      </c>
      <c r="AY255" s="65" t="n">
        <f aca="false">-AY249*Inputs!$D$32</f>
        <v>-75337.4699083449</v>
      </c>
      <c r="AZ255" s="65" t="n">
        <f aca="false">-AZ249*Inputs!$D$32</f>
        <v>-75337.4699083449</v>
      </c>
      <c r="BA255" s="65" t="n">
        <f aca="false">-BA249*Inputs!$D$32</f>
        <v>-75337.4699083449</v>
      </c>
      <c r="BB255" s="65" t="n">
        <f aca="false">-BB249*Inputs!$D$32</f>
        <v>-75337.4699083449</v>
      </c>
      <c r="BC255" s="65" t="n">
        <f aca="false">-BC249*Inputs!$D$32</f>
        <v>-75337.4699083449</v>
      </c>
      <c r="BD255" s="65" t="n">
        <f aca="false">-BD249*Inputs!$D$32</f>
        <v>-75337.4699083449</v>
      </c>
      <c r="BE255" s="65" t="n">
        <f aca="false">-BE249*Inputs!$D$32</f>
        <v>-75337.4699083449</v>
      </c>
      <c r="BF255" s="65" t="n">
        <f aca="false">-BF249*Inputs!$D$32</f>
        <v>-75337.4699083449</v>
      </c>
      <c r="BG255" s="65" t="n">
        <f aca="false">-BG249*Inputs!$D$32</f>
        <v>-75337.4699083449</v>
      </c>
      <c r="BH255" s="65" t="n">
        <f aca="false">-BH249*Inputs!$D$32</f>
        <v>-75337.4699083449</v>
      </c>
      <c r="BI255" s="65" t="n">
        <f aca="false">-BI249*Inputs!$D$32</f>
        <v>-96264.5881721555</v>
      </c>
      <c r="BJ255" s="65" t="n">
        <f aca="false">-BJ249*Inputs!$D$32</f>
        <v>-96264.5881721555</v>
      </c>
    </row>
    <row r="256" customFormat="false" ht="15" hidden="false" customHeight="false" outlineLevel="0" collapsed="false">
      <c r="A256" s="6" t="s">
        <v>331</v>
      </c>
      <c r="C256" s="65" t="n">
        <f aca="false">-Inputs!$D$13*(1+Inputs!$D$14)^(C$229-1)*1</f>
        <v>-50000</v>
      </c>
      <c r="D256" s="65" t="n">
        <f aca="false">-Inputs!$D$13*(1+Inputs!$D$14)^(D$229-1)*1</f>
        <v>-50000</v>
      </c>
      <c r="E256" s="65" t="n">
        <f aca="false">-Inputs!$D$13*(1+Inputs!$D$14)^(E$229-1)*1</f>
        <v>-50000</v>
      </c>
      <c r="F256" s="65" t="n">
        <f aca="false">-Inputs!$D$13*(1+Inputs!$D$14)^(F$229-1)*1</f>
        <v>-50000</v>
      </c>
      <c r="G256" s="65" t="n">
        <f aca="false">-Inputs!$D$13*(1+Inputs!$D$14)^(G$229-1)*1</f>
        <v>-50000</v>
      </c>
      <c r="H256" s="65" t="n">
        <f aca="false">-Inputs!$D$13*(1+Inputs!$D$14)^(H$229-1)*1</f>
        <v>-50000</v>
      </c>
      <c r="I256" s="65" t="n">
        <f aca="false">-Inputs!$D$13*(1+Inputs!$D$14)^(I$229-1)*1</f>
        <v>-50000</v>
      </c>
      <c r="J256" s="65" t="n">
        <f aca="false">-Inputs!$D$13*(1+Inputs!$D$14)^(J$229-1)*1</f>
        <v>-50000</v>
      </c>
      <c r="K256" s="65" t="n">
        <f aca="false">-Inputs!$D$13*(1+Inputs!$D$14)^(K$229-1)*1</f>
        <v>-50000</v>
      </c>
      <c r="L256" s="65" t="n">
        <f aca="false">-Inputs!$D$13*(1+Inputs!$D$14)^(L$229-1)*1</f>
        <v>-50000</v>
      </c>
      <c r="M256" s="65" t="n">
        <f aca="false">-Inputs!$D$13*(1+Inputs!$D$14)^(M$229-1)*1</f>
        <v>-50000</v>
      </c>
      <c r="N256" s="65" t="n">
        <f aca="false">-Inputs!$D$13*(1+Inputs!$D$14)^(N$229-1)*1</f>
        <v>-50000</v>
      </c>
      <c r="O256" s="65" t="n">
        <f aca="false">-Inputs!$D$13*(1+Inputs!$D$14)^(O$229-1)*1</f>
        <v>-60000</v>
      </c>
      <c r="P256" s="65" t="n">
        <f aca="false">-Inputs!$D$13*(1+Inputs!$D$14)^(P$229-1)*1</f>
        <v>-60000</v>
      </c>
      <c r="Q256" s="65" t="n">
        <f aca="false">-Inputs!$D$13*(1+Inputs!$D$14)^(Q$229-1)*1</f>
        <v>-60000</v>
      </c>
      <c r="R256" s="65" t="n">
        <f aca="false">-Inputs!$D$13*(1+Inputs!$D$14)^(R$229-1)*1</f>
        <v>-60000</v>
      </c>
      <c r="S256" s="65" t="n">
        <f aca="false">-Inputs!$D$13*(1+Inputs!$D$14)^(S$229-1)*1</f>
        <v>-60000</v>
      </c>
      <c r="T256" s="65" t="n">
        <f aca="false">-Inputs!$D$13*(1+Inputs!$D$14)^(T$229-1)*1</f>
        <v>-60000</v>
      </c>
      <c r="U256" s="65" t="n">
        <f aca="false">-Inputs!$D$13*(1+Inputs!$D$14)^(U$229-1)*1</f>
        <v>-60000</v>
      </c>
      <c r="V256" s="65" t="n">
        <f aca="false">-Inputs!$D$13*(1+Inputs!$D$14)^(V$229-1)*1</f>
        <v>-60000</v>
      </c>
      <c r="W256" s="65" t="n">
        <f aca="false">-Inputs!$D$13*(1+Inputs!$D$14)^(W$229-1)*1</f>
        <v>-60000</v>
      </c>
      <c r="X256" s="65" t="n">
        <f aca="false">-Inputs!$D$13*(1+Inputs!$D$14)^(X$229-1)*1</f>
        <v>-60000</v>
      </c>
      <c r="Y256" s="65" t="n">
        <f aca="false">-Inputs!$D$13*(1+Inputs!$D$14)^(Y$229-1)*1</f>
        <v>-60000</v>
      </c>
      <c r="Z256" s="65" t="n">
        <f aca="false">-Inputs!$D$13*(1+Inputs!$D$14)^(Z$229-1)*1</f>
        <v>-60000</v>
      </c>
      <c r="AA256" s="65" t="n">
        <f aca="false">-Inputs!$D$13*(1+Inputs!$D$14)^(AA$229-1)*1</f>
        <v>-72000</v>
      </c>
      <c r="AB256" s="65" t="n">
        <f aca="false">-Inputs!$D$13*(1+Inputs!$D$14)^(AB$229-1)*1</f>
        <v>-72000</v>
      </c>
      <c r="AC256" s="65" t="n">
        <f aca="false">-Inputs!$D$13*(1+Inputs!$D$14)^(AC$229-1)*1</f>
        <v>-72000</v>
      </c>
      <c r="AD256" s="65" t="n">
        <f aca="false">-Inputs!$D$13*(1+Inputs!$D$14)^(AD$229-1)*1</f>
        <v>-72000</v>
      </c>
      <c r="AE256" s="65" t="n">
        <f aca="false">-Inputs!$D$13*(1+Inputs!$D$14)^(AE$229-1)*1</f>
        <v>-72000</v>
      </c>
      <c r="AF256" s="65" t="n">
        <f aca="false">-Inputs!$D$13*(1+Inputs!$D$14)^(AF$229-1)*1</f>
        <v>-72000</v>
      </c>
      <c r="AG256" s="65" t="n">
        <f aca="false">-Inputs!$D$13*(1+Inputs!$D$14)^(AG$229-1)*1</f>
        <v>-72000</v>
      </c>
      <c r="AH256" s="65" t="n">
        <f aca="false">-Inputs!$D$13*(1+Inputs!$D$14)^(AH$229-1)*1</f>
        <v>-72000</v>
      </c>
      <c r="AI256" s="65" t="n">
        <f aca="false">-Inputs!$D$13*(1+Inputs!$D$14)^(AI$229-1)*1</f>
        <v>-72000</v>
      </c>
      <c r="AJ256" s="65" t="n">
        <f aca="false">-Inputs!$D$13*(1+Inputs!$D$14)^(AJ$229-1)*1</f>
        <v>-72000</v>
      </c>
      <c r="AK256" s="65" t="n">
        <f aca="false">-Inputs!$D$13*(1+Inputs!$D$14)^(AK$229-1)*1</f>
        <v>-72000</v>
      </c>
      <c r="AL256" s="65" t="n">
        <f aca="false">-Inputs!$D$13*(1+Inputs!$D$14)^(AL$229-1)*1</f>
        <v>-72000</v>
      </c>
      <c r="AM256" s="65" t="n">
        <f aca="false">-Inputs!$D$13*(1+Inputs!$D$14)^(AM$229-1)*1</f>
        <v>-86400</v>
      </c>
      <c r="AN256" s="65" t="n">
        <f aca="false">-Inputs!$D$13*(1+Inputs!$D$14)^(AN$229-1)*1</f>
        <v>-86400</v>
      </c>
      <c r="AO256" s="65" t="n">
        <f aca="false">-Inputs!$D$13*(1+Inputs!$D$14)^(AO$229-1)*1</f>
        <v>-86400</v>
      </c>
      <c r="AP256" s="65" t="n">
        <f aca="false">-Inputs!$D$13*(1+Inputs!$D$14)^(AP$229-1)*1</f>
        <v>-86400</v>
      </c>
      <c r="AQ256" s="65" t="n">
        <f aca="false">-Inputs!$D$13*(1+Inputs!$D$14)^(AQ$229-1)*1</f>
        <v>-86400</v>
      </c>
      <c r="AR256" s="65" t="n">
        <f aca="false">-Inputs!$D$13*(1+Inputs!$D$14)^(AR$229-1)*1</f>
        <v>-86400</v>
      </c>
      <c r="AS256" s="65" t="n">
        <f aca="false">-Inputs!$D$13*(1+Inputs!$D$14)^(AS$229-1)*1</f>
        <v>-86400</v>
      </c>
      <c r="AT256" s="65" t="n">
        <f aca="false">-Inputs!$D$13*(1+Inputs!$D$14)^(AT$229-1)*1</f>
        <v>-86400</v>
      </c>
      <c r="AU256" s="65" t="n">
        <f aca="false">-Inputs!$D$13*(1+Inputs!$D$14)^(AU$229-1)*1</f>
        <v>-86400</v>
      </c>
      <c r="AV256" s="65" t="n">
        <f aca="false">-Inputs!$D$13*(1+Inputs!$D$14)^(AV$229-1)*1</f>
        <v>-86400</v>
      </c>
      <c r="AW256" s="65" t="n">
        <f aca="false">-Inputs!$D$13*(1+Inputs!$D$14)^(AW$229-1)*1</f>
        <v>-86400</v>
      </c>
      <c r="AX256" s="65" t="n">
        <f aca="false">-Inputs!$D$13*(1+Inputs!$D$14)^(AX$229-1)*1</f>
        <v>-86400</v>
      </c>
      <c r="AY256" s="65" t="n">
        <f aca="false">-Inputs!$D$13*(1+Inputs!$D$14)^(AY$229-1)*1</f>
        <v>-103680</v>
      </c>
      <c r="AZ256" s="65" t="n">
        <f aca="false">-Inputs!$D$13*(1+Inputs!$D$14)^(AZ$229-1)*1</f>
        <v>-103680</v>
      </c>
      <c r="BA256" s="65" t="n">
        <f aca="false">-Inputs!$D$13*(1+Inputs!$D$14)^(BA$229-1)*1</f>
        <v>-103680</v>
      </c>
      <c r="BB256" s="65" t="n">
        <f aca="false">-Inputs!$D$13*(1+Inputs!$D$14)^(BB$229-1)*1</f>
        <v>-103680</v>
      </c>
      <c r="BC256" s="65" t="n">
        <f aca="false">-Inputs!$D$13*(1+Inputs!$D$14)^(BC$229-1)*1</f>
        <v>-103680</v>
      </c>
      <c r="BD256" s="65" t="n">
        <f aca="false">-Inputs!$D$13*(1+Inputs!$D$14)^(BD$229-1)*1</f>
        <v>-103680</v>
      </c>
      <c r="BE256" s="65" t="n">
        <f aca="false">-Inputs!$D$13*(1+Inputs!$D$14)^(BE$229-1)*1</f>
        <v>-103680</v>
      </c>
      <c r="BF256" s="65" t="n">
        <f aca="false">-Inputs!$D$13*(1+Inputs!$D$14)^(BF$229-1)*1</f>
        <v>-103680</v>
      </c>
      <c r="BG256" s="65" t="n">
        <f aca="false">-Inputs!$D$13*(1+Inputs!$D$14)^(BG$229-1)*1</f>
        <v>-103680</v>
      </c>
      <c r="BH256" s="65" t="n">
        <f aca="false">-Inputs!$D$13*(1+Inputs!$D$14)^(BH$229-1)*1</f>
        <v>-103680</v>
      </c>
      <c r="BI256" s="65" t="n">
        <f aca="false">-Inputs!$D$13*(1+Inputs!$D$14)^(BI$229-1)*1</f>
        <v>-103680</v>
      </c>
      <c r="BJ256" s="65" t="n">
        <f aca="false">-Inputs!$D$13*(1+Inputs!$D$14)^(BJ$229-1)*1</f>
        <v>-103680</v>
      </c>
    </row>
    <row r="257" customFormat="false" ht="15" hidden="false" customHeight="false" outlineLevel="0" collapsed="false">
      <c r="A257" s="6" t="s">
        <v>332</v>
      </c>
      <c r="C257" s="65" t="n">
        <f aca="false">C334</f>
        <v>-104841.666666667</v>
      </c>
      <c r="D257" s="65" t="n">
        <f aca="false">D334</f>
        <v>-104841.666666667</v>
      </c>
      <c r="E257" s="65" t="n">
        <f aca="false">E334</f>
        <v>-104841.666666667</v>
      </c>
      <c r="F257" s="65" t="n">
        <f aca="false">F334</f>
        <v>-104841.666666667</v>
      </c>
      <c r="G257" s="65" t="n">
        <f aca="false">G334</f>
        <v>-104841.666666667</v>
      </c>
      <c r="H257" s="65" t="n">
        <f aca="false">H334</f>
        <v>-104841.666666667</v>
      </c>
      <c r="I257" s="65" t="n">
        <f aca="false">I334</f>
        <v>-104841.666666667</v>
      </c>
      <c r="J257" s="65" t="n">
        <f aca="false">J334</f>
        <v>-104841.666666667</v>
      </c>
      <c r="K257" s="65" t="n">
        <f aca="false">K334</f>
        <v>-104841.666666667</v>
      </c>
      <c r="L257" s="65" t="n">
        <f aca="false">L334</f>
        <v>-104841.666666667</v>
      </c>
      <c r="M257" s="65" t="n">
        <f aca="false">M334</f>
        <v>-104841.666666667</v>
      </c>
      <c r="N257" s="65" t="n">
        <f aca="false">N334</f>
        <v>-104841.666666667</v>
      </c>
      <c r="O257" s="65" t="n">
        <f aca="false">O334</f>
        <v>-131548.595833333</v>
      </c>
      <c r="P257" s="65" t="n">
        <f aca="false">P334</f>
        <v>-131548.595833333</v>
      </c>
      <c r="Q257" s="65" t="n">
        <f aca="false">Q334</f>
        <v>-131548.595833333</v>
      </c>
      <c r="R257" s="65" t="n">
        <f aca="false">R334</f>
        <v>-131548.595833333</v>
      </c>
      <c r="S257" s="65" t="n">
        <f aca="false">S334</f>
        <v>-131548.595833333</v>
      </c>
      <c r="T257" s="65" t="n">
        <f aca="false">T334</f>
        <v>-131548.595833333</v>
      </c>
      <c r="U257" s="65" t="n">
        <f aca="false">U334</f>
        <v>-131548.595833333</v>
      </c>
      <c r="V257" s="65" t="n">
        <f aca="false">V334</f>
        <v>-131548.595833333</v>
      </c>
      <c r="W257" s="65" t="n">
        <f aca="false">W334</f>
        <v>-131548.595833333</v>
      </c>
      <c r="X257" s="65" t="n">
        <f aca="false">X334</f>
        <v>-131548.595833333</v>
      </c>
      <c r="Y257" s="65" t="n">
        <f aca="false">Y334</f>
        <v>-131548.595833333</v>
      </c>
      <c r="Z257" s="65" t="n">
        <f aca="false">Z334</f>
        <v>-131548.595833333</v>
      </c>
      <c r="AA257" s="65" t="n">
        <f aca="false">AA334</f>
        <v>-165384.386164583</v>
      </c>
      <c r="AB257" s="65" t="n">
        <f aca="false">AB334</f>
        <v>-165384.386164583</v>
      </c>
      <c r="AC257" s="65" t="n">
        <f aca="false">AC334</f>
        <v>-165384.386164583</v>
      </c>
      <c r="AD257" s="65" t="n">
        <f aca="false">AD334</f>
        <v>-165384.386164583</v>
      </c>
      <c r="AE257" s="65" t="n">
        <f aca="false">AE334</f>
        <v>-165384.386164583</v>
      </c>
      <c r="AF257" s="65" t="n">
        <f aca="false">AF334</f>
        <v>-165384.386164583</v>
      </c>
      <c r="AG257" s="65" t="n">
        <f aca="false">AG334</f>
        <v>-165384.386164583</v>
      </c>
      <c r="AH257" s="65" t="n">
        <f aca="false">AH334</f>
        <v>-165384.386164583</v>
      </c>
      <c r="AI257" s="65" t="n">
        <f aca="false">AI334</f>
        <v>-165384.386164583</v>
      </c>
      <c r="AJ257" s="65" t="n">
        <f aca="false">AJ334</f>
        <v>-165384.386164583</v>
      </c>
      <c r="AK257" s="65" t="n">
        <f aca="false">AK334</f>
        <v>-165384.386164583</v>
      </c>
      <c r="AL257" s="65" t="n">
        <f aca="false">AL334</f>
        <v>-165384.386164583</v>
      </c>
      <c r="AM257" s="65" t="n">
        <f aca="false">AM334</f>
        <v>-208341.015579049</v>
      </c>
      <c r="AN257" s="65" t="n">
        <f aca="false">AN334</f>
        <v>-208341.015579049</v>
      </c>
      <c r="AO257" s="65" t="n">
        <f aca="false">AO334</f>
        <v>-208341.015579049</v>
      </c>
      <c r="AP257" s="65" t="n">
        <f aca="false">AP334</f>
        <v>-208341.015579049</v>
      </c>
      <c r="AQ257" s="65" t="n">
        <f aca="false">AQ334</f>
        <v>-208341.015579049</v>
      </c>
      <c r="AR257" s="65" t="n">
        <f aca="false">AR334</f>
        <v>-208341.015579049</v>
      </c>
      <c r="AS257" s="65" t="n">
        <f aca="false">AS334</f>
        <v>-208341.015579049</v>
      </c>
      <c r="AT257" s="65" t="n">
        <f aca="false">AT334</f>
        <v>-208341.015579049</v>
      </c>
      <c r="AU257" s="65" t="n">
        <f aca="false">AU334</f>
        <v>-208341.015579049</v>
      </c>
      <c r="AV257" s="65" t="n">
        <f aca="false">AV334</f>
        <v>-208341.015579049</v>
      </c>
      <c r="AW257" s="65" t="n">
        <f aca="false">AW334</f>
        <v>-208341.015579049</v>
      </c>
      <c r="AX257" s="65" t="n">
        <f aca="false">AX334</f>
        <v>-208341.015579049</v>
      </c>
      <c r="AY257" s="65" t="n">
        <f aca="false">AY334</f>
        <v>-262990.962741368</v>
      </c>
      <c r="AZ257" s="65" t="n">
        <f aca="false">AZ334</f>
        <v>-262990.962741368</v>
      </c>
      <c r="BA257" s="65" t="n">
        <f aca="false">BA334</f>
        <v>-262990.962741368</v>
      </c>
      <c r="BB257" s="65" t="n">
        <f aca="false">BB334</f>
        <v>-262990.962741368</v>
      </c>
      <c r="BC257" s="65" t="n">
        <f aca="false">BC334</f>
        <v>-262990.962741368</v>
      </c>
      <c r="BD257" s="65" t="n">
        <f aca="false">BD334</f>
        <v>-262990.962741368</v>
      </c>
      <c r="BE257" s="65" t="n">
        <f aca="false">BE334</f>
        <v>-262990.962741368</v>
      </c>
      <c r="BF257" s="65" t="n">
        <f aca="false">BF334</f>
        <v>-262990.962741368</v>
      </c>
      <c r="BG257" s="65" t="n">
        <f aca="false">BG334</f>
        <v>-262990.962741368</v>
      </c>
      <c r="BH257" s="65" t="n">
        <f aca="false">BH334</f>
        <v>-262990.962741368</v>
      </c>
      <c r="BI257" s="65" t="n">
        <f aca="false">BI334</f>
        <v>-262990.962741368</v>
      </c>
      <c r="BJ257" s="65" t="n">
        <f aca="false">BJ334</f>
        <v>-262990.962741368</v>
      </c>
    </row>
    <row r="258" customFormat="false" ht="15" hidden="false" customHeight="false" outlineLevel="0" collapsed="false">
      <c r="A258" s="6" t="s">
        <v>333</v>
      </c>
      <c r="C258" s="65" t="n">
        <f aca="false">-C243*Inputs!$D$20*Inputs!$D$23/12*1</f>
        <v>-10000</v>
      </c>
      <c r="D258" s="65" t="n">
        <f aca="false">-D243*Inputs!$D$20*Inputs!$D$23/12*1</f>
        <v>-10000</v>
      </c>
      <c r="E258" s="65" t="n">
        <f aca="false">-E243*Inputs!$D$20*Inputs!$D$23/12*1</f>
        <v>-10000</v>
      </c>
      <c r="F258" s="65" t="n">
        <f aca="false">-F243*Inputs!$D$20*Inputs!$D$23/12*1</f>
        <v>-10000</v>
      </c>
      <c r="G258" s="65" t="n">
        <f aca="false">-G243*Inputs!$D$20*Inputs!$D$23/12*1</f>
        <v>-10000</v>
      </c>
      <c r="H258" s="65" t="n">
        <f aca="false">-H243*Inputs!$D$20*Inputs!$D$23/12*1</f>
        <v>-10000</v>
      </c>
      <c r="I258" s="65" t="n">
        <f aca="false">-I243*Inputs!$D$20*Inputs!$D$23/12*1</f>
        <v>-10000</v>
      </c>
      <c r="J258" s="65" t="n">
        <f aca="false">-J243*Inputs!$D$20*Inputs!$D$23/12*1</f>
        <v>-10000</v>
      </c>
      <c r="K258" s="65" t="n">
        <f aca="false">-K243*Inputs!$D$20*Inputs!$D$23/12*1</f>
        <v>-10000</v>
      </c>
      <c r="L258" s="65" t="n">
        <f aca="false">-L243*Inputs!$D$20*Inputs!$D$23/12*1</f>
        <v>-10000</v>
      </c>
      <c r="M258" s="65" t="n">
        <f aca="false">-M243*Inputs!$D$20*Inputs!$D$23/12*1</f>
        <v>-10000</v>
      </c>
      <c r="N258" s="65" t="n">
        <f aca="false">-N243*Inputs!$D$20*Inputs!$D$23/12*1</f>
        <v>-10000</v>
      </c>
      <c r="O258" s="65" t="n">
        <f aca="false">-O243*Inputs!$D$20*Inputs!$D$23/12*1</f>
        <v>-15000</v>
      </c>
      <c r="P258" s="65" t="n">
        <f aca="false">-P243*Inputs!$D$20*Inputs!$D$23/12*1</f>
        <v>-15000</v>
      </c>
      <c r="Q258" s="65" t="n">
        <f aca="false">-Q243*Inputs!$D$20*Inputs!$D$23/12*1</f>
        <v>-15000</v>
      </c>
      <c r="R258" s="65" t="n">
        <f aca="false">-R243*Inputs!$D$20*Inputs!$D$23/12*1</f>
        <v>-15000</v>
      </c>
      <c r="S258" s="65" t="n">
        <f aca="false">-S243*Inputs!$D$20*Inputs!$D$23/12*1</f>
        <v>-15000</v>
      </c>
      <c r="T258" s="65" t="n">
        <f aca="false">-T243*Inputs!$D$20*Inputs!$D$23/12*1</f>
        <v>-15000</v>
      </c>
      <c r="U258" s="65" t="n">
        <f aca="false">-U243*Inputs!$D$20*Inputs!$D$23/12*1</f>
        <v>-15000</v>
      </c>
      <c r="V258" s="65" t="n">
        <f aca="false">-V243*Inputs!$D$20*Inputs!$D$23/12*1</f>
        <v>-15000</v>
      </c>
      <c r="W258" s="65" t="n">
        <f aca="false">-W243*Inputs!$D$20*Inputs!$D$23/12*1</f>
        <v>-15000</v>
      </c>
      <c r="X258" s="65" t="n">
        <f aca="false">-X243*Inputs!$D$20*Inputs!$D$23/12*1</f>
        <v>-15000</v>
      </c>
      <c r="Y258" s="65" t="n">
        <f aca="false">-Y243*Inputs!$D$20*Inputs!$D$23/12*1</f>
        <v>-15000</v>
      </c>
      <c r="Z258" s="65" t="n">
        <f aca="false">-Z243*Inputs!$D$20*Inputs!$D$23/12*1</f>
        <v>-15000</v>
      </c>
      <c r="AA258" s="65" t="n">
        <f aca="false">-AA243*Inputs!$D$20*Inputs!$D$23/12*1</f>
        <v>-20000</v>
      </c>
      <c r="AB258" s="65" t="n">
        <f aca="false">-AB243*Inputs!$D$20*Inputs!$D$23/12*1</f>
        <v>-20000</v>
      </c>
      <c r="AC258" s="65" t="n">
        <f aca="false">-AC243*Inputs!$D$20*Inputs!$D$23/12*1</f>
        <v>-20000</v>
      </c>
      <c r="AD258" s="65" t="n">
        <f aca="false">-AD243*Inputs!$D$20*Inputs!$D$23/12*1</f>
        <v>-20000</v>
      </c>
      <c r="AE258" s="65" t="n">
        <f aca="false">-AE243*Inputs!$D$20*Inputs!$D$23/12*1</f>
        <v>-20000</v>
      </c>
      <c r="AF258" s="65" t="n">
        <f aca="false">-AF243*Inputs!$D$20*Inputs!$D$23/12*1</f>
        <v>-20000</v>
      </c>
      <c r="AG258" s="65" t="n">
        <f aca="false">-AG243*Inputs!$D$20*Inputs!$D$23/12*1</f>
        <v>-20000</v>
      </c>
      <c r="AH258" s="65" t="n">
        <f aca="false">-AH243*Inputs!$D$20*Inputs!$D$23/12*1</f>
        <v>-20000</v>
      </c>
      <c r="AI258" s="65" t="n">
        <f aca="false">-AI243*Inputs!$D$20*Inputs!$D$23/12*1</f>
        <v>-20000</v>
      </c>
      <c r="AJ258" s="65" t="n">
        <f aca="false">-AJ243*Inputs!$D$20*Inputs!$D$23/12*1</f>
        <v>-20000</v>
      </c>
      <c r="AK258" s="65" t="n">
        <f aca="false">-AK243*Inputs!$D$20*Inputs!$D$23/12*1</f>
        <v>-20000</v>
      </c>
      <c r="AL258" s="65" t="n">
        <f aca="false">-AL243*Inputs!$D$20*Inputs!$D$23/12*1</f>
        <v>-20000</v>
      </c>
      <c r="AM258" s="65" t="n">
        <f aca="false">-AM243*Inputs!$D$20*Inputs!$D$23/12*1</f>
        <v>-25000</v>
      </c>
      <c r="AN258" s="65" t="n">
        <f aca="false">-AN243*Inputs!$D$20*Inputs!$D$23/12*1</f>
        <v>-25000</v>
      </c>
      <c r="AO258" s="65" t="n">
        <f aca="false">-AO243*Inputs!$D$20*Inputs!$D$23/12*1</f>
        <v>-25000</v>
      </c>
      <c r="AP258" s="65" t="n">
        <f aca="false">-AP243*Inputs!$D$20*Inputs!$D$23/12*1</f>
        <v>-25000</v>
      </c>
      <c r="AQ258" s="65" t="n">
        <f aca="false">-AQ243*Inputs!$D$20*Inputs!$D$23/12*1</f>
        <v>-25000</v>
      </c>
      <c r="AR258" s="65" t="n">
        <f aca="false">-AR243*Inputs!$D$20*Inputs!$D$23/12*1</f>
        <v>-25000</v>
      </c>
      <c r="AS258" s="65" t="n">
        <f aca="false">-AS243*Inputs!$D$20*Inputs!$D$23/12*1</f>
        <v>-25000</v>
      </c>
      <c r="AT258" s="65" t="n">
        <f aca="false">-AT243*Inputs!$D$20*Inputs!$D$23/12*1</f>
        <v>-25000</v>
      </c>
      <c r="AU258" s="65" t="n">
        <f aca="false">-AU243*Inputs!$D$20*Inputs!$D$23/12*1</f>
        <v>-25000</v>
      </c>
      <c r="AV258" s="65" t="n">
        <f aca="false">-AV243*Inputs!$D$20*Inputs!$D$23/12*1</f>
        <v>-25000</v>
      </c>
      <c r="AW258" s="65" t="n">
        <f aca="false">-AW243*Inputs!$D$20*Inputs!$D$23/12*1</f>
        <v>-25000</v>
      </c>
      <c r="AX258" s="65" t="n">
        <f aca="false">-AX243*Inputs!$D$20*Inputs!$D$23/12*1</f>
        <v>-25000</v>
      </c>
      <c r="AY258" s="65" t="n">
        <f aca="false">-AY243*Inputs!$D$20*Inputs!$D$23/12*1</f>
        <v>-30000</v>
      </c>
      <c r="AZ258" s="65" t="n">
        <f aca="false">-AZ243*Inputs!$D$20*Inputs!$D$23/12*1</f>
        <v>-30000</v>
      </c>
      <c r="BA258" s="65" t="n">
        <f aca="false">-BA243*Inputs!$D$20*Inputs!$D$23/12*1</f>
        <v>-30000</v>
      </c>
      <c r="BB258" s="65" t="n">
        <f aca="false">-BB243*Inputs!$D$20*Inputs!$D$23/12*1</f>
        <v>-30000</v>
      </c>
      <c r="BC258" s="65" t="n">
        <f aca="false">-BC243*Inputs!$D$20*Inputs!$D$23/12*1</f>
        <v>-30000</v>
      </c>
      <c r="BD258" s="65" t="n">
        <f aca="false">-BD243*Inputs!$D$20*Inputs!$D$23/12*1</f>
        <v>-30000</v>
      </c>
      <c r="BE258" s="65" t="n">
        <f aca="false">-BE243*Inputs!$D$20*Inputs!$D$23/12*1</f>
        <v>-30000</v>
      </c>
      <c r="BF258" s="65" t="n">
        <f aca="false">-BF243*Inputs!$D$20*Inputs!$D$23/12*1</f>
        <v>-30000</v>
      </c>
      <c r="BG258" s="65" t="n">
        <f aca="false">-BG243*Inputs!$D$20*Inputs!$D$23/12*1</f>
        <v>-30000</v>
      </c>
      <c r="BH258" s="65" t="n">
        <f aca="false">-BH243*Inputs!$D$20*Inputs!$D$23/12*1</f>
        <v>-30000</v>
      </c>
      <c r="BI258" s="65" t="n">
        <f aca="false">-BI243*Inputs!$D$20*Inputs!$D$23/12*1</f>
        <v>-30000</v>
      </c>
      <c r="BJ258" s="65" t="n">
        <f aca="false">-BJ243*Inputs!$D$20*Inputs!$D$23/12*1</f>
        <v>-30000</v>
      </c>
    </row>
    <row r="259" customFormat="false" ht="15" hidden="false" customHeight="false" outlineLevel="0" collapsed="false">
      <c r="A259" s="6" t="s">
        <v>334</v>
      </c>
      <c r="C259" s="65" t="n">
        <f aca="false">-C243*Inputs!$D$24*1</f>
        <v>-5000</v>
      </c>
      <c r="D259" s="65" t="n">
        <f aca="false">-D243*Inputs!$D$24*1</f>
        <v>-5000</v>
      </c>
      <c r="E259" s="65" t="n">
        <f aca="false">-E243*Inputs!$D$24*1</f>
        <v>-5000</v>
      </c>
      <c r="F259" s="65" t="n">
        <f aca="false">-F243*Inputs!$D$24*1</f>
        <v>-5000</v>
      </c>
      <c r="G259" s="65" t="n">
        <f aca="false">-G243*Inputs!$D$24*1</f>
        <v>-5000</v>
      </c>
      <c r="H259" s="65" t="n">
        <f aca="false">-H243*Inputs!$D$24*1</f>
        <v>-5000</v>
      </c>
      <c r="I259" s="65" t="n">
        <f aca="false">-I243*Inputs!$D$24*1</f>
        <v>-5000</v>
      </c>
      <c r="J259" s="65" t="n">
        <f aca="false">-J243*Inputs!$D$24*1</f>
        <v>-5000</v>
      </c>
      <c r="K259" s="65" t="n">
        <f aca="false">-K243*Inputs!$D$24*1</f>
        <v>-5000</v>
      </c>
      <c r="L259" s="65" t="n">
        <f aca="false">-L243*Inputs!$D$24*1</f>
        <v>-5000</v>
      </c>
      <c r="M259" s="65" t="n">
        <f aca="false">-M243*Inputs!$D$24*1</f>
        <v>-5000</v>
      </c>
      <c r="N259" s="65" t="n">
        <f aca="false">-N243*Inputs!$D$24*1</f>
        <v>-5000</v>
      </c>
      <c r="O259" s="65" t="n">
        <f aca="false">-O243*Inputs!$D$24*1</f>
        <v>-7500</v>
      </c>
      <c r="P259" s="65" t="n">
        <f aca="false">-P243*Inputs!$D$24*1</f>
        <v>-7500</v>
      </c>
      <c r="Q259" s="65" t="n">
        <f aca="false">-Q243*Inputs!$D$24*1</f>
        <v>-7500</v>
      </c>
      <c r="R259" s="65" t="n">
        <f aca="false">-R243*Inputs!$D$24*1</f>
        <v>-7500</v>
      </c>
      <c r="S259" s="65" t="n">
        <f aca="false">-S243*Inputs!$D$24*1</f>
        <v>-7500</v>
      </c>
      <c r="T259" s="65" t="n">
        <f aca="false">-T243*Inputs!$D$24*1</f>
        <v>-7500</v>
      </c>
      <c r="U259" s="65" t="n">
        <f aca="false">-U243*Inputs!$D$24*1</f>
        <v>-7500</v>
      </c>
      <c r="V259" s="65" t="n">
        <f aca="false">-V243*Inputs!$D$24*1</f>
        <v>-7500</v>
      </c>
      <c r="W259" s="65" t="n">
        <f aca="false">-W243*Inputs!$D$24*1</f>
        <v>-7500</v>
      </c>
      <c r="X259" s="65" t="n">
        <f aca="false">-X243*Inputs!$D$24*1</f>
        <v>-7500</v>
      </c>
      <c r="Y259" s="65" t="n">
        <f aca="false">-Y243*Inputs!$D$24*1</f>
        <v>-7500</v>
      </c>
      <c r="Z259" s="65" t="n">
        <f aca="false">-Z243*Inputs!$D$24*1</f>
        <v>-7500</v>
      </c>
      <c r="AA259" s="65" t="n">
        <f aca="false">-AA243*Inputs!$D$24*1</f>
        <v>-10000</v>
      </c>
      <c r="AB259" s="65" t="n">
        <f aca="false">-AB243*Inputs!$D$24*1</f>
        <v>-10000</v>
      </c>
      <c r="AC259" s="65" t="n">
        <f aca="false">-AC243*Inputs!$D$24*1</f>
        <v>-10000</v>
      </c>
      <c r="AD259" s="65" t="n">
        <f aca="false">-AD243*Inputs!$D$24*1</f>
        <v>-10000</v>
      </c>
      <c r="AE259" s="65" t="n">
        <f aca="false">-AE243*Inputs!$D$24*1</f>
        <v>-10000</v>
      </c>
      <c r="AF259" s="65" t="n">
        <f aca="false">-AF243*Inputs!$D$24*1</f>
        <v>-10000</v>
      </c>
      <c r="AG259" s="65" t="n">
        <f aca="false">-AG243*Inputs!$D$24*1</f>
        <v>-10000</v>
      </c>
      <c r="AH259" s="65" t="n">
        <f aca="false">-AH243*Inputs!$D$24*1</f>
        <v>-10000</v>
      </c>
      <c r="AI259" s="65" t="n">
        <f aca="false">-AI243*Inputs!$D$24*1</f>
        <v>-10000</v>
      </c>
      <c r="AJ259" s="65" t="n">
        <f aca="false">-AJ243*Inputs!$D$24*1</f>
        <v>-10000</v>
      </c>
      <c r="AK259" s="65" t="n">
        <f aca="false">-AK243*Inputs!$D$24*1</f>
        <v>-10000</v>
      </c>
      <c r="AL259" s="65" t="n">
        <f aca="false">-AL243*Inputs!$D$24*1</f>
        <v>-10000</v>
      </c>
      <c r="AM259" s="65" t="n">
        <f aca="false">-AM243*Inputs!$D$24*1</f>
        <v>-12500</v>
      </c>
      <c r="AN259" s="65" t="n">
        <f aca="false">-AN243*Inputs!$D$24*1</f>
        <v>-12500</v>
      </c>
      <c r="AO259" s="65" t="n">
        <f aca="false">-AO243*Inputs!$D$24*1</f>
        <v>-12500</v>
      </c>
      <c r="AP259" s="65" t="n">
        <f aca="false">-AP243*Inputs!$D$24*1</f>
        <v>-12500</v>
      </c>
      <c r="AQ259" s="65" t="n">
        <f aca="false">-AQ243*Inputs!$D$24*1</f>
        <v>-12500</v>
      </c>
      <c r="AR259" s="65" t="n">
        <f aca="false">-AR243*Inputs!$D$24*1</f>
        <v>-12500</v>
      </c>
      <c r="AS259" s="65" t="n">
        <f aca="false">-AS243*Inputs!$D$24*1</f>
        <v>-12500</v>
      </c>
      <c r="AT259" s="65" t="n">
        <f aca="false">-AT243*Inputs!$D$24*1</f>
        <v>-12500</v>
      </c>
      <c r="AU259" s="65" t="n">
        <f aca="false">-AU243*Inputs!$D$24*1</f>
        <v>-12500</v>
      </c>
      <c r="AV259" s="65" t="n">
        <f aca="false">-AV243*Inputs!$D$24*1</f>
        <v>-12500</v>
      </c>
      <c r="AW259" s="65" t="n">
        <f aca="false">-AW243*Inputs!$D$24*1</f>
        <v>-12500</v>
      </c>
      <c r="AX259" s="65" t="n">
        <f aca="false">-AX243*Inputs!$D$24*1</f>
        <v>-12500</v>
      </c>
      <c r="AY259" s="65" t="n">
        <f aca="false">-AY243*Inputs!$D$24*1</f>
        <v>-15000</v>
      </c>
      <c r="AZ259" s="65" t="n">
        <f aca="false">-AZ243*Inputs!$D$24*1</f>
        <v>-15000</v>
      </c>
      <c r="BA259" s="65" t="n">
        <f aca="false">-BA243*Inputs!$D$24*1</f>
        <v>-15000</v>
      </c>
      <c r="BB259" s="65" t="n">
        <f aca="false">-BB243*Inputs!$D$24*1</f>
        <v>-15000</v>
      </c>
      <c r="BC259" s="65" t="n">
        <f aca="false">-BC243*Inputs!$D$24*1</f>
        <v>-15000</v>
      </c>
      <c r="BD259" s="65" t="n">
        <f aca="false">-BD243*Inputs!$D$24*1</f>
        <v>-15000</v>
      </c>
      <c r="BE259" s="65" t="n">
        <f aca="false">-BE243*Inputs!$D$24*1</f>
        <v>-15000</v>
      </c>
      <c r="BF259" s="65" t="n">
        <f aca="false">-BF243*Inputs!$D$24*1</f>
        <v>-15000</v>
      </c>
      <c r="BG259" s="65" t="n">
        <f aca="false">-BG243*Inputs!$D$24*1</f>
        <v>-15000</v>
      </c>
      <c r="BH259" s="65" t="n">
        <f aca="false">-BH243*Inputs!$D$24*1</f>
        <v>-15000</v>
      </c>
      <c r="BI259" s="65" t="n">
        <f aca="false">-BI243*Inputs!$D$24*1</f>
        <v>-15000</v>
      </c>
      <c r="BJ259" s="65" t="n">
        <f aca="false">-BJ243*Inputs!$D$24*1</f>
        <v>-15000</v>
      </c>
    </row>
    <row r="260" customFormat="false" ht="15" hidden="false" customHeight="false" outlineLevel="0" collapsed="false">
      <c r="A260" s="6" t="s">
        <v>335</v>
      </c>
      <c r="C260" s="65" t="n">
        <f aca="false">-Inputs!$D$33*1</f>
        <v>-4000</v>
      </c>
      <c r="D260" s="65" t="n">
        <f aca="false">-Inputs!$D$33*1</f>
        <v>-4000</v>
      </c>
      <c r="E260" s="65" t="n">
        <f aca="false">-Inputs!$D$33*1</f>
        <v>-4000</v>
      </c>
      <c r="F260" s="65" t="n">
        <f aca="false">-Inputs!$D$33*1</f>
        <v>-4000</v>
      </c>
      <c r="G260" s="65" t="n">
        <f aca="false">-Inputs!$D$33*1</f>
        <v>-4000</v>
      </c>
      <c r="H260" s="65" t="n">
        <f aca="false">-Inputs!$D$33*1</f>
        <v>-4000</v>
      </c>
      <c r="I260" s="65" t="n">
        <f aca="false">-Inputs!$D$33*1</f>
        <v>-4000</v>
      </c>
      <c r="J260" s="65" t="n">
        <f aca="false">-Inputs!$D$33*1</f>
        <v>-4000</v>
      </c>
      <c r="K260" s="65" t="n">
        <f aca="false">-Inputs!$D$33*1</f>
        <v>-4000</v>
      </c>
      <c r="L260" s="65" t="n">
        <f aca="false">-Inputs!$D$33*1</f>
        <v>-4000</v>
      </c>
      <c r="M260" s="65" t="n">
        <f aca="false">-Inputs!$D$33*1</f>
        <v>-4000</v>
      </c>
      <c r="N260" s="65" t="n">
        <f aca="false">-Inputs!$D$33*1</f>
        <v>-4000</v>
      </c>
      <c r="O260" s="65" t="n">
        <f aca="false">-Inputs!$D$33*1</f>
        <v>-4000</v>
      </c>
      <c r="P260" s="65" t="n">
        <f aca="false">-Inputs!$D$33*1</f>
        <v>-4000</v>
      </c>
      <c r="Q260" s="65" t="n">
        <f aca="false">-Inputs!$D$33*1</f>
        <v>-4000</v>
      </c>
      <c r="R260" s="65" t="n">
        <f aca="false">-Inputs!$D$33*1</f>
        <v>-4000</v>
      </c>
      <c r="S260" s="65" t="n">
        <f aca="false">-Inputs!$D$33*1</f>
        <v>-4000</v>
      </c>
      <c r="T260" s="65" t="n">
        <f aca="false">-Inputs!$D$33*1</f>
        <v>-4000</v>
      </c>
      <c r="U260" s="65" t="n">
        <f aca="false">-Inputs!$D$33*1</f>
        <v>-4000</v>
      </c>
      <c r="V260" s="65" t="n">
        <f aca="false">-Inputs!$D$33*1</f>
        <v>-4000</v>
      </c>
      <c r="W260" s="65" t="n">
        <f aca="false">-Inputs!$D$33*1</f>
        <v>-4000</v>
      </c>
      <c r="X260" s="65" t="n">
        <f aca="false">-Inputs!$D$33*1</f>
        <v>-4000</v>
      </c>
      <c r="Y260" s="65" t="n">
        <f aca="false">-Inputs!$D$33*1</f>
        <v>-4000</v>
      </c>
      <c r="Z260" s="65" t="n">
        <f aca="false">-Inputs!$D$33*1</f>
        <v>-4000</v>
      </c>
      <c r="AA260" s="65" t="n">
        <f aca="false">-Inputs!$D$33*1</f>
        <v>-4000</v>
      </c>
      <c r="AB260" s="65" t="n">
        <f aca="false">-Inputs!$D$33*1</f>
        <v>-4000</v>
      </c>
      <c r="AC260" s="65" t="n">
        <f aca="false">-Inputs!$D$33*1</f>
        <v>-4000</v>
      </c>
      <c r="AD260" s="65" t="n">
        <f aca="false">-Inputs!$D$33*1</f>
        <v>-4000</v>
      </c>
      <c r="AE260" s="65" t="n">
        <f aca="false">-Inputs!$D$33*1</f>
        <v>-4000</v>
      </c>
      <c r="AF260" s="65" t="n">
        <f aca="false">-Inputs!$D$33*1</f>
        <v>-4000</v>
      </c>
      <c r="AG260" s="65" t="n">
        <f aca="false">-Inputs!$D$33*1</f>
        <v>-4000</v>
      </c>
      <c r="AH260" s="65" t="n">
        <f aca="false">-Inputs!$D$33*1</f>
        <v>-4000</v>
      </c>
      <c r="AI260" s="65" t="n">
        <f aca="false">-Inputs!$D$33*1</f>
        <v>-4000</v>
      </c>
      <c r="AJ260" s="65" t="n">
        <f aca="false">-Inputs!$D$33*1</f>
        <v>-4000</v>
      </c>
      <c r="AK260" s="65" t="n">
        <f aca="false">-Inputs!$D$33*1</f>
        <v>-4000</v>
      </c>
      <c r="AL260" s="65" t="n">
        <f aca="false">-Inputs!$D$33*1</f>
        <v>-4000</v>
      </c>
      <c r="AM260" s="65" t="n">
        <f aca="false">-Inputs!$D$33*1</f>
        <v>-4000</v>
      </c>
      <c r="AN260" s="65" t="n">
        <f aca="false">-Inputs!$D$33*1</f>
        <v>-4000</v>
      </c>
      <c r="AO260" s="65" t="n">
        <f aca="false">-Inputs!$D$33*1</f>
        <v>-4000</v>
      </c>
      <c r="AP260" s="65" t="n">
        <f aca="false">-Inputs!$D$33*1</f>
        <v>-4000</v>
      </c>
      <c r="AQ260" s="65" t="n">
        <f aca="false">-Inputs!$D$33*1</f>
        <v>-4000</v>
      </c>
      <c r="AR260" s="65" t="n">
        <f aca="false">-Inputs!$D$33*1</f>
        <v>-4000</v>
      </c>
      <c r="AS260" s="65" t="n">
        <f aca="false">-Inputs!$D$33*1</f>
        <v>-4000</v>
      </c>
      <c r="AT260" s="65" t="n">
        <f aca="false">-Inputs!$D$33*1</f>
        <v>-4000</v>
      </c>
      <c r="AU260" s="65" t="n">
        <f aca="false">-Inputs!$D$33*1</f>
        <v>-4000</v>
      </c>
      <c r="AV260" s="65" t="n">
        <f aca="false">-Inputs!$D$33*1</f>
        <v>-4000</v>
      </c>
      <c r="AW260" s="65" t="n">
        <f aca="false">-Inputs!$D$33*1</f>
        <v>-4000</v>
      </c>
      <c r="AX260" s="65" t="n">
        <f aca="false">-Inputs!$D$33*1</f>
        <v>-4000</v>
      </c>
      <c r="AY260" s="65" t="n">
        <f aca="false">-Inputs!$D$33*1</f>
        <v>-4000</v>
      </c>
      <c r="AZ260" s="65" t="n">
        <f aca="false">-Inputs!$D$33*1</f>
        <v>-4000</v>
      </c>
      <c r="BA260" s="65" t="n">
        <f aca="false">-Inputs!$D$33*1</f>
        <v>-4000</v>
      </c>
      <c r="BB260" s="65" t="n">
        <f aca="false">-Inputs!$D$33*1</f>
        <v>-4000</v>
      </c>
      <c r="BC260" s="65" t="n">
        <f aca="false">-Inputs!$D$33*1</f>
        <v>-4000</v>
      </c>
      <c r="BD260" s="65" t="n">
        <f aca="false">-Inputs!$D$33*1</f>
        <v>-4000</v>
      </c>
      <c r="BE260" s="65" t="n">
        <f aca="false">-Inputs!$D$33*1</f>
        <v>-4000</v>
      </c>
      <c r="BF260" s="65" t="n">
        <f aca="false">-Inputs!$D$33*1</f>
        <v>-4000</v>
      </c>
      <c r="BG260" s="65" t="n">
        <f aca="false">-Inputs!$D$33*1</f>
        <v>-4000</v>
      </c>
      <c r="BH260" s="65" t="n">
        <f aca="false">-Inputs!$D$33*1</f>
        <v>-4000</v>
      </c>
      <c r="BI260" s="65" t="n">
        <f aca="false">-Inputs!$D$33*1</f>
        <v>-4000</v>
      </c>
      <c r="BJ260" s="65" t="n">
        <f aca="false">-Inputs!$D$33*1</f>
        <v>-4000</v>
      </c>
    </row>
    <row r="261" customFormat="false" ht="15" hidden="false" customHeight="false" outlineLevel="0" collapsed="false">
      <c r="A261" s="6" t="s">
        <v>336</v>
      </c>
      <c r="C261" s="65" t="n">
        <f aca="false">-Inputs!$D$34*1</f>
        <v>-8000</v>
      </c>
      <c r="D261" s="65" t="n">
        <f aca="false">-Inputs!$D$34*1</f>
        <v>-8000</v>
      </c>
      <c r="E261" s="65" t="n">
        <f aca="false">-Inputs!$D$34*1</f>
        <v>-8000</v>
      </c>
      <c r="F261" s="65" t="n">
        <f aca="false">-Inputs!$D$34*1</f>
        <v>-8000</v>
      </c>
      <c r="G261" s="65" t="n">
        <f aca="false">-Inputs!$D$34*1</f>
        <v>-8000</v>
      </c>
      <c r="H261" s="65" t="n">
        <f aca="false">-Inputs!$D$34*1</f>
        <v>-8000</v>
      </c>
      <c r="I261" s="65" t="n">
        <f aca="false">-Inputs!$D$34*1</f>
        <v>-8000</v>
      </c>
      <c r="J261" s="65" t="n">
        <f aca="false">-Inputs!$D$34*1</f>
        <v>-8000</v>
      </c>
      <c r="K261" s="65" t="n">
        <f aca="false">-Inputs!$D$34*1</f>
        <v>-8000</v>
      </c>
      <c r="L261" s="65" t="n">
        <f aca="false">-Inputs!$D$34*1</f>
        <v>-8000</v>
      </c>
      <c r="M261" s="65" t="n">
        <f aca="false">-Inputs!$D$34*1</f>
        <v>-8000</v>
      </c>
      <c r="N261" s="65" t="n">
        <f aca="false">-Inputs!$D$34*1</f>
        <v>-8000</v>
      </c>
      <c r="O261" s="65" t="n">
        <f aca="false">-Inputs!$D$34*1</f>
        <v>-8000</v>
      </c>
      <c r="P261" s="65" t="n">
        <f aca="false">-Inputs!$D$34*1</f>
        <v>-8000</v>
      </c>
      <c r="Q261" s="65" t="n">
        <f aca="false">-Inputs!$D$34*1</f>
        <v>-8000</v>
      </c>
      <c r="R261" s="65" t="n">
        <f aca="false">-Inputs!$D$34*1</f>
        <v>-8000</v>
      </c>
      <c r="S261" s="65" t="n">
        <f aca="false">-Inputs!$D$34*1</f>
        <v>-8000</v>
      </c>
      <c r="T261" s="65" t="n">
        <f aca="false">-Inputs!$D$34*1</f>
        <v>-8000</v>
      </c>
      <c r="U261" s="65" t="n">
        <f aca="false">-Inputs!$D$34*1</f>
        <v>-8000</v>
      </c>
      <c r="V261" s="65" t="n">
        <f aca="false">-Inputs!$D$34*1</f>
        <v>-8000</v>
      </c>
      <c r="W261" s="65" t="n">
        <f aca="false">-Inputs!$D$34*1</f>
        <v>-8000</v>
      </c>
      <c r="X261" s="65" t="n">
        <f aca="false">-Inputs!$D$34*1</f>
        <v>-8000</v>
      </c>
      <c r="Y261" s="65" t="n">
        <f aca="false">-Inputs!$D$34*1</f>
        <v>-8000</v>
      </c>
      <c r="Z261" s="65" t="n">
        <f aca="false">-Inputs!$D$34*1</f>
        <v>-8000</v>
      </c>
      <c r="AA261" s="65" t="n">
        <f aca="false">-Inputs!$D$34*1</f>
        <v>-8000</v>
      </c>
      <c r="AB261" s="65" t="n">
        <f aca="false">-Inputs!$D$34*1</f>
        <v>-8000</v>
      </c>
      <c r="AC261" s="65" t="n">
        <f aca="false">-Inputs!$D$34*1</f>
        <v>-8000</v>
      </c>
      <c r="AD261" s="65" t="n">
        <f aca="false">-Inputs!$D$34*1</f>
        <v>-8000</v>
      </c>
      <c r="AE261" s="65" t="n">
        <f aca="false">-Inputs!$D$34*1</f>
        <v>-8000</v>
      </c>
      <c r="AF261" s="65" t="n">
        <f aca="false">-Inputs!$D$34*1</f>
        <v>-8000</v>
      </c>
      <c r="AG261" s="65" t="n">
        <f aca="false">-Inputs!$D$34*1</f>
        <v>-8000</v>
      </c>
      <c r="AH261" s="65" t="n">
        <f aca="false">-Inputs!$D$34*1</f>
        <v>-8000</v>
      </c>
      <c r="AI261" s="65" t="n">
        <f aca="false">-Inputs!$D$34*1</f>
        <v>-8000</v>
      </c>
      <c r="AJ261" s="65" t="n">
        <f aca="false">-Inputs!$D$34*1</f>
        <v>-8000</v>
      </c>
      <c r="AK261" s="65" t="n">
        <f aca="false">-Inputs!$D$34*1</f>
        <v>-8000</v>
      </c>
      <c r="AL261" s="65" t="n">
        <f aca="false">-Inputs!$D$34*1</f>
        <v>-8000</v>
      </c>
      <c r="AM261" s="65" t="n">
        <f aca="false">-Inputs!$D$34*1</f>
        <v>-8000</v>
      </c>
      <c r="AN261" s="65" t="n">
        <f aca="false">-Inputs!$D$34*1</f>
        <v>-8000</v>
      </c>
      <c r="AO261" s="65" t="n">
        <f aca="false">-Inputs!$D$34*1</f>
        <v>-8000</v>
      </c>
      <c r="AP261" s="65" t="n">
        <f aca="false">-Inputs!$D$34*1</f>
        <v>-8000</v>
      </c>
      <c r="AQ261" s="65" t="n">
        <f aca="false">-Inputs!$D$34*1</f>
        <v>-8000</v>
      </c>
      <c r="AR261" s="65" t="n">
        <f aca="false">-Inputs!$D$34*1</f>
        <v>-8000</v>
      </c>
      <c r="AS261" s="65" t="n">
        <f aca="false">-Inputs!$D$34*1</f>
        <v>-8000</v>
      </c>
      <c r="AT261" s="65" t="n">
        <f aca="false">-Inputs!$D$34*1</f>
        <v>-8000</v>
      </c>
      <c r="AU261" s="65" t="n">
        <f aca="false">-Inputs!$D$34*1</f>
        <v>-8000</v>
      </c>
      <c r="AV261" s="65" t="n">
        <f aca="false">-Inputs!$D$34*1</f>
        <v>-8000</v>
      </c>
      <c r="AW261" s="65" t="n">
        <f aca="false">-Inputs!$D$34*1</f>
        <v>-8000</v>
      </c>
      <c r="AX261" s="65" t="n">
        <f aca="false">-Inputs!$D$34*1</f>
        <v>-8000</v>
      </c>
      <c r="AY261" s="65" t="n">
        <f aca="false">-Inputs!$D$34*1</f>
        <v>-8000</v>
      </c>
      <c r="AZ261" s="65" t="n">
        <f aca="false">-Inputs!$D$34*1</f>
        <v>-8000</v>
      </c>
      <c r="BA261" s="65" t="n">
        <f aca="false">-Inputs!$D$34*1</f>
        <v>-8000</v>
      </c>
      <c r="BB261" s="65" t="n">
        <f aca="false">-Inputs!$D$34*1</f>
        <v>-8000</v>
      </c>
      <c r="BC261" s="65" t="n">
        <f aca="false">-Inputs!$D$34*1</f>
        <v>-8000</v>
      </c>
      <c r="BD261" s="65" t="n">
        <f aca="false">-Inputs!$D$34*1</f>
        <v>-8000</v>
      </c>
      <c r="BE261" s="65" t="n">
        <f aca="false">-Inputs!$D$34*1</f>
        <v>-8000</v>
      </c>
      <c r="BF261" s="65" t="n">
        <f aca="false">-Inputs!$D$34*1</f>
        <v>-8000</v>
      </c>
      <c r="BG261" s="65" t="n">
        <f aca="false">-Inputs!$D$34*1</f>
        <v>-8000</v>
      </c>
      <c r="BH261" s="65" t="n">
        <f aca="false">-Inputs!$D$34*1</f>
        <v>-8000</v>
      </c>
      <c r="BI261" s="65" t="n">
        <f aca="false">-Inputs!$D$34*1</f>
        <v>-8000</v>
      </c>
      <c r="BJ261" s="65" t="n">
        <f aca="false">-Inputs!$D$34*1</f>
        <v>-8000</v>
      </c>
    </row>
    <row r="262" customFormat="false" ht="15" hidden="false" customHeight="false" outlineLevel="0" collapsed="false">
      <c r="A262" s="110" t="s">
        <v>77</v>
      </c>
      <c r="C262" s="66" t="n">
        <f aca="false">C254+C255+C256+C257+C258+C259+C260+C261</f>
        <v>-258103.696412121</v>
      </c>
      <c r="D262" s="66" t="n">
        <f aca="false">D254+D255+D256+D257+D258+D259+D260+D261</f>
        <v>-258103.696412121</v>
      </c>
      <c r="E262" s="66" t="n">
        <f aca="false">E254+E255+E256+E257+E258+E259+E260+E261</f>
        <v>-258103.696412121</v>
      </c>
      <c r="F262" s="66" t="n">
        <f aca="false">F254+F255+F256+F257+F258+F259+F260+F261</f>
        <v>-258103.696412121</v>
      </c>
      <c r="G262" s="66" t="n">
        <f aca="false">G254+G255+G256+G257+G258+G259+G260+G261</f>
        <v>-258103.696412121</v>
      </c>
      <c r="H262" s="66" t="n">
        <f aca="false">H254+H255+H256+H257+H258+H259+H260+H261</f>
        <v>-258103.696412121</v>
      </c>
      <c r="I262" s="66" t="n">
        <f aca="false">I254+I255+I256+I257+I258+I259+I260+I261</f>
        <v>-258103.696412121</v>
      </c>
      <c r="J262" s="66" t="n">
        <f aca="false">J254+J255+J256+J257+J258+J259+J260+J261</f>
        <v>-258103.696412121</v>
      </c>
      <c r="K262" s="66" t="n">
        <f aca="false">K254+K255+K256+K257+K258+K259+K260+K261</f>
        <v>-258103.696412121</v>
      </c>
      <c r="L262" s="66" t="n">
        <f aca="false">L254+L255+L256+L257+L258+L259+L260+L261</f>
        <v>-258103.696412121</v>
      </c>
      <c r="M262" s="66" t="n">
        <f aca="false">M254+M255+M256+M257+M258+M259+M260+M261</f>
        <v>-274294.725212121</v>
      </c>
      <c r="N262" s="66" t="n">
        <f aca="false">N254+N255+N256+N257+N258+N259+N260+N261</f>
        <v>-274294.725212121</v>
      </c>
      <c r="O262" s="66" t="n">
        <f aca="false">O254+O255+O256+O257+O258+O259+O260+O261</f>
        <v>-327448.072815442</v>
      </c>
      <c r="P262" s="66" t="n">
        <f aca="false">P254+P255+P256+P257+P258+P259+P260+P261</f>
        <v>-327448.072815442</v>
      </c>
      <c r="Q262" s="66" t="n">
        <f aca="false">Q254+Q255+Q256+Q257+Q258+Q259+Q260+Q261</f>
        <v>-327448.072815442</v>
      </c>
      <c r="R262" s="66" t="n">
        <f aca="false">R254+R255+R256+R257+R258+R259+R260+R261</f>
        <v>-327448.072815442</v>
      </c>
      <c r="S262" s="66" t="n">
        <f aca="false">S254+S255+S256+S257+S258+S259+S260+S261</f>
        <v>-327448.072815442</v>
      </c>
      <c r="T262" s="66" t="n">
        <f aca="false">T254+T255+T256+T257+T258+T259+T260+T261</f>
        <v>-327448.072815442</v>
      </c>
      <c r="U262" s="66" t="n">
        <f aca="false">U254+U255+U256+U257+U258+U259+U260+U261</f>
        <v>-327448.072815442</v>
      </c>
      <c r="V262" s="66" t="n">
        <f aca="false">V254+V255+V256+V257+V258+V259+V260+V261</f>
        <v>-327448.072815442</v>
      </c>
      <c r="W262" s="66" t="n">
        <f aca="false">W254+W255+W256+W257+W258+W259+W260+W261</f>
        <v>-327448.072815442</v>
      </c>
      <c r="X262" s="66" t="n">
        <f aca="false">X254+X255+X256+X257+X258+X259+X260+X261</f>
        <v>-327448.072815442</v>
      </c>
      <c r="Y262" s="66" t="n">
        <f aca="false">Y254+Y255+Y256+Y257+Y258+Y259+Y260+Y261</f>
        <v>-350506.244348242</v>
      </c>
      <c r="Z262" s="66" t="n">
        <f aca="false">Z254+Z255+Z256+Z257+Z258+Z259+Z260+Z261</f>
        <v>-350506.244348242</v>
      </c>
      <c r="AA262" s="66" t="n">
        <f aca="false">AA254+AA255+AA256+AA257+AA258+AA259+AA260+AA261</f>
        <v>-414361.107629443</v>
      </c>
      <c r="AB262" s="66" t="n">
        <f aca="false">AB254+AB255+AB256+AB257+AB258+AB259+AB260+AB261</f>
        <v>-414361.107629443</v>
      </c>
      <c r="AC262" s="66" t="n">
        <f aca="false">AC254+AC255+AC256+AC257+AC258+AC259+AC260+AC261</f>
        <v>-414361.107629443</v>
      </c>
      <c r="AD262" s="66" t="n">
        <f aca="false">AD254+AD255+AD256+AD257+AD258+AD259+AD260+AD261</f>
        <v>-414361.107629443</v>
      </c>
      <c r="AE262" s="66" t="n">
        <f aca="false">AE254+AE255+AE256+AE257+AE258+AE259+AE260+AE261</f>
        <v>-414361.107629443</v>
      </c>
      <c r="AF262" s="66" t="n">
        <f aca="false">AF254+AF255+AF256+AF257+AF258+AF259+AF260+AF261</f>
        <v>-414361.107629443</v>
      </c>
      <c r="AG262" s="66" t="n">
        <f aca="false">AG254+AG255+AG256+AG257+AG258+AG259+AG260+AG261</f>
        <v>-414361.107629443</v>
      </c>
      <c r="AH262" s="66" t="n">
        <f aca="false">AH254+AH255+AH256+AH257+AH258+AH259+AH260+AH261</f>
        <v>-414361.107629443</v>
      </c>
      <c r="AI262" s="66" t="n">
        <f aca="false">AI254+AI255+AI256+AI257+AI258+AI259+AI260+AI261</f>
        <v>-414361.107629443</v>
      </c>
      <c r="AJ262" s="66" t="n">
        <f aca="false">AJ254+AJ255+AJ256+AJ257+AJ258+AJ259+AJ260+AJ261</f>
        <v>-414361.107629443</v>
      </c>
      <c r="AK262" s="66" t="n">
        <f aca="false">AK254+AK255+AK256+AK257+AK258+AK259+AK260+AK261</f>
        <v>-446927.7994932</v>
      </c>
      <c r="AL262" s="66" t="n">
        <f aca="false">AL254+AL255+AL256+AL257+AL258+AL259+AL260+AL261</f>
        <v>-446927.7994932</v>
      </c>
      <c r="AM262" s="66" t="n">
        <f aca="false">AM254+AM255+AM256+AM257+AM258+AM259+AM260+AM261</f>
        <v>-524399.386637674</v>
      </c>
      <c r="AN262" s="66" t="n">
        <f aca="false">AN254+AN255+AN256+AN257+AN258+AN259+AN260+AN261</f>
        <v>-524399.386637674</v>
      </c>
      <c r="AO262" s="66" t="n">
        <f aca="false">AO254+AO255+AO256+AO257+AO258+AO259+AO260+AO261</f>
        <v>-524399.386637674</v>
      </c>
      <c r="AP262" s="66" t="n">
        <f aca="false">AP254+AP255+AP256+AP257+AP258+AP259+AP260+AP261</f>
        <v>-524399.386637674</v>
      </c>
      <c r="AQ262" s="66" t="n">
        <f aca="false">AQ254+AQ255+AQ256+AQ257+AQ258+AQ259+AQ260+AQ261</f>
        <v>-524399.386637674</v>
      </c>
      <c r="AR262" s="66" t="n">
        <f aca="false">AR254+AR255+AR256+AR257+AR258+AR259+AR260+AR261</f>
        <v>-524399.386637674</v>
      </c>
      <c r="AS262" s="66" t="n">
        <f aca="false">AS254+AS255+AS256+AS257+AS258+AS259+AS260+AS261</f>
        <v>-524399.386637674</v>
      </c>
      <c r="AT262" s="66" t="n">
        <f aca="false">AT254+AT255+AT256+AT257+AT258+AT259+AT260+AT261</f>
        <v>-524399.386637674</v>
      </c>
      <c r="AU262" s="66" t="n">
        <f aca="false">AU254+AU255+AU256+AU257+AU258+AU259+AU260+AU261</f>
        <v>-524399.386637674</v>
      </c>
      <c r="AV262" s="66" t="n">
        <f aca="false">AV254+AV255+AV256+AV257+AV258+AV259+AV260+AV261</f>
        <v>-524399.386637674</v>
      </c>
      <c r="AW262" s="66" t="n">
        <f aca="false">AW254+AW255+AW256+AW257+AW258+AW259+AW260+AW261</f>
        <v>-570200.131601544</v>
      </c>
      <c r="AX262" s="66" t="n">
        <f aca="false">AX254+AX255+AX256+AX257+AX258+AX259+AX260+AX261</f>
        <v>-570200.131601544</v>
      </c>
      <c r="AY262" s="66" t="n">
        <f aca="false">AY254+AY255+AY256+AY257+AY258+AY259+AY260+AY261</f>
        <v>-665035.199544259</v>
      </c>
      <c r="AZ262" s="66" t="n">
        <f aca="false">AZ254+AZ255+AZ256+AZ257+AZ258+AZ259+AZ260+AZ261</f>
        <v>-665035.199544259</v>
      </c>
      <c r="BA262" s="66" t="n">
        <f aca="false">BA254+BA255+BA256+BA257+BA258+BA259+BA260+BA261</f>
        <v>-665035.199544259</v>
      </c>
      <c r="BB262" s="66" t="n">
        <f aca="false">BB254+BB255+BB256+BB257+BB258+BB259+BB260+BB261</f>
        <v>-665035.199544259</v>
      </c>
      <c r="BC262" s="66" t="n">
        <f aca="false">BC254+BC255+BC256+BC257+BC258+BC259+BC260+BC261</f>
        <v>-665035.199544259</v>
      </c>
      <c r="BD262" s="66" t="n">
        <f aca="false">BD254+BD255+BD256+BD257+BD258+BD259+BD260+BD261</f>
        <v>-665035.199544259</v>
      </c>
      <c r="BE262" s="66" t="n">
        <f aca="false">BE254+BE255+BE256+BE257+BE258+BE259+BE260+BE261</f>
        <v>-665035.199544259</v>
      </c>
      <c r="BF262" s="66" t="n">
        <f aca="false">BF254+BF255+BF256+BF257+BF258+BF259+BF260+BF261</f>
        <v>-665035.199544259</v>
      </c>
      <c r="BG262" s="66" t="n">
        <f aca="false">BG254+BG255+BG256+BG257+BG258+BG259+BG260+BG261</f>
        <v>-665035.199544259</v>
      </c>
      <c r="BH262" s="66" t="n">
        <f aca="false">BH254+BH255+BH256+BH257+BH258+BH259+BH260+BH261</f>
        <v>-665035.199544259</v>
      </c>
      <c r="BI262" s="66" t="n">
        <f aca="false">BI254+BI255+BI256+BI257+BI258+BI259+BI260+BI261</f>
        <v>-729332.445168069</v>
      </c>
      <c r="BJ262" s="66" t="n">
        <f aca="false">BJ254+BJ255+BJ256+BJ257+BJ258+BJ259+BJ260+BJ261</f>
        <v>-729332.445168069</v>
      </c>
    </row>
    <row r="263" customFormat="false" ht="15" hidden="false" customHeight="false" outlineLevel="0" collapsed="false">
      <c r="A263" s="110" t="s">
        <v>48</v>
      </c>
      <c r="C263" s="66" t="n">
        <f aca="false">C251+C262</f>
        <v>175587.684169697</v>
      </c>
      <c r="D263" s="66" t="n">
        <f aca="false">D251+D262</f>
        <v>175587.684169697</v>
      </c>
      <c r="E263" s="66" t="n">
        <f aca="false">E251+E262</f>
        <v>175587.684169697</v>
      </c>
      <c r="F263" s="66" t="n">
        <f aca="false">F251+F262</f>
        <v>175587.684169697</v>
      </c>
      <c r="G263" s="66" t="n">
        <f aca="false">G251+G262</f>
        <v>175587.684169697</v>
      </c>
      <c r="H263" s="66" t="n">
        <f aca="false">H251+H262</f>
        <v>175587.684169697</v>
      </c>
      <c r="I263" s="66" t="n">
        <f aca="false">I251+I262</f>
        <v>175587.684169697</v>
      </c>
      <c r="J263" s="66" t="n">
        <f aca="false">J251+J262</f>
        <v>175587.684169697</v>
      </c>
      <c r="K263" s="66" t="n">
        <f aca="false">K251+K262</f>
        <v>175587.684169697</v>
      </c>
      <c r="L263" s="66" t="n">
        <f aca="false">L251+L262</f>
        <v>175587.684169697</v>
      </c>
      <c r="M263" s="66" t="n">
        <f aca="false">M251+M262</f>
        <v>259059.040969697</v>
      </c>
      <c r="N263" s="66" t="n">
        <f aca="false">N251+N262</f>
        <v>259059.040969697</v>
      </c>
      <c r="O263" s="66" t="n">
        <f aca="false">O251+O262</f>
        <v>274098.596729867</v>
      </c>
      <c r="P263" s="66" t="n">
        <f aca="false">P251+P262</f>
        <v>274098.596729867</v>
      </c>
      <c r="Q263" s="66" t="n">
        <f aca="false">Q251+Q262</f>
        <v>274098.596729867</v>
      </c>
      <c r="R263" s="66" t="n">
        <f aca="false">R251+R262</f>
        <v>274098.596729867</v>
      </c>
      <c r="S263" s="66" t="n">
        <f aca="false">S251+S262</f>
        <v>274098.596729867</v>
      </c>
      <c r="T263" s="66" t="n">
        <f aca="false">T251+T262</f>
        <v>274098.596729867</v>
      </c>
      <c r="U263" s="66" t="n">
        <f aca="false">U251+U262</f>
        <v>274098.596729867</v>
      </c>
      <c r="V263" s="66" t="n">
        <f aca="false">V251+V262</f>
        <v>274098.596729867</v>
      </c>
      <c r="W263" s="66" t="n">
        <f aca="false">W251+W262</f>
        <v>274098.596729867</v>
      </c>
      <c r="X263" s="66" t="n">
        <f aca="false">X251+X262</f>
        <v>274098.596729867</v>
      </c>
      <c r="Y263" s="66" t="n">
        <f aca="false">Y251+Y262</f>
        <v>398512.633030667</v>
      </c>
      <c r="Z263" s="66" t="n">
        <f aca="false">Z251+Z262</f>
        <v>398512.633030667</v>
      </c>
      <c r="AA263" s="66" t="n">
        <f aca="false">AA251+AA262</f>
        <v>410043.969913618</v>
      </c>
      <c r="AB263" s="66" t="n">
        <f aca="false">AB251+AB262</f>
        <v>410043.969913618</v>
      </c>
      <c r="AC263" s="66" t="n">
        <f aca="false">AC251+AC262</f>
        <v>410043.969913618</v>
      </c>
      <c r="AD263" s="66" t="n">
        <f aca="false">AD251+AD262</f>
        <v>410043.969913618</v>
      </c>
      <c r="AE263" s="66" t="n">
        <f aca="false">AE251+AE262</f>
        <v>410043.969913618</v>
      </c>
      <c r="AF263" s="66" t="n">
        <f aca="false">AF251+AF262</f>
        <v>410043.969913618</v>
      </c>
      <c r="AG263" s="66" t="n">
        <f aca="false">AG251+AG262</f>
        <v>410043.969913618</v>
      </c>
      <c r="AH263" s="66" t="n">
        <f aca="false">AH251+AH262</f>
        <v>410043.969913618</v>
      </c>
      <c r="AI263" s="66" t="n">
        <f aca="false">AI251+AI262</f>
        <v>410043.969913618</v>
      </c>
      <c r="AJ263" s="66" t="n">
        <f aca="false">AJ251+AJ262</f>
        <v>410043.969913618</v>
      </c>
      <c r="AK263" s="66" t="n">
        <f aca="false">AK251+AK262</f>
        <v>589738.487279582</v>
      </c>
      <c r="AL263" s="66" t="n">
        <f aca="false">AL251+AL262</f>
        <v>589738.487279582</v>
      </c>
      <c r="AM263" s="66" t="n">
        <f aca="false">AM251+AM262</f>
        <v>599712.413930128</v>
      </c>
      <c r="AN263" s="66" t="n">
        <f aca="false">AN251+AN262</f>
        <v>599712.413930128</v>
      </c>
      <c r="AO263" s="66" t="n">
        <f aca="false">AO251+AO262</f>
        <v>599712.413930128</v>
      </c>
      <c r="AP263" s="66" t="n">
        <f aca="false">AP251+AP262</f>
        <v>599712.413930128</v>
      </c>
      <c r="AQ263" s="66" t="n">
        <f aca="false">AQ251+AQ262</f>
        <v>599712.413930128</v>
      </c>
      <c r="AR263" s="66" t="n">
        <f aca="false">AR251+AR262</f>
        <v>599712.413930128</v>
      </c>
      <c r="AS263" s="66" t="n">
        <f aca="false">AS251+AS262</f>
        <v>599712.413930128</v>
      </c>
      <c r="AT263" s="66" t="n">
        <f aca="false">AT251+AT262</f>
        <v>599712.413930128</v>
      </c>
      <c r="AU263" s="66" t="n">
        <f aca="false">AU251+AU262</f>
        <v>599712.413930128</v>
      </c>
      <c r="AV263" s="66" t="n">
        <f aca="false">AV251+AV262</f>
        <v>599712.413930128</v>
      </c>
      <c r="AW263" s="66" t="n">
        <f aca="false">AW251+AW262</f>
        <v>855294.014431613</v>
      </c>
      <c r="AX263" s="66" t="n">
        <f aca="false">AX251+AX262</f>
        <v>855294.014431613</v>
      </c>
      <c r="AY263" s="66" t="n">
        <f aca="false">AY251+AY262</f>
        <v>866826.688592088</v>
      </c>
      <c r="AZ263" s="66" t="n">
        <f aca="false">AZ251+AZ262</f>
        <v>866826.688592088</v>
      </c>
      <c r="BA263" s="66" t="n">
        <f aca="false">BA251+BA262</f>
        <v>866826.688592088</v>
      </c>
      <c r="BB263" s="66" t="n">
        <f aca="false">BB251+BB262</f>
        <v>866826.688592088</v>
      </c>
      <c r="BC263" s="66" t="n">
        <f aca="false">BC251+BC262</f>
        <v>866826.688592088</v>
      </c>
      <c r="BD263" s="66" t="n">
        <f aca="false">BD251+BD262</f>
        <v>866826.688592088</v>
      </c>
      <c r="BE263" s="66" t="n">
        <f aca="false">BE251+BE262</f>
        <v>866826.688592088</v>
      </c>
      <c r="BF263" s="66" t="n">
        <f aca="false">BF251+BF262</f>
        <v>866826.688592088</v>
      </c>
      <c r="BG263" s="66" t="n">
        <f aca="false">BG251+BG262</f>
        <v>866826.688592088</v>
      </c>
      <c r="BH263" s="66" t="n">
        <f aca="false">BH251+BH262</f>
        <v>866826.688592088</v>
      </c>
      <c r="BI263" s="66" t="n">
        <f aca="false">BI251+BI262</f>
        <v>1228047.51433243</v>
      </c>
      <c r="BJ263" s="66" t="n">
        <f aca="false">BJ251+BJ262</f>
        <v>1228047.51433243</v>
      </c>
    </row>
    <row r="265" customFormat="false" ht="15.75" hidden="false" customHeight="true" outlineLevel="0" collapsed="false">
      <c r="A265" s="7" t="s">
        <v>418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customFormat="false" ht="15" hidden="false" customHeight="false" outlineLevel="0" collapsed="false">
      <c r="A266" s="4" t="s">
        <v>79</v>
      </c>
      <c r="C266" s="71" t="n">
        <f aca="false">C263+C277</f>
        <v>171421.01750303</v>
      </c>
      <c r="D266" s="71" t="n">
        <f aca="false">D263+D277</f>
        <v>171421.01750303</v>
      </c>
      <c r="E266" s="71" t="n">
        <f aca="false">E263+E277</f>
        <v>171421.01750303</v>
      </c>
      <c r="F266" s="71" t="n">
        <f aca="false">F263+F277</f>
        <v>171421.01750303</v>
      </c>
      <c r="G266" s="71" t="n">
        <f aca="false">G263+G277</f>
        <v>171421.01750303</v>
      </c>
      <c r="H266" s="71" t="n">
        <f aca="false">H263+H277</f>
        <v>171421.01750303</v>
      </c>
      <c r="I266" s="71" t="n">
        <f aca="false">I263+I277</f>
        <v>171421.01750303</v>
      </c>
      <c r="J266" s="71" t="n">
        <f aca="false">J263+J277</f>
        <v>171421.01750303</v>
      </c>
      <c r="K266" s="71" t="n">
        <f aca="false">K263+K277</f>
        <v>171421.01750303</v>
      </c>
      <c r="L266" s="71" t="n">
        <f aca="false">L263+L277</f>
        <v>171421.01750303</v>
      </c>
      <c r="M266" s="71" t="n">
        <f aca="false">M263+M277</f>
        <v>254892.37430303</v>
      </c>
      <c r="N266" s="71" t="n">
        <f aca="false">N263+N277</f>
        <v>254892.37430303</v>
      </c>
      <c r="O266" s="71" t="n">
        <f aca="false">O263+O277</f>
        <v>268146.215777486</v>
      </c>
      <c r="P266" s="71" t="n">
        <f aca="false">P263+P277</f>
        <v>268146.215777486</v>
      </c>
      <c r="Q266" s="71" t="n">
        <f aca="false">Q263+Q277</f>
        <v>268146.215777486</v>
      </c>
      <c r="R266" s="71" t="n">
        <f aca="false">R263+R277</f>
        <v>268146.215777486</v>
      </c>
      <c r="S266" s="71" t="n">
        <f aca="false">S263+S277</f>
        <v>268146.215777486</v>
      </c>
      <c r="T266" s="71" t="n">
        <f aca="false">T263+T277</f>
        <v>268146.215777486</v>
      </c>
      <c r="U266" s="71" t="n">
        <f aca="false">U263+U277</f>
        <v>268146.215777486</v>
      </c>
      <c r="V266" s="71" t="n">
        <f aca="false">V263+V277</f>
        <v>268146.215777486</v>
      </c>
      <c r="W266" s="71" t="n">
        <f aca="false">W263+W277</f>
        <v>268146.215777486</v>
      </c>
      <c r="X266" s="71" t="n">
        <f aca="false">X263+X277</f>
        <v>268146.215777486</v>
      </c>
      <c r="Y266" s="71" t="n">
        <f aca="false">Y263+Y277</f>
        <v>392560.252078286</v>
      </c>
      <c r="Z266" s="71" t="n">
        <f aca="false">Z263+Z277</f>
        <v>392560.252078286</v>
      </c>
      <c r="AA266" s="71" t="n">
        <f aca="false">AA263+AA277</f>
        <v>402305.874675522</v>
      </c>
      <c r="AB266" s="71" t="n">
        <f aca="false">AB263+AB277</f>
        <v>402305.874675522</v>
      </c>
      <c r="AC266" s="71" t="n">
        <f aca="false">AC263+AC277</f>
        <v>402305.874675522</v>
      </c>
      <c r="AD266" s="71" t="n">
        <f aca="false">AD263+AD277</f>
        <v>402305.874675522</v>
      </c>
      <c r="AE266" s="71" t="n">
        <f aca="false">AE263+AE277</f>
        <v>402305.874675522</v>
      </c>
      <c r="AF266" s="71" t="n">
        <f aca="false">AF263+AF277</f>
        <v>402305.874675522</v>
      </c>
      <c r="AG266" s="71" t="n">
        <f aca="false">AG263+AG277</f>
        <v>402305.874675522</v>
      </c>
      <c r="AH266" s="71" t="n">
        <f aca="false">AH263+AH277</f>
        <v>402305.874675522</v>
      </c>
      <c r="AI266" s="71" t="n">
        <f aca="false">AI263+AI277</f>
        <v>402305.874675522</v>
      </c>
      <c r="AJ266" s="71" t="n">
        <f aca="false">AJ263+AJ277</f>
        <v>402305.874675522</v>
      </c>
      <c r="AK266" s="71" t="n">
        <f aca="false">AK263+AK277</f>
        <v>582000.392041487</v>
      </c>
      <c r="AL266" s="71" t="n">
        <f aca="false">AL263+AL277</f>
        <v>582000.392041487</v>
      </c>
      <c r="AM266" s="71" t="n">
        <f aca="false">AM263+AM277</f>
        <v>590188.604406319</v>
      </c>
      <c r="AN266" s="71" t="n">
        <f aca="false">AN263+AN277</f>
        <v>590188.604406319</v>
      </c>
      <c r="AO266" s="71" t="n">
        <f aca="false">AO263+AO277</f>
        <v>590188.604406319</v>
      </c>
      <c r="AP266" s="71" t="n">
        <f aca="false">AP263+AP277</f>
        <v>590188.604406319</v>
      </c>
      <c r="AQ266" s="71" t="n">
        <f aca="false">AQ263+AQ277</f>
        <v>590188.604406319</v>
      </c>
      <c r="AR266" s="71" t="n">
        <f aca="false">AR263+AR277</f>
        <v>590188.604406319</v>
      </c>
      <c r="AS266" s="71" t="n">
        <f aca="false">AS263+AS277</f>
        <v>590188.604406319</v>
      </c>
      <c r="AT266" s="71" t="n">
        <f aca="false">AT263+AT277</f>
        <v>590188.604406319</v>
      </c>
      <c r="AU266" s="71" t="n">
        <f aca="false">AU263+AU277</f>
        <v>590188.604406319</v>
      </c>
      <c r="AV266" s="71" t="n">
        <f aca="false">AV263+AV277</f>
        <v>590188.604406319</v>
      </c>
      <c r="AW266" s="71" t="n">
        <f aca="false">AW263+AW277</f>
        <v>845770.204907803</v>
      </c>
      <c r="AX266" s="71" t="n">
        <f aca="false">AX263+AX277</f>
        <v>845770.204907803</v>
      </c>
      <c r="AY266" s="71" t="n">
        <f aca="false">AY263+AY277</f>
        <v>855517.164782564</v>
      </c>
      <c r="AZ266" s="71" t="n">
        <f aca="false">AZ263+AZ277</f>
        <v>855517.164782564</v>
      </c>
      <c r="BA266" s="71" t="n">
        <f aca="false">BA263+BA277</f>
        <v>855517.164782564</v>
      </c>
      <c r="BB266" s="71" t="n">
        <f aca="false">BB263+BB277</f>
        <v>855517.164782564</v>
      </c>
      <c r="BC266" s="71" t="n">
        <f aca="false">BC263+BC277</f>
        <v>855517.164782564</v>
      </c>
      <c r="BD266" s="71" t="n">
        <f aca="false">BD263+BD277</f>
        <v>855517.164782564</v>
      </c>
      <c r="BE266" s="71" t="n">
        <f aca="false">BE263+BE277</f>
        <v>855517.164782564</v>
      </c>
      <c r="BF266" s="71" t="n">
        <f aca="false">BF263+BF277</f>
        <v>855517.164782564</v>
      </c>
      <c r="BG266" s="71" t="n">
        <f aca="false">BG263+BG277</f>
        <v>855517.164782564</v>
      </c>
      <c r="BH266" s="71" t="n">
        <f aca="false">BH263+BH277</f>
        <v>855517.164782564</v>
      </c>
      <c r="BI266" s="71" t="n">
        <f aca="false">BI263+BI277</f>
        <v>1216737.9905229</v>
      </c>
      <c r="BJ266" s="71" t="n">
        <f aca="false">BJ263+BJ277</f>
        <v>1216737.9905229</v>
      </c>
    </row>
    <row r="267" customFormat="false" ht="15" hidden="false" customHeight="false" outlineLevel="0" collapsed="false">
      <c r="A267" s="6" t="s">
        <v>419</v>
      </c>
      <c r="C267" s="65" t="n">
        <f aca="false">-(C282+C283+C285)/2*Inputs!$D$60/12</f>
        <v>-3333.33333333333</v>
      </c>
      <c r="D267" s="65" t="n">
        <f aca="false">-(D282+D283+D285)/2*Inputs!$D$60/12</f>
        <v>-3305.55555555556</v>
      </c>
      <c r="E267" s="65" t="n">
        <f aca="false">-(E282+E283+E285)/2*Inputs!$D$60/12</f>
        <v>-3250</v>
      </c>
      <c r="F267" s="65" t="n">
        <f aca="false">-(F282+F283+F285)/2*Inputs!$D$60/12</f>
        <v>-3194.44444444445</v>
      </c>
      <c r="G267" s="65" t="n">
        <f aca="false">-(G282+G283+G285)/2*Inputs!$D$60/12</f>
        <v>-3138.88888888889</v>
      </c>
      <c r="H267" s="65" t="n">
        <f aca="false">-(H282+H283+H285)/2*Inputs!$D$60/12</f>
        <v>-3083.33333333333</v>
      </c>
      <c r="I267" s="65" t="n">
        <f aca="false">-(I282+I283+I285)/2*Inputs!$D$60/12</f>
        <v>-3027.77777777778</v>
      </c>
      <c r="J267" s="65" t="n">
        <f aca="false">-(J282+J283+J285)/2*Inputs!$D$60/12</f>
        <v>-2972.22222222222</v>
      </c>
      <c r="K267" s="65" t="n">
        <f aca="false">-(K282+K283+K285)/2*Inputs!$D$60/12</f>
        <v>-2916.66666666667</v>
      </c>
      <c r="L267" s="65" t="n">
        <f aca="false">-(L282+L283+L285)/2*Inputs!$D$60/12</f>
        <v>-2861.11111111111</v>
      </c>
      <c r="M267" s="65" t="n">
        <f aca="false">-(M282+M283+M285)/2*Inputs!$D$60/12</f>
        <v>-2805.55555555556</v>
      </c>
      <c r="N267" s="65" t="n">
        <f aca="false">-(N282+N283+N285)/2*Inputs!$D$60/12</f>
        <v>-2750</v>
      </c>
      <c r="O267" s="65" t="n">
        <f aca="false">-(O282+O283+O285)/2*Inputs!$D$60/12</f>
        <v>-2694.44444444445</v>
      </c>
      <c r="P267" s="65" t="n">
        <f aca="false">-(P282+P283+P285)/2*Inputs!$D$60/12</f>
        <v>-2638.88888888889</v>
      </c>
      <c r="Q267" s="65" t="n">
        <f aca="false">-(Q282+Q283+Q285)/2*Inputs!$D$60/12</f>
        <v>-2583.33333333334</v>
      </c>
      <c r="R267" s="65" t="n">
        <f aca="false">-(R282+R283+R285)/2*Inputs!$D$60/12</f>
        <v>-2527.77777777778</v>
      </c>
      <c r="S267" s="65" t="n">
        <f aca="false">-(S282+S283+S285)/2*Inputs!$D$60/12</f>
        <v>-2472.22222222222</v>
      </c>
      <c r="T267" s="65" t="n">
        <f aca="false">-(T282+T283+T285)/2*Inputs!$D$60/12</f>
        <v>-2416.66666666667</v>
      </c>
      <c r="U267" s="65" t="n">
        <f aca="false">-(U282+U283+U285)/2*Inputs!$D$60/12</f>
        <v>-2361.11111111111</v>
      </c>
      <c r="V267" s="65" t="n">
        <f aca="false">-(V282+V283+V285)/2*Inputs!$D$60/12</f>
        <v>-2305.55555555556</v>
      </c>
      <c r="W267" s="65" t="n">
        <f aca="false">-(W282+W283+W285)/2*Inputs!$D$60/12</f>
        <v>-2250</v>
      </c>
      <c r="X267" s="65" t="n">
        <f aca="false">-(X282+X283+X285)/2*Inputs!$D$60/12</f>
        <v>-2194.44444444445</v>
      </c>
      <c r="Y267" s="65" t="n">
        <f aca="false">-(Y282+Y283+Y285)/2*Inputs!$D$60/12</f>
        <v>-2138.88888888889</v>
      </c>
      <c r="Z267" s="65" t="n">
        <f aca="false">-(Z282+Z283+Z285)/2*Inputs!$D$60/12</f>
        <v>-2083.33333333334</v>
      </c>
      <c r="AA267" s="65" t="n">
        <f aca="false">-(AA282+AA283+AA285)/2*Inputs!$D$60/12</f>
        <v>-2027.77777777778</v>
      </c>
      <c r="AB267" s="65" t="n">
        <f aca="false">-(AB282+AB283+AB285)/2*Inputs!$D$60/12</f>
        <v>-1972.22222222223</v>
      </c>
      <c r="AC267" s="65" t="n">
        <f aca="false">-(AC282+AC283+AC285)/2*Inputs!$D$60/12</f>
        <v>-1916.66666666667</v>
      </c>
      <c r="AD267" s="65" t="n">
        <f aca="false">-(AD282+AD283+AD285)/2*Inputs!$D$60/12</f>
        <v>-1861.11111111111</v>
      </c>
      <c r="AE267" s="65" t="n">
        <f aca="false">-(AE282+AE283+AE285)/2*Inputs!$D$60/12</f>
        <v>-1805.55555555556</v>
      </c>
      <c r="AF267" s="65" t="n">
        <f aca="false">-(AF282+AF283+AF285)/2*Inputs!$D$60/12</f>
        <v>-1750</v>
      </c>
      <c r="AG267" s="65" t="n">
        <f aca="false">-(AG282+AG283+AG285)/2*Inputs!$D$60/12</f>
        <v>-1694.44444444445</v>
      </c>
      <c r="AH267" s="65" t="n">
        <f aca="false">-(AH282+AH283+AH285)/2*Inputs!$D$60/12</f>
        <v>-1638.88888888889</v>
      </c>
      <c r="AI267" s="65" t="n">
        <f aca="false">-(AI282+AI283+AI285)/2*Inputs!$D$60/12</f>
        <v>-1583.33333333334</v>
      </c>
      <c r="AJ267" s="65" t="n">
        <f aca="false">-(AJ282+AJ283+AJ285)/2*Inputs!$D$60/12</f>
        <v>-1527.77777777778</v>
      </c>
      <c r="AK267" s="65" t="n">
        <f aca="false">-(AK282+AK283+AK285)/2*Inputs!$D$60/12</f>
        <v>-1472.22222222223</v>
      </c>
      <c r="AL267" s="65" t="n">
        <f aca="false">-(AL282+AL283+AL285)/2*Inputs!$D$60/12</f>
        <v>-1416.66666666667</v>
      </c>
      <c r="AM267" s="65" t="n">
        <f aca="false">-(AM282+AM283+AM285)/2*Inputs!$D$60/12</f>
        <v>-1361.11111111111</v>
      </c>
      <c r="AN267" s="65" t="n">
        <f aca="false">-(AN282+AN283+AN285)/2*Inputs!$D$60/12</f>
        <v>-1305.55555555556</v>
      </c>
      <c r="AO267" s="65" t="n">
        <f aca="false">-(AO282+AO283+AO285)/2*Inputs!$D$60/12</f>
        <v>-1250</v>
      </c>
      <c r="AP267" s="65" t="n">
        <f aca="false">-(AP282+AP283+AP285)/2*Inputs!$D$60/12</f>
        <v>-1194.44444444445</v>
      </c>
      <c r="AQ267" s="65" t="n">
        <f aca="false">-(AQ282+AQ283+AQ285)/2*Inputs!$D$60/12</f>
        <v>-1138.88888888889</v>
      </c>
      <c r="AR267" s="65" t="n">
        <f aca="false">-(AR282+AR283+AR285)/2*Inputs!$D$60/12</f>
        <v>-1083.33333333334</v>
      </c>
      <c r="AS267" s="65" t="n">
        <f aca="false">-(AS282+AS283+AS285)/2*Inputs!$D$60/12</f>
        <v>-1027.77777777778</v>
      </c>
      <c r="AT267" s="65" t="n">
        <f aca="false">-(AT282+AT283+AT285)/2*Inputs!$D$60/12</f>
        <v>-972.222222222225</v>
      </c>
      <c r="AU267" s="65" t="n">
        <f aca="false">-(AU282+AU283+AU285)/2*Inputs!$D$60/12</f>
        <v>-916.666666666669</v>
      </c>
      <c r="AV267" s="65" t="n">
        <f aca="false">-(AV282+AV283+AV285)/2*Inputs!$D$60/12</f>
        <v>-861.111111111114</v>
      </c>
      <c r="AW267" s="65" t="n">
        <f aca="false">-(AW282+AW283+AW285)/2*Inputs!$D$60/12</f>
        <v>-805.555555555558</v>
      </c>
      <c r="AX267" s="65" t="n">
        <f aca="false">-(AX282+AX283+AX285)/2*Inputs!$D$60/12</f>
        <v>-750.000000000003</v>
      </c>
      <c r="AY267" s="65" t="n">
        <f aca="false">-(AY282+AY283+AY285)/2*Inputs!$D$60/12</f>
        <v>-694.444444444447</v>
      </c>
      <c r="AZ267" s="65" t="n">
        <f aca="false">-(AZ282+AZ283+AZ285)/2*Inputs!$D$60/12</f>
        <v>-638.888888888892</v>
      </c>
      <c r="BA267" s="65" t="n">
        <f aca="false">-(BA282+BA283+BA285)/2*Inputs!$D$60/12</f>
        <v>-583.333333333336</v>
      </c>
      <c r="BB267" s="65" t="n">
        <f aca="false">-(BB282+BB283+BB285)/2*Inputs!$D$60/12</f>
        <v>-527.777777777781</v>
      </c>
      <c r="BC267" s="65" t="n">
        <f aca="false">-(BC282+BC283+BC285)/2*Inputs!$D$60/12</f>
        <v>-472.222222222225</v>
      </c>
      <c r="BD267" s="65" t="n">
        <f aca="false">-(BD282+BD283+BD285)/2*Inputs!$D$60/12</f>
        <v>-416.666666666669</v>
      </c>
      <c r="BE267" s="65" t="n">
        <f aca="false">-(BE282+BE283+BE285)/2*Inputs!$D$60/12</f>
        <v>-361.111111111114</v>
      </c>
      <c r="BF267" s="65" t="n">
        <f aca="false">-(BF282+BF283+BF285)/2*Inputs!$D$60/12</f>
        <v>-305.555555555558</v>
      </c>
      <c r="BG267" s="65" t="n">
        <f aca="false">-(BG282+BG283+BG285)/2*Inputs!$D$60/12</f>
        <v>-250.000000000003</v>
      </c>
      <c r="BH267" s="65" t="n">
        <f aca="false">-(BH282+BH283+BH285)/2*Inputs!$D$60/12</f>
        <v>-194.444444444447</v>
      </c>
      <c r="BI267" s="65" t="n">
        <f aca="false">-(BI282+BI283+BI285)/2*Inputs!$D$60/12</f>
        <v>-138.888888888892</v>
      </c>
      <c r="BJ267" s="65" t="n">
        <f aca="false">-(BJ282+BJ283+BJ285)/2*Inputs!$D$60/12</f>
        <v>-83.3333333333361</v>
      </c>
    </row>
    <row r="268" customFormat="false" ht="15" hidden="false" customHeight="false" outlineLevel="0" collapsed="false">
      <c r="A268" s="110" t="s">
        <v>81</v>
      </c>
      <c r="C268" s="66" t="n">
        <f aca="false">C266+C267</f>
        <v>168087.684169697</v>
      </c>
      <c r="D268" s="66" t="n">
        <f aca="false">D266+D267</f>
        <v>168115.461947475</v>
      </c>
      <c r="E268" s="66" t="n">
        <f aca="false">E266+E267</f>
        <v>168171.01750303</v>
      </c>
      <c r="F268" s="66" t="n">
        <f aca="false">F266+F267</f>
        <v>168226.573058586</v>
      </c>
      <c r="G268" s="66" t="n">
        <f aca="false">G266+G267</f>
        <v>168282.128614141</v>
      </c>
      <c r="H268" s="66" t="n">
        <f aca="false">H266+H267</f>
        <v>168337.684169697</v>
      </c>
      <c r="I268" s="66" t="n">
        <f aca="false">I266+I267</f>
        <v>168393.239725252</v>
      </c>
      <c r="J268" s="66" t="n">
        <f aca="false">J266+J267</f>
        <v>168448.795280808</v>
      </c>
      <c r="K268" s="66" t="n">
        <f aca="false">K266+K267</f>
        <v>168504.350836364</v>
      </c>
      <c r="L268" s="66" t="n">
        <f aca="false">L266+L267</f>
        <v>168559.906391919</v>
      </c>
      <c r="M268" s="66" t="n">
        <f aca="false">M266+M267</f>
        <v>252086.818747475</v>
      </c>
      <c r="N268" s="66" t="n">
        <f aca="false">N266+N267</f>
        <v>252142.37430303</v>
      </c>
      <c r="O268" s="66" t="n">
        <f aca="false">O266+O267</f>
        <v>265451.771333041</v>
      </c>
      <c r="P268" s="66" t="n">
        <f aca="false">P266+P267</f>
        <v>265507.326888597</v>
      </c>
      <c r="Q268" s="66" t="n">
        <f aca="false">Q266+Q267</f>
        <v>265562.882444153</v>
      </c>
      <c r="R268" s="66" t="n">
        <f aca="false">R266+R267</f>
        <v>265618.437999708</v>
      </c>
      <c r="S268" s="66" t="n">
        <f aca="false">S266+S267</f>
        <v>265673.993555264</v>
      </c>
      <c r="T268" s="66" t="n">
        <f aca="false">T266+T267</f>
        <v>265729.549110819</v>
      </c>
      <c r="U268" s="66" t="n">
        <f aca="false">U266+U267</f>
        <v>265785.104666375</v>
      </c>
      <c r="V268" s="66" t="n">
        <f aca="false">V266+V267</f>
        <v>265840.66022193</v>
      </c>
      <c r="W268" s="66" t="n">
        <f aca="false">W266+W267</f>
        <v>265896.215777486</v>
      </c>
      <c r="X268" s="66" t="n">
        <f aca="false">X266+X267</f>
        <v>265951.771333041</v>
      </c>
      <c r="Y268" s="66" t="n">
        <f aca="false">Y266+Y267</f>
        <v>390421.363189397</v>
      </c>
      <c r="Z268" s="66" t="n">
        <f aca="false">Z266+Z267</f>
        <v>390476.918744952</v>
      </c>
      <c r="AA268" s="66" t="n">
        <f aca="false">AA266+AA267</f>
        <v>400278.096897745</v>
      </c>
      <c r="AB268" s="66" t="n">
        <f aca="false">AB266+AB267</f>
        <v>400333.6524533</v>
      </c>
      <c r="AC268" s="66" t="n">
        <f aca="false">AC266+AC267</f>
        <v>400389.208008856</v>
      </c>
      <c r="AD268" s="66" t="n">
        <f aca="false">AD266+AD267</f>
        <v>400444.763564411</v>
      </c>
      <c r="AE268" s="66" t="n">
        <f aca="false">AE266+AE267</f>
        <v>400500.319119967</v>
      </c>
      <c r="AF268" s="66" t="n">
        <f aca="false">AF266+AF267</f>
        <v>400555.874675522</v>
      </c>
      <c r="AG268" s="66" t="n">
        <f aca="false">AG266+AG267</f>
        <v>400611.430231078</v>
      </c>
      <c r="AH268" s="66" t="n">
        <f aca="false">AH266+AH267</f>
        <v>400666.985786633</v>
      </c>
      <c r="AI268" s="66" t="n">
        <f aca="false">AI266+AI267</f>
        <v>400722.541342189</v>
      </c>
      <c r="AJ268" s="66" t="n">
        <f aca="false">AJ266+AJ267</f>
        <v>400778.096897744</v>
      </c>
      <c r="AK268" s="66" t="n">
        <f aca="false">AK266+AK267</f>
        <v>580528.169819265</v>
      </c>
      <c r="AL268" s="66" t="n">
        <f aca="false">AL266+AL267</f>
        <v>580583.72537482</v>
      </c>
      <c r="AM268" s="66" t="n">
        <f aca="false">AM266+AM267</f>
        <v>588827.493295208</v>
      </c>
      <c r="AN268" s="66" t="n">
        <f aca="false">AN266+AN267</f>
        <v>588883.048850763</v>
      </c>
      <c r="AO268" s="66" t="n">
        <f aca="false">AO266+AO267</f>
        <v>588938.604406319</v>
      </c>
      <c r="AP268" s="66" t="n">
        <f aca="false">AP266+AP267</f>
        <v>588994.159961874</v>
      </c>
      <c r="AQ268" s="66" t="n">
        <f aca="false">AQ266+AQ267</f>
        <v>589049.71551743</v>
      </c>
      <c r="AR268" s="66" t="n">
        <f aca="false">AR266+AR267</f>
        <v>589105.271072985</v>
      </c>
      <c r="AS268" s="66" t="n">
        <f aca="false">AS266+AS267</f>
        <v>589160.826628541</v>
      </c>
      <c r="AT268" s="66" t="n">
        <f aca="false">AT266+AT267</f>
        <v>589216.382184097</v>
      </c>
      <c r="AU268" s="66" t="n">
        <f aca="false">AU266+AU267</f>
        <v>589271.937739652</v>
      </c>
      <c r="AV268" s="66" t="n">
        <f aca="false">AV266+AV267</f>
        <v>589327.493295208</v>
      </c>
      <c r="AW268" s="66" t="n">
        <f aca="false">AW266+AW267</f>
        <v>844964.649352248</v>
      </c>
      <c r="AX268" s="66" t="n">
        <f aca="false">AX266+AX267</f>
        <v>845020.204907803</v>
      </c>
      <c r="AY268" s="66" t="n">
        <f aca="false">AY266+AY267</f>
        <v>854822.72033812</v>
      </c>
      <c r="AZ268" s="66" t="n">
        <f aca="false">AZ266+AZ267</f>
        <v>854878.275893675</v>
      </c>
      <c r="BA268" s="66" t="n">
        <f aca="false">BA266+BA267</f>
        <v>854933.831449231</v>
      </c>
      <c r="BB268" s="66" t="n">
        <f aca="false">BB266+BB267</f>
        <v>854989.387004787</v>
      </c>
      <c r="BC268" s="66" t="n">
        <f aca="false">BC266+BC267</f>
        <v>855044.942560342</v>
      </c>
      <c r="BD268" s="66" t="n">
        <f aca="false">BD266+BD267</f>
        <v>855100.498115898</v>
      </c>
      <c r="BE268" s="66" t="n">
        <f aca="false">BE266+BE267</f>
        <v>855156.053671453</v>
      </c>
      <c r="BF268" s="66" t="n">
        <f aca="false">BF266+BF267</f>
        <v>855211.609227009</v>
      </c>
      <c r="BG268" s="66" t="n">
        <f aca="false">BG266+BG267</f>
        <v>855267.164782564</v>
      </c>
      <c r="BH268" s="66" t="n">
        <f aca="false">BH266+BH267</f>
        <v>855322.72033812</v>
      </c>
      <c r="BI268" s="66" t="n">
        <f aca="false">BI266+BI267</f>
        <v>1216599.10163401</v>
      </c>
      <c r="BJ268" s="66" t="n">
        <f aca="false">BJ266+BJ267</f>
        <v>1216654.65718957</v>
      </c>
    </row>
    <row r="269" customFormat="false" ht="15" hidden="false" customHeight="false" outlineLevel="0" collapsed="false">
      <c r="A269" s="117" t="s">
        <v>420</v>
      </c>
      <c r="C269" s="65" t="n">
        <f aca="false">C268</f>
        <v>168087.684169697</v>
      </c>
      <c r="D269" s="65" t="n">
        <f aca="false">C269+D268</f>
        <v>336203.146117172</v>
      </c>
      <c r="E269" s="65" t="n">
        <f aca="false">D269+E268</f>
        <v>504374.163620202</v>
      </c>
      <c r="F269" s="65" t="n">
        <f aca="false">E269+F268</f>
        <v>672600.736678788</v>
      </c>
      <c r="G269" s="65" t="n">
        <f aca="false">F269+G268</f>
        <v>840882.865292929</v>
      </c>
      <c r="H269" s="65" t="n">
        <f aca="false">G269+H268</f>
        <v>1009220.54946263</v>
      </c>
      <c r="I269" s="65" t="n">
        <f aca="false">H269+I268</f>
        <v>1177613.78918788</v>
      </c>
      <c r="J269" s="65" t="n">
        <f aca="false">I269+J268</f>
        <v>1346062.58446869</v>
      </c>
      <c r="K269" s="65" t="n">
        <f aca="false">J269+K268</f>
        <v>1514566.93530505</v>
      </c>
      <c r="L269" s="65" t="n">
        <f aca="false">K269+L268</f>
        <v>1683126.84169697</v>
      </c>
      <c r="M269" s="65" t="n">
        <f aca="false">L269+M268</f>
        <v>1935213.66044444</v>
      </c>
      <c r="N269" s="65" t="n">
        <f aca="false">M269+N268</f>
        <v>2187356.03474747</v>
      </c>
      <c r="O269" s="65" t="n">
        <f aca="false">N269+O268</f>
        <v>2452807.80608052</v>
      </c>
      <c r="P269" s="65" t="n">
        <f aca="false">O269+P268</f>
        <v>2718315.13296911</v>
      </c>
      <c r="Q269" s="65" t="n">
        <f aca="false">P269+Q268</f>
        <v>2983878.01541326</v>
      </c>
      <c r="R269" s="65" t="n">
        <f aca="false">Q269+R268</f>
        <v>3249496.45341297</v>
      </c>
      <c r="S269" s="65" t="n">
        <f aca="false">R269+S268</f>
        <v>3515170.44696824</v>
      </c>
      <c r="T269" s="65" t="n">
        <f aca="false">S269+T268</f>
        <v>3780899.99607906</v>
      </c>
      <c r="U269" s="65" t="n">
        <f aca="false">T269+U268</f>
        <v>4046685.10074543</v>
      </c>
      <c r="V269" s="65" t="n">
        <f aca="false">U269+V268</f>
        <v>4312525.76096736</v>
      </c>
      <c r="W269" s="65" t="n">
        <f aca="false">V269+W268</f>
        <v>4578421.97674485</v>
      </c>
      <c r="X269" s="65" t="n">
        <f aca="false">W269+X268</f>
        <v>4844373.74807789</v>
      </c>
      <c r="Y269" s="65" t="n">
        <f aca="false">X269+Y268</f>
        <v>5234795.11126728</v>
      </c>
      <c r="Z269" s="65" t="n">
        <f aca="false">Y269+Z268</f>
        <v>5625272.03001224</v>
      </c>
      <c r="AA269" s="65" t="n">
        <f aca="false">Z269+AA268</f>
        <v>6025550.12690998</v>
      </c>
      <c r="AB269" s="65" t="n">
        <f aca="false">AA269+AB268</f>
        <v>6425883.77936328</v>
      </c>
      <c r="AC269" s="65" t="n">
        <f aca="false">AB269+AC268</f>
        <v>6826272.98737214</v>
      </c>
      <c r="AD269" s="65" t="n">
        <f aca="false">AC269+AD268</f>
        <v>7226717.75093655</v>
      </c>
      <c r="AE269" s="65" t="n">
        <f aca="false">AD269+AE268</f>
        <v>7627218.07005652</v>
      </c>
      <c r="AF269" s="65" t="n">
        <f aca="false">AE269+AF268</f>
        <v>8027773.94473204</v>
      </c>
      <c r="AG269" s="65" t="n">
        <f aca="false">AF269+AG268</f>
        <v>8428385.37496312</v>
      </c>
      <c r="AH269" s="65" t="n">
        <f aca="false">AG269+AH268</f>
        <v>8829052.36074975</v>
      </c>
      <c r="AI269" s="65" t="n">
        <f aca="false">AH269+AI268</f>
        <v>9229774.90209194</v>
      </c>
      <c r="AJ269" s="65" t="n">
        <f aca="false">AI269+AJ268</f>
        <v>9630552.99898968</v>
      </c>
      <c r="AK269" s="65" t="n">
        <f aca="false">AJ269+AK268</f>
        <v>10211081.1688089</v>
      </c>
      <c r="AL269" s="65" t="n">
        <f aca="false">AK269+AL268</f>
        <v>10791664.8941838</v>
      </c>
      <c r="AM269" s="65" t="n">
        <f aca="false">AL269+AM268</f>
        <v>11380492.387479</v>
      </c>
      <c r="AN269" s="65" t="n">
        <f aca="false">AM269+AN268</f>
        <v>11969375.4363297</v>
      </c>
      <c r="AO269" s="65" t="n">
        <f aca="false">AN269+AO268</f>
        <v>12558314.0407361</v>
      </c>
      <c r="AP269" s="65" t="n">
        <f aca="false">AO269+AP268</f>
        <v>13147308.2006979</v>
      </c>
      <c r="AQ269" s="65" t="n">
        <f aca="false">AP269+AQ268</f>
        <v>13736357.9162154</v>
      </c>
      <c r="AR269" s="65" t="n">
        <f aca="false">AQ269+AR268</f>
        <v>14325463.1872883</v>
      </c>
      <c r="AS269" s="65" t="n">
        <f aca="false">AR269+AS268</f>
        <v>14914624.0139169</v>
      </c>
      <c r="AT269" s="65" t="n">
        <f aca="false">AS269+AT268</f>
        <v>15503840.396101</v>
      </c>
      <c r="AU269" s="65" t="n">
        <f aca="false">AT269+AU268</f>
        <v>16093112.3338406</v>
      </c>
      <c r="AV269" s="65" t="n">
        <f aca="false">AU269+AV268</f>
        <v>16682439.8271358</v>
      </c>
      <c r="AW269" s="65" t="n">
        <f aca="false">AV269+AW268</f>
        <v>17527404.4764881</v>
      </c>
      <c r="AX269" s="65" t="n">
        <f aca="false">AW269+AX268</f>
        <v>18372424.6813959</v>
      </c>
      <c r="AY269" s="65" t="n">
        <f aca="false">AX269+AY268</f>
        <v>19227247.401734</v>
      </c>
      <c r="AZ269" s="65" t="n">
        <f aca="false">AY269+AZ268</f>
        <v>20082125.6776277</v>
      </c>
      <c r="BA269" s="65" t="n">
        <f aca="false">AZ269+BA268</f>
        <v>20937059.5090769</v>
      </c>
      <c r="BB269" s="65" t="n">
        <f aca="false">BA269+BB268</f>
        <v>21792048.8960817</v>
      </c>
      <c r="BC269" s="65" t="n">
        <f aca="false">BB269+BC268</f>
        <v>22647093.8386421</v>
      </c>
      <c r="BD269" s="65" t="n">
        <f aca="false">BC269+BD268</f>
        <v>23502194.3367579</v>
      </c>
      <c r="BE269" s="65" t="n">
        <f aca="false">BD269+BE268</f>
        <v>24357350.3904294</v>
      </c>
      <c r="BF269" s="65" t="n">
        <f aca="false">BE269+BF268</f>
        <v>25212561.9996564</v>
      </c>
      <c r="BG269" s="65" t="n">
        <f aca="false">BF269+BG268</f>
        <v>26067829.164439</v>
      </c>
      <c r="BH269" s="65" t="n">
        <f aca="false">BG269+BH268</f>
        <v>26923151.8847771</v>
      </c>
      <c r="BI269" s="65" t="n">
        <f aca="false">BH269+BI268</f>
        <v>28139750.9864111</v>
      </c>
      <c r="BJ269" s="65" t="n">
        <f aca="false">BI269+BJ268</f>
        <v>29356405.6436007</v>
      </c>
    </row>
    <row r="270" customFormat="false" ht="15" hidden="false" customHeight="false" outlineLevel="0" collapsed="false">
      <c r="A270" s="117" t="s">
        <v>421</v>
      </c>
      <c r="C270" s="65" t="n">
        <f aca="false">MAX(0,C269)</f>
        <v>168087.684169697</v>
      </c>
      <c r="D270" s="65" t="n">
        <f aca="false">MAX(C270,D269)</f>
        <v>336203.146117172</v>
      </c>
      <c r="E270" s="65" t="n">
        <f aca="false">MAX(D270,E269)</f>
        <v>504374.163620202</v>
      </c>
      <c r="F270" s="65" t="n">
        <f aca="false">MAX(E270,F269)</f>
        <v>672600.736678788</v>
      </c>
      <c r="G270" s="65" t="n">
        <f aca="false">MAX(F270,G269)</f>
        <v>840882.865292929</v>
      </c>
      <c r="H270" s="65" t="n">
        <f aca="false">MAX(G270,H269)</f>
        <v>1009220.54946263</v>
      </c>
      <c r="I270" s="65" t="n">
        <f aca="false">MAX(H270,I269)</f>
        <v>1177613.78918788</v>
      </c>
      <c r="J270" s="65" t="n">
        <f aca="false">MAX(I270,J269)</f>
        <v>1346062.58446869</v>
      </c>
      <c r="K270" s="65" t="n">
        <f aca="false">MAX(J270,K269)</f>
        <v>1514566.93530505</v>
      </c>
      <c r="L270" s="65" t="n">
        <f aca="false">MAX(K270,L269)</f>
        <v>1683126.84169697</v>
      </c>
      <c r="M270" s="65" t="n">
        <f aca="false">MAX(L270,M269)</f>
        <v>1935213.66044444</v>
      </c>
      <c r="N270" s="65" t="n">
        <f aca="false">MAX(M270,N269)</f>
        <v>2187356.03474747</v>
      </c>
      <c r="O270" s="65" t="n">
        <f aca="false">MAX(N270,O269)</f>
        <v>2452807.80608052</v>
      </c>
      <c r="P270" s="65" t="n">
        <f aca="false">MAX(O270,P269)</f>
        <v>2718315.13296911</v>
      </c>
      <c r="Q270" s="65" t="n">
        <f aca="false">MAX(P270,Q269)</f>
        <v>2983878.01541326</v>
      </c>
      <c r="R270" s="65" t="n">
        <f aca="false">MAX(Q270,R269)</f>
        <v>3249496.45341297</v>
      </c>
      <c r="S270" s="65" t="n">
        <f aca="false">MAX(R270,S269)</f>
        <v>3515170.44696824</v>
      </c>
      <c r="T270" s="65" t="n">
        <f aca="false">MAX(S270,T269)</f>
        <v>3780899.99607906</v>
      </c>
      <c r="U270" s="65" t="n">
        <f aca="false">MAX(T270,U269)</f>
        <v>4046685.10074543</v>
      </c>
      <c r="V270" s="65" t="n">
        <f aca="false">MAX(U270,V269)</f>
        <v>4312525.76096736</v>
      </c>
      <c r="W270" s="65" t="n">
        <f aca="false">MAX(V270,W269)</f>
        <v>4578421.97674485</v>
      </c>
      <c r="X270" s="65" t="n">
        <f aca="false">MAX(W270,X269)</f>
        <v>4844373.74807789</v>
      </c>
      <c r="Y270" s="65" t="n">
        <f aca="false">MAX(X270,Y269)</f>
        <v>5234795.11126728</v>
      </c>
      <c r="Z270" s="65" t="n">
        <f aca="false">MAX(Y270,Z269)</f>
        <v>5625272.03001224</v>
      </c>
      <c r="AA270" s="65" t="n">
        <f aca="false">MAX(Z270,AA269)</f>
        <v>6025550.12690998</v>
      </c>
      <c r="AB270" s="65" t="n">
        <f aca="false">MAX(AA270,AB269)</f>
        <v>6425883.77936328</v>
      </c>
      <c r="AC270" s="65" t="n">
        <f aca="false">MAX(AB270,AC269)</f>
        <v>6826272.98737214</v>
      </c>
      <c r="AD270" s="65" t="n">
        <f aca="false">MAX(AC270,AD269)</f>
        <v>7226717.75093655</v>
      </c>
      <c r="AE270" s="65" t="n">
        <f aca="false">MAX(AD270,AE269)</f>
        <v>7627218.07005652</v>
      </c>
      <c r="AF270" s="65" t="n">
        <f aca="false">MAX(AE270,AF269)</f>
        <v>8027773.94473204</v>
      </c>
      <c r="AG270" s="65" t="n">
        <f aca="false">MAX(AF270,AG269)</f>
        <v>8428385.37496312</v>
      </c>
      <c r="AH270" s="65" t="n">
        <f aca="false">MAX(AG270,AH269)</f>
        <v>8829052.36074975</v>
      </c>
      <c r="AI270" s="65" t="n">
        <f aca="false">MAX(AH270,AI269)</f>
        <v>9229774.90209194</v>
      </c>
      <c r="AJ270" s="65" t="n">
        <f aca="false">MAX(AI270,AJ269)</f>
        <v>9630552.99898968</v>
      </c>
      <c r="AK270" s="65" t="n">
        <f aca="false">MAX(AJ270,AK269)</f>
        <v>10211081.1688089</v>
      </c>
      <c r="AL270" s="65" t="n">
        <f aca="false">MAX(AK270,AL269)</f>
        <v>10791664.8941838</v>
      </c>
      <c r="AM270" s="65" t="n">
        <f aca="false">MAX(AL270,AM269)</f>
        <v>11380492.387479</v>
      </c>
      <c r="AN270" s="65" t="n">
        <f aca="false">MAX(AM270,AN269)</f>
        <v>11969375.4363297</v>
      </c>
      <c r="AO270" s="65" t="n">
        <f aca="false">MAX(AN270,AO269)</f>
        <v>12558314.0407361</v>
      </c>
      <c r="AP270" s="65" t="n">
        <f aca="false">MAX(AO270,AP269)</f>
        <v>13147308.2006979</v>
      </c>
      <c r="AQ270" s="65" t="n">
        <f aca="false">MAX(AP270,AQ269)</f>
        <v>13736357.9162154</v>
      </c>
      <c r="AR270" s="65" t="n">
        <f aca="false">MAX(AQ270,AR269)</f>
        <v>14325463.1872883</v>
      </c>
      <c r="AS270" s="65" t="n">
        <f aca="false">MAX(AR270,AS269)</f>
        <v>14914624.0139169</v>
      </c>
      <c r="AT270" s="65" t="n">
        <f aca="false">MAX(AS270,AT269)</f>
        <v>15503840.396101</v>
      </c>
      <c r="AU270" s="65" t="n">
        <f aca="false">MAX(AT270,AU269)</f>
        <v>16093112.3338406</v>
      </c>
      <c r="AV270" s="65" t="n">
        <f aca="false">MAX(AU270,AV269)</f>
        <v>16682439.8271358</v>
      </c>
      <c r="AW270" s="65" t="n">
        <f aca="false">MAX(AV270,AW269)</f>
        <v>17527404.4764881</v>
      </c>
      <c r="AX270" s="65" t="n">
        <f aca="false">MAX(AW270,AX269)</f>
        <v>18372424.6813959</v>
      </c>
      <c r="AY270" s="65" t="n">
        <f aca="false">MAX(AX270,AY269)</f>
        <v>19227247.401734</v>
      </c>
      <c r="AZ270" s="65" t="n">
        <f aca="false">MAX(AY270,AZ269)</f>
        <v>20082125.6776277</v>
      </c>
      <c r="BA270" s="65" t="n">
        <f aca="false">MAX(AZ270,BA269)</f>
        <v>20937059.5090769</v>
      </c>
      <c r="BB270" s="65" t="n">
        <f aca="false">MAX(BA270,BB269)</f>
        <v>21792048.8960817</v>
      </c>
      <c r="BC270" s="65" t="n">
        <f aca="false">MAX(BB270,BC269)</f>
        <v>22647093.8386421</v>
      </c>
      <c r="BD270" s="65" t="n">
        <f aca="false">MAX(BC270,BD269)</f>
        <v>23502194.3367579</v>
      </c>
      <c r="BE270" s="65" t="n">
        <f aca="false">MAX(BD270,BE269)</f>
        <v>24357350.3904294</v>
      </c>
      <c r="BF270" s="65" t="n">
        <f aca="false">MAX(BE270,BF269)</f>
        <v>25212561.9996564</v>
      </c>
      <c r="BG270" s="65" t="n">
        <f aca="false">MAX(BF270,BG269)</f>
        <v>26067829.164439</v>
      </c>
      <c r="BH270" s="65" t="n">
        <f aca="false">MAX(BG270,BH269)</f>
        <v>26923151.8847771</v>
      </c>
      <c r="BI270" s="65" t="n">
        <f aca="false">MAX(BH270,BI269)</f>
        <v>28139750.9864111</v>
      </c>
      <c r="BJ270" s="65" t="n">
        <f aca="false">MAX(BI270,BJ269)</f>
        <v>29356405.6436007</v>
      </c>
    </row>
    <row r="271" customFormat="false" ht="15" hidden="false" customHeight="false" outlineLevel="0" collapsed="false">
      <c r="A271" s="6" t="s">
        <v>82</v>
      </c>
      <c r="C271" s="65" t="n">
        <f aca="false">-C270*Inputs!$D$70</f>
        <v>-35298.4136756363</v>
      </c>
      <c r="D271" s="65" t="n">
        <f aca="false">-(D270-C270)*Inputs!$D$70</f>
        <v>-35304.2470089697</v>
      </c>
      <c r="E271" s="65" t="n">
        <f aca="false">-(E270-D270)*Inputs!$D$70</f>
        <v>-35315.9136756364</v>
      </c>
      <c r="F271" s="65" t="n">
        <f aca="false">-(F270-E270)*Inputs!$D$70</f>
        <v>-35327.580342303</v>
      </c>
      <c r="G271" s="65" t="n">
        <f aca="false">-(G270-F270)*Inputs!$D$70</f>
        <v>-35339.2470089697</v>
      </c>
      <c r="H271" s="65" t="n">
        <f aca="false">-(H270-G270)*Inputs!$D$70</f>
        <v>-35350.9136756363</v>
      </c>
      <c r="I271" s="65" t="n">
        <f aca="false">-(I270-H270)*Inputs!$D$70</f>
        <v>-35362.580342303</v>
      </c>
      <c r="J271" s="65" t="n">
        <f aca="false">-(J270-I270)*Inputs!$D$70</f>
        <v>-35374.2470089697</v>
      </c>
      <c r="K271" s="65" t="n">
        <f aca="false">-(K270-J270)*Inputs!$D$70</f>
        <v>-35385.9136756364</v>
      </c>
      <c r="L271" s="65" t="n">
        <f aca="false">-(L270-K270)*Inputs!$D$70</f>
        <v>-35397.580342303</v>
      </c>
      <c r="M271" s="65" t="n">
        <f aca="false">-(M270-L270)*Inputs!$D$70</f>
        <v>-52938.2319369697</v>
      </c>
      <c r="N271" s="65" t="n">
        <f aca="false">-(N270-M270)*Inputs!$D$70</f>
        <v>-52949.8986036363</v>
      </c>
      <c r="O271" s="65" t="n">
        <f aca="false">-(O270-N270)*Inputs!$D$70</f>
        <v>-55744.8719799387</v>
      </c>
      <c r="P271" s="65" t="n">
        <f aca="false">-(P270-O270)*Inputs!$D$70</f>
        <v>-55756.5386466054</v>
      </c>
      <c r="Q271" s="65" t="n">
        <f aca="false">-(Q270-P270)*Inputs!$D$70</f>
        <v>-55768.2053132721</v>
      </c>
      <c r="R271" s="65" t="n">
        <f aca="false">-(R270-Q270)*Inputs!$D$70</f>
        <v>-55779.8719799387</v>
      </c>
      <c r="S271" s="65" t="n">
        <f aca="false">-(S270-R270)*Inputs!$D$70</f>
        <v>-55791.5386466054</v>
      </c>
      <c r="T271" s="65" t="n">
        <f aca="false">-(T270-S270)*Inputs!$D$70</f>
        <v>-55803.205313272</v>
      </c>
      <c r="U271" s="65" t="n">
        <f aca="false">-(U270-T270)*Inputs!$D$70</f>
        <v>-55814.8719799387</v>
      </c>
      <c r="V271" s="65" t="n">
        <f aca="false">-(V270-U270)*Inputs!$D$70</f>
        <v>-55826.5386466054</v>
      </c>
      <c r="W271" s="65" t="n">
        <f aca="false">-(W270-V270)*Inputs!$D$70</f>
        <v>-55838.205313272</v>
      </c>
      <c r="X271" s="65" t="n">
        <f aca="false">-(X270-W270)*Inputs!$D$70</f>
        <v>-55849.8719799387</v>
      </c>
      <c r="Y271" s="65" t="n">
        <f aca="false">-(Y270-X270)*Inputs!$D$70</f>
        <v>-81988.4862697733</v>
      </c>
      <c r="Z271" s="65" t="n">
        <f aca="false">-(Z270-Y270)*Inputs!$D$70</f>
        <v>-82000.15293644</v>
      </c>
      <c r="AA271" s="65" t="n">
        <f aca="false">-(AA270-Z270)*Inputs!$D$70</f>
        <v>-84058.4003485264</v>
      </c>
      <c r="AB271" s="65" t="n">
        <f aca="false">-(AB270-AA270)*Inputs!$D$70</f>
        <v>-84070.0670151929</v>
      </c>
      <c r="AC271" s="65" t="n">
        <f aca="false">-(AC270-AB270)*Inputs!$D$70</f>
        <v>-84081.7336818597</v>
      </c>
      <c r="AD271" s="65" t="n">
        <f aca="false">-(AD270-AC270)*Inputs!$D$70</f>
        <v>-84093.4003485264</v>
      </c>
      <c r="AE271" s="65" t="n">
        <f aca="false">-(AE270-AD270)*Inputs!$D$70</f>
        <v>-84105.067015193</v>
      </c>
      <c r="AF271" s="65" t="n">
        <f aca="false">-(AF270-AE270)*Inputs!$D$70</f>
        <v>-84116.7336818597</v>
      </c>
      <c r="AG271" s="65" t="n">
        <f aca="false">-(AG270-AF270)*Inputs!$D$70</f>
        <v>-84128.4003485265</v>
      </c>
      <c r="AH271" s="65" t="n">
        <f aca="false">-(AH270-AG270)*Inputs!$D$70</f>
        <v>-84140.067015193</v>
      </c>
      <c r="AI271" s="65" t="n">
        <f aca="false">-(AI270-AH270)*Inputs!$D$70</f>
        <v>-84151.7336818598</v>
      </c>
      <c r="AJ271" s="65" t="n">
        <f aca="false">-(AJ270-AI270)*Inputs!$D$70</f>
        <v>-84163.4003485262</v>
      </c>
      <c r="AK271" s="65" t="n">
        <f aca="false">-(AK270-AJ270)*Inputs!$D$70</f>
        <v>-121910.915662046</v>
      </c>
      <c r="AL271" s="65" t="n">
        <f aca="false">-(AL270-AK270)*Inputs!$D$70</f>
        <v>-121922.582328712</v>
      </c>
      <c r="AM271" s="65" t="n">
        <f aca="false">-(AM270-AL270)*Inputs!$D$70</f>
        <v>-123653.773591994</v>
      </c>
      <c r="AN271" s="65" t="n">
        <f aca="false">-(AN270-AM270)*Inputs!$D$70</f>
        <v>-123665.44025866</v>
      </c>
      <c r="AO271" s="65" t="n">
        <f aca="false">-(AO270-AN270)*Inputs!$D$70</f>
        <v>-123677.106925327</v>
      </c>
      <c r="AP271" s="65" t="n">
        <f aca="false">-(AP270-AO270)*Inputs!$D$70</f>
        <v>-123688.773591993</v>
      </c>
      <c r="AQ271" s="65" t="n">
        <f aca="false">-(AQ270-AP270)*Inputs!$D$70</f>
        <v>-123700.44025866</v>
      </c>
      <c r="AR271" s="65" t="n">
        <f aca="false">-(AR270-AQ270)*Inputs!$D$70</f>
        <v>-123712.106925327</v>
      </c>
      <c r="AS271" s="65" t="n">
        <f aca="false">-(AS270-AR270)*Inputs!$D$70</f>
        <v>-123723.773591994</v>
      </c>
      <c r="AT271" s="65" t="n">
        <f aca="false">-(AT270-AS270)*Inputs!$D$70</f>
        <v>-123735.44025866</v>
      </c>
      <c r="AU271" s="65" t="n">
        <f aca="false">-(AU270-AT270)*Inputs!$D$70</f>
        <v>-123747.106925327</v>
      </c>
      <c r="AV271" s="65" t="n">
        <f aca="false">-(AV270-AU270)*Inputs!$D$70</f>
        <v>-123758.773591994</v>
      </c>
      <c r="AW271" s="65" t="n">
        <f aca="false">-(AW270-AV270)*Inputs!$D$70</f>
        <v>-177442.576363972</v>
      </c>
      <c r="AX271" s="65" t="n">
        <f aca="false">-(AX270-AW270)*Inputs!$D$70</f>
        <v>-177454.243030639</v>
      </c>
      <c r="AY271" s="65" t="n">
        <f aca="false">-(AY270-AX270)*Inputs!$D$70</f>
        <v>-179512.771271005</v>
      </c>
      <c r="AZ271" s="65" t="n">
        <f aca="false">-(AZ270-AY270)*Inputs!$D$70</f>
        <v>-179524.437937672</v>
      </c>
      <c r="BA271" s="65" t="n">
        <f aca="false">-(BA270-AZ270)*Inputs!$D$70</f>
        <v>-179536.104604338</v>
      </c>
      <c r="BB271" s="65" t="n">
        <f aca="false">-(BB270-BA270)*Inputs!$D$70</f>
        <v>-179547.771271005</v>
      </c>
      <c r="BC271" s="65" t="n">
        <f aca="false">-(BC270-BB270)*Inputs!$D$70</f>
        <v>-179559.437937672</v>
      </c>
      <c r="BD271" s="65" t="n">
        <f aca="false">-(BD270-BC270)*Inputs!$D$70</f>
        <v>-179571.104604338</v>
      </c>
      <c r="BE271" s="65" t="n">
        <f aca="false">-(BE270-BD270)*Inputs!$D$70</f>
        <v>-179582.771271005</v>
      </c>
      <c r="BF271" s="65" t="n">
        <f aca="false">-(BF270-BE270)*Inputs!$D$70</f>
        <v>-179594.437937672</v>
      </c>
      <c r="BG271" s="65" t="n">
        <f aca="false">-(BG270-BF270)*Inputs!$D$70</f>
        <v>-179606.104604339</v>
      </c>
      <c r="BH271" s="65" t="n">
        <f aca="false">-(BH270-BG270)*Inputs!$D$70</f>
        <v>-179617.771271005</v>
      </c>
      <c r="BI271" s="65" t="n">
        <f aca="false">-(BI270-BH270)*Inputs!$D$70</f>
        <v>-255485.811343143</v>
      </c>
      <c r="BJ271" s="65" t="n">
        <f aca="false">-(BJ270-BI270)*Inputs!$D$70</f>
        <v>-255497.47800981</v>
      </c>
    </row>
    <row r="272" customFormat="false" ht="15" hidden="false" customHeight="false" outlineLevel="0" collapsed="false">
      <c r="A272" s="110" t="s">
        <v>50</v>
      </c>
      <c r="C272" s="66" t="n">
        <f aca="false">C268+C271</f>
        <v>132789.270494061</v>
      </c>
      <c r="D272" s="66" t="n">
        <f aca="false">D268+D271</f>
        <v>132811.214938505</v>
      </c>
      <c r="E272" s="66" t="n">
        <f aca="false">E268+E271</f>
        <v>132855.103827394</v>
      </c>
      <c r="F272" s="66" t="n">
        <f aca="false">F268+F271</f>
        <v>132898.992716283</v>
      </c>
      <c r="G272" s="66" t="n">
        <f aca="false">G268+G271</f>
        <v>132942.881605172</v>
      </c>
      <c r="H272" s="66" t="n">
        <f aca="false">H268+H271</f>
        <v>132986.770494061</v>
      </c>
      <c r="I272" s="66" t="n">
        <f aca="false">I268+I271</f>
        <v>133030.659382949</v>
      </c>
      <c r="J272" s="66" t="n">
        <f aca="false">J268+J271</f>
        <v>133074.548271838</v>
      </c>
      <c r="K272" s="66" t="n">
        <f aca="false">K268+K271</f>
        <v>133118.437160727</v>
      </c>
      <c r="L272" s="66" t="n">
        <f aca="false">L268+L271</f>
        <v>133162.326049616</v>
      </c>
      <c r="M272" s="66" t="n">
        <f aca="false">M268+M271</f>
        <v>199148.586810505</v>
      </c>
      <c r="N272" s="66" t="n">
        <f aca="false">N268+N271</f>
        <v>199192.475699394</v>
      </c>
      <c r="O272" s="66" t="n">
        <f aca="false">O268+O271</f>
        <v>209706.899353103</v>
      </c>
      <c r="P272" s="66" t="n">
        <f aca="false">P268+P271</f>
        <v>209750.788241992</v>
      </c>
      <c r="Q272" s="66" t="n">
        <f aca="false">Q268+Q271</f>
        <v>209794.677130881</v>
      </c>
      <c r="R272" s="66" t="n">
        <f aca="false">R268+R271</f>
        <v>209838.566019769</v>
      </c>
      <c r="S272" s="66" t="n">
        <f aca="false">S268+S271</f>
        <v>209882.454908658</v>
      </c>
      <c r="T272" s="66" t="n">
        <f aca="false">T268+T271</f>
        <v>209926.343797547</v>
      </c>
      <c r="U272" s="66" t="n">
        <f aca="false">U268+U271</f>
        <v>209970.232686436</v>
      </c>
      <c r="V272" s="66" t="n">
        <f aca="false">V268+V271</f>
        <v>210014.121575325</v>
      </c>
      <c r="W272" s="66" t="n">
        <f aca="false">W268+W271</f>
        <v>210058.010464214</v>
      </c>
      <c r="X272" s="66" t="n">
        <f aca="false">X268+X271</f>
        <v>210101.899353103</v>
      </c>
      <c r="Y272" s="66" t="n">
        <f aca="false">Y268+Y271</f>
        <v>308432.876919624</v>
      </c>
      <c r="Z272" s="66" t="n">
        <f aca="false">Z268+Z271</f>
        <v>308476.765808512</v>
      </c>
      <c r="AA272" s="66" t="n">
        <f aca="false">AA268+AA271</f>
        <v>316219.696549218</v>
      </c>
      <c r="AB272" s="66" t="n">
        <f aca="false">AB268+AB271</f>
        <v>316263.585438107</v>
      </c>
      <c r="AC272" s="66" t="n">
        <f aca="false">AC268+AC271</f>
        <v>316307.474326996</v>
      </c>
      <c r="AD272" s="66" t="n">
        <f aca="false">AD268+AD271</f>
        <v>316351.363215885</v>
      </c>
      <c r="AE272" s="66" t="n">
        <f aca="false">AE268+AE271</f>
        <v>316395.252104774</v>
      </c>
      <c r="AF272" s="66" t="n">
        <f aca="false">AF268+AF271</f>
        <v>316439.140993663</v>
      </c>
      <c r="AG272" s="66" t="n">
        <f aca="false">AG268+AG271</f>
        <v>316483.029882551</v>
      </c>
      <c r="AH272" s="66" t="n">
        <f aca="false">AH268+AH271</f>
        <v>316526.91877144</v>
      </c>
      <c r="AI272" s="66" t="n">
        <f aca="false">AI268+AI271</f>
        <v>316570.807660329</v>
      </c>
      <c r="AJ272" s="66" t="n">
        <f aca="false">AJ268+AJ271</f>
        <v>316614.696549218</v>
      </c>
      <c r="AK272" s="66" t="n">
        <f aca="false">AK268+AK271</f>
        <v>458617.254157219</v>
      </c>
      <c r="AL272" s="66" t="n">
        <f aca="false">AL268+AL271</f>
        <v>458661.143046108</v>
      </c>
      <c r="AM272" s="66" t="n">
        <f aca="false">AM268+AM271</f>
        <v>465173.719703214</v>
      </c>
      <c r="AN272" s="66" t="n">
        <f aca="false">AN268+AN271</f>
        <v>465217.608592103</v>
      </c>
      <c r="AO272" s="66" t="n">
        <f aca="false">AO268+AO271</f>
        <v>465261.497480992</v>
      </c>
      <c r="AP272" s="66" t="n">
        <f aca="false">AP268+AP271</f>
        <v>465305.386369881</v>
      </c>
      <c r="AQ272" s="66" t="n">
        <f aca="false">AQ268+AQ271</f>
        <v>465349.27525877</v>
      </c>
      <c r="AR272" s="66" t="n">
        <f aca="false">AR268+AR271</f>
        <v>465393.164147658</v>
      </c>
      <c r="AS272" s="66" t="n">
        <f aca="false">AS268+AS271</f>
        <v>465437.053036547</v>
      </c>
      <c r="AT272" s="66" t="n">
        <f aca="false">AT268+AT271</f>
        <v>465480.941925436</v>
      </c>
      <c r="AU272" s="66" t="n">
        <f aca="false">AU268+AU271</f>
        <v>465524.830814325</v>
      </c>
      <c r="AV272" s="66" t="n">
        <f aca="false">AV268+AV271</f>
        <v>465568.719703214</v>
      </c>
      <c r="AW272" s="66" t="n">
        <f aca="false">AW268+AW271</f>
        <v>667522.072988276</v>
      </c>
      <c r="AX272" s="66" t="n">
        <f aca="false">AX268+AX271</f>
        <v>667565.961877164</v>
      </c>
      <c r="AY272" s="66" t="n">
        <f aca="false">AY268+AY271</f>
        <v>675309.949067114</v>
      </c>
      <c r="AZ272" s="66" t="n">
        <f aca="false">AZ268+AZ271</f>
        <v>675353.837956003</v>
      </c>
      <c r="BA272" s="66" t="n">
        <f aca="false">BA268+BA271</f>
        <v>675397.726844893</v>
      </c>
      <c r="BB272" s="66" t="n">
        <f aca="false">BB268+BB271</f>
        <v>675441.615733782</v>
      </c>
      <c r="BC272" s="66" t="n">
        <f aca="false">BC268+BC271</f>
        <v>675485.50462267</v>
      </c>
      <c r="BD272" s="66" t="n">
        <f aca="false">BD268+BD271</f>
        <v>675529.393511559</v>
      </c>
      <c r="BE272" s="66" t="n">
        <f aca="false">BE268+BE271</f>
        <v>675573.282400448</v>
      </c>
      <c r="BF272" s="66" t="n">
        <f aca="false">BF268+BF271</f>
        <v>675617.171289337</v>
      </c>
      <c r="BG272" s="66" t="n">
        <f aca="false">BG268+BG271</f>
        <v>675661.060178226</v>
      </c>
      <c r="BH272" s="66" t="n">
        <f aca="false">BH268+BH271</f>
        <v>675704.949067114</v>
      </c>
      <c r="BI272" s="66" t="n">
        <f aca="false">BI268+BI271</f>
        <v>961113.29029087</v>
      </c>
      <c r="BJ272" s="66" t="n">
        <f aca="false">BJ268+BJ271</f>
        <v>961157.179179759</v>
      </c>
    </row>
    <row r="274" customFormat="false" ht="15.75" hidden="false" customHeight="true" outlineLevel="0" collapsed="false">
      <c r="A274" s="7" t="s">
        <v>422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customFormat="false" ht="15" hidden="false" customHeight="false" outlineLevel="0" collapsed="false">
      <c r="A275" s="6" t="s">
        <v>423</v>
      </c>
      <c r="C275" s="65" t="n">
        <f aca="false">IF(C$228=1,Inputs!$D$35+Inputs!$D$18*Inputs!$D$25,0)+IF(AND(C$228&gt;1,MOD(C$228-1,12)=0),Inputs!$D$19*Inputs!$D$25,0)</f>
        <v>350000</v>
      </c>
      <c r="D275" s="65" t="n">
        <f aca="false">IF(D$228=1,Inputs!$D$35+Inputs!$D$18*Inputs!$D$25,0)+IF(AND(D$228&gt;1,MOD(D$228-1,12)=0),Inputs!$D$19*Inputs!$D$25,0)</f>
        <v>0</v>
      </c>
      <c r="E275" s="65" t="n">
        <f aca="false">IF(E$228=1,Inputs!$D$35+Inputs!$D$18*Inputs!$D$25,0)+IF(AND(E$228&gt;1,MOD(E$228-1,12)=0),Inputs!$D$19*Inputs!$D$25,0)</f>
        <v>0</v>
      </c>
      <c r="F275" s="65" t="n">
        <f aca="false">IF(F$228=1,Inputs!$D$35+Inputs!$D$18*Inputs!$D$25,0)+IF(AND(F$228&gt;1,MOD(F$228-1,12)=0),Inputs!$D$19*Inputs!$D$25,0)</f>
        <v>0</v>
      </c>
      <c r="G275" s="65" t="n">
        <f aca="false">IF(G$228=1,Inputs!$D$35+Inputs!$D$18*Inputs!$D$25,0)+IF(AND(G$228&gt;1,MOD(G$228-1,12)=0),Inputs!$D$19*Inputs!$D$25,0)</f>
        <v>0</v>
      </c>
      <c r="H275" s="65" t="n">
        <f aca="false">IF(H$228=1,Inputs!$D$35+Inputs!$D$18*Inputs!$D$25,0)+IF(AND(H$228&gt;1,MOD(H$228-1,12)=0),Inputs!$D$19*Inputs!$D$25,0)</f>
        <v>0</v>
      </c>
      <c r="I275" s="65" t="n">
        <f aca="false">IF(I$228=1,Inputs!$D$35+Inputs!$D$18*Inputs!$D$25,0)+IF(AND(I$228&gt;1,MOD(I$228-1,12)=0),Inputs!$D$19*Inputs!$D$25,0)</f>
        <v>0</v>
      </c>
      <c r="J275" s="65" t="n">
        <f aca="false">IF(J$228=1,Inputs!$D$35+Inputs!$D$18*Inputs!$D$25,0)+IF(AND(J$228&gt;1,MOD(J$228-1,12)=0),Inputs!$D$19*Inputs!$D$25,0)</f>
        <v>0</v>
      </c>
      <c r="K275" s="65" t="n">
        <f aca="false">IF(K$228=1,Inputs!$D$35+Inputs!$D$18*Inputs!$D$25,0)+IF(AND(K$228&gt;1,MOD(K$228-1,12)=0),Inputs!$D$19*Inputs!$D$25,0)</f>
        <v>0</v>
      </c>
      <c r="L275" s="65" t="n">
        <f aca="false">IF(L$228=1,Inputs!$D$35+Inputs!$D$18*Inputs!$D$25,0)+IF(AND(L$228&gt;1,MOD(L$228-1,12)=0),Inputs!$D$19*Inputs!$D$25,0)</f>
        <v>0</v>
      </c>
      <c r="M275" s="65" t="n">
        <f aca="false">IF(M$228=1,Inputs!$D$35+Inputs!$D$18*Inputs!$D$25,0)+IF(AND(M$228&gt;1,MOD(M$228-1,12)=0),Inputs!$D$19*Inputs!$D$25,0)</f>
        <v>0</v>
      </c>
      <c r="N275" s="65" t="n">
        <f aca="false">IF(N$228=1,Inputs!$D$35+Inputs!$D$18*Inputs!$D$25,0)+IF(AND(N$228&gt;1,MOD(N$228-1,12)=0),Inputs!$D$19*Inputs!$D$25,0)</f>
        <v>0</v>
      </c>
      <c r="O275" s="65" t="n">
        <f aca="false">IF(O$228=1,Inputs!$D$35+Inputs!$D$18*Inputs!$D$25,0)+IF(AND(O$228&gt;1,MOD(O$228-1,12)=0),Inputs!$D$19*Inputs!$D$25,0)</f>
        <v>150000</v>
      </c>
      <c r="P275" s="65" t="n">
        <f aca="false">IF(P$228=1,Inputs!$D$35+Inputs!$D$18*Inputs!$D$25,0)+IF(AND(P$228&gt;1,MOD(P$228-1,12)=0),Inputs!$D$19*Inputs!$D$25,0)</f>
        <v>0</v>
      </c>
      <c r="Q275" s="65" t="n">
        <f aca="false">IF(Q$228=1,Inputs!$D$35+Inputs!$D$18*Inputs!$D$25,0)+IF(AND(Q$228&gt;1,MOD(Q$228-1,12)=0),Inputs!$D$19*Inputs!$D$25,0)</f>
        <v>0</v>
      </c>
      <c r="R275" s="65" t="n">
        <f aca="false">IF(R$228=1,Inputs!$D$35+Inputs!$D$18*Inputs!$D$25,0)+IF(AND(R$228&gt;1,MOD(R$228-1,12)=0),Inputs!$D$19*Inputs!$D$25,0)</f>
        <v>0</v>
      </c>
      <c r="S275" s="65" t="n">
        <f aca="false">IF(S$228=1,Inputs!$D$35+Inputs!$D$18*Inputs!$D$25,0)+IF(AND(S$228&gt;1,MOD(S$228-1,12)=0),Inputs!$D$19*Inputs!$D$25,0)</f>
        <v>0</v>
      </c>
      <c r="T275" s="65" t="n">
        <f aca="false">IF(T$228=1,Inputs!$D$35+Inputs!$D$18*Inputs!$D$25,0)+IF(AND(T$228&gt;1,MOD(T$228-1,12)=0),Inputs!$D$19*Inputs!$D$25,0)</f>
        <v>0</v>
      </c>
      <c r="U275" s="65" t="n">
        <f aca="false">IF(U$228=1,Inputs!$D$35+Inputs!$D$18*Inputs!$D$25,0)+IF(AND(U$228&gt;1,MOD(U$228-1,12)=0),Inputs!$D$19*Inputs!$D$25,0)</f>
        <v>0</v>
      </c>
      <c r="V275" s="65" t="n">
        <f aca="false">IF(V$228=1,Inputs!$D$35+Inputs!$D$18*Inputs!$D$25,0)+IF(AND(V$228&gt;1,MOD(V$228-1,12)=0),Inputs!$D$19*Inputs!$D$25,0)</f>
        <v>0</v>
      </c>
      <c r="W275" s="65" t="n">
        <f aca="false">IF(W$228=1,Inputs!$D$35+Inputs!$D$18*Inputs!$D$25,0)+IF(AND(W$228&gt;1,MOD(W$228-1,12)=0),Inputs!$D$19*Inputs!$D$25,0)</f>
        <v>0</v>
      </c>
      <c r="X275" s="65" t="n">
        <f aca="false">IF(X$228=1,Inputs!$D$35+Inputs!$D$18*Inputs!$D$25,0)+IF(AND(X$228&gt;1,MOD(X$228-1,12)=0),Inputs!$D$19*Inputs!$D$25,0)</f>
        <v>0</v>
      </c>
      <c r="Y275" s="65" t="n">
        <f aca="false">IF(Y$228=1,Inputs!$D$35+Inputs!$D$18*Inputs!$D$25,0)+IF(AND(Y$228&gt;1,MOD(Y$228-1,12)=0),Inputs!$D$19*Inputs!$D$25,0)</f>
        <v>0</v>
      </c>
      <c r="Z275" s="65" t="n">
        <f aca="false">IF(Z$228=1,Inputs!$D$35+Inputs!$D$18*Inputs!$D$25,0)+IF(AND(Z$228&gt;1,MOD(Z$228-1,12)=0),Inputs!$D$19*Inputs!$D$25,0)</f>
        <v>0</v>
      </c>
      <c r="AA275" s="65" t="n">
        <f aca="false">IF(AA$228=1,Inputs!$D$35+Inputs!$D$18*Inputs!$D$25,0)+IF(AND(AA$228&gt;1,MOD(AA$228-1,12)=0),Inputs!$D$19*Inputs!$D$25,0)</f>
        <v>150000</v>
      </c>
      <c r="AB275" s="65" t="n">
        <f aca="false">IF(AB$228=1,Inputs!$D$35+Inputs!$D$18*Inputs!$D$25,0)+IF(AND(AB$228&gt;1,MOD(AB$228-1,12)=0),Inputs!$D$19*Inputs!$D$25,0)</f>
        <v>0</v>
      </c>
      <c r="AC275" s="65" t="n">
        <f aca="false">IF(AC$228=1,Inputs!$D$35+Inputs!$D$18*Inputs!$D$25,0)+IF(AND(AC$228&gt;1,MOD(AC$228-1,12)=0),Inputs!$D$19*Inputs!$D$25,0)</f>
        <v>0</v>
      </c>
      <c r="AD275" s="65" t="n">
        <f aca="false">IF(AD$228=1,Inputs!$D$35+Inputs!$D$18*Inputs!$D$25,0)+IF(AND(AD$228&gt;1,MOD(AD$228-1,12)=0),Inputs!$D$19*Inputs!$D$25,0)</f>
        <v>0</v>
      </c>
      <c r="AE275" s="65" t="n">
        <f aca="false">IF(AE$228=1,Inputs!$D$35+Inputs!$D$18*Inputs!$D$25,0)+IF(AND(AE$228&gt;1,MOD(AE$228-1,12)=0),Inputs!$D$19*Inputs!$D$25,0)</f>
        <v>0</v>
      </c>
      <c r="AF275" s="65" t="n">
        <f aca="false">IF(AF$228=1,Inputs!$D$35+Inputs!$D$18*Inputs!$D$25,0)+IF(AND(AF$228&gt;1,MOD(AF$228-1,12)=0),Inputs!$D$19*Inputs!$D$25,0)</f>
        <v>0</v>
      </c>
      <c r="AG275" s="65" t="n">
        <f aca="false">IF(AG$228=1,Inputs!$D$35+Inputs!$D$18*Inputs!$D$25,0)+IF(AND(AG$228&gt;1,MOD(AG$228-1,12)=0),Inputs!$D$19*Inputs!$D$25,0)</f>
        <v>0</v>
      </c>
      <c r="AH275" s="65" t="n">
        <f aca="false">IF(AH$228=1,Inputs!$D$35+Inputs!$D$18*Inputs!$D$25,0)+IF(AND(AH$228&gt;1,MOD(AH$228-1,12)=0),Inputs!$D$19*Inputs!$D$25,0)</f>
        <v>0</v>
      </c>
      <c r="AI275" s="65" t="n">
        <f aca="false">IF(AI$228=1,Inputs!$D$35+Inputs!$D$18*Inputs!$D$25,0)+IF(AND(AI$228&gt;1,MOD(AI$228-1,12)=0),Inputs!$D$19*Inputs!$D$25,0)</f>
        <v>0</v>
      </c>
      <c r="AJ275" s="65" t="n">
        <f aca="false">IF(AJ$228=1,Inputs!$D$35+Inputs!$D$18*Inputs!$D$25,0)+IF(AND(AJ$228&gt;1,MOD(AJ$228-1,12)=0),Inputs!$D$19*Inputs!$D$25,0)</f>
        <v>0</v>
      </c>
      <c r="AK275" s="65" t="n">
        <f aca="false">IF(AK$228=1,Inputs!$D$35+Inputs!$D$18*Inputs!$D$25,0)+IF(AND(AK$228&gt;1,MOD(AK$228-1,12)=0),Inputs!$D$19*Inputs!$D$25,0)</f>
        <v>0</v>
      </c>
      <c r="AL275" s="65" t="n">
        <f aca="false">IF(AL$228=1,Inputs!$D$35+Inputs!$D$18*Inputs!$D$25,0)+IF(AND(AL$228&gt;1,MOD(AL$228-1,12)=0),Inputs!$D$19*Inputs!$D$25,0)</f>
        <v>0</v>
      </c>
      <c r="AM275" s="65" t="n">
        <f aca="false">IF(AM$228=1,Inputs!$D$35+Inputs!$D$18*Inputs!$D$25,0)+IF(AND(AM$228&gt;1,MOD(AM$228-1,12)=0),Inputs!$D$19*Inputs!$D$25,0)</f>
        <v>150000</v>
      </c>
      <c r="AN275" s="65" t="n">
        <f aca="false">IF(AN$228=1,Inputs!$D$35+Inputs!$D$18*Inputs!$D$25,0)+IF(AND(AN$228&gt;1,MOD(AN$228-1,12)=0),Inputs!$D$19*Inputs!$D$25,0)</f>
        <v>0</v>
      </c>
      <c r="AO275" s="65" t="n">
        <f aca="false">IF(AO$228=1,Inputs!$D$35+Inputs!$D$18*Inputs!$D$25,0)+IF(AND(AO$228&gt;1,MOD(AO$228-1,12)=0),Inputs!$D$19*Inputs!$D$25,0)</f>
        <v>0</v>
      </c>
      <c r="AP275" s="65" t="n">
        <f aca="false">IF(AP$228=1,Inputs!$D$35+Inputs!$D$18*Inputs!$D$25,0)+IF(AND(AP$228&gt;1,MOD(AP$228-1,12)=0),Inputs!$D$19*Inputs!$D$25,0)</f>
        <v>0</v>
      </c>
      <c r="AQ275" s="65" t="n">
        <f aca="false">IF(AQ$228=1,Inputs!$D$35+Inputs!$D$18*Inputs!$D$25,0)+IF(AND(AQ$228&gt;1,MOD(AQ$228-1,12)=0),Inputs!$D$19*Inputs!$D$25,0)</f>
        <v>0</v>
      </c>
      <c r="AR275" s="65" t="n">
        <f aca="false">IF(AR$228=1,Inputs!$D$35+Inputs!$D$18*Inputs!$D$25,0)+IF(AND(AR$228&gt;1,MOD(AR$228-1,12)=0),Inputs!$D$19*Inputs!$D$25,0)</f>
        <v>0</v>
      </c>
      <c r="AS275" s="65" t="n">
        <f aca="false">IF(AS$228=1,Inputs!$D$35+Inputs!$D$18*Inputs!$D$25,0)+IF(AND(AS$228&gt;1,MOD(AS$228-1,12)=0),Inputs!$D$19*Inputs!$D$25,0)</f>
        <v>0</v>
      </c>
      <c r="AT275" s="65" t="n">
        <f aca="false">IF(AT$228=1,Inputs!$D$35+Inputs!$D$18*Inputs!$D$25,0)+IF(AND(AT$228&gt;1,MOD(AT$228-1,12)=0),Inputs!$D$19*Inputs!$D$25,0)</f>
        <v>0</v>
      </c>
      <c r="AU275" s="65" t="n">
        <f aca="false">IF(AU$228=1,Inputs!$D$35+Inputs!$D$18*Inputs!$D$25,0)+IF(AND(AU$228&gt;1,MOD(AU$228-1,12)=0),Inputs!$D$19*Inputs!$D$25,0)</f>
        <v>0</v>
      </c>
      <c r="AV275" s="65" t="n">
        <f aca="false">IF(AV$228=1,Inputs!$D$35+Inputs!$D$18*Inputs!$D$25,0)+IF(AND(AV$228&gt;1,MOD(AV$228-1,12)=0),Inputs!$D$19*Inputs!$D$25,0)</f>
        <v>0</v>
      </c>
      <c r="AW275" s="65" t="n">
        <f aca="false">IF(AW$228=1,Inputs!$D$35+Inputs!$D$18*Inputs!$D$25,0)+IF(AND(AW$228&gt;1,MOD(AW$228-1,12)=0),Inputs!$D$19*Inputs!$D$25,0)</f>
        <v>0</v>
      </c>
      <c r="AX275" s="65" t="n">
        <f aca="false">IF(AX$228=1,Inputs!$D$35+Inputs!$D$18*Inputs!$D$25,0)+IF(AND(AX$228&gt;1,MOD(AX$228-1,12)=0),Inputs!$D$19*Inputs!$D$25,0)</f>
        <v>0</v>
      </c>
      <c r="AY275" s="65" t="n">
        <f aca="false">IF(AY$228=1,Inputs!$D$35+Inputs!$D$18*Inputs!$D$25,0)+IF(AND(AY$228&gt;1,MOD(AY$228-1,12)=0),Inputs!$D$19*Inputs!$D$25,0)</f>
        <v>150000</v>
      </c>
      <c r="AZ275" s="65" t="n">
        <f aca="false">IF(AZ$228=1,Inputs!$D$35+Inputs!$D$18*Inputs!$D$25,0)+IF(AND(AZ$228&gt;1,MOD(AZ$228-1,12)=0),Inputs!$D$19*Inputs!$D$25,0)</f>
        <v>0</v>
      </c>
      <c r="BA275" s="65" t="n">
        <f aca="false">IF(BA$228=1,Inputs!$D$35+Inputs!$D$18*Inputs!$D$25,0)+IF(AND(BA$228&gt;1,MOD(BA$228-1,12)=0),Inputs!$D$19*Inputs!$D$25,0)</f>
        <v>0</v>
      </c>
      <c r="BB275" s="65" t="n">
        <f aca="false">IF(BB$228=1,Inputs!$D$35+Inputs!$D$18*Inputs!$D$25,0)+IF(AND(BB$228&gt;1,MOD(BB$228-1,12)=0),Inputs!$D$19*Inputs!$D$25,0)</f>
        <v>0</v>
      </c>
      <c r="BC275" s="65" t="n">
        <f aca="false">IF(BC$228=1,Inputs!$D$35+Inputs!$D$18*Inputs!$D$25,0)+IF(AND(BC$228&gt;1,MOD(BC$228-1,12)=0),Inputs!$D$19*Inputs!$D$25,0)</f>
        <v>0</v>
      </c>
      <c r="BD275" s="65" t="n">
        <f aca="false">IF(BD$228=1,Inputs!$D$35+Inputs!$D$18*Inputs!$D$25,0)+IF(AND(BD$228&gt;1,MOD(BD$228-1,12)=0),Inputs!$D$19*Inputs!$D$25,0)</f>
        <v>0</v>
      </c>
      <c r="BE275" s="65" t="n">
        <f aca="false">IF(BE$228=1,Inputs!$D$35+Inputs!$D$18*Inputs!$D$25,0)+IF(AND(BE$228&gt;1,MOD(BE$228-1,12)=0),Inputs!$D$19*Inputs!$D$25,0)</f>
        <v>0</v>
      </c>
      <c r="BF275" s="65" t="n">
        <f aca="false">IF(BF$228=1,Inputs!$D$35+Inputs!$D$18*Inputs!$D$25,0)+IF(AND(BF$228&gt;1,MOD(BF$228-1,12)=0),Inputs!$D$19*Inputs!$D$25,0)</f>
        <v>0</v>
      </c>
      <c r="BG275" s="65" t="n">
        <f aca="false">IF(BG$228=1,Inputs!$D$35+Inputs!$D$18*Inputs!$D$25,0)+IF(AND(BG$228&gt;1,MOD(BG$228-1,12)=0),Inputs!$D$19*Inputs!$D$25,0)</f>
        <v>0</v>
      </c>
      <c r="BH275" s="65" t="n">
        <f aca="false">IF(BH$228=1,Inputs!$D$35+Inputs!$D$18*Inputs!$D$25,0)+IF(AND(BH$228&gt;1,MOD(BH$228-1,12)=0),Inputs!$D$19*Inputs!$D$25,0)</f>
        <v>0</v>
      </c>
      <c r="BI275" s="65" t="n">
        <f aca="false">IF(BI$228=1,Inputs!$D$35+Inputs!$D$18*Inputs!$D$25,0)+IF(AND(BI$228&gt;1,MOD(BI$228-1,12)=0),Inputs!$D$19*Inputs!$D$25,0)</f>
        <v>0</v>
      </c>
      <c r="BJ275" s="65" t="n">
        <f aca="false">IF(BJ$228=1,Inputs!$D$35+Inputs!$D$18*Inputs!$D$25,0)+IF(AND(BJ$228&gt;1,MOD(BJ$228-1,12)=0),Inputs!$D$19*Inputs!$D$25,0)</f>
        <v>0</v>
      </c>
    </row>
    <row r="276" customFormat="false" ht="15" hidden="false" customHeight="false" outlineLevel="0" collapsed="false">
      <c r="A276" s="6" t="s">
        <v>424</v>
      </c>
      <c r="C276" s="65" t="n">
        <f aca="false">C275</f>
        <v>350000</v>
      </c>
      <c r="D276" s="65" t="n">
        <f aca="false">C276+D275</f>
        <v>350000</v>
      </c>
      <c r="E276" s="65" t="n">
        <f aca="false">D276+E275</f>
        <v>350000</v>
      </c>
      <c r="F276" s="65" t="n">
        <f aca="false">E276+F275</f>
        <v>350000</v>
      </c>
      <c r="G276" s="65" t="n">
        <f aca="false">F276+G275</f>
        <v>350000</v>
      </c>
      <c r="H276" s="65" t="n">
        <f aca="false">G276+H275</f>
        <v>350000</v>
      </c>
      <c r="I276" s="65" t="n">
        <f aca="false">H276+I275</f>
        <v>350000</v>
      </c>
      <c r="J276" s="65" t="n">
        <f aca="false">I276+J275</f>
        <v>350000</v>
      </c>
      <c r="K276" s="65" t="n">
        <f aca="false">J276+K275</f>
        <v>350000</v>
      </c>
      <c r="L276" s="65" t="n">
        <f aca="false">K276+L275</f>
        <v>350000</v>
      </c>
      <c r="M276" s="65" t="n">
        <f aca="false">L276+M275</f>
        <v>350000</v>
      </c>
      <c r="N276" s="65" t="n">
        <f aca="false">M276+N275</f>
        <v>350000</v>
      </c>
      <c r="O276" s="65" t="n">
        <f aca="false">N276+O275</f>
        <v>500000</v>
      </c>
      <c r="P276" s="65" t="n">
        <f aca="false">O276+P275</f>
        <v>500000</v>
      </c>
      <c r="Q276" s="65" t="n">
        <f aca="false">P276+Q275</f>
        <v>500000</v>
      </c>
      <c r="R276" s="65" t="n">
        <f aca="false">Q276+R275</f>
        <v>500000</v>
      </c>
      <c r="S276" s="65" t="n">
        <f aca="false">R276+S275</f>
        <v>500000</v>
      </c>
      <c r="T276" s="65" t="n">
        <f aca="false">S276+T275</f>
        <v>500000</v>
      </c>
      <c r="U276" s="65" t="n">
        <f aca="false">T276+U275</f>
        <v>500000</v>
      </c>
      <c r="V276" s="65" t="n">
        <f aca="false">U276+V275</f>
        <v>500000</v>
      </c>
      <c r="W276" s="65" t="n">
        <f aca="false">V276+W275</f>
        <v>500000</v>
      </c>
      <c r="X276" s="65" t="n">
        <f aca="false">W276+X275</f>
        <v>500000</v>
      </c>
      <c r="Y276" s="65" t="n">
        <f aca="false">X276+Y275</f>
        <v>500000</v>
      </c>
      <c r="Z276" s="65" t="n">
        <f aca="false">Y276+Z275</f>
        <v>500000</v>
      </c>
      <c r="AA276" s="65" t="n">
        <f aca="false">Z276+AA275</f>
        <v>650000</v>
      </c>
      <c r="AB276" s="65" t="n">
        <f aca="false">AA276+AB275</f>
        <v>650000</v>
      </c>
      <c r="AC276" s="65" t="n">
        <f aca="false">AB276+AC275</f>
        <v>650000</v>
      </c>
      <c r="AD276" s="65" t="n">
        <f aca="false">AC276+AD275</f>
        <v>650000</v>
      </c>
      <c r="AE276" s="65" t="n">
        <f aca="false">AD276+AE275</f>
        <v>650000</v>
      </c>
      <c r="AF276" s="65" t="n">
        <f aca="false">AE276+AF275</f>
        <v>650000</v>
      </c>
      <c r="AG276" s="65" t="n">
        <f aca="false">AF276+AG275</f>
        <v>650000</v>
      </c>
      <c r="AH276" s="65" t="n">
        <f aca="false">AG276+AH275</f>
        <v>650000</v>
      </c>
      <c r="AI276" s="65" t="n">
        <f aca="false">AH276+AI275</f>
        <v>650000</v>
      </c>
      <c r="AJ276" s="65" t="n">
        <f aca="false">AI276+AJ275</f>
        <v>650000</v>
      </c>
      <c r="AK276" s="65" t="n">
        <f aca="false">AJ276+AK275</f>
        <v>650000</v>
      </c>
      <c r="AL276" s="65" t="n">
        <f aca="false">AK276+AL275</f>
        <v>650000</v>
      </c>
      <c r="AM276" s="65" t="n">
        <f aca="false">AL276+AM275</f>
        <v>800000</v>
      </c>
      <c r="AN276" s="65" t="n">
        <f aca="false">AM276+AN275</f>
        <v>800000</v>
      </c>
      <c r="AO276" s="65" t="n">
        <f aca="false">AN276+AO275</f>
        <v>800000</v>
      </c>
      <c r="AP276" s="65" t="n">
        <f aca="false">AO276+AP275</f>
        <v>800000</v>
      </c>
      <c r="AQ276" s="65" t="n">
        <f aca="false">AP276+AQ275</f>
        <v>800000</v>
      </c>
      <c r="AR276" s="65" t="n">
        <f aca="false">AQ276+AR275</f>
        <v>800000</v>
      </c>
      <c r="AS276" s="65" t="n">
        <f aca="false">AR276+AS275</f>
        <v>800000</v>
      </c>
      <c r="AT276" s="65" t="n">
        <f aca="false">AS276+AT275</f>
        <v>800000</v>
      </c>
      <c r="AU276" s="65" t="n">
        <f aca="false">AT276+AU275</f>
        <v>800000</v>
      </c>
      <c r="AV276" s="65" t="n">
        <f aca="false">AU276+AV275</f>
        <v>800000</v>
      </c>
      <c r="AW276" s="65" t="n">
        <f aca="false">AV276+AW275</f>
        <v>800000</v>
      </c>
      <c r="AX276" s="65" t="n">
        <f aca="false">AW276+AX275</f>
        <v>800000</v>
      </c>
      <c r="AY276" s="65" t="n">
        <f aca="false">AX276+AY275</f>
        <v>950000</v>
      </c>
      <c r="AZ276" s="65" t="n">
        <f aca="false">AY276+AZ275</f>
        <v>950000</v>
      </c>
      <c r="BA276" s="65" t="n">
        <f aca="false">AZ276+BA275</f>
        <v>950000</v>
      </c>
      <c r="BB276" s="65" t="n">
        <f aca="false">BA276+BB275</f>
        <v>950000</v>
      </c>
      <c r="BC276" s="65" t="n">
        <f aca="false">BB276+BC275</f>
        <v>950000</v>
      </c>
      <c r="BD276" s="65" t="n">
        <f aca="false">BC276+BD275</f>
        <v>950000</v>
      </c>
      <c r="BE276" s="65" t="n">
        <f aca="false">BD276+BE275</f>
        <v>950000</v>
      </c>
      <c r="BF276" s="65" t="n">
        <f aca="false">BE276+BF275</f>
        <v>950000</v>
      </c>
      <c r="BG276" s="65" t="n">
        <f aca="false">BF276+BG275</f>
        <v>950000</v>
      </c>
      <c r="BH276" s="65" t="n">
        <f aca="false">BG276+BH275</f>
        <v>950000</v>
      </c>
      <c r="BI276" s="65" t="n">
        <f aca="false">BH276+BI275</f>
        <v>950000</v>
      </c>
      <c r="BJ276" s="65" t="n">
        <f aca="false">BI276+BJ275</f>
        <v>950000</v>
      </c>
    </row>
    <row r="277" customFormat="false" ht="15" hidden="false" customHeight="false" outlineLevel="0" collapsed="false">
      <c r="A277" s="6" t="s">
        <v>78</v>
      </c>
      <c r="C277" s="65" t="n">
        <f aca="false">-MIN(C276/MAX(1,Inputs!$D$69*12),C275)</f>
        <v>-4166.66666666667</v>
      </c>
      <c r="D277" s="65" t="n">
        <f aca="false">-MIN(D276/MAX(1,Inputs!$D$69*12),C279+D275)</f>
        <v>-4166.66666666667</v>
      </c>
      <c r="E277" s="65" t="n">
        <f aca="false">-MIN(E276/MAX(1,Inputs!$D$69*12),D279+E275)</f>
        <v>-4166.66666666667</v>
      </c>
      <c r="F277" s="65" t="n">
        <f aca="false">-MIN(F276/MAX(1,Inputs!$D$69*12),E279+F275)</f>
        <v>-4166.66666666667</v>
      </c>
      <c r="G277" s="65" t="n">
        <f aca="false">-MIN(G276/MAX(1,Inputs!$D$69*12),F279+G275)</f>
        <v>-4166.66666666667</v>
      </c>
      <c r="H277" s="65" t="n">
        <f aca="false">-MIN(H276/MAX(1,Inputs!$D$69*12),G279+H275)</f>
        <v>-4166.66666666667</v>
      </c>
      <c r="I277" s="65" t="n">
        <f aca="false">-MIN(I276/MAX(1,Inputs!$D$69*12),H279+I275)</f>
        <v>-4166.66666666667</v>
      </c>
      <c r="J277" s="65" t="n">
        <f aca="false">-MIN(J276/MAX(1,Inputs!$D$69*12),I279+J275)</f>
        <v>-4166.66666666667</v>
      </c>
      <c r="K277" s="65" t="n">
        <f aca="false">-MIN(K276/MAX(1,Inputs!$D$69*12),J279+K275)</f>
        <v>-4166.66666666667</v>
      </c>
      <c r="L277" s="65" t="n">
        <f aca="false">-MIN(L276/MAX(1,Inputs!$D$69*12),K279+L275)</f>
        <v>-4166.66666666667</v>
      </c>
      <c r="M277" s="65" t="n">
        <f aca="false">-MIN(M276/MAX(1,Inputs!$D$69*12),L279+M275)</f>
        <v>-4166.66666666667</v>
      </c>
      <c r="N277" s="65" t="n">
        <f aca="false">-MIN(N276/MAX(1,Inputs!$D$69*12),M279+N275)</f>
        <v>-4166.66666666667</v>
      </c>
      <c r="O277" s="65" t="n">
        <f aca="false">-MIN(O276/MAX(1,Inputs!$D$69*12),N279+O275)</f>
        <v>-5952.38095238095</v>
      </c>
      <c r="P277" s="65" t="n">
        <f aca="false">-MIN(P276/MAX(1,Inputs!$D$69*12),O279+P275)</f>
        <v>-5952.38095238095</v>
      </c>
      <c r="Q277" s="65" t="n">
        <f aca="false">-MIN(Q276/MAX(1,Inputs!$D$69*12),P279+Q275)</f>
        <v>-5952.38095238095</v>
      </c>
      <c r="R277" s="65" t="n">
        <f aca="false">-MIN(R276/MAX(1,Inputs!$D$69*12),Q279+R275)</f>
        <v>-5952.38095238095</v>
      </c>
      <c r="S277" s="65" t="n">
        <f aca="false">-MIN(S276/MAX(1,Inputs!$D$69*12),R279+S275)</f>
        <v>-5952.38095238095</v>
      </c>
      <c r="T277" s="65" t="n">
        <f aca="false">-MIN(T276/MAX(1,Inputs!$D$69*12),S279+T275)</f>
        <v>-5952.38095238095</v>
      </c>
      <c r="U277" s="65" t="n">
        <f aca="false">-MIN(U276/MAX(1,Inputs!$D$69*12),T279+U275)</f>
        <v>-5952.38095238095</v>
      </c>
      <c r="V277" s="65" t="n">
        <f aca="false">-MIN(V276/MAX(1,Inputs!$D$69*12),U279+V275)</f>
        <v>-5952.38095238095</v>
      </c>
      <c r="W277" s="65" t="n">
        <f aca="false">-MIN(W276/MAX(1,Inputs!$D$69*12),V279+W275)</f>
        <v>-5952.38095238095</v>
      </c>
      <c r="X277" s="65" t="n">
        <f aca="false">-MIN(X276/MAX(1,Inputs!$D$69*12),W279+X275)</f>
        <v>-5952.38095238095</v>
      </c>
      <c r="Y277" s="65" t="n">
        <f aca="false">-MIN(Y276/MAX(1,Inputs!$D$69*12),X279+Y275)</f>
        <v>-5952.38095238095</v>
      </c>
      <c r="Z277" s="65" t="n">
        <f aca="false">-MIN(Z276/MAX(1,Inputs!$D$69*12),Y279+Z275)</f>
        <v>-5952.38095238095</v>
      </c>
      <c r="AA277" s="65" t="n">
        <f aca="false">-MIN(AA276/MAX(1,Inputs!$D$69*12),Z279+AA275)</f>
        <v>-7738.09523809524</v>
      </c>
      <c r="AB277" s="65" t="n">
        <f aca="false">-MIN(AB276/MAX(1,Inputs!$D$69*12),AA279+AB275)</f>
        <v>-7738.09523809524</v>
      </c>
      <c r="AC277" s="65" t="n">
        <f aca="false">-MIN(AC276/MAX(1,Inputs!$D$69*12),AB279+AC275)</f>
        <v>-7738.09523809524</v>
      </c>
      <c r="AD277" s="65" t="n">
        <f aca="false">-MIN(AD276/MAX(1,Inputs!$D$69*12),AC279+AD275)</f>
        <v>-7738.09523809524</v>
      </c>
      <c r="AE277" s="65" t="n">
        <f aca="false">-MIN(AE276/MAX(1,Inputs!$D$69*12),AD279+AE275)</f>
        <v>-7738.09523809524</v>
      </c>
      <c r="AF277" s="65" t="n">
        <f aca="false">-MIN(AF276/MAX(1,Inputs!$D$69*12),AE279+AF275)</f>
        <v>-7738.09523809524</v>
      </c>
      <c r="AG277" s="65" t="n">
        <f aca="false">-MIN(AG276/MAX(1,Inputs!$D$69*12),AF279+AG275)</f>
        <v>-7738.09523809524</v>
      </c>
      <c r="AH277" s="65" t="n">
        <f aca="false">-MIN(AH276/MAX(1,Inputs!$D$69*12),AG279+AH275)</f>
        <v>-7738.09523809524</v>
      </c>
      <c r="AI277" s="65" t="n">
        <f aca="false">-MIN(AI276/MAX(1,Inputs!$D$69*12),AH279+AI275)</f>
        <v>-7738.09523809524</v>
      </c>
      <c r="AJ277" s="65" t="n">
        <f aca="false">-MIN(AJ276/MAX(1,Inputs!$D$69*12),AI279+AJ275)</f>
        <v>-7738.09523809524</v>
      </c>
      <c r="AK277" s="65" t="n">
        <f aca="false">-MIN(AK276/MAX(1,Inputs!$D$69*12),AJ279+AK275)</f>
        <v>-7738.09523809524</v>
      </c>
      <c r="AL277" s="65" t="n">
        <f aca="false">-MIN(AL276/MAX(1,Inputs!$D$69*12),AK279+AL275)</f>
        <v>-7738.09523809524</v>
      </c>
      <c r="AM277" s="65" t="n">
        <f aca="false">-MIN(AM276/MAX(1,Inputs!$D$69*12),AL279+AM275)</f>
        <v>-9523.80952380952</v>
      </c>
      <c r="AN277" s="65" t="n">
        <f aca="false">-MIN(AN276/MAX(1,Inputs!$D$69*12),AM279+AN275)</f>
        <v>-9523.80952380952</v>
      </c>
      <c r="AO277" s="65" t="n">
        <f aca="false">-MIN(AO276/MAX(1,Inputs!$D$69*12),AN279+AO275)</f>
        <v>-9523.80952380952</v>
      </c>
      <c r="AP277" s="65" t="n">
        <f aca="false">-MIN(AP276/MAX(1,Inputs!$D$69*12),AO279+AP275)</f>
        <v>-9523.80952380952</v>
      </c>
      <c r="AQ277" s="65" t="n">
        <f aca="false">-MIN(AQ276/MAX(1,Inputs!$D$69*12),AP279+AQ275)</f>
        <v>-9523.80952380952</v>
      </c>
      <c r="AR277" s="65" t="n">
        <f aca="false">-MIN(AR276/MAX(1,Inputs!$D$69*12),AQ279+AR275)</f>
        <v>-9523.80952380952</v>
      </c>
      <c r="AS277" s="65" t="n">
        <f aca="false">-MIN(AS276/MAX(1,Inputs!$D$69*12),AR279+AS275)</f>
        <v>-9523.80952380952</v>
      </c>
      <c r="AT277" s="65" t="n">
        <f aca="false">-MIN(AT276/MAX(1,Inputs!$D$69*12),AS279+AT275)</f>
        <v>-9523.80952380952</v>
      </c>
      <c r="AU277" s="65" t="n">
        <f aca="false">-MIN(AU276/MAX(1,Inputs!$D$69*12),AT279+AU275)</f>
        <v>-9523.80952380952</v>
      </c>
      <c r="AV277" s="65" t="n">
        <f aca="false">-MIN(AV276/MAX(1,Inputs!$D$69*12),AU279+AV275)</f>
        <v>-9523.80952380952</v>
      </c>
      <c r="AW277" s="65" t="n">
        <f aca="false">-MIN(AW276/MAX(1,Inputs!$D$69*12),AV279+AW275)</f>
        <v>-9523.80952380952</v>
      </c>
      <c r="AX277" s="65" t="n">
        <f aca="false">-MIN(AX276/MAX(1,Inputs!$D$69*12),AW279+AX275)</f>
        <v>-9523.80952380952</v>
      </c>
      <c r="AY277" s="65" t="n">
        <f aca="false">-MIN(AY276/MAX(1,Inputs!$D$69*12),AX279+AY275)</f>
        <v>-11309.5238095238</v>
      </c>
      <c r="AZ277" s="65" t="n">
        <f aca="false">-MIN(AZ276/MAX(1,Inputs!$D$69*12),AY279+AZ275)</f>
        <v>-11309.5238095238</v>
      </c>
      <c r="BA277" s="65" t="n">
        <f aca="false">-MIN(BA276/MAX(1,Inputs!$D$69*12),AZ279+BA275)</f>
        <v>-11309.5238095238</v>
      </c>
      <c r="BB277" s="65" t="n">
        <f aca="false">-MIN(BB276/MAX(1,Inputs!$D$69*12),BA279+BB275)</f>
        <v>-11309.5238095238</v>
      </c>
      <c r="BC277" s="65" t="n">
        <f aca="false">-MIN(BC276/MAX(1,Inputs!$D$69*12),BB279+BC275)</f>
        <v>-11309.5238095238</v>
      </c>
      <c r="BD277" s="65" t="n">
        <f aca="false">-MIN(BD276/MAX(1,Inputs!$D$69*12),BC279+BD275)</f>
        <v>-11309.5238095238</v>
      </c>
      <c r="BE277" s="65" t="n">
        <f aca="false">-MIN(BE276/MAX(1,Inputs!$D$69*12),BD279+BE275)</f>
        <v>-11309.5238095238</v>
      </c>
      <c r="BF277" s="65" t="n">
        <f aca="false">-MIN(BF276/MAX(1,Inputs!$D$69*12),BE279+BF275)</f>
        <v>-11309.5238095238</v>
      </c>
      <c r="BG277" s="65" t="n">
        <f aca="false">-MIN(BG276/MAX(1,Inputs!$D$69*12),BF279+BG275)</f>
        <v>-11309.5238095238</v>
      </c>
      <c r="BH277" s="65" t="n">
        <f aca="false">-MIN(BH276/MAX(1,Inputs!$D$69*12),BG279+BH275)</f>
        <v>-11309.5238095238</v>
      </c>
      <c r="BI277" s="65" t="n">
        <f aca="false">-MIN(BI276/MAX(1,Inputs!$D$69*12),BH279+BI275)</f>
        <v>-11309.5238095238</v>
      </c>
      <c r="BJ277" s="65" t="n">
        <f aca="false">-MIN(BJ276/MAX(1,Inputs!$D$69*12),BI279+BJ275)</f>
        <v>-11309.5238095238</v>
      </c>
    </row>
    <row r="278" customFormat="false" ht="15" hidden="false" customHeight="false" outlineLevel="0" collapsed="false">
      <c r="A278" s="6" t="s">
        <v>425</v>
      </c>
      <c r="C278" s="65" t="n">
        <f aca="false">C277</f>
        <v>-4166.66666666667</v>
      </c>
      <c r="D278" s="65" t="n">
        <f aca="false">C278+D277</f>
        <v>-8333.33333333333</v>
      </c>
      <c r="E278" s="65" t="n">
        <f aca="false">D278+E277</f>
        <v>-12500</v>
      </c>
      <c r="F278" s="65" t="n">
        <f aca="false">E278+F277</f>
        <v>-16666.6666666667</v>
      </c>
      <c r="G278" s="65" t="n">
        <f aca="false">F278+G277</f>
        <v>-20833.3333333333</v>
      </c>
      <c r="H278" s="65" t="n">
        <f aca="false">G278+H277</f>
        <v>-25000</v>
      </c>
      <c r="I278" s="65" t="n">
        <f aca="false">H278+I277</f>
        <v>-29166.6666666667</v>
      </c>
      <c r="J278" s="65" t="n">
        <f aca="false">I278+J277</f>
        <v>-33333.3333333333</v>
      </c>
      <c r="K278" s="65" t="n">
        <f aca="false">J278+K277</f>
        <v>-37500</v>
      </c>
      <c r="L278" s="65" t="n">
        <f aca="false">K278+L277</f>
        <v>-41666.6666666667</v>
      </c>
      <c r="M278" s="65" t="n">
        <f aca="false">L278+M277</f>
        <v>-45833.3333333333</v>
      </c>
      <c r="N278" s="65" t="n">
        <f aca="false">M278+N277</f>
        <v>-50000</v>
      </c>
      <c r="O278" s="65" t="n">
        <f aca="false">N278+O277</f>
        <v>-55952.380952381</v>
      </c>
      <c r="P278" s="65" t="n">
        <f aca="false">O278+P277</f>
        <v>-61904.7619047619</v>
      </c>
      <c r="Q278" s="65" t="n">
        <f aca="false">P278+Q277</f>
        <v>-67857.1428571429</v>
      </c>
      <c r="R278" s="65" t="n">
        <f aca="false">Q278+R277</f>
        <v>-73809.5238095238</v>
      </c>
      <c r="S278" s="65" t="n">
        <f aca="false">R278+S277</f>
        <v>-79761.9047619048</v>
      </c>
      <c r="T278" s="65" t="n">
        <f aca="false">S278+T277</f>
        <v>-85714.2857142857</v>
      </c>
      <c r="U278" s="65" t="n">
        <f aca="false">T278+U277</f>
        <v>-91666.6666666666</v>
      </c>
      <c r="V278" s="65" t="n">
        <f aca="false">U278+V277</f>
        <v>-97619.0476190476</v>
      </c>
      <c r="W278" s="65" t="n">
        <f aca="false">V278+W277</f>
        <v>-103571.428571429</v>
      </c>
      <c r="X278" s="65" t="n">
        <f aca="false">W278+X277</f>
        <v>-109523.809523809</v>
      </c>
      <c r="Y278" s="65" t="n">
        <f aca="false">X278+Y277</f>
        <v>-115476.19047619</v>
      </c>
      <c r="Z278" s="65" t="n">
        <f aca="false">Y278+Z277</f>
        <v>-121428.571428571</v>
      </c>
      <c r="AA278" s="65" t="n">
        <f aca="false">Z278+AA277</f>
        <v>-129166.666666667</v>
      </c>
      <c r="AB278" s="65" t="n">
        <f aca="false">AA278+AB277</f>
        <v>-136904.761904762</v>
      </c>
      <c r="AC278" s="65" t="n">
        <f aca="false">AB278+AC277</f>
        <v>-144642.857142857</v>
      </c>
      <c r="AD278" s="65" t="n">
        <f aca="false">AC278+AD277</f>
        <v>-152380.952380952</v>
      </c>
      <c r="AE278" s="65" t="n">
        <f aca="false">AD278+AE277</f>
        <v>-160119.047619048</v>
      </c>
      <c r="AF278" s="65" t="n">
        <f aca="false">AE278+AF277</f>
        <v>-167857.142857143</v>
      </c>
      <c r="AG278" s="65" t="n">
        <f aca="false">AF278+AG277</f>
        <v>-175595.238095238</v>
      </c>
      <c r="AH278" s="65" t="n">
        <f aca="false">AG278+AH277</f>
        <v>-183333.333333333</v>
      </c>
      <c r="AI278" s="65" t="n">
        <f aca="false">AH278+AI277</f>
        <v>-191071.428571429</v>
      </c>
      <c r="AJ278" s="65" t="n">
        <f aca="false">AI278+AJ277</f>
        <v>-198809.523809524</v>
      </c>
      <c r="AK278" s="65" t="n">
        <f aca="false">AJ278+AK277</f>
        <v>-206547.619047619</v>
      </c>
      <c r="AL278" s="65" t="n">
        <f aca="false">AK278+AL277</f>
        <v>-214285.714285714</v>
      </c>
      <c r="AM278" s="65" t="n">
        <f aca="false">AL278+AM277</f>
        <v>-223809.523809524</v>
      </c>
      <c r="AN278" s="65" t="n">
        <f aca="false">AM278+AN277</f>
        <v>-233333.333333333</v>
      </c>
      <c r="AO278" s="65" t="n">
        <f aca="false">AN278+AO277</f>
        <v>-242857.142857143</v>
      </c>
      <c r="AP278" s="65" t="n">
        <f aca="false">AO278+AP277</f>
        <v>-252380.952380952</v>
      </c>
      <c r="AQ278" s="65" t="n">
        <f aca="false">AP278+AQ277</f>
        <v>-261904.761904762</v>
      </c>
      <c r="AR278" s="65" t="n">
        <f aca="false">AQ278+AR277</f>
        <v>-271428.571428571</v>
      </c>
      <c r="AS278" s="65" t="n">
        <f aca="false">AR278+AS277</f>
        <v>-280952.380952381</v>
      </c>
      <c r="AT278" s="65" t="n">
        <f aca="false">AS278+AT277</f>
        <v>-290476.19047619</v>
      </c>
      <c r="AU278" s="65" t="n">
        <f aca="false">AT278+AU277</f>
        <v>-300000</v>
      </c>
      <c r="AV278" s="65" t="n">
        <f aca="false">AU278+AV277</f>
        <v>-309523.809523809</v>
      </c>
      <c r="AW278" s="65" t="n">
        <f aca="false">AV278+AW277</f>
        <v>-319047.619047619</v>
      </c>
      <c r="AX278" s="65" t="n">
        <f aca="false">AW278+AX277</f>
        <v>-328571.428571429</v>
      </c>
      <c r="AY278" s="65" t="n">
        <f aca="false">AX278+AY277</f>
        <v>-339880.952380952</v>
      </c>
      <c r="AZ278" s="65" t="n">
        <f aca="false">AY278+AZ277</f>
        <v>-351190.476190476</v>
      </c>
      <c r="BA278" s="65" t="n">
        <f aca="false">AZ278+BA277</f>
        <v>-362500</v>
      </c>
      <c r="BB278" s="65" t="n">
        <f aca="false">BA278+BB277</f>
        <v>-373809.523809524</v>
      </c>
      <c r="BC278" s="65" t="n">
        <f aca="false">BB278+BC277</f>
        <v>-385119.047619047</v>
      </c>
      <c r="BD278" s="65" t="n">
        <f aca="false">BC278+BD277</f>
        <v>-396428.571428571</v>
      </c>
      <c r="BE278" s="65" t="n">
        <f aca="false">BD278+BE277</f>
        <v>-407738.095238095</v>
      </c>
      <c r="BF278" s="65" t="n">
        <f aca="false">BE278+BF277</f>
        <v>-419047.619047619</v>
      </c>
      <c r="BG278" s="65" t="n">
        <f aca="false">BF278+BG277</f>
        <v>-430357.142857143</v>
      </c>
      <c r="BH278" s="65" t="n">
        <f aca="false">BG278+BH277</f>
        <v>-441666.666666666</v>
      </c>
      <c r="BI278" s="65" t="n">
        <f aca="false">BH278+BI277</f>
        <v>-452976.19047619</v>
      </c>
      <c r="BJ278" s="65" t="n">
        <f aca="false">BI278+BJ277</f>
        <v>-464285.714285714</v>
      </c>
    </row>
    <row r="279" customFormat="false" ht="15" hidden="false" customHeight="false" outlineLevel="0" collapsed="false">
      <c r="A279" s="4" t="s">
        <v>92</v>
      </c>
      <c r="C279" s="71" t="n">
        <f aca="false">C276+C278</f>
        <v>345833.333333333</v>
      </c>
      <c r="D279" s="71" t="n">
        <f aca="false">D276+D278</f>
        <v>341666.666666667</v>
      </c>
      <c r="E279" s="71" t="n">
        <f aca="false">E276+E278</f>
        <v>337500</v>
      </c>
      <c r="F279" s="71" t="n">
        <f aca="false">F276+F278</f>
        <v>333333.333333333</v>
      </c>
      <c r="G279" s="71" t="n">
        <f aca="false">G276+G278</f>
        <v>329166.666666667</v>
      </c>
      <c r="H279" s="71" t="n">
        <f aca="false">H276+H278</f>
        <v>325000</v>
      </c>
      <c r="I279" s="71" t="n">
        <f aca="false">I276+I278</f>
        <v>320833.333333333</v>
      </c>
      <c r="J279" s="71" t="n">
        <f aca="false">J276+J278</f>
        <v>316666.666666667</v>
      </c>
      <c r="K279" s="71" t="n">
        <f aca="false">K276+K278</f>
        <v>312500</v>
      </c>
      <c r="L279" s="71" t="n">
        <f aca="false">L276+L278</f>
        <v>308333.333333333</v>
      </c>
      <c r="M279" s="71" t="n">
        <f aca="false">M276+M278</f>
        <v>304166.666666667</v>
      </c>
      <c r="N279" s="71" t="n">
        <f aca="false">N276+N278</f>
        <v>300000</v>
      </c>
      <c r="O279" s="71" t="n">
        <f aca="false">O276+O278</f>
        <v>444047.619047619</v>
      </c>
      <c r="P279" s="71" t="n">
        <f aca="false">P276+P278</f>
        <v>438095.238095238</v>
      </c>
      <c r="Q279" s="71" t="n">
        <f aca="false">Q276+Q278</f>
        <v>432142.857142857</v>
      </c>
      <c r="R279" s="71" t="n">
        <f aca="false">R276+R278</f>
        <v>426190.476190476</v>
      </c>
      <c r="S279" s="71" t="n">
        <f aca="false">S276+S278</f>
        <v>420238.095238095</v>
      </c>
      <c r="T279" s="71" t="n">
        <f aca="false">T276+T278</f>
        <v>414285.714285714</v>
      </c>
      <c r="U279" s="71" t="n">
        <f aca="false">U276+U278</f>
        <v>408333.333333333</v>
      </c>
      <c r="V279" s="71" t="n">
        <f aca="false">V276+V278</f>
        <v>402380.952380952</v>
      </c>
      <c r="W279" s="71" t="n">
        <f aca="false">W276+W278</f>
        <v>396428.571428572</v>
      </c>
      <c r="X279" s="71" t="n">
        <f aca="false">X276+X278</f>
        <v>390476.190476191</v>
      </c>
      <c r="Y279" s="71" t="n">
        <f aca="false">Y276+Y278</f>
        <v>384523.80952381</v>
      </c>
      <c r="Z279" s="71" t="n">
        <f aca="false">Z276+Z278</f>
        <v>378571.428571429</v>
      </c>
      <c r="AA279" s="71" t="n">
        <f aca="false">AA276+AA278</f>
        <v>520833.333333333</v>
      </c>
      <c r="AB279" s="71" t="n">
        <f aca="false">AB276+AB278</f>
        <v>513095.238095238</v>
      </c>
      <c r="AC279" s="71" t="n">
        <f aca="false">AC276+AC278</f>
        <v>505357.142857143</v>
      </c>
      <c r="AD279" s="71" t="n">
        <f aca="false">AD276+AD278</f>
        <v>497619.047619048</v>
      </c>
      <c r="AE279" s="71" t="n">
        <f aca="false">AE276+AE278</f>
        <v>489880.952380952</v>
      </c>
      <c r="AF279" s="71" t="n">
        <f aca="false">AF276+AF278</f>
        <v>482142.857142857</v>
      </c>
      <c r="AG279" s="71" t="n">
        <f aca="false">AG276+AG278</f>
        <v>474404.761904762</v>
      </c>
      <c r="AH279" s="71" t="n">
        <f aca="false">AH276+AH278</f>
        <v>466666.666666667</v>
      </c>
      <c r="AI279" s="71" t="n">
        <f aca="false">AI276+AI278</f>
        <v>458928.571428572</v>
      </c>
      <c r="AJ279" s="71" t="n">
        <f aca="false">AJ276+AJ278</f>
        <v>451190.476190476</v>
      </c>
      <c r="AK279" s="71" t="n">
        <f aca="false">AK276+AK278</f>
        <v>443452.380952381</v>
      </c>
      <c r="AL279" s="71" t="n">
        <f aca="false">AL276+AL278</f>
        <v>435714.285714286</v>
      </c>
      <c r="AM279" s="71" t="n">
        <f aca="false">AM276+AM278</f>
        <v>576190.476190476</v>
      </c>
      <c r="AN279" s="71" t="n">
        <f aca="false">AN276+AN278</f>
        <v>566666.666666667</v>
      </c>
      <c r="AO279" s="71" t="n">
        <f aca="false">AO276+AO278</f>
        <v>557142.857142857</v>
      </c>
      <c r="AP279" s="71" t="n">
        <f aca="false">AP276+AP278</f>
        <v>547619.047619048</v>
      </c>
      <c r="AQ279" s="71" t="n">
        <f aca="false">AQ276+AQ278</f>
        <v>538095.238095238</v>
      </c>
      <c r="AR279" s="71" t="n">
        <f aca="false">AR276+AR278</f>
        <v>528571.428571429</v>
      </c>
      <c r="AS279" s="71" t="n">
        <f aca="false">AS276+AS278</f>
        <v>519047.619047619</v>
      </c>
      <c r="AT279" s="71" t="n">
        <f aca="false">AT276+AT278</f>
        <v>509523.80952381</v>
      </c>
      <c r="AU279" s="71" t="n">
        <f aca="false">AU276+AU278</f>
        <v>500000</v>
      </c>
      <c r="AV279" s="71" t="n">
        <f aca="false">AV276+AV278</f>
        <v>490476.190476191</v>
      </c>
      <c r="AW279" s="71" t="n">
        <f aca="false">AW276+AW278</f>
        <v>480952.380952381</v>
      </c>
      <c r="AX279" s="71" t="n">
        <f aca="false">AX276+AX278</f>
        <v>471428.571428572</v>
      </c>
      <c r="AY279" s="71" t="n">
        <f aca="false">AY276+AY278</f>
        <v>610119.047619048</v>
      </c>
      <c r="AZ279" s="71" t="n">
        <f aca="false">AZ276+AZ278</f>
        <v>598809.523809524</v>
      </c>
      <c r="BA279" s="71" t="n">
        <f aca="false">BA276+BA278</f>
        <v>587500</v>
      </c>
      <c r="BB279" s="71" t="n">
        <f aca="false">BB276+BB278</f>
        <v>576190.476190476</v>
      </c>
      <c r="BC279" s="71" t="n">
        <f aca="false">BC276+BC278</f>
        <v>564880.952380953</v>
      </c>
      <c r="BD279" s="71" t="n">
        <f aca="false">BD276+BD278</f>
        <v>553571.428571429</v>
      </c>
      <c r="BE279" s="71" t="n">
        <f aca="false">BE276+BE278</f>
        <v>542261.904761905</v>
      </c>
      <c r="BF279" s="71" t="n">
        <f aca="false">BF276+BF278</f>
        <v>530952.380952381</v>
      </c>
      <c r="BG279" s="71" t="n">
        <f aca="false">BG276+BG278</f>
        <v>519642.857142857</v>
      </c>
      <c r="BH279" s="71" t="n">
        <f aca="false">BH276+BH278</f>
        <v>508333.333333334</v>
      </c>
      <c r="BI279" s="71" t="n">
        <f aca="false">BI276+BI278</f>
        <v>497023.80952381</v>
      </c>
      <c r="BJ279" s="71" t="n">
        <f aca="false">BJ276+BJ278</f>
        <v>485714.285714286</v>
      </c>
    </row>
    <row r="281" customFormat="false" ht="15.75" hidden="false" customHeight="true" outlineLevel="0" collapsed="false">
      <c r="A281" s="7" t="s">
        <v>426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customFormat="false" ht="15" hidden="false" customHeight="false" outlineLevel="0" collapsed="false">
      <c r="A282" s="6" t="s">
        <v>427</v>
      </c>
      <c r="C282" s="65" t="n">
        <f aca="false">0</f>
        <v>0</v>
      </c>
      <c r="D282" s="65" t="n">
        <f aca="false">C285</f>
        <v>500000</v>
      </c>
      <c r="E282" s="65" t="n">
        <f aca="false">D285</f>
        <v>491666.666666667</v>
      </c>
      <c r="F282" s="65" t="n">
        <f aca="false">E285</f>
        <v>483333.333333333</v>
      </c>
      <c r="G282" s="65" t="n">
        <f aca="false">F285</f>
        <v>475000</v>
      </c>
      <c r="H282" s="65" t="n">
        <f aca="false">G285</f>
        <v>466666.666666667</v>
      </c>
      <c r="I282" s="65" t="n">
        <f aca="false">H285</f>
        <v>458333.333333333</v>
      </c>
      <c r="J282" s="65" t="n">
        <f aca="false">I285</f>
        <v>450000</v>
      </c>
      <c r="K282" s="65" t="n">
        <f aca="false">J285</f>
        <v>441666.666666667</v>
      </c>
      <c r="L282" s="65" t="n">
        <f aca="false">K285</f>
        <v>433333.333333334</v>
      </c>
      <c r="M282" s="65" t="n">
        <f aca="false">L285</f>
        <v>425000</v>
      </c>
      <c r="N282" s="65" t="n">
        <f aca="false">M285</f>
        <v>416666.666666667</v>
      </c>
      <c r="O282" s="65" t="n">
        <f aca="false">N285</f>
        <v>408333.333333334</v>
      </c>
      <c r="P282" s="65" t="n">
        <f aca="false">O285</f>
        <v>400000</v>
      </c>
      <c r="Q282" s="65" t="n">
        <f aca="false">P285</f>
        <v>391666.666666667</v>
      </c>
      <c r="R282" s="65" t="n">
        <f aca="false">Q285</f>
        <v>383333.333333334</v>
      </c>
      <c r="S282" s="65" t="n">
        <f aca="false">R285</f>
        <v>375000</v>
      </c>
      <c r="T282" s="65" t="n">
        <f aca="false">S285</f>
        <v>366666.666666667</v>
      </c>
      <c r="U282" s="65" t="n">
        <f aca="false">T285</f>
        <v>358333.333333334</v>
      </c>
      <c r="V282" s="65" t="n">
        <f aca="false">U285</f>
        <v>350000</v>
      </c>
      <c r="W282" s="65" t="n">
        <f aca="false">V285</f>
        <v>341666.666666667</v>
      </c>
      <c r="X282" s="65" t="n">
        <f aca="false">W285</f>
        <v>333333.333333334</v>
      </c>
      <c r="Y282" s="65" t="n">
        <f aca="false">X285</f>
        <v>325000</v>
      </c>
      <c r="Z282" s="65" t="n">
        <f aca="false">Y285</f>
        <v>316666.666666667</v>
      </c>
      <c r="AA282" s="65" t="n">
        <f aca="false">Z285</f>
        <v>308333.333333334</v>
      </c>
      <c r="AB282" s="65" t="n">
        <f aca="false">AA285</f>
        <v>300000</v>
      </c>
      <c r="AC282" s="65" t="n">
        <f aca="false">AB285</f>
        <v>291666.666666667</v>
      </c>
      <c r="AD282" s="65" t="n">
        <f aca="false">AC285</f>
        <v>283333.333333334</v>
      </c>
      <c r="AE282" s="65" t="n">
        <f aca="false">AD285</f>
        <v>275000.000000001</v>
      </c>
      <c r="AF282" s="65" t="n">
        <f aca="false">AE285</f>
        <v>266666.666666667</v>
      </c>
      <c r="AG282" s="65" t="n">
        <f aca="false">AF285</f>
        <v>258333.333333334</v>
      </c>
      <c r="AH282" s="65" t="n">
        <f aca="false">AG285</f>
        <v>250000.000000001</v>
      </c>
      <c r="AI282" s="65" t="n">
        <f aca="false">AH285</f>
        <v>241666.666666667</v>
      </c>
      <c r="AJ282" s="65" t="n">
        <f aca="false">AI285</f>
        <v>233333.333333334</v>
      </c>
      <c r="AK282" s="65" t="n">
        <f aca="false">AJ285</f>
        <v>225000.000000001</v>
      </c>
      <c r="AL282" s="65" t="n">
        <f aca="false">AK285</f>
        <v>216666.666666667</v>
      </c>
      <c r="AM282" s="65" t="n">
        <f aca="false">AL285</f>
        <v>208333.333333334</v>
      </c>
      <c r="AN282" s="65" t="n">
        <f aca="false">AM285</f>
        <v>200000</v>
      </c>
      <c r="AO282" s="65" t="n">
        <f aca="false">AN285</f>
        <v>191666.666666667</v>
      </c>
      <c r="AP282" s="65" t="n">
        <f aca="false">AO285</f>
        <v>183333.333333334</v>
      </c>
      <c r="AQ282" s="65" t="n">
        <f aca="false">AP285</f>
        <v>175000</v>
      </c>
      <c r="AR282" s="65" t="n">
        <f aca="false">AQ285</f>
        <v>166666.666666667</v>
      </c>
      <c r="AS282" s="65" t="n">
        <f aca="false">AR285</f>
        <v>158333.333333334</v>
      </c>
      <c r="AT282" s="65" t="n">
        <f aca="false">AS285</f>
        <v>150000</v>
      </c>
      <c r="AU282" s="65" t="n">
        <f aca="false">AT285</f>
        <v>141666.666666667</v>
      </c>
      <c r="AV282" s="65" t="n">
        <f aca="false">AU285</f>
        <v>133333.333333334</v>
      </c>
      <c r="AW282" s="65" t="n">
        <f aca="false">AV285</f>
        <v>125000</v>
      </c>
      <c r="AX282" s="65" t="n">
        <f aca="false">AW285</f>
        <v>116666.666666667</v>
      </c>
      <c r="AY282" s="65" t="n">
        <f aca="false">AX285</f>
        <v>108333.333333334</v>
      </c>
      <c r="AZ282" s="65" t="n">
        <f aca="false">AY285</f>
        <v>100000</v>
      </c>
      <c r="BA282" s="65" t="n">
        <f aca="false">AZ285</f>
        <v>91666.6666666671</v>
      </c>
      <c r="BB282" s="65" t="n">
        <f aca="false">BA285</f>
        <v>83333.3333333338</v>
      </c>
      <c r="BC282" s="65" t="n">
        <f aca="false">BB285</f>
        <v>75000.0000000004</v>
      </c>
      <c r="BD282" s="65" t="n">
        <f aca="false">BC285</f>
        <v>66666.6666666671</v>
      </c>
      <c r="BE282" s="65" t="n">
        <f aca="false">BD285</f>
        <v>58333.3333333338</v>
      </c>
      <c r="BF282" s="65" t="n">
        <f aca="false">BE285</f>
        <v>50000.0000000004</v>
      </c>
      <c r="BG282" s="65" t="n">
        <f aca="false">BF285</f>
        <v>41666.6666666671</v>
      </c>
      <c r="BH282" s="65" t="n">
        <f aca="false">BG285</f>
        <v>33333.3333333338</v>
      </c>
      <c r="BI282" s="65" t="n">
        <f aca="false">BH285</f>
        <v>25000.0000000004</v>
      </c>
      <c r="BJ282" s="65" t="n">
        <f aca="false">BI285</f>
        <v>16666.6666666671</v>
      </c>
    </row>
    <row r="283" customFormat="false" ht="15" hidden="false" customHeight="false" outlineLevel="0" collapsed="false">
      <c r="A283" s="6" t="s">
        <v>85</v>
      </c>
      <c r="C283" s="65" t="n">
        <f aca="false">IF(C$228=1,Inputs!$D$59,0)</f>
        <v>500000</v>
      </c>
      <c r="D283" s="65" t="n">
        <f aca="false">IF(D$228=1,Inputs!$D$59,0)</f>
        <v>0</v>
      </c>
      <c r="E283" s="65" t="n">
        <f aca="false">IF(E$228=1,Inputs!$D$59,0)</f>
        <v>0</v>
      </c>
      <c r="F283" s="65" t="n">
        <f aca="false">IF(F$228=1,Inputs!$D$59,0)</f>
        <v>0</v>
      </c>
      <c r="G283" s="65" t="n">
        <f aca="false">IF(G$228=1,Inputs!$D$59,0)</f>
        <v>0</v>
      </c>
      <c r="H283" s="65" t="n">
        <f aca="false">IF(H$228=1,Inputs!$D$59,0)</f>
        <v>0</v>
      </c>
      <c r="I283" s="65" t="n">
        <f aca="false">IF(I$228=1,Inputs!$D$59,0)</f>
        <v>0</v>
      </c>
      <c r="J283" s="65" t="n">
        <f aca="false">IF(J$228=1,Inputs!$D$59,0)</f>
        <v>0</v>
      </c>
      <c r="K283" s="65" t="n">
        <f aca="false">IF(K$228=1,Inputs!$D$59,0)</f>
        <v>0</v>
      </c>
      <c r="L283" s="65" t="n">
        <f aca="false">IF(L$228=1,Inputs!$D$59,0)</f>
        <v>0</v>
      </c>
      <c r="M283" s="65" t="n">
        <f aca="false">IF(M$228=1,Inputs!$D$59,0)</f>
        <v>0</v>
      </c>
      <c r="N283" s="65" t="n">
        <f aca="false">IF(N$228=1,Inputs!$D$59,0)</f>
        <v>0</v>
      </c>
      <c r="O283" s="65" t="n">
        <f aca="false">IF(O$228=1,Inputs!$D$59,0)</f>
        <v>0</v>
      </c>
      <c r="P283" s="65" t="n">
        <f aca="false">IF(P$228=1,Inputs!$D$59,0)</f>
        <v>0</v>
      </c>
      <c r="Q283" s="65" t="n">
        <f aca="false">IF(Q$228=1,Inputs!$D$59,0)</f>
        <v>0</v>
      </c>
      <c r="R283" s="65" t="n">
        <f aca="false">IF(R$228=1,Inputs!$D$59,0)</f>
        <v>0</v>
      </c>
      <c r="S283" s="65" t="n">
        <f aca="false">IF(S$228=1,Inputs!$D$59,0)</f>
        <v>0</v>
      </c>
      <c r="T283" s="65" t="n">
        <f aca="false">IF(T$228=1,Inputs!$D$59,0)</f>
        <v>0</v>
      </c>
      <c r="U283" s="65" t="n">
        <f aca="false">IF(U$228=1,Inputs!$D$59,0)</f>
        <v>0</v>
      </c>
      <c r="V283" s="65" t="n">
        <f aca="false">IF(V$228=1,Inputs!$D$59,0)</f>
        <v>0</v>
      </c>
      <c r="W283" s="65" t="n">
        <f aca="false">IF(W$228=1,Inputs!$D$59,0)</f>
        <v>0</v>
      </c>
      <c r="X283" s="65" t="n">
        <f aca="false">IF(X$228=1,Inputs!$D$59,0)</f>
        <v>0</v>
      </c>
      <c r="Y283" s="65" t="n">
        <f aca="false">IF(Y$228=1,Inputs!$D$59,0)</f>
        <v>0</v>
      </c>
      <c r="Z283" s="65" t="n">
        <f aca="false">IF(Z$228=1,Inputs!$D$59,0)</f>
        <v>0</v>
      </c>
      <c r="AA283" s="65" t="n">
        <f aca="false">IF(AA$228=1,Inputs!$D$59,0)</f>
        <v>0</v>
      </c>
      <c r="AB283" s="65" t="n">
        <f aca="false">IF(AB$228=1,Inputs!$D$59,0)</f>
        <v>0</v>
      </c>
      <c r="AC283" s="65" t="n">
        <f aca="false">IF(AC$228=1,Inputs!$D$59,0)</f>
        <v>0</v>
      </c>
      <c r="AD283" s="65" t="n">
        <f aca="false">IF(AD$228=1,Inputs!$D$59,0)</f>
        <v>0</v>
      </c>
      <c r="AE283" s="65" t="n">
        <f aca="false">IF(AE$228=1,Inputs!$D$59,0)</f>
        <v>0</v>
      </c>
      <c r="AF283" s="65" t="n">
        <f aca="false">IF(AF$228=1,Inputs!$D$59,0)</f>
        <v>0</v>
      </c>
      <c r="AG283" s="65" t="n">
        <f aca="false">IF(AG$228=1,Inputs!$D$59,0)</f>
        <v>0</v>
      </c>
      <c r="AH283" s="65" t="n">
        <f aca="false">IF(AH$228=1,Inputs!$D$59,0)</f>
        <v>0</v>
      </c>
      <c r="AI283" s="65" t="n">
        <f aca="false">IF(AI$228=1,Inputs!$D$59,0)</f>
        <v>0</v>
      </c>
      <c r="AJ283" s="65" t="n">
        <f aca="false">IF(AJ$228=1,Inputs!$D$59,0)</f>
        <v>0</v>
      </c>
      <c r="AK283" s="65" t="n">
        <f aca="false">IF(AK$228=1,Inputs!$D$59,0)</f>
        <v>0</v>
      </c>
      <c r="AL283" s="65" t="n">
        <f aca="false">IF(AL$228=1,Inputs!$D$59,0)</f>
        <v>0</v>
      </c>
      <c r="AM283" s="65" t="n">
        <f aca="false">IF(AM$228=1,Inputs!$D$59,0)</f>
        <v>0</v>
      </c>
      <c r="AN283" s="65" t="n">
        <f aca="false">IF(AN$228=1,Inputs!$D$59,0)</f>
        <v>0</v>
      </c>
      <c r="AO283" s="65" t="n">
        <f aca="false">IF(AO$228=1,Inputs!$D$59,0)</f>
        <v>0</v>
      </c>
      <c r="AP283" s="65" t="n">
        <f aca="false">IF(AP$228=1,Inputs!$D$59,0)</f>
        <v>0</v>
      </c>
      <c r="AQ283" s="65" t="n">
        <f aca="false">IF(AQ$228=1,Inputs!$D$59,0)</f>
        <v>0</v>
      </c>
      <c r="AR283" s="65" t="n">
        <f aca="false">IF(AR$228=1,Inputs!$D$59,0)</f>
        <v>0</v>
      </c>
      <c r="AS283" s="65" t="n">
        <f aca="false">IF(AS$228=1,Inputs!$D$59,0)</f>
        <v>0</v>
      </c>
      <c r="AT283" s="65" t="n">
        <f aca="false">IF(AT$228=1,Inputs!$D$59,0)</f>
        <v>0</v>
      </c>
      <c r="AU283" s="65" t="n">
        <f aca="false">IF(AU$228=1,Inputs!$D$59,0)</f>
        <v>0</v>
      </c>
      <c r="AV283" s="65" t="n">
        <f aca="false">IF(AV$228=1,Inputs!$D$59,0)</f>
        <v>0</v>
      </c>
      <c r="AW283" s="65" t="n">
        <f aca="false">IF(AW$228=1,Inputs!$D$59,0)</f>
        <v>0</v>
      </c>
      <c r="AX283" s="65" t="n">
        <f aca="false">IF(AX$228=1,Inputs!$D$59,0)</f>
        <v>0</v>
      </c>
      <c r="AY283" s="65" t="n">
        <f aca="false">IF(AY$228=1,Inputs!$D$59,0)</f>
        <v>0</v>
      </c>
      <c r="AZ283" s="65" t="n">
        <f aca="false">IF(AZ$228=1,Inputs!$D$59,0)</f>
        <v>0</v>
      </c>
      <c r="BA283" s="65" t="n">
        <f aca="false">IF(BA$228=1,Inputs!$D$59,0)</f>
        <v>0</v>
      </c>
      <c r="BB283" s="65" t="n">
        <f aca="false">IF(BB$228=1,Inputs!$D$59,0)</f>
        <v>0</v>
      </c>
      <c r="BC283" s="65" t="n">
        <f aca="false">IF(BC$228=1,Inputs!$D$59,0)</f>
        <v>0</v>
      </c>
      <c r="BD283" s="65" t="n">
        <f aca="false">IF(BD$228=1,Inputs!$D$59,0)</f>
        <v>0</v>
      </c>
      <c r="BE283" s="65" t="n">
        <f aca="false">IF(BE$228=1,Inputs!$D$59,0)</f>
        <v>0</v>
      </c>
      <c r="BF283" s="65" t="n">
        <f aca="false">IF(BF$228=1,Inputs!$D$59,0)</f>
        <v>0</v>
      </c>
      <c r="BG283" s="65" t="n">
        <f aca="false">IF(BG$228=1,Inputs!$D$59,0)</f>
        <v>0</v>
      </c>
      <c r="BH283" s="65" t="n">
        <f aca="false">IF(BH$228=1,Inputs!$D$59,0)</f>
        <v>0</v>
      </c>
      <c r="BI283" s="65" t="n">
        <f aca="false">IF(BI$228=1,Inputs!$D$59,0)</f>
        <v>0</v>
      </c>
      <c r="BJ283" s="65" t="n">
        <f aca="false">IF(BJ$228=1,Inputs!$D$59,0)</f>
        <v>0</v>
      </c>
    </row>
    <row r="284" customFormat="false" ht="15" hidden="false" customHeight="false" outlineLevel="0" collapsed="false">
      <c r="A284" s="6" t="s">
        <v>86</v>
      </c>
      <c r="C284" s="65" t="n">
        <f aca="false">-MIN(C282,Inputs!$D$59/MAX(1,Inputs!$D$61*12))</f>
        <v>-0</v>
      </c>
      <c r="D284" s="65" t="n">
        <f aca="false">-MIN(D282,Inputs!$D$59/MAX(1,Inputs!$D$61*12))</f>
        <v>-8333.33333333333</v>
      </c>
      <c r="E284" s="65" t="n">
        <f aca="false">-MIN(E282,Inputs!$D$59/MAX(1,Inputs!$D$61*12))</f>
        <v>-8333.33333333333</v>
      </c>
      <c r="F284" s="65" t="n">
        <f aca="false">-MIN(F282,Inputs!$D$59/MAX(1,Inputs!$D$61*12))</f>
        <v>-8333.33333333333</v>
      </c>
      <c r="G284" s="65" t="n">
        <f aca="false">-MIN(G282,Inputs!$D$59/MAX(1,Inputs!$D$61*12))</f>
        <v>-8333.33333333333</v>
      </c>
      <c r="H284" s="65" t="n">
        <f aca="false">-MIN(H282,Inputs!$D$59/MAX(1,Inputs!$D$61*12))</f>
        <v>-8333.33333333333</v>
      </c>
      <c r="I284" s="65" t="n">
        <f aca="false">-MIN(I282,Inputs!$D$59/MAX(1,Inputs!$D$61*12))</f>
        <v>-8333.33333333333</v>
      </c>
      <c r="J284" s="65" t="n">
        <f aca="false">-MIN(J282,Inputs!$D$59/MAX(1,Inputs!$D$61*12))</f>
        <v>-8333.33333333333</v>
      </c>
      <c r="K284" s="65" t="n">
        <f aca="false">-MIN(K282,Inputs!$D$59/MAX(1,Inputs!$D$61*12))</f>
        <v>-8333.33333333333</v>
      </c>
      <c r="L284" s="65" t="n">
        <f aca="false">-MIN(L282,Inputs!$D$59/MAX(1,Inputs!$D$61*12))</f>
        <v>-8333.33333333333</v>
      </c>
      <c r="M284" s="65" t="n">
        <f aca="false">-MIN(M282,Inputs!$D$59/MAX(1,Inputs!$D$61*12))</f>
        <v>-8333.33333333333</v>
      </c>
      <c r="N284" s="65" t="n">
        <f aca="false">-MIN(N282,Inputs!$D$59/MAX(1,Inputs!$D$61*12))</f>
        <v>-8333.33333333333</v>
      </c>
      <c r="O284" s="65" t="n">
        <f aca="false">-MIN(O282,Inputs!$D$59/MAX(1,Inputs!$D$61*12))</f>
        <v>-8333.33333333333</v>
      </c>
      <c r="P284" s="65" t="n">
        <f aca="false">-MIN(P282,Inputs!$D$59/MAX(1,Inputs!$D$61*12))</f>
        <v>-8333.33333333333</v>
      </c>
      <c r="Q284" s="65" t="n">
        <f aca="false">-MIN(Q282,Inputs!$D$59/MAX(1,Inputs!$D$61*12))</f>
        <v>-8333.33333333333</v>
      </c>
      <c r="R284" s="65" t="n">
        <f aca="false">-MIN(R282,Inputs!$D$59/MAX(1,Inputs!$D$61*12))</f>
        <v>-8333.33333333333</v>
      </c>
      <c r="S284" s="65" t="n">
        <f aca="false">-MIN(S282,Inputs!$D$59/MAX(1,Inputs!$D$61*12))</f>
        <v>-8333.33333333333</v>
      </c>
      <c r="T284" s="65" t="n">
        <f aca="false">-MIN(T282,Inputs!$D$59/MAX(1,Inputs!$D$61*12))</f>
        <v>-8333.33333333333</v>
      </c>
      <c r="U284" s="65" t="n">
        <f aca="false">-MIN(U282,Inputs!$D$59/MAX(1,Inputs!$D$61*12))</f>
        <v>-8333.33333333333</v>
      </c>
      <c r="V284" s="65" t="n">
        <f aca="false">-MIN(V282,Inputs!$D$59/MAX(1,Inputs!$D$61*12))</f>
        <v>-8333.33333333333</v>
      </c>
      <c r="W284" s="65" t="n">
        <f aca="false">-MIN(W282,Inputs!$D$59/MAX(1,Inputs!$D$61*12))</f>
        <v>-8333.33333333333</v>
      </c>
      <c r="X284" s="65" t="n">
        <f aca="false">-MIN(X282,Inputs!$D$59/MAX(1,Inputs!$D$61*12))</f>
        <v>-8333.33333333333</v>
      </c>
      <c r="Y284" s="65" t="n">
        <f aca="false">-MIN(Y282,Inputs!$D$59/MAX(1,Inputs!$D$61*12))</f>
        <v>-8333.33333333333</v>
      </c>
      <c r="Z284" s="65" t="n">
        <f aca="false">-MIN(Z282,Inputs!$D$59/MAX(1,Inputs!$D$61*12))</f>
        <v>-8333.33333333333</v>
      </c>
      <c r="AA284" s="65" t="n">
        <f aca="false">-MIN(AA282,Inputs!$D$59/MAX(1,Inputs!$D$61*12))</f>
        <v>-8333.33333333333</v>
      </c>
      <c r="AB284" s="65" t="n">
        <f aca="false">-MIN(AB282,Inputs!$D$59/MAX(1,Inputs!$D$61*12))</f>
        <v>-8333.33333333333</v>
      </c>
      <c r="AC284" s="65" t="n">
        <f aca="false">-MIN(AC282,Inputs!$D$59/MAX(1,Inputs!$D$61*12))</f>
        <v>-8333.33333333333</v>
      </c>
      <c r="AD284" s="65" t="n">
        <f aca="false">-MIN(AD282,Inputs!$D$59/MAX(1,Inputs!$D$61*12))</f>
        <v>-8333.33333333333</v>
      </c>
      <c r="AE284" s="65" t="n">
        <f aca="false">-MIN(AE282,Inputs!$D$59/MAX(1,Inputs!$D$61*12))</f>
        <v>-8333.33333333333</v>
      </c>
      <c r="AF284" s="65" t="n">
        <f aca="false">-MIN(AF282,Inputs!$D$59/MAX(1,Inputs!$D$61*12))</f>
        <v>-8333.33333333333</v>
      </c>
      <c r="AG284" s="65" t="n">
        <f aca="false">-MIN(AG282,Inputs!$D$59/MAX(1,Inputs!$D$61*12))</f>
        <v>-8333.33333333333</v>
      </c>
      <c r="AH284" s="65" t="n">
        <f aca="false">-MIN(AH282,Inputs!$D$59/MAX(1,Inputs!$D$61*12))</f>
        <v>-8333.33333333333</v>
      </c>
      <c r="AI284" s="65" t="n">
        <f aca="false">-MIN(AI282,Inputs!$D$59/MAX(1,Inputs!$D$61*12))</f>
        <v>-8333.33333333333</v>
      </c>
      <c r="AJ284" s="65" t="n">
        <f aca="false">-MIN(AJ282,Inputs!$D$59/MAX(1,Inputs!$D$61*12))</f>
        <v>-8333.33333333333</v>
      </c>
      <c r="AK284" s="65" t="n">
        <f aca="false">-MIN(AK282,Inputs!$D$59/MAX(1,Inputs!$D$61*12))</f>
        <v>-8333.33333333333</v>
      </c>
      <c r="AL284" s="65" t="n">
        <f aca="false">-MIN(AL282,Inputs!$D$59/MAX(1,Inputs!$D$61*12))</f>
        <v>-8333.33333333333</v>
      </c>
      <c r="AM284" s="65" t="n">
        <f aca="false">-MIN(AM282,Inputs!$D$59/MAX(1,Inputs!$D$61*12))</f>
        <v>-8333.33333333333</v>
      </c>
      <c r="AN284" s="65" t="n">
        <f aca="false">-MIN(AN282,Inputs!$D$59/MAX(1,Inputs!$D$61*12))</f>
        <v>-8333.33333333333</v>
      </c>
      <c r="AO284" s="65" t="n">
        <f aca="false">-MIN(AO282,Inputs!$D$59/MAX(1,Inputs!$D$61*12))</f>
        <v>-8333.33333333333</v>
      </c>
      <c r="AP284" s="65" t="n">
        <f aca="false">-MIN(AP282,Inputs!$D$59/MAX(1,Inputs!$D$61*12))</f>
        <v>-8333.33333333333</v>
      </c>
      <c r="AQ284" s="65" t="n">
        <f aca="false">-MIN(AQ282,Inputs!$D$59/MAX(1,Inputs!$D$61*12))</f>
        <v>-8333.33333333333</v>
      </c>
      <c r="AR284" s="65" t="n">
        <f aca="false">-MIN(AR282,Inputs!$D$59/MAX(1,Inputs!$D$61*12))</f>
        <v>-8333.33333333333</v>
      </c>
      <c r="AS284" s="65" t="n">
        <f aca="false">-MIN(AS282,Inputs!$D$59/MAX(1,Inputs!$D$61*12))</f>
        <v>-8333.33333333333</v>
      </c>
      <c r="AT284" s="65" t="n">
        <f aca="false">-MIN(AT282,Inputs!$D$59/MAX(1,Inputs!$D$61*12))</f>
        <v>-8333.33333333333</v>
      </c>
      <c r="AU284" s="65" t="n">
        <f aca="false">-MIN(AU282,Inputs!$D$59/MAX(1,Inputs!$D$61*12))</f>
        <v>-8333.33333333333</v>
      </c>
      <c r="AV284" s="65" t="n">
        <f aca="false">-MIN(AV282,Inputs!$D$59/MAX(1,Inputs!$D$61*12))</f>
        <v>-8333.33333333333</v>
      </c>
      <c r="AW284" s="65" t="n">
        <f aca="false">-MIN(AW282,Inputs!$D$59/MAX(1,Inputs!$D$61*12))</f>
        <v>-8333.33333333333</v>
      </c>
      <c r="AX284" s="65" t="n">
        <f aca="false">-MIN(AX282,Inputs!$D$59/MAX(1,Inputs!$D$61*12))</f>
        <v>-8333.33333333333</v>
      </c>
      <c r="AY284" s="65" t="n">
        <f aca="false">-MIN(AY282,Inputs!$D$59/MAX(1,Inputs!$D$61*12))</f>
        <v>-8333.33333333333</v>
      </c>
      <c r="AZ284" s="65" t="n">
        <f aca="false">-MIN(AZ282,Inputs!$D$59/MAX(1,Inputs!$D$61*12))</f>
        <v>-8333.33333333333</v>
      </c>
      <c r="BA284" s="65" t="n">
        <f aca="false">-MIN(BA282,Inputs!$D$59/MAX(1,Inputs!$D$61*12))</f>
        <v>-8333.33333333333</v>
      </c>
      <c r="BB284" s="65" t="n">
        <f aca="false">-MIN(BB282,Inputs!$D$59/MAX(1,Inputs!$D$61*12))</f>
        <v>-8333.33333333333</v>
      </c>
      <c r="BC284" s="65" t="n">
        <f aca="false">-MIN(BC282,Inputs!$D$59/MAX(1,Inputs!$D$61*12))</f>
        <v>-8333.33333333333</v>
      </c>
      <c r="BD284" s="65" t="n">
        <f aca="false">-MIN(BD282,Inputs!$D$59/MAX(1,Inputs!$D$61*12))</f>
        <v>-8333.33333333333</v>
      </c>
      <c r="BE284" s="65" t="n">
        <f aca="false">-MIN(BE282,Inputs!$D$59/MAX(1,Inputs!$D$61*12))</f>
        <v>-8333.33333333333</v>
      </c>
      <c r="BF284" s="65" t="n">
        <f aca="false">-MIN(BF282,Inputs!$D$59/MAX(1,Inputs!$D$61*12))</f>
        <v>-8333.33333333333</v>
      </c>
      <c r="BG284" s="65" t="n">
        <f aca="false">-MIN(BG282,Inputs!$D$59/MAX(1,Inputs!$D$61*12))</f>
        <v>-8333.33333333333</v>
      </c>
      <c r="BH284" s="65" t="n">
        <f aca="false">-MIN(BH282,Inputs!$D$59/MAX(1,Inputs!$D$61*12))</f>
        <v>-8333.33333333333</v>
      </c>
      <c r="BI284" s="65" t="n">
        <f aca="false">-MIN(BI282,Inputs!$D$59/MAX(1,Inputs!$D$61*12))</f>
        <v>-8333.33333333333</v>
      </c>
      <c r="BJ284" s="65" t="n">
        <f aca="false">-MIN(BJ282,Inputs!$D$59/MAX(1,Inputs!$D$61*12))</f>
        <v>-8333.33333333333</v>
      </c>
    </row>
    <row r="285" customFormat="false" ht="15" hidden="false" customHeight="false" outlineLevel="0" collapsed="false">
      <c r="A285" s="4" t="s">
        <v>428</v>
      </c>
      <c r="C285" s="71" t="n">
        <f aca="false">C282+C283+C284</f>
        <v>500000</v>
      </c>
      <c r="D285" s="71" t="n">
        <f aca="false">D282+D283+D284</f>
        <v>491666.666666667</v>
      </c>
      <c r="E285" s="71" t="n">
        <f aca="false">E282+E283+E284</f>
        <v>483333.333333333</v>
      </c>
      <c r="F285" s="71" t="n">
        <f aca="false">F282+F283+F284</f>
        <v>475000</v>
      </c>
      <c r="G285" s="71" t="n">
        <f aca="false">G282+G283+G284</f>
        <v>466666.666666667</v>
      </c>
      <c r="H285" s="71" t="n">
        <f aca="false">H282+H283+H284</f>
        <v>458333.333333333</v>
      </c>
      <c r="I285" s="71" t="n">
        <f aca="false">I282+I283+I284</f>
        <v>450000</v>
      </c>
      <c r="J285" s="71" t="n">
        <f aca="false">J282+J283+J284</f>
        <v>441666.666666667</v>
      </c>
      <c r="K285" s="71" t="n">
        <f aca="false">K282+K283+K284</f>
        <v>433333.333333334</v>
      </c>
      <c r="L285" s="71" t="n">
        <f aca="false">L282+L283+L284</f>
        <v>425000</v>
      </c>
      <c r="M285" s="71" t="n">
        <f aca="false">M282+M283+M284</f>
        <v>416666.666666667</v>
      </c>
      <c r="N285" s="71" t="n">
        <f aca="false">N282+N283+N284</f>
        <v>408333.333333334</v>
      </c>
      <c r="O285" s="71" t="n">
        <f aca="false">O282+O283+O284</f>
        <v>400000</v>
      </c>
      <c r="P285" s="71" t="n">
        <f aca="false">P282+P283+P284</f>
        <v>391666.666666667</v>
      </c>
      <c r="Q285" s="71" t="n">
        <f aca="false">Q282+Q283+Q284</f>
        <v>383333.333333334</v>
      </c>
      <c r="R285" s="71" t="n">
        <f aca="false">R282+R283+R284</f>
        <v>375000</v>
      </c>
      <c r="S285" s="71" t="n">
        <f aca="false">S282+S283+S284</f>
        <v>366666.666666667</v>
      </c>
      <c r="T285" s="71" t="n">
        <f aca="false">T282+T283+T284</f>
        <v>358333.333333334</v>
      </c>
      <c r="U285" s="71" t="n">
        <f aca="false">U282+U283+U284</f>
        <v>350000</v>
      </c>
      <c r="V285" s="71" t="n">
        <f aca="false">V282+V283+V284</f>
        <v>341666.666666667</v>
      </c>
      <c r="W285" s="71" t="n">
        <f aca="false">W282+W283+W284</f>
        <v>333333.333333334</v>
      </c>
      <c r="X285" s="71" t="n">
        <f aca="false">X282+X283+X284</f>
        <v>325000</v>
      </c>
      <c r="Y285" s="71" t="n">
        <f aca="false">Y282+Y283+Y284</f>
        <v>316666.666666667</v>
      </c>
      <c r="Z285" s="71" t="n">
        <f aca="false">Z282+Z283+Z284</f>
        <v>308333.333333334</v>
      </c>
      <c r="AA285" s="71" t="n">
        <f aca="false">AA282+AA283+AA284</f>
        <v>300000</v>
      </c>
      <c r="AB285" s="71" t="n">
        <f aca="false">AB282+AB283+AB284</f>
        <v>291666.666666667</v>
      </c>
      <c r="AC285" s="71" t="n">
        <f aca="false">AC282+AC283+AC284</f>
        <v>283333.333333334</v>
      </c>
      <c r="AD285" s="71" t="n">
        <f aca="false">AD282+AD283+AD284</f>
        <v>275000.000000001</v>
      </c>
      <c r="AE285" s="71" t="n">
        <f aca="false">AE282+AE283+AE284</f>
        <v>266666.666666667</v>
      </c>
      <c r="AF285" s="71" t="n">
        <f aca="false">AF282+AF283+AF284</f>
        <v>258333.333333334</v>
      </c>
      <c r="AG285" s="71" t="n">
        <f aca="false">AG282+AG283+AG284</f>
        <v>250000.000000001</v>
      </c>
      <c r="AH285" s="71" t="n">
        <f aca="false">AH282+AH283+AH284</f>
        <v>241666.666666667</v>
      </c>
      <c r="AI285" s="71" t="n">
        <f aca="false">AI282+AI283+AI284</f>
        <v>233333.333333334</v>
      </c>
      <c r="AJ285" s="71" t="n">
        <f aca="false">AJ282+AJ283+AJ284</f>
        <v>225000.000000001</v>
      </c>
      <c r="AK285" s="71" t="n">
        <f aca="false">AK282+AK283+AK284</f>
        <v>216666.666666667</v>
      </c>
      <c r="AL285" s="71" t="n">
        <f aca="false">AL282+AL283+AL284</f>
        <v>208333.333333334</v>
      </c>
      <c r="AM285" s="71" t="n">
        <f aca="false">AM282+AM283+AM284</f>
        <v>200000</v>
      </c>
      <c r="AN285" s="71" t="n">
        <f aca="false">AN282+AN283+AN284</f>
        <v>191666.666666667</v>
      </c>
      <c r="AO285" s="71" t="n">
        <f aca="false">AO282+AO283+AO284</f>
        <v>183333.333333334</v>
      </c>
      <c r="AP285" s="71" t="n">
        <f aca="false">AP282+AP283+AP284</f>
        <v>175000</v>
      </c>
      <c r="AQ285" s="71" t="n">
        <f aca="false">AQ282+AQ283+AQ284</f>
        <v>166666.666666667</v>
      </c>
      <c r="AR285" s="71" t="n">
        <f aca="false">AR282+AR283+AR284</f>
        <v>158333.333333334</v>
      </c>
      <c r="AS285" s="71" t="n">
        <f aca="false">AS282+AS283+AS284</f>
        <v>150000</v>
      </c>
      <c r="AT285" s="71" t="n">
        <f aca="false">AT282+AT283+AT284</f>
        <v>141666.666666667</v>
      </c>
      <c r="AU285" s="71" t="n">
        <f aca="false">AU282+AU283+AU284</f>
        <v>133333.333333334</v>
      </c>
      <c r="AV285" s="71" t="n">
        <f aca="false">AV282+AV283+AV284</f>
        <v>125000</v>
      </c>
      <c r="AW285" s="71" t="n">
        <f aca="false">AW282+AW283+AW284</f>
        <v>116666.666666667</v>
      </c>
      <c r="AX285" s="71" t="n">
        <f aca="false">AX282+AX283+AX284</f>
        <v>108333.333333334</v>
      </c>
      <c r="AY285" s="71" t="n">
        <f aca="false">AY282+AY283+AY284</f>
        <v>100000</v>
      </c>
      <c r="AZ285" s="71" t="n">
        <f aca="false">AZ282+AZ283+AZ284</f>
        <v>91666.6666666671</v>
      </c>
      <c r="BA285" s="71" t="n">
        <f aca="false">BA282+BA283+BA284</f>
        <v>83333.3333333338</v>
      </c>
      <c r="BB285" s="71" t="n">
        <f aca="false">BB282+BB283+BB284</f>
        <v>75000.0000000004</v>
      </c>
      <c r="BC285" s="71" t="n">
        <f aca="false">BC282+BC283+BC284</f>
        <v>66666.6666666671</v>
      </c>
      <c r="BD285" s="71" t="n">
        <f aca="false">BD282+BD283+BD284</f>
        <v>58333.3333333338</v>
      </c>
      <c r="BE285" s="71" t="n">
        <f aca="false">BE282+BE283+BE284</f>
        <v>50000.0000000004</v>
      </c>
      <c r="BF285" s="71" t="n">
        <f aca="false">BF282+BF283+BF284</f>
        <v>41666.6666666671</v>
      </c>
      <c r="BG285" s="71" t="n">
        <f aca="false">BG282+BG283+BG284</f>
        <v>33333.3333333338</v>
      </c>
      <c r="BH285" s="71" t="n">
        <f aca="false">BH282+BH283+BH284</f>
        <v>25000.0000000004</v>
      </c>
      <c r="BI285" s="71" t="n">
        <f aca="false">BI282+BI283+BI284</f>
        <v>16666.6666666671</v>
      </c>
      <c r="BJ285" s="71" t="n">
        <f aca="false">BJ282+BJ283+BJ284</f>
        <v>8333.33333333375</v>
      </c>
    </row>
    <row r="287" customFormat="false" ht="15.75" hidden="false" customHeight="true" outlineLevel="0" collapsed="false">
      <c r="A287" s="7" t="s">
        <v>313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customFormat="false" ht="15" hidden="false" customHeight="false" outlineLevel="0" collapsed="false">
      <c r="A288" s="6" t="s">
        <v>90</v>
      </c>
      <c r="C288" s="65" t="n">
        <f aca="false">C249*Inputs!$D$64/30</f>
        <v>47397.9650909091</v>
      </c>
      <c r="D288" s="65" t="n">
        <f aca="false">D249*Inputs!$D$64/30</f>
        <v>47397.9650909091</v>
      </c>
      <c r="E288" s="65" t="n">
        <f aca="false">E249*Inputs!$D$64/30</f>
        <v>47397.9650909091</v>
      </c>
      <c r="F288" s="65" t="n">
        <f aca="false">F249*Inputs!$D$64/30</f>
        <v>47397.9650909091</v>
      </c>
      <c r="G288" s="65" t="n">
        <f aca="false">G249*Inputs!$D$64/30</f>
        <v>47397.9650909091</v>
      </c>
      <c r="H288" s="65" t="n">
        <f aca="false">H249*Inputs!$D$64/30</f>
        <v>47397.9650909091</v>
      </c>
      <c r="I288" s="65" t="n">
        <f aca="false">I249*Inputs!$D$64/30</f>
        <v>47397.9650909091</v>
      </c>
      <c r="J288" s="65" t="n">
        <f aca="false">J249*Inputs!$D$64/30</f>
        <v>47397.9650909091</v>
      </c>
      <c r="K288" s="65" t="n">
        <f aca="false">K249*Inputs!$D$64/30</f>
        <v>47397.9650909091</v>
      </c>
      <c r="L288" s="65" t="n">
        <f aca="false">L249*Inputs!$D$64/30</f>
        <v>47397.9650909091</v>
      </c>
      <c r="M288" s="65" t="n">
        <f aca="false">M249*Inputs!$D$64/30</f>
        <v>58290.0290909091</v>
      </c>
      <c r="N288" s="65" t="n">
        <f aca="false">N249*Inputs!$D$64/30</f>
        <v>58290.0290909091</v>
      </c>
      <c r="O288" s="65" t="n">
        <f aca="false">O249*Inputs!$D$64/30</f>
        <v>65742.8054147879</v>
      </c>
      <c r="P288" s="65" t="n">
        <f aca="false">P249*Inputs!$D$64/30</f>
        <v>65742.8054147879</v>
      </c>
      <c r="Q288" s="65" t="n">
        <f aca="false">Q249*Inputs!$D$64/30</f>
        <v>65742.8054147879</v>
      </c>
      <c r="R288" s="65" t="n">
        <f aca="false">R249*Inputs!$D$64/30</f>
        <v>65742.8054147879</v>
      </c>
      <c r="S288" s="65" t="n">
        <f aca="false">S249*Inputs!$D$64/30</f>
        <v>65742.8054147879</v>
      </c>
      <c r="T288" s="65" t="n">
        <f aca="false">T249*Inputs!$D$64/30</f>
        <v>65742.8054147879</v>
      </c>
      <c r="U288" s="65" t="n">
        <f aca="false">U249*Inputs!$D$64/30</f>
        <v>65742.8054147879</v>
      </c>
      <c r="V288" s="65" t="n">
        <f aca="false">V249*Inputs!$D$64/30</f>
        <v>65742.8054147879</v>
      </c>
      <c r="W288" s="65" t="n">
        <f aca="false">W249*Inputs!$D$64/30</f>
        <v>65742.8054147879</v>
      </c>
      <c r="X288" s="65" t="n">
        <f aca="false">X249*Inputs!$D$64/30</f>
        <v>65742.8054147879</v>
      </c>
      <c r="Y288" s="65" t="n">
        <f aca="false">Y249*Inputs!$D$64/30</f>
        <v>81859.9865987879</v>
      </c>
      <c r="Z288" s="65" t="n">
        <f aca="false">Z249*Inputs!$D$64/30</f>
        <v>81859.9865987879</v>
      </c>
      <c r="AA288" s="65" t="n">
        <f aca="false">AA249*Inputs!$D$64/30</f>
        <v>90098.9155784766</v>
      </c>
      <c r="AB288" s="65" t="n">
        <f aca="false">AB249*Inputs!$D$64/30</f>
        <v>90098.9155784766</v>
      </c>
      <c r="AC288" s="65" t="n">
        <f aca="false">AC249*Inputs!$D$64/30</f>
        <v>90098.9155784766</v>
      </c>
      <c r="AD288" s="65" t="n">
        <f aca="false">AD249*Inputs!$D$64/30</f>
        <v>90098.9155784766</v>
      </c>
      <c r="AE288" s="65" t="n">
        <f aca="false">AE249*Inputs!$D$64/30</f>
        <v>90098.9155784766</v>
      </c>
      <c r="AF288" s="65" t="n">
        <f aca="false">AF249*Inputs!$D$64/30</f>
        <v>90098.9155784766</v>
      </c>
      <c r="AG288" s="65" t="n">
        <f aca="false">AG249*Inputs!$D$64/30</f>
        <v>90098.9155784766</v>
      </c>
      <c r="AH288" s="65" t="n">
        <f aca="false">AH249*Inputs!$D$64/30</f>
        <v>90098.9155784766</v>
      </c>
      <c r="AI288" s="65" t="n">
        <f aca="false">AI249*Inputs!$D$64/30</f>
        <v>90098.9155784766</v>
      </c>
      <c r="AJ288" s="65" t="n">
        <f aca="false">AJ249*Inputs!$D$64/30</f>
        <v>90098.9155784766</v>
      </c>
      <c r="AK288" s="65" t="n">
        <f aca="false">AK249*Inputs!$D$64/30</f>
        <v>113296.861942381</v>
      </c>
      <c r="AL288" s="65" t="n">
        <f aca="false">AL249*Inputs!$D$64/30</f>
        <v>113296.861942381</v>
      </c>
      <c r="AM288" s="65" t="n">
        <f aca="false">AM249*Inputs!$D$64/30</f>
        <v>122853.748695935</v>
      </c>
      <c r="AN288" s="65" t="n">
        <f aca="false">AN249*Inputs!$D$64/30</f>
        <v>122853.748695935</v>
      </c>
      <c r="AO288" s="65" t="n">
        <f aca="false">AO249*Inputs!$D$64/30</f>
        <v>122853.748695935</v>
      </c>
      <c r="AP288" s="65" t="n">
        <f aca="false">AP249*Inputs!$D$64/30</f>
        <v>122853.748695935</v>
      </c>
      <c r="AQ288" s="65" t="n">
        <f aca="false">AQ249*Inputs!$D$64/30</f>
        <v>122853.748695935</v>
      </c>
      <c r="AR288" s="65" t="n">
        <f aca="false">AR249*Inputs!$D$64/30</f>
        <v>122853.748695935</v>
      </c>
      <c r="AS288" s="65" t="n">
        <f aca="false">AS249*Inputs!$D$64/30</f>
        <v>122853.748695935</v>
      </c>
      <c r="AT288" s="65" t="n">
        <f aca="false">AT249*Inputs!$D$64/30</f>
        <v>122853.748695935</v>
      </c>
      <c r="AU288" s="65" t="n">
        <f aca="false">AU249*Inputs!$D$64/30</f>
        <v>122853.748695935</v>
      </c>
      <c r="AV288" s="65" t="n">
        <f aca="false">AV249*Inputs!$D$64/30</f>
        <v>122853.748695935</v>
      </c>
      <c r="AW288" s="65" t="n">
        <f aca="false">AW249*Inputs!$D$64/30</f>
        <v>155791.709948979</v>
      </c>
      <c r="AX288" s="65" t="n">
        <f aca="false">AX249*Inputs!$D$64/30</f>
        <v>155791.709948979</v>
      </c>
      <c r="AY288" s="65" t="n">
        <f aca="false">AY249*Inputs!$D$64/30</f>
        <v>167416.599796322</v>
      </c>
      <c r="AZ288" s="65" t="n">
        <f aca="false">AZ249*Inputs!$D$64/30</f>
        <v>167416.599796322</v>
      </c>
      <c r="BA288" s="65" t="n">
        <f aca="false">BA249*Inputs!$D$64/30</f>
        <v>167416.599796322</v>
      </c>
      <c r="BB288" s="65" t="n">
        <f aca="false">BB249*Inputs!$D$64/30</f>
        <v>167416.599796322</v>
      </c>
      <c r="BC288" s="65" t="n">
        <f aca="false">BC249*Inputs!$D$64/30</f>
        <v>167416.599796322</v>
      </c>
      <c r="BD288" s="65" t="n">
        <f aca="false">BD249*Inputs!$D$64/30</f>
        <v>167416.599796322</v>
      </c>
      <c r="BE288" s="65" t="n">
        <f aca="false">BE249*Inputs!$D$64/30</f>
        <v>167416.599796322</v>
      </c>
      <c r="BF288" s="65" t="n">
        <f aca="false">BF249*Inputs!$D$64/30</f>
        <v>167416.599796322</v>
      </c>
      <c r="BG288" s="65" t="n">
        <f aca="false">BG249*Inputs!$D$64/30</f>
        <v>167416.599796322</v>
      </c>
      <c r="BH288" s="65" t="n">
        <f aca="false">BH249*Inputs!$D$64/30</f>
        <v>167416.599796322</v>
      </c>
      <c r="BI288" s="65" t="n">
        <f aca="false">BI249*Inputs!$D$64/30</f>
        <v>213921.307049234</v>
      </c>
      <c r="BJ288" s="65" t="n">
        <f aca="false">BJ249*Inputs!$D$64/30</f>
        <v>213921.307049234</v>
      </c>
    </row>
    <row r="289" customFormat="false" ht="15" hidden="false" customHeight="false" outlineLevel="0" collapsed="false">
      <c r="A289" s="6" t="s">
        <v>91</v>
      </c>
      <c r="C289" s="65" t="n">
        <f aca="false">-C250*Inputs!$D$65/30</f>
        <v>693195.239454545</v>
      </c>
      <c r="D289" s="65" t="n">
        <f aca="false">-D250*Inputs!$D$65/30</f>
        <v>693195.239454545</v>
      </c>
      <c r="E289" s="65" t="n">
        <f aca="false">-E250*Inputs!$D$65/30</f>
        <v>693195.239454545</v>
      </c>
      <c r="F289" s="65" t="n">
        <f aca="false">-F250*Inputs!$D$65/30</f>
        <v>693195.239454545</v>
      </c>
      <c r="G289" s="65" t="n">
        <f aca="false">-G250*Inputs!$D$65/30</f>
        <v>693195.239454545</v>
      </c>
      <c r="H289" s="65" t="n">
        <f aca="false">-H250*Inputs!$D$65/30</f>
        <v>693195.239454545</v>
      </c>
      <c r="I289" s="65" t="n">
        <f aca="false">-I250*Inputs!$D$65/30</f>
        <v>693195.239454545</v>
      </c>
      <c r="J289" s="65" t="n">
        <f aca="false">-J250*Inputs!$D$65/30</f>
        <v>693195.239454545</v>
      </c>
      <c r="K289" s="65" t="n">
        <f aca="false">-K250*Inputs!$D$65/30</f>
        <v>693195.239454545</v>
      </c>
      <c r="L289" s="65" t="n">
        <f aca="false">-L250*Inputs!$D$65/30</f>
        <v>693195.239454545</v>
      </c>
      <c r="M289" s="65" t="n">
        <f aca="false">-M250*Inputs!$D$65/30</f>
        <v>852491.675454546</v>
      </c>
      <c r="N289" s="65" t="n">
        <f aca="false">-N250*Inputs!$D$65/30</f>
        <v>852491.675454546</v>
      </c>
      <c r="O289" s="65" t="n">
        <f aca="false">-O250*Inputs!$D$65/30</f>
        <v>961488.529191273</v>
      </c>
      <c r="P289" s="65" t="n">
        <f aca="false">-P250*Inputs!$D$65/30</f>
        <v>961488.529191273</v>
      </c>
      <c r="Q289" s="65" t="n">
        <f aca="false">-Q250*Inputs!$D$65/30</f>
        <v>961488.529191273</v>
      </c>
      <c r="R289" s="65" t="n">
        <f aca="false">-R250*Inputs!$D$65/30</f>
        <v>961488.529191273</v>
      </c>
      <c r="S289" s="65" t="n">
        <f aca="false">-S250*Inputs!$D$65/30</f>
        <v>961488.529191273</v>
      </c>
      <c r="T289" s="65" t="n">
        <f aca="false">-T250*Inputs!$D$65/30</f>
        <v>961488.529191273</v>
      </c>
      <c r="U289" s="65" t="n">
        <f aca="false">-U250*Inputs!$D$65/30</f>
        <v>961488.529191273</v>
      </c>
      <c r="V289" s="65" t="n">
        <f aca="false">-V250*Inputs!$D$65/30</f>
        <v>961488.529191273</v>
      </c>
      <c r="W289" s="65" t="n">
        <f aca="false">-W250*Inputs!$D$65/30</f>
        <v>961488.529191273</v>
      </c>
      <c r="X289" s="65" t="n">
        <f aca="false">-X250*Inputs!$D$65/30</f>
        <v>961488.529191273</v>
      </c>
      <c r="Y289" s="65" t="n">
        <f aca="false">-Y250*Inputs!$D$65/30</f>
        <v>1197202.30400727</v>
      </c>
      <c r="Z289" s="65" t="n">
        <f aca="false">-Z250*Inputs!$D$65/30</f>
        <v>1197202.30400727</v>
      </c>
      <c r="AA289" s="65" t="n">
        <f aca="false">-AA250*Inputs!$D$65/30</f>
        <v>1317696.64033522</v>
      </c>
      <c r="AB289" s="65" t="n">
        <f aca="false">-AB250*Inputs!$D$65/30</f>
        <v>1317696.64033522</v>
      </c>
      <c r="AC289" s="65" t="n">
        <f aca="false">-AC250*Inputs!$D$65/30</f>
        <v>1317696.64033522</v>
      </c>
      <c r="AD289" s="65" t="n">
        <f aca="false">-AD250*Inputs!$D$65/30</f>
        <v>1317696.64033522</v>
      </c>
      <c r="AE289" s="65" t="n">
        <f aca="false">-AE250*Inputs!$D$65/30</f>
        <v>1317696.64033522</v>
      </c>
      <c r="AF289" s="65" t="n">
        <f aca="false">-AF250*Inputs!$D$65/30</f>
        <v>1317696.64033522</v>
      </c>
      <c r="AG289" s="65" t="n">
        <f aca="false">-AG250*Inputs!$D$65/30</f>
        <v>1317696.64033522</v>
      </c>
      <c r="AH289" s="65" t="n">
        <f aca="false">-AH250*Inputs!$D$65/30</f>
        <v>1317696.64033522</v>
      </c>
      <c r="AI289" s="65" t="n">
        <f aca="false">-AI250*Inputs!$D$65/30</f>
        <v>1317696.64033522</v>
      </c>
      <c r="AJ289" s="65" t="n">
        <f aca="false">-AJ250*Inputs!$D$65/30</f>
        <v>1317696.64033522</v>
      </c>
      <c r="AK289" s="65" t="n">
        <f aca="false">-AK250*Inputs!$D$65/30</f>
        <v>1656966.60590732</v>
      </c>
      <c r="AL289" s="65" t="n">
        <f aca="false">-AL250*Inputs!$D$65/30</f>
        <v>1656966.60590732</v>
      </c>
      <c r="AM289" s="65" t="n">
        <f aca="false">-AM250*Inputs!$D$65/30</f>
        <v>1796736.07467804</v>
      </c>
      <c r="AN289" s="65" t="n">
        <f aca="false">-AN250*Inputs!$D$65/30</f>
        <v>1796736.07467804</v>
      </c>
      <c r="AO289" s="65" t="n">
        <f aca="false">-AO250*Inputs!$D$65/30</f>
        <v>1796736.07467804</v>
      </c>
      <c r="AP289" s="65" t="n">
        <f aca="false">-AP250*Inputs!$D$65/30</f>
        <v>1796736.07467804</v>
      </c>
      <c r="AQ289" s="65" t="n">
        <f aca="false">-AQ250*Inputs!$D$65/30</f>
        <v>1796736.07467804</v>
      </c>
      <c r="AR289" s="65" t="n">
        <f aca="false">-AR250*Inputs!$D$65/30</f>
        <v>1796736.07467804</v>
      </c>
      <c r="AS289" s="65" t="n">
        <f aca="false">-AS250*Inputs!$D$65/30</f>
        <v>1796736.07467804</v>
      </c>
      <c r="AT289" s="65" t="n">
        <f aca="false">-AT250*Inputs!$D$65/30</f>
        <v>1796736.07467804</v>
      </c>
      <c r="AU289" s="65" t="n">
        <f aca="false">-AU250*Inputs!$D$65/30</f>
        <v>1796736.07467804</v>
      </c>
      <c r="AV289" s="65" t="n">
        <f aca="false">-AV250*Inputs!$D$65/30</f>
        <v>1796736.07467804</v>
      </c>
      <c r="AW289" s="65" t="n">
        <f aca="false">-AW250*Inputs!$D$65/30</f>
        <v>2278453.75800382</v>
      </c>
      <c r="AX289" s="65" t="n">
        <f aca="false">-AX250*Inputs!$D$65/30</f>
        <v>2278453.75800382</v>
      </c>
      <c r="AY289" s="65" t="n">
        <f aca="false">-AY250*Inputs!$D$65/30</f>
        <v>2448467.77202121</v>
      </c>
      <c r="AZ289" s="65" t="n">
        <f aca="false">-AZ250*Inputs!$D$65/30</f>
        <v>2448467.77202121</v>
      </c>
      <c r="BA289" s="65" t="n">
        <f aca="false">-BA250*Inputs!$D$65/30</f>
        <v>2448467.77202121</v>
      </c>
      <c r="BB289" s="65" t="n">
        <f aca="false">-BB250*Inputs!$D$65/30</f>
        <v>2448467.77202121</v>
      </c>
      <c r="BC289" s="65" t="n">
        <f aca="false">-BC250*Inputs!$D$65/30</f>
        <v>2448467.77202121</v>
      </c>
      <c r="BD289" s="65" t="n">
        <f aca="false">-BD250*Inputs!$D$65/30</f>
        <v>2448467.77202121</v>
      </c>
      <c r="BE289" s="65" t="n">
        <f aca="false">-BE250*Inputs!$D$65/30</f>
        <v>2448467.77202121</v>
      </c>
      <c r="BF289" s="65" t="n">
        <f aca="false">-BF250*Inputs!$D$65/30</f>
        <v>2448467.77202121</v>
      </c>
      <c r="BG289" s="65" t="n">
        <f aca="false">-BG250*Inputs!$D$65/30</f>
        <v>2448467.77202121</v>
      </c>
      <c r="BH289" s="65" t="n">
        <f aca="false">-BH250*Inputs!$D$65/30</f>
        <v>2448467.77202121</v>
      </c>
      <c r="BI289" s="65" t="n">
        <f aca="false">-BI250*Inputs!$D$65/30</f>
        <v>3128599.11559505</v>
      </c>
      <c r="BJ289" s="65" t="n">
        <f aca="false">-BJ250*Inputs!$D$65/30</f>
        <v>3128599.11559505</v>
      </c>
    </row>
    <row r="290" customFormat="false" ht="15" hidden="false" customHeight="false" outlineLevel="0" collapsed="false">
      <c r="A290" s="6" t="s">
        <v>94</v>
      </c>
      <c r="C290" s="65" t="n">
        <f aca="false">-C250*Inputs!$D$66/30</f>
        <v>277278.095781818</v>
      </c>
      <c r="D290" s="65" t="n">
        <f aca="false">-D250*Inputs!$D$66/30</f>
        <v>277278.095781818</v>
      </c>
      <c r="E290" s="65" t="n">
        <f aca="false">-E250*Inputs!$D$66/30</f>
        <v>277278.095781818</v>
      </c>
      <c r="F290" s="65" t="n">
        <f aca="false">-F250*Inputs!$D$66/30</f>
        <v>277278.095781818</v>
      </c>
      <c r="G290" s="65" t="n">
        <f aca="false">-G250*Inputs!$D$66/30</f>
        <v>277278.095781818</v>
      </c>
      <c r="H290" s="65" t="n">
        <f aca="false">-H250*Inputs!$D$66/30</f>
        <v>277278.095781818</v>
      </c>
      <c r="I290" s="65" t="n">
        <f aca="false">-I250*Inputs!$D$66/30</f>
        <v>277278.095781818</v>
      </c>
      <c r="J290" s="65" t="n">
        <f aca="false">-J250*Inputs!$D$66/30</f>
        <v>277278.095781818</v>
      </c>
      <c r="K290" s="65" t="n">
        <f aca="false">-K250*Inputs!$D$66/30</f>
        <v>277278.095781818</v>
      </c>
      <c r="L290" s="65" t="n">
        <f aca="false">-L250*Inputs!$D$66/30</f>
        <v>277278.095781818</v>
      </c>
      <c r="M290" s="65" t="n">
        <f aca="false">-M250*Inputs!$D$66/30</f>
        <v>340996.670181818</v>
      </c>
      <c r="N290" s="65" t="n">
        <f aca="false">-N250*Inputs!$D$66/30</f>
        <v>340996.670181818</v>
      </c>
      <c r="O290" s="65" t="n">
        <f aca="false">-O250*Inputs!$D$66/30</f>
        <v>384595.411676509</v>
      </c>
      <c r="P290" s="65" t="n">
        <f aca="false">-P250*Inputs!$D$66/30</f>
        <v>384595.411676509</v>
      </c>
      <c r="Q290" s="65" t="n">
        <f aca="false">-Q250*Inputs!$D$66/30</f>
        <v>384595.411676509</v>
      </c>
      <c r="R290" s="65" t="n">
        <f aca="false">-R250*Inputs!$D$66/30</f>
        <v>384595.411676509</v>
      </c>
      <c r="S290" s="65" t="n">
        <f aca="false">-S250*Inputs!$D$66/30</f>
        <v>384595.411676509</v>
      </c>
      <c r="T290" s="65" t="n">
        <f aca="false">-T250*Inputs!$D$66/30</f>
        <v>384595.411676509</v>
      </c>
      <c r="U290" s="65" t="n">
        <f aca="false">-U250*Inputs!$D$66/30</f>
        <v>384595.411676509</v>
      </c>
      <c r="V290" s="65" t="n">
        <f aca="false">-V250*Inputs!$D$66/30</f>
        <v>384595.411676509</v>
      </c>
      <c r="W290" s="65" t="n">
        <f aca="false">-W250*Inputs!$D$66/30</f>
        <v>384595.411676509</v>
      </c>
      <c r="X290" s="65" t="n">
        <f aca="false">-X250*Inputs!$D$66/30</f>
        <v>384595.411676509</v>
      </c>
      <c r="Y290" s="65" t="n">
        <f aca="false">-Y250*Inputs!$D$66/30</f>
        <v>478880.921602909</v>
      </c>
      <c r="Z290" s="65" t="n">
        <f aca="false">-Z250*Inputs!$D$66/30</f>
        <v>478880.921602909</v>
      </c>
      <c r="AA290" s="65" t="n">
        <f aca="false">-AA250*Inputs!$D$66/30</f>
        <v>527078.656134088</v>
      </c>
      <c r="AB290" s="65" t="n">
        <f aca="false">-AB250*Inputs!$D$66/30</f>
        <v>527078.656134088</v>
      </c>
      <c r="AC290" s="65" t="n">
        <f aca="false">-AC250*Inputs!$D$66/30</f>
        <v>527078.656134088</v>
      </c>
      <c r="AD290" s="65" t="n">
        <f aca="false">-AD250*Inputs!$D$66/30</f>
        <v>527078.656134088</v>
      </c>
      <c r="AE290" s="65" t="n">
        <f aca="false">-AE250*Inputs!$D$66/30</f>
        <v>527078.656134088</v>
      </c>
      <c r="AF290" s="65" t="n">
        <f aca="false">-AF250*Inputs!$D$66/30</f>
        <v>527078.656134088</v>
      </c>
      <c r="AG290" s="65" t="n">
        <f aca="false">-AG250*Inputs!$D$66/30</f>
        <v>527078.656134088</v>
      </c>
      <c r="AH290" s="65" t="n">
        <f aca="false">-AH250*Inputs!$D$66/30</f>
        <v>527078.656134088</v>
      </c>
      <c r="AI290" s="65" t="n">
        <f aca="false">-AI250*Inputs!$D$66/30</f>
        <v>527078.656134088</v>
      </c>
      <c r="AJ290" s="65" t="n">
        <f aca="false">-AJ250*Inputs!$D$66/30</f>
        <v>527078.656134088</v>
      </c>
      <c r="AK290" s="65" t="n">
        <f aca="false">-AK250*Inputs!$D$66/30</f>
        <v>662786.642362927</v>
      </c>
      <c r="AL290" s="65" t="n">
        <f aca="false">-AL250*Inputs!$D$66/30</f>
        <v>662786.642362927</v>
      </c>
      <c r="AM290" s="65" t="n">
        <f aca="false">-AM250*Inputs!$D$66/30</f>
        <v>718694.429871218</v>
      </c>
      <c r="AN290" s="65" t="n">
        <f aca="false">-AN250*Inputs!$D$66/30</f>
        <v>718694.429871218</v>
      </c>
      <c r="AO290" s="65" t="n">
        <f aca="false">-AO250*Inputs!$D$66/30</f>
        <v>718694.429871218</v>
      </c>
      <c r="AP290" s="65" t="n">
        <f aca="false">-AP250*Inputs!$D$66/30</f>
        <v>718694.429871218</v>
      </c>
      <c r="AQ290" s="65" t="n">
        <f aca="false">-AQ250*Inputs!$D$66/30</f>
        <v>718694.429871218</v>
      </c>
      <c r="AR290" s="65" t="n">
        <f aca="false">-AR250*Inputs!$D$66/30</f>
        <v>718694.429871218</v>
      </c>
      <c r="AS290" s="65" t="n">
        <f aca="false">-AS250*Inputs!$D$66/30</f>
        <v>718694.429871218</v>
      </c>
      <c r="AT290" s="65" t="n">
        <f aca="false">-AT250*Inputs!$D$66/30</f>
        <v>718694.429871218</v>
      </c>
      <c r="AU290" s="65" t="n">
        <f aca="false">-AU250*Inputs!$D$66/30</f>
        <v>718694.429871218</v>
      </c>
      <c r="AV290" s="65" t="n">
        <f aca="false">-AV250*Inputs!$D$66/30</f>
        <v>718694.429871218</v>
      </c>
      <c r="AW290" s="65" t="n">
        <f aca="false">-AW250*Inputs!$D$66/30</f>
        <v>911381.503201526</v>
      </c>
      <c r="AX290" s="65" t="n">
        <f aca="false">-AX250*Inputs!$D$66/30</f>
        <v>911381.503201526</v>
      </c>
      <c r="AY290" s="65" t="n">
        <f aca="false">-AY250*Inputs!$D$66/30</f>
        <v>979387.108808484</v>
      </c>
      <c r="AZ290" s="65" t="n">
        <f aca="false">-AZ250*Inputs!$D$66/30</f>
        <v>979387.108808484</v>
      </c>
      <c r="BA290" s="65" t="n">
        <f aca="false">-BA250*Inputs!$D$66/30</f>
        <v>979387.108808484</v>
      </c>
      <c r="BB290" s="65" t="n">
        <f aca="false">-BB250*Inputs!$D$66/30</f>
        <v>979387.108808484</v>
      </c>
      <c r="BC290" s="65" t="n">
        <f aca="false">-BC250*Inputs!$D$66/30</f>
        <v>979387.108808484</v>
      </c>
      <c r="BD290" s="65" t="n">
        <f aca="false">-BD250*Inputs!$D$66/30</f>
        <v>979387.108808484</v>
      </c>
      <c r="BE290" s="65" t="n">
        <f aca="false">-BE250*Inputs!$D$66/30</f>
        <v>979387.108808484</v>
      </c>
      <c r="BF290" s="65" t="n">
        <f aca="false">-BF250*Inputs!$D$66/30</f>
        <v>979387.108808484</v>
      </c>
      <c r="BG290" s="65" t="n">
        <f aca="false">-BG250*Inputs!$D$66/30</f>
        <v>979387.108808484</v>
      </c>
      <c r="BH290" s="65" t="n">
        <f aca="false">-BH250*Inputs!$D$66/30</f>
        <v>979387.108808484</v>
      </c>
      <c r="BI290" s="65" t="n">
        <f aca="false">-BI250*Inputs!$D$66/30</f>
        <v>1251439.64623802</v>
      </c>
      <c r="BJ290" s="65" t="n">
        <f aca="false">-BJ250*Inputs!$D$66/30</f>
        <v>1251439.64623802</v>
      </c>
    </row>
    <row r="291" customFormat="false" ht="15" hidden="false" customHeight="false" outlineLevel="0" collapsed="false">
      <c r="A291" s="6" t="s">
        <v>338</v>
      </c>
      <c r="C291" s="65" t="n">
        <f aca="false">-C288</f>
        <v>-47397.9650909091</v>
      </c>
      <c r="D291" s="65" t="n">
        <f aca="false">C288-D288</f>
        <v>0</v>
      </c>
      <c r="E291" s="65" t="n">
        <f aca="false">D288-E288</f>
        <v>0</v>
      </c>
      <c r="F291" s="65" t="n">
        <f aca="false">E288-F288</f>
        <v>0</v>
      </c>
      <c r="G291" s="65" t="n">
        <f aca="false">F288-G288</f>
        <v>0</v>
      </c>
      <c r="H291" s="65" t="n">
        <f aca="false">G288-H288</f>
        <v>0</v>
      </c>
      <c r="I291" s="65" t="n">
        <f aca="false">H288-I288</f>
        <v>0</v>
      </c>
      <c r="J291" s="65" t="n">
        <f aca="false">I288-J288</f>
        <v>0</v>
      </c>
      <c r="K291" s="65" t="n">
        <f aca="false">J288-K288</f>
        <v>0</v>
      </c>
      <c r="L291" s="65" t="n">
        <f aca="false">K288-L288</f>
        <v>0</v>
      </c>
      <c r="M291" s="65" t="n">
        <f aca="false">L288-M288</f>
        <v>-10892.064</v>
      </c>
      <c r="N291" s="65" t="n">
        <f aca="false">M288-N288</f>
        <v>0</v>
      </c>
      <c r="O291" s="65" t="n">
        <f aca="false">N288-O288</f>
        <v>-7452.77632387882</v>
      </c>
      <c r="P291" s="65" t="n">
        <f aca="false">O288-P288</f>
        <v>0</v>
      </c>
      <c r="Q291" s="65" t="n">
        <f aca="false">P288-Q288</f>
        <v>0</v>
      </c>
      <c r="R291" s="65" t="n">
        <f aca="false">Q288-R288</f>
        <v>0</v>
      </c>
      <c r="S291" s="65" t="n">
        <f aca="false">R288-S288</f>
        <v>0</v>
      </c>
      <c r="T291" s="65" t="n">
        <f aca="false">S288-T288</f>
        <v>0</v>
      </c>
      <c r="U291" s="65" t="n">
        <f aca="false">T288-U288</f>
        <v>0</v>
      </c>
      <c r="V291" s="65" t="n">
        <f aca="false">U288-V288</f>
        <v>0</v>
      </c>
      <c r="W291" s="65" t="n">
        <f aca="false">V288-W288</f>
        <v>0</v>
      </c>
      <c r="X291" s="65" t="n">
        <f aca="false">W288-X288</f>
        <v>0</v>
      </c>
      <c r="Y291" s="65" t="n">
        <f aca="false">X288-Y288</f>
        <v>-16117.181184</v>
      </c>
      <c r="Z291" s="65" t="n">
        <f aca="false">Y288-Z288</f>
        <v>0</v>
      </c>
      <c r="AA291" s="65" t="n">
        <f aca="false">Z288-AA288</f>
        <v>-8238.92897968872</v>
      </c>
      <c r="AB291" s="65" t="n">
        <f aca="false">AA288-AB288</f>
        <v>0</v>
      </c>
      <c r="AC291" s="65" t="n">
        <f aca="false">AB288-AC288</f>
        <v>0</v>
      </c>
      <c r="AD291" s="65" t="n">
        <f aca="false">AC288-AD288</f>
        <v>0</v>
      </c>
      <c r="AE291" s="65" t="n">
        <f aca="false">AD288-AE288</f>
        <v>0</v>
      </c>
      <c r="AF291" s="65" t="n">
        <f aca="false">AE288-AF288</f>
        <v>0</v>
      </c>
      <c r="AG291" s="65" t="n">
        <f aca="false">AF288-AG288</f>
        <v>0</v>
      </c>
      <c r="AH291" s="65" t="n">
        <f aca="false">AG288-AH288</f>
        <v>0</v>
      </c>
      <c r="AI291" s="65" t="n">
        <f aca="false">AH288-AI288</f>
        <v>0</v>
      </c>
      <c r="AJ291" s="65" t="n">
        <f aca="false">AI288-AJ288</f>
        <v>0</v>
      </c>
      <c r="AK291" s="65" t="n">
        <f aca="false">AJ288-AK288</f>
        <v>-23197.946363904</v>
      </c>
      <c r="AL291" s="65" t="n">
        <f aca="false">AK288-AL288</f>
        <v>0</v>
      </c>
      <c r="AM291" s="65" t="n">
        <f aca="false">AL288-AM288</f>
        <v>-9556.88675355408</v>
      </c>
      <c r="AN291" s="65" t="n">
        <f aca="false">AM288-AN288</f>
        <v>0</v>
      </c>
      <c r="AO291" s="65" t="n">
        <f aca="false">AN288-AO288</f>
        <v>0</v>
      </c>
      <c r="AP291" s="65" t="n">
        <f aca="false">AO288-AP288</f>
        <v>0</v>
      </c>
      <c r="AQ291" s="65" t="n">
        <f aca="false">AP288-AQ288</f>
        <v>0</v>
      </c>
      <c r="AR291" s="65" t="n">
        <f aca="false">AQ288-AR288</f>
        <v>0</v>
      </c>
      <c r="AS291" s="65" t="n">
        <f aca="false">AR288-AS288</f>
        <v>0</v>
      </c>
      <c r="AT291" s="65" t="n">
        <f aca="false">AS288-AT288</f>
        <v>0</v>
      </c>
      <c r="AU291" s="65" t="n">
        <f aca="false">AT288-AU288</f>
        <v>0</v>
      </c>
      <c r="AV291" s="65" t="n">
        <f aca="false">AU288-AV288</f>
        <v>0</v>
      </c>
      <c r="AW291" s="65" t="n">
        <f aca="false">AV288-AW288</f>
        <v>-32937.9612530442</v>
      </c>
      <c r="AX291" s="65" t="n">
        <f aca="false">AW288-AX288</f>
        <v>0</v>
      </c>
      <c r="AY291" s="65" t="n">
        <f aca="false">AX288-AY288</f>
        <v>-11624.8898473432</v>
      </c>
      <c r="AZ291" s="65" t="n">
        <f aca="false">AY288-AZ288</f>
        <v>0</v>
      </c>
      <c r="BA291" s="65" t="n">
        <f aca="false">AZ288-BA288</f>
        <v>0</v>
      </c>
      <c r="BB291" s="65" t="n">
        <f aca="false">BA288-BB288</f>
        <v>0</v>
      </c>
      <c r="BC291" s="65" t="n">
        <f aca="false">BB288-BC288</f>
        <v>0</v>
      </c>
      <c r="BD291" s="65" t="n">
        <f aca="false">BC288-BD288</f>
        <v>0</v>
      </c>
      <c r="BE291" s="65" t="n">
        <f aca="false">BD288-BE288</f>
        <v>0</v>
      </c>
      <c r="BF291" s="65" t="n">
        <f aca="false">BE288-BF288</f>
        <v>0</v>
      </c>
      <c r="BG291" s="65" t="n">
        <f aca="false">BF288-BG288</f>
        <v>0</v>
      </c>
      <c r="BH291" s="65" t="n">
        <f aca="false">BG288-BH288</f>
        <v>0</v>
      </c>
      <c r="BI291" s="65" t="n">
        <f aca="false">BH288-BI288</f>
        <v>-46504.7072529124</v>
      </c>
      <c r="BJ291" s="65" t="n">
        <f aca="false">BI288-BJ288</f>
        <v>0</v>
      </c>
    </row>
    <row r="292" customFormat="false" ht="15" hidden="false" customHeight="false" outlineLevel="0" collapsed="false">
      <c r="A292" s="6" t="s">
        <v>339</v>
      </c>
      <c r="C292" s="65" t="n">
        <f aca="false">-C289</f>
        <v>-693195.239454545</v>
      </c>
      <c r="D292" s="65" t="n">
        <f aca="false">C289-D289</f>
        <v>0</v>
      </c>
      <c r="E292" s="65" t="n">
        <f aca="false">D289-E289</f>
        <v>0</v>
      </c>
      <c r="F292" s="65" t="n">
        <f aca="false">E289-F289</f>
        <v>0</v>
      </c>
      <c r="G292" s="65" t="n">
        <f aca="false">F289-G289</f>
        <v>0</v>
      </c>
      <c r="H292" s="65" t="n">
        <f aca="false">G289-H289</f>
        <v>0</v>
      </c>
      <c r="I292" s="65" t="n">
        <f aca="false">H289-I289</f>
        <v>0</v>
      </c>
      <c r="J292" s="65" t="n">
        <f aca="false">I289-J289</f>
        <v>0</v>
      </c>
      <c r="K292" s="65" t="n">
        <f aca="false">J289-K289</f>
        <v>0</v>
      </c>
      <c r="L292" s="65" t="n">
        <f aca="false">K289-L289</f>
        <v>0</v>
      </c>
      <c r="M292" s="65" t="n">
        <f aca="false">L289-M289</f>
        <v>-159296.436</v>
      </c>
      <c r="N292" s="65" t="n">
        <f aca="false">M289-N289</f>
        <v>0</v>
      </c>
      <c r="O292" s="65" t="n">
        <f aca="false">N289-O289</f>
        <v>-108996.853736727</v>
      </c>
      <c r="P292" s="65" t="n">
        <f aca="false">O289-P289</f>
        <v>0</v>
      </c>
      <c r="Q292" s="65" t="n">
        <f aca="false">P289-Q289</f>
        <v>0</v>
      </c>
      <c r="R292" s="65" t="n">
        <f aca="false">Q289-R289</f>
        <v>0</v>
      </c>
      <c r="S292" s="65" t="n">
        <f aca="false">R289-S289</f>
        <v>0</v>
      </c>
      <c r="T292" s="65" t="n">
        <f aca="false">S289-T289</f>
        <v>0</v>
      </c>
      <c r="U292" s="65" t="n">
        <f aca="false">T289-U289</f>
        <v>0</v>
      </c>
      <c r="V292" s="65" t="n">
        <f aca="false">U289-V289</f>
        <v>0</v>
      </c>
      <c r="W292" s="65" t="n">
        <f aca="false">V289-W289</f>
        <v>0</v>
      </c>
      <c r="X292" s="65" t="n">
        <f aca="false">W289-X289</f>
        <v>0</v>
      </c>
      <c r="Y292" s="65" t="n">
        <f aca="false">X289-Y289</f>
        <v>-235713.774816</v>
      </c>
      <c r="Z292" s="65" t="n">
        <f aca="false">Y289-Z289</f>
        <v>0</v>
      </c>
      <c r="AA292" s="65" t="n">
        <f aca="false">Z289-AA289</f>
        <v>-120494.336327947</v>
      </c>
      <c r="AB292" s="65" t="n">
        <f aca="false">AA289-AB289</f>
        <v>0</v>
      </c>
      <c r="AC292" s="65" t="n">
        <f aca="false">AB289-AC289</f>
        <v>0</v>
      </c>
      <c r="AD292" s="65" t="n">
        <f aca="false">AC289-AD289</f>
        <v>0</v>
      </c>
      <c r="AE292" s="65" t="n">
        <f aca="false">AD289-AE289</f>
        <v>0</v>
      </c>
      <c r="AF292" s="65" t="n">
        <f aca="false">AE289-AF289</f>
        <v>0</v>
      </c>
      <c r="AG292" s="65" t="n">
        <f aca="false">AF289-AG289</f>
        <v>0</v>
      </c>
      <c r="AH292" s="65" t="n">
        <f aca="false">AG289-AH289</f>
        <v>0</v>
      </c>
      <c r="AI292" s="65" t="n">
        <f aca="false">AH289-AI289</f>
        <v>0</v>
      </c>
      <c r="AJ292" s="65" t="n">
        <f aca="false">AI289-AJ289</f>
        <v>0</v>
      </c>
      <c r="AK292" s="65" t="n">
        <f aca="false">AJ289-AK289</f>
        <v>-339269.965572096</v>
      </c>
      <c r="AL292" s="65" t="n">
        <f aca="false">AK289-AL289</f>
        <v>0</v>
      </c>
      <c r="AM292" s="65" t="n">
        <f aca="false">AL289-AM289</f>
        <v>-139769.468770728</v>
      </c>
      <c r="AN292" s="65" t="n">
        <f aca="false">AM289-AN289</f>
        <v>0</v>
      </c>
      <c r="AO292" s="65" t="n">
        <f aca="false">AN289-AO289</f>
        <v>0</v>
      </c>
      <c r="AP292" s="65" t="n">
        <f aca="false">AO289-AP289</f>
        <v>0</v>
      </c>
      <c r="AQ292" s="65" t="n">
        <f aca="false">AP289-AQ289</f>
        <v>0</v>
      </c>
      <c r="AR292" s="65" t="n">
        <f aca="false">AQ289-AR289</f>
        <v>0</v>
      </c>
      <c r="AS292" s="65" t="n">
        <f aca="false">AR289-AS289</f>
        <v>0</v>
      </c>
      <c r="AT292" s="65" t="n">
        <f aca="false">AS289-AT289</f>
        <v>0</v>
      </c>
      <c r="AU292" s="65" t="n">
        <f aca="false">AT289-AU289</f>
        <v>0</v>
      </c>
      <c r="AV292" s="65" t="n">
        <f aca="false">AU289-AV289</f>
        <v>0</v>
      </c>
      <c r="AW292" s="65" t="n">
        <f aca="false">AV289-AW289</f>
        <v>-481717.683325772</v>
      </c>
      <c r="AX292" s="65" t="n">
        <f aca="false">AW289-AX289</f>
        <v>0</v>
      </c>
      <c r="AY292" s="65" t="n">
        <f aca="false">AX289-AY289</f>
        <v>-170014.014017394</v>
      </c>
      <c r="AZ292" s="65" t="n">
        <f aca="false">AY289-AZ289</f>
        <v>0</v>
      </c>
      <c r="BA292" s="65" t="n">
        <f aca="false">AZ289-BA289</f>
        <v>0</v>
      </c>
      <c r="BB292" s="65" t="n">
        <f aca="false">BA289-BB289</f>
        <v>0</v>
      </c>
      <c r="BC292" s="65" t="n">
        <f aca="false">BB289-BC289</f>
        <v>0</v>
      </c>
      <c r="BD292" s="65" t="n">
        <f aca="false">BC289-BD289</f>
        <v>0</v>
      </c>
      <c r="BE292" s="65" t="n">
        <f aca="false">BD289-BE289</f>
        <v>0</v>
      </c>
      <c r="BF292" s="65" t="n">
        <f aca="false">BE289-BF289</f>
        <v>0</v>
      </c>
      <c r="BG292" s="65" t="n">
        <f aca="false">BF289-BG289</f>
        <v>0</v>
      </c>
      <c r="BH292" s="65" t="n">
        <f aca="false">BG289-BH289</f>
        <v>0</v>
      </c>
      <c r="BI292" s="65" t="n">
        <f aca="false">BH289-BI289</f>
        <v>-680131.343573843</v>
      </c>
      <c r="BJ292" s="65" t="n">
        <f aca="false">BI289-BJ289</f>
        <v>0</v>
      </c>
    </row>
    <row r="293" customFormat="false" ht="15" hidden="false" customHeight="false" outlineLevel="0" collapsed="false">
      <c r="A293" s="6" t="s">
        <v>340</v>
      </c>
      <c r="C293" s="65" t="n">
        <f aca="false">C290</f>
        <v>277278.095781818</v>
      </c>
      <c r="D293" s="65" t="n">
        <f aca="false">D290-C290</f>
        <v>0</v>
      </c>
      <c r="E293" s="65" t="n">
        <f aca="false">E290-D290</f>
        <v>0</v>
      </c>
      <c r="F293" s="65" t="n">
        <f aca="false">F290-E290</f>
        <v>0</v>
      </c>
      <c r="G293" s="65" t="n">
        <f aca="false">G290-F290</f>
        <v>0</v>
      </c>
      <c r="H293" s="65" t="n">
        <f aca="false">H290-G290</f>
        <v>0</v>
      </c>
      <c r="I293" s="65" t="n">
        <f aca="false">I290-H290</f>
        <v>0</v>
      </c>
      <c r="J293" s="65" t="n">
        <f aca="false">J290-I290</f>
        <v>0</v>
      </c>
      <c r="K293" s="65" t="n">
        <f aca="false">K290-J290</f>
        <v>0</v>
      </c>
      <c r="L293" s="65" t="n">
        <f aca="false">L290-K290</f>
        <v>0</v>
      </c>
      <c r="M293" s="65" t="n">
        <f aca="false">M290-L290</f>
        <v>63718.5744</v>
      </c>
      <c r="N293" s="65" t="n">
        <f aca="false">N290-M290</f>
        <v>0</v>
      </c>
      <c r="O293" s="65" t="n">
        <f aca="false">O290-N290</f>
        <v>43598.741494691</v>
      </c>
      <c r="P293" s="65" t="n">
        <f aca="false">P290-O290</f>
        <v>0</v>
      </c>
      <c r="Q293" s="65" t="n">
        <f aca="false">Q290-P290</f>
        <v>0</v>
      </c>
      <c r="R293" s="65" t="n">
        <f aca="false">R290-Q290</f>
        <v>0</v>
      </c>
      <c r="S293" s="65" t="n">
        <f aca="false">S290-R290</f>
        <v>0</v>
      </c>
      <c r="T293" s="65" t="n">
        <f aca="false">T290-S290</f>
        <v>0</v>
      </c>
      <c r="U293" s="65" t="n">
        <f aca="false">U290-T290</f>
        <v>0</v>
      </c>
      <c r="V293" s="65" t="n">
        <f aca="false">V290-U290</f>
        <v>0</v>
      </c>
      <c r="W293" s="65" t="n">
        <f aca="false">W290-V290</f>
        <v>0</v>
      </c>
      <c r="X293" s="65" t="n">
        <f aca="false">X290-W290</f>
        <v>0</v>
      </c>
      <c r="Y293" s="65" t="n">
        <f aca="false">Y290-X290</f>
        <v>94285.5099263999</v>
      </c>
      <c r="Z293" s="65" t="n">
        <f aca="false">Z290-Y290</f>
        <v>0</v>
      </c>
      <c r="AA293" s="65" t="n">
        <f aca="false">AA290-Z290</f>
        <v>48197.734531179</v>
      </c>
      <c r="AB293" s="65" t="n">
        <f aca="false">AB290-AA290</f>
        <v>0</v>
      </c>
      <c r="AC293" s="65" t="n">
        <f aca="false">AC290-AB290</f>
        <v>0</v>
      </c>
      <c r="AD293" s="65" t="n">
        <f aca="false">AD290-AC290</f>
        <v>0</v>
      </c>
      <c r="AE293" s="65" t="n">
        <f aca="false">AE290-AD290</f>
        <v>0</v>
      </c>
      <c r="AF293" s="65" t="n">
        <f aca="false">AF290-AE290</f>
        <v>0</v>
      </c>
      <c r="AG293" s="65" t="n">
        <f aca="false">AG290-AF290</f>
        <v>0</v>
      </c>
      <c r="AH293" s="65" t="n">
        <f aca="false">AH290-AG290</f>
        <v>0</v>
      </c>
      <c r="AI293" s="65" t="n">
        <f aca="false">AI290-AH290</f>
        <v>0</v>
      </c>
      <c r="AJ293" s="65" t="n">
        <f aca="false">AJ290-AI290</f>
        <v>0</v>
      </c>
      <c r="AK293" s="65" t="n">
        <f aca="false">AK290-AJ290</f>
        <v>135707.986228838</v>
      </c>
      <c r="AL293" s="65" t="n">
        <f aca="false">AL290-AK290</f>
        <v>0</v>
      </c>
      <c r="AM293" s="65" t="n">
        <f aca="false">AM290-AL290</f>
        <v>55907.7875082913</v>
      </c>
      <c r="AN293" s="65" t="n">
        <f aca="false">AN290-AM290</f>
        <v>0</v>
      </c>
      <c r="AO293" s="65" t="n">
        <f aca="false">AO290-AN290</f>
        <v>0</v>
      </c>
      <c r="AP293" s="65" t="n">
        <f aca="false">AP290-AO290</f>
        <v>0</v>
      </c>
      <c r="AQ293" s="65" t="n">
        <f aca="false">AQ290-AP290</f>
        <v>0</v>
      </c>
      <c r="AR293" s="65" t="n">
        <f aca="false">AR290-AQ290</f>
        <v>0</v>
      </c>
      <c r="AS293" s="65" t="n">
        <f aca="false">AS290-AR290</f>
        <v>0</v>
      </c>
      <c r="AT293" s="65" t="n">
        <f aca="false">AT290-AS290</f>
        <v>0</v>
      </c>
      <c r="AU293" s="65" t="n">
        <f aca="false">AU290-AT290</f>
        <v>0</v>
      </c>
      <c r="AV293" s="65" t="n">
        <f aca="false">AV290-AU290</f>
        <v>0</v>
      </c>
      <c r="AW293" s="65" t="n">
        <f aca="false">AW290-AV290</f>
        <v>192687.073330309</v>
      </c>
      <c r="AX293" s="65" t="n">
        <f aca="false">AX290-AW290</f>
        <v>0</v>
      </c>
      <c r="AY293" s="65" t="n">
        <f aca="false">AY290-AX290</f>
        <v>68005.6056069577</v>
      </c>
      <c r="AZ293" s="65" t="n">
        <f aca="false">AZ290-AY290</f>
        <v>0</v>
      </c>
      <c r="BA293" s="65" t="n">
        <f aca="false">BA290-AZ290</f>
        <v>0</v>
      </c>
      <c r="BB293" s="65" t="n">
        <f aca="false">BB290-BA290</f>
        <v>0</v>
      </c>
      <c r="BC293" s="65" t="n">
        <f aca="false">BC290-BB290</f>
        <v>0</v>
      </c>
      <c r="BD293" s="65" t="n">
        <f aca="false">BD290-BC290</f>
        <v>0</v>
      </c>
      <c r="BE293" s="65" t="n">
        <f aca="false">BE290-BD290</f>
        <v>0</v>
      </c>
      <c r="BF293" s="65" t="n">
        <f aca="false">BF290-BE290</f>
        <v>0</v>
      </c>
      <c r="BG293" s="65" t="n">
        <f aca="false">BG290-BF290</f>
        <v>0</v>
      </c>
      <c r="BH293" s="65" t="n">
        <f aca="false">BH290-BG290</f>
        <v>0</v>
      </c>
      <c r="BI293" s="65" t="n">
        <f aca="false">BI290-BH290</f>
        <v>272052.537429538</v>
      </c>
      <c r="BJ293" s="65" t="n">
        <f aca="false">BJ290-BI290</f>
        <v>0</v>
      </c>
    </row>
    <row r="295" customFormat="false" ht="15.75" hidden="false" customHeight="true" outlineLevel="0" collapsed="false">
      <c r="A295" s="7" t="s">
        <v>429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customFormat="false" ht="15" hidden="false" customHeight="false" outlineLevel="0" collapsed="false">
      <c r="A296" s="4" t="s">
        <v>52</v>
      </c>
      <c r="C296" s="71" t="n">
        <f aca="false">C272-C277+C291+C292+C293</f>
        <v>-326359.171602909</v>
      </c>
      <c r="D296" s="71" t="n">
        <f aca="false">D272-D277+D291+D292+D293</f>
        <v>136977.881605172</v>
      </c>
      <c r="E296" s="71" t="n">
        <f aca="false">E272-E277+E291+E292+E293</f>
        <v>137021.770494061</v>
      </c>
      <c r="F296" s="71" t="n">
        <f aca="false">F272-F277+F291+F292+F293</f>
        <v>137065.659382949</v>
      </c>
      <c r="G296" s="71" t="n">
        <f aca="false">G272-G277+G291+G292+G293</f>
        <v>137109.548271838</v>
      </c>
      <c r="H296" s="71" t="n">
        <f aca="false">H272-H277+H291+H292+H293</f>
        <v>137153.437160727</v>
      </c>
      <c r="I296" s="71" t="n">
        <f aca="false">I272-I277+I291+I292+I293</f>
        <v>137197.326049616</v>
      </c>
      <c r="J296" s="71" t="n">
        <f aca="false">J272-J277+J291+J292+J293</f>
        <v>137241.214938505</v>
      </c>
      <c r="K296" s="71" t="n">
        <f aca="false">K272-K277+K291+K292+K293</f>
        <v>137285.103827394</v>
      </c>
      <c r="L296" s="71" t="n">
        <f aca="false">L272-L277+L291+L292+L293</f>
        <v>137328.992716283</v>
      </c>
      <c r="M296" s="71" t="n">
        <f aca="false">M272-M277+M291+M292+M293</f>
        <v>96845.3278771715</v>
      </c>
      <c r="N296" s="71" t="n">
        <f aca="false">N272-N277+N291+N292+N293</f>
        <v>203359.142366061</v>
      </c>
      <c r="O296" s="71" t="n">
        <f aca="false">O272-O277+O291+O292+O293</f>
        <v>142808.391739568</v>
      </c>
      <c r="P296" s="71" t="n">
        <f aca="false">P272-P277+P291+P292+P293</f>
        <v>215703.169194373</v>
      </c>
      <c r="Q296" s="71" t="n">
        <f aca="false">Q272-Q277+Q291+Q292+Q293</f>
        <v>215747.058083261</v>
      </c>
      <c r="R296" s="71" t="n">
        <f aca="false">R272-R277+R291+R292+R293</f>
        <v>215790.94697215</v>
      </c>
      <c r="S296" s="71" t="n">
        <f aca="false">S272-S277+S291+S292+S293</f>
        <v>215834.835861039</v>
      </c>
      <c r="T296" s="71" t="n">
        <f aca="false">T272-T277+T291+T292+T293</f>
        <v>215878.724749928</v>
      </c>
      <c r="U296" s="71" t="n">
        <f aca="false">U272-U277+U291+U292+U293</f>
        <v>215922.613638817</v>
      </c>
      <c r="V296" s="71" t="n">
        <f aca="false">V272-V277+V291+V292+V293</f>
        <v>215966.502527706</v>
      </c>
      <c r="W296" s="71" t="n">
        <f aca="false">W272-W277+W291+W292+W293</f>
        <v>216010.391416595</v>
      </c>
      <c r="X296" s="71" t="n">
        <f aca="false">X272-X277+X291+X292+X293</f>
        <v>216054.280305484</v>
      </c>
      <c r="Y296" s="71" t="n">
        <f aca="false">Y272-Y277+Y291+Y292+Y293</f>
        <v>156839.811798405</v>
      </c>
      <c r="Z296" s="71" t="n">
        <f aca="false">Z272-Z277+Z291+Z292+Z293</f>
        <v>314429.146760893</v>
      </c>
      <c r="AA296" s="71" t="n">
        <f aca="false">AA272-AA277+AA291+AA292+AA293</f>
        <v>243422.261010856</v>
      </c>
      <c r="AB296" s="71" t="n">
        <f aca="false">AB272-AB277+AB291+AB292+AB293</f>
        <v>324001.680676202</v>
      </c>
      <c r="AC296" s="71" t="n">
        <f aca="false">AC272-AC277+AC291+AC292+AC293</f>
        <v>324045.569565091</v>
      </c>
      <c r="AD296" s="71" t="n">
        <f aca="false">AD272-AD277+AD291+AD292+AD293</f>
        <v>324089.45845398</v>
      </c>
      <c r="AE296" s="71" t="n">
        <f aca="false">AE272-AE277+AE291+AE292+AE293</f>
        <v>324133.347342869</v>
      </c>
      <c r="AF296" s="71" t="n">
        <f aca="false">AF272-AF277+AF291+AF292+AF293</f>
        <v>324177.236231758</v>
      </c>
      <c r="AG296" s="71" t="n">
        <f aca="false">AG272-AG277+AG291+AG292+AG293</f>
        <v>324221.125120647</v>
      </c>
      <c r="AH296" s="71" t="n">
        <f aca="false">AH272-AH277+AH291+AH292+AH293</f>
        <v>324265.014009536</v>
      </c>
      <c r="AI296" s="71" t="n">
        <f aca="false">AI272-AI277+AI291+AI292+AI293</f>
        <v>324308.902898424</v>
      </c>
      <c r="AJ296" s="71" t="n">
        <f aca="false">AJ272-AJ277+AJ291+AJ292+AJ293</f>
        <v>324352.791787314</v>
      </c>
      <c r="AK296" s="71" t="n">
        <f aca="false">AK272-AK277+AK291+AK292+AK293</f>
        <v>239595.423688153</v>
      </c>
      <c r="AL296" s="71" t="n">
        <f aca="false">AL272-AL277+AL291+AL292+AL293</f>
        <v>466399.238284204</v>
      </c>
      <c r="AM296" s="71" t="n">
        <f aca="false">AM272-AM277+AM291+AM292+AM293</f>
        <v>381278.961211033</v>
      </c>
      <c r="AN296" s="71" t="n">
        <f aca="false">AN272-AN277+AN291+AN292+AN293</f>
        <v>474741.418115912</v>
      </c>
      <c r="AO296" s="71" t="n">
        <f aca="false">AO272-AO277+AO291+AO292+AO293</f>
        <v>474785.307004801</v>
      </c>
      <c r="AP296" s="71" t="n">
        <f aca="false">AP272-AP277+AP291+AP292+AP293</f>
        <v>474829.19589369</v>
      </c>
      <c r="AQ296" s="71" t="n">
        <f aca="false">AQ272-AQ277+AQ291+AQ292+AQ293</f>
        <v>474873.084782579</v>
      </c>
      <c r="AR296" s="71" t="n">
        <f aca="false">AR272-AR277+AR291+AR292+AR293</f>
        <v>474916.973671468</v>
      </c>
      <c r="AS296" s="71" t="n">
        <f aca="false">AS272-AS277+AS291+AS292+AS293</f>
        <v>474960.862560357</v>
      </c>
      <c r="AT296" s="71" t="n">
        <f aca="false">AT272-AT277+AT291+AT292+AT293</f>
        <v>475004.751449246</v>
      </c>
      <c r="AU296" s="71" t="n">
        <f aca="false">AU272-AU277+AU291+AU292+AU293</f>
        <v>475048.640338135</v>
      </c>
      <c r="AV296" s="71" t="n">
        <f aca="false">AV272-AV277+AV291+AV292+AV293</f>
        <v>475092.529227024</v>
      </c>
      <c r="AW296" s="71" t="n">
        <f aca="false">AW272-AW277+AW291+AW292+AW293</f>
        <v>355077.311263578</v>
      </c>
      <c r="AX296" s="71" t="n">
        <f aca="false">AX272-AX277+AX291+AX292+AX293</f>
        <v>677089.771400974</v>
      </c>
      <c r="AY296" s="71" t="n">
        <f aca="false">AY272-AY277+AY291+AY292+AY293</f>
        <v>572986.174618858</v>
      </c>
      <c r="AZ296" s="71" t="n">
        <f aca="false">AZ272-AZ277+AZ291+AZ292+AZ293</f>
        <v>686663.361765527</v>
      </c>
      <c r="BA296" s="71" t="n">
        <f aca="false">BA272-BA277+BA291+BA292+BA293</f>
        <v>686707.250654417</v>
      </c>
      <c r="BB296" s="71" t="n">
        <f aca="false">BB272-BB277+BB291+BB292+BB293</f>
        <v>686751.139543305</v>
      </c>
      <c r="BC296" s="71" t="n">
        <f aca="false">BC272-BC277+BC291+BC292+BC293</f>
        <v>686795.028432194</v>
      </c>
      <c r="BD296" s="71" t="n">
        <f aca="false">BD272-BD277+BD291+BD292+BD293</f>
        <v>686838.917321083</v>
      </c>
      <c r="BE296" s="71" t="n">
        <f aca="false">BE272-BE277+BE291+BE292+BE293</f>
        <v>686882.806209972</v>
      </c>
      <c r="BF296" s="71" t="n">
        <f aca="false">BF272-BF277+BF291+BF292+BF293</f>
        <v>686926.695098861</v>
      </c>
      <c r="BG296" s="71" t="n">
        <f aca="false">BG272-BG277+BG291+BG292+BG293</f>
        <v>686970.583987749</v>
      </c>
      <c r="BH296" s="71" t="n">
        <f aca="false">BH272-BH277+BH291+BH292+BH293</f>
        <v>687014.472876638</v>
      </c>
      <c r="BI296" s="71" t="n">
        <f aca="false">BI272-BI277+BI291+BI292+BI293</f>
        <v>517839.300703176</v>
      </c>
      <c r="BJ296" s="71" t="n">
        <f aca="false">BJ272-BJ277+BJ291+BJ292+BJ293</f>
        <v>972466.702989283</v>
      </c>
    </row>
    <row r="297" customFormat="false" ht="15" hidden="false" customHeight="false" outlineLevel="0" collapsed="false">
      <c r="A297" s="6" t="s">
        <v>430</v>
      </c>
      <c r="C297" s="65" t="n">
        <f aca="false">-C275</f>
        <v>-350000</v>
      </c>
      <c r="D297" s="65" t="n">
        <f aca="false">-D275</f>
        <v>-0</v>
      </c>
      <c r="E297" s="65" t="n">
        <f aca="false">-E275</f>
        <v>-0</v>
      </c>
      <c r="F297" s="65" t="n">
        <f aca="false">-F275</f>
        <v>-0</v>
      </c>
      <c r="G297" s="65" t="n">
        <f aca="false">-G275</f>
        <v>-0</v>
      </c>
      <c r="H297" s="65" t="n">
        <f aca="false">-H275</f>
        <v>-0</v>
      </c>
      <c r="I297" s="65" t="n">
        <f aca="false">-I275</f>
        <v>-0</v>
      </c>
      <c r="J297" s="65" t="n">
        <f aca="false">-J275</f>
        <v>-0</v>
      </c>
      <c r="K297" s="65" t="n">
        <f aca="false">-K275</f>
        <v>-0</v>
      </c>
      <c r="L297" s="65" t="n">
        <f aca="false">-L275</f>
        <v>-0</v>
      </c>
      <c r="M297" s="65" t="n">
        <f aca="false">-M275</f>
        <v>-0</v>
      </c>
      <c r="N297" s="65" t="n">
        <f aca="false">-N275</f>
        <v>-0</v>
      </c>
      <c r="O297" s="65" t="n">
        <f aca="false">-O275</f>
        <v>-150000</v>
      </c>
      <c r="P297" s="65" t="n">
        <f aca="false">-P275</f>
        <v>-0</v>
      </c>
      <c r="Q297" s="65" t="n">
        <f aca="false">-Q275</f>
        <v>-0</v>
      </c>
      <c r="R297" s="65" t="n">
        <f aca="false">-R275</f>
        <v>-0</v>
      </c>
      <c r="S297" s="65" t="n">
        <f aca="false">-S275</f>
        <v>-0</v>
      </c>
      <c r="T297" s="65" t="n">
        <f aca="false">-T275</f>
        <v>-0</v>
      </c>
      <c r="U297" s="65" t="n">
        <f aca="false">-U275</f>
        <v>-0</v>
      </c>
      <c r="V297" s="65" t="n">
        <f aca="false">-V275</f>
        <v>-0</v>
      </c>
      <c r="W297" s="65" t="n">
        <f aca="false">-W275</f>
        <v>-0</v>
      </c>
      <c r="X297" s="65" t="n">
        <f aca="false">-X275</f>
        <v>-0</v>
      </c>
      <c r="Y297" s="65" t="n">
        <f aca="false">-Y275</f>
        <v>-0</v>
      </c>
      <c r="Z297" s="65" t="n">
        <f aca="false">-Z275</f>
        <v>-0</v>
      </c>
      <c r="AA297" s="65" t="n">
        <f aca="false">-AA275</f>
        <v>-150000</v>
      </c>
      <c r="AB297" s="65" t="n">
        <f aca="false">-AB275</f>
        <v>-0</v>
      </c>
      <c r="AC297" s="65" t="n">
        <f aca="false">-AC275</f>
        <v>-0</v>
      </c>
      <c r="AD297" s="65" t="n">
        <f aca="false">-AD275</f>
        <v>-0</v>
      </c>
      <c r="AE297" s="65" t="n">
        <f aca="false">-AE275</f>
        <v>-0</v>
      </c>
      <c r="AF297" s="65" t="n">
        <f aca="false">-AF275</f>
        <v>-0</v>
      </c>
      <c r="AG297" s="65" t="n">
        <f aca="false">-AG275</f>
        <v>-0</v>
      </c>
      <c r="AH297" s="65" t="n">
        <f aca="false">-AH275</f>
        <v>-0</v>
      </c>
      <c r="AI297" s="65" t="n">
        <f aca="false">-AI275</f>
        <v>-0</v>
      </c>
      <c r="AJ297" s="65" t="n">
        <f aca="false">-AJ275</f>
        <v>-0</v>
      </c>
      <c r="AK297" s="65" t="n">
        <f aca="false">-AK275</f>
        <v>-0</v>
      </c>
      <c r="AL297" s="65" t="n">
        <f aca="false">-AL275</f>
        <v>-0</v>
      </c>
      <c r="AM297" s="65" t="n">
        <f aca="false">-AM275</f>
        <v>-150000</v>
      </c>
      <c r="AN297" s="65" t="n">
        <f aca="false">-AN275</f>
        <v>-0</v>
      </c>
      <c r="AO297" s="65" t="n">
        <f aca="false">-AO275</f>
        <v>-0</v>
      </c>
      <c r="AP297" s="65" t="n">
        <f aca="false">-AP275</f>
        <v>-0</v>
      </c>
      <c r="AQ297" s="65" t="n">
        <f aca="false">-AQ275</f>
        <v>-0</v>
      </c>
      <c r="AR297" s="65" t="n">
        <f aca="false">-AR275</f>
        <v>-0</v>
      </c>
      <c r="AS297" s="65" t="n">
        <f aca="false">-AS275</f>
        <v>-0</v>
      </c>
      <c r="AT297" s="65" t="n">
        <f aca="false">-AT275</f>
        <v>-0</v>
      </c>
      <c r="AU297" s="65" t="n">
        <f aca="false">-AU275</f>
        <v>-0</v>
      </c>
      <c r="AV297" s="65" t="n">
        <f aca="false">-AV275</f>
        <v>-0</v>
      </c>
      <c r="AW297" s="65" t="n">
        <f aca="false">-AW275</f>
        <v>-0</v>
      </c>
      <c r="AX297" s="65" t="n">
        <f aca="false">-AX275</f>
        <v>-0</v>
      </c>
      <c r="AY297" s="65" t="n">
        <f aca="false">-AY275</f>
        <v>-150000</v>
      </c>
      <c r="AZ297" s="65" t="n">
        <f aca="false">-AZ275</f>
        <v>-0</v>
      </c>
      <c r="BA297" s="65" t="n">
        <f aca="false">-BA275</f>
        <v>-0</v>
      </c>
      <c r="BB297" s="65" t="n">
        <f aca="false">-BB275</f>
        <v>-0</v>
      </c>
      <c r="BC297" s="65" t="n">
        <f aca="false">-BC275</f>
        <v>-0</v>
      </c>
      <c r="BD297" s="65" t="n">
        <f aca="false">-BD275</f>
        <v>-0</v>
      </c>
      <c r="BE297" s="65" t="n">
        <f aca="false">-BE275</f>
        <v>-0</v>
      </c>
      <c r="BF297" s="65" t="n">
        <f aca="false">-BF275</f>
        <v>-0</v>
      </c>
      <c r="BG297" s="65" t="n">
        <f aca="false">-BG275</f>
        <v>-0</v>
      </c>
      <c r="BH297" s="65" t="n">
        <f aca="false">-BH275</f>
        <v>-0</v>
      </c>
      <c r="BI297" s="65" t="n">
        <f aca="false">-BI275</f>
        <v>-0</v>
      </c>
      <c r="BJ297" s="65" t="n">
        <f aca="false">-BJ275</f>
        <v>-0</v>
      </c>
    </row>
    <row r="298" customFormat="false" ht="15" hidden="false" customHeight="false" outlineLevel="0" collapsed="false">
      <c r="A298" s="6" t="s">
        <v>64</v>
      </c>
      <c r="C298" s="65" t="n">
        <f aca="false">IF(C$228=1,Inputs!$D$58,0)</f>
        <v>1500000</v>
      </c>
      <c r="D298" s="65" t="n">
        <f aca="false">IF(D$228=1,Inputs!$D$58,0)</f>
        <v>0</v>
      </c>
      <c r="E298" s="65" t="n">
        <f aca="false">IF(E$228=1,Inputs!$D$58,0)</f>
        <v>0</v>
      </c>
      <c r="F298" s="65" t="n">
        <f aca="false">IF(F$228=1,Inputs!$D$58,0)</f>
        <v>0</v>
      </c>
      <c r="G298" s="65" t="n">
        <f aca="false">IF(G$228=1,Inputs!$D$58,0)</f>
        <v>0</v>
      </c>
      <c r="H298" s="65" t="n">
        <f aca="false">IF(H$228=1,Inputs!$D$58,0)</f>
        <v>0</v>
      </c>
      <c r="I298" s="65" t="n">
        <f aca="false">IF(I$228=1,Inputs!$D$58,0)</f>
        <v>0</v>
      </c>
      <c r="J298" s="65" t="n">
        <f aca="false">IF(J$228=1,Inputs!$D$58,0)</f>
        <v>0</v>
      </c>
      <c r="K298" s="65" t="n">
        <f aca="false">IF(K$228=1,Inputs!$D$58,0)</f>
        <v>0</v>
      </c>
      <c r="L298" s="65" t="n">
        <f aca="false">IF(L$228=1,Inputs!$D$58,0)</f>
        <v>0</v>
      </c>
      <c r="M298" s="65" t="n">
        <f aca="false">IF(M$228=1,Inputs!$D$58,0)</f>
        <v>0</v>
      </c>
      <c r="N298" s="65" t="n">
        <f aca="false">IF(N$228=1,Inputs!$D$58,0)</f>
        <v>0</v>
      </c>
      <c r="O298" s="65" t="n">
        <f aca="false">IF(O$228=1,Inputs!$D$58,0)</f>
        <v>0</v>
      </c>
      <c r="P298" s="65" t="n">
        <f aca="false">IF(P$228=1,Inputs!$D$58,0)</f>
        <v>0</v>
      </c>
      <c r="Q298" s="65" t="n">
        <f aca="false">IF(Q$228=1,Inputs!$D$58,0)</f>
        <v>0</v>
      </c>
      <c r="R298" s="65" t="n">
        <f aca="false">IF(R$228=1,Inputs!$D$58,0)</f>
        <v>0</v>
      </c>
      <c r="S298" s="65" t="n">
        <f aca="false">IF(S$228=1,Inputs!$D$58,0)</f>
        <v>0</v>
      </c>
      <c r="T298" s="65" t="n">
        <f aca="false">IF(T$228=1,Inputs!$D$58,0)</f>
        <v>0</v>
      </c>
      <c r="U298" s="65" t="n">
        <f aca="false">IF(U$228=1,Inputs!$D$58,0)</f>
        <v>0</v>
      </c>
      <c r="V298" s="65" t="n">
        <f aca="false">IF(V$228=1,Inputs!$D$58,0)</f>
        <v>0</v>
      </c>
      <c r="W298" s="65" t="n">
        <f aca="false">IF(W$228=1,Inputs!$D$58,0)</f>
        <v>0</v>
      </c>
      <c r="X298" s="65" t="n">
        <f aca="false">IF(X$228=1,Inputs!$D$58,0)</f>
        <v>0</v>
      </c>
      <c r="Y298" s="65" t="n">
        <f aca="false">IF(Y$228=1,Inputs!$D$58,0)</f>
        <v>0</v>
      </c>
      <c r="Z298" s="65" t="n">
        <f aca="false">IF(Z$228=1,Inputs!$D$58,0)</f>
        <v>0</v>
      </c>
      <c r="AA298" s="65" t="n">
        <f aca="false">IF(AA$228=1,Inputs!$D$58,0)</f>
        <v>0</v>
      </c>
      <c r="AB298" s="65" t="n">
        <f aca="false">IF(AB$228=1,Inputs!$D$58,0)</f>
        <v>0</v>
      </c>
      <c r="AC298" s="65" t="n">
        <f aca="false">IF(AC$228=1,Inputs!$D$58,0)</f>
        <v>0</v>
      </c>
      <c r="AD298" s="65" t="n">
        <f aca="false">IF(AD$228=1,Inputs!$D$58,0)</f>
        <v>0</v>
      </c>
      <c r="AE298" s="65" t="n">
        <f aca="false">IF(AE$228=1,Inputs!$D$58,0)</f>
        <v>0</v>
      </c>
      <c r="AF298" s="65" t="n">
        <f aca="false">IF(AF$228=1,Inputs!$D$58,0)</f>
        <v>0</v>
      </c>
      <c r="AG298" s="65" t="n">
        <f aca="false">IF(AG$228=1,Inputs!$D$58,0)</f>
        <v>0</v>
      </c>
      <c r="AH298" s="65" t="n">
        <f aca="false">IF(AH$228=1,Inputs!$D$58,0)</f>
        <v>0</v>
      </c>
      <c r="AI298" s="65" t="n">
        <f aca="false">IF(AI$228=1,Inputs!$D$58,0)</f>
        <v>0</v>
      </c>
      <c r="AJ298" s="65" t="n">
        <f aca="false">IF(AJ$228=1,Inputs!$D$58,0)</f>
        <v>0</v>
      </c>
      <c r="AK298" s="65" t="n">
        <f aca="false">IF(AK$228=1,Inputs!$D$58,0)</f>
        <v>0</v>
      </c>
      <c r="AL298" s="65" t="n">
        <f aca="false">IF(AL$228=1,Inputs!$D$58,0)</f>
        <v>0</v>
      </c>
      <c r="AM298" s="65" t="n">
        <f aca="false">IF(AM$228=1,Inputs!$D$58,0)</f>
        <v>0</v>
      </c>
      <c r="AN298" s="65" t="n">
        <f aca="false">IF(AN$228=1,Inputs!$D$58,0)</f>
        <v>0</v>
      </c>
      <c r="AO298" s="65" t="n">
        <f aca="false">IF(AO$228=1,Inputs!$D$58,0)</f>
        <v>0</v>
      </c>
      <c r="AP298" s="65" t="n">
        <f aca="false">IF(AP$228=1,Inputs!$D$58,0)</f>
        <v>0</v>
      </c>
      <c r="AQ298" s="65" t="n">
        <f aca="false">IF(AQ$228=1,Inputs!$D$58,0)</f>
        <v>0</v>
      </c>
      <c r="AR298" s="65" t="n">
        <f aca="false">IF(AR$228=1,Inputs!$D$58,0)</f>
        <v>0</v>
      </c>
      <c r="AS298" s="65" t="n">
        <f aca="false">IF(AS$228=1,Inputs!$D$58,0)</f>
        <v>0</v>
      </c>
      <c r="AT298" s="65" t="n">
        <f aca="false">IF(AT$228=1,Inputs!$D$58,0)</f>
        <v>0</v>
      </c>
      <c r="AU298" s="65" t="n">
        <f aca="false">IF(AU$228=1,Inputs!$D$58,0)</f>
        <v>0</v>
      </c>
      <c r="AV298" s="65" t="n">
        <f aca="false">IF(AV$228=1,Inputs!$D$58,0)</f>
        <v>0</v>
      </c>
      <c r="AW298" s="65" t="n">
        <f aca="false">IF(AW$228=1,Inputs!$D$58,0)</f>
        <v>0</v>
      </c>
      <c r="AX298" s="65" t="n">
        <f aca="false">IF(AX$228=1,Inputs!$D$58,0)</f>
        <v>0</v>
      </c>
      <c r="AY298" s="65" t="n">
        <f aca="false">IF(AY$228=1,Inputs!$D$58,0)</f>
        <v>0</v>
      </c>
      <c r="AZ298" s="65" t="n">
        <f aca="false">IF(AZ$228=1,Inputs!$D$58,0)</f>
        <v>0</v>
      </c>
      <c r="BA298" s="65" t="n">
        <f aca="false">IF(BA$228=1,Inputs!$D$58,0)</f>
        <v>0</v>
      </c>
      <c r="BB298" s="65" t="n">
        <f aca="false">IF(BB$228=1,Inputs!$D$58,0)</f>
        <v>0</v>
      </c>
      <c r="BC298" s="65" t="n">
        <f aca="false">IF(BC$228=1,Inputs!$D$58,0)</f>
        <v>0</v>
      </c>
      <c r="BD298" s="65" t="n">
        <f aca="false">IF(BD$228=1,Inputs!$D$58,0)</f>
        <v>0</v>
      </c>
      <c r="BE298" s="65" t="n">
        <f aca="false">IF(BE$228=1,Inputs!$D$58,0)</f>
        <v>0</v>
      </c>
      <c r="BF298" s="65" t="n">
        <f aca="false">IF(BF$228=1,Inputs!$D$58,0)</f>
        <v>0</v>
      </c>
      <c r="BG298" s="65" t="n">
        <f aca="false">IF(BG$228=1,Inputs!$D$58,0)</f>
        <v>0</v>
      </c>
      <c r="BH298" s="65" t="n">
        <f aca="false">IF(BH$228=1,Inputs!$D$58,0)</f>
        <v>0</v>
      </c>
      <c r="BI298" s="65" t="n">
        <f aca="false">IF(BI$228=1,Inputs!$D$58,0)</f>
        <v>0</v>
      </c>
      <c r="BJ298" s="65" t="n">
        <f aca="false">IF(BJ$228=1,Inputs!$D$58,0)</f>
        <v>0</v>
      </c>
    </row>
    <row r="299" customFormat="false" ht="15" hidden="false" customHeight="false" outlineLevel="0" collapsed="false">
      <c r="A299" s="6" t="s">
        <v>54</v>
      </c>
      <c r="C299" s="65" t="n">
        <f aca="false">C298+C283+C284</f>
        <v>2000000</v>
      </c>
      <c r="D299" s="65" t="n">
        <f aca="false">D298+D283+D284</f>
        <v>-8333.33333333333</v>
      </c>
      <c r="E299" s="65" t="n">
        <f aca="false">E298+E283+E284</f>
        <v>-8333.33333333333</v>
      </c>
      <c r="F299" s="65" t="n">
        <f aca="false">F298+F283+F284</f>
        <v>-8333.33333333333</v>
      </c>
      <c r="G299" s="65" t="n">
        <f aca="false">G298+G283+G284</f>
        <v>-8333.33333333333</v>
      </c>
      <c r="H299" s="65" t="n">
        <f aca="false">H298+H283+H284</f>
        <v>-8333.33333333333</v>
      </c>
      <c r="I299" s="65" t="n">
        <f aca="false">I298+I283+I284</f>
        <v>-8333.33333333333</v>
      </c>
      <c r="J299" s="65" t="n">
        <f aca="false">J298+J283+J284</f>
        <v>-8333.33333333333</v>
      </c>
      <c r="K299" s="65" t="n">
        <f aca="false">K298+K283+K284</f>
        <v>-8333.33333333333</v>
      </c>
      <c r="L299" s="65" t="n">
        <f aca="false">L298+L283+L284</f>
        <v>-8333.33333333333</v>
      </c>
      <c r="M299" s="65" t="n">
        <f aca="false">M298+M283+M284</f>
        <v>-8333.33333333333</v>
      </c>
      <c r="N299" s="65" t="n">
        <f aca="false">N298+N283+N284</f>
        <v>-8333.33333333333</v>
      </c>
      <c r="O299" s="65" t="n">
        <f aca="false">O298+O283+O284</f>
        <v>-8333.33333333333</v>
      </c>
      <c r="P299" s="65" t="n">
        <f aca="false">P298+P283+P284</f>
        <v>-8333.33333333333</v>
      </c>
      <c r="Q299" s="65" t="n">
        <f aca="false">Q298+Q283+Q284</f>
        <v>-8333.33333333333</v>
      </c>
      <c r="R299" s="65" t="n">
        <f aca="false">R298+R283+R284</f>
        <v>-8333.33333333333</v>
      </c>
      <c r="S299" s="65" t="n">
        <f aca="false">S298+S283+S284</f>
        <v>-8333.33333333333</v>
      </c>
      <c r="T299" s="65" t="n">
        <f aca="false">T298+T283+T284</f>
        <v>-8333.33333333333</v>
      </c>
      <c r="U299" s="65" t="n">
        <f aca="false">U298+U283+U284</f>
        <v>-8333.33333333333</v>
      </c>
      <c r="V299" s="65" t="n">
        <f aca="false">V298+V283+V284</f>
        <v>-8333.33333333333</v>
      </c>
      <c r="W299" s="65" t="n">
        <f aca="false">W298+W283+W284</f>
        <v>-8333.33333333333</v>
      </c>
      <c r="X299" s="65" t="n">
        <f aca="false">X298+X283+X284</f>
        <v>-8333.33333333333</v>
      </c>
      <c r="Y299" s="65" t="n">
        <f aca="false">Y298+Y283+Y284</f>
        <v>-8333.33333333333</v>
      </c>
      <c r="Z299" s="65" t="n">
        <f aca="false">Z298+Z283+Z284</f>
        <v>-8333.33333333333</v>
      </c>
      <c r="AA299" s="65" t="n">
        <f aca="false">AA298+AA283+AA284</f>
        <v>-8333.33333333333</v>
      </c>
      <c r="AB299" s="65" t="n">
        <f aca="false">AB298+AB283+AB284</f>
        <v>-8333.33333333333</v>
      </c>
      <c r="AC299" s="65" t="n">
        <f aca="false">AC298+AC283+AC284</f>
        <v>-8333.33333333333</v>
      </c>
      <c r="AD299" s="65" t="n">
        <f aca="false">AD298+AD283+AD284</f>
        <v>-8333.33333333333</v>
      </c>
      <c r="AE299" s="65" t="n">
        <f aca="false">AE298+AE283+AE284</f>
        <v>-8333.33333333333</v>
      </c>
      <c r="AF299" s="65" t="n">
        <f aca="false">AF298+AF283+AF284</f>
        <v>-8333.33333333333</v>
      </c>
      <c r="AG299" s="65" t="n">
        <f aca="false">AG298+AG283+AG284</f>
        <v>-8333.33333333333</v>
      </c>
      <c r="AH299" s="65" t="n">
        <f aca="false">AH298+AH283+AH284</f>
        <v>-8333.33333333333</v>
      </c>
      <c r="AI299" s="65" t="n">
        <f aca="false">AI298+AI283+AI284</f>
        <v>-8333.33333333333</v>
      </c>
      <c r="AJ299" s="65" t="n">
        <f aca="false">AJ298+AJ283+AJ284</f>
        <v>-8333.33333333333</v>
      </c>
      <c r="AK299" s="65" t="n">
        <f aca="false">AK298+AK283+AK284</f>
        <v>-8333.33333333333</v>
      </c>
      <c r="AL299" s="65" t="n">
        <f aca="false">AL298+AL283+AL284</f>
        <v>-8333.33333333333</v>
      </c>
      <c r="AM299" s="65" t="n">
        <f aca="false">AM298+AM283+AM284</f>
        <v>-8333.33333333333</v>
      </c>
      <c r="AN299" s="65" t="n">
        <f aca="false">AN298+AN283+AN284</f>
        <v>-8333.33333333333</v>
      </c>
      <c r="AO299" s="65" t="n">
        <f aca="false">AO298+AO283+AO284</f>
        <v>-8333.33333333333</v>
      </c>
      <c r="AP299" s="65" t="n">
        <f aca="false">AP298+AP283+AP284</f>
        <v>-8333.33333333333</v>
      </c>
      <c r="AQ299" s="65" t="n">
        <f aca="false">AQ298+AQ283+AQ284</f>
        <v>-8333.33333333333</v>
      </c>
      <c r="AR299" s="65" t="n">
        <f aca="false">AR298+AR283+AR284</f>
        <v>-8333.33333333333</v>
      </c>
      <c r="AS299" s="65" t="n">
        <f aca="false">AS298+AS283+AS284</f>
        <v>-8333.33333333333</v>
      </c>
      <c r="AT299" s="65" t="n">
        <f aca="false">AT298+AT283+AT284</f>
        <v>-8333.33333333333</v>
      </c>
      <c r="AU299" s="65" t="n">
        <f aca="false">AU298+AU283+AU284</f>
        <v>-8333.33333333333</v>
      </c>
      <c r="AV299" s="65" t="n">
        <f aca="false">AV298+AV283+AV284</f>
        <v>-8333.33333333333</v>
      </c>
      <c r="AW299" s="65" t="n">
        <f aca="false">AW298+AW283+AW284</f>
        <v>-8333.33333333333</v>
      </c>
      <c r="AX299" s="65" t="n">
        <f aca="false">AX298+AX283+AX284</f>
        <v>-8333.33333333333</v>
      </c>
      <c r="AY299" s="65" t="n">
        <f aca="false">AY298+AY283+AY284</f>
        <v>-8333.33333333333</v>
      </c>
      <c r="AZ299" s="65" t="n">
        <f aca="false">AZ298+AZ283+AZ284</f>
        <v>-8333.33333333333</v>
      </c>
      <c r="BA299" s="65" t="n">
        <f aca="false">BA298+BA283+BA284</f>
        <v>-8333.33333333333</v>
      </c>
      <c r="BB299" s="65" t="n">
        <f aca="false">BB298+BB283+BB284</f>
        <v>-8333.33333333333</v>
      </c>
      <c r="BC299" s="65" t="n">
        <f aca="false">BC298+BC283+BC284</f>
        <v>-8333.33333333333</v>
      </c>
      <c r="BD299" s="65" t="n">
        <f aca="false">BD298+BD283+BD284</f>
        <v>-8333.33333333333</v>
      </c>
      <c r="BE299" s="65" t="n">
        <f aca="false">BE298+BE283+BE284</f>
        <v>-8333.33333333333</v>
      </c>
      <c r="BF299" s="65" t="n">
        <f aca="false">BF298+BF283+BF284</f>
        <v>-8333.33333333333</v>
      </c>
      <c r="BG299" s="65" t="n">
        <f aca="false">BG298+BG283+BG284</f>
        <v>-8333.33333333333</v>
      </c>
      <c r="BH299" s="65" t="n">
        <f aca="false">BH298+BH283+BH284</f>
        <v>-8333.33333333333</v>
      </c>
      <c r="BI299" s="65" t="n">
        <f aca="false">BI298+BI283+BI284</f>
        <v>-8333.33333333333</v>
      </c>
      <c r="BJ299" s="65" t="n">
        <f aca="false">BJ298+BJ283+BJ284</f>
        <v>-8333.33333333333</v>
      </c>
    </row>
    <row r="300" customFormat="false" ht="15" hidden="false" customHeight="false" outlineLevel="0" collapsed="false">
      <c r="A300" s="110" t="s">
        <v>431</v>
      </c>
      <c r="C300" s="66" t="n">
        <f aca="false">C296+C297+C299</f>
        <v>1323640.82839709</v>
      </c>
      <c r="D300" s="66" t="n">
        <f aca="false">D296+D297+D299</f>
        <v>128644.548271838</v>
      </c>
      <c r="E300" s="66" t="n">
        <f aca="false">E296+E297+E299</f>
        <v>128688.437160727</v>
      </c>
      <c r="F300" s="66" t="n">
        <f aca="false">F296+F297+F299</f>
        <v>128732.326049616</v>
      </c>
      <c r="G300" s="66" t="n">
        <f aca="false">G296+G297+G299</f>
        <v>128776.214938505</v>
      </c>
      <c r="H300" s="66" t="n">
        <f aca="false">H296+H297+H299</f>
        <v>128820.103827394</v>
      </c>
      <c r="I300" s="66" t="n">
        <f aca="false">I296+I297+I299</f>
        <v>128863.992716283</v>
      </c>
      <c r="J300" s="66" t="n">
        <f aca="false">J296+J297+J299</f>
        <v>128907.881605172</v>
      </c>
      <c r="K300" s="66" t="n">
        <f aca="false">K296+K297+K299</f>
        <v>128951.770494061</v>
      </c>
      <c r="L300" s="66" t="n">
        <f aca="false">L296+L297+L299</f>
        <v>128995.659382949</v>
      </c>
      <c r="M300" s="66" t="n">
        <f aca="false">M296+M297+M299</f>
        <v>88511.9945438382</v>
      </c>
      <c r="N300" s="66" t="n">
        <f aca="false">N296+N297+N299</f>
        <v>195025.809032727</v>
      </c>
      <c r="O300" s="66" t="n">
        <f aca="false">O296+O297+O299</f>
        <v>-15524.9415937649</v>
      </c>
      <c r="P300" s="66" t="n">
        <f aca="false">P296+P297+P299</f>
        <v>207369.835861039</v>
      </c>
      <c r="Q300" s="66" t="n">
        <f aca="false">Q296+Q297+Q299</f>
        <v>207413.724749928</v>
      </c>
      <c r="R300" s="66" t="n">
        <f aca="false">R296+R297+R299</f>
        <v>207457.613638817</v>
      </c>
      <c r="S300" s="66" t="n">
        <f aca="false">S296+S297+S299</f>
        <v>207501.502527706</v>
      </c>
      <c r="T300" s="66" t="n">
        <f aca="false">T296+T297+T299</f>
        <v>207545.391416595</v>
      </c>
      <c r="U300" s="66" t="n">
        <f aca="false">U296+U297+U299</f>
        <v>207589.280305484</v>
      </c>
      <c r="V300" s="66" t="n">
        <f aca="false">V296+V297+V299</f>
        <v>207633.169194373</v>
      </c>
      <c r="W300" s="66" t="n">
        <f aca="false">W296+W297+W299</f>
        <v>207677.058083261</v>
      </c>
      <c r="X300" s="66" t="n">
        <f aca="false">X296+X297+X299</f>
        <v>207720.94697215</v>
      </c>
      <c r="Y300" s="66" t="n">
        <f aca="false">Y296+Y297+Y299</f>
        <v>148506.478465071</v>
      </c>
      <c r="Z300" s="66" t="n">
        <f aca="false">Z296+Z297+Z299</f>
        <v>306095.81342756</v>
      </c>
      <c r="AA300" s="66" t="n">
        <f aca="false">AA296+AA297+AA299</f>
        <v>85088.9276775229</v>
      </c>
      <c r="AB300" s="66" t="n">
        <f aca="false">AB296+AB297+AB299</f>
        <v>315668.347342869</v>
      </c>
      <c r="AC300" s="66" t="n">
        <f aca="false">AC296+AC297+AC299</f>
        <v>315712.236231758</v>
      </c>
      <c r="AD300" s="66" t="n">
        <f aca="false">AD296+AD297+AD299</f>
        <v>315756.125120647</v>
      </c>
      <c r="AE300" s="66" t="n">
        <f aca="false">AE296+AE297+AE299</f>
        <v>315800.014009536</v>
      </c>
      <c r="AF300" s="66" t="n">
        <f aca="false">AF296+AF297+AF299</f>
        <v>315843.902898425</v>
      </c>
      <c r="AG300" s="66" t="n">
        <f aca="false">AG296+AG297+AG299</f>
        <v>315887.791787313</v>
      </c>
      <c r="AH300" s="66" t="n">
        <f aca="false">AH296+AH297+AH299</f>
        <v>315931.680676202</v>
      </c>
      <c r="AI300" s="66" t="n">
        <f aca="false">AI296+AI297+AI299</f>
        <v>315975.569565091</v>
      </c>
      <c r="AJ300" s="66" t="n">
        <f aca="false">AJ296+AJ297+AJ299</f>
        <v>316019.45845398</v>
      </c>
      <c r="AK300" s="66" t="n">
        <f aca="false">AK296+AK297+AK299</f>
        <v>231262.090354819</v>
      </c>
      <c r="AL300" s="66" t="n">
        <f aca="false">AL296+AL297+AL299</f>
        <v>458065.90495087</v>
      </c>
      <c r="AM300" s="66" t="n">
        <f aca="false">AM296+AM297+AM299</f>
        <v>222945.627877699</v>
      </c>
      <c r="AN300" s="66" t="n">
        <f aca="false">AN296+AN297+AN299</f>
        <v>466408.084782579</v>
      </c>
      <c r="AO300" s="66" t="n">
        <f aca="false">AO296+AO297+AO299</f>
        <v>466451.973671468</v>
      </c>
      <c r="AP300" s="66" t="n">
        <f aca="false">AP296+AP297+AP299</f>
        <v>466495.862560357</v>
      </c>
      <c r="AQ300" s="66" t="n">
        <f aca="false">AQ296+AQ297+AQ299</f>
        <v>466539.751449246</v>
      </c>
      <c r="AR300" s="66" t="n">
        <f aca="false">AR296+AR297+AR299</f>
        <v>466583.640338135</v>
      </c>
      <c r="AS300" s="66" t="n">
        <f aca="false">AS296+AS297+AS299</f>
        <v>466627.529227024</v>
      </c>
      <c r="AT300" s="66" t="n">
        <f aca="false">AT296+AT297+AT299</f>
        <v>466671.418115913</v>
      </c>
      <c r="AU300" s="66" t="n">
        <f aca="false">AU296+AU297+AU299</f>
        <v>466715.307004801</v>
      </c>
      <c r="AV300" s="66" t="n">
        <f aca="false">AV296+AV297+AV299</f>
        <v>466759.19589369</v>
      </c>
      <c r="AW300" s="66" t="n">
        <f aca="false">AW296+AW297+AW299</f>
        <v>346743.977930245</v>
      </c>
      <c r="AX300" s="66" t="n">
        <f aca="false">AX296+AX297+AX299</f>
        <v>668756.43806764</v>
      </c>
      <c r="AY300" s="66" t="n">
        <f aca="false">AY296+AY297+AY299</f>
        <v>414652.841285525</v>
      </c>
      <c r="AZ300" s="66" t="n">
        <f aca="false">AZ296+AZ297+AZ299</f>
        <v>678330.028432194</v>
      </c>
      <c r="BA300" s="66" t="n">
        <f aca="false">BA296+BA297+BA299</f>
        <v>678373.917321083</v>
      </c>
      <c r="BB300" s="66" t="n">
        <f aca="false">BB296+BB297+BB299</f>
        <v>678417.806209972</v>
      </c>
      <c r="BC300" s="66" t="n">
        <f aca="false">BC296+BC297+BC299</f>
        <v>678461.695098861</v>
      </c>
      <c r="BD300" s="66" t="n">
        <f aca="false">BD296+BD297+BD299</f>
        <v>678505.58398775</v>
      </c>
      <c r="BE300" s="66" t="n">
        <f aca="false">BE296+BE297+BE299</f>
        <v>678549.472876638</v>
      </c>
      <c r="BF300" s="66" t="n">
        <f aca="false">BF296+BF297+BF299</f>
        <v>678593.361765527</v>
      </c>
      <c r="BG300" s="66" t="n">
        <f aca="false">BG296+BG297+BG299</f>
        <v>678637.250654416</v>
      </c>
      <c r="BH300" s="66" t="n">
        <f aca="false">BH296+BH297+BH299</f>
        <v>678681.139543305</v>
      </c>
      <c r="BI300" s="66" t="n">
        <f aca="false">BI296+BI297+BI299</f>
        <v>509505.967369843</v>
      </c>
      <c r="BJ300" s="66" t="n">
        <f aca="false">BJ296+BJ297+BJ299</f>
        <v>964133.36965595</v>
      </c>
    </row>
    <row r="301" customFormat="false" ht="15" hidden="false" customHeight="false" outlineLevel="0" collapsed="false">
      <c r="A301" s="6" t="s">
        <v>341</v>
      </c>
      <c r="C301" s="65" t="n">
        <f aca="false">0</f>
        <v>0</v>
      </c>
      <c r="D301" s="65" t="n">
        <f aca="false">C302</f>
        <v>1323640.82839709</v>
      </c>
      <c r="E301" s="65" t="n">
        <f aca="false">D302</f>
        <v>1452285.37666893</v>
      </c>
      <c r="F301" s="65" t="n">
        <f aca="false">E302</f>
        <v>1580973.81382966</v>
      </c>
      <c r="G301" s="65" t="n">
        <f aca="false">F302</f>
        <v>1709706.13987927</v>
      </c>
      <c r="H301" s="65" t="n">
        <f aca="false">G302</f>
        <v>1838482.35481778</v>
      </c>
      <c r="I301" s="65" t="n">
        <f aca="false">H302</f>
        <v>1967302.45864517</v>
      </c>
      <c r="J301" s="65" t="n">
        <f aca="false">I302</f>
        <v>2096166.45136145</v>
      </c>
      <c r="K301" s="65" t="n">
        <f aca="false">J302</f>
        <v>2225074.33296663</v>
      </c>
      <c r="L301" s="65" t="n">
        <f aca="false">K302</f>
        <v>2354026.10346069</v>
      </c>
      <c r="M301" s="65" t="n">
        <f aca="false">L302</f>
        <v>2483021.76284364</v>
      </c>
      <c r="N301" s="65" t="n">
        <f aca="false">M302</f>
        <v>2571533.75738747</v>
      </c>
      <c r="O301" s="65" t="n">
        <f aca="false">N302</f>
        <v>2766559.5664202</v>
      </c>
      <c r="P301" s="65" t="n">
        <f aca="false">O302</f>
        <v>2751034.62482644</v>
      </c>
      <c r="Q301" s="65" t="n">
        <f aca="false">P302</f>
        <v>2958404.46068748</v>
      </c>
      <c r="R301" s="65" t="n">
        <f aca="false">Q302</f>
        <v>3165818.1854374</v>
      </c>
      <c r="S301" s="65" t="n">
        <f aca="false">R302</f>
        <v>3373275.79907622</v>
      </c>
      <c r="T301" s="65" t="n">
        <f aca="false">S302</f>
        <v>3580777.30160393</v>
      </c>
      <c r="U301" s="65" t="n">
        <f aca="false">T302</f>
        <v>3788322.69302052</v>
      </c>
      <c r="V301" s="65" t="n">
        <f aca="false">U302</f>
        <v>3995911.97332601</v>
      </c>
      <c r="W301" s="65" t="n">
        <f aca="false">V302</f>
        <v>4203545.14252038</v>
      </c>
      <c r="X301" s="65" t="n">
        <f aca="false">W302</f>
        <v>4411222.20060364</v>
      </c>
      <c r="Y301" s="65" t="n">
        <f aca="false">X302</f>
        <v>4618943.14757579</v>
      </c>
      <c r="Z301" s="65" t="n">
        <f aca="false">Y302</f>
        <v>4767449.62604086</v>
      </c>
      <c r="AA301" s="65" t="n">
        <f aca="false">Z302</f>
        <v>5073545.43946842</v>
      </c>
      <c r="AB301" s="65" t="n">
        <f aca="false">AA302</f>
        <v>5158634.36714594</v>
      </c>
      <c r="AC301" s="65" t="n">
        <f aca="false">AB302</f>
        <v>5474302.71448881</v>
      </c>
      <c r="AD301" s="65" t="n">
        <f aca="false">AC302</f>
        <v>5790014.95072057</v>
      </c>
      <c r="AE301" s="65" t="n">
        <f aca="false">AD302</f>
        <v>6105771.07584122</v>
      </c>
      <c r="AF301" s="65" t="n">
        <f aca="false">AE302</f>
        <v>6421571.08985075</v>
      </c>
      <c r="AG301" s="65" t="n">
        <f aca="false">AF302</f>
        <v>6737414.99274918</v>
      </c>
      <c r="AH301" s="65" t="n">
        <f aca="false">AG302</f>
        <v>7053302.78453649</v>
      </c>
      <c r="AI301" s="65" t="n">
        <f aca="false">AH302</f>
        <v>7369234.46521269</v>
      </c>
      <c r="AJ301" s="65" t="n">
        <f aca="false">AI302</f>
        <v>7685210.03477778</v>
      </c>
      <c r="AK301" s="65" t="n">
        <f aca="false">AJ302</f>
        <v>8001229.49323176</v>
      </c>
      <c r="AL301" s="65" t="n">
        <f aca="false">AK302</f>
        <v>8232491.58358658</v>
      </c>
      <c r="AM301" s="65" t="n">
        <f aca="false">AL302</f>
        <v>8690557.48853745</v>
      </c>
      <c r="AN301" s="65" t="n">
        <f aca="false">AM302</f>
        <v>8913503.11641515</v>
      </c>
      <c r="AO301" s="65" t="n">
        <f aca="false">AN302</f>
        <v>9379911.20119773</v>
      </c>
      <c r="AP301" s="65" t="n">
        <f aca="false">AO302</f>
        <v>9846363.1748692</v>
      </c>
      <c r="AQ301" s="65" t="n">
        <f aca="false">AP302</f>
        <v>10312859.0374296</v>
      </c>
      <c r="AR301" s="65" t="n">
        <f aca="false">AQ302</f>
        <v>10779398.7888788</v>
      </c>
      <c r="AS301" s="65" t="n">
        <f aca="false">AR302</f>
        <v>11245982.4292169</v>
      </c>
      <c r="AT301" s="65" t="n">
        <f aca="false">AS302</f>
        <v>11712609.958444</v>
      </c>
      <c r="AU301" s="65" t="n">
        <f aca="false">AT302</f>
        <v>12179281.3765599</v>
      </c>
      <c r="AV301" s="65" t="n">
        <f aca="false">AU302</f>
        <v>12645996.6835647</v>
      </c>
      <c r="AW301" s="65" t="n">
        <f aca="false">AV302</f>
        <v>13112755.8794584</v>
      </c>
      <c r="AX301" s="65" t="n">
        <f aca="false">AW302</f>
        <v>13459499.8573886</v>
      </c>
      <c r="AY301" s="65" t="n">
        <f aca="false">AX302</f>
        <v>14128256.2954563</v>
      </c>
      <c r="AZ301" s="65" t="n">
        <f aca="false">AY302</f>
        <v>14542909.1367418</v>
      </c>
      <c r="BA301" s="65" t="n">
        <f aca="false">AZ302</f>
        <v>15221239.165174</v>
      </c>
      <c r="BB301" s="65" t="n">
        <f aca="false">BA302</f>
        <v>15899613.0824951</v>
      </c>
      <c r="BC301" s="65" t="n">
        <f aca="false">BB302</f>
        <v>16578030.888705</v>
      </c>
      <c r="BD301" s="65" t="n">
        <f aca="false">BC302</f>
        <v>17256492.5838039</v>
      </c>
      <c r="BE301" s="65" t="n">
        <f aca="false">BD302</f>
        <v>17934998.1677916</v>
      </c>
      <c r="BF301" s="65" t="n">
        <f aca="false">BE302</f>
        <v>18613547.6406683</v>
      </c>
      <c r="BG301" s="65" t="n">
        <f aca="false">BF302</f>
        <v>19292141.0024338</v>
      </c>
      <c r="BH301" s="65" t="n">
        <f aca="false">BG302</f>
        <v>19970778.2530882</v>
      </c>
      <c r="BI301" s="65" t="n">
        <f aca="false">BH302</f>
        <v>20649459.3926315</v>
      </c>
      <c r="BJ301" s="65" t="n">
        <f aca="false">BI302</f>
        <v>21158965.3600014</v>
      </c>
    </row>
    <row r="302" customFormat="false" ht="15" hidden="false" customHeight="false" outlineLevel="0" collapsed="false">
      <c r="A302" s="110" t="s">
        <v>87</v>
      </c>
      <c r="C302" s="66" t="n">
        <f aca="false">C301+C300</f>
        <v>1323640.82839709</v>
      </c>
      <c r="D302" s="66" t="n">
        <f aca="false">D301+D300</f>
        <v>1452285.37666893</v>
      </c>
      <c r="E302" s="66" t="n">
        <f aca="false">E301+E300</f>
        <v>1580973.81382966</v>
      </c>
      <c r="F302" s="66" t="n">
        <f aca="false">F301+F300</f>
        <v>1709706.13987927</v>
      </c>
      <c r="G302" s="66" t="n">
        <f aca="false">G301+G300</f>
        <v>1838482.35481778</v>
      </c>
      <c r="H302" s="66" t="n">
        <f aca="false">H301+H300</f>
        <v>1967302.45864517</v>
      </c>
      <c r="I302" s="66" t="n">
        <f aca="false">I301+I300</f>
        <v>2096166.45136145</v>
      </c>
      <c r="J302" s="66" t="n">
        <f aca="false">J301+J300</f>
        <v>2225074.33296663</v>
      </c>
      <c r="K302" s="66" t="n">
        <f aca="false">K301+K300</f>
        <v>2354026.10346069</v>
      </c>
      <c r="L302" s="66" t="n">
        <f aca="false">L301+L300</f>
        <v>2483021.76284364</v>
      </c>
      <c r="M302" s="66" t="n">
        <f aca="false">M301+M300</f>
        <v>2571533.75738747</v>
      </c>
      <c r="N302" s="66" t="n">
        <f aca="false">N301+N300</f>
        <v>2766559.5664202</v>
      </c>
      <c r="O302" s="66" t="n">
        <f aca="false">O301+O300</f>
        <v>2751034.62482644</v>
      </c>
      <c r="P302" s="66" t="n">
        <f aca="false">P301+P300</f>
        <v>2958404.46068748</v>
      </c>
      <c r="Q302" s="66" t="n">
        <f aca="false">Q301+Q300</f>
        <v>3165818.1854374</v>
      </c>
      <c r="R302" s="66" t="n">
        <f aca="false">R301+R300</f>
        <v>3373275.79907622</v>
      </c>
      <c r="S302" s="66" t="n">
        <f aca="false">S301+S300</f>
        <v>3580777.30160393</v>
      </c>
      <c r="T302" s="66" t="n">
        <f aca="false">T301+T300</f>
        <v>3788322.69302052</v>
      </c>
      <c r="U302" s="66" t="n">
        <f aca="false">U301+U300</f>
        <v>3995911.97332601</v>
      </c>
      <c r="V302" s="66" t="n">
        <f aca="false">V301+V300</f>
        <v>4203545.14252038</v>
      </c>
      <c r="W302" s="66" t="n">
        <f aca="false">W301+W300</f>
        <v>4411222.20060364</v>
      </c>
      <c r="X302" s="66" t="n">
        <f aca="false">X301+X300</f>
        <v>4618943.14757579</v>
      </c>
      <c r="Y302" s="66" t="n">
        <f aca="false">Y301+Y300</f>
        <v>4767449.62604086</v>
      </c>
      <c r="Z302" s="66" t="n">
        <f aca="false">Z301+Z300</f>
        <v>5073545.43946842</v>
      </c>
      <c r="AA302" s="66" t="n">
        <f aca="false">AA301+AA300</f>
        <v>5158634.36714594</v>
      </c>
      <c r="AB302" s="66" t="n">
        <f aca="false">AB301+AB300</f>
        <v>5474302.71448881</v>
      </c>
      <c r="AC302" s="66" t="n">
        <f aca="false">AC301+AC300</f>
        <v>5790014.95072057</v>
      </c>
      <c r="AD302" s="66" t="n">
        <f aca="false">AD301+AD300</f>
        <v>6105771.07584122</v>
      </c>
      <c r="AE302" s="66" t="n">
        <f aca="false">AE301+AE300</f>
        <v>6421571.08985075</v>
      </c>
      <c r="AF302" s="66" t="n">
        <f aca="false">AF301+AF300</f>
        <v>6737414.99274918</v>
      </c>
      <c r="AG302" s="66" t="n">
        <f aca="false">AG301+AG300</f>
        <v>7053302.78453649</v>
      </c>
      <c r="AH302" s="66" t="n">
        <f aca="false">AH301+AH300</f>
        <v>7369234.46521269</v>
      </c>
      <c r="AI302" s="66" t="n">
        <f aca="false">AI301+AI300</f>
        <v>7685210.03477778</v>
      </c>
      <c r="AJ302" s="66" t="n">
        <f aca="false">AJ301+AJ300</f>
        <v>8001229.49323176</v>
      </c>
      <c r="AK302" s="66" t="n">
        <f aca="false">AK301+AK300</f>
        <v>8232491.58358658</v>
      </c>
      <c r="AL302" s="66" t="n">
        <f aca="false">AL301+AL300</f>
        <v>8690557.48853745</v>
      </c>
      <c r="AM302" s="66" t="n">
        <f aca="false">AM301+AM300</f>
        <v>8913503.11641515</v>
      </c>
      <c r="AN302" s="66" t="n">
        <f aca="false">AN301+AN300</f>
        <v>9379911.20119773</v>
      </c>
      <c r="AO302" s="66" t="n">
        <f aca="false">AO301+AO300</f>
        <v>9846363.1748692</v>
      </c>
      <c r="AP302" s="66" t="n">
        <f aca="false">AP301+AP300</f>
        <v>10312859.0374296</v>
      </c>
      <c r="AQ302" s="66" t="n">
        <f aca="false">AQ301+AQ300</f>
        <v>10779398.7888788</v>
      </c>
      <c r="AR302" s="66" t="n">
        <f aca="false">AR301+AR300</f>
        <v>11245982.4292169</v>
      </c>
      <c r="AS302" s="66" t="n">
        <f aca="false">AS301+AS300</f>
        <v>11712609.958444</v>
      </c>
      <c r="AT302" s="66" t="n">
        <f aca="false">AT301+AT300</f>
        <v>12179281.3765599</v>
      </c>
      <c r="AU302" s="66" t="n">
        <f aca="false">AU301+AU300</f>
        <v>12645996.6835647</v>
      </c>
      <c r="AV302" s="66" t="n">
        <f aca="false">AV301+AV300</f>
        <v>13112755.8794584</v>
      </c>
      <c r="AW302" s="66" t="n">
        <f aca="false">AW301+AW300</f>
        <v>13459499.8573886</v>
      </c>
      <c r="AX302" s="66" t="n">
        <f aca="false">AX301+AX300</f>
        <v>14128256.2954563</v>
      </c>
      <c r="AY302" s="66" t="n">
        <f aca="false">AY301+AY300</f>
        <v>14542909.1367418</v>
      </c>
      <c r="AZ302" s="66" t="n">
        <f aca="false">AZ301+AZ300</f>
        <v>15221239.165174</v>
      </c>
      <c r="BA302" s="66" t="n">
        <f aca="false">BA301+BA300</f>
        <v>15899613.0824951</v>
      </c>
      <c r="BB302" s="66" t="n">
        <f aca="false">BB301+BB300</f>
        <v>16578030.888705</v>
      </c>
      <c r="BC302" s="66" t="n">
        <f aca="false">BC301+BC300</f>
        <v>17256492.5838039</v>
      </c>
      <c r="BD302" s="66" t="n">
        <f aca="false">BD301+BD300</f>
        <v>17934998.1677916</v>
      </c>
      <c r="BE302" s="66" t="n">
        <f aca="false">BE301+BE300</f>
        <v>18613547.6406683</v>
      </c>
      <c r="BF302" s="66" t="n">
        <f aca="false">BF301+BF300</f>
        <v>19292141.0024338</v>
      </c>
      <c r="BG302" s="66" t="n">
        <f aca="false">BG301+BG300</f>
        <v>19970778.2530882</v>
      </c>
      <c r="BH302" s="66" t="n">
        <f aca="false">BH301+BH300</f>
        <v>20649459.3926315</v>
      </c>
      <c r="BI302" s="66" t="n">
        <f aca="false">BI301+BI300</f>
        <v>21158965.3600014</v>
      </c>
      <c r="BJ302" s="66" t="n">
        <f aca="false">BJ301+BJ300</f>
        <v>22123098.7296573</v>
      </c>
    </row>
    <row r="303" customFormat="false" ht="15" hidden="false" customHeight="false" outlineLevel="0" collapsed="false">
      <c r="A303" s="117" t="s">
        <v>432</v>
      </c>
      <c r="C303" s="113" t="n">
        <f aca="false">IF(C263&gt;0,1,0)</f>
        <v>1</v>
      </c>
      <c r="D303" s="113" t="n">
        <f aca="false">IF(D263&gt;0,1,0)</f>
        <v>1</v>
      </c>
      <c r="E303" s="113" t="n">
        <f aca="false">IF(E263&gt;0,1,0)</f>
        <v>1</v>
      </c>
      <c r="F303" s="113" t="n">
        <f aca="false">IF(F263&gt;0,1,0)</f>
        <v>1</v>
      </c>
      <c r="G303" s="113" t="n">
        <f aca="false">IF(G263&gt;0,1,0)</f>
        <v>1</v>
      </c>
      <c r="H303" s="113" t="n">
        <f aca="false">IF(H263&gt;0,1,0)</f>
        <v>1</v>
      </c>
      <c r="I303" s="113" t="n">
        <f aca="false">IF(I263&gt;0,1,0)</f>
        <v>1</v>
      </c>
      <c r="J303" s="113" t="n">
        <f aca="false">IF(J263&gt;0,1,0)</f>
        <v>1</v>
      </c>
      <c r="K303" s="113" t="n">
        <f aca="false">IF(K263&gt;0,1,0)</f>
        <v>1</v>
      </c>
      <c r="L303" s="113" t="n">
        <f aca="false">IF(L263&gt;0,1,0)</f>
        <v>1</v>
      </c>
      <c r="M303" s="113" t="n">
        <f aca="false">IF(M263&gt;0,1,0)</f>
        <v>1</v>
      </c>
      <c r="N303" s="113" t="n">
        <f aca="false">IF(N263&gt;0,1,0)</f>
        <v>1</v>
      </c>
      <c r="O303" s="113" t="n">
        <f aca="false">IF(O263&gt;0,1,0)</f>
        <v>1</v>
      </c>
      <c r="P303" s="113" t="n">
        <f aca="false">IF(P263&gt;0,1,0)</f>
        <v>1</v>
      </c>
      <c r="Q303" s="113" t="n">
        <f aca="false">IF(Q263&gt;0,1,0)</f>
        <v>1</v>
      </c>
      <c r="R303" s="113" t="n">
        <f aca="false">IF(R263&gt;0,1,0)</f>
        <v>1</v>
      </c>
      <c r="S303" s="113" t="n">
        <f aca="false">IF(S263&gt;0,1,0)</f>
        <v>1</v>
      </c>
      <c r="T303" s="113" t="n">
        <f aca="false">IF(T263&gt;0,1,0)</f>
        <v>1</v>
      </c>
      <c r="U303" s="113" t="n">
        <f aca="false">IF(U263&gt;0,1,0)</f>
        <v>1</v>
      </c>
      <c r="V303" s="113" t="n">
        <f aca="false">IF(V263&gt;0,1,0)</f>
        <v>1</v>
      </c>
      <c r="W303" s="113" t="n">
        <f aca="false">IF(W263&gt;0,1,0)</f>
        <v>1</v>
      </c>
      <c r="X303" s="113" t="n">
        <f aca="false">IF(X263&gt;0,1,0)</f>
        <v>1</v>
      </c>
      <c r="Y303" s="113" t="n">
        <f aca="false">IF(Y263&gt;0,1,0)</f>
        <v>1</v>
      </c>
      <c r="Z303" s="113" t="n">
        <f aca="false">IF(Z263&gt;0,1,0)</f>
        <v>1</v>
      </c>
      <c r="AA303" s="113" t="n">
        <f aca="false">IF(AA263&gt;0,1,0)</f>
        <v>1</v>
      </c>
      <c r="AB303" s="113" t="n">
        <f aca="false">IF(AB263&gt;0,1,0)</f>
        <v>1</v>
      </c>
      <c r="AC303" s="113" t="n">
        <f aca="false">IF(AC263&gt;0,1,0)</f>
        <v>1</v>
      </c>
      <c r="AD303" s="113" t="n">
        <f aca="false">IF(AD263&gt;0,1,0)</f>
        <v>1</v>
      </c>
      <c r="AE303" s="113" t="n">
        <f aca="false">IF(AE263&gt;0,1,0)</f>
        <v>1</v>
      </c>
      <c r="AF303" s="113" t="n">
        <f aca="false">IF(AF263&gt;0,1,0)</f>
        <v>1</v>
      </c>
      <c r="AG303" s="113" t="n">
        <f aca="false">IF(AG263&gt;0,1,0)</f>
        <v>1</v>
      </c>
      <c r="AH303" s="113" t="n">
        <f aca="false">IF(AH263&gt;0,1,0)</f>
        <v>1</v>
      </c>
      <c r="AI303" s="113" t="n">
        <f aca="false">IF(AI263&gt;0,1,0)</f>
        <v>1</v>
      </c>
      <c r="AJ303" s="113" t="n">
        <f aca="false">IF(AJ263&gt;0,1,0)</f>
        <v>1</v>
      </c>
      <c r="AK303" s="113" t="n">
        <f aca="false">IF(AK263&gt;0,1,0)</f>
        <v>1</v>
      </c>
      <c r="AL303" s="113" t="n">
        <f aca="false">IF(AL263&gt;0,1,0)</f>
        <v>1</v>
      </c>
      <c r="AM303" s="113" t="n">
        <f aca="false">IF(AM263&gt;0,1,0)</f>
        <v>1</v>
      </c>
      <c r="AN303" s="113" t="n">
        <f aca="false">IF(AN263&gt;0,1,0)</f>
        <v>1</v>
      </c>
      <c r="AO303" s="113" t="n">
        <f aca="false">IF(AO263&gt;0,1,0)</f>
        <v>1</v>
      </c>
      <c r="AP303" s="113" t="n">
        <f aca="false">IF(AP263&gt;0,1,0)</f>
        <v>1</v>
      </c>
      <c r="AQ303" s="113" t="n">
        <f aca="false">IF(AQ263&gt;0,1,0)</f>
        <v>1</v>
      </c>
      <c r="AR303" s="113" t="n">
        <f aca="false">IF(AR263&gt;0,1,0)</f>
        <v>1</v>
      </c>
      <c r="AS303" s="113" t="n">
        <f aca="false">IF(AS263&gt;0,1,0)</f>
        <v>1</v>
      </c>
      <c r="AT303" s="113" t="n">
        <f aca="false">IF(AT263&gt;0,1,0)</f>
        <v>1</v>
      </c>
      <c r="AU303" s="113" t="n">
        <f aca="false">IF(AU263&gt;0,1,0)</f>
        <v>1</v>
      </c>
      <c r="AV303" s="113" t="n">
        <f aca="false">IF(AV263&gt;0,1,0)</f>
        <v>1</v>
      </c>
      <c r="AW303" s="113" t="n">
        <f aca="false">IF(AW263&gt;0,1,0)</f>
        <v>1</v>
      </c>
      <c r="AX303" s="113" t="n">
        <f aca="false">IF(AX263&gt;0,1,0)</f>
        <v>1</v>
      </c>
      <c r="AY303" s="113" t="n">
        <f aca="false">IF(AY263&gt;0,1,0)</f>
        <v>1</v>
      </c>
      <c r="AZ303" s="113" t="n">
        <f aca="false">IF(AZ263&gt;0,1,0)</f>
        <v>1</v>
      </c>
      <c r="BA303" s="113" t="n">
        <f aca="false">IF(BA263&gt;0,1,0)</f>
        <v>1</v>
      </c>
      <c r="BB303" s="113" t="n">
        <f aca="false">IF(BB263&gt;0,1,0)</f>
        <v>1</v>
      </c>
      <c r="BC303" s="113" t="n">
        <f aca="false">IF(BC263&gt;0,1,0)</f>
        <v>1</v>
      </c>
      <c r="BD303" s="113" t="n">
        <f aca="false">IF(BD263&gt;0,1,0)</f>
        <v>1</v>
      </c>
      <c r="BE303" s="113" t="n">
        <f aca="false">IF(BE263&gt;0,1,0)</f>
        <v>1</v>
      </c>
      <c r="BF303" s="113" t="n">
        <f aca="false">IF(BF263&gt;0,1,0)</f>
        <v>1</v>
      </c>
      <c r="BG303" s="113" t="n">
        <f aca="false">IF(BG263&gt;0,1,0)</f>
        <v>1</v>
      </c>
      <c r="BH303" s="113" t="n">
        <f aca="false">IF(BH263&gt;0,1,0)</f>
        <v>1</v>
      </c>
      <c r="BI303" s="113" t="n">
        <f aca="false">IF(BI263&gt;0,1,0)</f>
        <v>1</v>
      </c>
      <c r="BJ303" s="113" t="n">
        <f aca="false">IF(BJ263&gt;0,1,0)</f>
        <v>1</v>
      </c>
    </row>
    <row r="305" customFormat="false" ht="15.75" hidden="false" customHeight="true" outlineLevel="0" collapsed="false">
      <c r="A305" s="7" t="s">
        <v>433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customFormat="false" ht="15" hidden="false" customHeight="false" outlineLevel="0" collapsed="false">
      <c r="A306" s="117" t="s">
        <v>434</v>
      </c>
      <c r="C306" s="113" t="n">
        <f aca="false">IF(C272&gt;0,1,0)</f>
        <v>1</v>
      </c>
      <c r="D306" s="113" t="n">
        <f aca="false">IF(D272&gt;0,1,0)</f>
        <v>1</v>
      </c>
      <c r="E306" s="113" t="n">
        <f aca="false">IF(E272&gt;0,1,0)</f>
        <v>1</v>
      </c>
      <c r="F306" s="113" t="n">
        <f aca="false">IF(F272&gt;0,1,0)</f>
        <v>1</v>
      </c>
      <c r="G306" s="113" t="n">
        <f aca="false">IF(G272&gt;0,1,0)</f>
        <v>1</v>
      </c>
      <c r="H306" s="113" t="n">
        <f aca="false">IF(H272&gt;0,1,0)</f>
        <v>1</v>
      </c>
      <c r="I306" s="113" t="n">
        <f aca="false">IF(I272&gt;0,1,0)</f>
        <v>1</v>
      </c>
      <c r="J306" s="113" t="n">
        <f aca="false">IF(J272&gt;0,1,0)</f>
        <v>1</v>
      </c>
      <c r="K306" s="113" t="n">
        <f aca="false">IF(K272&gt;0,1,0)</f>
        <v>1</v>
      </c>
      <c r="L306" s="113" t="n">
        <f aca="false">IF(L272&gt;0,1,0)</f>
        <v>1</v>
      </c>
      <c r="M306" s="113" t="n">
        <f aca="false">IF(M272&gt;0,1,0)</f>
        <v>1</v>
      </c>
      <c r="N306" s="113" t="n">
        <f aca="false">IF(N272&gt;0,1,0)</f>
        <v>1</v>
      </c>
      <c r="O306" s="113" t="n">
        <f aca="false">IF(O272&gt;0,1,0)</f>
        <v>1</v>
      </c>
      <c r="P306" s="113" t="n">
        <f aca="false">IF(P272&gt;0,1,0)</f>
        <v>1</v>
      </c>
      <c r="Q306" s="113" t="n">
        <f aca="false">IF(Q272&gt;0,1,0)</f>
        <v>1</v>
      </c>
      <c r="R306" s="113" t="n">
        <f aca="false">IF(R272&gt;0,1,0)</f>
        <v>1</v>
      </c>
      <c r="S306" s="113" t="n">
        <f aca="false">IF(S272&gt;0,1,0)</f>
        <v>1</v>
      </c>
      <c r="T306" s="113" t="n">
        <f aca="false">IF(T272&gt;0,1,0)</f>
        <v>1</v>
      </c>
      <c r="U306" s="113" t="n">
        <f aca="false">IF(U272&gt;0,1,0)</f>
        <v>1</v>
      </c>
      <c r="V306" s="113" t="n">
        <f aca="false">IF(V272&gt;0,1,0)</f>
        <v>1</v>
      </c>
      <c r="W306" s="113" t="n">
        <f aca="false">IF(W272&gt;0,1,0)</f>
        <v>1</v>
      </c>
      <c r="X306" s="113" t="n">
        <f aca="false">IF(X272&gt;0,1,0)</f>
        <v>1</v>
      </c>
      <c r="Y306" s="113" t="n">
        <f aca="false">IF(Y272&gt;0,1,0)</f>
        <v>1</v>
      </c>
      <c r="Z306" s="113" t="n">
        <f aca="false">IF(Z272&gt;0,1,0)</f>
        <v>1</v>
      </c>
      <c r="AA306" s="113" t="n">
        <f aca="false">IF(AA272&gt;0,1,0)</f>
        <v>1</v>
      </c>
      <c r="AB306" s="113" t="n">
        <f aca="false">IF(AB272&gt;0,1,0)</f>
        <v>1</v>
      </c>
      <c r="AC306" s="113" t="n">
        <f aca="false">IF(AC272&gt;0,1,0)</f>
        <v>1</v>
      </c>
      <c r="AD306" s="113" t="n">
        <f aca="false">IF(AD272&gt;0,1,0)</f>
        <v>1</v>
      </c>
      <c r="AE306" s="113" t="n">
        <f aca="false">IF(AE272&gt;0,1,0)</f>
        <v>1</v>
      </c>
      <c r="AF306" s="113" t="n">
        <f aca="false">IF(AF272&gt;0,1,0)</f>
        <v>1</v>
      </c>
      <c r="AG306" s="113" t="n">
        <f aca="false">IF(AG272&gt;0,1,0)</f>
        <v>1</v>
      </c>
      <c r="AH306" s="113" t="n">
        <f aca="false">IF(AH272&gt;0,1,0)</f>
        <v>1</v>
      </c>
      <c r="AI306" s="113" t="n">
        <f aca="false">IF(AI272&gt;0,1,0)</f>
        <v>1</v>
      </c>
      <c r="AJ306" s="113" t="n">
        <f aca="false">IF(AJ272&gt;0,1,0)</f>
        <v>1</v>
      </c>
      <c r="AK306" s="113" t="n">
        <f aca="false">IF(AK272&gt;0,1,0)</f>
        <v>1</v>
      </c>
      <c r="AL306" s="113" t="n">
        <f aca="false">IF(AL272&gt;0,1,0)</f>
        <v>1</v>
      </c>
      <c r="AM306" s="113" t="n">
        <f aca="false">IF(AM272&gt;0,1,0)</f>
        <v>1</v>
      </c>
      <c r="AN306" s="113" t="n">
        <f aca="false">IF(AN272&gt;0,1,0)</f>
        <v>1</v>
      </c>
      <c r="AO306" s="113" t="n">
        <f aca="false">IF(AO272&gt;0,1,0)</f>
        <v>1</v>
      </c>
      <c r="AP306" s="113" t="n">
        <f aca="false">IF(AP272&gt;0,1,0)</f>
        <v>1</v>
      </c>
      <c r="AQ306" s="113" t="n">
        <f aca="false">IF(AQ272&gt;0,1,0)</f>
        <v>1</v>
      </c>
      <c r="AR306" s="113" t="n">
        <f aca="false">IF(AR272&gt;0,1,0)</f>
        <v>1</v>
      </c>
      <c r="AS306" s="113" t="n">
        <f aca="false">IF(AS272&gt;0,1,0)</f>
        <v>1</v>
      </c>
      <c r="AT306" s="113" t="n">
        <f aca="false">IF(AT272&gt;0,1,0)</f>
        <v>1</v>
      </c>
      <c r="AU306" s="113" t="n">
        <f aca="false">IF(AU272&gt;0,1,0)</f>
        <v>1</v>
      </c>
      <c r="AV306" s="113" t="n">
        <f aca="false">IF(AV272&gt;0,1,0)</f>
        <v>1</v>
      </c>
      <c r="AW306" s="113" t="n">
        <f aca="false">IF(AW272&gt;0,1,0)</f>
        <v>1</v>
      </c>
      <c r="AX306" s="113" t="n">
        <f aca="false">IF(AX272&gt;0,1,0)</f>
        <v>1</v>
      </c>
      <c r="AY306" s="113" t="n">
        <f aca="false">IF(AY272&gt;0,1,0)</f>
        <v>1</v>
      </c>
      <c r="AZ306" s="113" t="n">
        <f aca="false">IF(AZ272&gt;0,1,0)</f>
        <v>1</v>
      </c>
      <c r="BA306" s="113" t="n">
        <f aca="false">IF(BA272&gt;0,1,0)</f>
        <v>1</v>
      </c>
      <c r="BB306" s="113" t="n">
        <f aca="false">IF(BB272&gt;0,1,0)</f>
        <v>1</v>
      </c>
      <c r="BC306" s="113" t="n">
        <f aca="false">IF(BC272&gt;0,1,0)</f>
        <v>1</v>
      </c>
      <c r="BD306" s="113" t="n">
        <f aca="false">IF(BD272&gt;0,1,0)</f>
        <v>1</v>
      </c>
      <c r="BE306" s="113" t="n">
        <f aca="false">IF(BE272&gt;0,1,0)</f>
        <v>1</v>
      </c>
      <c r="BF306" s="113" t="n">
        <f aca="false">IF(BF272&gt;0,1,0)</f>
        <v>1</v>
      </c>
      <c r="BG306" s="113" t="n">
        <f aca="false">IF(BG272&gt;0,1,0)</f>
        <v>1</v>
      </c>
      <c r="BH306" s="113" t="n">
        <f aca="false">IF(BH272&gt;0,1,0)</f>
        <v>1</v>
      </c>
      <c r="BI306" s="113" t="n">
        <f aca="false">IF(BI272&gt;0,1,0)</f>
        <v>1</v>
      </c>
      <c r="BJ306" s="113" t="n">
        <f aca="false">IF(BJ272&gt;0,1,0)</f>
        <v>1</v>
      </c>
    </row>
    <row r="307" customFormat="false" ht="15" hidden="false" customHeight="false" outlineLevel="0" collapsed="false">
      <c r="A307" s="6" t="s">
        <v>435</v>
      </c>
      <c r="C307" s="65" t="n">
        <f aca="false">C296+C297</f>
        <v>-676359.171602909</v>
      </c>
      <c r="D307" s="65" t="n">
        <f aca="false">D296+D297</f>
        <v>136977.881605172</v>
      </c>
      <c r="E307" s="65" t="n">
        <f aca="false">E296+E297</f>
        <v>137021.770494061</v>
      </c>
      <c r="F307" s="65" t="n">
        <f aca="false">F296+F297</f>
        <v>137065.659382949</v>
      </c>
      <c r="G307" s="65" t="n">
        <f aca="false">G296+G297</f>
        <v>137109.548271838</v>
      </c>
      <c r="H307" s="65" t="n">
        <f aca="false">H296+H297</f>
        <v>137153.437160727</v>
      </c>
      <c r="I307" s="65" t="n">
        <f aca="false">I296+I297</f>
        <v>137197.326049616</v>
      </c>
      <c r="J307" s="65" t="n">
        <f aca="false">J296+J297</f>
        <v>137241.214938505</v>
      </c>
      <c r="K307" s="65" t="n">
        <f aca="false">K296+K297</f>
        <v>137285.103827394</v>
      </c>
      <c r="L307" s="65" t="n">
        <f aca="false">L296+L297</f>
        <v>137328.992716283</v>
      </c>
      <c r="M307" s="65" t="n">
        <f aca="false">M296+M297</f>
        <v>96845.3278771715</v>
      </c>
      <c r="N307" s="65" t="n">
        <f aca="false">N296+N297</f>
        <v>203359.142366061</v>
      </c>
      <c r="O307" s="65" t="n">
        <f aca="false">O296+O297</f>
        <v>-7191.60826043156</v>
      </c>
      <c r="P307" s="65" t="n">
        <f aca="false">P296+P297</f>
        <v>215703.169194373</v>
      </c>
      <c r="Q307" s="65" t="n">
        <f aca="false">Q296+Q297</f>
        <v>215747.058083261</v>
      </c>
      <c r="R307" s="65" t="n">
        <f aca="false">R296+R297</f>
        <v>215790.94697215</v>
      </c>
      <c r="S307" s="65" t="n">
        <f aca="false">S296+S297</f>
        <v>215834.835861039</v>
      </c>
      <c r="T307" s="65" t="n">
        <f aca="false">T296+T297</f>
        <v>215878.724749928</v>
      </c>
      <c r="U307" s="65" t="n">
        <f aca="false">U296+U297</f>
        <v>215922.613638817</v>
      </c>
      <c r="V307" s="65" t="n">
        <f aca="false">V296+V297</f>
        <v>215966.502527706</v>
      </c>
      <c r="W307" s="65" t="n">
        <f aca="false">W296+W297</f>
        <v>216010.391416595</v>
      </c>
      <c r="X307" s="65" t="n">
        <f aca="false">X296+X297</f>
        <v>216054.280305484</v>
      </c>
      <c r="Y307" s="65" t="n">
        <f aca="false">Y296+Y297</f>
        <v>156839.811798405</v>
      </c>
      <c r="Z307" s="65" t="n">
        <f aca="false">Z296+Z297</f>
        <v>314429.146760893</v>
      </c>
      <c r="AA307" s="65" t="n">
        <f aca="false">AA296+AA297</f>
        <v>93422.2610108562</v>
      </c>
      <c r="AB307" s="65" t="n">
        <f aca="false">AB296+AB297</f>
        <v>324001.680676202</v>
      </c>
      <c r="AC307" s="65" t="n">
        <f aca="false">AC296+AC297</f>
        <v>324045.569565091</v>
      </c>
      <c r="AD307" s="65" t="n">
        <f aca="false">AD296+AD297</f>
        <v>324089.45845398</v>
      </c>
      <c r="AE307" s="65" t="n">
        <f aca="false">AE296+AE297</f>
        <v>324133.347342869</v>
      </c>
      <c r="AF307" s="65" t="n">
        <f aca="false">AF296+AF297</f>
        <v>324177.236231758</v>
      </c>
      <c r="AG307" s="65" t="n">
        <f aca="false">AG296+AG297</f>
        <v>324221.125120647</v>
      </c>
      <c r="AH307" s="65" t="n">
        <f aca="false">AH296+AH297</f>
        <v>324265.014009536</v>
      </c>
      <c r="AI307" s="65" t="n">
        <f aca="false">AI296+AI297</f>
        <v>324308.902898424</v>
      </c>
      <c r="AJ307" s="65" t="n">
        <f aca="false">AJ296+AJ297</f>
        <v>324352.791787314</v>
      </c>
      <c r="AK307" s="65" t="n">
        <f aca="false">AK296+AK297</f>
        <v>239595.423688153</v>
      </c>
      <c r="AL307" s="65" t="n">
        <f aca="false">AL296+AL297</f>
        <v>466399.238284204</v>
      </c>
      <c r="AM307" s="65" t="n">
        <f aca="false">AM296+AM297</f>
        <v>231278.961211033</v>
      </c>
      <c r="AN307" s="65" t="n">
        <f aca="false">AN296+AN297</f>
        <v>474741.418115912</v>
      </c>
      <c r="AO307" s="65" t="n">
        <f aca="false">AO296+AO297</f>
        <v>474785.307004801</v>
      </c>
      <c r="AP307" s="65" t="n">
        <f aca="false">AP296+AP297</f>
        <v>474829.19589369</v>
      </c>
      <c r="AQ307" s="65" t="n">
        <f aca="false">AQ296+AQ297</f>
        <v>474873.084782579</v>
      </c>
      <c r="AR307" s="65" t="n">
        <f aca="false">AR296+AR297</f>
        <v>474916.973671468</v>
      </c>
      <c r="AS307" s="65" t="n">
        <f aca="false">AS296+AS297</f>
        <v>474960.862560357</v>
      </c>
      <c r="AT307" s="65" t="n">
        <f aca="false">AT296+AT297</f>
        <v>475004.751449246</v>
      </c>
      <c r="AU307" s="65" t="n">
        <f aca="false">AU296+AU297</f>
        <v>475048.640338135</v>
      </c>
      <c r="AV307" s="65" t="n">
        <f aca="false">AV296+AV297</f>
        <v>475092.529227024</v>
      </c>
      <c r="AW307" s="65" t="n">
        <f aca="false">AW296+AW297</f>
        <v>355077.311263578</v>
      </c>
      <c r="AX307" s="65" t="n">
        <f aca="false">AX296+AX297</f>
        <v>677089.771400974</v>
      </c>
      <c r="AY307" s="65" t="n">
        <f aca="false">AY296+AY297</f>
        <v>422986.174618858</v>
      </c>
      <c r="AZ307" s="65" t="n">
        <f aca="false">AZ296+AZ297</f>
        <v>686663.361765527</v>
      </c>
      <c r="BA307" s="65" t="n">
        <f aca="false">BA296+BA297</f>
        <v>686707.250654417</v>
      </c>
      <c r="BB307" s="65" t="n">
        <f aca="false">BB296+BB297</f>
        <v>686751.139543305</v>
      </c>
      <c r="BC307" s="65" t="n">
        <f aca="false">BC296+BC297</f>
        <v>686795.028432194</v>
      </c>
      <c r="BD307" s="65" t="n">
        <f aca="false">BD296+BD297</f>
        <v>686838.917321083</v>
      </c>
      <c r="BE307" s="65" t="n">
        <f aca="false">BE296+BE297</f>
        <v>686882.806209972</v>
      </c>
      <c r="BF307" s="65" t="n">
        <f aca="false">BF296+BF297</f>
        <v>686926.695098861</v>
      </c>
      <c r="BG307" s="65" t="n">
        <f aca="false">BG296+BG297</f>
        <v>686970.583987749</v>
      </c>
      <c r="BH307" s="65" t="n">
        <f aca="false">BH296+BH297</f>
        <v>687014.472876638</v>
      </c>
      <c r="BI307" s="65" t="n">
        <f aca="false">BI296+BI297</f>
        <v>517839.300703176</v>
      </c>
      <c r="BJ307" s="65" t="n">
        <f aca="false">BJ296+BJ297</f>
        <v>972466.702989283</v>
      </c>
    </row>
    <row r="308" customFormat="false" ht="15" hidden="false" customHeight="false" outlineLevel="0" collapsed="false">
      <c r="A308" s="6" t="s">
        <v>436</v>
      </c>
      <c r="C308" s="65" t="n">
        <f aca="false">C307</f>
        <v>-676359.171602909</v>
      </c>
      <c r="D308" s="65" t="n">
        <f aca="false">C308+D307</f>
        <v>-539381.289997738</v>
      </c>
      <c r="E308" s="65" t="n">
        <f aca="false">D308+E307</f>
        <v>-402359.519503677</v>
      </c>
      <c r="F308" s="65" t="n">
        <f aca="false">E308+F307</f>
        <v>-265293.860120728</v>
      </c>
      <c r="G308" s="65" t="n">
        <f aca="false">F308+G307</f>
        <v>-128184.311848889</v>
      </c>
      <c r="H308" s="65" t="n">
        <f aca="false">G308+H307</f>
        <v>8969.12531183794</v>
      </c>
      <c r="I308" s="65" t="n">
        <f aca="false">H308+I307</f>
        <v>146166.451361454</v>
      </c>
      <c r="J308" s="65" t="n">
        <f aca="false">I308+J307</f>
        <v>283407.666299959</v>
      </c>
      <c r="K308" s="65" t="n">
        <f aca="false">J308+K307</f>
        <v>420692.770127353</v>
      </c>
      <c r="L308" s="65" t="n">
        <f aca="false">K308+L307</f>
        <v>558021.762843636</v>
      </c>
      <c r="M308" s="65" t="n">
        <f aca="false">L308+M307</f>
        <v>654867.090720807</v>
      </c>
      <c r="N308" s="65" t="n">
        <f aca="false">M308+N307</f>
        <v>858226.233086868</v>
      </c>
      <c r="O308" s="65" t="n">
        <f aca="false">N308+O307</f>
        <v>851034.624826436</v>
      </c>
      <c r="P308" s="65" t="n">
        <f aca="false">O308+P307</f>
        <v>1066737.79402081</v>
      </c>
      <c r="Q308" s="65" t="n">
        <f aca="false">P308+Q307</f>
        <v>1282484.85210407</v>
      </c>
      <c r="R308" s="65" t="n">
        <f aca="false">Q308+R307</f>
        <v>1498275.79907622</v>
      </c>
      <c r="S308" s="65" t="n">
        <f aca="false">R308+S307</f>
        <v>1714110.63493726</v>
      </c>
      <c r="T308" s="65" t="n">
        <f aca="false">S308+T307</f>
        <v>1929989.35968719</v>
      </c>
      <c r="U308" s="65" t="n">
        <f aca="false">T308+U307</f>
        <v>2145911.973326</v>
      </c>
      <c r="V308" s="65" t="n">
        <f aca="false">U308+V307</f>
        <v>2361878.47585371</v>
      </c>
      <c r="W308" s="65" t="n">
        <f aca="false">V308+W307</f>
        <v>2577888.86727031</v>
      </c>
      <c r="X308" s="65" t="n">
        <f aca="false">W308+X307</f>
        <v>2793943.14757579</v>
      </c>
      <c r="Y308" s="65" t="n">
        <f aca="false">X308+Y307</f>
        <v>2950782.95937419</v>
      </c>
      <c r="Z308" s="65" t="n">
        <f aca="false">Y308+Z307</f>
        <v>3265212.10613509</v>
      </c>
      <c r="AA308" s="65" t="n">
        <f aca="false">Z308+AA307</f>
        <v>3358634.36714594</v>
      </c>
      <c r="AB308" s="65" t="n">
        <f aca="false">AA308+AB307</f>
        <v>3682636.04782215</v>
      </c>
      <c r="AC308" s="65" t="n">
        <f aca="false">AB308+AC307</f>
        <v>4006681.61738724</v>
      </c>
      <c r="AD308" s="65" t="n">
        <f aca="false">AC308+AD307</f>
        <v>4330771.07584122</v>
      </c>
      <c r="AE308" s="65" t="n">
        <f aca="false">AD308+AE307</f>
        <v>4654904.42318409</v>
      </c>
      <c r="AF308" s="65" t="n">
        <f aca="false">AE308+AF307</f>
        <v>4979081.65941585</v>
      </c>
      <c r="AG308" s="65" t="n">
        <f aca="false">AF308+AG307</f>
        <v>5303302.78453649</v>
      </c>
      <c r="AH308" s="65" t="n">
        <f aca="false">AG308+AH307</f>
        <v>5627567.79854603</v>
      </c>
      <c r="AI308" s="65" t="n">
        <f aca="false">AH308+AI307</f>
        <v>5951876.70144445</v>
      </c>
      <c r="AJ308" s="65" t="n">
        <f aca="false">AI308+AJ307</f>
        <v>6276229.49323176</v>
      </c>
      <c r="AK308" s="65" t="n">
        <f aca="false">AJ308+AK307</f>
        <v>6515824.91691992</v>
      </c>
      <c r="AL308" s="65" t="n">
        <f aca="false">AK308+AL307</f>
        <v>6982224.15520412</v>
      </c>
      <c r="AM308" s="65" t="n">
        <f aca="false">AL308+AM307</f>
        <v>7213503.11641515</v>
      </c>
      <c r="AN308" s="65" t="n">
        <f aca="false">AM308+AN307</f>
        <v>7688244.53453106</v>
      </c>
      <c r="AO308" s="65" t="n">
        <f aca="false">AN308+AO307</f>
        <v>8163029.84153587</v>
      </c>
      <c r="AP308" s="65" t="n">
        <f aca="false">AO308+AP307</f>
        <v>8637859.03742956</v>
      </c>
      <c r="AQ308" s="65" t="n">
        <f aca="false">AP308+AQ307</f>
        <v>9112732.12221214</v>
      </c>
      <c r="AR308" s="65" t="n">
        <f aca="false">AQ308+AR307</f>
        <v>9587649.0958836</v>
      </c>
      <c r="AS308" s="65" t="n">
        <f aca="false">AR308+AS307</f>
        <v>10062609.958444</v>
      </c>
      <c r="AT308" s="65" t="n">
        <f aca="false">AS308+AT307</f>
        <v>10537614.7098932</v>
      </c>
      <c r="AU308" s="65" t="n">
        <f aca="false">AT308+AU307</f>
        <v>11012663.3502313</v>
      </c>
      <c r="AV308" s="65" t="n">
        <f aca="false">AU308+AV307</f>
        <v>11487755.8794584</v>
      </c>
      <c r="AW308" s="65" t="n">
        <f aca="false">AV308+AW307</f>
        <v>11842833.1907219</v>
      </c>
      <c r="AX308" s="65" t="n">
        <f aca="false">AW308+AX307</f>
        <v>12519922.9621229</v>
      </c>
      <c r="AY308" s="65" t="n">
        <f aca="false">AX308+AY307</f>
        <v>12942909.1367418</v>
      </c>
      <c r="AZ308" s="65" t="n">
        <f aca="false">AY308+AZ307</f>
        <v>13629572.4985073</v>
      </c>
      <c r="BA308" s="65" t="n">
        <f aca="false">AZ308+BA307</f>
        <v>14316279.7491617</v>
      </c>
      <c r="BB308" s="65" t="n">
        <f aca="false">BA308+BB307</f>
        <v>15003030.888705</v>
      </c>
      <c r="BC308" s="65" t="n">
        <f aca="false">BB308+BC307</f>
        <v>15689825.9171372</v>
      </c>
      <c r="BD308" s="65" t="n">
        <f aca="false">BC308+BD307</f>
        <v>16376664.8344583</v>
      </c>
      <c r="BE308" s="65" t="n">
        <f aca="false">BD308+BE307</f>
        <v>17063547.6406683</v>
      </c>
      <c r="BF308" s="65" t="n">
        <f aca="false">BE308+BF307</f>
        <v>17750474.3357671</v>
      </c>
      <c r="BG308" s="65" t="n">
        <f aca="false">BF308+BG307</f>
        <v>18437444.9197549</v>
      </c>
      <c r="BH308" s="65" t="n">
        <f aca="false">BG308+BH307</f>
        <v>19124459.3926315</v>
      </c>
      <c r="BI308" s="65" t="n">
        <f aca="false">BH308+BI307</f>
        <v>19642298.6933347</v>
      </c>
      <c r="BJ308" s="65" t="n">
        <f aca="false">BI308+BJ307</f>
        <v>20614765.396324</v>
      </c>
    </row>
    <row r="309" customFormat="false" ht="15" hidden="false" customHeight="false" outlineLevel="0" collapsed="false">
      <c r="A309" s="117" t="s">
        <v>437</v>
      </c>
      <c r="C309" s="65" t="n">
        <f aca="false">C308</f>
        <v>-676359.171602909</v>
      </c>
      <c r="D309" s="65" t="n">
        <f aca="false">MIN(C309,D308)</f>
        <v>-676359.171602909</v>
      </c>
      <c r="E309" s="65" t="n">
        <f aca="false">MIN(D309,E308)</f>
        <v>-676359.171602909</v>
      </c>
      <c r="F309" s="65" t="n">
        <f aca="false">MIN(E309,F308)</f>
        <v>-676359.171602909</v>
      </c>
      <c r="G309" s="65" t="n">
        <f aca="false">MIN(F309,G308)</f>
        <v>-676359.171602909</v>
      </c>
      <c r="H309" s="65" t="n">
        <f aca="false">MIN(G309,H308)</f>
        <v>-676359.171602909</v>
      </c>
      <c r="I309" s="65" t="n">
        <f aca="false">MIN(H309,I308)</f>
        <v>-676359.171602909</v>
      </c>
      <c r="J309" s="65" t="n">
        <f aca="false">MIN(I309,J308)</f>
        <v>-676359.171602909</v>
      </c>
      <c r="K309" s="65" t="n">
        <f aca="false">MIN(J309,K308)</f>
        <v>-676359.171602909</v>
      </c>
      <c r="L309" s="65" t="n">
        <f aca="false">MIN(K309,L308)</f>
        <v>-676359.171602909</v>
      </c>
      <c r="M309" s="65" t="n">
        <f aca="false">MIN(L309,M308)</f>
        <v>-676359.171602909</v>
      </c>
      <c r="N309" s="65" t="n">
        <f aca="false">MIN(M309,N308)</f>
        <v>-676359.171602909</v>
      </c>
      <c r="O309" s="65" t="n">
        <f aca="false">MIN(N309,O308)</f>
        <v>-676359.171602909</v>
      </c>
      <c r="P309" s="65" t="n">
        <f aca="false">MIN(O309,P308)</f>
        <v>-676359.171602909</v>
      </c>
      <c r="Q309" s="65" t="n">
        <f aca="false">MIN(P309,Q308)</f>
        <v>-676359.171602909</v>
      </c>
      <c r="R309" s="65" t="n">
        <f aca="false">MIN(Q309,R308)</f>
        <v>-676359.171602909</v>
      </c>
      <c r="S309" s="65" t="n">
        <f aca="false">MIN(R309,S308)</f>
        <v>-676359.171602909</v>
      </c>
      <c r="T309" s="65" t="n">
        <f aca="false">MIN(S309,T308)</f>
        <v>-676359.171602909</v>
      </c>
      <c r="U309" s="65" t="n">
        <f aca="false">MIN(T309,U308)</f>
        <v>-676359.171602909</v>
      </c>
      <c r="V309" s="65" t="n">
        <f aca="false">MIN(U309,V308)</f>
        <v>-676359.171602909</v>
      </c>
      <c r="W309" s="65" t="n">
        <f aca="false">MIN(V309,W308)</f>
        <v>-676359.171602909</v>
      </c>
      <c r="X309" s="65" t="n">
        <f aca="false">MIN(W309,X308)</f>
        <v>-676359.171602909</v>
      </c>
      <c r="Y309" s="65" t="n">
        <f aca="false">MIN(X309,Y308)</f>
        <v>-676359.171602909</v>
      </c>
      <c r="Z309" s="65" t="n">
        <f aca="false">MIN(Y309,Z308)</f>
        <v>-676359.171602909</v>
      </c>
      <c r="AA309" s="65" t="n">
        <f aca="false">MIN(Z309,AA308)</f>
        <v>-676359.171602909</v>
      </c>
      <c r="AB309" s="65" t="n">
        <f aca="false">MIN(AA309,AB308)</f>
        <v>-676359.171602909</v>
      </c>
      <c r="AC309" s="65" t="n">
        <f aca="false">MIN(AB309,AC308)</f>
        <v>-676359.171602909</v>
      </c>
      <c r="AD309" s="65" t="n">
        <f aca="false">MIN(AC309,AD308)</f>
        <v>-676359.171602909</v>
      </c>
      <c r="AE309" s="65" t="n">
        <f aca="false">MIN(AD309,AE308)</f>
        <v>-676359.171602909</v>
      </c>
      <c r="AF309" s="65" t="n">
        <f aca="false">MIN(AE309,AF308)</f>
        <v>-676359.171602909</v>
      </c>
      <c r="AG309" s="65" t="n">
        <f aca="false">MIN(AF309,AG308)</f>
        <v>-676359.171602909</v>
      </c>
      <c r="AH309" s="65" t="n">
        <f aca="false">MIN(AG309,AH308)</f>
        <v>-676359.171602909</v>
      </c>
      <c r="AI309" s="65" t="n">
        <f aca="false">MIN(AH309,AI308)</f>
        <v>-676359.171602909</v>
      </c>
      <c r="AJ309" s="65" t="n">
        <f aca="false">MIN(AI309,AJ308)</f>
        <v>-676359.171602909</v>
      </c>
      <c r="AK309" s="65" t="n">
        <f aca="false">MIN(AJ309,AK308)</f>
        <v>-676359.171602909</v>
      </c>
      <c r="AL309" s="65" t="n">
        <f aca="false">MIN(AK309,AL308)</f>
        <v>-676359.171602909</v>
      </c>
      <c r="AM309" s="65" t="n">
        <f aca="false">MIN(AL309,AM308)</f>
        <v>-676359.171602909</v>
      </c>
      <c r="AN309" s="65" t="n">
        <f aca="false">MIN(AM309,AN308)</f>
        <v>-676359.171602909</v>
      </c>
      <c r="AO309" s="65" t="n">
        <f aca="false">MIN(AN309,AO308)</f>
        <v>-676359.171602909</v>
      </c>
      <c r="AP309" s="65" t="n">
        <f aca="false">MIN(AO309,AP308)</f>
        <v>-676359.171602909</v>
      </c>
      <c r="AQ309" s="65" t="n">
        <f aca="false">MIN(AP309,AQ308)</f>
        <v>-676359.171602909</v>
      </c>
      <c r="AR309" s="65" t="n">
        <f aca="false">MIN(AQ309,AR308)</f>
        <v>-676359.171602909</v>
      </c>
      <c r="AS309" s="65" t="n">
        <f aca="false">MIN(AR309,AS308)</f>
        <v>-676359.171602909</v>
      </c>
      <c r="AT309" s="65" t="n">
        <f aca="false">MIN(AS309,AT308)</f>
        <v>-676359.171602909</v>
      </c>
      <c r="AU309" s="65" t="n">
        <f aca="false">MIN(AT309,AU308)</f>
        <v>-676359.171602909</v>
      </c>
      <c r="AV309" s="65" t="n">
        <f aca="false">MIN(AU309,AV308)</f>
        <v>-676359.171602909</v>
      </c>
      <c r="AW309" s="65" t="n">
        <f aca="false">MIN(AV309,AW308)</f>
        <v>-676359.171602909</v>
      </c>
      <c r="AX309" s="65" t="n">
        <f aca="false">MIN(AW309,AX308)</f>
        <v>-676359.171602909</v>
      </c>
      <c r="AY309" s="65" t="n">
        <f aca="false">MIN(AX309,AY308)</f>
        <v>-676359.171602909</v>
      </c>
      <c r="AZ309" s="65" t="n">
        <f aca="false">MIN(AY309,AZ308)</f>
        <v>-676359.171602909</v>
      </c>
      <c r="BA309" s="65" t="n">
        <f aca="false">MIN(AZ309,BA308)</f>
        <v>-676359.171602909</v>
      </c>
      <c r="BB309" s="65" t="n">
        <f aca="false">MIN(BA309,BB308)</f>
        <v>-676359.171602909</v>
      </c>
      <c r="BC309" s="65" t="n">
        <f aca="false">MIN(BB309,BC308)</f>
        <v>-676359.171602909</v>
      </c>
      <c r="BD309" s="65" t="n">
        <f aca="false">MIN(BC309,BD308)</f>
        <v>-676359.171602909</v>
      </c>
      <c r="BE309" s="65" t="n">
        <f aca="false">MIN(BD309,BE308)</f>
        <v>-676359.171602909</v>
      </c>
      <c r="BF309" s="65" t="n">
        <f aca="false">MIN(BE309,BF308)</f>
        <v>-676359.171602909</v>
      </c>
      <c r="BG309" s="65" t="n">
        <f aca="false">MIN(BF309,BG308)</f>
        <v>-676359.171602909</v>
      </c>
      <c r="BH309" s="65" t="n">
        <f aca="false">MIN(BG309,BH308)</f>
        <v>-676359.171602909</v>
      </c>
      <c r="BI309" s="65" t="n">
        <f aca="false">MIN(BH309,BI308)</f>
        <v>-676359.171602909</v>
      </c>
      <c r="BJ309" s="65" t="n">
        <f aca="false">MIN(BI309,BJ308)</f>
        <v>-676359.171602909</v>
      </c>
    </row>
    <row r="310" customFormat="false" ht="15" hidden="false" customHeight="false" outlineLevel="0" collapsed="false">
      <c r="A310" s="117" t="s">
        <v>438</v>
      </c>
      <c r="C310" s="113" t="n">
        <f aca="false">IF(AND(C308&gt;=0,C309&lt;0),1,0)</f>
        <v>0</v>
      </c>
      <c r="D310" s="113" t="n">
        <f aca="false">IF(AND(D308&gt;=0,D309&lt;0),1,0)</f>
        <v>0</v>
      </c>
      <c r="E310" s="113" t="n">
        <f aca="false">IF(AND(E308&gt;=0,E309&lt;0),1,0)</f>
        <v>0</v>
      </c>
      <c r="F310" s="113" t="n">
        <f aca="false">IF(AND(F308&gt;=0,F309&lt;0),1,0)</f>
        <v>0</v>
      </c>
      <c r="G310" s="113" t="n">
        <f aca="false">IF(AND(G308&gt;=0,G309&lt;0),1,0)</f>
        <v>0</v>
      </c>
      <c r="H310" s="113" t="n">
        <f aca="false">IF(AND(H308&gt;=0,H309&lt;0),1,0)</f>
        <v>1</v>
      </c>
      <c r="I310" s="113" t="n">
        <f aca="false">IF(AND(I308&gt;=0,I309&lt;0),1,0)</f>
        <v>1</v>
      </c>
      <c r="J310" s="113" t="n">
        <f aca="false">IF(AND(J308&gt;=0,J309&lt;0),1,0)</f>
        <v>1</v>
      </c>
      <c r="K310" s="113" t="n">
        <f aca="false">IF(AND(K308&gt;=0,K309&lt;0),1,0)</f>
        <v>1</v>
      </c>
      <c r="L310" s="113" t="n">
        <f aca="false">IF(AND(L308&gt;=0,L309&lt;0),1,0)</f>
        <v>1</v>
      </c>
      <c r="M310" s="113" t="n">
        <f aca="false">IF(AND(M308&gt;=0,M309&lt;0),1,0)</f>
        <v>1</v>
      </c>
      <c r="N310" s="113" t="n">
        <f aca="false">IF(AND(N308&gt;=0,N309&lt;0),1,0)</f>
        <v>1</v>
      </c>
      <c r="O310" s="113" t="n">
        <f aca="false">IF(AND(O308&gt;=0,O309&lt;0),1,0)</f>
        <v>1</v>
      </c>
      <c r="P310" s="113" t="n">
        <f aca="false">IF(AND(P308&gt;=0,P309&lt;0),1,0)</f>
        <v>1</v>
      </c>
      <c r="Q310" s="113" t="n">
        <f aca="false">IF(AND(Q308&gt;=0,Q309&lt;0),1,0)</f>
        <v>1</v>
      </c>
      <c r="R310" s="113" t="n">
        <f aca="false">IF(AND(R308&gt;=0,R309&lt;0),1,0)</f>
        <v>1</v>
      </c>
      <c r="S310" s="113" t="n">
        <f aca="false">IF(AND(S308&gt;=0,S309&lt;0),1,0)</f>
        <v>1</v>
      </c>
      <c r="T310" s="113" t="n">
        <f aca="false">IF(AND(T308&gt;=0,T309&lt;0),1,0)</f>
        <v>1</v>
      </c>
      <c r="U310" s="113" t="n">
        <f aca="false">IF(AND(U308&gt;=0,U309&lt;0),1,0)</f>
        <v>1</v>
      </c>
      <c r="V310" s="113" t="n">
        <f aca="false">IF(AND(V308&gt;=0,V309&lt;0),1,0)</f>
        <v>1</v>
      </c>
      <c r="W310" s="113" t="n">
        <f aca="false">IF(AND(W308&gt;=0,W309&lt;0),1,0)</f>
        <v>1</v>
      </c>
      <c r="X310" s="113" t="n">
        <f aca="false">IF(AND(X308&gt;=0,X309&lt;0),1,0)</f>
        <v>1</v>
      </c>
      <c r="Y310" s="113" t="n">
        <f aca="false">IF(AND(Y308&gt;=0,Y309&lt;0),1,0)</f>
        <v>1</v>
      </c>
      <c r="Z310" s="113" t="n">
        <f aca="false">IF(AND(Z308&gt;=0,Z309&lt;0),1,0)</f>
        <v>1</v>
      </c>
      <c r="AA310" s="113" t="n">
        <f aca="false">IF(AND(AA308&gt;=0,AA309&lt;0),1,0)</f>
        <v>1</v>
      </c>
      <c r="AB310" s="113" t="n">
        <f aca="false">IF(AND(AB308&gt;=0,AB309&lt;0),1,0)</f>
        <v>1</v>
      </c>
      <c r="AC310" s="113" t="n">
        <f aca="false">IF(AND(AC308&gt;=0,AC309&lt;0),1,0)</f>
        <v>1</v>
      </c>
      <c r="AD310" s="113" t="n">
        <f aca="false">IF(AND(AD308&gt;=0,AD309&lt;0),1,0)</f>
        <v>1</v>
      </c>
      <c r="AE310" s="113" t="n">
        <f aca="false">IF(AND(AE308&gt;=0,AE309&lt;0),1,0)</f>
        <v>1</v>
      </c>
      <c r="AF310" s="113" t="n">
        <f aca="false">IF(AND(AF308&gt;=0,AF309&lt;0),1,0)</f>
        <v>1</v>
      </c>
      <c r="AG310" s="113" t="n">
        <f aca="false">IF(AND(AG308&gt;=0,AG309&lt;0),1,0)</f>
        <v>1</v>
      </c>
      <c r="AH310" s="113" t="n">
        <f aca="false">IF(AND(AH308&gt;=0,AH309&lt;0),1,0)</f>
        <v>1</v>
      </c>
      <c r="AI310" s="113" t="n">
        <f aca="false">IF(AND(AI308&gt;=0,AI309&lt;0),1,0)</f>
        <v>1</v>
      </c>
      <c r="AJ310" s="113" t="n">
        <f aca="false">IF(AND(AJ308&gt;=0,AJ309&lt;0),1,0)</f>
        <v>1</v>
      </c>
      <c r="AK310" s="113" t="n">
        <f aca="false">IF(AND(AK308&gt;=0,AK309&lt;0),1,0)</f>
        <v>1</v>
      </c>
      <c r="AL310" s="113" t="n">
        <f aca="false">IF(AND(AL308&gt;=0,AL309&lt;0),1,0)</f>
        <v>1</v>
      </c>
      <c r="AM310" s="113" t="n">
        <f aca="false">IF(AND(AM308&gt;=0,AM309&lt;0),1,0)</f>
        <v>1</v>
      </c>
      <c r="AN310" s="113" t="n">
        <f aca="false">IF(AND(AN308&gt;=0,AN309&lt;0),1,0)</f>
        <v>1</v>
      </c>
      <c r="AO310" s="113" t="n">
        <f aca="false">IF(AND(AO308&gt;=0,AO309&lt;0),1,0)</f>
        <v>1</v>
      </c>
      <c r="AP310" s="113" t="n">
        <f aca="false">IF(AND(AP308&gt;=0,AP309&lt;0),1,0)</f>
        <v>1</v>
      </c>
      <c r="AQ310" s="113" t="n">
        <f aca="false">IF(AND(AQ308&gt;=0,AQ309&lt;0),1,0)</f>
        <v>1</v>
      </c>
      <c r="AR310" s="113" t="n">
        <f aca="false">IF(AND(AR308&gt;=0,AR309&lt;0),1,0)</f>
        <v>1</v>
      </c>
      <c r="AS310" s="113" t="n">
        <f aca="false">IF(AND(AS308&gt;=0,AS309&lt;0),1,0)</f>
        <v>1</v>
      </c>
      <c r="AT310" s="113" t="n">
        <f aca="false">IF(AND(AT308&gt;=0,AT309&lt;0),1,0)</f>
        <v>1</v>
      </c>
      <c r="AU310" s="113" t="n">
        <f aca="false">IF(AND(AU308&gt;=0,AU309&lt;0),1,0)</f>
        <v>1</v>
      </c>
      <c r="AV310" s="113" t="n">
        <f aca="false">IF(AND(AV308&gt;=0,AV309&lt;0),1,0)</f>
        <v>1</v>
      </c>
      <c r="AW310" s="113" t="n">
        <f aca="false">IF(AND(AW308&gt;=0,AW309&lt;0),1,0)</f>
        <v>1</v>
      </c>
      <c r="AX310" s="113" t="n">
        <f aca="false">IF(AND(AX308&gt;=0,AX309&lt;0),1,0)</f>
        <v>1</v>
      </c>
      <c r="AY310" s="113" t="n">
        <f aca="false">IF(AND(AY308&gt;=0,AY309&lt;0),1,0)</f>
        <v>1</v>
      </c>
      <c r="AZ310" s="113" t="n">
        <f aca="false">IF(AND(AZ308&gt;=0,AZ309&lt;0),1,0)</f>
        <v>1</v>
      </c>
      <c r="BA310" s="113" t="n">
        <f aca="false">IF(AND(BA308&gt;=0,BA309&lt;0),1,0)</f>
        <v>1</v>
      </c>
      <c r="BB310" s="113" t="n">
        <f aca="false">IF(AND(BB308&gt;=0,BB309&lt;0),1,0)</f>
        <v>1</v>
      </c>
      <c r="BC310" s="113" t="n">
        <f aca="false">IF(AND(BC308&gt;=0,BC309&lt;0),1,0)</f>
        <v>1</v>
      </c>
      <c r="BD310" s="113" t="n">
        <f aca="false">IF(AND(BD308&gt;=0,BD309&lt;0),1,0)</f>
        <v>1</v>
      </c>
      <c r="BE310" s="113" t="n">
        <f aca="false">IF(AND(BE308&gt;=0,BE309&lt;0),1,0)</f>
        <v>1</v>
      </c>
      <c r="BF310" s="113" t="n">
        <f aca="false">IF(AND(BF308&gt;=0,BF309&lt;0),1,0)</f>
        <v>1</v>
      </c>
      <c r="BG310" s="113" t="n">
        <f aca="false">IF(AND(BG308&gt;=0,BG309&lt;0),1,0)</f>
        <v>1</v>
      </c>
      <c r="BH310" s="113" t="n">
        <f aca="false">IF(AND(BH308&gt;=0,BH309&lt;0),1,0)</f>
        <v>1</v>
      </c>
      <c r="BI310" s="113" t="n">
        <f aca="false">IF(AND(BI308&gt;=0,BI309&lt;0),1,0)</f>
        <v>1</v>
      </c>
      <c r="BJ310" s="113" t="n">
        <f aca="false">IF(AND(BJ308&gt;=0,BJ309&lt;0),1,0)</f>
        <v>1</v>
      </c>
    </row>
    <row r="311" customFormat="false" ht="15" hidden="false" customHeight="false" outlineLevel="0" collapsed="false">
      <c r="A311" s="6" t="s">
        <v>439</v>
      </c>
      <c r="C311" s="65" t="n">
        <f aca="false">C296-C267*(1-Inputs!$D$70)+C297</f>
        <v>-673725.838269576</v>
      </c>
      <c r="D311" s="65" t="n">
        <f aca="false">D296-D267*(1-Inputs!$D$70)+D297</f>
        <v>139589.270494061</v>
      </c>
      <c r="E311" s="65" t="n">
        <f aca="false">E296-E267*(1-Inputs!$D$70)+E297</f>
        <v>139589.270494061</v>
      </c>
      <c r="F311" s="65" t="n">
        <f aca="false">F296-F267*(1-Inputs!$D$70)+F297</f>
        <v>139589.270494061</v>
      </c>
      <c r="G311" s="65" t="n">
        <f aca="false">G296-G267*(1-Inputs!$D$70)+G297</f>
        <v>139589.270494061</v>
      </c>
      <c r="H311" s="65" t="n">
        <f aca="false">H296-H267*(1-Inputs!$D$70)+H297</f>
        <v>139589.270494061</v>
      </c>
      <c r="I311" s="65" t="n">
        <f aca="false">I296-I267*(1-Inputs!$D$70)+I297</f>
        <v>139589.270494061</v>
      </c>
      <c r="J311" s="65" t="n">
        <f aca="false">J296-J267*(1-Inputs!$D$70)+J297</f>
        <v>139589.270494061</v>
      </c>
      <c r="K311" s="65" t="n">
        <f aca="false">K296-K267*(1-Inputs!$D$70)+K297</f>
        <v>139589.270494061</v>
      </c>
      <c r="L311" s="65" t="n">
        <f aca="false">L296-L267*(1-Inputs!$D$70)+L297</f>
        <v>139589.270494061</v>
      </c>
      <c r="M311" s="65" t="n">
        <f aca="false">M296-M267*(1-Inputs!$D$70)+M297</f>
        <v>99061.7167660604</v>
      </c>
      <c r="N311" s="65" t="n">
        <f aca="false">N296-N267*(1-Inputs!$D$70)+N297</f>
        <v>205531.642366061</v>
      </c>
      <c r="O311" s="65" t="n">
        <f aca="false">O296-O267*(1-Inputs!$D$70)+O297</f>
        <v>-5062.99714932044</v>
      </c>
      <c r="P311" s="65" t="n">
        <f aca="false">P296-P267*(1-Inputs!$D$70)+P297</f>
        <v>217787.891416595</v>
      </c>
      <c r="Q311" s="65" t="n">
        <f aca="false">Q296-Q267*(1-Inputs!$D$70)+Q297</f>
        <v>217787.891416595</v>
      </c>
      <c r="R311" s="65" t="n">
        <f aca="false">R296-R267*(1-Inputs!$D$70)+R297</f>
        <v>217787.891416595</v>
      </c>
      <c r="S311" s="65" t="n">
        <f aca="false">S296-S267*(1-Inputs!$D$70)+S297</f>
        <v>217787.891416595</v>
      </c>
      <c r="T311" s="65" t="n">
        <f aca="false">T296-T267*(1-Inputs!$D$70)+T297</f>
        <v>217787.891416595</v>
      </c>
      <c r="U311" s="65" t="n">
        <f aca="false">U296-U267*(1-Inputs!$D$70)+U297</f>
        <v>217787.891416595</v>
      </c>
      <c r="V311" s="65" t="n">
        <f aca="false">V296-V267*(1-Inputs!$D$70)+V297</f>
        <v>217787.891416595</v>
      </c>
      <c r="W311" s="65" t="n">
        <f aca="false">W296-W267*(1-Inputs!$D$70)+W297</f>
        <v>217787.891416595</v>
      </c>
      <c r="X311" s="65" t="n">
        <f aca="false">X296-X267*(1-Inputs!$D$70)+X297</f>
        <v>217787.891416595</v>
      </c>
      <c r="Y311" s="65" t="n">
        <f aca="false">Y296-Y267*(1-Inputs!$D$70)+Y297</f>
        <v>158529.534020627</v>
      </c>
      <c r="Z311" s="65" t="n">
        <f aca="false">Z296-Z267*(1-Inputs!$D$70)+Z297</f>
        <v>316074.980094227</v>
      </c>
      <c r="AA311" s="65" t="n">
        <f aca="false">AA296-AA267*(1-Inputs!$D$70)+AA297</f>
        <v>95024.2054553006</v>
      </c>
      <c r="AB311" s="65" t="n">
        <f aca="false">AB296-AB267*(1-Inputs!$D$70)+AB297</f>
        <v>325559.736231758</v>
      </c>
      <c r="AC311" s="65" t="n">
        <f aca="false">AC296-AC267*(1-Inputs!$D$70)+AC297</f>
        <v>325559.736231758</v>
      </c>
      <c r="AD311" s="65" t="n">
        <f aca="false">AD296-AD267*(1-Inputs!$D$70)+AD297</f>
        <v>325559.736231758</v>
      </c>
      <c r="AE311" s="65" t="n">
        <f aca="false">AE296-AE267*(1-Inputs!$D$70)+AE297</f>
        <v>325559.736231758</v>
      </c>
      <c r="AF311" s="65" t="n">
        <f aca="false">AF296-AF267*(1-Inputs!$D$70)+AF297</f>
        <v>325559.736231758</v>
      </c>
      <c r="AG311" s="65" t="n">
        <f aca="false">AG296-AG267*(1-Inputs!$D$70)+AG297</f>
        <v>325559.736231758</v>
      </c>
      <c r="AH311" s="65" t="n">
        <f aca="false">AH296-AH267*(1-Inputs!$D$70)+AH297</f>
        <v>325559.736231758</v>
      </c>
      <c r="AI311" s="65" t="n">
        <f aca="false">AI296-AI267*(1-Inputs!$D$70)+AI297</f>
        <v>325559.736231758</v>
      </c>
      <c r="AJ311" s="65" t="n">
        <f aca="false">AJ296-AJ267*(1-Inputs!$D$70)+AJ297</f>
        <v>325559.736231758</v>
      </c>
      <c r="AK311" s="65" t="n">
        <f aca="false">AK296-AK267*(1-Inputs!$D$70)+AK297</f>
        <v>240758.479243708</v>
      </c>
      <c r="AL311" s="65" t="n">
        <f aca="false">AL296-AL267*(1-Inputs!$D$70)+AL297</f>
        <v>467518.40495087</v>
      </c>
      <c r="AM311" s="65" t="n">
        <f aca="false">AM296-AM267*(1-Inputs!$D$70)+AM297</f>
        <v>232354.23898881</v>
      </c>
      <c r="AN311" s="65" t="n">
        <f aca="false">AN296-AN267*(1-Inputs!$D$70)+AN297</f>
        <v>475772.807004801</v>
      </c>
      <c r="AO311" s="65" t="n">
        <f aca="false">AO296-AO267*(1-Inputs!$D$70)+AO297</f>
        <v>475772.807004801</v>
      </c>
      <c r="AP311" s="65" t="n">
        <f aca="false">AP296-AP267*(1-Inputs!$D$70)+AP297</f>
        <v>475772.807004801</v>
      </c>
      <c r="AQ311" s="65" t="n">
        <f aca="false">AQ296-AQ267*(1-Inputs!$D$70)+AQ297</f>
        <v>475772.807004801</v>
      </c>
      <c r="AR311" s="65" t="n">
        <f aca="false">AR296-AR267*(1-Inputs!$D$70)+AR297</f>
        <v>475772.807004801</v>
      </c>
      <c r="AS311" s="65" t="n">
        <f aca="false">AS296-AS267*(1-Inputs!$D$70)+AS297</f>
        <v>475772.807004801</v>
      </c>
      <c r="AT311" s="65" t="n">
        <f aca="false">AT296-AT267*(1-Inputs!$D$70)+AT297</f>
        <v>475772.807004801</v>
      </c>
      <c r="AU311" s="65" t="n">
        <f aca="false">AU296-AU267*(1-Inputs!$D$70)+AU297</f>
        <v>475772.807004801</v>
      </c>
      <c r="AV311" s="65" t="n">
        <f aca="false">AV296-AV267*(1-Inputs!$D$70)+AV297</f>
        <v>475772.807004801</v>
      </c>
      <c r="AW311" s="65" t="n">
        <f aca="false">AW296-AW267*(1-Inputs!$D$70)+AW297</f>
        <v>355713.700152467</v>
      </c>
      <c r="AX311" s="65" t="n">
        <f aca="false">AX296-AX267*(1-Inputs!$D$70)+AX297</f>
        <v>677682.271400974</v>
      </c>
      <c r="AY311" s="65" t="n">
        <f aca="false">AY296-AY267*(1-Inputs!$D$70)+AY297</f>
        <v>423534.78572997</v>
      </c>
      <c r="AZ311" s="65" t="n">
        <f aca="false">AZ296-AZ267*(1-Inputs!$D$70)+AZ297</f>
        <v>687168.083987749</v>
      </c>
      <c r="BA311" s="65" t="n">
        <f aca="false">BA296-BA267*(1-Inputs!$D$70)+BA297</f>
        <v>687168.08398775</v>
      </c>
      <c r="BB311" s="65" t="n">
        <f aca="false">BB296-BB267*(1-Inputs!$D$70)+BB297</f>
        <v>687168.08398775</v>
      </c>
      <c r="BC311" s="65" t="n">
        <f aca="false">BC296-BC267*(1-Inputs!$D$70)+BC297</f>
        <v>687168.08398775</v>
      </c>
      <c r="BD311" s="65" t="n">
        <f aca="false">BD296-BD267*(1-Inputs!$D$70)+BD297</f>
        <v>687168.08398775</v>
      </c>
      <c r="BE311" s="65" t="n">
        <f aca="false">BE296-BE267*(1-Inputs!$D$70)+BE297</f>
        <v>687168.08398775</v>
      </c>
      <c r="BF311" s="65" t="n">
        <f aca="false">BF296-BF267*(1-Inputs!$D$70)+BF297</f>
        <v>687168.08398775</v>
      </c>
      <c r="BG311" s="65" t="n">
        <f aca="false">BG296-BG267*(1-Inputs!$D$70)+BG297</f>
        <v>687168.083987749</v>
      </c>
      <c r="BH311" s="65" t="n">
        <f aca="false">BH296-BH267*(1-Inputs!$D$70)+BH297</f>
        <v>687168.083987749</v>
      </c>
      <c r="BI311" s="65" t="n">
        <f aca="false">BI296-BI267*(1-Inputs!$D$70)+BI297</f>
        <v>517949.022925398</v>
      </c>
      <c r="BJ311" s="65" t="n">
        <f aca="false">BJ296-BJ267*(1-Inputs!$D$70)+BJ297</f>
        <v>972532.536322616</v>
      </c>
    </row>
    <row r="313" customFormat="false" ht="15.75" hidden="false" customHeight="true" outlineLevel="0" collapsed="false">
      <c r="A313" s="7" t="s">
        <v>440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customFormat="false" ht="15" hidden="false" customHeight="false" outlineLevel="0" collapsed="false">
      <c r="A314" s="6" t="s">
        <v>97</v>
      </c>
      <c r="C314" s="65" t="n">
        <f aca="false">C298</f>
        <v>1500000</v>
      </c>
      <c r="D314" s="65" t="n">
        <f aca="false">C314+D298</f>
        <v>1500000</v>
      </c>
      <c r="E314" s="65" t="n">
        <f aca="false">D314+E298</f>
        <v>1500000</v>
      </c>
      <c r="F314" s="65" t="n">
        <f aca="false">E314+F298</f>
        <v>1500000</v>
      </c>
      <c r="G314" s="65" t="n">
        <f aca="false">F314+G298</f>
        <v>1500000</v>
      </c>
      <c r="H314" s="65" t="n">
        <f aca="false">G314+H298</f>
        <v>1500000</v>
      </c>
      <c r="I314" s="65" t="n">
        <f aca="false">H314+I298</f>
        <v>1500000</v>
      </c>
      <c r="J314" s="65" t="n">
        <f aca="false">I314+J298</f>
        <v>1500000</v>
      </c>
      <c r="K314" s="65" t="n">
        <f aca="false">J314+K298</f>
        <v>1500000</v>
      </c>
      <c r="L314" s="65" t="n">
        <f aca="false">K314+L298</f>
        <v>1500000</v>
      </c>
      <c r="M314" s="65" t="n">
        <f aca="false">L314+M298</f>
        <v>1500000</v>
      </c>
      <c r="N314" s="65" t="n">
        <f aca="false">M314+N298</f>
        <v>1500000</v>
      </c>
      <c r="O314" s="65" t="n">
        <f aca="false">N314+O298</f>
        <v>1500000</v>
      </c>
      <c r="P314" s="65" t="n">
        <f aca="false">O314+P298</f>
        <v>1500000</v>
      </c>
      <c r="Q314" s="65" t="n">
        <f aca="false">P314+Q298</f>
        <v>1500000</v>
      </c>
      <c r="R314" s="65" t="n">
        <f aca="false">Q314+R298</f>
        <v>1500000</v>
      </c>
      <c r="S314" s="65" t="n">
        <f aca="false">R314+S298</f>
        <v>1500000</v>
      </c>
      <c r="T314" s="65" t="n">
        <f aca="false">S314+T298</f>
        <v>1500000</v>
      </c>
      <c r="U314" s="65" t="n">
        <f aca="false">T314+U298</f>
        <v>1500000</v>
      </c>
      <c r="V314" s="65" t="n">
        <f aca="false">U314+V298</f>
        <v>1500000</v>
      </c>
      <c r="W314" s="65" t="n">
        <f aca="false">V314+W298</f>
        <v>1500000</v>
      </c>
      <c r="X314" s="65" t="n">
        <f aca="false">W314+X298</f>
        <v>1500000</v>
      </c>
      <c r="Y314" s="65" t="n">
        <f aca="false">X314+Y298</f>
        <v>1500000</v>
      </c>
      <c r="Z314" s="65" t="n">
        <f aca="false">Y314+Z298</f>
        <v>1500000</v>
      </c>
      <c r="AA314" s="65" t="n">
        <f aca="false">Z314+AA298</f>
        <v>1500000</v>
      </c>
      <c r="AB314" s="65" t="n">
        <f aca="false">AA314+AB298</f>
        <v>1500000</v>
      </c>
      <c r="AC314" s="65" t="n">
        <f aca="false">AB314+AC298</f>
        <v>1500000</v>
      </c>
      <c r="AD314" s="65" t="n">
        <f aca="false">AC314+AD298</f>
        <v>1500000</v>
      </c>
      <c r="AE314" s="65" t="n">
        <f aca="false">AD314+AE298</f>
        <v>1500000</v>
      </c>
      <c r="AF314" s="65" t="n">
        <f aca="false">AE314+AF298</f>
        <v>1500000</v>
      </c>
      <c r="AG314" s="65" t="n">
        <f aca="false">AF314+AG298</f>
        <v>1500000</v>
      </c>
      <c r="AH314" s="65" t="n">
        <f aca="false">AG314+AH298</f>
        <v>1500000</v>
      </c>
      <c r="AI314" s="65" t="n">
        <f aca="false">AH314+AI298</f>
        <v>1500000</v>
      </c>
      <c r="AJ314" s="65" t="n">
        <f aca="false">AI314+AJ298</f>
        <v>1500000</v>
      </c>
      <c r="AK314" s="65" t="n">
        <f aca="false">AJ314+AK298</f>
        <v>1500000</v>
      </c>
      <c r="AL314" s="65" t="n">
        <f aca="false">AK314+AL298</f>
        <v>1500000</v>
      </c>
      <c r="AM314" s="65" t="n">
        <f aca="false">AL314+AM298</f>
        <v>1500000</v>
      </c>
      <c r="AN314" s="65" t="n">
        <f aca="false">AM314+AN298</f>
        <v>1500000</v>
      </c>
      <c r="AO314" s="65" t="n">
        <f aca="false">AN314+AO298</f>
        <v>1500000</v>
      </c>
      <c r="AP314" s="65" t="n">
        <f aca="false">AO314+AP298</f>
        <v>1500000</v>
      </c>
      <c r="AQ314" s="65" t="n">
        <f aca="false">AP314+AQ298</f>
        <v>1500000</v>
      </c>
      <c r="AR314" s="65" t="n">
        <f aca="false">AQ314+AR298</f>
        <v>1500000</v>
      </c>
      <c r="AS314" s="65" t="n">
        <f aca="false">AR314+AS298</f>
        <v>1500000</v>
      </c>
      <c r="AT314" s="65" t="n">
        <f aca="false">AS314+AT298</f>
        <v>1500000</v>
      </c>
      <c r="AU314" s="65" t="n">
        <f aca="false">AT314+AU298</f>
        <v>1500000</v>
      </c>
      <c r="AV314" s="65" t="n">
        <f aca="false">AU314+AV298</f>
        <v>1500000</v>
      </c>
      <c r="AW314" s="65" t="n">
        <f aca="false">AV314+AW298</f>
        <v>1500000</v>
      </c>
      <c r="AX314" s="65" t="n">
        <f aca="false">AW314+AX298</f>
        <v>1500000</v>
      </c>
      <c r="AY314" s="65" t="n">
        <f aca="false">AX314+AY298</f>
        <v>1500000</v>
      </c>
      <c r="AZ314" s="65" t="n">
        <f aca="false">AY314+AZ298</f>
        <v>1500000</v>
      </c>
      <c r="BA314" s="65" t="n">
        <f aca="false">AZ314+BA298</f>
        <v>1500000</v>
      </c>
      <c r="BB314" s="65" t="n">
        <f aca="false">BA314+BB298</f>
        <v>1500000</v>
      </c>
      <c r="BC314" s="65" t="n">
        <f aca="false">BB314+BC298</f>
        <v>1500000</v>
      </c>
      <c r="BD314" s="65" t="n">
        <f aca="false">BC314+BD298</f>
        <v>1500000</v>
      </c>
      <c r="BE314" s="65" t="n">
        <f aca="false">BD314+BE298</f>
        <v>1500000</v>
      </c>
      <c r="BF314" s="65" t="n">
        <f aca="false">BE314+BF298</f>
        <v>1500000</v>
      </c>
      <c r="BG314" s="65" t="n">
        <f aca="false">BF314+BG298</f>
        <v>1500000</v>
      </c>
      <c r="BH314" s="65" t="n">
        <f aca="false">BG314+BH298</f>
        <v>1500000</v>
      </c>
      <c r="BI314" s="65" t="n">
        <f aca="false">BH314+BI298</f>
        <v>1500000</v>
      </c>
      <c r="BJ314" s="65" t="n">
        <f aca="false">BI314+BJ298</f>
        <v>1500000</v>
      </c>
    </row>
    <row r="315" customFormat="false" ht="15" hidden="false" customHeight="false" outlineLevel="0" collapsed="false">
      <c r="A315" s="6" t="s">
        <v>98</v>
      </c>
      <c r="C315" s="65" t="n">
        <f aca="false">C272</f>
        <v>132789.270494061</v>
      </c>
      <c r="D315" s="65" t="n">
        <f aca="false">C315+D272</f>
        <v>265600.485432566</v>
      </c>
      <c r="E315" s="65" t="n">
        <f aca="false">D315+E272</f>
        <v>398455.589259959</v>
      </c>
      <c r="F315" s="65" t="n">
        <f aca="false">E315+F272</f>
        <v>531354.581976242</v>
      </c>
      <c r="G315" s="65" t="n">
        <f aca="false">F315+G272</f>
        <v>664297.463581414</v>
      </c>
      <c r="H315" s="65" t="n">
        <f aca="false">G315+H272</f>
        <v>797284.234075474</v>
      </c>
      <c r="I315" s="65" t="n">
        <f aca="false">H315+I272</f>
        <v>930314.893458424</v>
      </c>
      <c r="J315" s="65" t="n">
        <f aca="false">I315+J272</f>
        <v>1063389.44173026</v>
      </c>
      <c r="K315" s="65" t="n">
        <f aca="false">J315+K272</f>
        <v>1196507.87889099</v>
      </c>
      <c r="L315" s="65" t="n">
        <f aca="false">K315+L272</f>
        <v>1329670.20494061</v>
      </c>
      <c r="M315" s="65" t="n">
        <f aca="false">L315+M272</f>
        <v>1528818.79175111</v>
      </c>
      <c r="N315" s="65" t="n">
        <f aca="false">M315+N272</f>
        <v>1728011.2674505</v>
      </c>
      <c r="O315" s="65" t="n">
        <f aca="false">N315+O272</f>
        <v>1937718.16680361</v>
      </c>
      <c r="P315" s="65" t="n">
        <f aca="false">O315+P272</f>
        <v>2147468.9550456</v>
      </c>
      <c r="Q315" s="65" t="n">
        <f aca="false">P315+Q272</f>
        <v>2357263.63217648</v>
      </c>
      <c r="R315" s="65" t="n">
        <f aca="false">Q315+R272</f>
        <v>2567102.19819625</v>
      </c>
      <c r="S315" s="65" t="n">
        <f aca="false">R315+S272</f>
        <v>2776984.65310491</v>
      </c>
      <c r="T315" s="65" t="n">
        <f aca="false">S315+T272</f>
        <v>2986910.99690245</v>
      </c>
      <c r="U315" s="65" t="n">
        <f aca="false">T315+U272</f>
        <v>3196881.22958889</v>
      </c>
      <c r="V315" s="65" t="n">
        <f aca="false">U315+V272</f>
        <v>3406895.35116422</v>
      </c>
      <c r="W315" s="65" t="n">
        <f aca="false">V315+W272</f>
        <v>3616953.36162843</v>
      </c>
      <c r="X315" s="65" t="n">
        <f aca="false">W315+X272</f>
        <v>3827055.26098153</v>
      </c>
      <c r="Y315" s="65" t="n">
        <f aca="false">X315+Y272</f>
        <v>4135488.13790116</v>
      </c>
      <c r="Z315" s="65" t="n">
        <f aca="false">Y315+Z272</f>
        <v>4443964.90370967</v>
      </c>
      <c r="AA315" s="65" t="n">
        <f aca="false">Z315+AA272</f>
        <v>4760184.60025889</v>
      </c>
      <c r="AB315" s="65" t="n">
        <f aca="false">AA315+AB272</f>
        <v>5076448.18569699</v>
      </c>
      <c r="AC315" s="65" t="n">
        <f aca="false">AB315+AC272</f>
        <v>5392755.66002399</v>
      </c>
      <c r="AD315" s="65" t="n">
        <f aca="false">AC315+AD272</f>
        <v>5709107.02323987</v>
      </c>
      <c r="AE315" s="65" t="n">
        <f aca="false">AD315+AE272</f>
        <v>6025502.27534465</v>
      </c>
      <c r="AF315" s="65" t="n">
        <f aca="false">AE315+AF272</f>
        <v>6341941.41633831</v>
      </c>
      <c r="AG315" s="65" t="n">
        <f aca="false">AF315+AG272</f>
        <v>6658424.44622086</v>
      </c>
      <c r="AH315" s="65" t="n">
        <f aca="false">AG315+AH272</f>
        <v>6974951.3649923</v>
      </c>
      <c r="AI315" s="65" t="n">
        <f aca="false">AH315+AI272</f>
        <v>7291522.17265263</v>
      </c>
      <c r="AJ315" s="65" t="n">
        <f aca="false">AI315+AJ272</f>
        <v>7608136.86920185</v>
      </c>
      <c r="AK315" s="65" t="n">
        <f aca="false">AJ315+AK272</f>
        <v>8066754.12335907</v>
      </c>
      <c r="AL315" s="65" t="n">
        <f aca="false">AK315+AL272</f>
        <v>8525415.26640518</v>
      </c>
      <c r="AM315" s="65" t="n">
        <f aca="false">AL315+AM272</f>
        <v>8990588.98610839</v>
      </c>
      <c r="AN315" s="65" t="n">
        <f aca="false">AM315+AN272</f>
        <v>9455806.59470049</v>
      </c>
      <c r="AO315" s="65" t="n">
        <f aca="false">AN315+AO272</f>
        <v>9921068.09218149</v>
      </c>
      <c r="AP315" s="65" t="n">
        <f aca="false">AO315+AP272</f>
        <v>10386373.4785514</v>
      </c>
      <c r="AQ315" s="65" t="n">
        <f aca="false">AP315+AQ272</f>
        <v>10851722.7538101</v>
      </c>
      <c r="AR315" s="65" t="n">
        <f aca="false">AQ315+AR272</f>
        <v>11317115.9179578</v>
      </c>
      <c r="AS315" s="65" t="n">
        <f aca="false">AR315+AS272</f>
        <v>11782552.9709943</v>
      </c>
      <c r="AT315" s="65" t="n">
        <f aca="false">AS315+AT272</f>
        <v>12248033.9129198</v>
      </c>
      <c r="AU315" s="65" t="n">
        <f aca="false">AT315+AU272</f>
        <v>12713558.7437341</v>
      </c>
      <c r="AV315" s="65" t="n">
        <f aca="false">AU315+AV272</f>
        <v>13179127.4634373</v>
      </c>
      <c r="AW315" s="65" t="n">
        <f aca="false">AV315+AW272</f>
        <v>13846649.5364256</v>
      </c>
      <c r="AX315" s="65" t="n">
        <f aca="false">AW315+AX272</f>
        <v>14514215.4983028</v>
      </c>
      <c r="AY315" s="65" t="n">
        <f aca="false">AX315+AY272</f>
        <v>15189525.4473699</v>
      </c>
      <c r="AZ315" s="65" t="n">
        <f aca="false">AY315+AZ272</f>
        <v>15864879.2853259</v>
      </c>
      <c r="BA315" s="65" t="n">
        <f aca="false">AZ315+BA272</f>
        <v>16540277.0121708</v>
      </c>
      <c r="BB315" s="65" t="n">
        <f aca="false">BA315+BB272</f>
        <v>17215718.6279045</v>
      </c>
      <c r="BC315" s="65" t="n">
        <f aca="false">BB315+BC272</f>
        <v>17891204.1325272</v>
      </c>
      <c r="BD315" s="65" t="n">
        <f aca="false">BC315+BD272</f>
        <v>18566733.5260388</v>
      </c>
      <c r="BE315" s="65" t="n">
        <f aca="false">BD315+BE272</f>
        <v>19242306.8084392</v>
      </c>
      <c r="BF315" s="65" t="n">
        <f aca="false">BE315+BF272</f>
        <v>19917923.9797286</v>
      </c>
      <c r="BG315" s="65" t="n">
        <f aca="false">BF315+BG272</f>
        <v>20593585.0399068</v>
      </c>
      <c r="BH315" s="65" t="n">
        <f aca="false">BG315+BH272</f>
        <v>21269289.9889739</v>
      </c>
      <c r="BI315" s="65" t="n">
        <f aca="false">BH315+BI272</f>
        <v>22230403.2792648</v>
      </c>
      <c r="BJ315" s="65" t="n">
        <f aca="false">BI315+BJ272</f>
        <v>23191560.4584445</v>
      </c>
    </row>
    <row r="316" customFormat="false" ht="15" hidden="false" customHeight="false" outlineLevel="0" collapsed="false">
      <c r="A316" s="4" t="s">
        <v>93</v>
      </c>
      <c r="C316" s="71" t="n">
        <f aca="false">C302+C288+C289+C279</f>
        <v>2410067.36627588</v>
      </c>
      <c r="D316" s="71" t="n">
        <f aca="false">D302+D288+D289+D279</f>
        <v>2534545.24788105</v>
      </c>
      <c r="E316" s="71" t="n">
        <f aca="false">E302+E288+E289+E279</f>
        <v>2659067.01837511</v>
      </c>
      <c r="F316" s="71" t="n">
        <f aca="false">F302+F288+F289+F279</f>
        <v>2783632.67775806</v>
      </c>
      <c r="G316" s="71" t="n">
        <f aca="false">G302+G288+G289+G279</f>
        <v>2908242.2260299</v>
      </c>
      <c r="H316" s="71" t="n">
        <f aca="false">H302+H288+H289+H279</f>
        <v>3032895.66319063</v>
      </c>
      <c r="I316" s="71" t="n">
        <f aca="false">I302+I288+I289+I279</f>
        <v>3157592.98924024</v>
      </c>
      <c r="J316" s="71" t="n">
        <f aca="false">J302+J288+J289+J279</f>
        <v>3282334.20417875</v>
      </c>
      <c r="K316" s="71" t="n">
        <f aca="false">K302+K288+K289+K279</f>
        <v>3407119.30800614</v>
      </c>
      <c r="L316" s="71" t="n">
        <f aca="false">L302+L288+L289+L279</f>
        <v>3531948.30072242</v>
      </c>
      <c r="M316" s="71" t="n">
        <f aca="false">M302+M288+M289+M279</f>
        <v>3786482.1285996</v>
      </c>
      <c r="N316" s="71" t="n">
        <f aca="false">N302+N288+N289+N279</f>
        <v>3977341.27096566</v>
      </c>
      <c r="O316" s="71" t="n">
        <f aca="false">O302+O288+O289+O279</f>
        <v>4222313.57848012</v>
      </c>
      <c r="P316" s="71" t="n">
        <f aca="false">P302+P288+P289+P279</f>
        <v>4423731.03338878</v>
      </c>
      <c r="Q316" s="71" t="n">
        <f aca="false">Q302+Q288+Q289+Q279</f>
        <v>4625192.37718632</v>
      </c>
      <c r="R316" s="71" t="n">
        <f aca="false">R302+R288+R289+R279</f>
        <v>4826697.60987276</v>
      </c>
      <c r="S316" s="71" t="n">
        <f aca="false">S302+S288+S289+S279</f>
        <v>5028246.73144808</v>
      </c>
      <c r="T316" s="71" t="n">
        <f aca="false">T302+T288+T289+T279</f>
        <v>5229839.7419123</v>
      </c>
      <c r="U316" s="71" t="n">
        <f aca="false">U302+U288+U289+U279</f>
        <v>5431476.6412654</v>
      </c>
      <c r="V316" s="71" t="n">
        <f aca="false">V302+V288+V289+V279</f>
        <v>5633157.42950739</v>
      </c>
      <c r="W316" s="71" t="n">
        <f aca="false">W302+W288+W289+W279</f>
        <v>5834882.10663827</v>
      </c>
      <c r="X316" s="71" t="n">
        <f aca="false">X302+X288+X289+X279</f>
        <v>6036650.67265804</v>
      </c>
      <c r="Y316" s="71" t="n">
        <f aca="false">Y302+Y288+Y289+Y279</f>
        <v>6431035.72617073</v>
      </c>
      <c r="Z316" s="71" t="n">
        <f aca="false">Z302+Z288+Z289+Z279</f>
        <v>6731179.15864591</v>
      </c>
      <c r="AA316" s="71" t="n">
        <f aca="false">AA302+AA288+AA289+AA279</f>
        <v>7087263.25639297</v>
      </c>
      <c r="AB316" s="71" t="n">
        <f aca="false">AB302+AB288+AB289+AB279</f>
        <v>7395193.50849775</v>
      </c>
      <c r="AC316" s="71" t="n">
        <f aca="false">AC302+AC288+AC289+AC279</f>
        <v>7703167.64949141</v>
      </c>
      <c r="AD316" s="71" t="n">
        <f aca="false">AD302+AD288+AD289+AD279</f>
        <v>8011185.67937396</v>
      </c>
      <c r="AE316" s="71" t="n">
        <f aca="false">AE302+AE288+AE289+AE279</f>
        <v>8319247.5981454</v>
      </c>
      <c r="AF316" s="71" t="n">
        <f aca="false">AF302+AF288+AF289+AF279</f>
        <v>8627353.40580573</v>
      </c>
      <c r="AG316" s="71" t="n">
        <f aca="false">AG302+AG288+AG289+AG279</f>
        <v>8935503.10235495</v>
      </c>
      <c r="AH316" s="71" t="n">
        <f aca="false">AH302+AH288+AH289+AH279</f>
        <v>9243696.68779306</v>
      </c>
      <c r="AI316" s="71" t="n">
        <f aca="false">AI302+AI288+AI289+AI279</f>
        <v>9551934.16212005</v>
      </c>
      <c r="AJ316" s="71" t="n">
        <f aca="false">AJ302+AJ288+AJ289+AJ279</f>
        <v>9860215.52533594</v>
      </c>
      <c r="AK316" s="71" t="n">
        <f aca="false">AK302+AK288+AK289+AK279</f>
        <v>10446207.4323887</v>
      </c>
      <c r="AL316" s="71" t="n">
        <f aca="false">AL302+AL288+AL289+AL279</f>
        <v>10896535.2421014</v>
      </c>
      <c r="AM316" s="71" t="n">
        <f aca="false">AM302+AM288+AM289+AM279</f>
        <v>11409283.4159796</v>
      </c>
      <c r="AN316" s="71" t="n">
        <f aca="false">AN302+AN288+AN289+AN279</f>
        <v>11866167.6912384</v>
      </c>
      <c r="AO316" s="71" t="n">
        <f aca="false">AO302+AO288+AO289+AO279</f>
        <v>12323095.855386</v>
      </c>
      <c r="AP316" s="71" t="n">
        <f aca="false">AP302+AP288+AP289+AP279</f>
        <v>12780067.9084226</v>
      </c>
      <c r="AQ316" s="71" t="n">
        <f aca="false">AQ302+AQ288+AQ289+AQ279</f>
        <v>13237083.850348</v>
      </c>
      <c r="AR316" s="71" t="n">
        <f aca="false">AR302+AR288+AR289+AR279</f>
        <v>13694143.6811623</v>
      </c>
      <c r="AS316" s="71" t="n">
        <f aca="false">AS302+AS288+AS289+AS279</f>
        <v>14151247.4008656</v>
      </c>
      <c r="AT316" s="71" t="n">
        <f aca="false">AT302+AT288+AT289+AT279</f>
        <v>14608395.0094577</v>
      </c>
      <c r="AU316" s="71" t="n">
        <f aca="false">AU302+AU288+AU289+AU279</f>
        <v>15065586.5069387</v>
      </c>
      <c r="AV316" s="71" t="n">
        <f aca="false">AV302+AV288+AV289+AV279</f>
        <v>15522821.8933085</v>
      </c>
      <c r="AW316" s="71" t="n">
        <f aca="false">AW302+AW288+AW289+AW279</f>
        <v>16374697.7062938</v>
      </c>
      <c r="AX316" s="71" t="n">
        <f aca="false">AX302+AX288+AX289+AX279</f>
        <v>17033930.3348376</v>
      </c>
      <c r="AY316" s="71" t="n">
        <f aca="false">AY302+AY288+AY289+AY279</f>
        <v>17768912.5561784</v>
      </c>
      <c r="AZ316" s="71" t="n">
        <f aca="false">AZ302+AZ288+AZ289+AZ279</f>
        <v>18435933.060801</v>
      </c>
      <c r="BA316" s="71" t="n">
        <f aca="false">BA302+BA288+BA289+BA279</f>
        <v>19102997.4543126</v>
      </c>
      <c r="BB316" s="71" t="n">
        <f aca="false">BB302+BB288+BB289+BB279</f>
        <v>19770105.736713</v>
      </c>
      <c r="BC316" s="71" t="n">
        <f aca="false">BC302+BC288+BC289+BC279</f>
        <v>20437257.9080024</v>
      </c>
      <c r="BD316" s="71" t="n">
        <f aca="false">BD302+BD288+BD289+BD279</f>
        <v>21104453.9681806</v>
      </c>
      <c r="BE316" s="71" t="n">
        <f aca="false">BE302+BE288+BE289+BE279</f>
        <v>21771693.9172477</v>
      </c>
      <c r="BF316" s="71" t="n">
        <f aca="false">BF302+BF288+BF289+BF279</f>
        <v>22438977.7552037</v>
      </c>
      <c r="BG316" s="71" t="n">
        <f aca="false">BG302+BG288+BG289+BG279</f>
        <v>23106305.4820486</v>
      </c>
      <c r="BH316" s="71" t="n">
        <f aca="false">BH302+BH288+BH289+BH279</f>
        <v>23773677.0977824</v>
      </c>
      <c r="BI316" s="71" t="n">
        <f aca="false">BI302+BI288+BI289+BI279</f>
        <v>24998509.5921695</v>
      </c>
      <c r="BJ316" s="71" t="n">
        <f aca="false">BJ302+BJ288+BJ289+BJ279</f>
        <v>25951333.4380159</v>
      </c>
    </row>
    <row r="317" customFormat="false" ht="15" hidden="false" customHeight="false" outlineLevel="0" collapsed="false">
      <c r="A317" s="6" t="s">
        <v>96</v>
      </c>
      <c r="C317" s="65" t="n">
        <f aca="false">C290+C285</f>
        <v>777278.095781818</v>
      </c>
      <c r="D317" s="65" t="n">
        <f aca="false">D290+D285</f>
        <v>768944.762448485</v>
      </c>
      <c r="E317" s="65" t="n">
        <f aca="false">E290+E285</f>
        <v>760611.429115152</v>
      </c>
      <c r="F317" s="65" t="n">
        <f aca="false">F290+F285</f>
        <v>752278.095781818</v>
      </c>
      <c r="G317" s="65" t="n">
        <f aca="false">G290+G285</f>
        <v>743944.762448485</v>
      </c>
      <c r="H317" s="65" t="n">
        <f aca="false">H290+H285</f>
        <v>735611.429115152</v>
      </c>
      <c r="I317" s="65" t="n">
        <f aca="false">I290+I285</f>
        <v>727278.095781818</v>
      </c>
      <c r="J317" s="65" t="n">
        <f aca="false">J290+J285</f>
        <v>718944.762448485</v>
      </c>
      <c r="K317" s="65" t="n">
        <f aca="false">K290+K285</f>
        <v>710611.429115152</v>
      </c>
      <c r="L317" s="65" t="n">
        <f aca="false">L290+L285</f>
        <v>702278.095781818</v>
      </c>
      <c r="M317" s="65" t="n">
        <f aca="false">M290+M285</f>
        <v>757663.336848485</v>
      </c>
      <c r="N317" s="65" t="n">
        <f aca="false">N290+N285</f>
        <v>749330.003515152</v>
      </c>
      <c r="O317" s="65" t="n">
        <f aca="false">O290+O285</f>
        <v>784595.411676509</v>
      </c>
      <c r="P317" s="65" t="n">
        <f aca="false">P290+P285</f>
        <v>776262.078343176</v>
      </c>
      <c r="Q317" s="65" t="n">
        <f aca="false">Q290+Q285</f>
        <v>767928.745009843</v>
      </c>
      <c r="R317" s="65" t="n">
        <f aca="false">R290+R285</f>
        <v>759595.41167651</v>
      </c>
      <c r="S317" s="65" t="n">
        <f aca="false">S290+S285</f>
        <v>751262.078343176</v>
      </c>
      <c r="T317" s="65" t="n">
        <f aca="false">T290+T285</f>
        <v>742928.745009843</v>
      </c>
      <c r="U317" s="65" t="n">
        <f aca="false">U290+U285</f>
        <v>734595.41167651</v>
      </c>
      <c r="V317" s="65" t="n">
        <f aca="false">V290+V285</f>
        <v>726262.078343176</v>
      </c>
      <c r="W317" s="65" t="n">
        <f aca="false">W290+W285</f>
        <v>717928.745009843</v>
      </c>
      <c r="X317" s="65" t="n">
        <f aca="false">X290+X285</f>
        <v>709595.41167651</v>
      </c>
      <c r="Y317" s="65" t="n">
        <f aca="false">Y290+Y285</f>
        <v>795547.588269576</v>
      </c>
      <c r="Z317" s="65" t="n">
        <f aca="false">Z290+Z285</f>
        <v>787214.254936243</v>
      </c>
      <c r="AA317" s="65" t="n">
        <f aca="false">AA290+AA285</f>
        <v>827078.656134089</v>
      </c>
      <c r="AB317" s="65" t="n">
        <f aca="false">AB290+AB285</f>
        <v>818745.322800755</v>
      </c>
      <c r="AC317" s="65" t="n">
        <f aca="false">AC290+AC285</f>
        <v>810411.989467422</v>
      </c>
      <c r="AD317" s="65" t="n">
        <f aca="false">AD290+AD285</f>
        <v>802078.656134089</v>
      </c>
      <c r="AE317" s="65" t="n">
        <f aca="false">AE290+AE285</f>
        <v>793745.322800755</v>
      </c>
      <c r="AF317" s="65" t="n">
        <f aca="false">AF290+AF285</f>
        <v>785411.989467422</v>
      </c>
      <c r="AG317" s="65" t="n">
        <f aca="false">AG290+AG285</f>
        <v>777078.656134089</v>
      </c>
      <c r="AH317" s="65" t="n">
        <f aca="false">AH290+AH285</f>
        <v>768745.322800755</v>
      </c>
      <c r="AI317" s="65" t="n">
        <f aca="false">AI290+AI285</f>
        <v>760411.989467422</v>
      </c>
      <c r="AJ317" s="65" t="n">
        <f aca="false">AJ290+AJ285</f>
        <v>752078.656134089</v>
      </c>
      <c r="AK317" s="65" t="n">
        <f aca="false">AK290+AK285</f>
        <v>879453.309029594</v>
      </c>
      <c r="AL317" s="65" t="n">
        <f aca="false">AL290+AL285</f>
        <v>871119.97569626</v>
      </c>
      <c r="AM317" s="65" t="n">
        <f aca="false">AM290+AM285</f>
        <v>918694.429871218</v>
      </c>
      <c r="AN317" s="65" t="n">
        <f aca="false">AN290+AN285</f>
        <v>910361.096537885</v>
      </c>
      <c r="AO317" s="65" t="n">
        <f aca="false">AO290+AO285</f>
        <v>902027.763204552</v>
      </c>
      <c r="AP317" s="65" t="n">
        <f aca="false">AP290+AP285</f>
        <v>893694.429871218</v>
      </c>
      <c r="AQ317" s="65" t="n">
        <f aca="false">AQ290+AQ285</f>
        <v>885361.096537885</v>
      </c>
      <c r="AR317" s="65" t="n">
        <f aca="false">AR290+AR285</f>
        <v>877027.763204552</v>
      </c>
      <c r="AS317" s="65" t="n">
        <f aca="false">AS290+AS285</f>
        <v>868694.429871218</v>
      </c>
      <c r="AT317" s="65" t="n">
        <f aca="false">AT290+AT285</f>
        <v>860361.096537885</v>
      </c>
      <c r="AU317" s="65" t="n">
        <f aca="false">AU290+AU285</f>
        <v>852027.763204552</v>
      </c>
      <c r="AV317" s="65" t="n">
        <f aca="false">AV290+AV285</f>
        <v>843694.429871218</v>
      </c>
      <c r="AW317" s="65" t="n">
        <f aca="false">AW290+AW285</f>
        <v>1028048.16986819</v>
      </c>
      <c r="AX317" s="65" t="n">
        <f aca="false">AX290+AX285</f>
        <v>1019714.83653486</v>
      </c>
      <c r="AY317" s="65" t="n">
        <f aca="false">AY290+AY285</f>
        <v>1079387.10880848</v>
      </c>
      <c r="AZ317" s="65" t="n">
        <f aca="false">AZ290+AZ285</f>
        <v>1071053.77547515</v>
      </c>
      <c r="BA317" s="65" t="n">
        <f aca="false">BA290+BA285</f>
        <v>1062720.44214182</v>
      </c>
      <c r="BB317" s="65" t="n">
        <f aca="false">BB290+BB285</f>
        <v>1054387.10880848</v>
      </c>
      <c r="BC317" s="65" t="n">
        <f aca="false">BC290+BC285</f>
        <v>1046053.77547515</v>
      </c>
      <c r="BD317" s="65" t="n">
        <f aca="false">BD290+BD285</f>
        <v>1037720.44214182</v>
      </c>
      <c r="BE317" s="65" t="n">
        <f aca="false">BE290+BE285</f>
        <v>1029387.10880848</v>
      </c>
      <c r="BF317" s="65" t="n">
        <f aca="false">BF290+BF285</f>
        <v>1021053.77547515</v>
      </c>
      <c r="BG317" s="65" t="n">
        <f aca="false">BG290+BG285</f>
        <v>1012720.44214182</v>
      </c>
      <c r="BH317" s="65" t="n">
        <f aca="false">BH290+BH285</f>
        <v>1004387.10880848</v>
      </c>
      <c r="BI317" s="65" t="n">
        <f aca="false">BI290+BI285</f>
        <v>1268106.31290469</v>
      </c>
      <c r="BJ317" s="65" t="n">
        <f aca="false">BJ290+BJ285</f>
        <v>1259772.97957136</v>
      </c>
    </row>
    <row r="318" customFormat="false" ht="15" hidden="false" customHeight="false" outlineLevel="0" collapsed="false">
      <c r="A318" s="6" t="s">
        <v>99</v>
      </c>
      <c r="C318" s="65" t="n">
        <f aca="false">C314+C315</f>
        <v>1632789.27049406</v>
      </c>
      <c r="D318" s="65" t="n">
        <f aca="false">D314+D315</f>
        <v>1765600.48543257</v>
      </c>
      <c r="E318" s="65" t="n">
        <f aca="false">E314+E315</f>
        <v>1898455.58925996</v>
      </c>
      <c r="F318" s="65" t="n">
        <f aca="false">F314+F315</f>
        <v>2031354.58197624</v>
      </c>
      <c r="G318" s="65" t="n">
        <f aca="false">G314+G315</f>
        <v>2164297.46358141</v>
      </c>
      <c r="H318" s="65" t="n">
        <f aca="false">H314+H315</f>
        <v>2297284.23407547</v>
      </c>
      <c r="I318" s="65" t="n">
        <f aca="false">I314+I315</f>
        <v>2430314.89345842</v>
      </c>
      <c r="J318" s="65" t="n">
        <f aca="false">J314+J315</f>
        <v>2563389.44173026</v>
      </c>
      <c r="K318" s="65" t="n">
        <f aca="false">K314+K315</f>
        <v>2696507.87889099</v>
      </c>
      <c r="L318" s="65" t="n">
        <f aca="false">L314+L315</f>
        <v>2829670.20494061</v>
      </c>
      <c r="M318" s="65" t="n">
        <f aca="false">M314+M315</f>
        <v>3028818.79175111</v>
      </c>
      <c r="N318" s="65" t="n">
        <f aca="false">N314+N315</f>
        <v>3228011.2674505</v>
      </c>
      <c r="O318" s="65" t="n">
        <f aca="false">O314+O315</f>
        <v>3437718.16680361</v>
      </c>
      <c r="P318" s="65" t="n">
        <f aca="false">P314+P315</f>
        <v>3647468.9550456</v>
      </c>
      <c r="Q318" s="65" t="n">
        <f aca="false">Q314+Q315</f>
        <v>3857263.63217648</v>
      </c>
      <c r="R318" s="65" t="n">
        <f aca="false">R314+R315</f>
        <v>4067102.19819625</v>
      </c>
      <c r="S318" s="65" t="n">
        <f aca="false">S314+S315</f>
        <v>4276984.65310491</v>
      </c>
      <c r="T318" s="65" t="n">
        <f aca="false">T314+T315</f>
        <v>4486910.99690246</v>
      </c>
      <c r="U318" s="65" t="n">
        <f aca="false">U314+U315</f>
        <v>4696881.22958889</v>
      </c>
      <c r="V318" s="65" t="n">
        <f aca="false">V314+V315</f>
        <v>4906895.35116422</v>
      </c>
      <c r="W318" s="65" t="n">
        <f aca="false">W314+W315</f>
        <v>5116953.36162843</v>
      </c>
      <c r="X318" s="65" t="n">
        <f aca="false">X314+X315</f>
        <v>5327055.26098153</v>
      </c>
      <c r="Y318" s="65" t="n">
        <f aca="false">Y314+Y315</f>
        <v>5635488.13790116</v>
      </c>
      <c r="Z318" s="65" t="n">
        <f aca="false">Z314+Z315</f>
        <v>5943964.90370967</v>
      </c>
      <c r="AA318" s="65" t="n">
        <f aca="false">AA314+AA315</f>
        <v>6260184.60025889</v>
      </c>
      <c r="AB318" s="65" t="n">
        <f aca="false">AB314+AB315</f>
        <v>6576448.18569699</v>
      </c>
      <c r="AC318" s="65" t="n">
        <f aca="false">AC314+AC315</f>
        <v>6892755.66002399</v>
      </c>
      <c r="AD318" s="65" t="n">
        <f aca="false">AD314+AD315</f>
        <v>7209107.02323987</v>
      </c>
      <c r="AE318" s="65" t="n">
        <f aca="false">AE314+AE315</f>
        <v>7525502.27534465</v>
      </c>
      <c r="AF318" s="65" t="n">
        <f aca="false">AF314+AF315</f>
        <v>7841941.41633831</v>
      </c>
      <c r="AG318" s="65" t="n">
        <f aca="false">AG314+AG315</f>
        <v>8158424.44622086</v>
      </c>
      <c r="AH318" s="65" t="n">
        <f aca="false">AH314+AH315</f>
        <v>8474951.3649923</v>
      </c>
      <c r="AI318" s="65" t="n">
        <f aca="false">AI314+AI315</f>
        <v>8791522.17265263</v>
      </c>
      <c r="AJ318" s="65" t="n">
        <f aca="false">AJ314+AJ315</f>
        <v>9108136.86920185</v>
      </c>
      <c r="AK318" s="65" t="n">
        <f aca="false">AK314+AK315</f>
        <v>9566754.12335907</v>
      </c>
      <c r="AL318" s="65" t="n">
        <f aca="false">AL314+AL315</f>
        <v>10025415.2664052</v>
      </c>
      <c r="AM318" s="65" t="n">
        <f aca="false">AM314+AM315</f>
        <v>10490588.9861084</v>
      </c>
      <c r="AN318" s="65" t="n">
        <f aca="false">AN314+AN315</f>
        <v>10955806.5947005</v>
      </c>
      <c r="AO318" s="65" t="n">
        <f aca="false">AO314+AO315</f>
        <v>11421068.0921815</v>
      </c>
      <c r="AP318" s="65" t="n">
        <f aca="false">AP314+AP315</f>
        <v>11886373.4785514</v>
      </c>
      <c r="AQ318" s="65" t="n">
        <f aca="false">AQ314+AQ315</f>
        <v>12351722.7538101</v>
      </c>
      <c r="AR318" s="65" t="n">
        <f aca="false">AR314+AR315</f>
        <v>12817115.9179578</v>
      </c>
      <c r="AS318" s="65" t="n">
        <f aca="false">AS314+AS315</f>
        <v>13282552.9709943</v>
      </c>
      <c r="AT318" s="65" t="n">
        <f aca="false">AT314+AT315</f>
        <v>13748033.9129198</v>
      </c>
      <c r="AU318" s="65" t="n">
        <f aca="false">AU314+AU315</f>
        <v>14213558.7437341</v>
      </c>
      <c r="AV318" s="65" t="n">
        <f aca="false">AV314+AV315</f>
        <v>14679127.4634373</v>
      </c>
      <c r="AW318" s="65" t="n">
        <f aca="false">AW314+AW315</f>
        <v>15346649.5364256</v>
      </c>
      <c r="AX318" s="65" t="n">
        <f aca="false">AX314+AX315</f>
        <v>16014215.4983028</v>
      </c>
      <c r="AY318" s="65" t="n">
        <f aca="false">AY314+AY315</f>
        <v>16689525.4473699</v>
      </c>
      <c r="AZ318" s="65" t="n">
        <f aca="false">AZ314+AZ315</f>
        <v>17364879.2853259</v>
      </c>
      <c r="BA318" s="65" t="n">
        <f aca="false">BA314+BA315</f>
        <v>18040277.0121708</v>
      </c>
      <c r="BB318" s="65" t="n">
        <f aca="false">BB314+BB315</f>
        <v>18715718.6279045</v>
      </c>
      <c r="BC318" s="65" t="n">
        <f aca="false">BC314+BC315</f>
        <v>19391204.1325272</v>
      </c>
      <c r="BD318" s="65" t="n">
        <f aca="false">BD314+BD315</f>
        <v>20066733.5260388</v>
      </c>
      <c r="BE318" s="65" t="n">
        <f aca="false">BE314+BE315</f>
        <v>20742306.8084392</v>
      </c>
      <c r="BF318" s="65" t="n">
        <f aca="false">BF314+BF315</f>
        <v>21417923.9797286</v>
      </c>
      <c r="BG318" s="65" t="n">
        <f aca="false">BG314+BG315</f>
        <v>22093585.0399068</v>
      </c>
      <c r="BH318" s="65" t="n">
        <f aca="false">BH314+BH315</f>
        <v>22769289.9889739</v>
      </c>
      <c r="BI318" s="65" t="n">
        <f aca="false">BI314+BI315</f>
        <v>23730403.2792648</v>
      </c>
      <c r="BJ318" s="65" t="n">
        <f aca="false">BJ314+BJ315</f>
        <v>24691560.4584445</v>
      </c>
    </row>
    <row r="319" customFormat="false" ht="15" hidden="false" customHeight="false" outlineLevel="0" collapsed="false">
      <c r="A319" s="4" t="s">
        <v>100</v>
      </c>
      <c r="C319" s="71" t="n">
        <f aca="false">C317+C318</f>
        <v>2410067.36627588</v>
      </c>
      <c r="D319" s="71" t="n">
        <f aca="false">D317+D318</f>
        <v>2534545.24788105</v>
      </c>
      <c r="E319" s="71" t="n">
        <f aca="false">E317+E318</f>
        <v>2659067.01837511</v>
      </c>
      <c r="F319" s="71" t="n">
        <f aca="false">F317+F318</f>
        <v>2783632.67775806</v>
      </c>
      <c r="G319" s="71" t="n">
        <f aca="false">G317+G318</f>
        <v>2908242.2260299</v>
      </c>
      <c r="H319" s="71" t="n">
        <f aca="false">H317+H318</f>
        <v>3032895.66319063</v>
      </c>
      <c r="I319" s="71" t="n">
        <f aca="false">I317+I318</f>
        <v>3157592.98924024</v>
      </c>
      <c r="J319" s="71" t="n">
        <f aca="false">J317+J318</f>
        <v>3282334.20417875</v>
      </c>
      <c r="K319" s="71" t="n">
        <f aca="false">K317+K318</f>
        <v>3407119.30800614</v>
      </c>
      <c r="L319" s="71" t="n">
        <f aca="false">L317+L318</f>
        <v>3531948.30072242</v>
      </c>
      <c r="M319" s="71" t="n">
        <f aca="false">M317+M318</f>
        <v>3786482.1285996</v>
      </c>
      <c r="N319" s="71" t="n">
        <f aca="false">N317+N318</f>
        <v>3977341.27096566</v>
      </c>
      <c r="O319" s="71" t="n">
        <f aca="false">O317+O318</f>
        <v>4222313.57848012</v>
      </c>
      <c r="P319" s="71" t="n">
        <f aca="false">P317+P318</f>
        <v>4423731.03338878</v>
      </c>
      <c r="Q319" s="71" t="n">
        <f aca="false">Q317+Q318</f>
        <v>4625192.37718632</v>
      </c>
      <c r="R319" s="71" t="n">
        <f aca="false">R317+R318</f>
        <v>4826697.60987276</v>
      </c>
      <c r="S319" s="71" t="n">
        <f aca="false">S317+S318</f>
        <v>5028246.73144808</v>
      </c>
      <c r="T319" s="71" t="n">
        <f aca="false">T317+T318</f>
        <v>5229839.7419123</v>
      </c>
      <c r="U319" s="71" t="n">
        <f aca="false">U317+U318</f>
        <v>5431476.6412654</v>
      </c>
      <c r="V319" s="71" t="n">
        <f aca="false">V317+V318</f>
        <v>5633157.42950739</v>
      </c>
      <c r="W319" s="71" t="n">
        <f aca="false">W317+W318</f>
        <v>5834882.10663827</v>
      </c>
      <c r="X319" s="71" t="n">
        <f aca="false">X317+X318</f>
        <v>6036650.67265804</v>
      </c>
      <c r="Y319" s="71" t="n">
        <f aca="false">Y317+Y318</f>
        <v>6431035.72617073</v>
      </c>
      <c r="Z319" s="71" t="n">
        <f aca="false">Z317+Z318</f>
        <v>6731179.15864591</v>
      </c>
      <c r="AA319" s="71" t="n">
        <f aca="false">AA317+AA318</f>
        <v>7087263.25639297</v>
      </c>
      <c r="AB319" s="71" t="n">
        <f aca="false">AB317+AB318</f>
        <v>7395193.50849775</v>
      </c>
      <c r="AC319" s="71" t="n">
        <f aca="false">AC317+AC318</f>
        <v>7703167.64949141</v>
      </c>
      <c r="AD319" s="71" t="n">
        <f aca="false">AD317+AD318</f>
        <v>8011185.67937396</v>
      </c>
      <c r="AE319" s="71" t="n">
        <f aca="false">AE317+AE318</f>
        <v>8319247.5981454</v>
      </c>
      <c r="AF319" s="71" t="n">
        <f aca="false">AF317+AF318</f>
        <v>8627353.40580573</v>
      </c>
      <c r="AG319" s="71" t="n">
        <f aca="false">AG317+AG318</f>
        <v>8935503.10235495</v>
      </c>
      <c r="AH319" s="71" t="n">
        <f aca="false">AH317+AH318</f>
        <v>9243696.68779306</v>
      </c>
      <c r="AI319" s="71" t="n">
        <f aca="false">AI317+AI318</f>
        <v>9551934.16212005</v>
      </c>
      <c r="AJ319" s="71" t="n">
        <f aca="false">AJ317+AJ318</f>
        <v>9860215.52533594</v>
      </c>
      <c r="AK319" s="71" t="n">
        <f aca="false">AK317+AK318</f>
        <v>10446207.4323887</v>
      </c>
      <c r="AL319" s="71" t="n">
        <f aca="false">AL317+AL318</f>
        <v>10896535.2421014</v>
      </c>
      <c r="AM319" s="71" t="n">
        <f aca="false">AM317+AM318</f>
        <v>11409283.4159796</v>
      </c>
      <c r="AN319" s="71" t="n">
        <f aca="false">AN317+AN318</f>
        <v>11866167.6912384</v>
      </c>
      <c r="AO319" s="71" t="n">
        <f aca="false">AO317+AO318</f>
        <v>12323095.855386</v>
      </c>
      <c r="AP319" s="71" t="n">
        <f aca="false">AP317+AP318</f>
        <v>12780067.9084226</v>
      </c>
      <c r="AQ319" s="71" t="n">
        <f aca="false">AQ317+AQ318</f>
        <v>13237083.850348</v>
      </c>
      <c r="AR319" s="71" t="n">
        <f aca="false">AR317+AR318</f>
        <v>13694143.6811623</v>
      </c>
      <c r="AS319" s="71" t="n">
        <f aca="false">AS317+AS318</f>
        <v>14151247.4008656</v>
      </c>
      <c r="AT319" s="71" t="n">
        <f aca="false">AT317+AT318</f>
        <v>14608395.0094577</v>
      </c>
      <c r="AU319" s="71" t="n">
        <f aca="false">AU317+AU318</f>
        <v>15065586.5069387</v>
      </c>
      <c r="AV319" s="71" t="n">
        <f aca="false">AV317+AV318</f>
        <v>15522821.8933085</v>
      </c>
      <c r="AW319" s="71" t="n">
        <f aca="false">AW317+AW318</f>
        <v>16374697.7062938</v>
      </c>
      <c r="AX319" s="71" t="n">
        <f aca="false">AX317+AX318</f>
        <v>17033930.3348376</v>
      </c>
      <c r="AY319" s="71" t="n">
        <f aca="false">AY317+AY318</f>
        <v>17768912.5561784</v>
      </c>
      <c r="AZ319" s="71" t="n">
        <f aca="false">AZ317+AZ318</f>
        <v>18435933.060801</v>
      </c>
      <c r="BA319" s="71" t="n">
        <f aca="false">BA317+BA318</f>
        <v>19102997.4543126</v>
      </c>
      <c r="BB319" s="71" t="n">
        <f aca="false">BB317+BB318</f>
        <v>19770105.736713</v>
      </c>
      <c r="BC319" s="71" t="n">
        <f aca="false">BC317+BC318</f>
        <v>20437257.9080024</v>
      </c>
      <c r="BD319" s="71" t="n">
        <f aca="false">BD317+BD318</f>
        <v>21104453.9681806</v>
      </c>
      <c r="BE319" s="71" t="n">
        <f aca="false">BE317+BE318</f>
        <v>21771693.9172477</v>
      </c>
      <c r="BF319" s="71" t="n">
        <f aca="false">BF317+BF318</f>
        <v>22438977.7552037</v>
      </c>
      <c r="BG319" s="71" t="n">
        <f aca="false">BG317+BG318</f>
        <v>23106305.4820486</v>
      </c>
      <c r="BH319" s="71" t="n">
        <f aca="false">BH317+BH318</f>
        <v>23773677.0977824</v>
      </c>
      <c r="BI319" s="71" t="n">
        <f aca="false">BI317+BI318</f>
        <v>24998509.5921695</v>
      </c>
      <c r="BJ319" s="71" t="n">
        <f aca="false">BJ317+BJ318</f>
        <v>25951333.4380159</v>
      </c>
    </row>
    <row r="320" customFormat="false" ht="15" hidden="false" customHeight="false" outlineLevel="0" collapsed="false">
      <c r="A320" s="6" t="s">
        <v>441</v>
      </c>
      <c r="C320" s="65" t="n">
        <f aca="false">C316-C319</f>
        <v>0</v>
      </c>
      <c r="D320" s="65" t="n">
        <f aca="false">D316-D319</f>
        <v>0</v>
      </c>
      <c r="E320" s="65" t="n">
        <f aca="false">E316-E319</f>
        <v>0</v>
      </c>
      <c r="F320" s="65" t="n">
        <f aca="false">F316-F319</f>
        <v>0</v>
      </c>
      <c r="G320" s="65" t="n">
        <f aca="false">G316-G319</f>
        <v>0</v>
      </c>
      <c r="H320" s="65" t="n">
        <f aca="false">H316-H319</f>
        <v>0</v>
      </c>
      <c r="I320" s="65" t="n">
        <f aca="false">I316-I319</f>
        <v>0</v>
      </c>
      <c r="J320" s="65" t="n">
        <f aca="false">J316-J319</f>
        <v>0</v>
      </c>
      <c r="K320" s="65" t="n">
        <f aca="false">K316-K319</f>
        <v>0</v>
      </c>
      <c r="L320" s="65" t="n">
        <f aca="false">L316-L319</f>
        <v>0</v>
      </c>
      <c r="M320" s="65" t="n">
        <f aca="false">M316-M319</f>
        <v>0</v>
      </c>
      <c r="N320" s="65" t="n">
        <f aca="false">N316-N319</f>
        <v>0</v>
      </c>
      <c r="O320" s="65" t="n">
        <f aca="false">O316-O319</f>
        <v>0</v>
      </c>
      <c r="P320" s="65" t="n">
        <f aca="false">P316-P319</f>
        <v>0</v>
      </c>
      <c r="Q320" s="65" t="n">
        <f aca="false">Q316-Q319</f>
        <v>0</v>
      </c>
      <c r="R320" s="65" t="n">
        <f aca="false">R316-R319</f>
        <v>0</v>
      </c>
      <c r="S320" s="65" t="n">
        <f aca="false">S316-S319</f>
        <v>0</v>
      </c>
      <c r="T320" s="65" t="n">
        <f aca="false">T316-T319</f>
        <v>0</v>
      </c>
      <c r="U320" s="65" t="n">
        <f aca="false">U316-U319</f>
        <v>0</v>
      </c>
      <c r="V320" s="65" t="n">
        <f aca="false">V316-V319</f>
        <v>0</v>
      </c>
      <c r="W320" s="65" t="n">
        <f aca="false">W316-W319</f>
        <v>0</v>
      </c>
      <c r="X320" s="65" t="n">
        <f aca="false">X316-X319</f>
        <v>0</v>
      </c>
      <c r="Y320" s="65" t="n">
        <f aca="false">Y316-Y319</f>
        <v>0</v>
      </c>
      <c r="Z320" s="65" t="n">
        <f aca="false">Z316-Z319</f>
        <v>0</v>
      </c>
      <c r="AA320" s="65" t="n">
        <f aca="false">AA316-AA319</f>
        <v>0</v>
      </c>
      <c r="AB320" s="65" t="n">
        <f aca="false">AB316-AB319</f>
        <v>0</v>
      </c>
      <c r="AC320" s="65" t="n">
        <f aca="false">AC316-AC319</f>
        <v>0</v>
      </c>
      <c r="AD320" s="65" t="n">
        <f aca="false">AD316-AD319</f>
        <v>0</v>
      </c>
      <c r="AE320" s="65" t="n">
        <f aca="false">AE316-AE319</f>
        <v>0</v>
      </c>
      <c r="AF320" s="65" t="n">
        <f aca="false">AF316-AF319</f>
        <v>0</v>
      </c>
      <c r="AG320" s="65" t="n">
        <f aca="false">AG316-AG319</f>
        <v>0</v>
      </c>
      <c r="AH320" s="65" t="n">
        <f aca="false">AH316-AH319</f>
        <v>0</v>
      </c>
      <c r="AI320" s="65" t="n">
        <f aca="false">AI316-AI319</f>
        <v>0</v>
      </c>
      <c r="AJ320" s="65" t="n">
        <f aca="false">AJ316-AJ319</f>
        <v>0</v>
      </c>
      <c r="AK320" s="65" t="n">
        <f aca="false">AK316-AK319</f>
        <v>0</v>
      </c>
      <c r="AL320" s="65" t="n">
        <f aca="false">AL316-AL319</f>
        <v>0</v>
      </c>
      <c r="AM320" s="65" t="n">
        <f aca="false">AM316-AM319</f>
        <v>0</v>
      </c>
      <c r="AN320" s="65" t="n">
        <f aca="false">AN316-AN319</f>
        <v>0</v>
      </c>
      <c r="AO320" s="65" t="n">
        <f aca="false">AO316-AO319</f>
        <v>0</v>
      </c>
      <c r="AP320" s="65" t="n">
        <f aca="false">AP316-AP319</f>
        <v>0</v>
      </c>
      <c r="AQ320" s="65" t="n">
        <f aca="false">AQ316-AQ319</f>
        <v>0</v>
      </c>
      <c r="AR320" s="65" t="n">
        <f aca="false">AR316-AR319</f>
        <v>0</v>
      </c>
      <c r="AS320" s="65" t="n">
        <f aca="false">AS316-AS319</f>
        <v>0</v>
      </c>
      <c r="AT320" s="65" t="n">
        <f aca="false">AT316-AT319</f>
        <v>0</v>
      </c>
      <c r="AU320" s="65" t="n">
        <f aca="false">AU316-AU319</f>
        <v>0</v>
      </c>
      <c r="AV320" s="65" t="n">
        <f aca="false">AV316-AV319</f>
        <v>0</v>
      </c>
      <c r="AW320" s="65" t="n">
        <f aca="false">AW316-AW319</f>
        <v>0</v>
      </c>
      <c r="AX320" s="65" t="n">
        <f aca="false">AX316-AX319</f>
        <v>0</v>
      </c>
      <c r="AY320" s="65" t="n">
        <f aca="false">AY316-AY319</f>
        <v>0</v>
      </c>
      <c r="AZ320" s="65" t="n">
        <f aca="false">AZ316-AZ319</f>
        <v>0</v>
      </c>
      <c r="BA320" s="65" t="n">
        <f aca="false">BA316-BA319</f>
        <v>0</v>
      </c>
      <c r="BB320" s="65" t="n">
        <f aca="false">BB316-BB319</f>
        <v>0</v>
      </c>
      <c r="BC320" s="65" t="n">
        <f aca="false">BC316-BC319</f>
        <v>0</v>
      </c>
      <c r="BD320" s="65" t="n">
        <f aca="false">BD316-BD319</f>
        <v>0</v>
      </c>
      <c r="BE320" s="65" t="n">
        <f aca="false">BE316-BE319</f>
        <v>0</v>
      </c>
      <c r="BF320" s="65" t="n">
        <f aca="false">BF316-BF319</f>
        <v>0</v>
      </c>
      <c r="BG320" s="65" t="n">
        <f aca="false">BG316-BG319</f>
        <v>0</v>
      </c>
      <c r="BH320" s="65" t="n">
        <f aca="false">BH316-BH319</f>
        <v>0</v>
      </c>
      <c r="BI320" s="65" t="n">
        <f aca="false">BI316-BI319</f>
        <v>0</v>
      </c>
      <c r="BJ320" s="65" t="n">
        <f aca="false">BJ316-BJ319</f>
        <v>0</v>
      </c>
    </row>
    <row r="322" customFormat="false" ht="15.75" hidden="false" customHeight="true" outlineLevel="0" collapsed="false">
      <c r="A322" s="7" t="s">
        <v>443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customFormat="false" ht="15" hidden="false" customHeight="false" outlineLevel="0" collapsed="false">
      <c r="A323" s="6" t="s">
        <v>444</v>
      </c>
      <c r="C323" s="114" t="n">
        <f aca="false">Inputs!$D$38*(1+Inputs!$D$40)^(C$229-1)*MAX(0,MIN(1,C$228*1-Inputs!$D$41+1))/1</f>
        <v>6</v>
      </c>
      <c r="D323" s="114" t="n">
        <f aca="false">Inputs!$D$38*(1+Inputs!$D$40)^(D$229-1)*MAX(0,MIN(1,D$228*1-Inputs!$D$41+1))/1</f>
        <v>6</v>
      </c>
      <c r="E323" s="114" t="n">
        <f aca="false">Inputs!$D$38*(1+Inputs!$D$40)^(E$229-1)*MAX(0,MIN(1,E$228*1-Inputs!$D$41+1))/1</f>
        <v>6</v>
      </c>
      <c r="F323" s="114" t="n">
        <f aca="false">Inputs!$D$38*(1+Inputs!$D$40)^(F$229-1)*MAX(0,MIN(1,F$228*1-Inputs!$D$41+1))/1</f>
        <v>6</v>
      </c>
      <c r="G323" s="114" t="n">
        <f aca="false">Inputs!$D$38*(1+Inputs!$D$40)^(G$229-1)*MAX(0,MIN(1,G$228*1-Inputs!$D$41+1))/1</f>
        <v>6</v>
      </c>
      <c r="H323" s="114" t="n">
        <f aca="false">Inputs!$D$38*(1+Inputs!$D$40)^(H$229-1)*MAX(0,MIN(1,H$228*1-Inputs!$D$41+1))/1</f>
        <v>6</v>
      </c>
      <c r="I323" s="114" t="n">
        <f aca="false">Inputs!$D$38*(1+Inputs!$D$40)^(I$229-1)*MAX(0,MIN(1,I$228*1-Inputs!$D$41+1))/1</f>
        <v>6</v>
      </c>
      <c r="J323" s="114" t="n">
        <f aca="false">Inputs!$D$38*(1+Inputs!$D$40)^(J$229-1)*MAX(0,MIN(1,J$228*1-Inputs!$D$41+1))/1</f>
        <v>6</v>
      </c>
      <c r="K323" s="114" t="n">
        <f aca="false">Inputs!$D$38*(1+Inputs!$D$40)^(K$229-1)*MAX(0,MIN(1,K$228*1-Inputs!$D$41+1))/1</f>
        <v>6</v>
      </c>
      <c r="L323" s="114" t="n">
        <f aca="false">Inputs!$D$38*(1+Inputs!$D$40)^(L$229-1)*MAX(0,MIN(1,L$228*1-Inputs!$D$41+1))/1</f>
        <v>6</v>
      </c>
      <c r="M323" s="114" t="n">
        <f aca="false">Inputs!$D$38*(1+Inputs!$D$40)^(M$229-1)*MAX(0,MIN(1,M$228*1-Inputs!$D$41+1))/1</f>
        <v>6</v>
      </c>
      <c r="N323" s="114" t="n">
        <f aca="false">Inputs!$D$38*(1+Inputs!$D$40)^(N$229-1)*MAX(0,MIN(1,N$228*1-Inputs!$D$41+1))/1</f>
        <v>6</v>
      </c>
      <c r="O323" s="114" t="n">
        <f aca="false">Inputs!$D$38*(1+Inputs!$D$40)^(O$229-1)*MAX(0,MIN(1,O$228*1-Inputs!$D$41+1))/1</f>
        <v>7.2</v>
      </c>
      <c r="P323" s="114" t="n">
        <f aca="false">Inputs!$D$38*(1+Inputs!$D$40)^(P$229-1)*MAX(0,MIN(1,P$228*1-Inputs!$D$41+1))/1</f>
        <v>7.2</v>
      </c>
      <c r="Q323" s="114" t="n">
        <f aca="false">Inputs!$D$38*(1+Inputs!$D$40)^(Q$229-1)*MAX(0,MIN(1,Q$228*1-Inputs!$D$41+1))/1</f>
        <v>7.2</v>
      </c>
      <c r="R323" s="114" t="n">
        <f aca="false">Inputs!$D$38*(1+Inputs!$D$40)^(R$229-1)*MAX(0,MIN(1,R$228*1-Inputs!$D$41+1))/1</f>
        <v>7.2</v>
      </c>
      <c r="S323" s="114" t="n">
        <f aca="false">Inputs!$D$38*(1+Inputs!$D$40)^(S$229-1)*MAX(0,MIN(1,S$228*1-Inputs!$D$41+1))/1</f>
        <v>7.2</v>
      </c>
      <c r="T323" s="114" t="n">
        <f aca="false">Inputs!$D$38*(1+Inputs!$D$40)^(T$229-1)*MAX(0,MIN(1,T$228*1-Inputs!$D$41+1))/1</f>
        <v>7.2</v>
      </c>
      <c r="U323" s="114" t="n">
        <f aca="false">Inputs!$D$38*(1+Inputs!$D$40)^(U$229-1)*MAX(0,MIN(1,U$228*1-Inputs!$D$41+1))/1</f>
        <v>7.2</v>
      </c>
      <c r="V323" s="114" t="n">
        <f aca="false">Inputs!$D$38*(1+Inputs!$D$40)^(V$229-1)*MAX(0,MIN(1,V$228*1-Inputs!$D$41+1))/1</f>
        <v>7.2</v>
      </c>
      <c r="W323" s="114" t="n">
        <f aca="false">Inputs!$D$38*(1+Inputs!$D$40)^(W$229-1)*MAX(0,MIN(1,W$228*1-Inputs!$D$41+1))/1</f>
        <v>7.2</v>
      </c>
      <c r="X323" s="114" t="n">
        <f aca="false">Inputs!$D$38*(1+Inputs!$D$40)^(X$229-1)*MAX(0,MIN(1,X$228*1-Inputs!$D$41+1))/1</f>
        <v>7.2</v>
      </c>
      <c r="Y323" s="114" t="n">
        <f aca="false">Inputs!$D$38*(1+Inputs!$D$40)^(Y$229-1)*MAX(0,MIN(1,Y$228*1-Inputs!$D$41+1))/1</f>
        <v>7.2</v>
      </c>
      <c r="Z323" s="114" t="n">
        <f aca="false">Inputs!$D$38*(1+Inputs!$D$40)^(Z$229-1)*MAX(0,MIN(1,Z$228*1-Inputs!$D$41+1))/1</f>
        <v>7.2</v>
      </c>
      <c r="AA323" s="114" t="n">
        <f aca="false">Inputs!$D$38*(1+Inputs!$D$40)^(AA$229-1)*MAX(0,MIN(1,AA$228*1-Inputs!$D$41+1))/1</f>
        <v>8.64</v>
      </c>
      <c r="AB323" s="114" t="n">
        <f aca="false">Inputs!$D$38*(1+Inputs!$D$40)^(AB$229-1)*MAX(0,MIN(1,AB$228*1-Inputs!$D$41+1))/1</f>
        <v>8.64</v>
      </c>
      <c r="AC323" s="114" t="n">
        <f aca="false">Inputs!$D$38*(1+Inputs!$D$40)^(AC$229-1)*MAX(0,MIN(1,AC$228*1-Inputs!$D$41+1))/1</f>
        <v>8.64</v>
      </c>
      <c r="AD323" s="114" t="n">
        <f aca="false">Inputs!$D$38*(1+Inputs!$D$40)^(AD$229-1)*MAX(0,MIN(1,AD$228*1-Inputs!$D$41+1))/1</f>
        <v>8.64</v>
      </c>
      <c r="AE323" s="114" t="n">
        <f aca="false">Inputs!$D$38*(1+Inputs!$D$40)^(AE$229-1)*MAX(0,MIN(1,AE$228*1-Inputs!$D$41+1))/1</f>
        <v>8.64</v>
      </c>
      <c r="AF323" s="114" t="n">
        <f aca="false">Inputs!$D$38*(1+Inputs!$D$40)^(AF$229-1)*MAX(0,MIN(1,AF$228*1-Inputs!$D$41+1))/1</f>
        <v>8.64</v>
      </c>
      <c r="AG323" s="114" t="n">
        <f aca="false">Inputs!$D$38*(1+Inputs!$D$40)^(AG$229-1)*MAX(0,MIN(1,AG$228*1-Inputs!$D$41+1))/1</f>
        <v>8.64</v>
      </c>
      <c r="AH323" s="114" t="n">
        <f aca="false">Inputs!$D$38*(1+Inputs!$D$40)^(AH$229-1)*MAX(0,MIN(1,AH$228*1-Inputs!$D$41+1))/1</f>
        <v>8.64</v>
      </c>
      <c r="AI323" s="114" t="n">
        <f aca="false">Inputs!$D$38*(1+Inputs!$D$40)^(AI$229-1)*MAX(0,MIN(1,AI$228*1-Inputs!$D$41+1))/1</f>
        <v>8.64</v>
      </c>
      <c r="AJ323" s="114" t="n">
        <f aca="false">Inputs!$D$38*(1+Inputs!$D$40)^(AJ$229-1)*MAX(0,MIN(1,AJ$228*1-Inputs!$D$41+1))/1</f>
        <v>8.64</v>
      </c>
      <c r="AK323" s="114" t="n">
        <f aca="false">Inputs!$D$38*(1+Inputs!$D$40)^(AK$229-1)*MAX(0,MIN(1,AK$228*1-Inputs!$D$41+1))/1</f>
        <v>8.64</v>
      </c>
      <c r="AL323" s="114" t="n">
        <f aca="false">Inputs!$D$38*(1+Inputs!$D$40)^(AL$229-1)*MAX(0,MIN(1,AL$228*1-Inputs!$D$41+1))/1</f>
        <v>8.64</v>
      </c>
      <c r="AM323" s="114" t="n">
        <f aca="false">Inputs!$D$38*(1+Inputs!$D$40)^(AM$229-1)*MAX(0,MIN(1,AM$228*1-Inputs!$D$41+1))/1</f>
        <v>10.368</v>
      </c>
      <c r="AN323" s="114" t="n">
        <f aca="false">Inputs!$D$38*(1+Inputs!$D$40)^(AN$229-1)*MAX(0,MIN(1,AN$228*1-Inputs!$D$41+1))/1</f>
        <v>10.368</v>
      </c>
      <c r="AO323" s="114" t="n">
        <f aca="false">Inputs!$D$38*(1+Inputs!$D$40)^(AO$229-1)*MAX(0,MIN(1,AO$228*1-Inputs!$D$41+1))/1</f>
        <v>10.368</v>
      </c>
      <c r="AP323" s="114" t="n">
        <f aca="false">Inputs!$D$38*(1+Inputs!$D$40)^(AP$229-1)*MAX(0,MIN(1,AP$228*1-Inputs!$D$41+1))/1</f>
        <v>10.368</v>
      </c>
      <c r="AQ323" s="114" t="n">
        <f aca="false">Inputs!$D$38*(1+Inputs!$D$40)^(AQ$229-1)*MAX(0,MIN(1,AQ$228*1-Inputs!$D$41+1))/1</f>
        <v>10.368</v>
      </c>
      <c r="AR323" s="114" t="n">
        <f aca="false">Inputs!$D$38*(1+Inputs!$D$40)^(AR$229-1)*MAX(0,MIN(1,AR$228*1-Inputs!$D$41+1))/1</f>
        <v>10.368</v>
      </c>
      <c r="AS323" s="114" t="n">
        <f aca="false">Inputs!$D$38*(1+Inputs!$D$40)^(AS$229-1)*MAX(0,MIN(1,AS$228*1-Inputs!$D$41+1))/1</f>
        <v>10.368</v>
      </c>
      <c r="AT323" s="114" t="n">
        <f aca="false">Inputs!$D$38*(1+Inputs!$D$40)^(AT$229-1)*MAX(0,MIN(1,AT$228*1-Inputs!$D$41+1))/1</f>
        <v>10.368</v>
      </c>
      <c r="AU323" s="114" t="n">
        <f aca="false">Inputs!$D$38*(1+Inputs!$D$40)^(AU$229-1)*MAX(0,MIN(1,AU$228*1-Inputs!$D$41+1))/1</f>
        <v>10.368</v>
      </c>
      <c r="AV323" s="114" t="n">
        <f aca="false">Inputs!$D$38*(1+Inputs!$D$40)^(AV$229-1)*MAX(0,MIN(1,AV$228*1-Inputs!$D$41+1))/1</f>
        <v>10.368</v>
      </c>
      <c r="AW323" s="114" t="n">
        <f aca="false">Inputs!$D$38*(1+Inputs!$D$40)^(AW$229-1)*MAX(0,MIN(1,AW$228*1-Inputs!$D$41+1))/1</f>
        <v>10.368</v>
      </c>
      <c r="AX323" s="114" t="n">
        <f aca="false">Inputs!$D$38*(1+Inputs!$D$40)^(AX$229-1)*MAX(0,MIN(1,AX$228*1-Inputs!$D$41+1))/1</f>
        <v>10.368</v>
      </c>
      <c r="AY323" s="114" t="n">
        <f aca="false">Inputs!$D$38*(1+Inputs!$D$40)^(AY$229-1)*MAX(0,MIN(1,AY$228*1-Inputs!$D$41+1))/1</f>
        <v>12.4416</v>
      </c>
      <c r="AZ323" s="114" t="n">
        <f aca="false">Inputs!$D$38*(1+Inputs!$D$40)^(AZ$229-1)*MAX(0,MIN(1,AZ$228*1-Inputs!$D$41+1))/1</f>
        <v>12.4416</v>
      </c>
      <c r="BA323" s="114" t="n">
        <f aca="false">Inputs!$D$38*(1+Inputs!$D$40)^(BA$229-1)*MAX(0,MIN(1,BA$228*1-Inputs!$D$41+1))/1</f>
        <v>12.4416</v>
      </c>
      <c r="BB323" s="114" t="n">
        <f aca="false">Inputs!$D$38*(1+Inputs!$D$40)^(BB$229-1)*MAX(0,MIN(1,BB$228*1-Inputs!$D$41+1))/1</f>
        <v>12.4416</v>
      </c>
      <c r="BC323" s="114" t="n">
        <f aca="false">Inputs!$D$38*(1+Inputs!$D$40)^(BC$229-1)*MAX(0,MIN(1,BC$228*1-Inputs!$D$41+1))/1</f>
        <v>12.4416</v>
      </c>
      <c r="BD323" s="114" t="n">
        <f aca="false">Inputs!$D$38*(1+Inputs!$D$40)^(BD$229-1)*MAX(0,MIN(1,BD$228*1-Inputs!$D$41+1))/1</f>
        <v>12.4416</v>
      </c>
      <c r="BE323" s="114" t="n">
        <f aca="false">Inputs!$D$38*(1+Inputs!$D$40)^(BE$229-1)*MAX(0,MIN(1,BE$228*1-Inputs!$D$41+1))/1</f>
        <v>12.4416</v>
      </c>
      <c r="BF323" s="114" t="n">
        <f aca="false">Inputs!$D$38*(1+Inputs!$D$40)^(BF$229-1)*MAX(0,MIN(1,BF$228*1-Inputs!$D$41+1))/1</f>
        <v>12.4416</v>
      </c>
      <c r="BG323" s="114" t="n">
        <f aca="false">Inputs!$D$38*(1+Inputs!$D$40)^(BG$229-1)*MAX(0,MIN(1,BG$228*1-Inputs!$D$41+1))/1</f>
        <v>12.4416</v>
      </c>
      <c r="BH323" s="114" t="n">
        <f aca="false">Inputs!$D$38*(1+Inputs!$D$40)^(BH$229-1)*MAX(0,MIN(1,BH$228*1-Inputs!$D$41+1))/1</f>
        <v>12.4416</v>
      </c>
      <c r="BI323" s="114" t="n">
        <f aca="false">Inputs!$D$38*(1+Inputs!$D$40)^(BI$229-1)*MAX(0,MIN(1,BI$228*1-Inputs!$D$41+1))/1</f>
        <v>12.4416</v>
      </c>
      <c r="BJ323" s="114" t="n">
        <f aca="false">Inputs!$D$38*(1+Inputs!$D$40)^(BJ$229-1)*MAX(0,MIN(1,BJ$228*1-Inputs!$D$41+1))/1</f>
        <v>12.4416</v>
      </c>
    </row>
    <row r="324" customFormat="false" ht="15" hidden="false" customHeight="false" outlineLevel="0" collapsed="false">
      <c r="A324" s="6" t="s">
        <v>445</v>
      </c>
      <c r="C324" s="114" t="n">
        <f aca="false">Inputs!$D$42*(1+Inputs!$D$44)^(C$229-1)*MAX(0,MIN(1,C$228*1-Inputs!$D$45+1))/1</f>
        <v>4</v>
      </c>
      <c r="D324" s="114" t="n">
        <f aca="false">Inputs!$D$42*(1+Inputs!$D$44)^(D$229-1)*MAX(0,MIN(1,D$228*1-Inputs!$D$45+1))/1</f>
        <v>4</v>
      </c>
      <c r="E324" s="114" t="n">
        <f aca="false">Inputs!$D$42*(1+Inputs!$D$44)^(E$229-1)*MAX(0,MIN(1,E$228*1-Inputs!$D$45+1))/1</f>
        <v>4</v>
      </c>
      <c r="F324" s="114" t="n">
        <f aca="false">Inputs!$D$42*(1+Inputs!$D$44)^(F$229-1)*MAX(0,MIN(1,F$228*1-Inputs!$D$45+1))/1</f>
        <v>4</v>
      </c>
      <c r="G324" s="114" t="n">
        <f aca="false">Inputs!$D$42*(1+Inputs!$D$44)^(G$229-1)*MAX(0,MIN(1,G$228*1-Inputs!$D$45+1))/1</f>
        <v>4</v>
      </c>
      <c r="H324" s="114" t="n">
        <f aca="false">Inputs!$D$42*(1+Inputs!$D$44)^(H$229-1)*MAX(0,MIN(1,H$228*1-Inputs!$D$45+1))/1</f>
        <v>4</v>
      </c>
      <c r="I324" s="114" t="n">
        <f aca="false">Inputs!$D$42*(1+Inputs!$D$44)^(I$229-1)*MAX(0,MIN(1,I$228*1-Inputs!$D$45+1))/1</f>
        <v>4</v>
      </c>
      <c r="J324" s="114" t="n">
        <f aca="false">Inputs!$D$42*(1+Inputs!$D$44)^(J$229-1)*MAX(0,MIN(1,J$228*1-Inputs!$D$45+1))/1</f>
        <v>4</v>
      </c>
      <c r="K324" s="114" t="n">
        <f aca="false">Inputs!$D$42*(1+Inputs!$D$44)^(K$229-1)*MAX(0,MIN(1,K$228*1-Inputs!$D$45+1))/1</f>
        <v>4</v>
      </c>
      <c r="L324" s="114" t="n">
        <f aca="false">Inputs!$D$42*(1+Inputs!$D$44)^(L$229-1)*MAX(0,MIN(1,L$228*1-Inputs!$D$45+1))/1</f>
        <v>4</v>
      </c>
      <c r="M324" s="114" t="n">
        <f aca="false">Inputs!$D$42*(1+Inputs!$D$44)^(M$229-1)*MAX(0,MIN(1,M$228*1-Inputs!$D$45+1))/1</f>
        <v>4</v>
      </c>
      <c r="N324" s="114" t="n">
        <f aca="false">Inputs!$D$42*(1+Inputs!$D$44)^(N$229-1)*MAX(0,MIN(1,N$228*1-Inputs!$D$45+1))/1</f>
        <v>4</v>
      </c>
      <c r="O324" s="114" t="n">
        <f aca="false">Inputs!$D$42*(1+Inputs!$D$44)^(O$229-1)*MAX(0,MIN(1,O$228*1-Inputs!$D$45+1))/1</f>
        <v>4.8</v>
      </c>
      <c r="P324" s="114" t="n">
        <f aca="false">Inputs!$D$42*(1+Inputs!$D$44)^(P$229-1)*MAX(0,MIN(1,P$228*1-Inputs!$D$45+1))/1</f>
        <v>4.8</v>
      </c>
      <c r="Q324" s="114" t="n">
        <f aca="false">Inputs!$D$42*(1+Inputs!$D$44)^(Q$229-1)*MAX(0,MIN(1,Q$228*1-Inputs!$D$45+1))/1</f>
        <v>4.8</v>
      </c>
      <c r="R324" s="114" t="n">
        <f aca="false">Inputs!$D$42*(1+Inputs!$D$44)^(R$229-1)*MAX(0,MIN(1,R$228*1-Inputs!$D$45+1))/1</f>
        <v>4.8</v>
      </c>
      <c r="S324" s="114" t="n">
        <f aca="false">Inputs!$D$42*(1+Inputs!$D$44)^(S$229-1)*MAX(0,MIN(1,S$228*1-Inputs!$D$45+1))/1</f>
        <v>4.8</v>
      </c>
      <c r="T324" s="114" t="n">
        <f aca="false">Inputs!$D$42*(1+Inputs!$D$44)^(T$229-1)*MAX(0,MIN(1,T$228*1-Inputs!$D$45+1))/1</f>
        <v>4.8</v>
      </c>
      <c r="U324" s="114" t="n">
        <f aca="false">Inputs!$D$42*(1+Inputs!$D$44)^(U$229-1)*MAX(0,MIN(1,U$228*1-Inputs!$D$45+1))/1</f>
        <v>4.8</v>
      </c>
      <c r="V324" s="114" t="n">
        <f aca="false">Inputs!$D$42*(1+Inputs!$D$44)^(V$229-1)*MAX(0,MIN(1,V$228*1-Inputs!$D$45+1))/1</f>
        <v>4.8</v>
      </c>
      <c r="W324" s="114" t="n">
        <f aca="false">Inputs!$D$42*(1+Inputs!$D$44)^(W$229-1)*MAX(0,MIN(1,W$228*1-Inputs!$D$45+1))/1</f>
        <v>4.8</v>
      </c>
      <c r="X324" s="114" t="n">
        <f aca="false">Inputs!$D$42*(1+Inputs!$D$44)^(X$229-1)*MAX(0,MIN(1,X$228*1-Inputs!$D$45+1))/1</f>
        <v>4.8</v>
      </c>
      <c r="Y324" s="114" t="n">
        <f aca="false">Inputs!$D$42*(1+Inputs!$D$44)^(Y$229-1)*MAX(0,MIN(1,Y$228*1-Inputs!$D$45+1))/1</f>
        <v>4.8</v>
      </c>
      <c r="Z324" s="114" t="n">
        <f aca="false">Inputs!$D$42*(1+Inputs!$D$44)^(Z$229-1)*MAX(0,MIN(1,Z$228*1-Inputs!$D$45+1))/1</f>
        <v>4.8</v>
      </c>
      <c r="AA324" s="114" t="n">
        <f aca="false">Inputs!$D$42*(1+Inputs!$D$44)^(AA$229-1)*MAX(0,MIN(1,AA$228*1-Inputs!$D$45+1))/1</f>
        <v>5.76</v>
      </c>
      <c r="AB324" s="114" t="n">
        <f aca="false">Inputs!$D$42*(1+Inputs!$D$44)^(AB$229-1)*MAX(0,MIN(1,AB$228*1-Inputs!$D$45+1))/1</f>
        <v>5.76</v>
      </c>
      <c r="AC324" s="114" t="n">
        <f aca="false">Inputs!$D$42*(1+Inputs!$D$44)^(AC$229-1)*MAX(0,MIN(1,AC$228*1-Inputs!$D$45+1))/1</f>
        <v>5.76</v>
      </c>
      <c r="AD324" s="114" t="n">
        <f aca="false">Inputs!$D$42*(1+Inputs!$D$44)^(AD$229-1)*MAX(0,MIN(1,AD$228*1-Inputs!$D$45+1))/1</f>
        <v>5.76</v>
      </c>
      <c r="AE324" s="114" t="n">
        <f aca="false">Inputs!$D$42*(1+Inputs!$D$44)^(AE$229-1)*MAX(0,MIN(1,AE$228*1-Inputs!$D$45+1))/1</f>
        <v>5.76</v>
      </c>
      <c r="AF324" s="114" t="n">
        <f aca="false">Inputs!$D$42*(1+Inputs!$D$44)^(AF$229-1)*MAX(0,MIN(1,AF$228*1-Inputs!$D$45+1))/1</f>
        <v>5.76</v>
      </c>
      <c r="AG324" s="114" t="n">
        <f aca="false">Inputs!$D$42*(1+Inputs!$D$44)^(AG$229-1)*MAX(0,MIN(1,AG$228*1-Inputs!$D$45+1))/1</f>
        <v>5.76</v>
      </c>
      <c r="AH324" s="114" t="n">
        <f aca="false">Inputs!$D$42*(1+Inputs!$D$44)^(AH$229-1)*MAX(0,MIN(1,AH$228*1-Inputs!$D$45+1))/1</f>
        <v>5.76</v>
      </c>
      <c r="AI324" s="114" t="n">
        <f aca="false">Inputs!$D$42*(1+Inputs!$D$44)^(AI$229-1)*MAX(0,MIN(1,AI$228*1-Inputs!$D$45+1))/1</f>
        <v>5.76</v>
      </c>
      <c r="AJ324" s="114" t="n">
        <f aca="false">Inputs!$D$42*(1+Inputs!$D$44)^(AJ$229-1)*MAX(0,MIN(1,AJ$228*1-Inputs!$D$45+1))/1</f>
        <v>5.76</v>
      </c>
      <c r="AK324" s="114" t="n">
        <f aca="false">Inputs!$D$42*(1+Inputs!$D$44)^(AK$229-1)*MAX(0,MIN(1,AK$228*1-Inputs!$D$45+1))/1</f>
        <v>5.76</v>
      </c>
      <c r="AL324" s="114" t="n">
        <f aca="false">Inputs!$D$42*(1+Inputs!$D$44)^(AL$229-1)*MAX(0,MIN(1,AL$228*1-Inputs!$D$45+1))/1</f>
        <v>5.76</v>
      </c>
      <c r="AM324" s="114" t="n">
        <f aca="false">Inputs!$D$42*(1+Inputs!$D$44)^(AM$229-1)*MAX(0,MIN(1,AM$228*1-Inputs!$D$45+1))/1</f>
        <v>6.912</v>
      </c>
      <c r="AN324" s="114" t="n">
        <f aca="false">Inputs!$D$42*(1+Inputs!$D$44)^(AN$229-1)*MAX(0,MIN(1,AN$228*1-Inputs!$D$45+1))/1</f>
        <v>6.912</v>
      </c>
      <c r="AO324" s="114" t="n">
        <f aca="false">Inputs!$D$42*(1+Inputs!$D$44)^(AO$229-1)*MAX(0,MIN(1,AO$228*1-Inputs!$D$45+1))/1</f>
        <v>6.912</v>
      </c>
      <c r="AP324" s="114" t="n">
        <f aca="false">Inputs!$D$42*(1+Inputs!$D$44)^(AP$229-1)*MAX(0,MIN(1,AP$228*1-Inputs!$D$45+1))/1</f>
        <v>6.912</v>
      </c>
      <c r="AQ324" s="114" t="n">
        <f aca="false">Inputs!$D$42*(1+Inputs!$D$44)^(AQ$229-1)*MAX(0,MIN(1,AQ$228*1-Inputs!$D$45+1))/1</f>
        <v>6.912</v>
      </c>
      <c r="AR324" s="114" t="n">
        <f aca="false">Inputs!$D$42*(1+Inputs!$D$44)^(AR$229-1)*MAX(0,MIN(1,AR$228*1-Inputs!$D$45+1))/1</f>
        <v>6.912</v>
      </c>
      <c r="AS324" s="114" t="n">
        <f aca="false">Inputs!$D$42*(1+Inputs!$D$44)^(AS$229-1)*MAX(0,MIN(1,AS$228*1-Inputs!$D$45+1))/1</f>
        <v>6.912</v>
      </c>
      <c r="AT324" s="114" t="n">
        <f aca="false">Inputs!$D$42*(1+Inputs!$D$44)^(AT$229-1)*MAX(0,MIN(1,AT$228*1-Inputs!$D$45+1))/1</f>
        <v>6.912</v>
      </c>
      <c r="AU324" s="114" t="n">
        <f aca="false">Inputs!$D$42*(1+Inputs!$D$44)^(AU$229-1)*MAX(0,MIN(1,AU$228*1-Inputs!$D$45+1))/1</f>
        <v>6.912</v>
      </c>
      <c r="AV324" s="114" t="n">
        <f aca="false">Inputs!$D$42*(1+Inputs!$D$44)^(AV$229-1)*MAX(0,MIN(1,AV$228*1-Inputs!$D$45+1))/1</f>
        <v>6.912</v>
      </c>
      <c r="AW324" s="114" t="n">
        <f aca="false">Inputs!$D$42*(1+Inputs!$D$44)^(AW$229-1)*MAX(0,MIN(1,AW$228*1-Inputs!$D$45+1))/1</f>
        <v>6.912</v>
      </c>
      <c r="AX324" s="114" t="n">
        <f aca="false">Inputs!$D$42*(1+Inputs!$D$44)^(AX$229-1)*MAX(0,MIN(1,AX$228*1-Inputs!$D$45+1))/1</f>
        <v>6.912</v>
      </c>
      <c r="AY324" s="114" t="n">
        <f aca="false">Inputs!$D$42*(1+Inputs!$D$44)^(AY$229-1)*MAX(0,MIN(1,AY$228*1-Inputs!$D$45+1))/1</f>
        <v>8.2944</v>
      </c>
      <c r="AZ324" s="114" t="n">
        <f aca="false">Inputs!$D$42*(1+Inputs!$D$44)^(AZ$229-1)*MAX(0,MIN(1,AZ$228*1-Inputs!$D$45+1))/1</f>
        <v>8.2944</v>
      </c>
      <c r="BA324" s="114" t="n">
        <f aca="false">Inputs!$D$42*(1+Inputs!$D$44)^(BA$229-1)*MAX(0,MIN(1,BA$228*1-Inputs!$D$45+1))/1</f>
        <v>8.2944</v>
      </c>
      <c r="BB324" s="114" t="n">
        <f aca="false">Inputs!$D$42*(1+Inputs!$D$44)^(BB$229-1)*MAX(0,MIN(1,BB$228*1-Inputs!$D$45+1))/1</f>
        <v>8.2944</v>
      </c>
      <c r="BC324" s="114" t="n">
        <f aca="false">Inputs!$D$42*(1+Inputs!$D$44)^(BC$229-1)*MAX(0,MIN(1,BC$228*1-Inputs!$D$45+1))/1</f>
        <v>8.2944</v>
      </c>
      <c r="BD324" s="114" t="n">
        <f aca="false">Inputs!$D$42*(1+Inputs!$D$44)^(BD$229-1)*MAX(0,MIN(1,BD$228*1-Inputs!$D$45+1))/1</f>
        <v>8.2944</v>
      </c>
      <c r="BE324" s="114" t="n">
        <f aca="false">Inputs!$D$42*(1+Inputs!$D$44)^(BE$229-1)*MAX(0,MIN(1,BE$228*1-Inputs!$D$45+1))/1</f>
        <v>8.2944</v>
      </c>
      <c r="BF324" s="114" t="n">
        <f aca="false">Inputs!$D$42*(1+Inputs!$D$44)^(BF$229-1)*MAX(0,MIN(1,BF$228*1-Inputs!$D$45+1))/1</f>
        <v>8.2944</v>
      </c>
      <c r="BG324" s="114" t="n">
        <f aca="false">Inputs!$D$42*(1+Inputs!$D$44)^(BG$229-1)*MAX(0,MIN(1,BG$228*1-Inputs!$D$45+1))/1</f>
        <v>8.2944</v>
      </c>
      <c r="BH324" s="114" t="n">
        <f aca="false">Inputs!$D$42*(1+Inputs!$D$44)^(BH$229-1)*MAX(0,MIN(1,BH$228*1-Inputs!$D$45+1))/1</f>
        <v>8.2944</v>
      </c>
      <c r="BI324" s="114" t="n">
        <f aca="false">Inputs!$D$42*(1+Inputs!$D$44)^(BI$229-1)*MAX(0,MIN(1,BI$228*1-Inputs!$D$45+1))/1</f>
        <v>8.2944</v>
      </c>
      <c r="BJ324" s="114" t="n">
        <f aca="false">Inputs!$D$42*(1+Inputs!$D$44)^(BJ$229-1)*MAX(0,MIN(1,BJ$228*1-Inputs!$D$45+1))/1</f>
        <v>8.2944</v>
      </c>
    </row>
    <row r="325" customFormat="false" ht="15" hidden="false" customHeight="false" outlineLevel="0" collapsed="false">
      <c r="A325" s="6" t="s">
        <v>446</v>
      </c>
      <c r="C325" s="114" t="n">
        <f aca="false">Inputs!$D$46*(1+Inputs!$D$48)^(C$229-1)*MAX(0,MIN(1,C$228*1-Inputs!$D$49+1))/1</f>
        <v>8</v>
      </c>
      <c r="D325" s="114" t="n">
        <f aca="false">Inputs!$D$46*(1+Inputs!$D$48)^(D$229-1)*MAX(0,MIN(1,D$228*1-Inputs!$D$49+1))/1</f>
        <v>8</v>
      </c>
      <c r="E325" s="114" t="n">
        <f aca="false">Inputs!$D$46*(1+Inputs!$D$48)^(E$229-1)*MAX(0,MIN(1,E$228*1-Inputs!$D$49+1))/1</f>
        <v>8</v>
      </c>
      <c r="F325" s="114" t="n">
        <f aca="false">Inputs!$D$46*(1+Inputs!$D$48)^(F$229-1)*MAX(0,MIN(1,F$228*1-Inputs!$D$49+1))/1</f>
        <v>8</v>
      </c>
      <c r="G325" s="114" t="n">
        <f aca="false">Inputs!$D$46*(1+Inputs!$D$48)^(G$229-1)*MAX(0,MIN(1,G$228*1-Inputs!$D$49+1))/1</f>
        <v>8</v>
      </c>
      <c r="H325" s="114" t="n">
        <f aca="false">Inputs!$D$46*(1+Inputs!$D$48)^(H$229-1)*MAX(0,MIN(1,H$228*1-Inputs!$D$49+1))/1</f>
        <v>8</v>
      </c>
      <c r="I325" s="114" t="n">
        <f aca="false">Inputs!$D$46*(1+Inputs!$D$48)^(I$229-1)*MAX(0,MIN(1,I$228*1-Inputs!$D$49+1))/1</f>
        <v>8</v>
      </c>
      <c r="J325" s="114" t="n">
        <f aca="false">Inputs!$D$46*(1+Inputs!$D$48)^(J$229-1)*MAX(0,MIN(1,J$228*1-Inputs!$D$49+1))/1</f>
        <v>8</v>
      </c>
      <c r="K325" s="114" t="n">
        <f aca="false">Inputs!$D$46*(1+Inputs!$D$48)^(K$229-1)*MAX(0,MIN(1,K$228*1-Inputs!$D$49+1))/1</f>
        <v>8</v>
      </c>
      <c r="L325" s="114" t="n">
        <f aca="false">Inputs!$D$46*(1+Inputs!$D$48)^(L$229-1)*MAX(0,MIN(1,L$228*1-Inputs!$D$49+1))/1</f>
        <v>8</v>
      </c>
      <c r="M325" s="114" t="n">
        <f aca="false">Inputs!$D$46*(1+Inputs!$D$48)^(M$229-1)*MAX(0,MIN(1,M$228*1-Inputs!$D$49+1))/1</f>
        <v>8</v>
      </c>
      <c r="N325" s="114" t="n">
        <f aca="false">Inputs!$D$46*(1+Inputs!$D$48)^(N$229-1)*MAX(0,MIN(1,N$228*1-Inputs!$D$49+1))/1</f>
        <v>8</v>
      </c>
      <c r="O325" s="114" t="n">
        <f aca="false">Inputs!$D$46*(1+Inputs!$D$48)^(O$229-1)*MAX(0,MIN(1,O$228*1-Inputs!$D$49+1))/1</f>
        <v>10.4</v>
      </c>
      <c r="P325" s="114" t="n">
        <f aca="false">Inputs!$D$46*(1+Inputs!$D$48)^(P$229-1)*MAX(0,MIN(1,P$228*1-Inputs!$D$49+1))/1</f>
        <v>10.4</v>
      </c>
      <c r="Q325" s="114" t="n">
        <f aca="false">Inputs!$D$46*(1+Inputs!$D$48)^(Q$229-1)*MAX(0,MIN(1,Q$228*1-Inputs!$D$49+1))/1</f>
        <v>10.4</v>
      </c>
      <c r="R325" s="114" t="n">
        <f aca="false">Inputs!$D$46*(1+Inputs!$D$48)^(R$229-1)*MAX(0,MIN(1,R$228*1-Inputs!$D$49+1))/1</f>
        <v>10.4</v>
      </c>
      <c r="S325" s="114" t="n">
        <f aca="false">Inputs!$D$46*(1+Inputs!$D$48)^(S$229-1)*MAX(0,MIN(1,S$228*1-Inputs!$D$49+1))/1</f>
        <v>10.4</v>
      </c>
      <c r="T325" s="114" t="n">
        <f aca="false">Inputs!$D$46*(1+Inputs!$D$48)^(T$229-1)*MAX(0,MIN(1,T$228*1-Inputs!$D$49+1))/1</f>
        <v>10.4</v>
      </c>
      <c r="U325" s="114" t="n">
        <f aca="false">Inputs!$D$46*(1+Inputs!$D$48)^(U$229-1)*MAX(0,MIN(1,U$228*1-Inputs!$D$49+1))/1</f>
        <v>10.4</v>
      </c>
      <c r="V325" s="114" t="n">
        <f aca="false">Inputs!$D$46*(1+Inputs!$D$48)^(V$229-1)*MAX(0,MIN(1,V$228*1-Inputs!$D$49+1))/1</f>
        <v>10.4</v>
      </c>
      <c r="W325" s="114" t="n">
        <f aca="false">Inputs!$D$46*(1+Inputs!$D$48)^(W$229-1)*MAX(0,MIN(1,W$228*1-Inputs!$D$49+1))/1</f>
        <v>10.4</v>
      </c>
      <c r="X325" s="114" t="n">
        <f aca="false">Inputs!$D$46*(1+Inputs!$D$48)^(X$229-1)*MAX(0,MIN(1,X$228*1-Inputs!$D$49+1))/1</f>
        <v>10.4</v>
      </c>
      <c r="Y325" s="114" t="n">
        <f aca="false">Inputs!$D$46*(1+Inputs!$D$48)^(Y$229-1)*MAX(0,MIN(1,Y$228*1-Inputs!$D$49+1))/1</f>
        <v>10.4</v>
      </c>
      <c r="Z325" s="114" t="n">
        <f aca="false">Inputs!$D$46*(1+Inputs!$D$48)^(Z$229-1)*MAX(0,MIN(1,Z$228*1-Inputs!$D$49+1))/1</f>
        <v>10.4</v>
      </c>
      <c r="AA325" s="114" t="n">
        <f aca="false">Inputs!$D$46*(1+Inputs!$D$48)^(AA$229-1)*MAX(0,MIN(1,AA$228*1-Inputs!$D$49+1))/1</f>
        <v>13.52</v>
      </c>
      <c r="AB325" s="114" t="n">
        <f aca="false">Inputs!$D$46*(1+Inputs!$D$48)^(AB$229-1)*MAX(0,MIN(1,AB$228*1-Inputs!$D$49+1))/1</f>
        <v>13.52</v>
      </c>
      <c r="AC325" s="114" t="n">
        <f aca="false">Inputs!$D$46*(1+Inputs!$D$48)^(AC$229-1)*MAX(0,MIN(1,AC$228*1-Inputs!$D$49+1))/1</f>
        <v>13.52</v>
      </c>
      <c r="AD325" s="114" t="n">
        <f aca="false">Inputs!$D$46*(1+Inputs!$D$48)^(AD$229-1)*MAX(0,MIN(1,AD$228*1-Inputs!$D$49+1))/1</f>
        <v>13.52</v>
      </c>
      <c r="AE325" s="114" t="n">
        <f aca="false">Inputs!$D$46*(1+Inputs!$D$48)^(AE$229-1)*MAX(0,MIN(1,AE$228*1-Inputs!$D$49+1))/1</f>
        <v>13.52</v>
      </c>
      <c r="AF325" s="114" t="n">
        <f aca="false">Inputs!$D$46*(1+Inputs!$D$48)^(AF$229-1)*MAX(0,MIN(1,AF$228*1-Inputs!$D$49+1))/1</f>
        <v>13.52</v>
      </c>
      <c r="AG325" s="114" t="n">
        <f aca="false">Inputs!$D$46*(1+Inputs!$D$48)^(AG$229-1)*MAX(0,MIN(1,AG$228*1-Inputs!$D$49+1))/1</f>
        <v>13.52</v>
      </c>
      <c r="AH325" s="114" t="n">
        <f aca="false">Inputs!$D$46*(1+Inputs!$D$48)^(AH$229-1)*MAX(0,MIN(1,AH$228*1-Inputs!$D$49+1))/1</f>
        <v>13.52</v>
      </c>
      <c r="AI325" s="114" t="n">
        <f aca="false">Inputs!$D$46*(1+Inputs!$D$48)^(AI$229-1)*MAX(0,MIN(1,AI$228*1-Inputs!$D$49+1))/1</f>
        <v>13.52</v>
      </c>
      <c r="AJ325" s="114" t="n">
        <f aca="false">Inputs!$D$46*(1+Inputs!$D$48)^(AJ$229-1)*MAX(0,MIN(1,AJ$228*1-Inputs!$D$49+1))/1</f>
        <v>13.52</v>
      </c>
      <c r="AK325" s="114" t="n">
        <f aca="false">Inputs!$D$46*(1+Inputs!$D$48)^(AK$229-1)*MAX(0,MIN(1,AK$228*1-Inputs!$D$49+1))/1</f>
        <v>13.52</v>
      </c>
      <c r="AL325" s="114" t="n">
        <f aca="false">Inputs!$D$46*(1+Inputs!$D$48)^(AL$229-1)*MAX(0,MIN(1,AL$228*1-Inputs!$D$49+1))/1</f>
        <v>13.52</v>
      </c>
      <c r="AM325" s="114" t="n">
        <f aca="false">Inputs!$D$46*(1+Inputs!$D$48)^(AM$229-1)*MAX(0,MIN(1,AM$228*1-Inputs!$D$49+1))/1</f>
        <v>17.576</v>
      </c>
      <c r="AN325" s="114" t="n">
        <f aca="false">Inputs!$D$46*(1+Inputs!$D$48)^(AN$229-1)*MAX(0,MIN(1,AN$228*1-Inputs!$D$49+1))/1</f>
        <v>17.576</v>
      </c>
      <c r="AO325" s="114" t="n">
        <f aca="false">Inputs!$D$46*(1+Inputs!$D$48)^(AO$229-1)*MAX(0,MIN(1,AO$228*1-Inputs!$D$49+1))/1</f>
        <v>17.576</v>
      </c>
      <c r="AP325" s="114" t="n">
        <f aca="false">Inputs!$D$46*(1+Inputs!$D$48)^(AP$229-1)*MAX(0,MIN(1,AP$228*1-Inputs!$D$49+1))/1</f>
        <v>17.576</v>
      </c>
      <c r="AQ325" s="114" t="n">
        <f aca="false">Inputs!$D$46*(1+Inputs!$D$48)^(AQ$229-1)*MAX(0,MIN(1,AQ$228*1-Inputs!$D$49+1))/1</f>
        <v>17.576</v>
      </c>
      <c r="AR325" s="114" t="n">
        <f aca="false">Inputs!$D$46*(1+Inputs!$D$48)^(AR$229-1)*MAX(0,MIN(1,AR$228*1-Inputs!$D$49+1))/1</f>
        <v>17.576</v>
      </c>
      <c r="AS325" s="114" t="n">
        <f aca="false">Inputs!$D$46*(1+Inputs!$D$48)^(AS$229-1)*MAX(0,MIN(1,AS$228*1-Inputs!$D$49+1))/1</f>
        <v>17.576</v>
      </c>
      <c r="AT325" s="114" t="n">
        <f aca="false">Inputs!$D$46*(1+Inputs!$D$48)^(AT$229-1)*MAX(0,MIN(1,AT$228*1-Inputs!$D$49+1))/1</f>
        <v>17.576</v>
      </c>
      <c r="AU325" s="114" t="n">
        <f aca="false">Inputs!$D$46*(1+Inputs!$D$48)^(AU$229-1)*MAX(0,MIN(1,AU$228*1-Inputs!$D$49+1))/1</f>
        <v>17.576</v>
      </c>
      <c r="AV325" s="114" t="n">
        <f aca="false">Inputs!$D$46*(1+Inputs!$D$48)^(AV$229-1)*MAX(0,MIN(1,AV$228*1-Inputs!$D$49+1))/1</f>
        <v>17.576</v>
      </c>
      <c r="AW325" s="114" t="n">
        <f aca="false">Inputs!$D$46*(1+Inputs!$D$48)^(AW$229-1)*MAX(0,MIN(1,AW$228*1-Inputs!$D$49+1))/1</f>
        <v>17.576</v>
      </c>
      <c r="AX325" s="114" t="n">
        <f aca="false">Inputs!$D$46*(1+Inputs!$D$48)^(AX$229-1)*MAX(0,MIN(1,AX$228*1-Inputs!$D$49+1))/1</f>
        <v>17.576</v>
      </c>
      <c r="AY325" s="114" t="n">
        <f aca="false">Inputs!$D$46*(1+Inputs!$D$48)^(AY$229-1)*MAX(0,MIN(1,AY$228*1-Inputs!$D$49+1))/1</f>
        <v>22.8488</v>
      </c>
      <c r="AZ325" s="114" t="n">
        <f aca="false">Inputs!$D$46*(1+Inputs!$D$48)^(AZ$229-1)*MAX(0,MIN(1,AZ$228*1-Inputs!$D$49+1))/1</f>
        <v>22.8488</v>
      </c>
      <c r="BA325" s="114" t="n">
        <f aca="false">Inputs!$D$46*(1+Inputs!$D$48)^(BA$229-1)*MAX(0,MIN(1,BA$228*1-Inputs!$D$49+1))/1</f>
        <v>22.8488</v>
      </c>
      <c r="BB325" s="114" t="n">
        <f aca="false">Inputs!$D$46*(1+Inputs!$D$48)^(BB$229-1)*MAX(0,MIN(1,BB$228*1-Inputs!$D$49+1))/1</f>
        <v>22.8488</v>
      </c>
      <c r="BC325" s="114" t="n">
        <f aca="false">Inputs!$D$46*(1+Inputs!$D$48)^(BC$229-1)*MAX(0,MIN(1,BC$228*1-Inputs!$D$49+1))/1</f>
        <v>22.8488</v>
      </c>
      <c r="BD325" s="114" t="n">
        <f aca="false">Inputs!$D$46*(1+Inputs!$D$48)^(BD$229-1)*MAX(0,MIN(1,BD$228*1-Inputs!$D$49+1))/1</f>
        <v>22.8488</v>
      </c>
      <c r="BE325" s="114" t="n">
        <f aca="false">Inputs!$D$46*(1+Inputs!$D$48)^(BE$229-1)*MAX(0,MIN(1,BE$228*1-Inputs!$D$49+1))/1</f>
        <v>22.8488</v>
      </c>
      <c r="BF325" s="114" t="n">
        <f aca="false">Inputs!$D$46*(1+Inputs!$D$48)^(BF$229-1)*MAX(0,MIN(1,BF$228*1-Inputs!$D$49+1))/1</f>
        <v>22.8488</v>
      </c>
      <c r="BG325" s="114" t="n">
        <f aca="false">Inputs!$D$46*(1+Inputs!$D$48)^(BG$229-1)*MAX(0,MIN(1,BG$228*1-Inputs!$D$49+1))/1</f>
        <v>22.8488</v>
      </c>
      <c r="BH325" s="114" t="n">
        <f aca="false">Inputs!$D$46*(1+Inputs!$D$48)^(BH$229-1)*MAX(0,MIN(1,BH$228*1-Inputs!$D$49+1))/1</f>
        <v>22.8488</v>
      </c>
      <c r="BI325" s="114" t="n">
        <f aca="false">Inputs!$D$46*(1+Inputs!$D$48)^(BI$229-1)*MAX(0,MIN(1,BI$228*1-Inputs!$D$49+1))/1</f>
        <v>22.8488</v>
      </c>
      <c r="BJ325" s="114" t="n">
        <f aca="false">Inputs!$D$46*(1+Inputs!$D$48)^(BJ$229-1)*MAX(0,MIN(1,BJ$228*1-Inputs!$D$49+1))/1</f>
        <v>22.8488</v>
      </c>
    </row>
    <row r="326" customFormat="false" ht="15" hidden="false" customHeight="false" outlineLevel="0" collapsed="false">
      <c r="A326" s="6" t="s">
        <v>447</v>
      </c>
      <c r="C326" s="114" t="n">
        <f aca="false">Inputs!$D$50*(1+Inputs!$D$52)^(C$229-1)*MAX(0,MIN(1,C$228*1-Inputs!$D$53+1))/1</f>
        <v>3</v>
      </c>
      <c r="D326" s="114" t="n">
        <f aca="false">Inputs!$D$50*(1+Inputs!$D$52)^(D$229-1)*MAX(0,MIN(1,D$228*1-Inputs!$D$53+1))/1</f>
        <v>3</v>
      </c>
      <c r="E326" s="114" t="n">
        <f aca="false">Inputs!$D$50*(1+Inputs!$D$52)^(E$229-1)*MAX(0,MIN(1,E$228*1-Inputs!$D$53+1))/1</f>
        <v>3</v>
      </c>
      <c r="F326" s="114" t="n">
        <f aca="false">Inputs!$D$50*(1+Inputs!$D$52)^(F$229-1)*MAX(0,MIN(1,F$228*1-Inputs!$D$53+1))/1</f>
        <v>3</v>
      </c>
      <c r="G326" s="114" t="n">
        <f aca="false">Inputs!$D$50*(1+Inputs!$D$52)^(G$229-1)*MAX(0,MIN(1,G$228*1-Inputs!$D$53+1))/1</f>
        <v>3</v>
      </c>
      <c r="H326" s="114" t="n">
        <f aca="false">Inputs!$D$50*(1+Inputs!$D$52)^(H$229-1)*MAX(0,MIN(1,H$228*1-Inputs!$D$53+1))/1</f>
        <v>3</v>
      </c>
      <c r="I326" s="114" t="n">
        <f aca="false">Inputs!$D$50*(1+Inputs!$D$52)^(I$229-1)*MAX(0,MIN(1,I$228*1-Inputs!$D$53+1))/1</f>
        <v>3</v>
      </c>
      <c r="J326" s="114" t="n">
        <f aca="false">Inputs!$D$50*(1+Inputs!$D$52)^(J$229-1)*MAX(0,MIN(1,J$228*1-Inputs!$D$53+1))/1</f>
        <v>3</v>
      </c>
      <c r="K326" s="114" t="n">
        <f aca="false">Inputs!$D$50*(1+Inputs!$D$52)^(K$229-1)*MAX(0,MIN(1,K$228*1-Inputs!$D$53+1))/1</f>
        <v>3</v>
      </c>
      <c r="L326" s="114" t="n">
        <f aca="false">Inputs!$D$50*(1+Inputs!$D$52)^(L$229-1)*MAX(0,MIN(1,L$228*1-Inputs!$D$53+1))/1</f>
        <v>3</v>
      </c>
      <c r="M326" s="114" t="n">
        <f aca="false">Inputs!$D$50*(1+Inputs!$D$52)^(M$229-1)*MAX(0,MIN(1,M$228*1-Inputs!$D$53+1))/1</f>
        <v>3</v>
      </c>
      <c r="N326" s="114" t="n">
        <f aca="false">Inputs!$D$50*(1+Inputs!$D$52)^(N$229-1)*MAX(0,MIN(1,N$228*1-Inputs!$D$53+1))/1</f>
        <v>3</v>
      </c>
      <c r="O326" s="114" t="n">
        <f aca="false">Inputs!$D$50*(1+Inputs!$D$52)^(O$229-1)*MAX(0,MIN(1,O$228*1-Inputs!$D$53+1))/1</f>
        <v>3.45</v>
      </c>
      <c r="P326" s="114" t="n">
        <f aca="false">Inputs!$D$50*(1+Inputs!$D$52)^(P$229-1)*MAX(0,MIN(1,P$228*1-Inputs!$D$53+1))/1</f>
        <v>3.45</v>
      </c>
      <c r="Q326" s="114" t="n">
        <f aca="false">Inputs!$D$50*(1+Inputs!$D$52)^(Q$229-1)*MAX(0,MIN(1,Q$228*1-Inputs!$D$53+1))/1</f>
        <v>3.45</v>
      </c>
      <c r="R326" s="114" t="n">
        <f aca="false">Inputs!$D$50*(1+Inputs!$D$52)^(R$229-1)*MAX(0,MIN(1,R$228*1-Inputs!$D$53+1))/1</f>
        <v>3.45</v>
      </c>
      <c r="S326" s="114" t="n">
        <f aca="false">Inputs!$D$50*(1+Inputs!$D$52)^(S$229-1)*MAX(0,MIN(1,S$228*1-Inputs!$D$53+1))/1</f>
        <v>3.45</v>
      </c>
      <c r="T326" s="114" t="n">
        <f aca="false">Inputs!$D$50*(1+Inputs!$D$52)^(T$229-1)*MAX(0,MIN(1,T$228*1-Inputs!$D$53+1))/1</f>
        <v>3.45</v>
      </c>
      <c r="U326" s="114" t="n">
        <f aca="false">Inputs!$D$50*(1+Inputs!$D$52)^(U$229-1)*MAX(0,MIN(1,U$228*1-Inputs!$D$53+1))/1</f>
        <v>3.45</v>
      </c>
      <c r="V326" s="114" t="n">
        <f aca="false">Inputs!$D$50*(1+Inputs!$D$52)^(V$229-1)*MAX(0,MIN(1,V$228*1-Inputs!$D$53+1))/1</f>
        <v>3.45</v>
      </c>
      <c r="W326" s="114" t="n">
        <f aca="false">Inputs!$D$50*(1+Inputs!$D$52)^(W$229-1)*MAX(0,MIN(1,W$228*1-Inputs!$D$53+1))/1</f>
        <v>3.45</v>
      </c>
      <c r="X326" s="114" t="n">
        <f aca="false">Inputs!$D$50*(1+Inputs!$D$52)^(X$229-1)*MAX(0,MIN(1,X$228*1-Inputs!$D$53+1))/1</f>
        <v>3.45</v>
      </c>
      <c r="Y326" s="114" t="n">
        <f aca="false">Inputs!$D$50*(1+Inputs!$D$52)^(Y$229-1)*MAX(0,MIN(1,Y$228*1-Inputs!$D$53+1))/1</f>
        <v>3.45</v>
      </c>
      <c r="Z326" s="114" t="n">
        <f aca="false">Inputs!$D$50*(1+Inputs!$D$52)^(Z$229-1)*MAX(0,MIN(1,Z$228*1-Inputs!$D$53+1))/1</f>
        <v>3.45</v>
      </c>
      <c r="AA326" s="114" t="n">
        <f aca="false">Inputs!$D$50*(1+Inputs!$D$52)^(AA$229-1)*MAX(0,MIN(1,AA$228*1-Inputs!$D$53+1))/1</f>
        <v>3.9675</v>
      </c>
      <c r="AB326" s="114" t="n">
        <f aca="false">Inputs!$D$50*(1+Inputs!$D$52)^(AB$229-1)*MAX(0,MIN(1,AB$228*1-Inputs!$D$53+1))/1</f>
        <v>3.9675</v>
      </c>
      <c r="AC326" s="114" t="n">
        <f aca="false">Inputs!$D$50*(1+Inputs!$D$52)^(AC$229-1)*MAX(0,MIN(1,AC$228*1-Inputs!$D$53+1))/1</f>
        <v>3.9675</v>
      </c>
      <c r="AD326" s="114" t="n">
        <f aca="false">Inputs!$D$50*(1+Inputs!$D$52)^(AD$229-1)*MAX(0,MIN(1,AD$228*1-Inputs!$D$53+1))/1</f>
        <v>3.9675</v>
      </c>
      <c r="AE326" s="114" t="n">
        <f aca="false">Inputs!$D$50*(1+Inputs!$D$52)^(AE$229-1)*MAX(0,MIN(1,AE$228*1-Inputs!$D$53+1))/1</f>
        <v>3.9675</v>
      </c>
      <c r="AF326" s="114" t="n">
        <f aca="false">Inputs!$D$50*(1+Inputs!$D$52)^(AF$229-1)*MAX(0,MIN(1,AF$228*1-Inputs!$D$53+1))/1</f>
        <v>3.9675</v>
      </c>
      <c r="AG326" s="114" t="n">
        <f aca="false">Inputs!$D$50*(1+Inputs!$D$52)^(AG$229-1)*MAX(0,MIN(1,AG$228*1-Inputs!$D$53+1))/1</f>
        <v>3.9675</v>
      </c>
      <c r="AH326" s="114" t="n">
        <f aca="false">Inputs!$D$50*(1+Inputs!$D$52)^(AH$229-1)*MAX(0,MIN(1,AH$228*1-Inputs!$D$53+1))/1</f>
        <v>3.9675</v>
      </c>
      <c r="AI326" s="114" t="n">
        <f aca="false">Inputs!$D$50*(1+Inputs!$D$52)^(AI$229-1)*MAX(0,MIN(1,AI$228*1-Inputs!$D$53+1))/1</f>
        <v>3.9675</v>
      </c>
      <c r="AJ326" s="114" t="n">
        <f aca="false">Inputs!$D$50*(1+Inputs!$D$52)^(AJ$229-1)*MAX(0,MIN(1,AJ$228*1-Inputs!$D$53+1))/1</f>
        <v>3.9675</v>
      </c>
      <c r="AK326" s="114" t="n">
        <f aca="false">Inputs!$D$50*(1+Inputs!$D$52)^(AK$229-1)*MAX(0,MIN(1,AK$228*1-Inputs!$D$53+1))/1</f>
        <v>3.9675</v>
      </c>
      <c r="AL326" s="114" t="n">
        <f aca="false">Inputs!$D$50*(1+Inputs!$D$52)^(AL$229-1)*MAX(0,MIN(1,AL$228*1-Inputs!$D$53+1))/1</f>
        <v>3.9675</v>
      </c>
      <c r="AM326" s="114" t="n">
        <f aca="false">Inputs!$D$50*(1+Inputs!$D$52)^(AM$229-1)*MAX(0,MIN(1,AM$228*1-Inputs!$D$53+1))/1</f>
        <v>4.562625</v>
      </c>
      <c r="AN326" s="114" t="n">
        <f aca="false">Inputs!$D$50*(1+Inputs!$D$52)^(AN$229-1)*MAX(0,MIN(1,AN$228*1-Inputs!$D$53+1))/1</f>
        <v>4.562625</v>
      </c>
      <c r="AO326" s="114" t="n">
        <f aca="false">Inputs!$D$50*(1+Inputs!$D$52)^(AO$229-1)*MAX(0,MIN(1,AO$228*1-Inputs!$D$53+1))/1</f>
        <v>4.562625</v>
      </c>
      <c r="AP326" s="114" t="n">
        <f aca="false">Inputs!$D$50*(1+Inputs!$D$52)^(AP$229-1)*MAX(0,MIN(1,AP$228*1-Inputs!$D$53+1))/1</f>
        <v>4.562625</v>
      </c>
      <c r="AQ326" s="114" t="n">
        <f aca="false">Inputs!$D$50*(1+Inputs!$D$52)^(AQ$229-1)*MAX(0,MIN(1,AQ$228*1-Inputs!$D$53+1))/1</f>
        <v>4.562625</v>
      </c>
      <c r="AR326" s="114" t="n">
        <f aca="false">Inputs!$D$50*(1+Inputs!$D$52)^(AR$229-1)*MAX(0,MIN(1,AR$228*1-Inputs!$D$53+1))/1</f>
        <v>4.562625</v>
      </c>
      <c r="AS326" s="114" t="n">
        <f aca="false">Inputs!$D$50*(1+Inputs!$D$52)^(AS$229-1)*MAX(0,MIN(1,AS$228*1-Inputs!$D$53+1))/1</f>
        <v>4.562625</v>
      </c>
      <c r="AT326" s="114" t="n">
        <f aca="false">Inputs!$D$50*(1+Inputs!$D$52)^(AT$229-1)*MAX(0,MIN(1,AT$228*1-Inputs!$D$53+1))/1</f>
        <v>4.562625</v>
      </c>
      <c r="AU326" s="114" t="n">
        <f aca="false">Inputs!$D$50*(1+Inputs!$D$52)^(AU$229-1)*MAX(0,MIN(1,AU$228*1-Inputs!$D$53+1))/1</f>
        <v>4.562625</v>
      </c>
      <c r="AV326" s="114" t="n">
        <f aca="false">Inputs!$D$50*(1+Inputs!$D$52)^(AV$229-1)*MAX(0,MIN(1,AV$228*1-Inputs!$D$53+1))/1</f>
        <v>4.562625</v>
      </c>
      <c r="AW326" s="114" t="n">
        <f aca="false">Inputs!$D$50*(1+Inputs!$D$52)^(AW$229-1)*MAX(0,MIN(1,AW$228*1-Inputs!$D$53+1))/1</f>
        <v>4.562625</v>
      </c>
      <c r="AX326" s="114" t="n">
        <f aca="false">Inputs!$D$50*(1+Inputs!$D$52)^(AX$229-1)*MAX(0,MIN(1,AX$228*1-Inputs!$D$53+1))/1</f>
        <v>4.562625</v>
      </c>
      <c r="AY326" s="114" t="n">
        <f aca="false">Inputs!$D$50*(1+Inputs!$D$52)^(AY$229-1)*MAX(0,MIN(1,AY$228*1-Inputs!$D$53+1))/1</f>
        <v>5.24701875</v>
      </c>
      <c r="AZ326" s="114" t="n">
        <f aca="false">Inputs!$D$50*(1+Inputs!$D$52)^(AZ$229-1)*MAX(0,MIN(1,AZ$228*1-Inputs!$D$53+1))/1</f>
        <v>5.24701875</v>
      </c>
      <c r="BA326" s="114" t="n">
        <f aca="false">Inputs!$D$50*(1+Inputs!$D$52)^(BA$229-1)*MAX(0,MIN(1,BA$228*1-Inputs!$D$53+1))/1</f>
        <v>5.24701875</v>
      </c>
      <c r="BB326" s="114" t="n">
        <f aca="false">Inputs!$D$50*(1+Inputs!$D$52)^(BB$229-1)*MAX(0,MIN(1,BB$228*1-Inputs!$D$53+1))/1</f>
        <v>5.24701875</v>
      </c>
      <c r="BC326" s="114" t="n">
        <f aca="false">Inputs!$D$50*(1+Inputs!$D$52)^(BC$229-1)*MAX(0,MIN(1,BC$228*1-Inputs!$D$53+1))/1</f>
        <v>5.24701875</v>
      </c>
      <c r="BD326" s="114" t="n">
        <f aca="false">Inputs!$D$50*(1+Inputs!$D$52)^(BD$229-1)*MAX(0,MIN(1,BD$228*1-Inputs!$D$53+1))/1</f>
        <v>5.24701875</v>
      </c>
      <c r="BE326" s="114" t="n">
        <f aca="false">Inputs!$D$50*(1+Inputs!$D$52)^(BE$229-1)*MAX(0,MIN(1,BE$228*1-Inputs!$D$53+1))/1</f>
        <v>5.24701875</v>
      </c>
      <c r="BF326" s="114" t="n">
        <f aca="false">Inputs!$D$50*(1+Inputs!$D$52)^(BF$229-1)*MAX(0,MIN(1,BF$228*1-Inputs!$D$53+1))/1</f>
        <v>5.24701875</v>
      </c>
      <c r="BG326" s="114" t="n">
        <f aca="false">Inputs!$D$50*(1+Inputs!$D$52)^(BG$229-1)*MAX(0,MIN(1,BG$228*1-Inputs!$D$53+1))/1</f>
        <v>5.24701875</v>
      </c>
      <c r="BH326" s="114" t="n">
        <f aca="false">Inputs!$D$50*(1+Inputs!$D$52)^(BH$229-1)*MAX(0,MIN(1,BH$228*1-Inputs!$D$53+1))/1</f>
        <v>5.24701875</v>
      </c>
      <c r="BI326" s="114" t="n">
        <f aca="false">Inputs!$D$50*(1+Inputs!$D$52)^(BI$229-1)*MAX(0,MIN(1,BI$228*1-Inputs!$D$53+1))/1</f>
        <v>5.24701875</v>
      </c>
      <c r="BJ326" s="114" t="n">
        <f aca="false">Inputs!$D$50*(1+Inputs!$D$52)^(BJ$229-1)*MAX(0,MIN(1,BJ$228*1-Inputs!$D$53+1))/1</f>
        <v>5.24701875</v>
      </c>
    </row>
    <row r="327" customFormat="false" ht="15" hidden="false" customHeight="false" outlineLevel="0" collapsed="false">
      <c r="A327" s="110" t="s">
        <v>448</v>
      </c>
      <c r="C327" s="118" t="n">
        <f aca="false">C323+C324+C325+C326</f>
        <v>21</v>
      </c>
      <c r="D327" s="118" t="n">
        <f aca="false">D323+D324+D325+D326</f>
        <v>21</v>
      </c>
      <c r="E327" s="118" t="n">
        <f aca="false">E323+E324+E325+E326</f>
        <v>21</v>
      </c>
      <c r="F327" s="118" t="n">
        <f aca="false">F323+F324+F325+F326</f>
        <v>21</v>
      </c>
      <c r="G327" s="118" t="n">
        <f aca="false">G323+G324+G325+G326</f>
        <v>21</v>
      </c>
      <c r="H327" s="118" t="n">
        <f aca="false">H323+H324+H325+H326</f>
        <v>21</v>
      </c>
      <c r="I327" s="118" t="n">
        <f aca="false">I323+I324+I325+I326</f>
        <v>21</v>
      </c>
      <c r="J327" s="118" t="n">
        <f aca="false">J323+J324+J325+J326</f>
        <v>21</v>
      </c>
      <c r="K327" s="118" t="n">
        <f aca="false">K323+K324+K325+K326</f>
        <v>21</v>
      </c>
      <c r="L327" s="118" t="n">
        <f aca="false">L323+L324+L325+L326</f>
        <v>21</v>
      </c>
      <c r="M327" s="118" t="n">
        <f aca="false">M323+M324+M325+M326</f>
        <v>21</v>
      </c>
      <c r="N327" s="118" t="n">
        <f aca="false">N323+N324+N325+N326</f>
        <v>21</v>
      </c>
      <c r="O327" s="118" t="n">
        <f aca="false">O323+O324+O325+O326</f>
        <v>25.85</v>
      </c>
      <c r="P327" s="118" t="n">
        <f aca="false">P323+P324+P325+P326</f>
        <v>25.85</v>
      </c>
      <c r="Q327" s="118" t="n">
        <f aca="false">Q323+Q324+Q325+Q326</f>
        <v>25.85</v>
      </c>
      <c r="R327" s="118" t="n">
        <f aca="false">R323+R324+R325+R326</f>
        <v>25.85</v>
      </c>
      <c r="S327" s="118" t="n">
        <f aca="false">S323+S324+S325+S326</f>
        <v>25.85</v>
      </c>
      <c r="T327" s="118" t="n">
        <f aca="false">T323+T324+T325+T326</f>
        <v>25.85</v>
      </c>
      <c r="U327" s="118" t="n">
        <f aca="false">U323+U324+U325+U326</f>
        <v>25.85</v>
      </c>
      <c r="V327" s="118" t="n">
        <f aca="false">V323+V324+V325+V326</f>
        <v>25.85</v>
      </c>
      <c r="W327" s="118" t="n">
        <f aca="false">W323+W324+W325+W326</f>
        <v>25.85</v>
      </c>
      <c r="X327" s="118" t="n">
        <f aca="false">X323+X324+X325+X326</f>
        <v>25.85</v>
      </c>
      <c r="Y327" s="118" t="n">
        <f aca="false">Y323+Y324+Y325+Y326</f>
        <v>25.85</v>
      </c>
      <c r="Z327" s="118" t="n">
        <f aca="false">Z323+Z324+Z325+Z326</f>
        <v>25.85</v>
      </c>
      <c r="AA327" s="118" t="n">
        <f aca="false">AA323+AA324+AA325+AA326</f>
        <v>31.8875</v>
      </c>
      <c r="AB327" s="118" t="n">
        <f aca="false">AB323+AB324+AB325+AB326</f>
        <v>31.8875</v>
      </c>
      <c r="AC327" s="118" t="n">
        <f aca="false">AC323+AC324+AC325+AC326</f>
        <v>31.8875</v>
      </c>
      <c r="AD327" s="118" t="n">
        <f aca="false">AD323+AD324+AD325+AD326</f>
        <v>31.8875</v>
      </c>
      <c r="AE327" s="118" t="n">
        <f aca="false">AE323+AE324+AE325+AE326</f>
        <v>31.8875</v>
      </c>
      <c r="AF327" s="118" t="n">
        <f aca="false">AF323+AF324+AF325+AF326</f>
        <v>31.8875</v>
      </c>
      <c r="AG327" s="118" t="n">
        <f aca="false">AG323+AG324+AG325+AG326</f>
        <v>31.8875</v>
      </c>
      <c r="AH327" s="118" t="n">
        <f aca="false">AH323+AH324+AH325+AH326</f>
        <v>31.8875</v>
      </c>
      <c r="AI327" s="118" t="n">
        <f aca="false">AI323+AI324+AI325+AI326</f>
        <v>31.8875</v>
      </c>
      <c r="AJ327" s="118" t="n">
        <f aca="false">AJ323+AJ324+AJ325+AJ326</f>
        <v>31.8875</v>
      </c>
      <c r="AK327" s="118" t="n">
        <f aca="false">AK323+AK324+AK325+AK326</f>
        <v>31.8875</v>
      </c>
      <c r="AL327" s="118" t="n">
        <f aca="false">AL323+AL324+AL325+AL326</f>
        <v>31.8875</v>
      </c>
      <c r="AM327" s="118" t="n">
        <f aca="false">AM323+AM324+AM325+AM326</f>
        <v>39.418625</v>
      </c>
      <c r="AN327" s="118" t="n">
        <f aca="false">AN323+AN324+AN325+AN326</f>
        <v>39.418625</v>
      </c>
      <c r="AO327" s="118" t="n">
        <f aca="false">AO323+AO324+AO325+AO326</f>
        <v>39.418625</v>
      </c>
      <c r="AP327" s="118" t="n">
        <f aca="false">AP323+AP324+AP325+AP326</f>
        <v>39.418625</v>
      </c>
      <c r="AQ327" s="118" t="n">
        <f aca="false">AQ323+AQ324+AQ325+AQ326</f>
        <v>39.418625</v>
      </c>
      <c r="AR327" s="118" t="n">
        <f aca="false">AR323+AR324+AR325+AR326</f>
        <v>39.418625</v>
      </c>
      <c r="AS327" s="118" t="n">
        <f aca="false">AS323+AS324+AS325+AS326</f>
        <v>39.418625</v>
      </c>
      <c r="AT327" s="118" t="n">
        <f aca="false">AT323+AT324+AT325+AT326</f>
        <v>39.418625</v>
      </c>
      <c r="AU327" s="118" t="n">
        <f aca="false">AU323+AU324+AU325+AU326</f>
        <v>39.418625</v>
      </c>
      <c r="AV327" s="118" t="n">
        <f aca="false">AV323+AV324+AV325+AV326</f>
        <v>39.418625</v>
      </c>
      <c r="AW327" s="118" t="n">
        <f aca="false">AW323+AW324+AW325+AW326</f>
        <v>39.418625</v>
      </c>
      <c r="AX327" s="118" t="n">
        <f aca="false">AX323+AX324+AX325+AX326</f>
        <v>39.418625</v>
      </c>
      <c r="AY327" s="118" t="n">
        <f aca="false">AY323+AY324+AY325+AY326</f>
        <v>48.83181875</v>
      </c>
      <c r="AZ327" s="118" t="n">
        <f aca="false">AZ323+AZ324+AZ325+AZ326</f>
        <v>48.83181875</v>
      </c>
      <c r="BA327" s="118" t="n">
        <f aca="false">BA323+BA324+BA325+BA326</f>
        <v>48.83181875</v>
      </c>
      <c r="BB327" s="118" t="n">
        <f aca="false">BB323+BB324+BB325+BB326</f>
        <v>48.83181875</v>
      </c>
      <c r="BC327" s="118" t="n">
        <f aca="false">BC323+BC324+BC325+BC326</f>
        <v>48.83181875</v>
      </c>
      <c r="BD327" s="118" t="n">
        <f aca="false">BD323+BD324+BD325+BD326</f>
        <v>48.83181875</v>
      </c>
      <c r="BE327" s="118" t="n">
        <f aca="false">BE323+BE324+BE325+BE326</f>
        <v>48.83181875</v>
      </c>
      <c r="BF327" s="118" t="n">
        <f aca="false">BF323+BF324+BF325+BF326</f>
        <v>48.83181875</v>
      </c>
      <c r="BG327" s="118" t="n">
        <f aca="false">BG323+BG324+BG325+BG326</f>
        <v>48.83181875</v>
      </c>
      <c r="BH327" s="118" t="n">
        <f aca="false">BH323+BH324+BH325+BH326</f>
        <v>48.83181875</v>
      </c>
      <c r="BI327" s="118" t="n">
        <f aca="false">BI323+BI324+BI325+BI326</f>
        <v>48.83181875</v>
      </c>
      <c r="BJ327" s="118" t="n">
        <f aca="false">BJ323+BJ324+BJ325+BJ326</f>
        <v>48.83181875</v>
      </c>
    </row>
    <row r="329" customFormat="false" ht="15.75" hidden="false" customHeight="true" outlineLevel="0" collapsed="false">
      <c r="A329" s="7" t="s">
        <v>449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customFormat="false" ht="15" hidden="false" customHeight="false" outlineLevel="0" collapsed="false">
      <c r="A330" s="6" t="s">
        <v>450</v>
      </c>
      <c r="C330" s="65" t="n">
        <f aca="false">-C323*Inputs!$D$39/12*1*(1+Inputs!$D$54)*(1+Inputs!$D$55)^(C$229-1)</f>
        <v>-28750</v>
      </c>
      <c r="D330" s="65" t="n">
        <f aca="false">-D323*Inputs!$D$39/12*1*(1+Inputs!$D$54)*(1+Inputs!$D$55)^(D$229-1)</f>
        <v>-28750</v>
      </c>
      <c r="E330" s="65" t="n">
        <f aca="false">-E323*Inputs!$D$39/12*1*(1+Inputs!$D$54)*(1+Inputs!$D$55)^(E$229-1)</f>
        <v>-28750</v>
      </c>
      <c r="F330" s="65" t="n">
        <f aca="false">-F323*Inputs!$D$39/12*1*(1+Inputs!$D$54)*(1+Inputs!$D$55)^(F$229-1)</f>
        <v>-28750</v>
      </c>
      <c r="G330" s="65" t="n">
        <f aca="false">-G323*Inputs!$D$39/12*1*(1+Inputs!$D$54)*(1+Inputs!$D$55)^(G$229-1)</f>
        <v>-28750</v>
      </c>
      <c r="H330" s="65" t="n">
        <f aca="false">-H323*Inputs!$D$39/12*1*(1+Inputs!$D$54)*(1+Inputs!$D$55)^(H$229-1)</f>
        <v>-28750</v>
      </c>
      <c r="I330" s="65" t="n">
        <f aca="false">-I323*Inputs!$D$39/12*1*(1+Inputs!$D$54)*(1+Inputs!$D$55)^(I$229-1)</f>
        <v>-28750</v>
      </c>
      <c r="J330" s="65" t="n">
        <f aca="false">-J323*Inputs!$D$39/12*1*(1+Inputs!$D$54)*(1+Inputs!$D$55)^(J$229-1)</f>
        <v>-28750</v>
      </c>
      <c r="K330" s="65" t="n">
        <f aca="false">-K323*Inputs!$D$39/12*1*(1+Inputs!$D$54)*(1+Inputs!$D$55)^(K$229-1)</f>
        <v>-28750</v>
      </c>
      <c r="L330" s="65" t="n">
        <f aca="false">-L323*Inputs!$D$39/12*1*(1+Inputs!$D$54)*(1+Inputs!$D$55)^(L$229-1)</f>
        <v>-28750</v>
      </c>
      <c r="M330" s="65" t="n">
        <f aca="false">-M323*Inputs!$D$39/12*1*(1+Inputs!$D$54)*(1+Inputs!$D$55)^(M$229-1)</f>
        <v>-28750</v>
      </c>
      <c r="N330" s="65" t="n">
        <f aca="false">-N323*Inputs!$D$39/12*1*(1+Inputs!$D$54)*(1+Inputs!$D$55)^(N$229-1)</f>
        <v>-28750</v>
      </c>
      <c r="O330" s="65" t="n">
        <f aca="false">-O323*Inputs!$D$39/12*1*(1+Inputs!$D$54)*(1+Inputs!$D$55)^(O$229-1)</f>
        <v>-35535</v>
      </c>
      <c r="P330" s="65" t="n">
        <f aca="false">-P323*Inputs!$D$39/12*1*(1+Inputs!$D$54)*(1+Inputs!$D$55)^(P$229-1)</f>
        <v>-35535</v>
      </c>
      <c r="Q330" s="65" t="n">
        <f aca="false">-Q323*Inputs!$D$39/12*1*(1+Inputs!$D$54)*(1+Inputs!$D$55)^(Q$229-1)</f>
        <v>-35535</v>
      </c>
      <c r="R330" s="65" t="n">
        <f aca="false">-R323*Inputs!$D$39/12*1*(1+Inputs!$D$54)*(1+Inputs!$D$55)^(R$229-1)</f>
        <v>-35535</v>
      </c>
      <c r="S330" s="65" t="n">
        <f aca="false">-S323*Inputs!$D$39/12*1*(1+Inputs!$D$54)*(1+Inputs!$D$55)^(S$229-1)</f>
        <v>-35535</v>
      </c>
      <c r="T330" s="65" t="n">
        <f aca="false">-T323*Inputs!$D$39/12*1*(1+Inputs!$D$54)*(1+Inputs!$D$55)^(T$229-1)</f>
        <v>-35535</v>
      </c>
      <c r="U330" s="65" t="n">
        <f aca="false">-U323*Inputs!$D$39/12*1*(1+Inputs!$D$54)*(1+Inputs!$D$55)^(U$229-1)</f>
        <v>-35535</v>
      </c>
      <c r="V330" s="65" t="n">
        <f aca="false">-V323*Inputs!$D$39/12*1*(1+Inputs!$D$54)*(1+Inputs!$D$55)^(V$229-1)</f>
        <v>-35535</v>
      </c>
      <c r="W330" s="65" t="n">
        <f aca="false">-W323*Inputs!$D$39/12*1*(1+Inputs!$D$54)*(1+Inputs!$D$55)^(W$229-1)</f>
        <v>-35535</v>
      </c>
      <c r="X330" s="65" t="n">
        <f aca="false">-X323*Inputs!$D$39/12*1*(1+Inputs!$D$54)*(1+Inputs!$D$55)^(X$229-1)</f>
        <v>-35535</v>
      </c>
      <c r="Y330" s="65" t="n">
        <f aca="false">-Y323*Inputs!$D$39/12*1*(1+Inputs!$D$54)*(1+Inputs!$D$55)^(Y$229-1)</f>
        <v>-35535</v>
      </c>
      <c r="Z330" s="65" t="n">
        <f aca="false">-Z323*Inputs!$D$39/12*1*(1+Inputs!$D$54)*(1+Inputs!$D$55)^(Z$229-1)</f>
        <v>-35535</v>
      </c>
      <c r="AA330" s="65" t="n">
        <f aca="false">-AA323*Inputs!$D$39/12*1*(1+Inputs!$D$54)*(1+Inputs!$D$55)^(AA$229-1)</f>
        <v>-43921.26</v>
      </c>
      <c r="AB330" s="65" t="n">
        <f aca="false">-AB323*Inputs!$D$39/12*1*(1+Inputs!$D$54)*(1+Inputs!$D$55)^(AB$229-1)</f>
        <v>-43921.26</v>
      </c>
      <c r="AC330" s="65" t="n">
        <f aca="false">-AC323*Inputs!$D$39/12*1*(1+Inputs!$D$54)*(1+Inputs!$D$55)^(AC$229-1)</f>
        <v>-43921.26</v>
      </c>
      <c r="AD330" s="65" t="n">
        <f aca="false">-AD323*Inputs!$D$39/12*1*(1+Inputs!$D$54)*(1+Inputs!$D$55)^(AD$229-1)</f>
        <v>-43921.26</v>
      </c>
      <c r="AE330" s="65" t="n">
        <f aca="false">-AE323*Inputs!$D$39/12*1*(1+Inputs!$D$54)*(1+Inputs!$D$55)^(AE$229-1)</f>
        <v>-43921.26</v>
      </c>
      <c r="AF330" s="65" t="n">
        <f aca="false">-AF323*Inputs!$D$39/12*1*(1+Inputs!$D$54)*(1+Inputs!$D$55)^(AF$229-1)</f>
        <v>-43921.26</v>
      </c>
      <c r="AG330" s="65" t="n">
        <f aca="false">-AG323*Inputs!$D$39/12*1*(1+Inputs!$D$54)*(1+Inputs!$D$55)^(AG$229-1)</f>
        <v>-43921.26</v>
      </c>
      <c r="AH330" s="65" t="n">
        <f aca="false">-AH323*Inputs!$D$39/12*1*(1+Inputs!$D$54)*(1+Inputs!$D$55)^(AH$229-1)</f>
        <v>-43921.26</v>
      </c>
      <c r="AI330" s="65" t="n">
        <f aca="false">-AI323*Inputs!$D$39/12*1*(1+Inputs!$D$54)*(1+Inputs!$D$55)^(AI$229-1)</f>
        <v>-43921.26</v>
      </c>
      <c r="AJ330" s="65" t="n">
        <f aca="false">-AJ323*Inputs!$D$39/12*1*(1+Inputs!$D$54)*(1+Inputs!$D$55)^(AJ$229-1)</f>
        <v>-43921.26</v>
      </c>
      <c r="AK330" s="65" t="n">
        <f aca="false">-AK323*Inputs!$D$39/12*1*(1+Inputs!$D$54)*(1+Inputs!$D$55)^(AK$229-1)</f>
        <v>-43921.26</v>
      </c>
      <c r="AL330" s="65" t="n">
        <f aca="false">-AL323*Inputs!$D$39/12*1*(1+Inputs!$D$54)*(1+Inputs!$D$55)^(AL$229-1)</f>
        <v>-43921.26</v>
      </c>
      <c r="AM330" s="65" t="n">
        <f aca="false">-AM323*Inputs!$D$39/12*1*(1+Inputs!$D$54)*(1+Inputs!$D$55)^(AM$229-1)</f>
        <v>-54286.67736</v>
      </c>
      <c r="AN330" s="65" t="n">
        <f aca="false">-AN323*Inputs!$D$39/12*1*(1+Inputs!$D$54)*(1+Inputs!$D$55)^(AN$229-1)</f>
        <v>-54286.67736</v>
      </c>
      <c r="AO330" s="65" t="n">
        <f aca="false">-AO323*Inputs!$D$39/12*1*(1+Inputs!$D$54)*(1+Inputs!$D$55)^(AO$229-1)</f>
        <v>-54286.67736</v>
      </c>
      <c r="AP330" s="65" t="n">
        <f aca="false">-AP323*Inputs!$D$39/12*1*(1+Inputs!$D$54)*(1+Inputs!$D$55)^(AP$229-1)</f>
        <v>-54286.67736</v>
      </c>
      <c r="AQ330" s="65" t="n">
        <f aca="false">-AQ323*Inputs!$D$39/12*1*(1+Inputs!$D$54)*(1+Inputs!$D$55)^(AQ$229-1)</f>
        <v>-54286.67736</v>
      </c>
      <c r="AR330" s="65" t="n">
        <f aca="false">-AR323*Inputs!$D$39/12*1*(1+Inputs!$D$54)*(1+Inputs!$D$55)^(AR$229-1)</f>
        <v>-54286.67736</v>
      </c>
      <c r="AS330" s="65" t="n">
        <f aca="false">-AS323*Inputs!$D$39/12*1*(1+Inputs!$D$54)*(1+Inputs!$D$55)^(AS$229-1)</f>
        <v>-54286.67736</v>
      </c>
      <c r="AT330" s="65" t="n">
        <f aca="false">-AT323*Inputs!$D$39/12*1*(1+Inputs!$D$54)*(1+Inputs!$D$55)^(AT$229-1)</f>
        <v>-54286.67736</v>
      </c>
      <c r="AU330" s="65" t="n">
        <f aca="false">-AU323*Inputs!$D$39/12*1*(1+Inputs!$D$54)*(1+Inputs!$D$55)^(AU$229-1)</f>
        <v>-54286.67736</v>
      </c>
      <c r="AV330" s="65" t="n">
        <f aca="false">-AV323*Inputs!$D$39/12*1*(1+Inputs!$D$54)*(1+Inputs!$D$55)^(AV$229-1)</f>
        <v>-54286.67736</v>
      </c>
      <c r="AW330" s="65" t="n">
        <f aca="false">-AW323*Inputs!$D$39/12*1*(1+Inputs!$D$54)*(1+Inputs!$D$55)^(AW$229-1)</f>
        <v>-54286.67736</v>
      </c>
      <c r="AX330" s="65" t="n">
        <f aca="false">-AX323*Inputs!$D$39/12*1*(1+Inputs!$D$54)*(1+Inputs!$D$55)^(AX$229-1)</f>
        <v>-54286.67736</v>
      </c>
      <c r="AY330" s="65" t="n">
        <f aca="false">-AY323*Inputs!$D$39/12*1*(1+Inputs!$D$54)*(1+Inputs!$D$55)^(AY$229-1)</f>
        <v>-67098.33321696</v>
      </c>
      <c r="AZ330" s="65" t="n">
        <f aca="false">-AZ323*Inputs!$D$39/12*1*(1+Inputs!$D$54)*(1+Inputs!$D$55)^(AZ$229-1)</f>
        <v>-67098.33321696</v>
      </c>
      <c r="BA330" s="65" t="n">
        <f aca="false">-BA323*Inputs!$D$39/12*1*(1+Inputs!$D$54)*(1+Inputs!$D$55)^(BA$229-1)</f>
        <v>-67098.33321696</v>
      </c>
      <c r="BB330" s="65" t="n">
        <f aca="false">-BB323*Inputs!$D$39/12*1*(1+Inputs!$D$54)*(1+Inputs!$D$55)^(BB$229-1)</f>
        <v>-67098.33321696</v>
      </c>
      <c r="BC330" s="65" t="n">
        <f aca="false">-BC323*Inputs!$D$39/12*1*(1+Inputs!$D$54)*(1+Inputs!$D$55)^(BC$229-1)</f>
        <v>-67098.33321696</v>
      </c>
      <c r="BD330" s="65" t="n">
        <f aca="false">-BD323*Inputs!$D$39/12*1*(1+Inputs!$D$54)*(1+Inputs!$D$55)^(BD$229-1)</f>
        <v>-67098.33321696</v>
      </c>
      <c r="BE330" s="65" t="n">
        <f aca="false">-BE323*Inputs!$D$39/12*1*(1+Inputs!$D$54)*(1+Inputs!$D$55)^(BE$229-1)</f>
        <v>-67098.33321696</v>
      </c>
      <c r="BF330" s="65" t="n">
        <f aca="false">-BF323*Inputs!$D$39/12*1*(1+Inputs!$D$54)*(1+Inputs!$D$55)^(BF$229-1)</f>
        <v>-67098.33321696</v>
      </c>
      <c r="BG330" s="65" t="n">
        <f aca="false">-BG323*Inputs!$D$39/12*1*(1+Inputs!$D$54)*(1+Inputs!$D$55)^(BG$229-1)</f>
        <v>-67098.33321696</v>
      </c>
      <c r="BH330" s="65" t="n">
        <f aca="false">-BH323*Inputs!$D$39/12*1*(1+Inputs!$D$54)*(1+Inputs!$D$55)^(BH$229-1)</f>
        <v>-67098.33321696</v>
      </c>
      <c r="BI330" s="65" t="n">
        <f aca="false">-BI323*Inputs!$D$39/12*1*(1+Inputs!$D$54)*(1+Inputs!$D$55)^(BI$229-1)</f>
        <v>-67098.33321696</v>
      </c>
      <c r="BJ330" s="65" t="n">
        <f aca="false">-BJ323*Inputs!$D$39/12*1*(1+Inputs!$D$54)*(1+Inputs!$D$55)^(BJ$229-1)</f>
        <v>-67098.33321696</v>
      </c>
    </row>
    <row r="331" customFormat="false" ht="15" hidden="false" customHeight="false" outlineLevel="0" collapsed="false">
      <c r="A331" s="6" t="s">
        <v>451</v>
      </c>
      <c r="C331" s="65" t="n">
        <f aca="false">-C324*Inputs!$D$43/12*1*(1+Inputs!$D$54)*(1+Inputs!$D$55)^(C$229-1)</f>
        <v>-26833.3333333333</v>
      </c>
      <c r="D331" s="65" t="n">
        <f aca="false">-D324*Inputs!$D$43/12*1*(1+Inputs!$D$54)*(1+Inputs!$D$55)^(D$229-1)</f>
        <v>-26833.3333333333</v>
      </c>
      <c r="E331" s="65" t="n">
        <f aca="false">-E324*Inputs!$D$43/12*1*(1+Inputs!$D$54)*(1+Inputs!$D$55)^(E$229-1)</f>
        <v>-26833.3333333333</v>
      </c>
      <c r="F331" s="65" t="n">
        <f aca="false">-F324*Inputs!$D$43/12*1*(1+Inputs!$D$54)*(1+Inputs!$D$55)^(F$229-1)</f>
        <v>-26833.3333333333</v>
      </c>
      <c r="G331" s="65" t="n">
        <f aca="false">-G324*Inputs!$D$43/12*1*(1+Inputs!$D$54)*(1+Inputs!$D$55)^(G$229-1)</f>
        <v>-26833.3333333333</v>
      </c>
      <c r="H331" s="65" t="n">
        <f aca="false">-H324*Inputs!$D$43/12*1*(1+Inputs!$D$54)*(1+Inputs!$D$55)^(H$229-1)</f>
        <v>-26833.3333333333</v>
      </c>
      <c r="I331" s="65" t="n">
        <f aca="false">-I324*Inputs!$D$43/12*1*(1+Inputs!$D$54)*(1+Inputs!$D$55)^(I$229-1)</f>
        <v>-26833.3333333333</v>
      </c>
      <c r="J331" s="65" t="n">
        <f aca="false">-J324*Inputs!$D$43/12*1*(1+Inputs!$D$54)*(1+Inputs!$D$55)^(J$229-1)</f>
        <v>-26833.3333333333</v>
      </c>
      <c r="K331" s="65" t="n">
        <f aca="false">-K324*Inputs!$D$43/12*1*(1+Inputs!$D$54)*(1+Inputs!$D$55)^(K$229-1)</f>
        <v>-26833.3333333333</v>
      </c>
      <c r="L331" s="65" t="n">
        <f aca="false">-L324*Inputs!$D$43/12*1*(1+Inputs!$D$54)*(1+Inputs!$D$55)^(L$229-1)</f>
        <v>-26833.3333333333</v>
      </c>
      <c r="M331" s="65" t="n">
        <f aca="false">-M324*Inputs!$D$43/12*1*(1+Inputs!$D$54)*(1+Inputs!$D$55)^(M$229-1)</f>
        <v>-26833.3333333333</v>
      </c>
      <c r="N331" s="65" t="n">
        <f aca="false">-N324*Inputs!$D$43/12*1*(1+Inputs!$D$54)*(1+Inputs!$D$55)^(N$229-1)</f>
        <v>-26833.3333333333</v>
      </c>
      <c r="O331" s="65" t="n">
        <f aca="false">-O324*Inputs!$D$43/12*1*(1+Inputs!$D$54)*(1+Inputs!$D$55)^(O$229-1)</f>
        <v>-33166</v>
      </c>
      <c r="P331" s="65" t="n">
        <f aca="false">-P324*Inputs!$D$43/12*1*(1+Inputs!$D$54)*(1+Inputs!$D$55)^(P$229-1)</f>
        <v>-33166</v>
      </c>
      <c r="Q331" s="65" t="n">
        <f aca="false">-Q324*Inputs!$D$43/12*1*(1+Inputs!$D$54)*(1+Inputs!$D$55)^(Q$229-1)</f>
        <v>-33166</v>
      </c>
      <c r="R331" s="65" t="n">
        <f aca="false">-R324*Inputs!$D$43/12*1*(1+Inputs!$D$54)*(1+Inputs!$D$55)^(R$229-1)</f>
        <v>-33166</v>
      </c>
      <c r="S331" s="65" t="n">
        <f aca="false">-S324*Inputs!$D$43/12*1*(1+Inputs!$D$54)*(1+Inputs!$D$55)^(S$229-1)</f>
        <v>-33166</v>
      </c>
      <c r="T331" s="65" t="n">
        <f aca="false">-T324*Inputs!$D$43/12*1*(1+Inputs!$D$54)*(1+Inputs!$D$55)^(T$229-1)</f>
        <v>-33166</v>
      </c>
      <c r="U331" s="65" t="n">
        <f aca="false">-U324*Inputs!$D$43/12*1*(1+Inputs!$D$54)*(1+Inputs!$D$55)^(U$229-1)</f>
        <v>-33166</v>
      </c>
      <c r="V331" s="65" t="n">
        <f aca="false">-V324*Inputs!$D$43/12*1*(1+Inputs!$D$54)*(1+Inputs!$D$55)^(V$229-1)</f>
        <v>-33166</v>
      </c>
      <c r="W331" s="65" t="n">
        <f aca="false">-W324*Inputs!$D$43/12*1*(1+Inputs!$D$54)*(1+Inputs!$D$55)^(W$229-1)</f>
        <v>-33166</v>
      </c>
      <c r="X331" s="65" t="n">
        <f aca="false">-X324*Inputs!$D$43/12*1*(1+Inputs!$D$54)*(1+Inputs!$D$55)^(X$229-1)</f>
        <v>-33166</v>
      </c>
      <c r="Y331" s="65" t="n">
        <f aca="false">-Y324*Inputs!$D$43/12*1*(1+Inputs!$D$54)*(1+Inputs!$D$55)^(Y$229-1)</f>
        <v>-33166</v>
      </c>
      <c r="Z331" s="65" t="n">
        <f aca="false">-Z324*Inputs!$D$43/12*1*(1+Inputs!$D$54)*(1+Inputs!$D$55)^(Z$229-1)</f>
        <v>-33166</v>
      </c>
      <c r="AA331" s="65" t="n">
        <f aca="false">-AA324*Inputs!$D$43/12*1*(1+Inputs!$D$54)*(1+Inputs!$D$55)^(AA$229-1)</f>
        <v>-40993.176</v>
      </c>
      <c r="AB331" s="65" t="n">
        <f aca="false">-AB324*Inputs!$D$43/12*1*(1+Inputs!$D$54)*(1+Inputs!$D$55)^(AB$229-1)</f>
        <v>-40993.176</v>
      </c>
      <c r="AC331" s="65" t="n">
        <f aca="false">-AC324*Inputs!$D$43/12*1*(1+Inputs!$D$54)*(1+Inputs!$D$55)^(AC$229-1)</f>
        <v>-40993.176</v>
      </c>
      <c r="AD331" s="65" t="n">
        <f aca="false">-AD324*Inputs!$D$43/12*1*(1+Inputs!$D$54)*(1+Inputs!$D$55)^(AD$229-1)</f>
        <v>-40993.176</v>
      </c>
      <c r="AE331" s="65" t="n">
        <f aca="false">-AE324*Inputs!$D$43/12*1*(1+Inputs!$D$54)*(1+Inputs!$D$55)^(AE$229-1)</f>
        <v>-40993.176</v>
      </c>
      <c r="AF331" s="65" t="n">
        <f aca="false">-AF324*Inputs!$D$43/12*1*(1+Inputs!$D$54)*(1+Inputs!$D$55)^(AF$229-1)</f>
        <v>-40993.176</v>
      </c>
      <c r="AG331" s="65" t="n">
        <f aca="false">-AG324*Inputs!$D$43/12*1*(1+Inputs!$D$54)*(1+Inputs!$D$55)^(AG$229-1)</f>
        <v>-40993.176</v>
      </c>
      <c r="AH331" s="65" t="n">
        <f aca="false">-AH324*Inputs!$D$43/12*1*(1+Inputs!$D$54)*(1+Inputs!$D$55)^(AH$229-1)</f>
        <v>-40993.176</v>
      </c>
      <c r="AI331" s="65" t="n">
        <f aca="false">-AI324*Inputs!$D$43/12*1*(1+Inputs!$D$54)*(1+Inputs!$D$55)^(AI$229-1)</f>
        <v>-40993.176</v>
      </c>
      <c r="AJ331" s="65" t="n">
        <f aca="false">-AJ324*Inputs!$D$43/12*1*(1+Inputs!$D$54)*(1+Inputs!$D$55)^(AJ$229-1)</f>
        <v>-40993.176</v>
      </c>
      <c r="AK331" s="65" t="n">
        <f aca="false">-AK324*Inputs!$D$43/12*1*(1+Inputs!$D$54)*(1+Inputs!$D$55)^(AK$229-1)</f>
        <v>-40993.176</v>
      </c>
      <c r="AL331" s="65" t="n">
        <f aca="false">-AL324*Inputs!$D$43/12*1*(1+Inputs!$D$54)*(1+Inputs!$D$55)^(AL$229-1)</f>
        <v>-40993.176</v>
      </c>
      <c r="AM331" s="65" t="n">
        <f aca="false">-AM324*Inputs!$D$43/12*1*(1+Inputs!$D$54)*(1+Inputs!$D$55)^(AM$229-1)</f>
        <v>-50667.565536</v>
      </c>
      <c r="AN331" s="65" t="n">
        <f aca="false">-AN324*Inputs!$D$43/12*1*(1+Inputs!$D$54)*(1+Inputs!$D$55)^(AN$229-1)</f>
        <v>-50667.565536</v>
      </c>
      <c r="AO331" s="65" t="n">
        <f aca="false">-AO324*Inputs!$D$43/12*1*(1+Inputs!$D$54)*(1+Inputs!$D$55)^(AO$229-1)</f>
        <v>-50667.565536</v>
      </c>
      <c r="AP331" s="65" t="n">
        <f aca="false">-AP324*Inputs!$D$43/12*1*(1+Inputs!$D$54)*(1+Inputs!$D$55)^(AP$229-1)</f>
        <v>-50667.565536</v>
      </c>
      <c r="AQ331" s="65" t="n">
        <f aca="false">-AQ324*Inputs!$D$43/12*1*(1+Inputs!$D$54)*(1+Inputs!$D$55)^(AQ$229-1)</f>
        <v>-50667.565536</v>
      </c>
      <c r="AR331" s="65" t="n">
        <f aca="false">-AR324*Inputs!$D$43/12*1*(1+Inputs!$D$54)*(1+Inputs!$D$55)^(AR$229-1)</f>
        <v>-50667.565536</v>
      </c>
      <c r="AS331" s="65" t="n">
        <f aca="false">-AS324*Inputs!$D$43/12*1*(1+Inputs!$D$54)*(1+Inputs!$D$55)^(AS$229-1)</f>
        <v>-50667.565536</v>
      </c>
      <c r="AT331" s="65" t="n">
        <f aca="false">-AT324*Inputs!$D$43/12*1*(1+Inputs!$D$54)*(1+Inputs!$D$55)^(AT$229-1)</f>
        <v>-50667.565536</v>
      </c>
      <c r="AU331" s="65" t="n">
        <f aca="false">-AU324*Inputs!$D$43/12*1*(1+Inputs!$D$54)*(1+Inputs!$D$55)^(AU$229-1)</f>
        <v>-50667.565536</v>
      </c>
      <c r="AV331" s="65" t="n">
        <f aca="false">-AV324*Inputs!$D$43/12*1*(1+Inputs!$D$54)*(1+Inputs!$D$55)^(AV$229-1)</f>
        <v>-50667.565536</v>
      </c>
      <c r="AW331" s="65" t="n">
        <f aca="false">-AW324*Inputs!$D$43/12*1*(1+Inputs!$D$54)*(1+Inputs!$D$55)^(AW$229-1)</f>
        <v>-50667.565536</v>
      </c>
      <c r="AX331" s="65" t="n">
        <f aca="false">-AX324*Inputs!$D$43/12*1*(1+Inputs!$D$54)*(1+Inputs!$D$55)^(AX$229-1)</f>
        <v>-50667.565536</v>
      </c>
      <c r="AY331" s="65" t="n">
        <f aca="false">-AY324*Inputs!$D$43/12*1*(1+Inputs!$D$54)*(1+Inputs!$D$55)^(AY$229-1)</f>
        <v>-62625.111002496</v>
      </c>
      <c r="AZ331" s="65" t="n">
        <f aca="false">-AZ324*Inputs!$D$43/12*1*(1+Inputs!$D$54)*(1+Inputs!$D$55)^(AZ$229-1)</f>
        <v>-62625.111002496</v>
      </c>
      <c r="BA331" s="65" t="n">
        <f aca="false">-BA324*Inputs!$D$43/12*1*(1+Inputs!$D$54)*(1+Inputs!$D$55)^(BA$229-1)</f>
        <v>-62625.111002496</v>
      </c>
      <c r="BB331" s="65" t="n">
        <f aca="false">-BB324*Inputs!$D$43/12*1*(1+Inputs!$D$54)*(1+Inputs!$D$55)^(BB$229-1)</f>
        <v>-62625.111002496</v>
      </c>
      <c r="BC331" s="65" t="n">
        <f aca="false">-BC324*Inputs!$D$43/12*1*(1+Inputs!$D$54)*(1+Inputs!$D$55)^(BC$229-1)</f>
        <v>-62625.111002496</v>
      </c>
      <c r="BD331" s="65" t="n">
        <f aca="false">-BD324*Inputs!$D$43/12*1*(1+Inputs!$D$54)*(1+Inputs!$D$55)^(BD$229-1)</f>
        <v>-62625.111002496</v>
      </c>
      <c r="BE331" s="65" t="n">
        <f aca="false">-BE324*Inputs!$D$43/12*1*(1+Inputs!$D$54)*(1+Inputs!$D$55)^(BE$229-1)</f>
        <v>-62625.111002496</v>
      </c>
      <c r="BF331" s="65" t="n">
        <f aca="false">-BF324*Inputs!$D$43/12*1*(1+Inputs!$D$54)*(1+Inputs!$D$55)^(BF$229-1)</f>
        <v>-62625.111002496</v>
      </c>
      <c r="BG331" s="65" t="n">
        <f aca="false">-BG324*Inputs!$D$43/12*1*(1+Inputs!$D$54)*(1+Inputs!$D$55)^(BG$229-1)</f>
        <v>-62625.111002496</v>
      </c>
      <c r="BH331" s="65" t="n">
        <f aca="false">-BH324*Inputs!$D$43/12*1*(1+Inputs!$D$54)*(1+Inputs!$D$55)^(BH$229-1)</f>
        <v>-62625.111002496</v>
      </c>
      <c r="BI331" s="65" t="n">
        <f aca="false">-BI324*Inputs!$D$43/12*1*(1+Inputs!$D$54)*(1+Inputs!$D$55)^(BI$229-1)</f>
        <v>-62625.111002496</v>
      </c>
      <c r="BJ331" s="65" t="n">
        <f aca="false">-BJ324*Inputs!$D$43/12*1*(1+Inputs!$D$54)*(1+Inputs!$D$55)^(BJ$229-1)</f>
        <v>-62625.111002496</v>
      </c>
    </row>
    <row r="332" customFormat="false" ht="15" hidden="false" customHeight="false" outlineLevel="0" collapsed="false">
      <c r="A332" s="6" t="s">
        <v>452</v>
      </c>
      <c r="C332" s="65" t="n">
        <f aca="false">-C325*Inputs!$D$47/12*1*(1+Inputs!$D$54)*(1+Inputs!$D$55)^(C$229-1)</f>
        <v>-29133.3333333333</v>
      </c>
      <c r="D332" s="65" t="n">
        <f aca="false">-D325*Inputs!$D$47/12*1*(1+Inputs!$D$54)*(1+Inputs!$D$55)^(D$229-1)</f>
        <v>-29133.3333333333</v>
      </c>
      <c r="E332" s="65" t="n">
        <f aca="false">-E325*Inputs!$D$47/12*1*(1+Inputs!$D$54)*(1+Inputs!$D$55)^(E$229-1)</f>
        <v>-29133.3333333333</v>
      </c>
      <c r="F332" s="65" t="n">
        <f aca="false">-F325*Inputs!$D$47/12*1*(1+Inputs!$D$54)*(1+Inputs!$D$55)^(F$229-1)</f>
        <v>-29133.3333333333</v>
      </c>
      <c r="G332" s="65" t="n">
        <f aca="false">-G325*Inputs!$D$47/12*1*(1+Inputs!$D$54)*(1+Inputs!$D$55)^(G$229-1)</f>
        <v>-29133.3333333333</v>
      </c>
      <c r="H332" s="65" t="n">
        <f aca="false">-H325*Inputs!$D$47/12*1*(1+Inputs!$D$54)*(1+Inputs!$D$55)^(H$229-1)</f>
        <v>-29133.3333333333</v>
      </c>
      <c r="I332" s="65" t="n">
        <f aca="false">-I325*Inputs!$D$47/12*1*(1+Inputs!$D$54)*(1+Inputs!$D$55)^(I$229-1)</f>
        <v>-29133.3333333333</v>
      </c>
      <c r="J332" s="65" t="n">
        <f aca="false">-J325*Inputs!$D$47/12*1*(1+Inputs!$D$54)*(1+Inputs!$D$55)^(J$229-1)</f>
        <v>-29133.3333333333</v>
      </c>
      <c r="K332" s="65" t="n">
        <f aca="false">-K325*Inputs!$D$47/12*1*(1+Inputs!$D$54)*(1+Inputs!$D$55)^(K$229-1)</f>
        <v>-29133.3333333333</v>
      </c>
      <c r="L332" s="65" t="n">
        <f aca="false">-L325*Inputs!$D$47/12*1*(1+Inputs!$D$54)*(1+Inputs!$D$55)^(L$229-1)</f>
        <v>-29133.3333333333</v>
      </c>
      <c r="M332" s="65" t="n">
        <f aca="false">-M325*Inputs!$D$47/12*1*(1+Inputs!$D$54)*(1+Inputs!$D$55)^(M$229-1)</f>
        <v>-29133.3333333333</v>
      </c>
      <c r="N332" s="65" t="n">
        <f aca="false">-N325*Inputs!$D$47/12*1*(1+Inputs!$D$54)*(1+Inputs!$D$55)^(N$229-1)</f>
        <v>-29133.3333333333</v>
      </c>
      <c r="O332" s="65" t="n">
        <f aca="false">-O325*Inputs!$D$47/12*1*(1+Inputs!$D$54)*(1+Inputs!$D$55)^(O$229-1)</f>
        <v>-39009.5333333333</v>
      </c>
      <c r="P332" s="65" t="n">
        <f aca="false">-P325*Inputs!$D$47/12*1*(1+Inputs!$D$54)*(1+Inputs!$D$55)^(P$229-1)</f>
        <v>-39009.5333333333</v>
      </c>
      <c r="Q332" s="65" t="n">
        <f aca="false">-Q325*Inputs!$D$47/12*1*(1+Inputs!$D$54)*(1+Inputs!$D$55)^(Q$229-1)</f>
        <v>-39009.5333333333</v>
      </c>
      <c r="R332" s="65" t="n">
        <f aca="false">-R325*Inputs!$D$47/12*1*(1+Inputs!$D$54)*(1+Inputs!$D$55)^(R$229-1)</f>
        <v>-39009.5333333333</v>
      </c>
      <c r="S332" s="65" t="n">
        <f aca="false">-S325*Inputs!$D$47/12*1*(1+Inputs!$D$54)*(1+Inputs!$D$55)^(S$229-1)</f>
        <v>-39009.5333333333</v>
      </c>
      <c r="T332" s="65" t="n">
        <f aca="false">-T325*Inputs!$D$47/12*1*(1+Inputs!$D$54)*(1+Inputs!$D$55)^(T$229-1)</f>
        <v>-39009.5333333333</v>
      </c>
      <c r="U332" s="65" t="n">
        <f aca="false">-U325*Inputs!$D$47/12*1*(1+Inputs!$D$54)*(1+Inputs!$D$55)^(U$229-1)</f>
        <v>-39009.5333333333</v>
      </c>
      <c r="V332" s="65" t="n">
        <f aca="false">-V325*Inputs!$D$47/12*1*(1+Inputs!$D$54)*(1+Inputs!$D$55)^(V$229-1)</f>
        <v>-39009.5333333333</v>
      </c>
      <c r="W332" s="65" t="n">
        <f aca="false">-W325*Inputs!$D$47/12*1*(1+Inputs!$D$54)*(1+Inputs!$D$55)^(W$229-1)</f>
        <v>-39009.5333333333</v>
      </c>
      <c r="X332" s="65" t="n">
        <f aca="false">-X325*Inputs!$D$47/12*1*(1+Inputs!$D$54)*(1+Inputs!$D$55)^(X$229-1)</f>
        <v>-39009.5333333333</v>
      </c>
      <c r="Y332" s="65" t="n">
        <f aca="false">-Y325*Inputs!$D$47/12*1*(1+Inputs!$D$54)*(1+Inputs!$D$55)^(Y$229-1)</f>
        <v>-39009.5333333333</v>
      </c>
      <c r="Z332" s="65" t="n">
        <f aca="false">-Z325*Inputs!$D$47/12*1*(1+Inputs!$D$54)*(1+Inputs!$D$55)^(Z$229-1)</f>
        <v>-39009.5333333333</v>
      </c>
      <c r="AA332" s="65" t="n">
        <f aca="false">-AA325*Inputs!$D$47/12*1*(1+Inputs!$D$54)*(1+Inputs!$D$55)^(AA$229-1)</f>
        <v>-52233.7651333333</v>
      </c>
      <c r="AB332" s="65" t="n">
        <f aca="false">-AB325*Inputs!$D$47/12*1*(1+Inputs!$D$54)*(1+Inputs!$D$55)^(AB$229-1)</f>
        <v>-52233.7651333333</v>
      </c>
      <c r="AC332" s="65" t="n">
        <f aca="false">-AC325*Inputs!$D$47/12*1*(1+Inputs!$D$54)*(1+Inputs!$D$55)^(AC$229-1)</f>
        <v>-52233.7651333333</v>
      </c>
      <c r="AD332" s="65" t="n">
        <f aca="false">-AD325*Inputs!$D$47/12*1*(1+Inputs!$D$54)*(1+Inputs!$D$55)^(AD$229-1)</f>
        <v>-52233.7651333333</v>
      </c>
      <c r="AE332" s="65" t="n">
        <f aca="false">-AE325*Inputs!$D$47/12*1*(1+Inputs!$D$54)*(1+Inputs!$D$55)^(AE$229-1)</f>
        <v>-52233.7651333333</v>
      </c>
      <c r="AF332" s="65" t="n">
        <f aca="false">-AF325*Inputs!$D$47/12*1*(1+Inputs!$D$54)*(1+Inputs!$D$55)^(AF$229-1)</f>
        <v>-52233.7651333333</v>
      </c>
      <c r="AG332" s="65" t="n">
        <f aca="false">-AG325*Inputs!$D$47/12*1*(1+Inputs!$D$54)*(1+Inputs!$D$55)^(AG$229-1)</f>
        <v>-52233.7651333333</v>
      </c>
      <c r="AH332" s="65" t="n">
        <f aca="false">-AH325*Inputs!$D$47/12*1*(1+Inputs!$D$54)*(1+Inputs!$D$55)^(AH$229-1)</f>
        <v>-52233.7651333333</v>
      </c>
      <c r="AI332" s="65" t="n">
        <f aca="false">-AI325*Inputs!$D$47/12*1*(1+Inputs!$D$54)*(1+Inputs!$D$55)^(AI$229-1)</f>
        <v>-52233.7651333333</v>
      </c>
      <c r="AJ332" s="65" t="n">
        <f aca="false">-AJ325*Inputs!$D$47/12*1*(1+Inputs!$D$54)*(1+Inputs!$D$55)^(AJ$229-1)</f>
        <v>-52233.7651333333</v>
      </c>
      <c r="AK332" s="65" t="n">
        <f aca="false">-AK325*Inputs!$D$47/12*1*(1+Inputs!$D$54)*(1+Inputs!$D$55)^(AK$229-1)</f>
        <v>-52233.7651333333</v>
      </c>
      <c r="AL332" s="65" t="n">
        <f aca="false">-AL325*Inputs!$D$47/12*1*(1+Inputs!$D$54)*(1+Inputs!$D$55)^(AL$229-1)</f>
        <v>-52233.7651333333</v>
      </c>
      <c r="AM332" s="65" t="n">
        <f aca="false">-AM325*Inputs!$D$47/12*1*(1+Inputs!$D$54)*(1+Inputs!$D$55)^(AM$229-1)</f>
        <v>-69941.0115135333</v>
      </c>
      <c r="AN332" s="65" t="n">
        <f aca="false">-AN325*Inputs!$D$47/12*1*(1+Inputs!$D$54)*(1+Inputs!$D$55)^(AN$229-1)</f>
        <v>-69941.0115135333</v>
      </c>
      <c r="AO332" s="65" t="n">
        <f aca="false">-AO325*Inputs!$D$47/12*1*(1+Inputs!$D$54)*(1+Inputs!$D$55)^(AO$229-1)</f>
        <v>-69941.0115135333</v>
      </c>
      <c r="AP332" s="65" t="n">
        <f aca="false">-AP325*Inputs!$D$47/12*1*(1+Inputs!$D$54)*(1+Inputs!$D$55)^(AP$229-1)</f>
        <v>-69941.0115135333</v>
      </c>
      <c r="AQ332" s="65" t="n">
        <f aca="false">-AQ325*Inputs!$D$47/12*1*(1+Inputs!$D$54)*(1+Inputs!$D$55)^(AQ$229-1)</f>
        <v>-69941.0115135333</v>
      </c>
      <c r="AR332" s="65" t="n">
        <f aca="false">-AR325*Inputs!$D$47/12*1*(1+Inputs!$D$54)*(1+Inputs!$D$55)^(AR$229-1)</f>
        <v>-69941.0115135333</v>
      </c>
      <c r="AS332" s="65" t="n">
        <f aca="false">-AS325*Inputs!$D$47/12*1*(1+Inputs!$D$54)*(1+Inputs!$D$55)^(AS$229-1)</f>
        <v>-69941.0115135333</v>
      </c>
      <c r="AT332" s="65" t="n">
        <f aca="false">-AT325*Inputs!$D$47/12*1*(1+Inputs!$D$54)*(1+Inputs!$D$55)^(AT$229-1)</f>
        <v>-69941.0115135333</v>
      </c>
      <c r="AU332" s="65" t="n">
        <f aca="false">-AU325*Inputs!$D$47/12*1*(1+Inputs!$D$54)*(1+Inputs!$D$55)^(AU$229-1)</f>
        <v>-69941.0115135333</v>
      </c>
      <c r="AV332" s="65" t="n">
        <f aca="false">-AV325*Inputs!$D$47/12*1*(1+Inputs!$D$54)*(1+Inputs!$D$55)^(AV$229-1)</f>
        <v>-69941.0115135333</v>
      </c>
      <c r="AW332" s="65" t="n">
        <f aca="false">-AW325*Inputs!$D$47/12*1*(1+Inputs!$D$54)*(1+Inputs!$D$55)^(AW$229-1)</f>
        <v>-69941.0115135333</v>
      </c>
      <c r="AX332" s="65" t="n">
        <f aca="false">-AX325*Inputs!$D$47/12*1*(1+Inputs!$D$54)*(1+Inputs!$D$55)^(AX$229-1)</f>
        <v>-69941.0115135333</v>
      </c>
      <c r="AY332" s="65" t="n">
        <f aca="false">-AY325*Inputs!$D$47/12*1*(1+Inputs!$D$54)*(1+Inputs!$D$55)^(AY$229-1)</f>
        <v>-93651.0144166211</v>
      </c>
      <c r="AZ332" s="65" t="n">
        <f aca="false">-AZ325*Inputs!$D$47/12*1*(1+Inputs!$D$54)*(1+Inputs!$D$55)^(AZ$229-1)</f>
        <v>-93651.0144166211</v>
      </c>
      <c r="BA332" s="65" t="n">
        <f aca="false">-BA325*Inputs!$D$47/12*1*(1+Inputs!$D$54)*(1+Inputs!$D$55)^(BA$229-1)</f>
        <v>-93651.0144166211</v>
      </c>
      <c r="BB332" s="65" t="n">
        <f aca="false">-BB325*Inputs!$D$47/12*1*(1+Inputs!$D$54)*(1+Inputs!$D$55)^(BB$229-1)</f>
        <v>-93651.0144166211</v>
      </c>
      <c r="BC332" s="65" t="n">
        <f aca="false">-BC325*Inputs!$D$47/12*1*(1+Inputs!$D$54)*(1+Inputs!$D$55)^(BC$229-1)</f>
        <v>-93651.0144166211</v>
      </c>
      <c r="BD332" s="65" t="n">
        <f aca="false">-BD325*Inputs!$D$47/12*1*(1+Inputs!$D$54)*(1+Inputs!$D$55)^(BD$229-1)</f>
        <v>-93651.0144166211</v>
      </c>
      <c r="BE332" s="65" t="n">
        <f aca="false">-BE325*Inputs!$D$47/12*1*(1+Inputs!$D$54)*(1+Inputs!$D$55)^(BE$229-1)</f>
        <v>-93651.0144166211</v>
      </c>
      <c r="BF332" s="65" t="n">
        <f aca="false">-BF325*Inputs!$D$47/12*1*(1+Inputs!$D$54)*(1+Inputs!$D$55)^(BF$229-1)</f>
        <v>-93651.0144166211</v>
      </c>
      <c r="BG332" s="65" t="n">
        <f aca="false">-BG325*Inputs!$D$47/12*1*(1+Inputs!$D$54)*(1+Inputs!$D$55)^(BG$229-1)</f>
        <v>-93651.0144166211</v>
      </c>
      <c r="BH332" s="65" t="n">
        <f aca="false">-BH325*Inputs!$D$47/12*1*(1+Inputs!$D$54)*(1+Inputs!$D$55)^(BH$229-1)</f>
        <v>-93651.0144166211</v>
      </c>
      <c r="BI332" s="65" t="n">
        <f aca="false">-BI325*Inputs!$D$47/12*1*(1+Inputs!$D$54)*(1+Inputs!$D$55)^(BI$229-1)</f>
        <v>-93651.0144166211</v>
      </c>
      <c r="BJ332" s="65" t="n">
        <f aca="false">-BJ325*Inputs!$D$47/12*1*(1+Inputs!$D$54)*(1+Inputs!$D$55)^(BJ$229-1)</f>
        <v>-93651.0144166211</v>
      </c>
    </row>
    <row r="333" customFormat="false" ht="15" hidden="false" customHeight="false" outlineLevel="0" collapsed="false">
      <c r="A333" s="6" t="s">
        <v>453</v>
      </c>
      <c r="C333" s="65" t="n">
        <f aca="false">-C326*Inputs!$D$51/12*1*(1+Inputs!$D$54)*(1+Inputs!$D$55)^(C$229-1)</f>
        <v>-20125</v>
      </c>
      <c r="D333" s="65" t="n">
        <f aca="false">-D326*Inputs!$D$51/12*1*(1+Inputs!$D$54)*(1+Inputs!$D$55)^(D$229-1)</f>
        <v>-20125</v>
      </c>
      <c r="E333" s="65" t="n">
        <f aca="false">-E326*Inputs!$D$51/12*1*(1+Inputs!$D$54)*(1+Inputs!$D$55)^(E$229-1)</f>
        <v>-20125</v>
      </c>
      <c r="F333" s="65" t="n">
        <f aca="false">-F326*Inputs!$D$51/12*1*(1+Inputs!$D$54)*(1+Inputs!$D$55)^(F$229-1)</f>
        <v>-20125</v>
      </c>
      <c r="G333" s="65" t="n">
        <f aca="false">-G326*Inputs!$D$51/12*1*(1+Inputs!$D$54)*(1+Inputs!$D$55)^(G$229-1)</f>
        <v>-20125</v>
      </c>
      <c r="H333" s="65" t="n">
        <f aca="false">-H326*Inputs!$D$51/12*1*(1+Inputs!$D$54)*(1+Inputs!$D$55)^(H$229-1)</f>
        <v>-20125</v>
      </c>
      <c r="I333" s="65" t="n">
        <f aca="false">-I326*Inputs!$D$51/12*1*(1+Inputs!$D$54)*(1+Inputs!$D$55)^(I$229-1)</f>
        <v>-20125</v>
      </c>
      <c r="J333" s="65" t="n">
        <f aca="false">-J326*Inputs!$D$51/12*1*(1+Inputs!$D$54)*(1+Inputs!$D$55)^(J$229-1)</f>
        <v>-20125</v>
      </c>
      <c r="K333" s="65" t="n">
        <f aca="false">-K326*Inputs!$D$51/12*1*(1+Inputs!$D$54)*(1+Inputs!$D$55)^(K$229-1)</f>
        <v>-20125</v>
      </c>
      <c r="L333" s="65" t="n">
        <f aca="false">-L326*Inputs!$D$51/12*1*(1+Inputs!$D$54)*(1+Inputs!$D$55)^(L$229-1)</f>
        <v>-20125</v>
      </c>
      <c r="M333" s="65" t="n">
        <f aca="false">-M326*Inputs!$D$51/12*1*(1+Inputs!$D$54)*(1+Inputs!$D$55)^(M$229-1)</f>
        <v>-20125</v>
      </c>
      <c r="N333" s="65" t="n">
        <f aca="false">-N326*Inputs!$D$51/12*1*(1+Inputs!$D$54)*(1+Inputs!$D$55)^(N$229-1)</f>
        <v>-20125</v>
      </c>
      <c r="O333" s="65" t="n">
        <f aca="false">-O326*Inputs!$D$51/12*1*(1+Inputs!$D$54)*(1+Inputs!$D$55)^(O$229-1)</f>
        <v>-23838.0625</v>
      </c>
      <c r="P333" s="65" t="n">
        <f aca="false">-P326*Inputs!$D$51/12*1*(1+Inputs!$D$54)*(1+Inputs!$D$55)^(P$229-1)</f>
        <v>-23838.0625</v>
      </c>
      <c r="Q333" s="65" t="n">
        <f aca="false">-Q326*Inputs!$D$51/12*1*(1+Inputs!$D$54)*(1+Inputs!$D$55)^(Q$229-1)</f>
        <v>-23838.0625</v>
      </c>
      <c r="R333" s="65" t="n">
        <f aca="false">-R326*Inputs!$D$51/12*1*(1+Inputs!$D$54)*(1+Inputs!$D$55)^(R$229-1)</f>
        <v>-23838.0625</v>
      </c>
      <c r="S333" s="65" t="n">
        <f aca="false">-S326*Inputs!$D$51/12*1*(1+Inputs!$D$54)*(1+Inputs!$D$55)^(S$229-1)</f>
        <v>-23838.0625</v>
      </c>
      <c r="T333" s="65" t="n">
        <f aca="false">-T326*Inputs!$D$51/12*1*(1+Inputs!$D$54)*(1+Inputs!$D$55)^(T$229-1)</f>
        <v>-23838.0625</v>
      </c>
      <c r="U333" s="65" t="n">
        <f aca="false">-U326*Inputs!$D$51/12*1*(1+Inputs!$D$54)*(1+Inputs!$D$55)^(U$229-1)</f>
        <v>-23838.0625</v>
      </c>
      <c r="V333" s="65" t="n">
        <f aca="false">-V326*Inputs!$D$51/12*1*(1+Inputs!$D$54)*(1+Inputs!$D$55)^(V$229-1)</f>
        <v>-23838.0625</v>
      </c>
      <c r="W333" s="65" t="n">
        <f aca="false">-W326*Inputs!$D$51/12*1*(1+Inputs!$D$54)*(1+Inputs!$D$55)^(W$229-1)</f>
        <v>-23838.0625</v>
      </c>
      <c r="X333" s="65" t="n">
        <f aca="false">-X326*Inputs!$D$51/12*1*(1+Inputs!$D$54)*(1+Inputs!$D$55)^(X$229-1)</f>
        <v>-23838.0625</v>
      </c>
      <c r="Y333" s="65" t="n">
        <f aca="false">-Y326*Inputs!$D$51/12*1*(1+Inputs!$D$54)*(1+Inputs!$D$55)^(Y$229-1)</f>
        <v>-23838.0625</v>
      </c>
      <c r="Z333" s="65" t="n">
        <f aca="false">-Z326*Inputs!$D$51/12*1*(1+Inputs!$D$54)*(1+Inputs!$D$55)^(Z$229-1)</f>
        <v>-23838.0625</v>
      </c>
      <c r="AA333" s="65" t="n">
        <f aca="false">-AA326*Inputs!$D$51/12*1*(1+Inputs!$D$54)*(1+Inputs!$D$55)^(AA$229-1)</f>
        <v>-28236.18503125</v>
      </c>
      <c r="AB333" s="65" t="n">
        <f aca="false">-AB326*Inputs!$D$51/12*1*(1+Inputs!$D$54)*(1+Inputs!$D$55)^(AB$229-1)</f>
        <v>-28236.18503125</v>
      </c>
      <c r="AC333" s="65" t="n">
        <f aca="false">-AC326*Inputs!$D$51/12*1*(1+Inputs!$D$54)*(1+Inputs!$D$55)^(AC$229-1)</f>
        <v>-28236.18503125</v>
      </c>
      <c r="AD333" s="65" t="n">
        <f aca="false">-AD326*Inputs!$D$51/12*1*(1+Inputs!$D$54)*(1+Inputs!$D$55)^(AD$229-1)</f>
        <v>-28236.18503125</v>
      </c>
      <c r="AE333" s="65" t="n">
        <f aca="false">-AE326*Inputs!$D$51/12*1*(1+Inputs!$D$54)*(1+Inputs!$D$55)^(AE$229-1)</f>
        <v>-28236.18503125</v>
      </c>
      <c r="AF333" s="65" t="n">
        <f aca="false">-AF326*Inputs!$D$51/12*1*(1+Inputs!$D$54)*(1+Inputs!$D$55)^(AF$229-1)</f>
        <v>-28236.18503125</v>
      </c>
      <c r="AG333" s="65" t="n">
        <f aca="false">-AG326*Inputs!$D$51/12*1*(1+Inputs!$D$54)*(1+Inputs!$D$55)^(AG$229-1)</f>
        <v>-28236.18503125</v>
      </c>
      <c r="AH333" s="65" t="n">
        <f aca="false">-AH326*Inputs!$D$51/12*1*(1+Inputs!$D$54)*(1+Inputs!$D$55)^(AH$229-1)</f>
        <v>-28236.18503125</v>
      </c>
      <c r="AI333" s="65" t="n">
        <f aca="false">-AI326*Inputs!$D$51/12*1*(1+Inputs!$D$54)*(1+Inputs!$D$55)^(AI$229-1)</f>
        <v>-28236.18503125</v>
      </c>
      <c r="AJ333" s="65" t="n">
        <f aca="false">-AJ326*Inputs!$D$51/12*1*(1+Inputs!$D$54)*(1+Inputs!$D$55)^(AJ$229-1)</f>
        <v>-28236.18503125</v>
      </c>
      <c r="AK333" s="65" t="n">
        <f aca="false">-AK326*Inputs!$D$51/12*1*(1+Inputs!$D$54)*(1+Inputs!$D$55)^(AK$229-1)</f>
        <v>-28236.18503125</v>
      </c>
      <c r="AL333" s="65" t="n">
        <f aca="false">-AL326*Inputs!$D$51/12*1*(1+Inputs!$D$54)*(1+Inputs!$D$55)^(AL$229-1)</f>
        <v>-28236.18503125</v>
      </c>
      <c r="AM333" s="65" t="n">
        <f aca="false">-AM326*Inputs!$D$51/12*1*(1+Inputs!$D$54)*(1+Inputs!$D$55)^(AM$229-1)</f>
        <v>-33445.7611695156</v>
      </c>
      <c r="AN333" s="65" t="n">
        <f aca="false">-AN326*Inputs!$D$51/12*1*(1+Inputs!$D$54)*(1+Inputs!$D$55)^(AN$229-1)</f>
        <v>-33445.7611695156</v>
      </c>
      <c r="AO333" s="65" t="n">
        <f aca="false">-AO326*Inputs!$D$51/12*1*(1+Inputs!$D$54)*(1+Inputs!$D$55)^(AO$229-1)</f>
        <v>-33445.7611695156</v>
      </c>
      <c r="AP333" s="65" t="n">
        <f aca="false">-AP326*Inputs!$D$51/12*1*(1+Inputs!$D$54)*(1+Inputs!$D$55)^(AP$229-1)</f>
        <v>-33445.7611695156</v>
      </c>
      <c r="AQ333" s="65" t="n">
        <f aca="false">-AQ326*Inputs!$D$51/12*1*(1+Inputs!$D$54)*(1+Inputs!$D$55)^(AQ$229-1)</f>
        <v>-33445.7611695156</v>
      </c>
      <c r="AR333" s="65" t="n">
        <f aca="false">-AR326*Inputs!$D$51/12*1*(1+Inputs!$D$54)*(1+Inputs!$D$55)^(AR$229-1)</f>
        <v>-33445.7611695156</v>
      </c>
      <c r="AS333" s="65" t="n">
        <f aca="false">-AS326*Inputs!$D$51/12*1*(1+Inputs!$D$54)*(1+Inputs!$D$55)^(AS$229-1)</f>
        <v>-33445.7611695156</v>
      </c>
      <c r="AT333" s="65" t="n">
        <f aca="false">-AT326*Inputs!$D$51/12*1*(1+Inputs!$D$54)*(1+Inputs!$D$55)^(AT$229-1)</f>
        <v>-33445.7611695156</v>
      </c>
      <c r="AU333" s="65" t="n">
        <f aca="false">-AU326*Inputs!$D$51/12*1*(1+Inputs!$D$54)*(1+Inputs!$D$55)^(AU$229-1)</f>
        <v>-33445.7611695156</v>
      </c>
      <c r="AV333" s="65" t="n">
        <f aca="false">-AV326*Inputs!$D$51/12*1*(1+Inputs!$D$54)*(1+Inputs!$D$55)^(AV$229-1)</f>
        <v>-33445.7611695156</v>
      </c>
      <c r="AW333" s="65" t="n">
        <f aca="false">-AW326*Inputs!$D$51/12*1*(1+Inputs!$D$54)*(1+Inputs!$D$55)^(AW$229-1)</f>
        <v>-33445.7611695156</v>
      </c>
      <c r="AX333" s="65" t="n">
        <f aca="false">-AX326*Inputs!$D$51/12*1*(1+Inputs!$D$54)*(1+Inputs!$D$55)^(AX$229-1)</f>
        <v>-33445.7611695156</v>
      </c>
      <c r="AY333" s="65" t="n">
        <f aca="false">-AY326*Inputs!$D$51/12*1*(1+Inputs!$D$54)*(1+Inputs!$D$55)^(AY$229-1)</f>
        <v>-39616.5041052912</v>
      </c>
      <c r="AZ333" s="65" t="n">
        <f aca="false">-AZ326*Inputs!$D$51/12*1*(1+Inputs!$D$54)*(1+Inputs!$D$55)^(AZ$229-1)</f>
        <v>-39616.5041052912</v>
      </c>
      <c r="BA333" s="65" t="n">
        <f aca="false">-BA326*Inputs!$D$51/12*1*(1+Inputs!$D$54)*(1+Inputs!$D$55)^(BA$229-1)</f>
        <v>-39616.5041052912</v>
      </c>
      <c r="BB333" s="65" t="n">
        <f aca="false">-BB326*Inputs!$D$51/12*1*(1+Inputs!$D$54)*(1+Inputs!$D$55)^(BB$229-1)</f>
        <v>-39616.5041052912</v>
      </c>
      <c r="BC333" s="65" t="n">
        <f aca="false">-BC326*Inputs!$D$51/12*1*(1+Inputs!$D$54)*(1+Inputs!$D$55)^(BC$229-1)</f>
        <v>-39616.5041052912</v>
      </c>
      <c r="BD333" s="65" t="n">
        <f aca="false">-BD326*Inputs!$D$51/12*1*(1+Inputs!$D$54)*(1+Inputs!$D$55)^(BD$229-1)</f>
        <v>-39616.5041052912</v>
      </c>
      <c r="BE333" s="65" t="n">
        <f aca="false">-BE326*Inputs!$D$51/12*1*(1+Inputs!$D$54)*(1+Inputs!$D$55)^(BE$229-1)</f>
        <v>-39616.5041052912</v>
      </c>
      <c r="BF333" s="65" t="n">
        <f aca="false">-BF326*Inputs!$D$51/12*1*(1+Inputs!$D$54)*(1+Inputs!$D$55)^(BF$229-1)</f>
        <v>-39616.5041052912</v>
      </c>
      <c r="BG333" s="65" t="n">
        <f aca="false">-BG326*Inputs!$D$51/12*1*(1+Inputs!$D$54)*(1+Inputs!$D$55)^(BG$229-1)</f>
        <v>-39616.5041052912</v>
      </c>
      <c r="BH333" s="65" t="n">
        <f aca="false">-BH326*Inputs!$D$51/12*1*(1+Inputs!$D$54)*(1+Inputs!$D$55)^(BH$229-1)</f>
        <v>-39616.5041052912</v>
      </c>
      <c r="BI333" s="65" t="n">
        <f aca="false">-BI326*Inputs!$D$51/12*1*(1+Inputs!$D$54)*(1+Inputs!$D$55)^(BI$229-1)</f>
        <v>-39616.5041052912</v>
      </c>
      <c r="BJ333" s="65" t="n">
        <f aca="false">-BJ326*Inputs!$D$51/12*1*(1+Inputs!$D$54)*(1+Inputs!$D$55)^(BJ$229-1)</f>
        <v>-39616.5041052912</v>
      </c>
    </row>
    <row r="334" customFormat="false" ht="15" hidden="false" customHeight="false" outlineLevel="0" collapsed="false">
      <c r="A334" s="110" t="s">
        <v>454</v>
      </c>
      <c r="C334" s="66" t="n">
        <f aca="false">C330+C331+C332+C333</f>
        <v>-104841.666666667</v>
      </c>
      <c r="D334" s="66" t="n">
        <f aca="false">D330+D331+D332+D333</f>
        <v>-104841.666666667</v>
      </c>
      <c r="E334" s="66" t="n">
        <f aca="false">E330+E331+E332+E333</f>
        <v>-104841.666666667</v>
      </c>
      <c r="F334" s="66" t="n">
        <f aca="false">F330+F331+F332+F333</f>
        <v>-104841.666666667</v>
      </c>
      <c r="G334" s="66" t="n">
        <f aca="false">G330+G331+G332+G333</f>
        <v>-104841.666666667</v>
      </c>
      <c r="H334" s="66" t="n">
        <f aca="false">H330+H331+H332+H333</f>
        <v>-104841.666666667</v>
      </c>
      <c r="I334" s="66" t="n">
        <f aca="false">I330+I331+I332+I333</f>
        <v>-104841.666666667</v>
      </c>
      <c r="J334" s="66" t="n">
        <f aca="false">J330+J331+J332+J333</f>
        <v>-104841.666666667</v>
      </c>
      <c r="K334" s="66" t="n">
        <f aca="false">K330+K331+K332+K333</f>
        <v>-104841.666666667</v>
      </c>
      <c r="L334" s="66" t="n">
        <f aca="false">L330+L331+L332+L333</f>
        <v>-104841.666666667</v>
      </c>
      <c r="M334" s="66" t="n">
        <f aca="false">M330+M331+M332+M333</f>
        <v>-104841.666666667</v>
      </c>
      <c r="N334" s="66" t="n">
        <f aca="false">N330+N331+N332+N333</f>
        <v>-104841.666666667</v>
      </c>
      <c r="O334" s="66" t="n">
        <f aca="false">O330+O331+O332+O333</f>
        <v>-131548.595833333</v>
      </c>
      <c r="P334" s="66" t="n">
        <f aca="false">P330+P331+P332+P333</f>
        <v>-131548.595833333</v>
      </c>
      <c r="Q334" s="66" t="n">
        <f aca="false">Q330+Q331+Q332+Q333</f>
        <v>-131548.595833333</v>
      </c>
      <c r="R334" s="66" t="n">
        <f aca="false">R330+R331+R332+R333</f>
        <v>-131548.595833333</v>
      </c>
      <c r="S334" s="66" t="n">
        <f aca="false">S330+S331+S332+S333</f>
        <v>-131548.595833333</v>
      </c>
      <c r="T334" s="66" t="n">
        <f aca="false">T330+T331+T332+T333</f>
        <v>-131548.595833333</v>
      </c>
      <c r="U334" s="66" t="n">
        <f aca="false">U330+U331+U332+U333</f>
        <v>-131548.595833333</v>
      </c>
      <c r="V334" s="66" t="n">
        <f aca="false">V330+V331+V332+V333</f>
        <v>-131548.595833333</v>
      </c>
      <c r="W334" s="66" t="n">
        <f aca="false">W330+W331+W332+W333</f>
        <v>-131548.595833333</v>
      </c>
      <c r="X334" s="66" t="n">
        <f aca="false">X330+X331+X332+X333</f>
        <v>-131548.595833333</v>
      </c>
      <c r="Y334" s="66" t="n">
        <f aca="false">Y330+Y331+Y332+Y333</f>
        <v>-131548.595833333</v>
      </c>
      <c r="Z334" s="66" t="n">
        <f aca="false">Z330+Z331+Z332+Z333</f>
        <v>-131548.595833333</v>
      </c>
      <c r="AA334" s="66" t="n">
        <f aca="false">AA330+AA331+AA332+AA333</f>
        <v>-165384.386164583</v>
      </c>
      <c r="AB334" s="66" t="n">
        <f aca="false">AB330+AB331+AB332+AB333</f>
        <v>-165384.386164583</v>
      </c>
      <c r="AC334" s="66" t="n">
        <f aca="false">AC330+AC331+AC332+AC333</f>
        <v>-165384.386164583</v>
      </c>
      <c r="AD334" s="66" t="n">
        <f aca="false">AD330+AD331+AD332+AD333</f>
        <v>-165384.386164583</v>
      </c>
      <c r="AE334" s="66" t="n">
        <f aca="false">AE330+AE331+AE332+AE333</f>
        <v>-165384.386164583</v>
      </c>
      <c r="AF334" s="66" t="n">
        <f aca="false">AF330+AF331+AF332+AF333</f>
        <v>-165384.386164583</v>
      </c>
      <c r="AG334" s="66" t="n">
        <f aca="false">AG330+AG331+AG332+AG333</f>
        <v>-165384.386164583</v>
      </c>
      <c r="AH334" s="66" t="n">
        <f aca="false">AH330+AH331+AH332+AH333</f>
        <v>-165384.386164583</v>
      </c>
      <c r="AI334" s="66" t="n">
        <f aca="false">AI330+AI331+AI332+AI333</f>
        <v>-165384.386164583</v>
      </c>
      <c r="AJ334" s="66" t="n">
        <f aca="false">AJ330+AJ331+AJ332+AJ333</f>
        <v>-165384.386164583</v>
      </c>
      <c r="AK334" s="66" t="n">
        <f aca="false">AK330+AK331+AK332+AK333</f>
        <v>-165384.386164583</v>
      </c>
      <c r="AL334" s="66" t="n">
        <f aca="false">AL330+AL331+AL332+AL333</f>
        <v>-165384.386164583</v>
      </c>
      <c r="AM334" s="66" t="n">
        <f aca="false">AM330+AM331+AM332+AM333</f>
        <v>-208341.015579049</v>
      </c>
      <c r="AN334" s="66" t="n">
        <f aca="false">AN330+AN331+AN332+AN333</f>
        <v>-208341.015579049</v>
      </c>
      <c r="AO334" s="66" t="n">
        <f aca="false">AO330+AO331+AO332+AO333</f>
        <v>-208341.015579049</v>
      </c>
      <c r="AP334" s="66" t="n">
        <f aca="false">AP330+AP331+AP332+AP333</f>
        <v>-208341.015579049</v>
      </c>
      <c r="AQ334" s="66" t="n">
        <f aca="false">AQ330+AQ331+AQ332+AQ333</f>
        <v>-208341.015579049</v>
      </c>
      <c r="AR334" s="66" t="n">
        <f aca="false">AR330+AR331+AR332+AR333</f>
        <v>-208341.015579049</v>
      </c>
      <c r="AS334" s="66" t="n">
        <f aca="false">AS330+AS331+AS332+AS333</f>
        <v>-208341.015579049</v>
      </c>
      <c r="AT334" s="66" t="n">
        <f aca="false">AT330+AT331+AT332+AT333</f>
        <v>-208341.015579049</v>
      </c>
      <c r="AU334" s="66" t="n">
        <f aca="false">AU330+AU331+AU332+AU333</f>
        <v>-208341.015579049</v>
      </c>
      <c r="AV334" s="66" t="n">
        <f aca="false">AV330+AV331+AV332+AV333</f>
        <v>-208341.015579049</v>
      </c>
      <c r="AW334" s="66" t="n">
        <f aca="false">AW330+AW331+AW332+AW333</f>
        <v>-208341.015579049</v>
      </c>
      <c r="AX334" s="66" t="n">
        <f aca="false">AX330+AX331+AX332+AX333</f>
        <v>-208341.015579049</v>
      </c>
      <c r="AY334" s="66" t="n">
        <f aca="false">AY330+AY331+AY332+AY333</f>
        <v>-262990.962741368</v>
      </c>
      <c r="AZ334" s="66" t="n">
        <f aca="false">AZ330+AZ331+AZ332+AZ333</f>
        <v>-262990.962741368</v>
      </c>
      <c r="BA334" s="66" t="n">
        <f aca="false">BA330+BA331+BA332+BA333</f>
        <v>-262990.962741368</v>
      </c>
      <c r="BB334" s="66" t="n">
        <f aca="false">BB330+BB331+BB332+BB333</f>
        <v>-262990.962741368</v>
      </c>
      <c r="BC334" s="66" t="n">
        <f aca="false">BC330+BC331+BC332+BC333</f>
        <v>-262990.962741368</v>
      </c>
      <c r="BD334" s="66" t="n">
        <f aca="false">BD330+BD331+BD332+BD333</f>
        <v>-262990.962741368</v>
      </c>
      <c r="BE334" s="66" t="n">
        <f aca="false">BE330+BE331+BE332+BE333</f>
        <v>-262990.962741368</v>
      </c>
      <c r="BF334" s="66" t="n">
        <f aca="false">BF330+BF331+BF332+BF333</f>
        <v>-262990.962741368</v>
      </c>
      <c r="BG334" s="66" t="n">
        <f aca="false">BG330+BG331+BG332+BG333</f>
        <v>-262990.962741368</v>
      </c>
      <c r="BH334" s="66" t="n">
        <f aca="false">BH330+BH331+BH332+BH333</f>
        <v>-262990.962741368</v>
      </c>
      <c r="BI334" s="66" t="n">
        <f aca="false">BI330+BI331+BI332+BI333</f>
        <v>-262990.962741368</v>
      </c>
      <c r="BJ334" s="66" t="n">
        <f aca="false">BJ330+BJ331+BJ332+BJ333</f>
        <v>-262990.962741368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460</v>
      </c>
    </row>
    <row r="3" customFormat="false" ht="15" hidden="false" customHeight="false" outlineLevel="0" collapsed="false">
      <c r="A3" s="33" t="s">
        <v>461</v>
      </c>
      <c r="B3" s="33" t="s">
        <v>462</v>
      </c>
      <c r="C3" s="33" t="s">
        <v>463</v>
      </c>
    </row>
    <row r="4" customFormat="false" ht="15" hidden="false" customHeight="false" outlineLevel="0" collapsed="false">
      <c r="A4" s="6" t="s">
        <v>464</v>
      </c>
      <c r="B4" s="4" t="str">
        <f aca="false">IF(ABS(SUM('P&amp;L'!$B$5:$F$5)-SUM(Monthly!$C$25:$BJ$25))&lt;0.5,"PASS","FAIL")</f>
        <v>PASS</v>
      </c>
      <c r="C4" s="18" t="s">
        <v>465</v>
      </c>
    </row>
    <row r="5" customFormat="false" ht="15" hidden="false" customHeight="false" outlineLevel="0" collapsed="false">
      <c r="A5" s="6" t="s">
        <v>466</v>
      </c>
      <c r="B5" s="4" t="str">
        <f aca="false">IF(ABS(SUM('P&amp;L'!$B$25:$F$25)-SUM(Monthly!$C$48:$BJ$48))&lt;0.5,"PASS","FAIL")</f>
        <v>PASS</v>
      </c>
      <c r="C5" s="18" t="s">
        <v>467</v>
      </c>
    </row>
    <row r="6" customFormat="false" ht="15" hidden="false" customHeight="false" outlineLevel="0" collapsed="false">
      <c r="A6" s="6" t="s">
        <v>468</v>
      </c>
      <c r="B6" s="4" t="str">
        <f aca="false">IF(ABS(SUM(Monthly!$C$39:$BJ$39)-SUM(Monthly!$C$27:$BJ$27)-SUM(Monthly!$C$38:$BJ$38))&lt;0.5,"PASS","FAIL")</f>
        <v>PASS</v>
      </c>
      <c r="C6" s="18" t="s">
        <v>469</v>
      </c>
    </row>
    <row r="7" customFormat="false" ht="15" hidden="false" customHeight="false" outlineLevel="0" collapsed="false">
      <c r="A7" s="6" t="s">
        <v>470</v>
      </c>
      <c r="B7" s="4" t="str">
        <f aca="false">IF(ABS(INDEX(Monthly!$C$78:$BJ$78,60)-SUM(Monthly!$C$76:$BJ$76))&lt;0.5,"PASS","FAIL")</f>
        <v>PASS</v>
      </c>
      <c r="C7" s="18" t="s">
        <v>471</v>
      </c>
    </row>
    <row r="8" customFormat="false" ht="15" hidden="false" customHeight="false" outlineLevel="0" collapsed="false">
      <c r="A8" s="6" t="s">
        <v>472</v>
      </c>
      <c r="B8" s="4" t="str">
        <f aca="false">IF(AND(ISNUMBER(Dashboard!B4),Dashboard!B4&gt;=1,Dashboard!B4&lt;=3,INT(Dashboard!B4)=Dashboard!B4),"PASS","FAIL")</f>
        <v>PASS</v>
      </c>
      <c r="C8" s="18" t="s">
        <v>473</v>
      </c>
    </row>
    <row r="9" customFormat="false" ht="15" hidden="false" customHeight="false" outlineLevel="0" collapsed="false">
      <c r="A9" s="6" t="s">
        <v>474</v>
      </c>
      <c r="B9" s="4" t="str">
        <f aca="false">IF(AND(Inputs!$B$7&lt;=Inputs!$C$7,Inputs!$C$7&lt;=Inputs!$D$7,Inputs!$B$8&lt;=Inputs!$C$8,Inputs!$C$8&lt;=Inputs!$D$8,Inputs!$B$9&lt;=Inputs!$C$9,Inputs!$C$9&lt;=Inputs!$D$9,Inputs!$B$10&lt;=Inputs!$C$10,Inputs!$C$10&lt;=Inputs!$D$10,Inputs!$B$11&lt;=Inputs!$C$11,Inputs!$C$11&lt;=Inputs!$D$11,Inputs!$B$12&lt;=Inputs!$C$12,Inputs!$C$12&lt;=Inputs!$D$12,Inputs!$B$15&gt;=Inputs!$C$15,Inputs!$C$15&gt;=Inputs!$D$15,Inputs!$B$18&lt;=Inputs!$C$18,Inputs!$C$18&lt;=Inputs!$D$18,Inputs!$B$19&lt;=Inputs!$C$19,Inputs!$C$19&lt;=Inputs!$D$19,Inputs!$B$21&lt;=Inputs!$C$21,Inputs!$C$21&lt;=Inputs!$D$21,Inputs!$B$22&lt;=Inputs!$C$22,Inputs!$C$22&lt;=Inputs!$D$22,Inputs!$B$29&gt;=Inputs!$C$29,Inputs!$C$29&gt;=Inputs!$D$29,Inputs!$B$30&gt;=Inputs!$C$30,Inputs!$C$30&gt;=Inputs!$D$30,Inputs!$B$31&gt;=Inputs!$C$31,Inputs!$C$31&gt;=Inputs!$D$31,Inputs!$B$38&lt;=Inputs!$C$38,Inputs!$C$38&lt;=Inputs!$D$38,Inputs!$B$40&lt;=Inputs!$C$40,Inputs!$C$40&lt;=Inputs!$D$40,Inputs!$B$42&lt;=Inputs!$C$42,Inputs!$C$42&lt;=Inputs!$D$42,Inputs!$B$44&lt;=Inputs!$C$44,Inputs!$C$44&lt;=Inputs!$D$44,Inputs!$B$46&lt;=Inputs!$C$46,Inputs!$C$46&lt;=Inputs!$D$46,Inputs!$B$48&lt;=Inputs!$C$48,Inputs!$C$48&lt;=Inputs!$D$48,Inputs!$B$50&lt;=Inputs!$C$50,Inputs!$C$50&lt;=Inputs!$D$50,Inputs!$B$52&lt;=Inputs!$C$52,Inputs!$C$52&lt;=Inputs!$D$52,Inputs!$B$76&gt;=Inputs!$C$76,Inputs!$C$76&gt;=Inputs!$D$76,Inputs!$B$77&lt;=Inputs!$C$77,Inputs!$C$77&lt;=Inputs!$D$77,Inputs!$B$78&lt;=Inputs!$C$78,Inputs!$C$78&lt;=Inputs!$D$78),"PASS","FAIL")</f>
        <v>PASS</v>
      </c>
      <c r="C9" s="18" t="s">
        <v>475</v>
      </c>
    </row>
    <row r="10" customFormat="false" ht="15" hidden="false" customHeight="false" outlineLevel="0" collapsed="false">
      <c r="A10" s="6" t="s">
        <v>476</v>
      </c>
      <c r="B10" s="4" t="str">
        <f aca="false">IF(AND(MIN('P&amp;L'!$B$8:$F$8)&gt;=0,MAX('P&amp;L'!$B$8:$F$8)&lt;=1),"PASS","FAIL")</f>
        <v>PASS</v>
      </c>
      <c r="C10" s="18" t="s">
        <v>477</v>
      </c>
    </row>
    <row r="11" customFormat="false" ht="15" hidden="false" customHeight="false" outlineLevel="0" collapsed="false">
      <c r="A11" s="6" t="s">
        <v>478</v>
      </c>
      <c r="B11" s="4" t="str">
        <f aca="false">IF(MIN(Monthly!$C$61:$BJ$61)&gt;=-0.5,"PASS","FAIL")</f>
        <v>PASS</v>
      </c>
      <c r="C11" s="18" t="s">
        <v>479</v>
      </c>
    </row>
    <row r="12" customFormat="false" ht="15" hidden="false" customHeight="false" outlineLevel="0" collapsed="false">
      <c r="A12" s="6" t="s">
        <v>480</v>
      </c>
      <c r="B12" s="4" t="str">
        <f aca="false">IF(ABS('Break-even'!B18-('Break-even'!B16-'Break-even'!B10))&lt;0.5,"PASS","FAIL")</f>
        <v>PASS</v>
      </c>
      <c r="C12" s="18" t="s">
        <v>481</v>
      </c>
    </row>
    <row r="13" customFormat="false" ht="15" hidden="false" customHeight="false" outlineLevel="0" collapsed="false">
      <c r="A13" s="6" t="s">
        <v>482</v>
      </c>
      <c r="B13" s="4" t="str">
        <f aca="false">IF(ABS(Valuation!B23-NPV(Valuation!B6,Valuation!$B$17:$F$17))&lt;0.5,"PASS","FAIL")</f>
        <v>PASS</v>
      </c>
      <c r="C13" s="18" t="s">
        <v>483</v>
      </c>
    </row>
    <row r="14" customFormat="false" ht="15" hidden="false" customHeight="false" outlineLevel="0" collapsed="false">
      <c r="A14" s="6" t="s">
        <v>484</v>
      </c>
      <c r="B14" s="4" t="str">
        <f aca="false">IF(Valuation!B6&gt;Valuation!B7,"PASS","FAIL")</f>
        <v>PASS</v>
      </c>
      <c r="C14" s="18" t="s">
        <v>485</v>
      </c>
    </row>
    <row r="15" customFormat="false" ht="15" hidden="false" customHeight="false" outlineLevel="0" collapsed="false">
      <c r="A15" s="6" t="s">
        <v>486</v>
      </c>
      <c r="B15" s="4" t="str">
        <f aca="false">IF(ABS(Valuation!D36-Valuation!B27)&lt;0.5,"PASS","FAIL")</f>
        <v>PASS</v>
      </c>
      <c r="C15" s="18" t="s">
        <v>487</v>
      </c>
    </row>
    <row r="16" customFormat="false" ht="15" hidden="false" customHeight="false" outlineLevel="0" collapsed="false">
      <c r="A16" s="6" t="s">
        <v>488</v>
      </c>
      <c r="B16" s="4" t="str">
        <f aca="false">IF(Valuation!$F$17&gt;0,"PASS","WARN")</f>
        <v>PASS</v>
      </c>
      <c r="C16" s="18" t="s">
        <v>489</v>
      </c>
    </row>
    <row r="17" customFormat="false" ht="15" hidden="false" customHeight="false" outlineLevel="0" collapsed="false">
      <c r="A17" s="6" t="s">
        <v>490</v>
      </c>
      <c r="B17" s="4" t="str">
        <f aca="false">IF(ABS('Sources &amp; Uses'!B21-'Sources &amp; Uses'!B28)&lt;0.5,"PASS","FAIL")</f>
        <v>PASS</v>
      </c>
      <c r="C17" s="18" t="s">
        <v>491</v>
      </c>
    </row>
    <row r="18" customFormat="false" ht="15" hidden="false" customHeight="false" outlineLevel="0" collapsed="false">
      <c r="A18" s="6" t="s">
        <v>492</v>
      </c>
      <c r="B18" s="4" t="str">
        <f aca="false">IF(SUMPRODUCT(--ISERROR(Monthly!$C$4:$BJ$96))+SUMPRODUCT(--ISERROR(Headcount!$C$4:$BJ$19))+SUMPRODUCT(--ISERROR('P&amp;L'!$B$3:$F$26))+SUMPRODUCT(--ISERROR('Cash Flow'!$B$3:$F$18))+SUMPRODUCT(--ISERROR('Balance Sheet'!$B$3:$F$17))+SUMPRODUCT(--ISERROR(KPIs!$B$27:$F$44))+SUMPRODUCT(--ISERROR('Break-even'!$B$26:$F$33))+SUMPRODUCT(--ISERROR(Valuation!$B$14:$F$19))+SUMPRODUCT(--ISERROR('Break-even'!$B$3:$F$35))+SUMPRODUCT(--ISERROR(Valuation!$A$3:$F$40))+SUMPRODUCT(--ISERROR('Sources &amp; Uses'!$B$3:$C$30))+SUMPRODUCT(--ISERROR(Dashboard!$A$6:$W$44))+SUMPRODUCT(--ISERROR(Summary!$A$5:$S$52))+SUMPRODUCT(--ISERROR(KPIs!$A$4:$G$44))+SUMPRODUCT(--ISERROR('Scenario calc'!$C$6:$BJ$112))+SUMPRODUCT(--ISERROR('Scenario calc'!$C$117:$BJ$223))+SUMPRODUCT(--ISERROR('Scenario calc'!$C$228:$BJ$334))+SUMPRODUCT(--ISERROR(Scenarios!$B$5:$F$50))=0,"PASS","FAIL")</f>
        <v>PASS</v>
      </c>
      <c r="C18" s="18" t="s">
        <v>493</v>
      </c>
    </row>
    <row r="19" customFormat="false" ht="15" hidden="false" customHeight="false" outlineLevel="0" collapsed="false">
      <c r="A19" s="6" t="s">
        <v>494</v>
      </c>
      <c r="B19" s="4" t="str">
        <f aca="false">IF(IFERROR(AND(SUMPRODUCT(--(ABS(Summary!$B$7:$F$7-'P&amp;L'!$B$5:$F$5)&gt;0.5))=0,SUMPRODUCT(--(ABS(Summary!$B$19:$F$19-'P&amp;L'!$B$25:$F$25)&gt;0.5))=0,SUMPRODUCT(--(ABS(Summary!$B$31:$F$31-'Cash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9" s="18" t="s">
        <v>495</v>
      </c>
    </row>
    <row r="20" customFormat="false" ht="15" hidden="false" customHeight="false" outlineLevel="0" collapsed="false">
      <c r="A20" s="6" t="s">
        <v>496</v>
      </c>
      <c r="B20" s="4" t="str">
        <f aca="false">IF(SUMPRODUCT(--(ABS(KPIs!$B$24:$F$24)&gt;0.000000001))&gt;0,"FAIL",IF(SUMPRODUCT(ISNUMBER(KPIs!$B$23:$F$23)*ISNUMBER(KPIs!$B$16:$F$16))=0,"n/a","PASS"))</f>
        <v>PASS</v>
      </c>
      <c r="C20" s="18" t="s">
        <v>497</v>
      </c>
    </row>
    <row r="21" customFormat="false" ht="15" hidden="false" customHeight="false" outlineLevel="0" collapsed="false">
      <c r="A21" s="6" t="s">
        <v>498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499</v>
      </c>
    </row>
    <row r="22" customFormat="false" ht="15" hidden="false" customHeight="false" outlineLevel="0" collapsed="false">
      <c r="A22" s="6" t="s">
        <v>500</v>
      </c>
      <c r="B22" s="4" t="str">
        <f aca="false">IF(SUMPRODUCT(--(ABS(Monthly!$C$96:$BJ$96)&gt;0.5))=0,"PASS","FAIL")</f>
        <v>PASS</v>
      </c>
      <c r="C22" s="18" t="s">
        <v>501</v>
      </c>
    </row>
    <row r="23" customFormat="false" ht="15" hidden="false" customHeight="false" outlineLevel="0" collapsed="false">
      <c r="A23" s="6" t="s">
        <v>502</v>
      </c>
      <c r="B23" s="4" t="str">
        <f aca="false">IF(MIN(Monthly!$C$78:$BJ$78)&gt;=0,"PASS","WARN")</f>
        <v>PASS</v>
      </c>
      <c r="C23" s="18" t="s">
        <v>503</v>
      </c>
    </row>
    <row r="25" customFormat="false" ht="15" hidden="false" customHeight="false" outlineLevel="0" collapsed="false">
      <c r="A25" s="68" t="s">
        <v>504</v>
      </c>
      <c r="B25" s="68" t="str">
        <f aca="false">IF(COUNTIF(B4:B23,"FAIL")&gt;0,"FAIL",IF(COUNTIF(B4:B23,"WARN")&gt;0,"PASS WITH WARNINGS","PASS"))</f>
        <v>PASS</v>
      </c>
      <c r="C25" s="119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2026-10-22T13:51:36Z</dcterms:created>
  <dc:creator/>
  <dc:description/>
  <dc:language>en-US</dc:language>
  <cp:lastModifiedBy/>
  <dcterms:modified xsi:type="dcterms:W3CDTF">2026-10-22T13:51:37Z</dcterms:modified>
  <cp:revision>0</cp:revision>
  <dc:subject/>
  <dc:title>Retail / e-commerce financial model (growing)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