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KPIs" sheetId="6" state="visible" r:id="rId8"/>
    <sheet name="Inputs" sheetId="7" state="visible" r:id="rId9"/>
    <sheet name="P&amp;L" sheetId="8" state="visible" r:id="rId10"/>
    <sheet name="Cash Flow" sheetId="9" state="visible" r:id="rId11"/>
    <sheet name="Balance Sheet" sheetId="10" state="visible" r:id="rId12"/>
    <sheet name="Monthly" sheetId="11" state="visible" r:id="rId13"/>
    <sheet name="Headcount" sheetId="12" state="visible" r:id="rId14"/>
    <sheet name="Che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<sst xmlns="http://schemas.openxmlformats.org/spreadsheetml/2006/main" count="730" uniqueCount="444">
  <si>
    <t xml:space="preserve">Retail / e-commerce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</si>
  <si>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</si>
  <si>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</si>
  <si>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</si>
  <si>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</si>
  <si>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</si>
  <si>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</si>
  <si>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</si>
  <si>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</si>
  <si>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</si>
  <si>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</si>
  <si>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</si>
  <si>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</si>
  <si>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</si>
  <si>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</si>
  <si>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</si>
  <si>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</si>
  <si>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</si>
  <si>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</si>
  <si>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</si>
  <si>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</si>
  <si>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</si>
  <si>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</si>
  <si>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</si>
  <si>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</si>
  <si>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</si>
  <si>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</si>
  <si>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</si>
  <si>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</si>
  <si>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</si>
  <si>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</si>
  <si>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</si>
  <si>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</si>
  <si>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</si>
  <si>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</si>
  <si>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</si>
  <si>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</si>
  <si>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</si>
  <si>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</si>
  <si>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</si>
  <si>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</si>
  <si>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</si>
  <si>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</si>
  <si>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</si>
  <si>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</si>
  <si>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</si>
  <si>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</si>
  <si>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</si>
  <si>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</si>
  <si>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</si>
  <si>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</si>
  <si>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</si>
  <si>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</si>
  <si>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</si>
  <si>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Retail metrics</t>
  </si>
  <si>
    <t xml:space="preserve">Online gross sales</t>
  </si>
  <si>
    <t xml:space="preserve">Store gross sales</t>
  </si>
  <si>
    <t xml:space="preserve">Online orders</t>
  </si>
  <si>
    <t xml:space="preserve">Stores open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</si>
  <si>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</si>
  <si>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</si>
  <si>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</si>
  <si>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</si>
  <si>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</si>
  <si>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</si>
  <si>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</si>
  <si>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</si>
  <si>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</si>
  <si>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</si>
  <si>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</si>
  <si>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</si>
  <si>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</si>
  <si>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</si>
  <si>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Product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</si>
  <si>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</si>
  <si>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</si>
  <si>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</si>
  <si>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</si>
  <si>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</si>
  <si>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</si>
  <si>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</si>
  <si>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</si>
  <si>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</si>
  <si>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</si>
  <si>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</si>
  <si>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</si>
  <si>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</si>
  <si>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</si>
  <si>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</si>
  <si>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</si>
  <si>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</si>
  <si>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</si>
  <si>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</si>
  <si>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</si>
  <si>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</si>
  <si>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</si>
  <si>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</si>
  <si>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</si>
  <si>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</si>
  <si>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</si>
  <si>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</si>
  <si>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</si>
  <si>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</si>
  <si>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</si>
  <si>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</si>
  <si>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</si>
  <si>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</si>
  <si>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</si>
  <si>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</si>
  <si>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</si>
  <si>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</si>
  <si>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</si>
  <si>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</si>
  <si>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</si>
  <si>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</si>
  <si>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</si>
  <si>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</si>
  <si>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</si>
  <si>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</si>
  <si>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</si>
  <si>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</si>
  <si>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</si>
  <si>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</si>
  <si>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</si>
  <si>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</si>
  <si>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</si>
  <si>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</si>
  <si>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</si>
  <si>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</si>
  <si>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</si>
  <si>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</si>
  <si>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</si>
  <si>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</si>
  <si>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</si>
  <si>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</si>
  <si>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</si>
  <si>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</si>
  <si>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</si>
  <si>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</si>
  <si>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</si>
  <si>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</si>
  <si>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</si>
  <si>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</si>
  <si>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</si>
  <si>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</si>
  <si>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</si>
  <si>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</si>
  <si>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</si>
  <si>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</si>
  <si>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</si>
  <si>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</si>
  <si>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</si>
  <si>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</si>
  <si>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</si>
  <si>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</si>
  <si>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</si>
  <si>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</si>
  <si>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</si>
  <si>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KPIs &amp; ratios</t>
  </si>
  <si>
    <t xml:space="preserve">Retail / e-commerce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</si>
  <si>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</si>
  <si>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</si>
  <si>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</si>
  <si>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</si>
  <si>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</si>
  <si>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</si>
  <si>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</si>
  <si>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</si>
  <si>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</si>
  <si>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</si>
  <si>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</si>
  <si>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</si>
  <si>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</si>
  <si>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</si>
  <si>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</si>
  <si>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Retail metrics ($'000; per-unit rows in $)</t>
  </si>
  <si>
    <t xml:space="preserve">Website visits (non-paid)</t>
  </si>
  <si>
    <t xml:space="preserve">Repeat orders</t>
  </si>
  <si>
    <t xml:space="preserve">Repeat orders, % of online orders</t>
  </si>
  <si>
    <t xml:space="preserve">Average order value ($)</t>
  </si>
  <si>
    <t xml:space="preserve">Paid ads spend</t>
  </si>
  <si>
    <t xml:space="preserve">Paid ads, % of online gross sales</t>
  </si>
  <si>
    <t xml:space="preserve">Net sales</t>
  </si>
  <si>
    <t xml:space="preserve">Gross profit (after product cost)</t>
  </si>
  <si>
    <t xml:space="preserve">Inventory (year end)</t>
  </si>
  <si>
    <t xml:space="preserve">Inventory turns (product cost ÷ year-end inventory)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</si>
  <si>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</si>
  <si>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</si>
  <si>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</si>
  <si>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</si>
  <si>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</si>
  <si>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</si>
  <si>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</si>
  <si>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</si>
  <si>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</si>
  <si>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Online channel</t>
  </si>
  <si>
    <t xml:space="preserve">Website visits per month (year 1, non-paid)</t>
  </si>
  <si>
    <t xml:space="preserve"># / month</t>
  </si>
  <si>
    <t xml:space="preserve">Low ≤ Base ≤ High</t>
  </si>
  <si>
    <t xml:space="preserve">Visit growth per year</t>
  </si>
  <si>
    <t xml:space="preserve">%</t>
  </si>
  <si>
    <t xml:space="preserve">Conversion rate (orders ÷ visits)</t>
  </si>
  <si>
    <t xml:space="preserve">Average order value (before returns)</t>
  </si>
  <si>
    <t xml:space="preserve">$</t>
  </si>
  <si>
    <t xml:space="preserve">Average order value growth per year</t>
  </si>
  <si>
    <t xml:space="preserve">Repeat orders per new-customer order (returning customers)</t>
  </si>
  <si>
    <t xml:space="preserve">x</t>
  </si>
  <si>
    <t xml:space="preserve">Paid ads budget per month (year 1)</t>
  </si>
  <si>
    <t xml:space="preserve">$ / month</t>
  </si>
  <si>
    <t xml:space="preserve">Paid ads budget growth per year</t>
  </si>
  <si>
    <t xml:space="preserve">Paid cost per order (CAC)</t>
  </si>
  <si>
    <t xml:space="preserve">Low ≥ Base ≥ High (lower is better)</t>
  </si>
  <si>
    <t xml:space="preserve">Store channel</t>
  </si>
  <si>
    <t xml:space="preserve">Stores open at start</t>
  </si>
  <si>
    <t xml:space="preserve">#</t>
  </si>
  <si>
    <t xml:space="preserve">New stores opened each year from year 2</t>
  </si>
  <si>
    <t xml:space="preserve"># / year</t>
  </si>
  <si>
    <t xml:space="preserve">Selling area per store</t>
  </si>
  <si>
    <t xml:space="preserve">sq ft</t>
  </si>
  <si>
    <t xml:space="preserve">Sales per sq ft per year (year 1)</t>
  </si>
  <si>
    <t xml:space="preserve">$ / sq ft</t>
  </si>
  <si>
    <t xml:space="preserve">Like-for-like store sales growth per year</t>
  </si>
  <si>
    <t xml:space="preserve">Store rent per sq ft per year</t>
  </si>
  <si>
    <t xml:space="preserve">Other running cost per store per month</t>
  </si>
  <si>
    <t xml:space="preserve">Fit-out capex per new store</t>
  </si>
  <si>
    <t xml:space="preserve">Costs</t>
  </si>
  <si>
    <t xml:space="preserve">Seasonality: Nov–Dec sales uplift (annual total unchanged)</t>
  </si>
  <si>
    <t xml:space="preserve">Returns &amp; refunds, % of gross sales</t>
  </si>
  <si>
    <t xml:space="preserve">Product cost, % of net sales</t>
  </si>
  <si>
    <t xml:space="preserve">Fulfilment &amp; shipping per online order</t>
  </si>
  <si>
    <t xml:space="preserve">Payment processing, % of net sales</t>
  </si>
  <si>
    <t xml:space="preserve">E-commerce platform &amp; software per month</t>
  </si>
  <si>
    <t xml:space="preserve">Other G&amp;A per month</t>
  </si>
  <si>
    <t xml:space="preserve">Start-up capex (equipment, systems)</t>
  </si>
  <si>
    <t xml:space="preserve">Headcount</t>
  </si>
  <si>
    <t xml:space="preserve">Operations &amp; fulfilment: headcount (FTE)</t>
  </si>
  <si>
    <t xml:space="preserve">FTE</t>
  </si>
  <si>
    <t xml:space="preserve">Operations &amp; fulfilment: salary per FTE per year</t>
  </si>
  <si>
    <t xml:space="preserve">Operations &amp; fulfilment: headcount growth per year</t>
  </si>
  <si>
    <t xml:space="preserve">Operations &amp; fulfilment: first month on payroll</t>
  </si>
  <si>
    <t xml:space="preserve">month #</t>
  </si>
  <si>
    <t xml:space="preserve">Marketing &amp; e-commerce: headcount (FTE)</t>
  </si>
  <si>
    <t xml:space="preserve">Marketing &amp; e-commerce: salary per FTE per year</t>
  </si>
  <si>
    <t xml:space="preserve">Marketing &amp; e-commerce: headcount growth per year</t>
  </si>
  <si>
    <t xml:space="preserve">Marketing &amp; e-commerce: first month on payroll</t>
  </si>
  <si>
    <t xml:space="preserve">Store staff: headcount (FTE)</t>
  </si>
  <si>
    <t xml:space="preserve">Store staff: salary per FTE per year</t>
  </si>
  <si>
    <t xml:space="preserve">Store staff: headcount growth per year</t>
  </si>
  <si>
    <t xml:space="preserve">Store staff: first month on payroll</t>
  </si>
  <si>
    <t xml:space="preserve">G&amp;A (finance, admin): headcount (FTE)</t>
  </si>
  <si>
    <t xml:space="preserve">G&amp;A (finance, admin): salary per FTE per year</t>
  </si>
  <si>
    <t xml:space="preserve">G&amp;A (finance, admin): headcount growth per year</t>
  </si>
  <si>
    <t xml:space="preserve">G&amp;A (finance, admin):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</si>
  <si>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</si>
  <si>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</si>
  <si>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</si>
  <si>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</si>
  <si>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</si>
  <si>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</si>
  <si>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</si>
  <si>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</si>
  <si>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</si>
  <si>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</si>
  <si>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</si>
  <si>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</si>
  <si>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</si>
  <si>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</si>
  <si>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</si>
  <si>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</si>
  <si>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</si>
  <si>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</si>
  <si>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</si>
  <si>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</si>
  <si>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</si>
  <si>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</si>
  <si>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</si>
  <si>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</si>
  <si>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Fulfilment &amp; shipping</t>
  </si>
  <si>
    <t xml:space="preserve">Payment processing</t>
  </si>
  <si>
    <t xml:space="preserve">Paid ads</t>
  </si>
  <si>
    <t xml:space="preserve">Payroll</t>
  </si>
  <si>
    <t xml:space="preserve">Store rent</t>
  </si>
  <si>
    <t xml:space="preserve">Store running costs</t>
  </si>
  <si>
    <t xml:space="preserve">Platform &amp; software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</si>
  <si>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</si>
  <si>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</si>
  <si>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</si>
  <si>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</si>
  <si>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</si>
  <si>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</si>
  <si>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</si>
  <si>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</si>
  <si>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</si>
  <si>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</si>
  <si>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</si>
  <si>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</si>
  <si>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</si>
  <si>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</si>
  <si>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</si>
  <si>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</si>
  <si>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</si>
  <si>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</si>
  <si>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</si>
  <si>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</si>
  <si>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</si>
  <si>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</si>
  <si>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</si>
  <si>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</si>
  <si>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</si>
  <si>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</si>
  <si>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</si>
  <si>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</si>
  <si>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</si>
  <si>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</si>
  <si>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</si>
  <si>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</si>
  <si>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</si>
  <si>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</si>
  <si>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</si>
  <si>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</si>
  <si>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</si>
  <si>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</si>
  <si>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</si>
  <si>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</si>
  <si>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</si>
  <si>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</si>
  <si>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</si>
  <si>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</si>
  <si>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</si>
  <si>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</si>
  <si>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</si>
  <si>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</si>
  <si>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</si>
  <si>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</si>
  <si>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</si>
  <si>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</si>
  <si>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</si>
  <si>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</si>
  <si>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</si>
  <si>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</si>
  <si>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</si>
  <si>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</si>
  <si>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</si>
  <si>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</si>
  <si>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</si>
  <si>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</si>
  <si>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</si>
  <si>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</si>
  <si>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</si>
  <si>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</si>
  <si>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</si>
  <si>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</si>
  <si>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</si>
  <si>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</si>
  <si>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</si>
  <si>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Seasonality factor (averages 1.0 over a year)</t>
  </si>
  <si>
    <t xml:space="preserve">Website visits</t>
  </si>
  <si>
    <t xml:space="preserve">Orders from visits</t>
  </si>
  <si>
    <t xml:space="preserve">Orders from paid ads</t>
  </si>
  <si>
    <t xml:space="preserve">Orders from new customers</t>
  </si>
  <si>
    <t xml:space="preserve">Repeat orders from returning customers</t>
  </si>
  <si>
    <t xml:space="preserve">Average order value</t>
  </si>
  <si>
    <t xml:space="preserve">Stores open</t>
  </si>
  <si>
    <t xml:space="preserve">Net sales &amp; product cost</t>
  </si>
  <si>
    <t xml:space="preserve">Gross sales</t>
  </si>
  <si>
    <t xml:space="preserve">Returns &amp; refunds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</si>
  <si>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</si>
  <si>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</si>
  <si>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</si>
  <si>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</si>
  <si>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</si>
  <si>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store fit-outs)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</si>
  <si>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</si>
  <si>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</si>
  <si>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</si>
  <si>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</si>
  <si>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</si>
  <si>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</si>
  <si>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</si>
  <si>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</si>
  <si>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</si>
  <si>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</si>
  <si>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</si>
  <si>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</si>
  <si>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</si>
  <si>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</si>
  <si>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</si>
  <si>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</si>
  <si>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</si>
  <si>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</si>
  <si>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</si>
  <si>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</si>
  <si>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Operations &amp; fulfilment — FTE</t>
  </si>
  <si>
    <t xml:space="preserve">Marketing &amp; e-commerce — FTE</t>
  </si>
  <si>
    <t xml:space="preserve">Store staff — FTE</t>
  </si>
  <si>
    <t xml:space="preserve">G&amp;A (finance, admin) — FTE</t>
  </si>
  <si>
    <t xml:space="preserve">Total FTE</t>
  </si>
  <si>
    <t xml:space="preserve">Payroll cost (salary + taxes &amp; benefits)</t>
  </si>
  <si>
    <t xml:space="preserve">Operations &amp; fulfilment — payroll cost</t>
  </si>
  <si>
    <t xml:space="preserve">Marketing &amp; e-commerce — payroll cost</t>
  </si>
  <si>
    <t xml:space="preserve">Store staff — payroll cost</t>
  </si>
  <si>
    <t xml:space="preserve">G&amp;A (finance, admin)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</si>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</sst>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0.0\x;\(0.0&quot;x)&quot;;\-"/>
    <numFmt numFmtId="188" formatCode="#,##0;\(#,##0\);\-"/>
    <numFmt numFmtId="189" formatCode="\$#,##0.00;&quot;($&quot;#,##0.00\);\-"/>
    <numFmt numFmtId="190" formatCode="\$#,##0.00"/>
    <numFmt numFmtId="191" formatCode="#,##0.0;\(#,##0.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5514942.85714286</c:v>
                </c:pt>
                <c:pt idx="1">
                  <c:v>7179087.85714286</c:v>
                </c:pt>
                <c:pt idx="2">
                  <c:v>9149574.85714286</c:v>
                </c:pt>
                <c:pt idx="3">
                  <c:v>11499932.0931429</c:v>
                </c:pt>
                <c:pt idx="4">
                  <c:v>14322508.4584569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317495.714285714</c:v>
                </c:pt>
                <c:pt idx="1">
                  <c:v>581743.742857143</c:v>
                </c:pt>
                <c:pt idx="2">
                  <c:v>877367.823167858</c:v>
                </c:pt>
                <c:pt idx="3">
                  <c:v>1209727.60713713</c:v>
                </c:pt>
                <c:pt idx="4">
                  <c:v>1585116.67068342</c:v>
                </c:pt>
              </c:numCache>
            </c:numRef>
          </c:val>
        </c:ser>
        <c:gapWidth val="60"/>
        <c:overlap val="0"/>
        <c:axId val="11770841"/>
        <c:axId val="2913829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0.0575700823217959</c:v>
                </c:pt>
                <c:pt idx="1">
                  <c:v>0.0810330998078447</c:v>
                </c:pt>
                <c:pt idx="2">
                  <c:v>0.0958916492696836</c:v>
                </c:pt>
                <c:pt idx="3">
                  <c:v>0.105194326135061</c:v>
                </c:pt>
                <c:pt idx="4">
                  <c:v>0.110673118139964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084634"/>
        <c:axId val="86053045"/>
      </c:lineChart>
      <c:catAx>
        <c:axId val="117708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138291"/>
        <c:crosses val="autoZero"/>
        <c:auto val="1"/>
        <c:lblAlgn val="ctr"/>
        <c:lblOffset val="100"/>
        <c:noMultiLvlLbl val="0"/>
      </c:catAx>
      <c:valAx>
        <c:axId val="291382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770841"/>
        <c:crosses val="autoZero"/>
        <c:crossBetween val="between"/>
      </c:valAx>
      <c:catAx>
        <c:axId val="3108463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053045"/>
        <c:crosses val="autoZero"/>
        <c:auto val="1"/>
        <c:lblAlgn val="ctr"/>
        <c:lblOffset val="100"/>
        <c:noMultiLvlLbl val="0"/>
      </c:catAx>
      <c:valAx>
        <c:axId val="8605304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08463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-146060.154365079</c:v>
                </c:pt>
                <c:pt idx="1">
                  <c:v>334798.668940476</c:v>
                </c:pt>
                <c:pt idx="2">
                  <c:v>557937.428885941</c:v>
                </c:pt>
                <c:pt idx="3">
                  <c:v>804972.770106665</c:v>
                </c:pt>
                <c:pt idx="4">
                  <c:v>1079551.31685151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-350000</c:v>
                </c:pt>
                <c:pt idx="1">
                  <c:v>-150000</c:v>
                </c:pt>
                <c:pt idx="2">
                  <c:v>-150000</c:v>
                </c:pt>
                <c:pt idx="3">
                  <c:v>-150000</c:v>
                </c:pt>
                <c:pt idx="4">
                  <c:v>-150000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1908333.33333333</c:v>
                </c:pt>
                <c:pt idx="1">
                  <c:v>-100000</c:v>
                </c:pt>
                <c:pt idx="2">
                  <c:v>-100000</c:v>
                </c:pt>
                <c:pt idx="3">
                  <c:v>-100000</c:v>
                </c:pt>
                <c:pt idx="4">
                  <c:v>-100000</c:v>
                </c:pt>
              </c:numCache>
            </c:numRef>
          </c:val>
        </c:ser>
        <c:gapWidth val="60"/>
        <c:overlap val="0"/>
        <c:axId val="81399102"/>
        <c:axId val="2410458"/>
      </c:barChart>
      <c:catAx>
        <c:axId val="813991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10458"/>
        <c:crosses val="autoZero"/>
        <c:auto val="1"/>
        <c:lblAlgn val="ctr"/>
        <c:lblOffset val="100"/>
        <c:noMultiLvlLbl val="0"/>
      </c:catAx>
      <c:valAx>
        <c:axId val="24104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3991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1412273.17896825</c:v>
                </c:pt>
                <c:pt idx="1">
                  <c:v>1497071.84790873</c:v>
                </c:pt>
                <c:pt idx="2">
                  <c:v>1805009.27679467</c:v>
                </c:pt>
                <c:pt idx="3">
                  <c:v>2359982.04690134</c:v>
                </c:pt>
                <c:pt idx="4">
                  <c:v>3189533.36375285</c:v>
                </c:pt>
              </c:numCache>
            </c:numRef>
          </c:val>
        </c:ser>
        <c:gapWidth val="60"/>
        <c:overlap val="0"/>
        <c:axId val="96294703"/>
        <c:axId val="5577584"/>
      </c:barChart>
      <c:catAx>
        <c:axId val="962947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7584"/>
        <c:crosses val="autoZero"/>
        <c:auto val="1"/>
        <c:lblAlgn val="ctr"/>
        <c:lblOffset val="100"/>
        <c:noMultiLvlLbl val="0"/>
      </c:catAx>
      <c:valAx>
        <c:axId val="55775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2947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Sales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Online gross sales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5002714.28571429</c:v>
                </c:pt>
                <c:pt idx="1">
                  <c:v>6255514.28571429</c:v>
                </c:pt>
                <c:pt idx="2">
                  <c:v>7825294.28571429</c:v>
                </c:pt>
                <c:pt idx="3">
                  <c:v>9793054.82571429</c:v>
                </c:pt>
                <c:pt idx="4">
                  <c:v>12260689.7471743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Store gross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1125000</c:v>
                </c:pt>
                <c:pt idx="1">
                  <c:v>1721250</c:v>
                </c:pt>
                <c:pt idx="2">
                  <c:v>2340900</c:v>
                </c:pt>
                <c:pt idx="3">
                  <c:v>2984647.5</c:v>
                </c:pt>
                <c:pt idx="4">
                  <c:v>3653208.54</c:v>
                </c:pt>
              </c:numCache>
            </c:numRef>
          </c:val>
        </c:ser>
        <c:gapWidth val="60"/>
        <c:overlap val="100"/>
        <c:axId val="17585743"/>
        <c:axId val="35552959"/>
      </c:barChart>
      <c:catAx>
        <c:axId val="1758574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552959"/>
        <c:crosses val="autoZero"/>
        <c:auto val="1"/>
        <c:lblAlgn val="ctr"/>
        <c:lblOffset val="100"/>
        <c:noMultiLvlLbl val="0"/>
      </c:catAx>
      <c:valAx>
        <c:axId val="355529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58574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442852.071428571</c:v>
                </c:pt>
                <c:pt idx="1">
                  <c:v>442852.071428571</c:v>
                </c:pt>
                <c:pt idx="2">
                  <c:v>442852.071428571</c:v>
                </c:pt>
                <c:pt idx="3">
                  <c:v>442852.071428571</c:v>
                </c:pt>
                <c:pt idx="4">
                  <c:v>442852.071428571</c:v>
                </c:pt>
                <c:pt idx="5">
                  <c:v>442852.071428571</c:v>
                </c:pt>
                <c:pt idx="6">
                  <c:v>442852.071428571</c:v>
                </c:pt>
                <c:pt idx="7">
                  <c:v>442852.071428571</c:v>
                </c:pt>
                <c:pt idx="8">
                  <c:v>442852.071428571</c:v>
                </c:pt>
                <c:pt idx="9">
                  <c:v>442852.071428571</c:v>
                </c:pt>
                <c:pt idx="10">
                  <c:v>543211.071428572</c:v>
                </c:pt>
                <c:pt idx="11">
                  <c:v>543211.071428572</c:v>
                </c:pt>
              </c:numCache>
            </c:numRef>
          </c:val>
        </c:ser>
        <c:gapWidth val="60"/>
        <c:overlap val="0"/>
        <c:axId val="49115757"/>
        <c:axId val="49741993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18640.8011904762</c:v>
                </c:pt>
                <c:pt idx="1">
                  <c:v>18640.8011904762</c:v>
                </c:pt>
                <c:pt idx="2">
                  <c:v>18640.8011904762</c:v>
                </c:pt>
                <c:pt idx="3">
                  <c:v>18640.8011904762</c:v>
                </c:pt>
                <c:pt idx="4">
                  <c:v>18640.8011904762</c:v>
                </c:pt>
                <c:pt idx="5">
                  <c:v>18640.8011904762</c:v>
                </c:pt>
                <c:pt idx="6">
                  <c:v>18640.8011904762</c:v>
                </c:pt>
                <c:pt idx="7">
                  <c:v>18640.8011904762</c:v>
                </c:pt>
                <c:pt idx="8">
                  <c:v>18640.8011904762</c:v>
                </c:pt>
                <c:pt idx="9">
                  <c:v>18640.8011904762</c:v>
                </c:pt>
                <c:pt idx="10">
                  <c:v>65543.8511904763</c:v>
                </c:pt>
                <c:pt idx="11">
                  <c:v>65543.8511904763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8801.23294047617</c:v>
                </c:pt>
                <c:pt idx="1">
                  <c:v>8823.17738492062</c:v>
                </c:pt>
                <c:pt idx="2">
                  <c:v>8867.0662738095</c:v>
                </c:pt>
                <c:pt idx="3">
                  <c:v>8910.95516269839</c:v>
                </c:pt>
                <c:pt idx="4">
                  <c:v>8954.84405158728</c:v>
                </c:pt>
                <c:pt idx="5">
                  <c:v>8998.73294047617</c:v>
                </c:pt>
                <c:pt idx="6">
                  <c:v>9042.62182936506</c:v>
                </c:pt>
                <c:pt idx="7">
                  <c:v>9086.51071825395</c:v>
                </c:pt>
                <c:pt idx="8">
                  <c:v>9130.39960714284</c:v>
                </c:pt>
                <c:pt idx="9">
                  <c:v>9174.28849603172</c:v>
                </c:pt>
                <c:pt idx="10">
                  <c:v>46271.5868849208</c:v>
                </c:pt>
                <c:pt idx="11">
                  <c:v>46315.4757738096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115757"/>
        <c:axId val="49741993"/>
      </c:lineChart>
      <c:catAx>
        <c:axId val="4911575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741993"/>
        <c:crosses val="autoZero"/>
        <c:auto val="1"/>
        <c:lblAlgn val="ctr"/>
        <c:lblOffset val="100"/>
        <c:noMultiLvlLbl val="0"/>
      </c:catAx>
      <c:valAx>
        <c:axId val="497419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1157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-295552.376821429</c:v>
                </c:pt>
                <c:pt idx="1">
                  <c:v>12989.8440515873</c:v>
                </c:pt>
                <c:pt idx="2">
                  <c:v>13033.7329404762</c:v>
                </c:pt>
                <c:pt idx="3">
                  <c:v>13077.6218293651</c:v>
                </c:pt>
                <c:pt idx="4">
                  <c:v>13121.5107182539</c:v>
                </c:pt>
                <c:pt idx="5">
                  <c:v>13165.3996071428</c:v>
                </c:pt>
                <c:pt idx="6">
                  <c:v>13209.2884960317</c:v>
                </c:pt>
                <c:pt idx="7">
                  <c:v>13253.1773849206</c:v>
                </c:pt>
                <c:pt idx="8">
                  <c:v>13297.0662738095</c:v>
                </c:pt>
                <c:pt idx="9">
                  <c:v>13340.9551626984</c:v>
                </c:pt>
                <c:pt idx="10">
                  <c:v>-19478.5164484127</c:v>
                </c:pt>
                <c:pt idx="11">
                  <c:v>50482.1424404763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2000000</c:v>
                </c:pt>
                <c:pt idx="1">
                  <c:v>-8333.33333333333</c:v>
                </c:pt>
                <c:pt idx="2">
                  <c:v>-8333.33333333333</c:v>
                </c:pt>
                <c:pt idx="3">
                  <c:v>-8333.33333333333</c:v>
                </c:pt>
                <c:pt idx="4">
                  <c:v>-8333.33333333333</c:v>
                </c:pt>
                <c:pt idx="5">
                  <c:v>-8333.33333333333</c:v>
                </c:pt>
                <c:pt idx="6">
                  <c:v>-8333.33333333333</c:v>
                </c:pt>
                <c:pt idx="7">
                  <c:v>-8333.33333333333</c:v>
                </c:pt>
                <c:pt idx="8">
                  <c:v>-8333.33333333333</c:v>
                </c:pt>
                <c:pt idx="9">
                  <c:v>-8333.33333333333</c:v>
                </c:pt>
                <c:pt idx="10">
                  <c:v>-8333.33333333333</c:v>
                </c:pt>
                <c:pt idx="11">
                  <c:v>-8333.33333333333</c:v>
                </c:pt>
              </c:numCache>
            </c:numRef>
          </c:val>
        </c:ser>
        <c:gapWidth val="60"/>
        <c:overlap val="0"/>
        <c:axId val="73177961"/>
        <c:axId val="2654282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314590"/>
        <c:axId val="60939848"/>
      </c:lineChart>
      <c:catAx>
        <c:axId val="7317796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542822"/>
        <c:crosses val="autoZero"/>
        <c:auto val="1"/>
        <c:lblAlgn val="ctr"/>
        <c:lblOffset val="100"/>
        <c:noMultiLvlLbl val="0"/>
      </c:catAx>
      <c:valAx>
        <c:axId val="265428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177961"/>
        <c:crosses val="autoZero"/>
        <c:crossBetween val="between"/>
      </c:valAx>
      <c:catAx>
        <c:axId val="4131459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939848"/>
        <c:crosses val="autoZero"/>
        <c:auto val="1"/>
        <c:lblAlgn val="ctr"/>
        <c:lblOffset val="100"/>
        <c:noMultiLvlLbl val="0"/>
      </c:catAx>
      <c:valAx>
        <c:axId val="60939848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31459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29523.4714285714</c:v>
                </c:pt>
                <c:pt idx="1">
                  <c:v>29523.4714285714</c:v>
                </c:pt>
                <c:pt idx="2">
                  <c:v>29523.4714285714</c:v>
                </c:pt>
                <c:pt idx="3">
                  <c:v>29523.4714285714</c:v>
                </c:pt>
                <c:pt idx="4">
                  <c:v>29523.4714285714</c:v>
                </c:pt>
                <c:pt idx="5">
                  <c:v>29523.4714285714</c:v>
                </c:pt>
                <c:pt idx="6">
                  <c:v>29523.4714285714</c:v>
                </c:pt>
                <c:pt idx="7">
                  <c:v>29523.4714285714</c:v>
                </c:pt>
                <c:pt idx="8">
                  <c:v>29523.4714285714</c:v>
                </c:pt>
                <c:pt idx="9">
                  <c:v>29523.4714285714</c:v>
                </c:pt>
                <c:pt idx="10">
                  <c:v>36214.0714285714</c:v>
                </c:pt>
                <c:pt idx="11">
                  <c:v>36214.0714285714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345833.333333333</c:v>
                </c:pt>
                <c:pt idx="1">
                  <c:v>341666.666666667</c:v>
                </c:pt>
                <c:pt idx="2">
                  <c:v>337500</c:v>
                </c:pt>
                <c:pt idx="3">
                  <c:v>333333.333333333</c:v>
                </c:pt>
                <c:pt idx="4">
                  <c:v>329166.666666667</c:v>
                </c:pt>
                <c:pt idx="5">
                  <c:v>325000</c:v>
                </c:pt>
                <c:pt idx="6">
                  <c:v>320833.333333333</c:v>
                </c:pt>
                <c:pt idx="7">
                  <c:v>316666.666666667</c:v>
                </c:pt>
                <c:pt idx="8">
                  <c:v>312500</c:v>
                </c:pt>
                <c:pt idx="9">
                  <c:v>308333.333333333</c:v>
                </c:pt>
                <c:pt idx="10">
                  <c:v>304166.666666667</c:v>
                </c:pt>
                <c:pt idx="11">
                  <c:v>300000</c:v>
                </c:pt>
              </c:numCache>
            </c:numRef>
          </c:val>
        </c:ser>
        <c:gapWidth val="60"/>
        <c:overlap val="100"/>
        <c:axId val="17772738"/>
        <c:axId val="1764280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1508801.23294048</c:v>
                </c:pt>
                <c:pt idx="1">
                  <c:v>1517624.4103254</c:v>
                </c:pt>
                <c:pt idx="2">
                  <c:v>1526491.47659921</c:v>
                </c:pt>
                <c:pt idx="3">
                  <c:v>1535402.4317619</c:v>
                </c:pt>
                <c:pt idx="4">
                  <c:v>1544357.27581349</c:v>
                </c:pt>
                <c:pt idx="5">
                  <c:v>1553356.00875397</c:v>
                </c:pt>
                <c:pt idx="6">
                  <c:v>1562398.63058333</c:v>
                </c:pt>
                <c:pt idx="7">
                  <c:v>1571485.14130159</c:v>
                </c:pt>
                <c:pt idx="8">
                  <c:v>1580615.54090873</c:v>
                </c:pt>
                <c:pt idx="9">
                  <c:v>1589789.82940476</c:v>
                </c:pt>
                <c:pt idx="10">
                  <c:v>1636061.41628968</c:v>
                </c:pt>
                <c:pt idx="11">
                  <c:v>1682376.89206349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772738"/>
        <c:axId val="17642803"/>
      </c:lineChart>
      <c:catAx>
        <c:axId val="1777273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642803"/>
        <c:crosses val="autoZero"/>
        <c:auto val="1"/>
        <c:lblAlgn val="ctr"/>
        <c:lblOffset val="100"/>
        <c:noMultiLvlLbl val="0"/>
      </c:catAx>
      <c:valAx>
        <c:axId val="176428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7727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0.58</c:v>
                </c:pt>
                <c:pt idx="1">
                  <c:v>0.58</c:v>
                </c:pt>
                <c:pt idx="2">
                  <c:v>0.58</c:v>
                </c:pt>
                <c:pt idx="3">
                  <c:v>0.58</c:v>
                </c:pt>
                <c:pt idx="4">
                  <c:v>0.58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0.0575700823217959</c:v>
                </c:pt>
                <c:pt idx="1">
                  <c:v>0.0810330998078447</c:v>
                </c:pt>
                <c:pt idx="2">
                  <c:v>0.0958916492696836</c:v>
                </c:pt>
                <c:pt idx="3">
                  <c:v>0.105194326135061</c:v>
                </c:pt>
                <c:pt idx="4">
                  <c:v>0.110673118139964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0.0330695887133773</c:v>
                </c:pt>
                <c:pt idx="1">
                  <c:v>0.0530014851933206</c:v>
                </c:pt>
                <c:pt idx="2">
                  <c:v>0.0659524382499269</c:v>
                </c:pt>
                <c:pt idx="3">
                  <c:v>0.0743823895443697</c:v>
                </c:pt>
                <c:pt idx="4">
                  <c:v>0.0796886397916586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735351"/>
        <c:axId val="56850692"/>
      </c:lineChart>
      <c:catAx>
        <c:axId val="947353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850692"/>
        <c:crosses val="autoZero"/>
        <c:auto val="1"/>
        <c:lblAlgn val="ctr"/>
        <c:lblOffset val="100"/>
        <c:noMultiLvlLbl val="0"/>
      </c:catAx>
      <c:valAx>
        <c:axId val="568506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353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0.0786494141573329</c:v>
                </c:pt>
                <c:pt idx="1">
                  <c:v>0.142511470493164</c:v>
                </c:pt>
                <c:pt idx="2">
                  <c:v>0.185283776630608</c:v>
                </c:pt>
                <c:pt idx="3">
                  <c:v>0.208048083422007</c:v>
                </c:pt>
                <c:pt idx="4">
                  <c:v>0.216494252635007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0.108404301630535</c:v>
                </c:pt>
                <c:pt idx="1">
                  <c:v>0.184452059415374</c:v>
                </c:pt>
                <c:pt idx="2">
                  <c:v>0.226318551492813</c:v>
                </c:pt>
                <c:pt idx="3">
                  <c:v>0.242891326887417</c:v>
                </c:pt>
                <c:pt idx="4">
                  <c:v>0.244762828743448</c:v>
                </c:pt>
              </c:numCache>
            </c:numRef>
          </c:val>
        </c:ser>
        <c:gapWidth val="60"/>
        <c:overlap val="0"/>
        <c:axId val="98653080"/>
        <c:axId val="50844043"/>
      </c:barChart>
      <c:catAx>
        <c:axId val="986530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844043"/>
        <c:crosses val="autoZero"/>
        <c:auto val="1"/>
        <c:lblAlgn val="ctr"/>
        <c:lblOffset val="100"/>
        <c:noMultiLvlLbl val="0"/>
      </c:catAx>
      <c:valAx>
        <c:axId val="508440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6530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Repeat orders, % of online orders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KPIs!$A$32</c:f>
              <c:strCache>
                <c:ptCount val="1"/>
                <c:pt idx="0">
                  <c:v>Repeat orders, % of online orders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0.0%;\(0.0%\);\-</c:formatCode>
                <c:ptCount val="5"/>
                <c:pt idx="0">
                  <c:v>0.333333333333333</c:v>
                </c:pt>
                <c:pt idx="1">
                  <c:v>0.333333333333333</c:v>
                </c:pt>
                <c:pt idx="2">
                  <c:v>0.333333333333333</c:v>
                </c:pt>
                <c:pt idx="3">
                  <c:v>0.333333333333333</c:v>
                </c:pt>
                <c:pt idx="4">
                  <c:v>0.333333333333333</c:v>
                </c:pt>
              </c:numCache>
            </c:numRef>
          </c:val>
        </c:ser>
        <c:gapWidth val="60"/>
        <c:overlap val="0"/>
        <c:axId val="53845038"/>
        <c:axId val="89803346"/>
      </c:barChart>
      <c:catAx>
        <c:axId val="538450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803346"/>
        <c:crosses val="autoZero"/>
        <c:auto val="1"/>
        <c:lblAlgn val="ctr"/>
        <c:lblOffset val="100"/>
        <c:noMultiLvlLbl val="0"/>
      </c:catAx>
      <c:valAx>
        <c:axId val="898033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8450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Average order value and ad spend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Average order value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\$#,##0.00;"($"#,##0.00\);\-</c:formatCode>
                <c:ptCount val="5"/>
                <c:pt idx="0">
                  <c:v>75</c:v>
                </c:pt>
                <c:pt idx="1">
                  <c:v>76.5</c:v>
                </c:pt>
                <c:pt idx="2">
                  <c:v>78.03</c:v>
                </c:pt>
                <c:pt idx="3">
                  <c:v>79.5906</c:v>
                </c:pt>
                <c:pt idx="4">
                  <c:v>81.182412</c:v>
                </c:pt>
              </c:numCache>
            </c:numRef>
          </c:val>
        </c:ser>
        <c:gapWidth val="60"/>
        <c:overlap val="0"/>
        <c:axId val="86264105"/>
        <c:axId val="68838430"/>
      </c:barChart>
      <c:lineChart>
        <c:grouping val="standard"/>
        <c:varyColors val="0"/>
        <c:ser>
          <c:idx val="1"/>
          <c:order val="1"/>
          <c:tx>
            <c:strRef>
              <c:f>KPIs!$A$36</c:f>
              <c:strCache>
                <c:ptCount val="1"/>
                <c:pt idx="0">
                  <c:v>Paid ads, % of online gross sales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KPIs!$B$36:$F$36</c:f>
              <c:numCache>
                <c:formatCode>0.0%;\(0.0%\);\-</c:formatCode>
                <c:ptCount val="5"/>
                <c:pt idx="0">
                  <c:v>0.119934892486936</c:v>
                </c:pt>
                <c:pt idx="1">
                  <c:v>0.11509845028158</c:v>
                </c:pt>
                <c:pt idx="2">
                  <c:v>0.110411183075543</c:v>
                </c:pt>
                <c:pt idx="3">
                  <c:v>0.105870948182339</c:v>
                </c:pt>
                <c:pt idx="4">
                  <c:v>0.101475530794403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960961"/>
        <c:axId val="61701936"/>
      </c:lineChart>
      <c:catAx>
        <c:axId val="862641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838430"/>
        <c:crosses val="autoZero"/>
        <c:auto val="1"/>
        <c:lblAlgn val="ctr"/>
        <c:lblOffset val="100"/>
        <c:noMultiLvlLbl val="0"/>
      </c:catAx>
      <c:valAx>
        <c:axId val="688384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264105"/>
        <c:crosses val="autoZero"/>
        <c:crossBetween val="between"/>
      </c:valAx>
      <c:catAx>
        <c:axId val="2796096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701936"/>
        <c:crosses val="autoZero"/>
        <c:auto val="1"/>
        <c:lblAlgn val="ctr"/>
        <c:lblOffset val="100"/>
        <c:noMultiLvlLbl val="0"/>
      </c:catAx>
      <c:valAx>
        <c:axId val="6170193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96096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7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8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9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0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Checks!B23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HYPERLINK("#KPIs!A1","KPIs")</f>
        <v>KPIs</v>
      </c>
      <c r="D16" s="11" t="s">
        <v>14</v>
      </c>
    </row>
    <row r="17" customFormat="false" ht="15" hidden="false" customHeight="false" outlineLevel="0" collapsed="false">
      <c r="C17" s="8" t="s">
        <v>15</v>
      </c>
    </row>
    <row r="18" customFormat="false" ht="15" hidden="false" customHeight="false" outlineLevel="0" collapsed="false">
      <c r="B18" s="9" t="n">
        <v>6</v>
      </c>
      <c r="C18" s="10" t="str">
        <f aca="false">HYPERLINK("#Inputs!A1","Inputs")</f>
        <v>Inputs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HYPERLINK("#'P&amp;L'!A1","P&amp;L")</f>
        <v>P&amp;L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HYPERLINK("#'Cash Flow'!A1","Cash Flow")</f>
        <v>Cash Flow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HYPERLINK("#'Balance Sheet'!A1","Balance Sheet")</f>
        <v>Balance Sheet</v>
      </c>
      <c r="D22" s="11" t="s">
        <v>20</v>
      </c>
    </row>
    <row r="23" customFormat="false" ht="15" hidden="false" customHeight="false" outlineLevel="0" collapsed="false">
      <c r="C23" s="8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HYPERLINK("#Monthly!A1","Monthly")</f>
        <v>Monthly</v>
      </c>
      <c r="D24" s="11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HYPERLINK("#Headcount!A1","Headcount")</f>
        <v>Headcount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12</v>
      </c>
      <c r="C27" s="10" t="str">
        <f aca="false">HYPERLINK("#Checks!A1","Checks")</f>
        <v>Checks</v>
      </c>
      <c r="D27" s="11" t="s">
        <v>25</v>
      </c>
    </row>
    <row r="29" customFormat="false" ht="15" hidden="false" customHeight="false" outlineLevel="0" collapsed="false">
      <c r="B29" s="3" t="s">
        <v>26</v>
      </c>
    </row>
    <row r="30" customFormat="false" ht="15" hidden="false" customHeight="false" outlineLevel="0" collapsed="false">
      <c r="C30" s="12" t="n">
        <v>1000</v>
      </c>
      <c r="D30" s="6" t="s">
        <v>27</v>
      </c>
    </row>
    <row r="31" customFormat="false" ht="15" hidden="false" customHeight="false" outlineLevel="0" collapsed="false">
      <c r="C31" s="13" t="n">
        <v>1000</v>
      </c>
      <c r="D31" s="6" t="s">
        <v>28</v>
      </c>
    </row>
    <row r="32" customFormat="false" ht="15" hidden="false" customHeight="false" outlineLevel="0" collapsed="false">
      <c r="C32" s="14" t="n">
        <v>1000</v>
      </c>
      <c r="D32" s="6" t="s">
        <v>29</v>
      </c>
    </row>
    <row r="33" customFormat="false" ht="15" hidden="false" customHeight="false" outlineLevel="0" collapsed="false">
      <c r="C33" s="15" t="n">
        <v>1000</v>
      </c>
      <c r="D33" s="6" t="s">
        <v>30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31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32</v>
      </c>
      <c r="S4" s="22" t="s">
        <v>5</v>
      </c>
      <c r="T4" s="23" t="str">
        <f aca="false">Checks!B23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33</v>
      </c>
      <c r="B6" s="24"/>
      <c r="C6" s="24" t="s">
        <v>34</v>
      </c>
      <c r="D6" s="24"/>
      <c r="E6" s="24"/>
      <c r="F6" s="24"/>
      <c r="H6" s="24" t="s">
        <v>35</v>
      </c>
      <c r="I6" s="24"/>
      <c r="J6" s="24"/>
      <c r="K6" s="24"/>
      <c r="L6" s="24" t="s">
        <v>36</v>
      </c>
      <c r="M6" s="24"/>
      <c r="N6" s="24"/>
      <c r="O6" s="24"/>
      <c r="P6" s="24" t="s">
        <v>37</v>
      </c>
      <c r="Q6" s="24"/>
      <c r="R6" s="24"/>
      <c r="S6" s="24"/>
      <c r="T6" s="24" t="s">
        <v>38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14322508.4584569</v>
      </c>
      <c r="B7" s="25"/>
      <c r="C7" s="26" t="n">
        <f aca="false">F17</f>
        <v>0.110673118139964</v>
      </c>
      <c r="D7" s="26"/>
      <c r="E7" s="26"/>
      <c r="F7" s="26"/>
      <c r="H7" s="25" t="n">
        <f aca="false">F18</f>
        <v>1141341.21745895</v>
      </c>
      <c r="I7" s="25"/>
      <c r="J7" s="25"/>
      <c r="K7" s="25"/>
      <c r="L7" s="25" t="n">
        <f aca="false">F39</f>
        <v>1260305.0792494</v>
      </c>
      <c r="M7" s="25"/>
      <c r="N7" s="25"/>
      <c r="O7" s="25"/>
      <c r="P7" s="25" t="n">
        <f aca="false">F37</f>
        <v>1459694.9207506</v>
      </c>
      <c r="Q7" s="25"/>
      <c r="R7" s="25"/>
      <c r="S7" s="25"/>
      <c r="T7" s="25" t="n">
        <f aca="false">F44</f>
        <v>4528906.22286234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0.269461451558164</v>
      </c>
      <c r="B8" s="27"/>
      <c r="C8" s="28" t="n">
        <f aca="false">F16</f>
        <v>1585116.67068342</v>
      </c>
      <c r="D8" s="28"/>
      <c r="E8" s="28"/>
      <c r="F8" s="28"/>
      <c r="H8" s="29" t="n">
        <f aca="false">F19</f>
        <v>0.0796886397916586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str">
        <f aca="false">IF(F38&gt;=0,"Covered by funding raised",-F38)</f>
        <v>Covered by funding raised</v>
      </c>
      <c r="Q8" s="31"/>
      <c r="R8" s="31"/>
      <c r="S8" s="31"/>
      <c r="T8" s="32" t="s">
        <v>39</v>
      </c>
      <c r="U8" s="32"/>
      <c r="V8" s="32"/>
      <c r="W8" s="32"/>
    </row>
    <row r="10" customFormat="false" ht="15.75" hidden="false" customHeight="true" outlineLevel="0" collapsed="false">
      <c r="A10" s="7" t="s">
        <v>40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41</v>
      </c>
      <c r="B12" s="35" t="n">
        <f aca="false">SUMIF(Monthly!$C$5:$BJ$5,B$11,Monthly!$C$25:$BJ$25)</f>
        <v>5514942.85714286</v>
      </c>
      <c r="C12" s="35" t="n">
        <f aca="false">SUMIF(Monthly!$C$5:$BJ$5,C$11,Monthly!$C$25:$BJ$25)</f>
        <v>7179087.85714286</v>
      </c>
      <c r="D12" s="35" t="n">
        <f aca="false">SUMIF(Monthly!$C$5:$BJ$5,D$11,Monthly!$C$25:$BJ$25)</f>
        <v>9149574.85714286</v>
      </c>
      <c r="E12" s="35" t="n">
        <f aca="false">SUMIF(Monthly!$C$5:$BJ$5,E$11,Monthly!$C$25:$BJ$25)</f>
        <v>11499932.0931429</v>
      </c>
      <c r="F12" s="35" t="n">
        <f aca="false">SUMIF(Monthly!$C$5:$BJ$5,F$11,Monthly!$C$25:$BJ$25)</f>
        <v>14322508.4584569</v>
      </c>
    </row>
    <row r="13" customFormat="false" ht="15" hidden="false" customHeight="false" outlineLevel="0" collapsed="false">
      <c r="A13" s="36" t="s">
        <v>42</v>
      </c>
      <c r="B13" s="37" t="n">
        <f aca="false">SUMIF(Monthly!$C$5:$BJ$5,B$11,Monthly!$C$27:$BJ$27)</f>
        <v>3198666.85714286</v>
      </c>
      <c r="C13" s="37" t="n">
        <f aca="false">SUMIF(Monthly!$C$5:$BJ$5,C$11,Monthly!$C$27:$BJ$27)</f>
        <v>4163870.95714286</v>
      </c>
      <c r="D13" s="37" t="n">
        <f aca="false">SUMIF(Monthly!$C$5:$BJ$5,D$11,Monthly!$C$27:$BJ$27)</f>
        <v>5306753.41714286</v>
      </c>
      <c r="E13" s="37" t="n">
        <f aca="false">SUMIF(Monthly!$C$5:$BJ$5,E$11,Monthly!$C$27:$BJ$27)</f>
        <v>6669960.61402286</v>
      </c>
      <c r="F13" s="37" t="n">
        <f aca="false">SUMIF(Monthly!$C$5:$BJ$5,F$11,Monthly!$C$27:$BJ$27)</f>
        <v>8307054.90590498</v>
      </c>
    </row>
    <row r="14" customFormat="false" ht="15" hidden="false" customHeight="false" outlineLevel="0" collapsed="false">
      <c r="A14" s="38" t="s">
        <v>43</v>
      </c>
      <c r="B14" s="39" t="n">
        <f aca="false">IF(B12=0,0,B13/B12)</f>
        <v>0.58</v>
      </c>
      <c r="C14" s="39" t="n">
        <f aca="false">IF(C12=0,0,C13/C12)</f>
        <v>0.58</v>
      </c>
      <c r="D14" s="39" t="n">
        <f aca="false">IF(D12=0,0,D13/D12)</f>
        <v>0.58</v>
      </c>
      <c r="E14" s="39" t="n">
        <f aca="false">IF(E12=0,0,E13/E12)</f>
        <v>0.58</v>
      </c>
      <c r="F14" s="39" t="n">
        <f aca="false">IF(F12=0,0,F13/F12)</f>
        <v>0.58</v>
      </c>
    </row>
    <row r="15" customFormat="false" ht="15" hidden="false" customHeight="false" outlineLevel="0" collapsed="false">
      <c r="A15" s="6" t="s">
        <v>44</v>
      </c>
      <c r="B15" s="35" t="n">
        <f aca="false">SUMIF(Monthly!$C$5:$BJ$5,B$11,Monthly!$C$38:$BJ$38)</f>
        <v>-2881171.14285714</v>
      </c>
      <c r="C15" s="35" t="n">
        <f aca="false">SUMIF(Monthly!$C$5:$BJ$5,C$11,Monthly!$C$38:$BJ$38)</f>
        <v>-3582127.21428571</v>
      </c>
      <c r="D15" s="35" t="n">
        <f aca="false">SUMIF(Monthly!$C$5:$BJ$5,D$11,Monthly!$C$38:$BJ$38)</f>
        <v>-4429385.593975</v>
      </c>
      <c r="E15" s="35" t="n">
        <f aca="false">SUMIF(Monthly!$C$5:$BJ$5,E$11,Monthly!$C$38:$BJ$38)</f>
        <v>-5460233.00688573</v>
      </c>
      <c r="F15" s="35" t="n">
        <f aca="false">SUMIF(Monthly!$C$5:$BJ$5,F$11,Monthly!$C$38:$BJ$38)</f>
        <v>-6721938.23522155</v>
      </c>
    </row>
    <row r="16" customFormat="false" ht="15" hidden="false" customHeight="false" outlineLevel="0" collapsed="false">
      <c r="A16" s="36" t="s">
        <v>45</v>
      </c>
      <c r="B16" s="37" t="n">
        <f aca="false">SUMIF(Monthly!$C$5:$BJ$5,B$11,Monthly!$C$39:$BJ$39)</f>
        <v>317495.714285714</v>
      </c>
      <c r="C16" s="37" t="n">
        <f aca="false">SUMIF(Monthly!$C$5:$BJ$5,C$11,Monthly!$C$39:$BJ$39)</f>
        <v>581743.742857143</v>
      </c>
      <c r="D16" s="37" t="n">
        <f aca="false">SUMIF(Monthly!$C$5:$BJ$5,D$11,Monthly!$C$39:$BJ$39)</f>
        <v>877367.823167858</v>
      </c>
      <c r="E16" s="37" t="n">
        <f aca="false">SUMIF(Monthly!$C$5:$BJ$5,E$11,Monthly!$C$39:$BJ$39)</f>
        <v>1209727.60713713</v>
      </c>
      <c r="F16" s="37" t="n">
        <f aca="false">SUMIF(Monthly!$C$5:$BJ$5,F$11,Monthly!$C$39:$BJ$39)</f>
        <v>1585116.67068342</v>
      </c>
    </row>
    <row r="17" customFormat="false" ht="15" hidden="false" customHeight="false" outlineLevel="0" collapsed="false">
      <c r="A17" s="38" t="s">
        <v>46</v>
      </c>
      <c r="B17" s="39" t="n">
        <f aca="false">IF(B12=0,0,B16/B12)</f>
        <v>0.0575700823217959</v>
      </c>
      <c r="C17" s="39" t="n">
        <f aca="false">IF(C12=0,0,C16/C12)</f>
        <v>0.0810330998078447</v>
      </c>
      <c r="D17" s="39" t="n">
        <f aca="false">IF(D12=0,0,D16/D12)</f>
        <v>0.0958916492696836</v>
      </c>
      <c r="E17" s="39" t="n">
        <f aca="false">IF(E12=0,0,E16/E12)</f>
        <v>0.105194326135061</v>
      </c>
      <c r="F17" s="39" t="n">
        <f aca="false">IF(F12=0,0,F16/F12)</f>
        <v>0.110673118139964</v>
      </c>
    </row>
    <row r="18" customFormat="false" ht="15" hidden="false" customHeight="false" outlineLevel="0" collapsed="false">
      <c r="A18" s="40" t="s">
        <v>47</v>
      </c>
      <c r="B18" s="41" t="n">
        <f aca="false">SUMIF(Monthly!$C$5:$BJ$5,B$11,Monthly!$C$48:$BJ$48)</f>
        <v>182376.892063492</v>
      </c>
      <c r="C18" s="41" t="n">
        <f aca="false">SUMIF(Monthly!$C$5:$BJ$5,C$11,Monthly!$C$48:$BJ$48)</f>
        <v>380502.318761905</v>
      </c>
      <c r="D18" s="41" t="n">
        <f aca="false">SUMIF(Monthly!$C$5:$BJ$5,D$11,Monthly!$C$48:$BJ$48)</f>
        <v>603436.770778798</v>
      </c>
      <c r="E18" s="41" t="n">
        <f aca="false">SUMIF(Monthly!$C$5:$BJ$5,E$11,Monthly!$C$48:$BJ$48)</f>
        <v>855392.428685951</v>
      </c>
      <c r="F18" s="41" t="n">
        <f aca="false">SUMIF(Monthly!$C$5:$BJ$5,F$11,Monthly!$C$48:$BJ$48)</f>
        <v>1141341.21745895</v>
      </c>
    </row>
    <row r="19" customFormat="false" ht="15" hidden="false" customHeight="false" outlineLevel="0" collapsed="false">
      <c r="A19" s="38" t="s">
        <v>48</v>
      </c>
      <c r="B19" s="39" t="n">
        <f aca="false">IF(B12=0,0,B18/B12)</f>
        <v>0.0330695887133773</v>
      </c>
      <c r="C19" s="39" t="n">
        <f aca="false">IF(C12=0,0,C18/C12)</f>
        <v>0.0530014851933206</v>
      </c>
      <c r="D19" s="39" t="n">
        <f aca="false">IF(D12=0,0,D18/D12)</f>
        <v>0.0659524382499269</v>
      </c>
      <c r="E19" s="39" t="n">
        <f aca="false">IF(E12=0,0,E18/E12)</f>
        <v>0.0743823895443697</v>
      </c>
      <c r="F19" s="39" t="n">
        <f aca="false">IF(F12=0,0,F18/F12)</f>
        <v>0.0796886397916586</v>
      </c>
    </row>
    <row r="20" customFormat="false" ht="15" hidden="false" customHeight="false" outlineLevel="0" collapsed="false">
      <c r="A20" s="6" t="s">
        <v>49</v>
      </c>
      <c r="B20" s="35" t="n">
        <f aca="false">SUMIF(Monthly!$C$5:$BJ$5,B$11,Monthly!$C$72:$BJ$72)</f>
        <v>-146060.154365079</v>
      </c>
      <c r="C20" s="35" t="n">
        <f aca="false">SUMIF(Monthly!$C$5:$BJ$5,C$11,Monthly!$C$72:$BJ$72)</f>
        <v>334798.668940476</v>
      </c>
      <c r="D20" s="35" t="n">
        <f aca="false">SUMIF(Monthly!$C$5:$BJ$5,D$11,Monthly!$C$72:$BJ$72)</f>
        <v>557937.428885941</v>
      </c>
      <c r="E20" s="35" t="n">
        <f aca="false">SUMIF(Monthly!$C$5:$BJ$5,E$11,Monthly!$C$72:$BJ$72)</f>
        <v>804972.770106665</v>
      </c>
      <c r="F20" s="35" t="n">
        <f aca="false">SUMIF(Monthly!$C$5:$BJ$5,F$11,Monthly!$C$72:$BJ$72)</f>
        <v>1079551.31685151</v>
      </c>
    </row>
    <row r="21" customFormat="false" ht="15" hidden="false" customHeight="false" outlineLevel="0" collapsed="false">
      <c r="A21" s="6" t="s">
        <v>50</v>
      </c>
      <c r="B21" s="35" t="n">
        <f aca="false">SUMIF(Monthly!$C$5:$BJ$5,B$11,Monthly!$C$73:$BJ$73)</f>
        <v>-350000</v>
      </c>
      <c r="C21" s="35" t="n">
        <f aca="false">SUMIF(Monthly!$C$5:$BJ$5,C$11,Monthly!$C$73:$BJ$73)</f>
        <v>-150000</v>
      </c>
      <c r="D21" s="35" t="n">
        <f aca="false">SUMIF(Monthly!$C$5:$BJ$5,D$11,Monthly!$C$73:$BJ$73)</f>
        <v>-150000</v>
      </c>
      <c r="E21" s="35" t="n">
        <f aca="false">SUMIF(Monthly!$C$5:$BJ$5,E$11,Monthly!$C$73:$BJ$73)</f>
        <v>-150000</v>
      </c>
      <c r="F21" s="35" t="n">
        <f aca="false">SUMIF(Monthly!$C$5:$BJ$5,F$11,Monthly!$C$73:$BJ$73)</f>
        <v>-150000</v>
      </c>
    </row>
    <row r="22" customFormat="false" ht="15" hidden="false" customHeight="false" outlineLevel="0" collapsed="false">
      <c r="A22" s="6" t="s">
        <v>51</v>
      </c>
      <c r="B22" s="35" t="n">
        <f aca="false">SUMIF(Monthly!$C$5:$BJ$5,B$11,Monthly!$C$75:$BJ$75)</f>
        <v>1908333.33333333</v>
      </c>
      <c r="C22" s="35" t="n">
        <f aca="false">SUMIF(Monthly!$C$5:$BJ$5,C$11,Monthly!$C$75:$BJ$75)</f>
        <v>-100000</v>
      </c>
      <c r="D22" s="35" t="n">
        <f aca="false">SUMIF(Monthly!$C$5:$BJ$5,D$11,Monthly!$C$75:$BJ$75)</f>
        <v>-100000</v>
      </c>
      <c r="E22" s="35" t="n">
        <f aca="false">SUMIF(Monthly!$C$5:$BJ$5,E$11,Monthly!$C$75:$BJ$75)</f>
        <v>-100000</v>
      </c>
      <c r="F22" s="35" t="n">
        <f aca="false">SUMIF(Monthly!$C$5:$BJ$5,F$11,Monthly!$C$75:$BJ$75)</f>
        <v>-100000</v>
      </c>
    </row>
    <row r="23" customFormat="false" ht="15" hidden="false" customHeight="false" outlineLevel="0" collapsed="false">
      <c r="A23" s="36" t="s">
        <v>52</v>
      </c>
      <c r="B23" s="37" t="n">
        <f aca="false">SUMIF(Monthly!$C$5:$BJ$5,B$11,Monthly!$C$76:$BJ$76)</f>
        <v>1412273.17896825</v>
      </c>
      <c r="C23" s="37" t="n">
        <f aca="false">SUMIF(Monthly!$C$5:$BJ$5,C$11,Monthly!$C$76:$BJ$76)</f>
        <v>84798.6689404764</v>
      </c>
      <c r="D23" s="37" t="n">
        <f aca="false">SUMIF(Monthly!$C$5:$BJ$5,D$11,Monthly!$C$76:$BJ$76)</f>
        <v>307937.428885941</v>
      </c>
      <c r="E23" s="37" t="n">
        <f aca="false">SUMIF(Monthly!$C$5:$BJ$5,E$11,Monthly!$C$76:$BJ$76)</f>
        <v>554972.770106665</v>
      </c>
      <c r="F23" s="37" t="n">
        <f aca="false">SUMIF(Monthly!$C$5:$BJ$5,F$11,Monthly!$C$76:$BJ$76)</f>
        <v>829551.316851515</v>
      </c>
    </row>
    <row r="24" customFormat="false" ht="15" hidden="false" customHeight="false" outlineLevel="0" collapsed="false">
      <c r="A24" s="40" t="s">
        <v>53</v>
      </c>
      <c r="B24" s="41" t="n">
        <f aca="false">INDEX(Monthly!$C$78:$BJ$78,B$11*12)</f>
        <v>1412273.17896825</v>
      </c>
      <c r="C24" s="41" t="n">
        <f aca="false">INDEX(Monthly!$C$78:$BJ$78,C$11*12)</f>
        <v>1497071.84790873</v>
      </c>
      <c r="D24" s="41" t="n">
        <f aca="false">INDEX(Monthly!$C$78:$BJ$78,D$11*12)</f>
        <v>1805009.27679467</v>
      </c>
      <c r="E24" s="41" t="n">
        <f aca="false">INDEX(Monthly!$C$78:$BJ$78,E$11*12)</f>
        <v>2359982.04690134</v>
      </c>
      <c r="F24" s="41" t="n">
        <f aca="false">INDEX(Monthly!$C$78:$BJ$78,F$11*12)</f>
        <v>3189533.36375285</v>
      </c>
    </row>
    <row r="26" customFormat="false" ht="15.75" hidden="false" customHeight="true" outlineLevel="0" collapsed="false">
      <c r="A26" s="7" t="s">
        <v>54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55</v>
      </c>
      <c r="B28" s="35" t="n">
        <f aca="false">KPIs!B33</f>
        <v>5002714.28571429</v>
      </c>
      <c r="C28" s="35" t="n">
        <f aca="false">KPIs!C33</f>
        <v>6255514.28571429</v>
      </c>
      <c r="D28" s="35" t="n">
        <f aca="false">KPIs!D33</f>
        <v>7825294.28571429</v>
      </c>
      <c r="E28" s="35" t="n">
        <f aca="false">KPIs!E33</f>
        <v>9793054.82571429</v>
      </c>
      <c r="F28" s="35" t="n">
        <f aca="false">KPIs!F33</f>
        <v>12260689.7471743</v>
      </c>
    </row>
    <row r="29" customFormat="false" ht="15" hidden="false" customHeight="false" outlineLevel="0" collapsed="false">
      <c r="A29" s="6" t="s">
        <v>56</v>
      </c>
      <c r="B29" s="35" t="n">
        <f aca="false">KPIs!B38</f>
        <v>1125000</v>
      </c>
      <c r="C29" s="35" t="n">
        <f aca="false">KPIs!C38</f>
        <v>1721250</v>
      </c>
      <c r="D29" s="35" t="n">
        <f aca="false">KPIs!D38</f>
        <v>2340900</v>
      </c>
      <c r="E29" s="35" t="n">
        <f aca="false">KPIs!E38</f>
        <v>2984647.5</v>
      </c>
      <c r="F29" s="35" t="n">
        <f aca="false">KPIs!F38</f>
        <v>3653208.54</v>
      </c>
    </row>
    <row r="30" customFormat="false" ht="15" hidden="false" customHeight="false" outlineLevel="0" collapsed="false">
      <c r="A30" s="6" t="s">
        <v>57</v>
      </c>
      <c r="B30" s="42" t="n">
        <f aca="false">KPIs!B30</f>
        <v>66702.8571428571</v>
      </c>
      <c r="C30" s="42" t="n">
        <f aca="false">KPIs!C30</f>
        <v>81771.4285714286</v>
      </c>
      <c r="D30" s="42" t="n">
        <f aca="false">KPIs!D30</f>
        <v>100285.714285714</v>
      </c>
      <c r="E30" s="42" t="n">
        <f aca="false">KPIs!E30</f>
        <v>123042.857142857</v>
      </c>
      <c r="F30" s="42" t="n">
        <f aca="false">KPIs!F30</f>
        <v>151026.428571429</v>
      </c>
    </row>
    <row r="31" customFormat="false" ht="15" hidden="false" customHeight="false" outlineLevel="0" collapsed="false">
      <c r="A31" s="6" t="s">
        <v>58</v>
      </c>
      <c r="B31" s="42" t="n">
        <f aca="false">KPIs!B37</f>
        <v>2</v>
      </c>
      <c r="C31" s="42" t="n">
        <f aca="false">KPIs!C37</f>
        <v>3</v>
      </c>
      <c r="D31" s="42" t="n">
        <f aca="false">KPIs!D37</f>
        <v>4</v>
      </c>
      <c r="E31" s="42" t="n">
        <f aca="false">KPIs!E37</f>
        <v>5</v>
      </c>
      <c r="F31" s="42" t="n">
        <f aca="false">KPIs!F37</f>
        <v>6</v>
      </c>
    </row>
    <row r="32" customFormat="false" ht="15" hidden="false" customHeight="false" outlineLevel="0" collapsed="false">
      <c r="A32" s="6" t="s">
        <v>59</v>
      </c>
      <c r="B32" s="43" t="n">
        <f aca="false">INDEX(Headcount!$C$12:$BJ$12,B$27*12)</f>
        <v>21</v>
      </c>
      <c r="C32" s="43" t="n">
        <f aca="false">INDEX(Headcount!$C$12:$BJ$12,C$27*12)</f>
        <v>25.85</v>
      </c>
      <c r="D32" s="43" t="n">
        <f aca="false">INDEX(Headcount!$C$12:$BJ$12,D$27*12)</f>
        <v>31.8875</v>
      </c>
      <c r="E32" s="43" t="n">
        <f aca="false">INDEX(Headcount!$C$12:$BJ$12,E$27*12)</f>
        <v>39.418625</v>
      </c>
      <c r="F32" s="43" t="n">
        <f aca="false">INDEX(Headcount!$C$12:$BJ$12,F$27*12)</f>
        <v>48.83181875</v>
      </c>
    </row>
    <row r="34" customFormat="false" ht="15.75" hidden="false" customHeight="true" outlineLevel="0" collapsed="false">
      <c r="A34" s="7" t="s">
        <v>60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61</v>
      </c>
      <c r="B35" s="44"/>
      <c r="C35" s="44"/>
      <c r="D35" s="44"/>
      <c r="E35" s="44"/>
      <c r="F35" s="45" t="n">
        <f aca="false">Inputs!$E$58</f>
        <v>1500000</v>
      </c>
    </row>
    <row r="36" customFormat="false" ht="15" hidden="false" customHeight="false" outlineLevel="0" collapsed="false">
      <c r="A36" s="6" t="s">
        <v>62</v>
      </c>
      <c r="B36" s="44"/>
      <c r="C36" s="44"/>
      <c r="D36" s="44"/>
      <c r="E36" s="44"/>
      <c r="F36" s="45" t="n">
        <f aca="false">Inputs!$E$59</f>
        <v>500000</v>
      </c>
    </row>
    <row r="37" customFormat="false" ht="15" hidden="false" customHeight="false" outlineLevel="0" collapsed="false">
      <c r="A37" s="6" t="s">
        <v>63</v>
      </c>
      <c r="B37" s="44"/>
      <c r="C37" s="44"/>
      <c r="D37" s="44"/>
      <c r="E37" s="44"/>
      <c r="F37" s="45" t="n">
        <f aca="false">'Break-even'!B12</f>
        <v>1459694.9207506</v>
      </c>
    </row>
    <row r="38" customFormat="false" ht="15" hidden="false" customHeight="false" outlineLevel="0" collapsed="false">
      <c r="A38" s="36" t="s">
        <v>64</v>
      </c>
      <c r="B38" s="36"/>
      <c r="C38" s="36"/>
      <c r="D38" s="36"/>
      <c r="E38" s="36"/>
      <c r="F38" s="37" t="n">
        <f aca="false">'Break-even'!B17</f>
        <v>540305.079249405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13)</v>
      </c>
      <c r="B39" s="44"/>
      <c r="C39" s="44"/>
      <c r="D39" s="44"/>
      <c r="E39" s="44"/>
      <c r="F39" s="45" t="n">
        <f aca="false">'Break-even'!B18</f>
        <v>1260305.0792494</v>
      </c>
    </row>
    <row r="40" customFormat="false" ht="15" hidden="false" customHeight="false" outlineLevel="0" collapsed="false">
      <c r="A40" s="6" t="s">
        <v>65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66</v>
      </c>
      <c r="B41" s="44"/>
      <c r="C41" s="44"/>
      <c r="D41" s="44"/>
      <c r="E41" s="44"/>
      <c r="F41" s="46" t="n">
        <f aca="false">'Break-even'!B23</f>
        <v>36</v>
      </c>
    </row>
    <row r="42" customFormat="false" ht="15" hidden="false" customHeight="false" outlineLevel="0" collapsed="false">
      <c r="A42" s="6" t="s">
        <v>67</v>
      </c>
      <c r="B42" s="44"/>
      <c r="C42" s="44"/>
      <c r="D42" s="44"/>
      <c r="E42" s="44"/>
      <c r="F42" s="45" t="n">
        <f aca="false">Valuation!B27</f>
        <v>4072114.73531411</v>
      </c>
    </row>
    <row r="43" customFormat="false" ht="15" hidden="false" customHeight="false" outlineLevel="0" collapsed="false">
      <c r="A43" s="6" t="s">
        <v>68</v>
      </c>
      <c r="B43" s="44"/>
      <c r="C43" s="44"/>
      <c r="D43" s="44"/>
      <c r="E43" s="44"/>
      <c r="F43" s="45" t="n">
        <f aca="false">Valuation!C27</f>
        <v>4985697.71041056</v>
      </c>
    </row>
    <row r="44" customFormat="false" ht="15" hidden="false" customHeight="false" outlineLevel="0" collapsed="false">
      <c r="A44" s="40" t="s">
        <v>69</v>
      </c>
      <c r="B44" s="40"/>
      <c r="C44" s="40"/>
      <c r="D44" s="40"/>
      <c r="E44" s="40"/>
      <c r="F44" s="41" t="n">
        <f aca="false">Valuation!B30</f>
        <v>4528906.22286234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70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71</v>
      </c>
      <c r="R2" s="47" t="n">
        <v>1</v>
      </c>
      <c r="S2" s="47"/>
    </row>
    <row r="5" customFormat="false" ht="15.75" hidden="false" customHeight="true" outlineLevel="0" collapsed="false">
      <c r="A5" s="7" t="s">
        <v>72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41</v>
      </c>
      <c r="B7" s="35" t="n">
        <f aca="false">'P&amp;L'!B5</f>
        <v>5514942.85714286</v>
      </c>
      <c r="C7" s="35" t="n">
        <f aca="false">'P&amp;L'!C5</f>
        <v>7179087.85714286</v>
      </c>
      <c r="D7" s="35" t="n">
        <f aca="false">'P&amp;L'!D5</f>
        <v>9149574.85714286</v>
      </c>
      <c r="E7" s="35" t="n">
        <f aca="false">'P&amp;L'!E5</f>
        <v>11499932.0931429</v>
      </c>
      <c r="F7" s="35" t="n">
        <f aca="false">'P&amp;L'!F5</f>
        <v>14322508.4584569</v>
      </c>
      <c r="H7" s="35" t="n">
        <f aca="false">INDEX(Monthly!$C$25:$BJ$25,($R$2-1)*12+1)</f>
        <v>442852.071428571</v>
      </c>
      <c r="I7" s="35" t="n">
        <f aca="false">INDEX(Monthly!$C$25:$BJ$25,($R$2-1)*12+2)</f>
        <v>442852.071428571</v>
      </c>
      <c r="J7" s="35" t="n">
        <f aca="false">INDEX(Monthly!$C$25:$BJ$25,($R$2-1)*12+3)</f>
        <v>442852.071428571</v>
      </c>
      <c r="K7" s="35" t="n">
        <f aca="false">INDEX(Monthly!$C$25:$BJ$25,($R$2-1)*12+4)</f>
        <v>442852.071428571</v>
      </c>
      <c r="L7" s="35" t="n">
        <f aca="false">INDEX(Monthly!$C$25:$BJ$25,($R$2-1)*12+5)</f>
        <v>442852.071428571</v>
      </c>
      <c r="M7" s="35" t="n">
        <f aca="false">INDEX(Monthly!$C$25:$BJ$25,($R$2-1)*12+6)</f>
        <v>442852.071428571</v>
      </c>
      <c r="N7" s="35" t="n">
        <f aca="false">INDEX(Monthly!$C$25:$BJ$25,($R$2-1)*12+7)</f>
        <v>442852.071428571</v>
      </c>
      <c r="O7" s="35" t="n">
        <f aca="false">INDEX(Monthly!$C$25:$BJ$25,($R$2-1)*12+8)</f>
        <v>442852.071428571</v>
      </c>
      <c r="P7" s="35" t="n">
        <f aca="false">INDEX(Monthly!$C$25:$BJ$25,($R$2-1)*12+9)</f>
        <v>442852.071428571</v>
      </c>
      <c r="Q7" s="35" t="n">
        <f aca="false">INDEX(Monthly!$C$25:$BJ$25,($R$2-1)*12+10)</f>
        <v>442852.071428571</v>
      </c>
      <c r="R7" s="35" t="n">
        <f aca="false">INDEX(Monthly!$C$25:$BJ$25,($R$2-1)*12+11)</f>
        <v>543211.071428572</v>
      </c>
      <c r="S7" s="35" t="n">
        <f aca="false">INDEX(Monthly!$C$25:$BJ$25,($R$2-1)*12+12)</f>
        <v>543211.071428572</v>
      </c>
    </row>
    <row r="8" customFormat="false" ht="15" hidden="false" customHeight="false" outlineLevel="0" collapsed="false">
      <c r="A8" s="49" t="s">
        <v>73</v>
      </c>
      <c r="B8" s="35" t="n">
        <f aca="false">'P&amp;L'!B6</f>
        <v>-2316276</v>
      </c>
      <c r="C8" s="35" t="n">
        <f aca="false">'P&amp;L'!C6</f>
        <v>-3015216.9</v>
      </c>
      <c r="D8" s="35" t="n">
        <f aca="false">'P&amp;L'!D6</f>
        <v>-3842821.44</v>
      </c>
      <c r="E8" s="35" t="n">
        <f aca="false">'P&amp;L'!E6</f>
        <v>-4829971.47912</v>
      </c>
      <c r="F8" s="35" t="n">
        <f aca="false">'P&amp;L'!F6</f>
        <v>-6015453.55255188</v>
      </c>
      <c r="H8" s="35" t="n">
        <f aca="false">INDEX(Monthly!$C$26:$BJ$26,($R$2-1)*12+1)</f>
        <v>-185997.87</v>
      </c>
      <c r="I8" s="35" t="n">
        <f aca="false">INDEX(Monthly!$C$26:$BJ$26,($R$2-1)*12+2)</f>
        <v>-185997.87</v>
      </c>
      <c r="J8" s="35" t="n">
        <f aca="false">INDEX(Monthly!$C$26:$BJ$26,($R$2-1)*12+3)</f>
        <v>-185997.87</v>
      </c>
      <c r="K8" s="35" t="n">
        <f aca="false">INDEX(Monthly!$C$26:$BJ$26,($R$2-1)*12+4)</f>
        <v>-185997.87</v>
      </c>
      <c r="L8" s="35" t="n">
        <f aca="false">INDEX(Monthly!$C$26:$BJ$26,($R$2-1)*12+5)</f>
        <v>-185997.87</v>
      </c>
      <c r="M8" s="35" t="n">
        <f aca="false">INDEX(Monthly!$C$26:$BJ$26,($R$2-1)*12+6)</f>
        <v>-185997.87</v>
      </c>
      <c r="N8" s="35" t="n">
        <f aca="false">INDEX(Monthly!$C$26:$BJ$26,($R$2-1)*12+7)</f>
        <v>-185997.87</v>
      </c>
      <c r="O8" s="35" t="n">
        <f aca="false">INDEX(Monthly!$C$26:$BJ$26,($R$2-1)*12+8)</f>
        <v>-185997.87</v>
      </c>
      <c r="P8" s="35" t="n">
        <f aca="false">INDEX(Monthly!$C$26:$BJ$26,($R$2-1)*12+9)</f>
        <v>-185997.87</v>
      </c>
      <c r="Q8" s="35" t="n">
        <f aca="false">INDEX(Monthly!$C$26:$BJ$26,($R$2-1)*12+10)</f>
        <v>-185997.87</v>
      </c>
      <c r="R8" s="35" t="n">
        <f aca="false">INDEX(Monthly!$C$26:$BJ$26,($R$2-1)*12+11)</f>
        <v>-228148.65</v>
      </c>
      <c r="S8" s="35" t="n">
        <f aca="false">INDEX(Monthly!$C$26:$BJ$26,($R$2-1)*12+12)</f>
        <v>-228148.65</v>
      </c>
    </row>
    <row r="9" customFormat="false" ht="15" hidden="false" customHeight="false" outlineLevel="0" collapsed="false">
      <c r="A9" s="36" t="s">
        <v>42</v>
      </c>
      <c r="B9" s="37" t="n">
        <f aca="false">'P&amp;L'!B7</f>
        <v>3198666.85714286</v>
      </c>
      <c r="C9" s="37" t="n">
        <f aca="false">'P&amp;L'!C7</f>
        <v>4163870.95714286</v>
      </c>
      <c r="D9" s="37" t="n">
        <f aca="false">'P&amp;L'!D7</f>
        <v>5306753.41714286</v>
      </c>
      <c r="E9" s="37" t="n">
        <f aca="false">'P&amp;L'!E7</f>
        <v>6669960.61402286</v>
      </c>
      <c r="F9" s="37" t="n">
        <f aca="false">'P&amp;L'!F7</f>
        <v>8307054.90590498</v>
      </c>
      <c r="H9" s="37" t="n">
        <f aca="false">INDEX(Monthly!$C$27:$BJ$27,($R$2-1)*12+1)</f>
        <v>256854.201428571</v>
      </c>
      <c r="I9" s="37" t="n">
        <f aca="false">INDEX(Monthly!$C$27:$BJ$27,($R$2-1)*12+2)</f>
        <v>256854.201428571</v>
      </c>
      <c r="J9" s="37" t="n">
        <f aca="false">INDEX(Monthly!$C$27:$BJ$27,($R$2-1)*12+3)</f>
        <v>256854.201428571</v>
      </c>
      <c r="K9" s="37" t="n">
        <f aca="false">INDEX(Monthly!$C$27:$BJ$27,($R$2-1)*12+4)</f>
        <v>256854.201428571</v>
      </c>
      <c r="L9" s="37" t="n">
        <f aca="false">INDEX(Monthly!$C$27:$BJ$27,($R$2-1)*12+5)</f>
        <v>256854.201428571</v>
      </c>
      <c r="M9" s="37" t="n">
        <f aca="false">INDEX(Monthly!$C$27:$BJ$27,($R$2-1)*12+6)</f>
        <v>256854.201428571</v>
      </c>
      <c r="N9" s="37" t="n">
        <f aca="false">INDEX(Monthly!$C$27:$BJ$27,($R$2-1)*12+7)</f>
        <v>256854.201428571</v>
      </c>
      <c r="O9" s="37" t="n">
        <f aca="false">INDEX(Monthly!$C$27:$BJ$27,($R$2-1)*12+8)</f>
        <v>256854.201428571</v>
      </c>
      <c r="P9" s="37" t="n">
        <f aca="false">INDEX(Monthly!$C$27:$BJ$27,($R$2-1)*12+9)</f>
        <v>256854.201428571</v>
      </c>
      <c r="Q9" s="37" t="n">
        <f aca="false">INDEX(Monthly!$C$27:$BJ$27,($R$2-1)*12+10)</f>
        <v>256854.201428571</v>
      </c>
      <c r="R9" s="37" t="n">
        <f aca="false">INDEX(Monthly!$C$27:$BJ$27,($R$2-1)*12+11)</f>
        <v>315062.421428572</v>
      </c>
      <c r="S9" s="37" t="n">
        <f aca="false">INDEX(Monthly!$C$27:$BJ$27,($R$2-1)*12+12)</f>
        <v>315062.421428572</v>
      </c>
    </row>
    <row r="10" customFormat="false" ht="15" hidden="false" customHeight="false" outlineLevel="0" collapsed="false">
      <c r="A10" s="38" t="s">
        <v>43</v>
      </c>
      <c r="B10" s="39" t="n">
        <f aca="false">'P&amp;L'!B8</f>
        <v>0.58</v>
      </c>
      <c r="C10" s="39" t="n">
        <f aca="false">'P&amp;L'!C8</f>
        <v>0.58</v>
      </c>
      <c r="D10" s="39" t="n">
        <f aca="false">'P&amp;L'!D8</f>
        <v>0.58</v>
      </c>
      <c r="E10" s="39" t="n">
        <f aca="false">'P&amp;L'!E8</f>
        <v>0.58</v>
      </c>
      <c r="F10" s="39" t="n">
        <f aca="false">'P&amp;L'!F8</f>
        <v>0.58</v>
      </c>
      <c r="H10" s="39" t="n">
        <f aca="false">IF(H7=0,0,H9/H7)</f>
        <v>0.58</v>
      </c>
      <c r="I10" s="39" t="n">
        <f aca="false">IF(I7=0,0,I9/I7)</f>
        <v>0.58</v>
      </c>
      <c r="J10" s="39" t="n">
        <f aca="false">IF(J7=0,0,J9/J7)</f>
        <v>0.58</v>
      </c>
      <c r="K10" s="39" t="n">
        <f aca="false">IF(K7=0,0,K9/K7)</f>
        <v>0.58</v>
      </c>
      <c r="L10" s="39" t="n">
        <f aca="false">IF(L7=0,0,L9/L7)</f>
        <v>0.58</v>
      </c>
      <c r="M10" s="39" t="n">
        <f aca="false">IF(M7=0,0,M9/M7)</f>
        <v>0.58</v>
      </c>
      <c r="N10" s="39" t="n">
        <f aca="false">IF(N7=0,0,N9/N7)</f>
        <v>0.58</v>
      </c>
      <c r="O10" s="39" t="n">
        <f aca="false">IF(O7=0,0,O9/O7)</f>
        <v>0.58</v>
      </c>
      <c r="P10" s="39" t="n">
        <f aca="false">IF(P7=0,0,P9/P7)</f>
        <v>0.58</v>
      </c>
      <c r="Q10" s="39" t="n">
        <f aca="false">IF(Q7=0,0,Q9/Q7)</f>
        <v>0.58</v>
      </c>
      <c r="R10" s="39" t="n">
        <f aca="false">IF(R7=0,0,R9/R7)</f>
        <v>0.58</v>
      </c>
      <c r="S10" s="39" t="n">
        <f aca="false">IF(S7=0,0,S9/S7)</f>
        <v>0.58</v>
      </c>
    </row>
    <row r="11" customFormat="false" ht="15" hidden="false" customHeight="false" outlineLevel="0" collapsed="false">
      <c r="A11" s="49" t="s">
        <v>74</v>
      </c>
      <c r="B11" s="35" t="n">
        <f aca="false">'P&amp;L'!B17</f>
        <v>-2881171.14285714</v>
      </c>
      <c r="C11" s="35" t="n">
        <f aca="false">'P&amp;L'!C17</f>
        <v>-3582127.21428571</v>
      </c>
      <c r="D11" s="35" t="n">
        <f aca="false">'P&amp;L'!D17</f>
        <v>-4429385.593975</v>
      </c>
      <c r="E11" s="35" t="n">
        <f aca="false">'P&amp;L'!E17</f>
        <v>-5460233.00688573</v>
      </c>
      <c r="F11" s="35" t="n">
        <f aca="false">'P&amp;L'!F17</f>
        <v>-6721938.23522155</v>
      </c>
      <c r="H11" s="35" t="n">
        <f aca="false">INDEX(Monthly!$C$38:$BJ$38,($R$2-1)*12+1)</f>
        <v>-238213.400238095</v>
      </c>
      <c r="I11" s="35" t="n">
        <f aca="false">INDEX(Monthly!$C$38:$BJ$38,($R$2-1)*12+2)</f>
        <v>-238213.400238095</v>
      </c>
      <c r="J11" s="35" t="n">
        <f aca="false">INDEX(Monthly!$C$38:$BJ$38,($R$2-1)*12+3)</f>
        <v>-238213.400238095</v>
      </c>
      <c r="K11" s="35" t="n">
        <f aca="false">INDEX(Monthly!$C$38:$BJ$38,($R$2-1)*12+4)</f>
        <v>-238213.400238095</v>
      </c>
      <c r="L11" s="35" t="n">
        <f aca="false">INDEX(Monthly!$C$38:$BJ$38,($R$2-1)*12+5)</f>
        <v>-238213.400238095</v>
      </c>
      <c r="M11" s="35" t="n">
        <f aca="false">INDEX(Monthly!$C$38:$BJ$38,($R$2-1)*12+6)</f>
        <v>-238213.400238095</v>
      </c>
      <c r="N11" s="35" t="n">
        <f aca="false">INDEX(Monthly!$C$38:$BJ$38,($R$2-1)*12+7)</f>
        <v>-238213.400238095</v>
      </c>
      <c r="O11" s="35" t="n">
        <f aca="false">INDEX(Monthly!$C$38:$BJ$38,($R$2-1)*12+8)</f>
        <v>-238213.400238095</v>
      </c>
      <c r="P11" s="35" t="n">
        <f aca="false">INDEX(Monthly!$C$38:$BJ$38,($R$2-1)*12+9)</f>
        <v>-238213.400238095</v>
      </c>
      <c r="Q11" s="35" t="n">
        <f aca="false">INDEX(Monthly!$C$38:$BJ$38,($R$2-1)*12+10)</f>
        <v>-238213.400238095</v>
      </c>
      <c r="R11" s="35" t="n">
        <f aca="false">INDEX(Monthly!$C$38:$BJ$38,($R$2-1)*12+11)</f>
        <v>-249518.570238095</v>
      </c>
      <c r="S11" s="35" t="n">
        <f aca="false">INDEX(Monthly!$C$38:$BJ$38,($R$2-1)*12+12)</f>
        <v>-249518.570238095</v>
      </c>
    </row>
    <row r="12" customFormat="false" ht="15" hidden="false" customHeight="false" outlineLevel="0" collapsed="false">
      <c r="A12" s="36" t="s">
        <v>45</v>
      </c>
      <c r="B12" s="37" t="n">
        <f aca="false">'P&amp;L'!B18</f>
        <v>317495.714285714</v>
      </c>
      <c r="C12" s="37" t="n">
        <f aca="false">'P&amp;L'!C18</f>
        <v>581743.742857143</v>
      </c>
      <c r="D12" s="37" t="n">
        <f aca="false">'P&amp;L'!D18</f>
        <v>877367.823167858</v>
      </c>
      <c r="E12" s="37" t="n">
        <f aca="false">'P&amp;L'!E18</f>
        <v>1209727.60713713</v>
      </c>
      <c r="F12" s="37" t="n">
        <f aca="false">'P&amp;L'!F18</f>
        <v>1585116.67068342</v>
      </c>
      <c r="H12" s="37" t="n">
        <f aca="false">INDEX(Monthly!$C$39:$BJ$39,($R$2-1)*12+1)</f>
        <v>18640.8011904762</v>
      </c>
      <c r="I12" s="37" t="n">
        <f aca="false">INDEX(Monthly!$C$39:$BJ$39,($R$2-1)*12+2)</f>
        <v>18640.8011904762</v>
      </c>
      <c r="J12" s="37" t="n">
        <f aca="false">INDEX(Monthly!$C$39:$BJ$39,($R$2-1)*12+3)</f>
        <v>18640.8011904762</v>
      </c>
      <c r="K12" s="37" t="n">
        <f aca="false">INDEX(Monthly!$C$39:$BJ$39,($R$2-1)*12+4)</f>
        <v>18640.8011904762</v>
      </c>
      <c r="L12" s="37" t="n">
        <f aca="false">INDEX(Monthly!$C$39:$BJ$39,($R$2-1)*12+5)</f>
        <v>18640.8011904762</v>
      </c>
      <c r="M12" s="37" t="n">
        <f aca="false">INDEX(Monthly!$C$39:$BJ$39,($R$2-1)*12+6)</f>
        <v>18640.8011904762</v>
      </c>
      <c r="N12" s="37" t="n">
        <f aca="false">INDEX(Monthly!$C$39:$BJ$39,($R$2-1)*12+7)</f>
        <v>18640.8011904762</v>
      </c>
      <c r="O12" s="37" t="n">
        <f aca="false">INDEX(Monthly!$C$39:$BJ$39,($R$2-1)*12+8)</f>
        <v>18640.8011904762</v>
      </c>
      <c r="P12" s="37" t="n">
        <f aca="false">INDEX(Monthly!$C$39:$BJ$39,($R$2-1)*12+9)</f>
        <v>18640.8011904762</v>
      </c>
      <c r="Q12" s="37" t="n">
        <f aca="false">INDEX(Monthly!$C$39:$BJ$39,($R$2-1)*12+10)</f>
        <v>18640.8011904762</v>
      </c>
      <c r="R12" s="37" t="n">
        <f aca="false">INDEX(Monthly!$C$39:$BJ$39,($R$2-1)*12+11)</f>
        <v>65543.8511904763</v>
      </c>
      <c r="S12" s="37" t="n">
        <f aca="false">INDEX(Monthly!$C$39:$BJ$39,($R$2-1)*12+12)</f>
        <v>65543.8511904763</v>
      </c>
    </row>
    <row r="13" customFormat="false" ht="15" hidden="false" customHeight="false" outlineLevel="0" collapsed="false">
      <c r="A13" s="38" t="s">
        <v>46</v>
      </c>
      <c r="B13" s="39" t="n">
        <f aca="false">'P&amp;L'!B19</f>
        <v>0.0575700823217959</v>
      </c>
      <c r="C13" s="39" t="n">
        <f aca="false">'P&amp;L'!C19</f>
        <v>0.0810330998078447</v>
      </c>
      <c r="D13" s="39" t="n">
        <f aca="false">'P&amp;L'!D19</f>
        <v>0.0958916492696836</v>
      </c>
      <c r="E13" s="39" t="n">
        <f aca="false">'P&amp;L'!E19</f>
        <v>0.105194326135061</v>
      </c>
      <c r="F13" s="39" t="n">
        <f aca="false">'P&amp;L'!F19</f>
        <v>0.110673118139964</v>
      </c>
      <c r="H13" s="39" t="n">
        <f aca="false">IF(H7=0,0,H12/H7)</f>
        <v>0.0420926137487488</v>
      </c>
      <c r="I13" s="39" t="n">
        <f aca="false">IF(I7=0,0,I12/I7)</f>
        <v>0.0420926137487488</v>
      </c>
      <c r="J13" s="39" t="n">
        <f aca="false">IF(J7=0,0,J12/J7)</f>
        <v>0.0420926137487488</v>
      </c>
      <c r="K13" s="39" t="n">
        <f aca="false">IF(K7=0,0,K12/K7)</f>
        <v>0.0420926137487488</v>
      </c>
      <c r="L13" s="39" t="n">
        <f aca="false">IF(L7=0,0,L12/L7)</f>
        <v>0.0420926137487488</v>
      </c>
      <c r="M13" s="39" t="n">
        <f aca="false">IF(M7=0,0,M12/M7)</f>
        <v>0.0420926137487488</v>
      </c>
      <c r="N13" s="39" t="n">
        <f aca="false">IF(N7=0,0,N12/N7)</f>
        <v>0.0420926137487488</v>
      </c>
      <c r="O13" s="39" t="n">
        <f aca="false">IF(O7=0,0,O12/O7)</f>
        <v>0.0420926137487488</v>
      </c>
      <c r="P13" s="39" t="n">
        <f aca="false">IF(P7=0,0,P12/P7)</f>
        <v>0.0420926137487488</v>
      </c>
      <c r="Q13" s="39" t="n">
        <f aca="false">IF(Q7=0,0,Q12/Q7)</f>
        <v>0.0420926137487488</v>
      </c>
      <c r="R13" s="39" t="n">
        <f aca="false">IF(R7=0,0,R12/R7)</f>
        <v>0.120660006096902</v>
      </c>
      <c r="S13" s="39" t="n">
        <f aca="false">IF(S7=0,0,S12/S7)</f>
        <v>0.120660006096902</v>
      </c>
    </row>
    <row r="14" customFormat="false" ht="15" hidden="false" customHeight="false" outlineLevel="0" collapsed="false">
      <c r="A14" s="49" t="s">
        <v>75</v>
      </c>
      <c r="B14" s="35" t="n">
        <f aca="false">'P&amp;L'!B20</f>
        <v>-50000</v>
      </c>
      <c r="C14" s="35" t="n">
        <f aca="false">'P&amp;L'!C20</f>
        <v>-71428.5714285714</v>
      </c>
      <c r="D14" s="35" t="n">
        <f aca="false">'P&amp;L'!D20</f>
        <v>-92857.1428571429</v>
      </c>
      <c r="E14" s="35" t="n">
        <f aca="false">'P&amp;L'!E20</f>
        <v>-114285.714285714</v>
      </c>
      <c r="F14" s="35" t="n">
        <f aca="false">'P&amp;L'!F20</f>
        <v>-135714.285714286</v>
      </c>
      <c r="H14" s="35" t="n">
        <f aca="false">INDEX(Monthly!$C$53:$BJ$53,($R$2-1)*12+1)</f>
        <v>-4166.66666666667</v>
      </c>
      <c r="I14" s="35" t="n">
        <f aca="false">INDEX(Monthly!$C$53:$BJ$53,($R$2-1)*12+2)</f>
        <v>-4166.66666666667</v>
      </c>
      <c r="J14" s="35" t="n">
        <f aca="false">INDEX(Monthly!$C$53:$BJ$53,($R$2-1)*12+3)</f>
        <v>-4166.66666666667</v>
      </c>
      <c r="K14" s="35" t="n">
        <f aca="false">INDEX(Monthly!$C$53:$BJ$53,($R$2-1)*12+4)</f>
        <v>-4166.66666666667</v>
      </c>
      <c r="L14" s="35" t="n">
        <f aca="false">INDEX(Monthly!$C$53:$BJ$53,($R$2-1)*12+5)</f>
        <v>-4166.66666666667</v>
      </c>
      <c r="M14" s="35" t="n">
        <f aca="false">INDEX(Monthly!$C$53:$BJ$53,($R$2-1)*12+6)</f>
        <v>-4166.66666666667</v>
      </c>
      <c r="N14" s="35" t="n">
        <f aca="false">INDEX(Monthly!$C$53:$BJ$53,($R$2-1)*12+7)</f>
        <v>-4166.66666666667</v>
      </c>
      <c r="O14" s="35" t="n">
        <f aca="false">INDEX(Monthly!$C$53:$BJ$53,($R$2-1)*12+8)</f>
        <v>-4166.66666666667</v>
      </c>
      <c r="P14" s="35" t="n">
        <f aca="false">INDEX(Monthly!$C$53:$BJ$53,($R$2-1)*12+9)</f>
        <v>-4166.66666666667</v>
      </c>
      <c r="Q14" s="35" t="n">
        <f aca="false">INDEX(Monthly!$C$53:$BJ$53,($R$2-1)*12+10)</f>
        <v>-4166.66666666667</v>
      </c>
      <c r="R14" s="35" t="n">
        <f aca="false">INDEX(Monthly!$C$53:$BJ$53,($R$2-1)*12+11)</f>
        <v>-4166.66666666667</v>
      </c>
      <c r="S14" s="35" t="n">
        <f aca="false">INDEX(Monthly!$C$53:$BJ$53,($R$2-1)*12+12)</f>
        <v>-4166.66666666667</v>
      </c>
    </row>
    <row r="15" customFormat="false" ht="15" hidden="false" customHeight="false" outlineLevel="0" collapsed="false">
      <c r="A15" s="36" t="s">
        <v>76</v>
      </c>
      <c r="B15" s="37" t="n">
        <f aca="false">'P&amp;L'!B21</f>
        <v>267495.714285714</v>
      </c>
      <c r="C15" s="37" t="n">
        <f aca="false">'P&amp;L'!C21</f>
        <v>510315.171428572</v>
      </c>
      <c r="D15" s="37" t="n">
        <f aca="false">'P&amp;L'!D21</f>
        <v>784510.680310715</v>
      </c>
      <c r="E15" s="37" t="n">
        <f aca="false">'P&amp;L'!E21</f>
        <v>1095441.89285141</v>
      </c>
      <c r="F15" s="37" t="n">
        <f aca="false">'P&amp;L'!F21</f>
        <v>1449402.38496914</v>
      </c>
      <c r="H15" s="37" t="n">
        <f aca="false">INDEX(Monthly!$C$42:$BJ$42,($R$2-1)*12+1)</f>
        <v>14474.1345238095</v>
      </c>
      <c r="I15" s="37" t="n">
        <f aca="false">INDEX(Monthly!$C$42:$BJ$42,($R$2-1)*12+2)</f>
        <v>14474.1345238095</v>
      </c>
      <c r="J15" s="37" t="n">
        <f aca="false">INDEX(Monthly!$C$42:$BJ$42,($R$2-1)*12+3)</f>
        <v>14474.1345238095</v>
      </c>
      <c r="K15" s="37" t="n">
        <f aca="false">INDEX(Monthly!$C$42:$BJ$42,($R$2-1)*12+4)</f>
        <v>14474.1345238095</v>
      </c>
      <c r="L15" s="37" t="n">
        <f aca="false">INDEX(Monthly!$C$42:$BJ$42,($R$2-1)*12+5)</f>
        <v>14474.1345238095</v>
      </c>
      <c r="M15" s="37" t="n">
        <f aca="false">INDEX(Monthly!$C$42:$BJ$42,($R$2-1)*12+6)</f>
        <v>14474.1345238095</v>
      </c>
      <c r="N15" s="37" t="n">
        <f aca="false">INDEX(Monthly!$C$42:$BJ$42,($R$2-1)*12+7)</f>
        <v>14474.1345238095</v>
      </c>
      <c r="O15" s="37" t="n">
        <f aca="false">INDEX(Monthly!$C$42:$BJ$42,($R$2-1)*12+8)</f>
        <v>14474.1345238095</v>
      </c>
      <c r="P15" s="37" t="n">
        <f aca="false">INDEX(Monthly!$C$42:$BJ$42,($R$2-1)*12+9)</f>
        <v>14474.1345238095</v>
      </c>
      <c r="Q15" s="37" t="n">
        <f aca="false">INDEX(Monthly!$C$42:$BJ$42,($R$2-1)*12+10)</f>
        <v>14474.1345238095</v>
      </c>
      <c r="R15" s="37" t="n">
        <f aca="false">INDEX(Monthly!$C$42:$BJ$42,($R$2-1)*12+11)</f>
        <v>61377.1845238097</v>
      </c>
      <c r="S15" s="37" t="n">
        <f aca="false">INDEX(Monthly!$C$42:$BJ$42,($R$2-1)*12+12)</f>
        <v>61377.1845238097</v>
      </c>
    </row>
    <row r="16" customFormat="false" ht="15" hidden="false" customHeight="false" outlineLevel="0" collapsed="false">
      <c r="A16" s="49" t="s">
        <v>77</v>
      </c>
      <c r="B16" s="35" t="n">
        <f aca="false">'P&amp;L'!B22</f>
        <v>-36638.8888888889</v>
      </c>
      <c r="C16" s="35" t="n">
        <f aca="false">'P&amp;L'!C22</f>
        <v>-28666.6666666667</v>
      </c>
      <c r="D16" s="35" t="n">
        <f aca="false">'P&amp;L'!D22</f>
        <v>-20666.6666666667</v>
      </c>
      <c r="E16" s="35" t="n">
        <f aca="false">'P&amp;L'!E22</f>
        <v>-12666.6666666667</v>
      </c>
      <c r="F16" s="35" t="n">
        <f aca="false">'P&amp;L'!F22</f>
        <v>-4666.6666666667</v>
      </c>
      <c r="H16" s="35" t="n">
        <f aca="false">INDEX(Monthly!$C$43:$BJ$43,($R$2-1)*12+1)</f>
        <v>-3333.33333333333</v>
      </c>
      <c r="I16" s="35" t="n">
        <f aca="false">INDEX(Monthly!$C$43:$BJ$43,($R$2-1)*12+2)</f>
        <v>-3305.55555555556</v>
      </c>
      <c r="J16" s="35" t="n">
        <f aca="false">INDEX(Monthly!$C$43:$BJ$43,($R$2-1)*12+3)</f>
        <v>-3250</v>
      </c>
      <c r="K16" s="35" t="n">
        <f aca="false">INDEX(Monthly!$C$43:$BJ$43,($R$2-1)*12+4)</f>
        <v>-3194.44444444445</v>
      </c>
      <c r="L16" s="35" t="n">
        <f aca="false">INDEX(Monthly!$C$43:$BJ$43,($R$2-1)*12+5)</f>
        <v>-3138.88888888889</v>
      </c>
      <c r="M16" s="35" t="n">
        <f aca="false">INDEX(Monthly!$C$43:$BJ$43,($R$2-1)*12+6)</f>
        <v>-3083.33333333333</v>
      </c>
      <c r="N16" s="35" t="n">
        <f aca="false">INDEX(Monthly!$C$43:$BJ$43,($R$2-1)*12+7)</f>
        <v>-3027.77777777778</v>
      </c>
      <c r="O16" s="35" t="n">
        <f aca="false">INDEX(Monthly!$C$43:$BJ$43,($R$2-1)*12+8)</f>
        <v>-2972.22222222222</v>
      </c>
      <c r="P16" s="35" t="n">
        <f aca="false">INDEX(Monthly!$C$43:$BJ$43,($R$2-1)*12+9)</f>
        <v>-2916.66666666667</v>
      </c>
      <c r="Q16" s="35" t="n">
        <f aca="false">INDEX(Monthly!$C$43:$BJ$43,($R$2-1)*12+10)</f>
        <v>-2861.11111111111</v>
      </c>
      <c r="R16" s="35" t="n">
        <f aca="false">INDEX(Monthly!$C$43:$BJ$43,($R$2-1)*12+11)</f>
        <v>-2805.55555555556</v>
      </c>
      <c r="S16" s="35" t="n">
        <f aca="false">INDEX(Monthly!$C$43:$BJ$43,($R$2-1)*12+12)</f>
        <v>-2750</v>
      </c>
    </row>
    <row r="17" customFormat="false" ht="15" hidden="false" customHeight="false" outlineLevel="0" collapsed="false">
      <c r="A17" s="49" t="s">
        <v>78</v>
      </c>
      <c r="B17" s="35" t="n">
        <f aca="false">'P&amp;L'!B23</f>
        <v>230856.825396825</v>
      </c>
      <c r="C17" s="35" t="n">
        <f aca="false">'P&amp;L'!C23</f>
        <v>481648.504761905</v>
      </c>
      <c r="D17" s="35" t="n">
        <f aca="false">'P&amp;L'!D23</f>
        <v>763844.013644049</v>
      </c>
      <c r="E17" s="35" t="n">
        <f aca="false">'P&amp;L'!E23</f>
        <v>1082775.22618475</v>
      </c>
      <c r="F17" s="35" t="n">
        <f aca="false">'P&amp;L'!F23</f>
        <v>1444735.71830247</v>
      </c>
      <c r="H17" s="35" t="n">
        <f aca="false">INDEX(Monthly!$C$44:$BJ$44,($R$2-1)*12+1)</f>
        <v>11140.8011904762</v>
      </c>
      <c r="I17" s="35" t="n">
        <f aca="false">INDEX(Monthly!$C$44:$BJ$44,($R$2-1)*12+2)</f>
        <v>11168.5789682539</v>
      </c>
      <c r="J17" s="35" t="n">
        <f aca="false">INDEX(Monthly!$C$44:$BJ$44,($R$2-1)*12+3)</f>
        <v>11224.1345238095</v>
      </c>
      <c r="K17" s="35" t="n">
        <f aca="false">INDEX(Monthly!$C$44:$BJ$44,($R$2-1)*12+4)</f>
        <v>11279.6900793651</v>
      </c>
      <c r="L17" s="35" t="n">
        <f aca="false">INDEX(Monthly!$C$44:$BJ$44,($R$2-1)*12+5)</f>
        <v>11335.2456349206</v>
      </c>
      <c r="M17" s="35" t="n">
        <f aca="false">INDEX(Monthly!$C$44:$BJ$44,($R$2-1)*12+6)</f>
        <v>11390.8011904762</v>
      </c>
      <c r="N17" s="35" t="n">
        <f aca="false">INDEX(Monthly!$C$44:$BJ$44,($R$2-1)*12+7)</f>
        <v>11446.3567460317</v>
      </c>
      <c r="O17" s="35" t="n">
        <f aca="false">INDEX(Monthly!$C$44:$BJ$44,($R$2-1)*12+8)</f>
        <v>11501.9123015873</v>
      </c>
      <c r="P17" s="35" t="n">
        <f aca="false">INDEX(Monthly!$C$44:$BJ$44,($R$2-1)*12+9)</f>
        <v>11557.4678571428</v>
      </c>
      <c r="Q17" s="35" t="n">
        <f aca="false">INDEX(Monthly!$C$44:$BJ$44,($R$2-1)*12+10)</f>
        <v>11613.0234126984</v>
      </c>
      <c r="R17" s="35" t="n">
        <f aca="false">INDEX(Monthly!$C$44:$BJ$44,($R$2-1)*12+11)</f>
        <v>58571.6289682541</v>
      </c>
      <c r="S17" s="35" t="n">
        <f aca="false">INDEX(Monthly!$C$44:$BJ$44,($R$2-1)*12+12)</f>
        <v>58627.1845238097</v>
      </c>
    </row>
    <row r="18" customFormat="false" ht="15" hidden="false" customHeight="false" outlineLevel="0" collapsed="false">
      <c r="A18" s="49" t="s">
        <v>79</v>
      </c>
      <c r="B18" s="35" t="n">
        <f aca="false">'P&amp;L'!B24</f>
        <v>-48479.9333333333</v>
      </c>
      <c r="C18" s="35" t="n">
        <f aca="false">'P&amp;L'!C24</f>
        <v>-101146.186</v>
      </c>
      <c r="D18" s="35" t="n">
        <f aca="false">'P&amp;L'!D24</f>
        <v>-160407.24286525</v>
      </c>
      <c r="E18" s="35" t="n">
        <f aca="false">'P&amp;L'!E24</f>
        <v>-227382.797498797</v>
      </c>
      <c r="F18" s="35" t="n">
        <f aca="false">'P&amp;L'!F24</f>
        <v>-303394.500843519</v>
      </c>
      <c r="H18" s="35" t="n">
        <f aca="false">INDEX(Monthly!$C$47:$BJ$47,($R$2-1)*12+1)</f>
        <v>-2339.56824999999</v>
      </c>
      <c r="I18" s="35" t="n">
        <f aca="false">INDEX(Monthly!$C$47:$BJ$47,($R$2-1)*12+2)</f>
        <v>-2345.40158333333</v>
      </c>
      <c r="J18" s="35" t="n">
        <f aca="false">INDEX(Monthly!$C$47:$BJ$47,($R$2-1)*12+3)</f>
        <v>-2357.06825</v>
      </c>
      <c r="K18" s="35" t="n">
        <f aca="false">INDEX(Monthly!$C$47:$BJ$47,($R$2-1)*12+4)</f>
        <v>-2368.73491666666</v>
      </c>
      <c r="L18" s="35" t="n">
        <f aca="false">INDEX(Monthly!$C$47:$BJ$47,($R$2-1)*12+5)</f>
        <v>-2380.40158333333</v>
      </c>
      <c r="M18" s="35" t="n">
        <f aca="false">INDEX(Monthly!$C$47:$BJ$47,($R$2-1)*12+6)</f>
        <v>-2392.06824999999</v>
      </c>
      <c r="N18" s="35" t="n">
        <f aca="false">INDEX(Monthly!$C$47:$BJ$47,($R$2-1)*12+7)</f>
        <v>-2403.73491666666</v>
      </c>
      <c r="O18" s="35" t="n">
        <f aca="false">INDEX(Monthly!$C$47:$BJ$47,($R$2-1)*12+8)</f>
        <v>-2415.40158333333</v>
      </c>
      <c r="P18" s="35" t="n">
        <f aca="false">INDEX(Monthly!$C$47:$BJ$47,($R$2-1)*12+9)</f>
        <v>-2427.06824999999</v>
      </c>
      <c r="Q18" s="35" t="n">
        <f aca="false">INDEX(Monthly!$C$47:$BJ$47,($R$2-1)*12+10)</f>
        <v>-2438.73491666666</v>
      </c>
      <c r="R18" s="35" t="n">
        <f aca="false">INDEX(Monthly!$C$47:$BJ$47,($R$2-1)*12+11)</f>
        <v>-12300.0420833334</v>
      </c>
      <c r="S18" s="35" t="n">
        <f aca="false">INDEX(Monthly!$C$47:$BJ$47,($R$2-1)*12+12)</f>
        <v>-12311.70875</v>
      </c>
    </row>
    <row r="19" customFormat="false" ht="15" hidden="false" customHeight="false" outlineLevel="0" collapsed="false">
      <c r="A19" s="40" t="s">
        <v>47</v>
      </c>
      <c r="B19" s="41" t="n">
        <f aca="false">'P&amp;L'!B25</f>
        <v>182376.892063492</v>
      </c>
      <c r="C19" s="41" t="n">
        <f aca="false">'P&amp;L'!C25</f>
        <v>380502.318761905</v>
      </c>
      <c r="D19" s="41" t="n">
        <f aca="false">'P&amp;L'!D25</f>
        <v>603436.770778798</v>
      </c>
      <c r="E19" s="41" t="n">
        <f aca="false">'P&amp;L'!E25</f>
        <v>855392.428685951</v>
      </c>
      <c r="F19" s="41" t="n">
        <f aca="false">'P&amp;L'!F25</f>
        <v>1141341.21745895</v>
      </c>
      <c r="H19" s="41" t="n">
        <f aca="false">INDEX(Monthly!$C$48:$BJ$48,($R$2-1)*12+1)</f>
        <v>8801.23294047617</v>
      </c>
      <c r="I19" s="41" t="n">
        <f aca="false">INDEX(Monthly!$C$48:$BJ$48,($R$2-1)*12+2)</f>
        <v>8823.17738492062</v>
      </c>
      <c r="J19" s="41" t="n">
        <f aca="false">INDEX(Monthly!$C$48:$BJ$48,($R$2-1)*12+3)</f>
        <v>8867.0662738095</v>
      </c>
      <c r="K19" s="41" t="n">
        <f aca="false">INDEX(Monthly!$C$48:$BJ$48,($R$2-1)*12+4)</f>
        <v>8910.95516269839</v>
      </c>
      <c r="L19" s="41" t="n">
        <f aca="false">INDEX(Monthly!$C$48:$BJ$48,($R$2-1)*12+5)</f>
        <v>8954.84405158728</v>
      </c>
      <c r="M19" s="41" t="n">
        <f aca="false">INDEX(Monthly!$C$48:$BJ$48,($R$2-1)*12+6)</f>
        <v>8998.73294047617</v>
      </c>
      <c r="N19" s="41" t="n">
        <f aca="false">INDEX(Monthly!$C$48:$BJ$48,($R$2-1)*12+7)</f>
        <v>9042.62182936506</v>
      </c>
      <c r="O19" s="41" t="n">
        <f aca="false">INDEX(Monthly!$C$48:$BJ$48,($R$2-1)*12+8)</f>
        <v>9086.51071825395</v>
      </c>
      <c r="P19" s="41" t="n">
        <f aca="false">INDEX(Monthly!$C$48:$BJ$48,($R$2-1)*12+9)</f>
        <v>9130.39960714284</v>
      </c>
      <c r="Q19" s="41" t="n">
        <f aca="false">INDEX(Monthly!$C$48:$BJ$48,($R$2-1)*12+10)</f>
        <v>9174.28849603172</v>
      </c>
      <c r="R19" s="41" t="n">
        <f aca="false">INDEX(Monthly!$C$48:$BJ$48,($R$2-1)*12+11)</f>
        <v>46271.5868849208</v>
      </c>
      <c r="S19" s="41" t="n">
        <f aca="false">INDEX(Monthly!$C$48:$BJ$48,($R$2-1)*12+12)</f>
        <v>46315.4757738096</v>
      </c>
    </row>
    <row r="20" customFormat="false" ht="15" hidden="false" customHeight="false" outlineLevel="0" collapsed="false">
      <c r="A20" s="38" t="s">
        <v>48</v>
      </c>
      <c r="B20" s="39" t="n">
        <f aca="false">'P&amp;L'!B26</f>
        <v>0.0330695887133773</v>
      </c>
      <c r="C20" s="39" t="n">
        <f aca="false">'P&amp;L'!C26</f>
        <v>0.0530014851933206</v>
      </c>
      <c r="D20" s="39" t="n">
        <f aca="false">'P&amp;L'!D26</f>
        <v>0.0659524382499269</v>
      </c>
      <c r="E20" s="39" t="n">
        <f aca="false">'P&amp;L'!E26</f>
        <v>0.0743823895443697</v>
      </c>
      <c r="F20" s="39" t="n">
        <f aca="false">'P&amp;L'!F26</f>
        <v>0.0796886397916586</v>
      </c>
      <c r="H20" s="39" t="n">
        <f aca="false">IF(H7=0,0,H19/H7)</f>
        <v>0.019873979390194</v>
      </c>
      <c r="I20" s="39" t="n">
        <f aca="false">IF(I7=0,0,I19/I7)</f>
        <v>0.0199235319289767</v>
      </c>
      <c r="J20" s="39" t="n">
        <f aca="false">IF(J7=0,0,J19/J7)</f>
        <v>0.020022637006542</v>
      </c>
      <c r="K20" s="39" t="n">
        <f aca="false">IF(K7=0,0,K19/K7)</f>
        <v>0.0201217420841073</v>
      </c>
      <c r="L20" s="39" t="n">
        <f aca="false">IF(L7=0,0,L19/L7)</f>
        <v>0.0202208471616727</v>
      </c>
      <c r="M20" s="39" t="n">
        <f aca="false">IF(M7=0,0,M19/M7)</f>
        <v>0.020319952239238</v>
      </c>
      <c r="N20" s="39" t="n">
        <f aca="false">IF(N7=0,0,N19/N7)</f>
        <v>0.0204190573168033</v>
      </c>
      <c r="O20" s="39" t="n">
        <f aca="false">IF(O7=0,0,O19/O7)</f>
        <v>0.0205181623943686</v>
      </c>
      <c r="P20" s="39" t="n">
        <f aca="false">IF(P7=0,0,P19/P7)</f>
        <v>0.0206172674719339</v>
      </c>
      <c r="Q20" s="39" t="n">
        <f aca="false">IF(Q7=0,0,Q19/Q7)</f>
        <v>0.0207163725494992</v>
      </c>
      <c r="R20" s="39" t="n">
        <f aca="false">IF(R7=0,0,R19/R7)</f>
        <v>0.0851815975753821</v>
      </c>
      <c r="S20" s="39" t="n">
        <f aca="false">IF(S7=0,0,S19/S7)</f>
        <v>0.0852623928522042</v>
      </c>
    </row>
    <row r="22" customFormat="false" ht="15.75" hidden="false" customHeight="true" outlineLevel="0" collapsed="false">
      <c r="A22" s="7" t="s">
        <v>80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49</v>
      </c>
      <c r="B24" s="37" t="n">
        <f aca="false">'Cash Flow'!B10</f>
        <v>-146060.154365079</v>
      </c>
      <c r="C24" s="37" t="n">
        <f aca="false">'Cash Flow'!C10</f>
        <v>334798.668940476</v>
      </c>
      <c r="D24" s="37" t="n">
        <f aca="false">'Cash Flow'!D10</f>
        <v>557937.428885941</v>
      </c>
      <c r="E24" s="37" t="n">
        <f aca="false">'Cash Flow'!E10</f>
        <v>804972.770106665</v>
      </c>
      <c r="F24" s="37" t="n">
        <f aca="false">'Cash Flow'!F10</f>
        <v>1079551.31685151</v>
      </c>
      <c r="H24" s="37" t="n">
        <f aca="false">INDEX(Monthly!$C$72:$BJ$72,($R$2-1)*12+1)</f>
        <v>-295552.376821429</v>
      </c>
      <c r="I24" s="37" t="n">
        <f aca="false">INDEX(Monthly!$C$72:$BJ$72,($R$2-1)*12+2)</f>
        <v>12989.8440515873</v>
      </c>
      <c r="J24" s="37" t="n">
        <f aca="false">INDEX(Monthly!$C$72:$BJ$72,($R$2-1)*12+3)</f>
        <v>13033.7329404762</v>
      </c>
      <c r="K24" s="37" t="n">
        <f aca="false">INDEX(Monthly!$C$72:$BJ$72,($R$2-1)*12+4)</f>
        <v>13077.6218293651</v>
      </c>
      <c r="L24" s="37" t="n">
        <f aca="false">INDEX(Monthly!$C$72:$BJ$72,($R$2-1)*12+5)</f>
        <v>13121.5107182539</v>
      </c>
      <c r="M24" s="37" t="n">
        <f aca="false">INDEX(Monthly!$C$72:$BJ$72,($R$2-1)*12+6)</f>
        <v>13165.3996071428</v>
      </c>
      <c r="N24" s="37" t="n">
        <f aca="false">INDEX(Monthly!$C$72:$BJ$72,($R$2-1)*12+7)</f>
        <v>13209.2884960317</v>
      </c>
      <c r="O24" s="37" t="n">
        <f aca="false">INDEX(Monthly!$C$72:$BJ$72,($R$2-1)*12+8)</f>
        <v>13253.1773849206</v>
      </c>
      <c r="P24" s="37" t="n">
        <f aca="false">INDEX(Monthly!$C$72:$BJ$72,($R$2-1)*12+9)</f>
        <v>13297.0662738095</v>
      </c>
      <c r="Q24" s="37" t="n">
        <f aca="false">INDEX(Monthly!$C$72:$BJ$72,($R$2-1)*12+10)</f>
        <v>13340.9551626984</v>
      </c>
      <c r="R24" s="37" t="n">
        <f aca="false">INDEX(Monthly!$C$72:$BJ$72,($R$2-1)*12+11)</f>
        <v>-19478.5164484127</v>
      </c>
      <c r="S24" s="37" t="n">
        <f aca="false">INDEX(Monthly!$C$72:$BJ$72,($R$2-1)*12+12)</f>
        <v>50482.1424404763</v>
      </c>
    </row>
    <row r="25" customFormat="false" ht="15" hidden="false" customHeight="false" outlineLevel="0" collapsed="false">
      <c r="A25" s="49" t="s">
        <v>81</v>
      </c>
      <c r="B25" s="35" t="n">
        <f aca="false">'Cash Flow'!B11</f>
        <v>-350000</v>
      </c>
      <c r="C25" s="35" t="n">
        <f aca="false">'Cash Flow'!C11</f>
        <v>-150000</v>
      </c>
      <c r="D25" s="35" t="n">
        <f aca="false">'Cash Flow'!D11</f>
        <v>-150000</v>
      </c>
      <c r="E25" s="35" t="n">
        <f aca="false">'Cash Flow'!E11</f>
        <v>-150000</v>
      </c>
      <c r="F25" s="35" t="n">
        <f aca="false">'Cash Flow'!F11</f>
        <v>-150000</v>
      </c>
      <c r="H25" s="35" t="n">
        <f aca="false">INDEX(Monthly!$C$73:$BJ$73,($R$2-1)*12+1)</f>
        <v>-350000</v>
      </c>
      <c r="I25" s="35" t="n">
        <f aca="false">INDEX(Monthly!$C$73:$BJ$73,($R$2-1)*12+2)</f>
        <v>-0</v>
      </c>
      <c r="J25" s="35" t="n">
        <f aca="false">INDEX(Monthly!$C$73:$BJ$73,($R$2-1)*12+3)</f>
        <v>-0</v>
      </c>
      <c r="K25" s="35" t="n">
        <f aca="false">INDEX(Monthly!$C$73:$BJ$73,($R$2-1)*12+4)</f>
        <v>-0</v>
      </c>
      <c r="L25" s="35" t="n">
        <f aca="false">INDEX(Monthly!$C$73:$BJ$73,($R$2-1)*12+5)</f>
        <v>-0</v>
      </c>
      <c r="M25" s="35" t="n">
        <f aca="false">INDEX(Monthly!$C$73:$BJ$73,($R$2-1)*12+6)</f>
        <v>-0</v>
      </c>
      <c r="N25" s="35" t="n">
        <f aca="false">INDEX(Monthly!$C$73:$BJ$73,($R$2-1)*12+7)</f>
        <v>-0</v>
      </c>
      <c r="O25" s="35" t="n">
        <f aca="false">INDEX(Monthly!$C$73:$BJ$73,($R$2-1)*12+8)</f>
        <v>-0</v>
      </c>
      <c r="P25" s="35" t="n">
        <f aca="false">INDEX(Monthly!$C$73:$BJ$73,($R$2-1)*12+9)</f>
        <v>-0</v>
      </c>
      <c r="Q25" s="35" t="n">
        <f aca="false">INDEX(Monthly!$C$73:$BJ$73,($R$2-1)*12+10)</f>
        <v>-0</v>
      </c>
      <c r="R25" s="35" t="n">
        <f aca="false">INDEX(Monthly!$C$73:$BJ$73,($R$2-1)*12+11)</f>
        <v>-0</v>
      </c>
      <c r="S25" s="35" t="n">
        <f aca="false">INDEX(Monthly!$C$73:$BJ$73,($R$2-1)*12+12)</f>
        <v>-0</v>
      </c>
    </row>
    <row r="26" customFormat="false" ht="15" hidden="false" customHeight="false" outlineLevel="0" collapsed="false">
      <c r="A26" s="49" t="s">
        <v>61</v>
      </c>
      <c r="B26" s="35" t="n">
        <f aca="false">'Cash Flow'!B12</f>
        <v>1500000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INDEX(Monthly!$C$74:$BJ$74,($R$2-1)*12+1)</f>
        <v>1500000</v>
      </c>
      <c r="I26" s="35" t="n">
        <f aca="false">INDEX(Monthly!$C$74:$BJ$74,($R$2-1)*12+2)</f>
        <v>0</v>
      </c>
      <c r="J26" s="35" t="n">
        <f aca="false">INDEX(Monthly!$C$74:$BJ$74,($R$2-1)*12+3)</f>
        <v>0</v>
      </c>
      <c r="K26" s="35" t="n">
        <f aca="false">INDEX(Monthly!$C$74:$BJ$74,($R$2-1)*12+4)</f>
        <v>0</v>
      </c>
      <c r="L26" s="35" t="n">
        <f aca="false">INDEX(Monthly!$C$74:$BJ$74,($R$2-1)*12+5)</f>
        <v>0</v>
      </c>
      <c r="M26" s="35" t="n">
        <f aca="false">INDEX(Monthly!$C$74:$BJ$74,($R$2-1)*12+6)</f>
        <v>0</v>
      </c>
      <c r="N26" s="35" t="n">
        <f aca="false">INDEX(Monthly!$C$74:$BJ$74,($R$2-1)*12+7)</f>
        <v>0</v>
      </c>
      <c r="O26" s="35" t="n">
        <f aca="false">INDEX(Monthly!$C$74:$BJ$74,($R$2-1)*12+8)</f>
        <v>0</v>
      </c>
      <c r="P26" s="35" t="n">
        <f aca="false">INDEX(Monthly!$C$74:$BJ$74,($R$2-1)*12+9)</f>
        <v>0</v>
      </c>
      <c r="Q26" s="35" t="n">
        <f aca="false">INDEX(Monthly!$C$74:$BJ$74,($R$2-1)*12+10)</f>
        <v>0</v>
      </c>
      <c r="R26" s="35" t="n">
        <f aca="false">INDEX(Monthly!$C$74:$BJ$74,($R$2-1)*12+11)</f>
        <v>0</v>
      </c>
      <c r="S26" s="35" t="n">
        <f aca="false">INDEX(Monthly!$C$74:$BJ$74,($R$2-1)*12+12)</f>
        <v>0</v>
      </c>
    </row>
    <row r="27" customFormat="false" ht="15" hidden="false" customHeight="false" outlineLevel="0" collapsed="false">
      <c r="A27" s="49" t="s">
        <v>82</v>
      </c>
      <c r="B27" s="35" t="n">
        <f aca="false">'Cash Flow'!B13</f>
        <v>500000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INDEX(Monthly!$C$59:$BJ$59,($R$2-1)*12+1)</f>
        <v>500000</v>
      </c>
      <c r="I27" s="35" t="n">
        <f aca="false">INDEX(Monthly!$C$59:$BJ$59,($R$2-1)*12+2)</f>
        <v>0</v>
      </c>
      <c r="J27" s="35" t="n">
        <f aca="false">INDEX(Monthly!$C$59:$BJ$59,($R$2-1)*12+3)</f>
        <v>0</v>
      </c>
      <c r="K27" s="35" t="n">
        <f aca="false">INDEX(Monthly!$C$59:$BJ$59,($R$2-1)*12+4)</f>
        <v>0</v>
      </c>
      <c r="L27" s="35" t="n">
        <f aca="false">INDEX(Monthly!$C$59:$BJ$59,($R$2-1)*12+5)</f>
        <v>0</v>
      </c>
      <c r="M27" s="35" t="n">
        <f aca="false">INDEX(Monthly!$C$59:$BJ$59,($R$2-1)*12+6)</f>
        <v>0</v>
      </c>
      <c r="N27" s="35" t="n">
        <f aca="false">INDEX(Monthly!$C$59:$BJ$59,($R$2-1)*12+7)</f>
        <v>0</v>
      </c>
      <c r="O27" s="35" t="n">
        <f aca="false">INDEX(Monthly!$C$59:$BJ$59,($R$2-1)*12+8)</f>
        <v>0</v>
      </c>
      <c r="P27" s="35" t="n">
        <f aca="false">INDEX(Monthly!$C$59:$BJ$59,($R$2-1)*12+9)</f>
        <v>0</v>
      </c>
      <c r="Q27" s="35" t="n">
        <f aca="false">INDEX(Monthly!$C$59:$BJ$59,($R$2-1)*12+10)</f>
        <v>0</v>
      </c>
      <c r="R27" s="35" t="n">
        <f aca="false">INDEX(Monthly!$C$59:$BJ$59,($R$2-1)*12+11)</f>
        <v>0</v>
      </c>
      <c r="S27" s="35" t="n">
        <f aca="false">INDEX(Monthly!$C$59:$BJ$59,($R$2-1)*12+12)</f>
        <v>0</v>
      </c>
    </row>
    <row r="28" customFormat="false" ht="15" hidden="false" customHeight="false" outlineLevel="0" collapsed="false">
      <c r="A28" s="49" t="s">
        <v>83</v>
      </c>
      <c r="B28" s="35" t="n">
        <f aca="false">'Cash Flow'!B14</f>
        <v>-91666.6666666667</v>
      </c>
      <c r="C28" s="35" t="n">
        <f aca="false">'Cash Flow'!C14</f>
        <v>-100000</v>
      </c>
      <c r="D28" s="35" t="n">
        <f aca="false">'Cash Flow'!D14</f>
        <v>-100000</v>
      </c>
      <c r="E28" s="35" t="n">
        <f aca="false">'Cash Flow'!E14</f>
        <v>-100000</v>
      </c>
      <c r="F28" s="35" t="n">
        <f aca="false">'Cash Flow'!F14</f>
        <v>-100000</v>
      </c>
      <c r="H28" s="35" t="n">
        <f aca="false">INDEX(Monthly!$C$60:$BJ$60,($R$2-1)*12+1)</f>
        <v>-0</v>
      </c>
      <c r="I28" s="35" t="n">
        <f aca="false">INDEX(Monthly!$C$60:$BJ$60,($R$2-1)*12+2)</f>
        <v>-8333.33333333333</v>
      </c>
      <c r="J28" s="35" t="n">
        <f aca="false">INDEX(Monthly!$C$60:$BJ$60,($R$2-1)*12+3)</f>
        <v>-8333.33333333333</v>
      </c>
      <c r="K28" s="35" t="n">
        <f aca="false">INDEX(Monthly!$C$60:$BJ$60,($R$2-1)*12+4)</f>
        <v>-8333.33333333333</v>
      </c>
      <c r="L28" s="35" t="n">
        <f aca="false">INDEX(Monthly!$C$60:$BJ$60,($R$2-1)*12+5)</f>
        <v>-8333.33333333333</v>
      </c>
      <c r="M28" s="35" t="n">
        <f aca="false">INDEX(Monthly!$C$60:$BJ$60,($R$2-1)*12+6)</f>
        <v>-8333.33333333333</v>
      </c>
      <c r="N28" s="35" t="n">
        <f aca="false">INDEX(Monthly!$C$60:$BJ$60,($R$2-1)*12+7)</f>
        <v>-8333.33333333333</v>
      </c>
      <c r="O28" s="35" t="n">
        <f aca="false">INDEX(Monthly!$C$60:$BJ$60,($R$2-1)*12+8)</f>
        <v>-8333.33333333333</v>
      </c>
      <c r="P28" s="35" t="n">
        <f aca="false">INDEX(Monthly!$C$60:$BJ$60,($R$2-1)*12+9)</f>
        <v>-8333.33333333333</v>
      </c>
      <c r="Q28" s="35" t="n">
        <f aca="false">INDEX(Monthly!$C$60:$BJ$60,($R$2-1)*12+10)</f>
        <v>-8333.33333333333</v>
      </c>
      <c r="R28" s="35" t="n">
        <f aca="false">INDEX(Monthly!$C$60:$BJ$60,($R$2-1)*12+11)</f>
        <v>-8333.33333333333</v>
      </c>
      <c r="S28" s="35" t="n">
        <f aca="false">INDEX(Monthly!$C$60:$BJ$60,($R$2-1)*12+12)</f>
        <v>-8333.33333333333</v>
      </c>
    </row>
    <row r="29" customFormat="false" ht="15" hidden="false" customHeight="false" outlineLevel="0" collapsed="false">
      <c r="A29" s="36" t="s">
        <v>51</v>
      </c>
      <c r="B29" s="37" t="n">
        <f aca="false">'Cash Flow'!B15</f>
        <v>1908333.33333333</v>
      </c>
      <c r="C29" s="37" t="n">
        <f aca="false">'Cash Flow'!C15</f>
        <v>-100000</v>
      </c>
      <c r="D29" s="37" t="n">
        <f aca="false">'Cash Flow'!D15</f>
        <v>-100000</v>
      </c>
      <c r="E29" s="37" t="n">
        <f aca="false">'Cash Flow'!E15</f>
        <v>-100000</v>
      </c>
      <c r="F29" s="37" t="n">
        <f aca="false">'Cash Flow'!F15</f>
        <v>-100000</v>
      </c>
      <c r="H29" s="37" t="n">
        <f aca="false">INDEX(Monthly!$C$75:$BJ$75,($R$2-1)*12+1)</f>
        <v>2000000</v>
      </c>
      <c r="I29" s="37" t="n">
        <f aca="false">INDEX(Monthly!$C$75:$BJ$75,($R$2-1)*12+2)</f>
        <v>-8333.33333333333</v>
      </c>
      <c r="J29" s="37" t="n">
        <f aca="false">INDEX(Monthly!$C$75:$BJ$75,($R$2-1)*12+3)</f>
        <v>-8333.33333333333</v>
      </c>
      <c r="K29" s="37" t="n">
        <f aca="false">INDEX(Monthly!$C$75:$BJ$75,($R$2-1)*12+4)</f>
        <v>-8333.33333333333</v>
      </c>
      <c r="L29" s="37" t="n">
        <f aca="false">INDEX(Monthly!$C$75:$BJ$75,($R$2-1)*12+5)</f>
        <v>-8333.33333333333</v>
      </c>
      <c r="M29" s="37" t="n">
        <f aca="false">INDEX(Monthly!$C$75:$BJ$75,($R$2-1)*12+6)</f>
        <v>-8333.33333333333</v>
      </c>
      <c r="N29" s="37" t="n">
        <f aca="false">INDEX(Monthly!$C$75:$BJ$75,($R$2-1)*12+7)</f>
        <v>-8333.33333333333</v>
      </c>
      <c r="O29" s="37" t="n">
        <f aca="false">INDEX(Monthly!$C$75:$BJ$75,($R$2-1)*12+8)</f>
        <v>-8333.33333333333</v>
      </c>
      <c r="P29" s="37" t="n">
        <f aca="false">INDEX(Monthly!$C$75:$BJ$75,($R$2-1)*12+9)</f>
        <v>-8333.33333333333</v>
      </c>
      <c r="Q29" s="37" t="n">
        <f aca="false">INDEX(Monthly!$C$75:$BJ$75,($R$2-1)*12+10)</f>
        <v>-8333.33333333333</v>
      </c>
      <c r="R29" s="37" t="n">
        <f aca="false">INDEX(Monthly!$C$75:$BJ$75,($R$2-1)*12+11)</f>
        <v>-8333.33333333333</v>
      </c>
      <c r="S29" s="37" t="n">
        <f aca="false">INDEX(Monthly!$C$75:$BJ$75,($R$2-1)*12+12)</f>
        <v>-8333.33333333333</v>
      </c>
    </row>
    <row r="30" customFormat="false" ht="15" hidden="false" customHeight="false" outlineLevel="0" collapsed="false">
      <c r="A30" s="36" t="s">
        <v>52</v>
      </c>
      <c r="B30" s="37" t="n">
        <f aca="false">'Cash Flow'!B16</f>
        <v>1412273.17896825</v>
      </c>
      <c r="C30" s="37" t="n">
        <f aca="false">'Cash Flow'!C16</f>
        <v>84798.6689404764</v>
      </c>
      <c r="D30" s="37" t="n">
        <f aca="false">'Cash Flow'!D16</f>
        <v>307937.428885941</v>
      </c>
      <c r="E30" s="37" t="n">
        <f aca="false">'Cash Flow'!E16</f>
        <v>554972.770106665</v>
      </c>
      <c r="F30" s="37" t="n">
        <f aca="false">'Cash Flow'!F16</f>
        <v>829551.316851515</v>
      </c>
      <c r="H30" s="37" t="n">
        <f aca="false">INDEX(Monthly!$C$76:$BJ$76,($R$2-1)*12+1)</f>
        <v>1354447.62317857</v>
      </c>
      <c r="I30" s="37" t="n">
        <f aca="false">INDEX(Monthly!$C$76:$BJ$76,($R$2-1)*12+2)</f>
        <v>4656.51071825395</v>
      </c>
      <c r="J30" s="37" t="n">
        <f aca="false">INDEX(Monthly!$C$76:$BJ$76,($R$2-1)*12+3)</f>
        <v>4700.39960714284</v>
      </c>
      <c r="K30" s="37" t="n">
        <f aca="false">INDEX(Monthly!$C$76:$BJ$76,($R$2-1)*12+4)</f>
        <v>4744.28849603173</v>
      </c>
      <c r="L30" s="37" t="n">
        <f aca="false">INDEX(Monthly!$C$76:$BJ$76,($R$2-1)*12+5)</f>
        <v>4788.17738492061</v>
      </c>
      <c r="M30" s="37" t="n">
        <f aca="false">INDEX(Monthly!$C$76:$BJ$76,($R$2-1)*12+6)</f>
        <v>4832.0662738095</v>
      </c>
      <c r="N30" s="37" t="n">
        <f aca="false">INDEX(Monthly!$C$76:$BJ$76,($R$2-1)*12+7)</f>
        <v>4875.95516269839</v>
      </c>
      <c r="O30" s="37" t="n">
        <f aca="false">INDEX(Monthly!$C$76:$BJ$76,($R$2-1)*12+8)</f>
        <v>4919.84405158728</v>
      </c>
      <c r="P30" s="37" t="n">
        <f aca="false">INDEX(Monthly!$C$76:$BJ$76,($R$2-1)*12+9)</f>
        <v>4963.73294047617</v>
      </c>
      <c r="Q30" s="37" t="n">
        <f aca="false">INDEX(Monthly!$C$76:$BJ$76,($R$2-1)*12+10)</f>
        <v>5007.62182936506</v>
      </c>
      <c r="R30" s="37" t="n">
        <f aca="false">INDEX(Monthly!$C$76:$BJ$76,($R$2-1)*12+11)</f>
        <v>-27811.849781746</v>
      </c>
      <c r="S30" s="37" t="n">
        <f aca="false">INDEX(Monthly!$C$76:$BJ$76,($R$2-1)*12+12)</f>
        <v>42148.809107143</v>
      </c>
    </row>
    <row r="31" customFormat="false" ht="15" hidden="false" customHeight="false" outlineLevel="0" collapsed="false">
      <c r="A31" s="40" t="s">
        <v>84</v>
      </c>
      <c r="B31" s="41" t="n">
        <f aca="false">'Cash Flow'!B18</f>
        <v>1412273.17896825</v>
      </c>
      <c r="C31" s="41" t="n">
        <f aca="false">'Cash Flow'!C18</f>
        <v>1497071.84790873</v>
      </c>
      <c r="D31" s="41" t="n">
        <f aca="false">'Cash Flow'!D18</f>
        <v>1805009.27679467</v>
      </c>
      <c r="E31" s="41" t="n">
        <f aca="false">'Cash Flow'!E18</f>
        <v>2359982.04690134</v>
      </c>
      <c r="F31" s="41" t="n">
        <f aca="false">'Cash Flow'!F18</f>
        <v>3189533.36375285</v>
      </c>
      <c r="H31" s="41" t="n">
        <f aca="false">INDEX(Monthly!$C$78:$BJ$78,($R$2-1)*12+1)</f>
        <v>1354447.62317857</v>
      </c>
      <c r="I31" s="41" t="n">
        <f aca="false">INDEX(Monthly!$C$78:$BJ$78,($R$2-1)*12+2)</f>
        <v>1359104.13389683</v>
      </c>
      <c r="J31" s="41" t="n">
        <f aca="false">INDEX(Monthly!$C$78:$BJ$78,($R$2-1)*12+3)</f>
        <v>1363804.53350397</v>
      </c>
      <c r="K31" s="41" t="n">
        <f aca="false">INDEX(Monthly!$C$78:$BJ$78,($R$2-1)*12+4)</f>
        <v>1368548.822</v>
      </c>
      <c r="L31" s="41" t="n">
        <f aca="false">INDEX(Monthly!$C$78:$BJ$78,($R$2-1)*12+5)</f>
        <v>1373336.99938492</v>
      </c>
      <c r="M31" s="41" t="n">
        <f aca="false">INDEX(Monthly!$C$78:$BJ$78,($R$2-1)*12+6)</f>
        <v>1378169.06565873</v>
      </c>
      <c r="N31" s="41" t="n">
        <f aca="false">INDEX(Monthly!$C$78:$BJ$78,($R$2-1)*12+7)</f>
        <v>1383045.02082143</v>
      </c>
      <c r="O31" s="41" t="n">
        <f aca="false">INDEX(Monthly!$C$78:$BJ$78,($R$2-1)*12+8)</f>
        <v>1387964.86487302</v>
      </c>
      <c r="P31" s="41" t="n">
        <f aca="false">INDEX(Monthly!$C$78:$BJ$78,($R$2-1)*12+9)</f>
        <v>1392928.59781349</v>
      </c>
      <c r="Q31" s="41" t="n">
        <f aca="false">INDEX(Monthly!$C$78:$BJ$78,($R$2-1)*12+10)</f>
        <v>1397936.21964286</v>
      </c>
      <c r="R31" s="41" t="n">
        <f aca="false">INDEX(Monthly!$C$78:$BJ$78,($R$2-1)*12+11)</f>
        <v>1370124.36986111</v>
      </c>
      <c r="S31" s="41" t="n">
        <f aca="false">INDEX(Monthly!$C$78:$BJ$78,($R$2-1)*12+12)</f>
        <v>1412273.17896825</v>
      </c>
    </row>
    <row r="39" customFormat="false" ht="15.75" hidden="false" customHeight="true" outlineLevel="0" collapsed="false">
      <c r="A39" s="7" t="s">
        <v>85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86</v>
      </c>
      <c r="B41" s="35" t="n">
        <f aca="false">'Balance Sheet'!B5</f>
        <v>1412273.17896825</v>
      </c>
      <c r="C41" s="35" t="n">
        <f aca="false">'Balance Sheet'!C5</f>
        <v>1497071.84790873</v>
      </c>
      <c r="D41" s="35" t="n">
        <f aca="false">'Balance Sheet'!D5</f>
        <v>1805009.27679467</v>
      </c>
      <c r="E41" s="35" t="n">
        <f aca="false">'Balance Sheet'!E5</f>
        <v>2359982.04690134</v>
      </c>
      <c r="F41" s="35" t="n">
        <f aca="false">'Balance Sheet'!F5</f>
        <v>3189533.36375285</v>
      </c>
      <c r="H41" s="35" t="n">
        <f aca="false">INDEX(Monthly!$C$78:$BJ$78,($R$2-1)*12+1)</f>
        <v>1354447.62317857</v>
      </c>
      <c r="I41" s="35" t="n">
        <f aca="false">INDEX(Monthly!$C$78:$BJ$78,($R$2-1)*12+2)</f>
        <v>1359104.13389683</v>
      </c>
      <c r="J41" s="35" t="n">
        <f aca="false">INDEX(Monthly!$C$78:$BJ$78,($R$2-1)*12+3)</f>
        <v>1363804.53350397</v>
      </c>
      <c r="K41" s="35" t="n">
        <f aca="false">INDEX(Monthly!$C$78:$BJ$78,($R$2-1)*12+4)</f>
        <v>1368548.822</v>
      </c>
      <c r="L41" s="35" t="n">
        <f aca="false">INDEX(Monthly!$C$78:$BJ$78,($R$2-1)*12+5)</f>
        <v>1373336.99938492</v>
      </c>
      <c r="M41" s="35" t="n">
        <f aca="false">INDEX(Monthly!$C$78:$BJ$78,($R$2-1)*12+6)</f>
        <v>1378169.06565873</v>
      </c>
      <c r="N41" s="35" t="n">
        <f aca="false">INDEX(Monthly!$C$78:$BJ$78,($R$2-1)*12+7)</f>
        <v>1383045.02082143</v>
      </c>
      <c r="O41" s="35" t="n">
        <f aca="false">INDEX(Monthly!$C$78:$BJ$78,($R$2-1)*12+8)</f>
        <v>1387964.86487302</v>
      </c>
      <c r="P41" s="35" t="n">
        <f aca="false">INDEX(Monthly!$C$78:$BJ$78,($R$2-1)*12+9)</f>
        <v>1392928.59781349</v>
      </c>
      <c r="Q41" s="35" t="n">
        <f aca="false">INDEX(Monthly!$C$78:$BJ$78,($R$2-1)*12+10)</f>
        <v>1397936.21964286</v>
      </c>
      <c r="R41" s="35" t="n">
        <f aca="false">INDEX(Monthly!$C$78:$BJ$78,($R$2-1)*12+11)</f>
        <v>1370124.36986111</v>
      </c>
      <c r="S41" s="35" t="n">
        <f aca="false">INDEX(Monthly!$C$78:$BJ$78,($R$2-1)*12+12)</f>
        <v>1412273.17896825</v>
      </c>
    </row>
    <row r="42" customFormat="false" ht="15" hidden="false" customHeight="false" outlineLevel="0" collapsed="false">
      <c r="A42" s="49" t="s">
        <v>87</v>
      </c>
      <c r="B42" s="35" t="n">
        <f aca="false">'Balance Sheet'!B6</f>
        <v>36214.0714285714</v>
      </c>
      <c r="C42" s="35" t="n">
        <f aca="false">'Balance Sheet'!C6</f>
        <v>47422.8964285714</v>
      </c>
      <c r="D42" s="35" t="n">
        <f aca="false">'Balance Sheet'!D6</f>
        <v>60662.7514285714</v>
      </c>
      <c r="E42" s="35" t="n">
        <f aca="false">'Balance Sheet'!E6</f>
        <v>76424.0311285714</v>
      </c>
      <c r="F42" s="35" t="n">
        <f aca="false">'Balance Sheet'!F6</f>
        <v>95323.9532646214</v>
      </c>
      <c r="H42" s="35" t="n">
        <f aca="false">INDEX(Monthly!$C$64:$BJ$64,($R$2-1)*12+1)</f>
        <v>29523.4714285714</v>
      </c>
      <c r="I42" s="35" t="n">
        <f aca="false">INDEX(Monthly!$C$64:$BJ$64,($R$2-1)*12+2)</f>
        <v>29523.4714285714</v>
      </c>
      <c r="J42" s="35" t="n">
        <f aca="false">INDEX(Monthly!$C$64:$BJ$64,($R$2-1)*12+3)</f>
        <v>29523.4714285714</v>
      </c>
      <c r="K42" s="35" t="n">
        <f aca="false">INDEX(Monthly!$C$64:$BJ$64,($R$2-1)*12+4)</f>
        <v>29523.4714285714</v>
      </c>
      <c r="L42" s="35" t="n">
        <f aca="false">INDEX(Monthly!$C$64:$BJ$64,($R$2-1)*12+5)</f>
        <v>29523.4714285714</v>
      </c>
      <c r="M42" s="35" t="n">
        <f aca="false">INDEX(Monthly!$C$64:$BJ$64,($R$2-1)*12+6)</f>
        <v>29523.4714285714</v>
      </c>
      <c r="N42" s="35" t="n">
        <f aca="false">INDEX(Monthly!$C$64:$BJ$64,($R$2-1)*12+7)</f>
        <v>29523.4714285714</v>
      </c>
      <c r="O42" s="35" t="n">
        <f aca="false">INDEX(Monthly!$C$64:$BJ$64,($R$2-1)*12+8)</f>
        <v>29523.4714285714</v>
      </c>
      <c r="P42" s="35" t="n">
        <f aca="false">INDEX(Monthly!$C$64:$BJ$64,($R$2-1)*12+9)</f>
        <v>29523.4714285714</v>
      </c>
      <c r="Q42" s="35" t="n">
        <f aca="false">INDEX(Monthly!$C$64:$BJ$64,($R$2-1)*12+10)</f>
        <v>29523.4714285714</v>
      </c>
      <c r="R42" s="35" t="n">
        <f aca="false">INDEX(Monthly!$C$64:$BJ$64,($R$2-1)*12+11)</f>
        <v>36214.0714285714</v>
      </c>
      <c r="S42" s="35" t="n">
        <f aca="false">INDEX(Monthly!$C$64:$BJ$64,($R$2-1)*12+12)</f>
        <v>36214.0714285714</v>
      </c>
    </row>
    <row r="43" customFormat="false" ht="15" hidden="false" customHeight="false" outlineLevel="0" collapsed="false">
      <c r="A43" s="49" t="s">
        <v>88</v>
      </c>
      <c r="B43" s="35" t="n">
        <f aca="false">'Balance Sheet'!B7</f>
        <v>570371.625</v>
      </c>
      <c r="C43" s="35" t="n">
        <f aca="false">'Balance Sheet'!C7</f>
        <v>746910.61875</v>
      </c>
      <c r="D43" s="35" t="n">
        <f aca="false">'Balance Sheet'!D7</f>
        <v>955438.335</v>
      </c>
      <c r="E43" s="35" t="n">
        <f aca="false">'Balance Sheet'!E7</f>
        <v>1203678.490275</v>
      </c>
      <c r="F43" s="35" t="n">
        <f aca="false">'Balance Sheet'!F7</f>
        <v>1501352.26391779</v>
      </c>
      <c r="H43" s="35" t="n">
        <f aca="false">INDEX(Monthly!$C$65:$BJ$65,($R$2-1)*12+1)</f>
        <v>464994.675</v>
      </c>
      <c r="I43" s="35" t="n">
        <f aca="false">INDEX(Monthly!$C$65:$BJ$65,($R$2-1)*12+2)</f>
        <v>464994.675</v>
      </c>
      <c r="J43" s="35" t="n">
        <f aca="false">INDEX(Monthly!$C$65:$BJ$65,($R$2-1)*12+3)</f>
        <v>464994.675</v>
      </c>
      <c r="K43" s="35" t="n">
        <f aca="false">INDEX(Monthly!$C$65:$BJ$65,($R$2-1)*12+4)</f>
        <v>464994.675</v>
      </c>
      <c r="L43" s="35" t="n">
        <f aca="false">INDEX(Monthly!$C$65:$BJ$65,($R$2-1)*12+5)</f>
        <v>464994.675</v>
      </c>
      <c r="M43" s="35" t="n">
        <f aca="false">INDEX(Monthly!$C$65:$BJ$65,($R$2-1)*12+6)</f>
        <v>464994.675</v>
      </c>
      <c r="N43" s="35" t="n">
        <f aca="false">INDEX(Monthly!$C$65:$BJ$65,($R$2-1)*12+7)</f>
        <v>464994.675</v>
      </c>
      <c r="O43" s="35" t="n">
        <f aca="false">INDEX(Monthly!$C$65:$BJ$65,($R$2-1)*12+8)</f>
        <v>464994.675</v>
      </c>
      <c r="P43" s="35" t="n">
        <f aca="false">INDEX(Monthly!$C$65:$BJ$65,($R$2-1)*12+9)</f>
        <v>464994.675</v>
      </c>
      <c r="Q43" s="35" t="n">
        <f aca="false">INDEX(Monthly!$C$65:$BJ$65,($R$2-1)*12+10)</f>
        <v>464994.675</v>
      </c>
      <c r="R43" s="35" t="n">
        <f aca="false">INDEX(Monthly!$C$65:$BJ$65,($R$2-1)*12+11)</f>
        <v>570371.625</v>
      </c>
      <c r="S43" s="35" t="n">
        <f aca="false">INDEX(Monthly!$C$65:$BJ$65,($R$2-1)*12+12)</f>
        <v>570371.625</v>
      </c>
    </row>
    <row r="44" customFormat="false" ht="15" hidden="false" customHeight="false" outlineLevel="0" collapsed="false">
      <c r="A44" s="49" t="s">
        <v>89</v>
      </c>
      <c r="B44" s="35" t="n">
        <f aca="false">'Balance Sheet'!B8</f>
        <v>300000</v>
      </c>
      <c r="C44" s="35" t="n">
        <f aca="false">'Balance Sheet'!C8</f>
        <v>378571.428571429</v>
      </c>
      <c r="D44" s="35" t="n">
        <f aca="false">'Balance Sheet'!D8</f>
        <v>435714.285714286</v>
      </c>
      <c r="E44" s="35" t="n">
        <f aca="false">'Balance Sheet'!E8</f>
        <v>471428.571428572</v>
      </c>
      <c r="F44" s="35" t="n">
        <f aca="false">'Balance Sheet'!F8</f>
        <v>485714.285714286</v>
      </c>
      <c r="H44" s="35" t="n">
        <f aca="false">INDEX(Monthly!$C$55:$BJ$55,($R$2-1)*12+1)</f>
        <v>345833.333333333</v>
      </c>
      <c r="I44" s="35" t="n">
        <f aca="false">INDEX(Monthly!$C$55:$BJ$55,($R$2-1)*12+2)</f>
        <v>341666.666666667</v>
      </c>
      <c r="J44" s="35" t="n">
        <f aca="false">INDEX(Monthly!$C$55:$BJ$55,($R$2-1)*12+3)</f>
        <v>337500</v>
      </c>
      <c r="K44" s="35" t="n">
        <f aca="false">INDEX(Monthly!$C$55:$BJ$55,($R$2-1)*12+4)</f>
        <v>333333.333333333</v>
      </c>
      <c r="L44" s="35" t="n">
        <f aca="false">INDEX(Monthly!$C$55:$BJ$55,($R$2-1)*12+5)</f>
        <v>329166.666666667</v>
      </c>
      <c r="M44" s="35" t="n">
        <f aca="false">INDEX(Monthly!$C$55:$BJ$55,($R$2-1)*12+6)</f>
        <v>325000</v>
      </c>
      <c r="N44" s="35" t="n">
        <f aca="false">INDEX(Monthly!$C$55:$BJ$55,($R$2-1)*12+7)</f>
        <v>320833.333333333</v>
      </c>
      <c r="O44" s="35" t="n">
        <f aca="false">INDEX(Monthly!$C$55:$BJ$55,($R$2-1)*12+8)</f>
        <v>316666.666666667</v>
      </c>
      <c r="P44" s="35" t="n">
        <f aca="false">INDEX(Monthly!$C$55:$BJ$55,($R$2-1)*12+9)</f>
        <v>312500</v>
      </c>
      <c r="Q44" s="35" t="n">
        <f aca="false">INDEX(Monthly!$C$55:$BJ$55,($R$2-1)*12+10)</f>
        <v>308333.333333333</v>
      </c>
      <c r="R44" s="35" t="n">
        <f aca="false">INDEX(Monthly!$C$55:$BJ$55,($R$2-1)*12+11)</f>
        <v>304166.666666667</v>
      </c>
      <c r="S44" s="35" t="n">
        <f aca="false">INDEX(Monthly!$C$55:$BJ$55,($R$2-1)*12+12)</f>
        <v>300000</v>
      </c>
    </row>
    <row r="45" customFormat="false" ht="15" hidden="false" customHeight="false" outlineLevel="0" collapsed="false">
      <c r="A45" s="36" t="s">
        <v>90</v>
      </c>
      <c r="B45" s="37" t="n">
        <f aca="false">'Balance Sheet'!B9</f>
        <v>2318858.87539683</v>
      </c>
      <c r="C45" s="37" t="n">
        <f aca="false">'Balance Sheet'!C9</f>
        <v>2669976.79165873</v>
      </c>
      <c r="D45" s="37" t="n">
        <f aca="false">'Balance Sheet'!D9</f>
        <v>3256824.64893753</v>
      </c>
      <c r="E45" s="37" t="n">
        <f aca="false">'Balance Sheet'!E9</f>
        <v>4111513.13973348</v>
      </c>
      <c r="F45" s="37" t="n">
        <f aca="false">'Balance Sheet'!F9</f>
        <v>5271923.86664955</v>
      </c>
      <c r="H45" s="37" t="n">
        <f aca="false">INDEX(Monthly!$C$92:$BJ$92,($R$2-1)*12+1)</f>
        <v>2194799.10294048</v>
      </c>
      <c r="I45" s="37" t="n">
        <f aca="false">INDEX(Monthly!$C$92:$BJ$92,($R$2-1)*12+2)</f>
        <v>2195288.94699206</v>
      </c>
      <c r="J45" s="37" t="n">
        <f aca="false">INDEX(Monthly!$C$92:$BJ$92,($R$2-1)*12+3)</f>
        <v>2195822.67993254</v>
      </c>
      <c r="K45" s="37" t="n">
        <f aca="false">INDEX(Monthly!$C$92:$BJ$92,($R$2-1)*12+4)</f>
        <v>2196400.3017619</v>
      </c>
      <c r="L45" s="37" t="n">
        <f aca="false">INDEX(Monthly!$C$92:$BJ$92,($R$2-1)*12+5)</f>
        <v>2197021.81248016</v>
      </c>
      <c r="M45" s="37" t="n">
        <f aca="false">INDEX(Monthly!$C$92:$BJ$92,($R$2-1)*12+6)</f>
        <v>2197687.2120873</v>
      </c>
      <c r="N45" s="37" t="n">
        <f aca="false">INDEX(Monthly!$C$92:$BJ$92,($R$2-1)*12+7)</f>
        <v>2198396.50058333</v>
      </c>
      <c r="O45" s="37" t="n">
        <f aca="false">INDEX(Monthly!$C$92:$BJ$92,($R$2-1)*12+8)</f>
        <v>2199149.67796825</v>
      </c>
      <c r="P45" s="37" t="n">
        <f aca="false">INDEX(Monthly!$C$92:$BJ$92,($R$2-1)*12+9)</f>
        <v>2199946.74424206</v>
      </c>
      <c r="Q45" s="37" t="n">
        <f aca="false">INDEX(Monthly!$C$92:$BJ$92,($R$2-1)*12+10)</f>
        <v>2200787.69940476</v>
      </c>
      <c r="R45" s="37" t="n">
        <f aca="false">INDEX(Monthly!$C$92:$BJ$92,($R$2-1)*12+11)</f>
        <v>2280876.73295635</v>
      </c>
      <c r="S45" s="37" t="n">
        <f aca="false">INDEX(Monthly!$C$92:$BJ$92,($R$2-1)*12+12)</f>
        <v>2318858.87539683</v>
      </c>
    </row>
    <row r="46" customFormat="false" ht="15" hidden="false" customHeight="false" outlineLevel="0" collapsed="false">
      <c r="A46" s="49" t="s">
        <v>91</v>
      </c>
      <c r="B46" s="35" t="n">
        <f aca="false">'Balance Sheet'!B10</f>
        <v>228148.65</v>
      </c>
      <c r="C46" s="35" t="n">
        <f aca="false">'Balance Sheet'!C10</f>
        <v>298764.2475</v>
      </c>
      <c r="D46" s="35" t="n">
        <f aca="false">'Balance Sheet'!D10</f>
        <v>382175.334</v>
      </c>
      <c r="E46" s="35" t="n">
        <f aca="false">'Balance Sheet'!E10</f>
        <v>481471.39611</v>
      </c>
      <c r="F46" s="35" t="n">
        <f aca="false">'Balance Sheet'!F10</f>
        <v>600540.905567115</v>
      </c>
      <c r="H46" s="35" t="n">
        <f aca="false">INDEX(Monthly!$C$66:$BJ$66,($R$2-1)*12+1)</f>
        <v>185997.87</v>
      </c>
      <c r="I46" s="35" t="n">
        <f aca="false">INDEX(Monthly!$C$66:$BJ$66,($R$2-1)*12+2)</f>
        <v>185997.87</v>
      </c>
      <c r="J46" s="35" t="n">
        <f aca="false">INDEX(Monthly!$C$66:$BJ$66,($R$2-1)*12+3)</f>
        <v>185997.87</v>
      </c>
      <c r="K46" s="35" t="n">
        <f aca="false">INDEX(Monthly!$C$66:$BJ$66,($R$2-1)*12+4)</f>
        <v>185997.87</v>
      </c>
      <c r="L46" s="35" t="n">
        <f aca="false">INDEX(Monthly!$C$66:$BJ$66,($R$2-1)*12+5)</f>
        <v>185997.87</v>
      </c>
      <c r="M46" s="35" t="n">
        <f aca="false">INDEX(Monthly!$C$66:$BJ$66,($R$2-1)*12+6)</f>
        <v>185997.87</v>
      </c>
      <c r="N46" s="35" t="n">
        <f aca="false">INDEX(Monthly!$C$66:$BJ$66,($R$2-1)*12+7)</f>
        <v>185997.87</v>
      </c>
      <c r="O46" s="35" t="n">
        <f aca="false">INDEX(Monthly!$C$66:$BJ$66,($R$2-1)*12+8)</f>
        <v>185997.87</v>
      </c>
      <c r="P46" s="35" t="n">
        <f aca="false">INDEX(Monthly!$C$66:$BJ$66,($R$2-1)*12+9)</f>
        <v>185997.87</v>
      </c>
      <c r="Q46" s="35" t="n">
        <f aca="false">INDEX(Monthly!$C$66:$BJ$66,($R$2-1)*12+10)</f>
        <v>185997.87</v>
      </c>
      <c r="R46" s="35" t="n">
        <f aca="false">INDEX(Monthly!$C$66:$BJ$66,($R$2-1)*12+11)</f>
        <v>228148.65</v>
      </c>
      <c r="S46" s="35" t="n">
        <f aca="false">INDEX(Monthly!$C$66:$BJ$66,($R$2-1)*12+12)</f>
        <v>228148.65</v>
      </c>
    </row>
    <row r="47" customFormat="false" ht="15" hidden="false" customHeight="false" outlineLevel="0" collapsed="false">
      <c r="A47" s="49" t="s">
        <v>92</v>
      </c>
      <c r="B47" s="35" t="n">
        <f aca="false">'Balance Sheet'!B11</f>
        <v>408333.333333334</v>
      </c>
      <c r="C47" s="35" t="n">
        <f aca="false">'Balance Sheet'!C11</f>
        <v>308333.333333334</v>
      </c>
      <c r="D47" s="35" t="n">
        <f aca="false">'Balance Sheet'!D11</f>
        <v>208333.333333334</v>
      </c>
      <c r="E47" s="35" t="n">
        <f aca="false">'Balance Sheet'!E11</f>
        <v>108333.333333334</v>
      </c>
      <c r="F47" s="35" t="n">
        <f aca="false">'Balance Sheet'!F11</f>
        <v>8333.33333333375</v>
      </c>
      <c r="H47" s="35" t="n">
        <f aca="false">INDEX(Monthly!$C$61:$BJ$61,($R$2-1)*12+1)</f>
        <v>500000</v>
      </c>
      <c r="I47" s="35" t="n">
        <f aca="false">INDEX(Monthly!$C$61:$BJ$61,($R$2-1)*12+2)</f>
        <v>491666.666666667</v>
      </c>
      <c r="J47" s="35" t="n">
        <f aca="false">INDEX(Monthly!$C$61:$BJ$61,($R$2-1)*12+3)</f>
        <v>483333.333333333</v>
      </c>
      <c r="K47" s="35" t="n">
        <f aca="false">INDEX(Monthly!$C$61:$BJ$61,($R$2-1)*12+4)</f>
        <v>475000</v>
      </c>
      <c r="L47" s="35" t="n">
        <f aca="false">INDEX(Monthly!$C$61:$BJ$61,($R$2-1)*12+5)</f>
        <v>466666.666666667</v>
      </c>
      <c r="M47" s="35" t="n">
        <f aca="false">INDEX(Monthly!$C$61:$BJ$61,($R$2-1)*12+6)</f>
        <v>458333.333333333</v>
      </c>
      <c r="N47" s="35" t="n">
        <f aca="false">INDEX(Monthly!$C$61:$BJ$61,($R$2-1)*12+7)</f>
        <v>450000</v>
      </c>
      <c r="O47" s="35" t="n">
        <f aca="false">INDEX(Monthly!$C$61:$BJ$61,($R$2-1)*12+8)</f>
        <v>441666.666666667</v>
      </c>
      <c r="P47" s="35" t="n">
        <f aca="false">INDEX(Monthly!$C$61:$BJ$61,($R$2-1)*12+9)</f>
        <v>433333.333333334</v>
      </c>
      <c r="Q47" s="35" t="n">
        <f aca="false">INDEX(Monthly!$C$61:$BJ$61,($R$2-1)*12+10)</f>
        <v>425000</v>
      </c>
      <c r="R47" s="35" t="n">
        <f aca="false">INDEX(Monthly!$C$61:$BJ$61,($R$2-1)*12+11)</f>
        <v>416666.666666667</v>
      </c>
      <c r="S47" s="35" t="n">
        <f aca="false">INDEX(Monthly!$C$61:$BJ$61,($R$2-1)*12+12)</f>
        <v>408333.333333334</v>
      </c>
    </row>
    <row r="48" customFormat="false" ht="15" hidden="false" customHeight="false" outlineLevel="0" collapsed="false">
      <c r="A48" s="36" t="s">
        <v>93</v>
      </c>
      <c r="B48" s="37" t="n">
        <f aca="false">'Balance Sheet'!B12</f>
        <v>636481.983333334</v>
      </c>
      <c r="C48" s="37" t="n">
        <f aca="false">'Balance Sheet'!C12</f>
        <v>607097.580833334</v>
      </c>
      <c r="D48" s="37" t="n">
        <f aca="false">'Balance Sheet'!D12</f>
        <v>590508.667333334</v>
      </c>
      <c r="E48" s="37" t="n">
        <f aca="false">'Balance Sheet'!E12</f>
        <v>589804.729443334</v>
      </c>
      <c r="F48" s="37" t="n">
        <f aca="false">'Balance Sheet'!F12</f>
        <v>608874.238900449</v>
      </c>
      <c r="H48" s="37" t="n">
        <f aca="false">INDEX(Monthly!$C$93:$BJ$93,($R$2-1)*12+1)</f>
        <v>685997.87</v>
      </c>
      <c r="I48" s="37" t="n">
        <f aca="false">INDEX(Monthly!$C$93:$BJ$93,($R$2-1)*12+2)</f>
        <v>677664.536666667</v>
      </c>
      <c r="J48" s="37" t="n">
        <f aca="false">INDEX(Monthly!$C$93:$BJ$93,($R$2-1)*12+3)</f>
        <v>669331.203333333</v>
      </c>
      <c r="K48" s="37" t="n">
        <f aca="false">INDEX(Monthly!$C$93:$BJ$93,($R$2-1)*12+4)</f>
        <v>660997.87</v>
      </c>
      <c r="L48" s="37" t="n">
        <f aca="false">INDEX(Monthly!$C$93:$BJ$93,($R$2-1)*12+5)</f>
        <v>652664.536666667</v>
      </c>
      <c r="M48" s="37" t="n">
        <f aca="false">INDEX(Monthly!$C$93:$BJ$93,($R$2-1)*12+6)</f>
        <v>644331.203333333</v>
      </c>
      <c r="N48" s="37" t="n">
        <f aca="false">INDEX(Monthly!$C$93:$BJ$93,($R$2-1)*12+7)</f>
        <v>635997.87</v>
      </c>
      <c r="O48" s="37" t="n">
        <f aca="false">INDEX(Monthly!$C$93:$BJ$93,($R$2-1)*12+8)</f>
        <v>627664.536666667</v>
      </c>
      <c r="P48" s="37" t="n">
        <f aca="false">INDEX(Monthly!$C$93:$BJ$93,($R$2-1)*12+9)</f>
        <v>619331.203333334</v>
      </c>
      <c r="Q48" s="37" t="n">
        <f aca="false">INDEX(Monthly!$C$93:$BJ$93,($R$2-1)*12+10)</f>
        <v>610997.87</v>
      </c>
      <c r="R48" s="37" t="n">
        <f aca="false">INDEX(Monthly!$C$93:$BJ$93,($R$2-1)*12+11)</f>
        <v>644815.316666667</v>
      </c>
      <c r="S48" s="37" t="n">
        <f aca="false">INDEX(Monthly!$C$93:$BJ$93,($R$2-1)*12+12)</f>
        <v>636481.983333334</v>
      </c>
    </row>
    <row r="49" customFormat="false" ht="15" hidden="false" customHeight="false" outlineLevel="0" collapsed="false">
      <c r="A49" s="49" t="s">
        <v>94</v>
      </c>
      <c r="B49" s="35" t="n">
        <f aca="false">'Balance Sheet'!B13</f>
        <v>1500000</v>
      </c>
      <c r="C49" s="35" t="n">
        <f aca="false">'Balance Sheet'!C13</f>
        <v>1500000</v>
      </c>
      <c r="D49" s="35" t="n">
        <f aca="false">'Balance Sheet'!D13</f>
        <v>1500000</v>
      </c>
      <c r="E49" s="35" t="n">
        <f aca="false">'Balance Sheet'!E13</f>
        <v>1500000</v>
      </c>
      <c r="F49" s="35" t="n">
        <f aca="false">'Balance Sheet'!F13</f>
        <v>1500000</v>
      </c>
      <c r="H49" s="35" t="n">
        <f aca="false">INDEX(Monthly!$C$90:$BJ$90,($R$2-1)*12+1)</f>
        <v>1500000</v>
      </c>
      <c r="I49" s="35" t="n">
        <f aca="false">INDEX(Monthly!$C$90:$BJ$90,($R$2-1)*12+2)</f>
        <v>1500000</v>
      </c>
      <c r="J49" s="35" t="n">
        <f aca="false">INDEX(Monthly!$C$90:$BJ$90,($R$2-1)*12+3)</f>
        <v>1500000</v>
      </c>
      <c r="K49" s="35" t="n">
        <f aca="false">INDEX(Monthly!$C$90:$BJ$90,($R$2-1)*12+4)</f>
        <v>1500000</v>
      </c>
      <c r="L49" s="35" t="n">
        <f aca="false">INDEX(Monthly!$C$90:$BJ$90,($R$2-1)*12+5)</f>
        <v>1500000</v>
      </c>
      <c r="M49" s="35" t="n">
        <f aca="false">INDEX(Monthly!$C$90:$BJ$90,($R$2-1)*12+6)</f>
        <v>1500000</v>
      </c>
      <c r="N49" s="35" t="n">
        <f aca="false">INDEX(Monthly!$C$90:$BJ$90,($R$2-1)*12+7)</f>
        <v>1500000</v>
      </c>
      <c r="O49" s="35" t="n">
        <f aca="false">INDEX(Monthly!$C$90:$BJ$90,($R$2-1)*12+8)</f>
        <v>1500000</v>
      </c>
      <c r="P49" s="35" t="n">
        <f aca="false">INDEX(Monthly!$C$90:$BJ$90,($R$2-1)*12+9)</f>
        <v>1500000</v>
      </c>
      <c r="Q49" s="35" t="n">
        <f aca="false">INDEX(Monthly!$C$90:$BJ$90,($R$2-1)*12+10)</f>
        <v>1500000</v>
      </c>
      <c r="R49" s="35" t="n">
        <f aca="false">INDEX(Monthly!$C$90:$BJ$90,($R$2-1)*12+11)</f>
        <v>1500000</v>
      </c>
      <c r="S49" s="35" t="n">
        <f aca="false">INDEX(Monthly!$C$90:$BJ$90,($R$2-1)*12+12)</f>
        <v>1500000</v>
      </c>
    </row>
    <row r="50" customFormat="false" ht="15" hidden="false" customHeight="false" outlineLevel="0" collapsed="false">
      <c r="A50" s="49" t="s">
        <v>95</v>
      </c>
      <c r="B50" s="35" t="n">
        <f aca="false">'Balance Sheet'!B14</f>
        <v>182376.892063492</v>
      </c>
      <c r="C50" s="35" t="n">
        <f aca="false">'Balance Sheet'!C14</f>
        <v>562879.210825397</v>
      </c>
      <c r="D50" s="35" t="n">
        <f aca="false">'Balance Sheet'!D14</f>
        <v>1166315.9816042</v>
      </c>
      <c r="E50" s="35" t="n">
        <f aca="false">'Balance Sheet'!E14</f>
        <v>2021708.41029015</v>
      </c>
      <c r="F50" s="35" t="n">
        <f aca="false">'Balance Sheet'!F14</f>
        <v>3163049.6277491</v>
      </c>
      <c r="H50" s="35" t="n">
        <f aca="false">INDEX(Monthly!$C$91:$BJ$91,($R$2-1)*12+1)</f>
        <v>8801.23294047617</v>
      </c>
      <c r="I50" s="35" t="n">
        <f aca="false">INDEX(Monthly!$C$91:$BJ$91,($R$2-1)*12+2)</f>
        <v>17624.4103253968</v>
      </c>
      <c r="J50" s="35" t="n">
        <f aca="false">INDEX(Monthly!$C$91:$BJ$91,($R$2-1)*12+3)</f>
        <v>26491.4765992063</v>
      </c>
      <c r="K50" s="35" t="n">
        <f aca="false">INDEX(Monthly!$C$91:$BJ$91,($R$2-1)*12+4)</f>
        <v>35402.4317619047</v>
      </c>
      <c r="L50" s="35" t="n">
        <f aca="false">INDEX(Monthly!$C$91:$BJ$91,($R$2-1)*12+5)</f>
        <v>44357.275813492</v>
      </c>
      <c r="M50" s="35" t="n">
        <f aca="false">INDEX(Monthly!$C$91:$BJ$91,($R$2-1)*12+6)</f>
        <v>53356.0087539681</v>
      </c>
      <c r="N50" s="35" t="n">
        <f aca="false">INDEX(Monthly!$C$91:$BJ$91,($R$2-1)*12+7)</f>
        <v>62398.6305833332</v>
      </c>
      <c r="O50" s="35" t="n">
        <f aca="false">INDEX(Monthly!$C$91:$BJ$91,($R$2-1)*12+8)</f>
        <v>71485.1413015871</v>
      </c>
      <c r="P50" s="35" t="n">
        <f aca="false">INDEX(Monthly!$C$91:$BJ$91,($R$2-1)*12+9)</f>
        <v>80615.54090873</v>
      </c>
      <c r="Q50" s="35" t="n">
        <f aca="false">INDEX(Monthly!$C$91:$BJ$91,($R$2-1)*12+10)</f>
        <v>89789.8294047617</v>
      </c>
      <c r="R50" s="35" t="n">
        <f aca="false">INDEX(Monthly!$C$91:$BJ$91,($R$2-1)*12+11)</f>
        <v>136061.416289682</v>
      </c>
      <c r="S50" s="35" t="n">
        <f aca="false">INDEX(Monthly!$C$91:$BJ$91,($R$2-1)*12+12)</f>
        <v>182376.892063492</v>
      </c>
    </row>
    <row r="51" customFormat="false" ht="15" hidden="false" customHeight="false" outlineLevel="0" collapsed="false">
      <c r="A51" s="36" t="s">
        <v>96</v>
      </c>
      <c r="B51" s="37" t="n">
        <f aca="false">'Balance Sheet'!B15</f>
        <v>1682376.89206349</v>
      </c>
      <c r="C51" s="37" t="n">
        <f aca="false">'Balance Sheet'!C15</f>
        <v>2062879.2108254</v>
      </c>
      <c r="D51" s="37" t="n">
        <f aca="false">'Balance Sheet'!D15</f>
        <v>2666315.9816042</v>
      </c>
      <c r="E51" s="37" t="n">
        <f aca="false">'Balance Sheet'!E15</f>
        <v>3521708.41029015</v>
      </c>
      <c r="F51" s="37" t="n">
        <f aca="false">'Balance Sheet'!F15</f>
        <v>4663049.6277491</v>
      </c>
      <c r="H51" s="37" t="n">
        <f aca="false">INDEX(Monthly!$C$94:$BJ$94,($R$2-1)*12+1)</f>
        <v>1508801.23294048</v>
      </c>
      <c r="I51" s="37" t="n">
        <f aca="false">INDEX(Monthly!$C$94:$BJ$94,($R$2-1)*12+2)</f>
        <v>1517624.4103254</v>
      </c>
      <c r="J51" s="37" t="n">
        <f aca="false">INDEX(Monthly!$C$94:$BJ$94,($R$2-1)*12+3)</f>
        <v>1526491.47659921</v>
      </c>
      <c r="K51" s="37" t="n">
        <f aca="false">INDEX(Monthly!$C$94:$BJ$94,($R$2-1)*12+4)</f>
        <v>1535402.4317619</v>
      </c>
      <c r="L51" s="37" t="n">
        <f aca="false">INDEX(Monthly!$C$94:$BJ$94,($R$2-1)*12+5)</f>
        <v>1544357.27581349</v>
      </c>
      <c r="M51" s="37" t="n">
        <f aca="false">INDEX(Monthly!$C$94:$BJ$94,($R$2-1)*12+6)</f>
        <v>1553356.00875397</v>
      </c>
      <c r="N51" s="37" t="n">
        <f aca="false">INDEX(Monthly!$C$94:$BJ$94,($R$2-1)*12+7)</f>
        <v>1562398.63058333</v>
      </c>
      <c r="O51" s="37" t="n">
        <f aca="false">INDEX(Monthly!$C$94:$BJ$94,($R$2-1)*12+8)</f>
        <v>1571485.14130159</v>
      </c>
      <c r="P51" s="37" t="n">
        <f aca="false">INDEX(Monthly!$C$94:$BJ$94,($R$2-1)*12+9)</f>
        <v>1580615.54090873</v>
      </c>
      <c r="Q51" s="37" t="n">
        <f aca="false">INDEX(Monthly!$C$94:$BJ$94,($R$2-1)*12+10)</f>
        <v>1589789.82940476</v>
      </c>
      <c r="R51" s="37" t="n">
        <f aca="false">INDEX(Monthly!$C$94:$BJ$94,($R$2-1)*12+11)</f>
        <v>1636061.41628968</v>
      </c>
      <c r="S51" s="37" t="n">
        <f aca="false">INDEX(Monthly!$C$94:$BJ$94,($R$2-1)*12+12)</f>
        <v>1682376.89206349</v>
      </c>
    </row>
    <row r="52" customFormat="false" ht="15" hidden="false" customHeight="false" outlineLevel="0" collapsed="false">
      <c r="A52" s="40" t="s">
        <v>97</v>
      </c>
      <c r="B52" s="41" t="n">
        <f aca="false">'Balance Sheet'!B16</f>
        <v>2318858.87539683</v>
      </c>
      <c r="C52" s="41" t="n">
        <f aca="false">'Balance Sheet'!C16</f>
        <v>2669976.79165873</v>
      </c>
      <c r="D52" s="41" t="n">
        <f aca="false">'Balance Sheet'!D16</f>
        <v>3256824.64893753</v>
      </c>
      <c r="E52" s="41" t="n">
        <f aca="false">'Balance Sheet'!E16</f>
        <v>4111513.13973348</v>
      </c>
      <c r="F52" s="41" t="n">
        <f aca="false">'Balance Sheet'!F16</f>
        <v>5271923.86664955</v>
      </c>
      <c r="H52" s="41" t="n">
        <f aca="false">INDEX(Monthly!$C$95:$BJ$95,($R$2-1)*12+1)</f>
        <v>2194799.10294048</v>
      </c>
      <c r="I52" s="41" t="n">
        <f aca="false">INDEX(Monthly!$C$95:$BJ$95,($R$2-1)*12+2)</f>
        <v>2195288.94699206</v>
      </c>
      <c r="J52" s="41" t="n">
        <f aca="false">INDEX(Monthly!$C$95:$BJ$95,($R$2-1)*12+3)</f>
        <v>2195822.67993254</v>
      </c>
      <c r="K52" s="41" t="n">
        <f aca="false">INDEX(Monthly!$C$95:$BJ$95,($R$2-1)*12+4)</f>
        <v>2196400.3017619</v>
      </c>
      <c r="L52" s="41" t="n">
        <f aca="false">INDEX(Monthly!$C$95:$BJ$95,($R$2-1)*12+5)</f>
        <v>2197021.81248016</v>
      </c>
      <c r="M52" s="41" t="n">
        <f aca="false">INDEX(Monthly!$C$95:$BJ$95,($R$2-1)*12+6)</f>
        <v>2197687.2120873</v>
      </c>
      <c r="N52" s="41" t="n">
        <f aca="false">INDEX(Monthly!$C$95:$BJ$95,($R$2-1)*12+7)</f>
        <v>2198396.50058333</v>
      </c>
      <c r="O52" s="41" t="n">
        <f aca="false">INDEX(Monthly!$C$95:$BJ$95,($R$2-1)*12+8)</f>
        <v>2199149.67796825</v>
      </c>
      <c r="P52" s="41" t="n">
        <f aca="false">INDEX(Monthly!$C$95:$BJ$95,($R$2-1)*12+9)</f>
        <v>2199946.74424206</v>
      </c>
      <c r="Q52" s="41" t="n">
        <f aca="false">INDEX(Monthly!$C$95:$BJ$95,($R$2-1)*12+10)</f>
        <v>2200787.69940476</v>
      </c>
      <c r="R52" s="41" t="n">
        <f aca="false">INDEX(Monthly!$C$95:$BJ$95,($R$2-1)*12+11)</f>
        <v>2280876.73295635</v>
      </c>
      <c r="S52" s="41" t="n">
        <f aca="false">INDEX(Monthly!$C$95:$BJ$95,($R$2-1)*12+12)</f>
        <v>2318858.87539683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102</v>
      </c>
      <c r="B6" s="50" t="n">
        <f aca="false">MATCH(MIN(Monthly!$C$78:$BJ$78),Monthly!$C$78:$BJ$78,0)</f>
        <v>13</v>
      </c>
    </row>
    <row r="7" customFormat="false" ht="15" hidden="false" customHeight="false" outlineLevel="0" collapsed="false">
      <c r="A7" s="6" t="s">
        <v>103</v>
      </c>
      <c r="B7" s="51" t="n">
        <f aca="false">SUMPRODUCT(--(Monthly!$C$4:$BJ$4&lt;=$B$6),Monthly!$C$51:$BJ$51)</f>
        <v>500000</v>
      </c>
    </row>
    <row r="8" customFormat="false" ht="15" hidden="false" customHeight="false" outlineLevel="0" collapsed="false">
      <c r="A8" s="6" t="s">
        <v>104</v>
      </c>
      <c r="B8" s="51" t="n">
        <f aca="false">-SUMPRODUCT(--(Monthly!$C$4:$BJ$4&lt;=$B$6),Monthly!$C$72:$BJ$72)</f>
        <v>139694.920750595</v>
      </c>
      <c r="D8" s="18" t="s">
        <v>105</v>
      </c>
    </row>
    <row r="9" customFormat="false" ht="15" hidden="false" customHeight="false" outlineLevel="0" collapsed="false">
      <c r="A9" s="6" t="s">
        <v>106</v>
      </c>
      <c r="B9" s="51" t="n">
        <f aca="false">-SUMPRODUCT(--(Monthly!$C$4:$BJ$4&lt;=$B$6),Monthly!$C$60:$BJ$60)</f>
        <v>100000</v>
      </c>
    </row>
    <row r="10" customFormat="false" ht="15" hidden="false" customHeight="false" outlineLevel="0" collapsed="false">
      <c r="A10" s="4" t="s">
        <v>107</v>
      </c>
      <c r="B10" s="52" t="n">
        <f aca="false">B7+B8+B9</f>
        <v>739694.920750595</v>
      </c>
    </row>
    <row r="11" customFormat="false" ht="15" hidden="false" customHeight="false" outlineLevel="0" collapsed="false">
      <c r="A11" s="6" t="s">
        <v>108</v>
      </c>
      <c r="B11" s="53" t="n">
        <f aca="false">Inputs!$E$73</f>
        <v>720000</v>
      </c>
      <c r="D11" s="18" t="s">
        <v>109</v>
      </c>
    </row>
    <row r="12" customFormat="false" ht="15" hidden="false" customHeight="false" outlineLevel="0" collapsed="false">
      <c r="A12" s="4" t="s">
        <v>110</v>
      </c>
      <c r="B12" s="52" t="n">
        <f aca="false">B10+B11</f>
        <v>1459694.9207506</v>
      </c>
    </row>
    <row r="14" customFormat="false" ht="15" hidden="false" customHeight="false" outlineLevel="0" collapsed="false">
      <c r="A14" s="6" t="s">
        <v>61</v>
      </c>
      <c r="B14" s="53" t="n">
        <f aca="false">Inputs!$E$58</f>
        <v>1500000</v>
      </c>
    </row>
    <row r="15" customFormat="false" ht="15" hidden="false" customHeight="false" outlineLevel="0" collapsed="false">
      <c r="A15" s="6" t="s">
        <v>62</v>
      </c>
      <c r="B15" s="53" t="n">
        <f aca="false">Inputs!$E$59</f>
        <v>500000</v>
      </c>
    </row>
    <row r="16" customFormat="false" ht="15" hidden="false" customHeight="false" outlineLevel="0" collapsed="false">
      <c r="A16" s="4" t="s">
        <v>111</v>
      </c>
      <c r="B16" s="52" t="n">
        <f aca="false">B14+B15</f>
        <v>2000000</v>
      </c>
    </row>
    <row r="17" customFormat="false" ht="15" hidden="false" customHeight="false" outlineLevel="0" collapsed="false">
      <c r="A17" s="54" t="s">
        <v>64</v>
      </c>
      <c r="B17" s="55" t="n">
        <f aca="false">B16-B12</f>
        <v>540305.079249405</v>
      </c>
      <c r="D17" s="18" t="s">
        <v>112</v>
      </c>
    </row>
    <row r="18" customFormat="false" ht="15" hidden="false" customHeight="false" outlineLevel="0" collapsed="false">
      <c r="A18" s="6" t="s">
        <v>113</v>
      </c>
      <c r="B18" s="51" t="n">
        <f aca="false">MIN(Monthly!$C$78:$BJ$78)</f>
        <v>1260305.0792494</v>
      </c>
      <c r="D18" s="18" t="s">
        <v>114</v>
      </c>
    </row>
    <row r="20" customFormat="false" ht="15.75" hidden="false" customHeight="true" outlineLevel="0" collapsed="false">
      <c r="A20" s="7" t="s">
        <v>115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116</v>
      </c>
      <c r="B21" s="50" t="n">
        <f aca="false">IFERROR(MATCH(1,Monthly!$C$79:$BJ$79,0),"Not within horizon")</f>
        <v>1</v>
      </c>
    </row>
    <row r="22" customFormat="false" ht="15" hidden="false" customHeight="false" outlineLevel="0" collapsed="false">
      <c r="A22" s="6" t="s">
        <v>117</v>
      </c>
      <c r="B22" s="50" t="n">
        <f aca="false">IFERROR(MATCH(1,Monthly!$C$82:$BJ$82,0),"Not within horizon")</f>
        <v>1</v>
      </c>
    </row>
    <row r="23" customFormat="false" ht="15" hidden="false" customHeight="false" outlineLevel="0" collapsed="false">
      <c r="A23" s="6" t="s">
        <v>118</v>
      </c>
      <c r="B23" s="50" t="n">
        <f aca="false">IF(MIN(Monthly!$C$84:$BJ$84)&gt;=0,"No investment to pay back",IFERROR(MATCH(1,Monthly!$C$86:$BJ$86,0),"Not within horizon"))</f>
        <v>36</v>
      </c>
      <c r="D23" s="18" t="s">
        <v>119</v>
      </c>
    </row>
    <row r="25" customFormat="false" ht="15.75" hidden="false" customHeight="true" outlineLevel="0" collapsed="false">
      <c r="A25" s="7" t="s">
        <v>120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6" t="s">
        <v>121</v>
      </c>
      <c r="B26" s="56" t="n">
        <v>1</v>
      </c>
      <c r="C26" s="56" t="n">
        <v>2</v>
      </c>
      <c r="D26" s="56" t="n">
        <v>3</v>
      </c>
      <c r="E26" s="56" t="n">
        <v>4</v>
      </c>
      <c r="F26" s="56" t="n">
        <v>5</v>
      </c>
    </row>
    <row r="27" customFormat="false" ht="15" hidden="false" customHeight="false" outlineLevel="0" collapsed="false">
      <c r="A27" s="33"/>
      <c r="B27" s="57" t="s">
        <v>122</v>
      </c>
      <c r="C27" s="57" t="s">
        <v>123</v>
      </c>
      <c r="D27" s="57" t="s">
        <v>124</v>
      </c>
      <c r="E27" s="57" t="s">
        <v>125</v>
      </c>
      <c r="F27" s="57" t="s">
        <v>126</v>
      </c>
    </row>
    <row r="28" customFormat="false" ht="15" hidden="false" customHeight="false" outlineLevel="0" collapsed="false">
      <c r="A28" s="4" t="s">
        <v>41</v>
      </c>
      <c r="B28" s="58" t="n">
        <f aca="false">SUMIF(Monthly!$C$5:$BJ$5,B$26,Monthly!$C$25:$BJ$25)</f>
        <v>5514942.85714286</v>
      </c>
      <c r="C28" s="58" t="n">
        <f aca="false">SUMIF(Monthly!$C$5:$BJ$5,C$26,Monthly!$C$25:$BJ$25)</f>
        <v>7179087.85714286</v>
      </c>
      <c r="D28" s="58" t="n">
        <f aca="false">SUMIF(Monthly!$C$5:$BJ$5,D$26,Monthly!$C$25:$BJ$25)</f>
        <v>9149574.85714286</v>
      </c>
      <c r="E28" s="58" t="n">
        <f aca="false">SUMIF(Monthly!$C$5:$BJ$5,E$26,Monthly!$C$25:$BJ$25)</f>
        <v>11499932.0931429</v>
      </c>
      <c r="F28" s="58" t="n">
        <f aca="false">SUMIF(Monthly!$C$5:$BJ$5,F$26,Monthly!$C$25:$BJ$25)</f>
        <v>14322508.4584569</v>
      </c>
    </row>
    <row r="29" customFormat="false" ht="15" hidden="false" customHeight="false" outlineLevel="0" collapsed="false">
      <c r="A29" s="6" t="s">
        <v>42</v>
      </c>
      <c r="B29" s="51" t="n">
        <f aca="false">SUMIF(Monthly!$C$5:$BJ$5,B$26,Monthly!$C$27:$BJ$27)</f>
        <v>3198666.85714286</v>
      </c>
      <c r="C29" s="51" t="n">
        <f aca="false">SUMIF(Monthly!$C$5:$BJ$5,C$26,Monthly!$C$27:$BJ$27)</f>
        <v>4163870.95714286</v>
      </c>
      <c r="D29" s="51" t="n">
        <f aca="false">SUMIF(Monthly!$C$5:$BJ$5,D$26,Monthly!$C$27:$BJ$27)</f>
        <v>5306753.41714286</v>
      </c>
      <c r="E29" s="51" t="n">
        <f aca="false">SUMIF(Monthly!$C$5:$BJ$5,E$26,Monthly!$C$27:$BJ$27)</f>
        <v>6669960.61402286</v>
      </c>
      <c r="F29" s="51" t="n">
        <f aca="false">SUMIF(Monthly!$C$5:$BJ$5,F$26,Monthly!$C$27:$BJ$27)</f>
        <v>8307054.90590498</v>
      </c>
    </row>
    <row r="30" customFormat="false" ht="15" hidden="false" customHeight="false" outlineLevel="0" collapsed="false">
      <c r="A30" s="38" t="s">
        <v>127</v>
      </c>
      <c r="B30" s="59" t="n">
        <f aca="false">IF(B28=0,0,B29/B28)</f>
        <v>0.58</v>
      </c>
      <c r="C30" s="59" t="n">
        <f aca="false">IF(C28=0,0,C29/C28)</f>
        <v>0.58</v>
      </c>
      <c r="D30" s="59" t="n">
        <f aca="false">IF(D28=0,0,D29/D28)</f>
        <v>0.58</v>
      </c>
      <c r="E30" s="59" t="n">
        <f aca="false">IF(E28=0,0,E29/E28)</f>
        <v>0.58</v>
      </c>
      <c r="F30" s="59" t="n">
        <f aca="false">IF(F28=0,0,F29/F28)</f>
        <v>0.58</v>
      </c>
    </row>
    <row r="31" customFormat="false" ht="15" hidden="false" customHeight="false" outlineLevel="0" collapsed="false">
      <c r="A31" s="6" t="s">
        <v>128</v>
      </c>
      <c r="B31" s="51" t="n">
        <f aca="false">-SUMIF(Monthly!$C$5:$BJ$5,B$26,Monthly!$C$38:$BJ$38)</f>
        <v>2881171.14285714</v>
      </c>
      <c r="C31" s="51" t="n">
        <f aca="false">-SUMIF(Monthly!$C$5:$BJ$5,C$26,Monthly!$C$38:$BJ$38)</f>
        <v>3582127.21428571</v>
      </c>
      <c r="D31" s="51" t="n">
        <f aca="false">-SUMIF(Monthly!$C$5:$BJ$5,D$26,Monthly!$C$38:$BJ$38)</f>
        <v>4429385.593975</v>
      </c>
      <c r="E31" s="51" t="n">
        <f aca="false">-SUMIF(Monthly!$C$5:$BJ$5,E$26,Monthly!$C$38:$BJ$38)</f>
        <v>5460233.00688573</v>
      </c>
      <c r="F31" s="51" t="n">
        <f aca="false">-SUMIF(Monthly!$C$5:$BJ$5,F$26,Monthly!$C$38:$BJ$38)</f>
        <v>6721938.23522155</v>
      </c>
    </row>
    <row r="32" customFormat="false" ht="15" hidden="false" customHeight="false" outlineLevel="0" collapsed="false">
      <c r="A32" s="4" t="s">
        <v>129</v>
      </c>
      <c r="B32" s="58" t="n">
        <f aca="false">IF(B30&gt;0,B31/B30,"n/a")</f>
        <v>4967536.45320197</v>
      </c>
      <c r="C32" s="58" t="n">
        <f aca="false">IF(C30&gt;0,C31/C30,"n/a")</f>
        <v>6176081.40394089</v>
      </c>
      <c r="D32" s="58" t="n">
        <f aca="false">IF(D30&gt;0,D31/D30,"n/a")</f>
        <v>7636871.71375</v>
      </c>
      <c r="E32" s="58" t="n">
        <f aca="false">IF(E30&gt;0,E31/E30,"n/a")</f>
        <v>9414194.83945815</v>
      </c>
      <c r="F32" s="58" t="n">
        <f aca="false">IF(F30&gt;0,F31/F30,"n/a")</f>
        <v>11589548.6814165</v>
      </c>
    </row>
    <row r="33" customFormat="false" ht="15" hidden="false" customHeight="false" outlineLevel="0" collapsed="false">
      <c r="A33" s="38" t="s">
        <v>130</v>
      </c>
      <c r="B33" s="59" t="n">
        <f aca="false">IF(AND(ISNUMBER(B32),B28&gt;0),(B28-B32)/B28,"n/a")</f>
        <v>0.0992587626237861</v>
      </c>
      <c r="C33" s="59" t="n">
        <f aca="false">IF(AND(ISNUMBER(C32),C28&gt;0),(C28-C32)/C28,"n/a")</f>
        <v>0.139712241048008</v>
      </c>
      <c r="D33" s="59" t="n">
        <f aca="false">IF(AND(ISNUMBER(D32),D28&gt;0),(D28-D32)/D28,"n/a")</f>
        <v>0.165330429775316</v>
      </c>
      <c r="E33" s="59" t="n">
        <f aca="false">IF(AND(ISNUMBER(E32),E28&gt;0),(E28-E32)/E28,"n/a")</f>
        <v>0.181369527819071</v>
      </c>
      <c r="F33" s="59" t="n">
        <f aca="false">IF(AND(ISNUMBER(F32),F28&gt;0),(F28-F32)/F28,"n/a")</f>
        <v>0.190815720930972</v>
      </c>
    </row>
    <row r="35" customFormat="false" ht="15" hidden="false" customHeight="false" outlineLevel="0" collapsed="false">
      <c r="A35" s="38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135</v>
      </c>
      <c r="B6" s="60" t="n">
        <f aca="false">Inputs!$E$76</f>
        <v>0.16</v>
      </c>
    </row>
    <row r="7" customFormat="false" ht="15" hidden="false" customHeight="false" outlineLevel="0" collapsed="false">
      <c r="A7" s="38" t="s">
        <v>136</v>
      </c>
      <c r="B7" s="60" t="n">
        <f aca="false">Inputs!$E$77</f>
        <v>0.02</v>
      </c>
    </row>
    <row r="8" customFormat="false" ht="15" hidden="false" customHeight="false" outlineLevel="0" collapsed="false">
      <c r="A8" s="6" t="s">
        <v>137</v>
      </c>
      <c r="B8" s="61" t="n">
        <f aca="false">Inputs!$E$78</f>
        <v>5.5</v>
      </c>
    </row>
    <row r="9" customFormat="false" ht="15" hidden="false" customHeight="false" outlineLevel="0" collapsed="false">
      <c r="A9" s="38" t="s">
        <v>138</v>
      </c>
      <c r="B9" s="60" t="n">
        <f aca="false">Inputs!$E$70</f>
        <v>0.21</v>
      </c>
    </row>
    <row r="10" customFormat="false" ht="15" hidden="false" customHeight="false" outlineLevel="0" collapsed="false">
      <c r="A10" s="38" t="s">
        <v>139</v>
      </c>
      <c r="B10" s="60" t="n">
        <f aca="false">Inputs!$E$79</f>
        <v>0.01</v>
      </c>
    </row>
    <row r="11" customFormat="false" ht="15" hidden="false" customHeight="false" outlineLevel="0" collapsed="false">
      <c r="A11" s="38" t="s">
        <v>140</v>
      </c>
      <c r="B11" s="60" t="n">
        <f aca="false">Inputs!$E$80</f>
        <v>0.005</v>
      </c>
    </row>
    <row r="13" customFormat="false" ht="15.75" hidden="false" customHeight="true" outlineLevel="0" collapsed="false">
      <c r="A13" s="7" t="s">
        <v>141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6" t="s">
        <v>121</v>
      </c>
      <c r="B14" s="56" t="n">
        <v>1</v>
      </c>
      <c r="C14" s="56" t="n">
        <v>2</v>
      </c>
      <c r="D14" s="56" t="n">
        <v>3</v>
      </c>
      <c r="E14" s="56" t="n">
        <v>4</v>
      </c>
      <c r="F14" s="56" t="n">
        <v>5</v>
      </c>
    </row>
    <row r="15" customFormat="false" ht="15" hidden="false" customHeight="false" outlineLevel="0" collapsed="false">
      <c r="A15" s="33"/>
      <c r="B15" s="57" t="s">
        <v>122</v>
      </c>
      <c r="C15" s="57" t="s">
        <v>123</v>
      </c>
      <c r="D15" s="57" t="s">
        <v>124</v>
      </c>
      <c r="E15" s="57" t="s">
        <v>125</v>
      </c>
      <c r="F15" s="57" t="s">
        <v>126</v>
      </c>
    </row>
    <row r="16" customFormat="false" ht="15" hidden="false" customHeight="false" outlineLevel="0" collapsed="false">
      <c r="A16" s="6" t="s">
        <v>45</v>
      </c>
      <c r="B16" s="51" t="n">
        <f aca="false">SUMIF(Monthly!$C$5:$BJ$5,B$14,Monthly!$C$39:$BJ$39)</f>
        <v>317495.714285714</v>
      </c>
      <c r="C16" s="51" t="n">
        <f aca="false">SUMIF(Monthly!$C$5:$BJ$5,C$14,Monthly!$C$39:$BJ$39)</f>
        <v>581743.742857143</v>
      </c>
      <c r="D16" s="51" t="n">
        <f aca="false">SUMIF(Monthly!$C$5:$BJ$5,D$14,Monthly!$C$39:$BJ$39)</f>
        <v>877367.823167858</v>
      </c>
      <c r="E16" s="51" t="n">
        <f aca="false">SUMIF(Monthly!$C$5:$BJ$5,E$14,Monthly!$C$39:$BJ$39)</f>
        <v>1209727.60713713</v>
      </c>
      <c r="F16" s="51" t="n">
        <f aca="false">SUMIF(Monthly!$C$5:$BJ$5,F$14,Monthly!$C$39:$BJ$39)</f>
        <v>1585116.67068342</v>
      </c>
    </row>
    <row r="17" customFormat="false" ht="15" hidden="false" customHeight="false" outlineLevel="0" collapsed="false">
      <c r="A17" s="4" t="s">
        <v>142</v>
      </c>
      <c r="B17" s="58" t="n">
        <f aca="false">SUMIF(Monthly!$C$5:$BJ$5,B$14,Monthly!$C$87:$BJ$87)</f>
        <v>-467115.432142857</v>
      </c>
      <c r="C17" s="58" t="n">
        <f aca="false">SUMIF(Monthly!$C$5:$BJ$5,C$14,Monthly!$C$87:$BJ$87)</f>
        <v>207445.335607143</v>
      </c>
      <c r="D17" s="58" t="n">
        <f aca="false">SUMIF(Monthly!$C$5:$BJ$5,D$14,Monthly!$C$87:$BJ$87)</f>
        <v>424264.095552608</v>
      </c>
      <c r="E17" s="58" t="n">
        <f aca="false">SUMIF(Monthly!$C$5:$BJ$5,E$14,Monthly!$C$87:$BJ$87)</f>
        <v>664979.436773331</v>
      </c>
      <c r="F17" s="58" t="n">
        <f aca="false">SUMIF(Monthly!$C$5:$BJ$5,F$14,Monthly!$C$87:$BJ$87)</f>
        <v>933237.983518181</v>
      </c>
    </row>
    <row r="18" customFormat="false" ht="15" hidden="false" customHeight="false" outlineLevel="0" collapsed="false">
      <c r="A18" s="6" t="s">
        <v>143</v>
      </c>
      <c r="B18" s="62" t="n">
        <f aca="false">1/(1+Inputs!$E$76)^B$14</f>
        <v>0.862068965517241</v>
      </c>
      <c r="C18" s="62" t="n">
        <f aca="false">1/(1+Inputs!$E$76)^C$14</f>
        <v>0.743162901307967</v>
      </c>
      <c r="D18" s="62" t="n">
        <f aca="false">1/(1+Inputs!$E$76)^D$14</f>
        <v>0.640657673541351</v>
      </c>
      <c r="E18" s="62" t="n">
        <f aca="false">1/(1+Inputs!$E$76)^E$14</f>
        <v>0.552291097880475</v>
      </c>
      <c r="F18" s="62" t="n">
        <f aca="false">1/(1+Inputs!$E$76)^F$14</f>
        <v>0.476113015414203</v>
      </c>
    </row>
    <row r="19" customFormat="false" ht="15" hidden="false" customHeight="false" outlineLevel="0" collapsed="false">
      <c r="A19" s="6" t="s">
        <v>144</v>
      </c>
      <c r="B19" s="51" t="n">
        <f aca="false">B17*B18</f>
        <v>-402685.717364532</v>
      </c>
      <c r="C19" s="51" t="n">
        <f aca="false">C17*C18</f>
        <v>154165.677472609</v>
      </c>
      <c r="D19" s="51" t="n">
        <f aca="false">D17*D18</f>
        <v>271808.048423859</v>
      </c>
      <c r="E19" s="51" t="n">
        <f aca="false">E17*E18</f>
        <v>367262.223203483</v>
      </c>
      <c r="F19" s="51" t="n">
        <f aca="false">F17*F18</f>
        <v>444326.750431911</v>
      </c>
    </row>
    <row r="21" customFormat="false" ht="15.75" hidden="false" customHeight="true" outlineLevel="0" collapsed="false">
      <c r="A21" s="7" t="s">
        <v>145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7" t="s">
        <v>146</v>
      </c>
      <c r="C22" s="57" t="s">
        <v>147</v>
      </c>
    </row>
    <row r="23" customFormat="false" ht="15" hidden="false" customHeight="false" outlineLevel="0" collapsed="false">
      <c r="A23" s="6" t="s">
        <v>148</v>
      </c>
      <c r="B23" s="51" t="n">
        <f aca="false">SUM($B$19:$F$19)</f>
        <v>834876.982167331</v>
      </c>
      <c r="C23" s="51" t="n">
        <f aca="false">B23</f>
        <v>834876.982167331</v>
      </c>
    </row>
    <row r="24" customFormat="false" ht="15" hidden="false" customHeight="false" outlineLevel="0" collapsed="false">
      <c r="A24" s="6" t="s">
        <v>149</v>
      </c>
      <c r="B24" s="51" t="n">
        <f aca="false">$F$17</f>
        <v>933237.983518181</v>
      </c>
      <c r="C24" s="51" t="n">
        <f aca="false">$F$16</f>
        <v>1585116.67068342</v>
      </c>
    </row>
    <row r="25" customFormat="false" ht="15" hidden="false" customHeight="false" outlineLevel="0" collapsed="false">
      <c r="A25" s="6" t="s">
        <v>150</v>
      </c>
      <c r="B25" s="51" t="n">
        <f aca="false">IF($B$6&gt;$B$7,B24*(1+$B$7)/($B$6-$B$7),0)</f>
        <v>6799305.30848961</v>
      </c>
      <c r="C25" s="51" t="n">
        <f aca="false">C24*$B$8</f>
        <v>8718141.68875882</v>
      </c>
    </row>
    <row r="26" customFormat="false" ht="15" hidden="false" customHeight="false" outlineLevel="0" collapsed="false">
      <c r="A26" s="6" t="s">
        <v>151</v>
      </c>
      <c r="B26" s="51" t="n">
        <f aca="false">B25/(1+$B$6)^$F$14</f>
        <v>3237237.75314678</v>
      </c>
      <c r="C26" s="51" t="n">
        <f aca="false">C25/(1+$B$6)^$F$14</f>
        <v>4150820.72824323</v>
      </c>
    </row>
    <row r="27" customFormat="false" ht="15" hidden="false" customHeight="false" outlineLevel="0" collapsed="false">
      <c r="A27" s="4" t="s">
        <v>145</v>
      </c>
      <c r="B27" s="52" t="n">
        <f aca="false">B23+B26</f>
        <v>4072114.73531411</v>
      </c>
      <c r="C27" s="52" t="n">
        <f aca="false">C23+C26</f>
        <v>4985697.71041056</v>
      </c>
    </row>
    <row r="28" customFormat="false" ht="15" hidden="false" customHeight="false" outlineLevel="0" collapsed="false">
      <c r="A28" s="38" t="s">
        <v>152</v>
      </c>
      <c r="B28" s="59" t="n">
        <f aca="false">IF(B27&lt;&gt;0,B26/B27,0)</f>
        <v>0.794977048429621</v>
      </c>
      <c r="C28" s="59" t="n">
        <f aca="false">IF(C27&lt;&gt;0,C26/C27,0)</f>
        <v>0.832545607323116</v>
      </c>
    </row>
    <row r="29" customFormat="false" ht="15" hidden="false" customHeight="false" outlineLevel="0" collapsed="false">
      <c r="A29" s="6" t="s">
        <v>153</v>
      </c>
      <c r="B29" s="63" t="n">
        <f aca="false">IF(C24&gt;0,B25/C24,"n/a")</f>
        <v>4.28946678452261</v>
      </c>
      <c r="C29" s="59" t="n">
        <f aca="false">IF(C25+B24&lt;&gt;0,(C25*$B$6-B24)/(C25+B24),"n/a")</f>
        <v>0.0478340612803094</v>
      </c>
    </row>
    <row r="30" customFormat="false" ht="15" hidden="false" customHeight="false" outlineLevel="0" collapsed="false">
      <c r="A30" s="54" t="s">
        <v>154</v>
      </c>
      <c r="B30" s="55" t="n">
        <f aca="false">AVERAGE(B27,C27)</f>
        <v>4528906.22286234</v>
      </c>
    </row>
    <row r="32" customFormat="false" ht="15.75" hidden="false" customHeight="true" outlineLevel="0" collapsed="false">
      <c r="A32" s="7" t="s">
        <v>155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156</v>
      </c>
      <c r="B33" s="64" t="n">
        <f aca="false">$B$7+(-2)*$B$11</f>
        <v>0.01</v>
      </c>
      <c r="C33" s="64" t="n">
        <f aca="false">$B$7+(-1)*$B$11</f>
        <v>0.015</v>
      </c>
      <c r="D33" s="64" t="n">
        <f aca="false">$B$7+(0)*$B$11</f>
        <v>0.02</v>
      </c>
      <c r="E33" s="64" t="n">
        <f aca="false">$B$7+(1)*$B$11</f>
        <v>0.025</v>
      </c>
      <c r="F33" s="64" t="n">
        <f aca="false">$B$7+(2)*$B$11</f>
        <v>0.03</v>
      </c>
    </row>
    <row r="34" customFormat="false" ht="15" hidden="false" customHeight="false" outlineLevel="0" collapsed="false">
      <c r="A34" s="59" t="n">
        <f aca="false">$B$6+(-2)*$B$10</f>
        <v>0.14</v>
      </c>
      <c r="B34" s="51" t="n">
        <f aca="false">IF($A34&gt;B$33,SUMPRODUCT($B$17:$F$17/(1+$A34)^$B$14:$F$14)+$F$17*(1+B$33)/($A34-B$33)/(1+$A34)^$F$14,"n/a")</f>
        <v>4680357.95316233</v>
      </c>
      <c r="C34" s="51" t="n">
        <f aca="false">IF($A34&gt;C$33,SUMPRODUCT($B$17:$F$17/(1+$A34)^$B$14:$F$14)+$F$17*(1+C$33)/($A34-C$33)/(1+$A34)^$F$14,"n/a")</f>
        <v>4850373.89289581</v>
      </c>
      <c r="D34" s="51" t="n">
        <f aca="false">IF($A34&gt;D$33,SUMPRODUCT($B$17:$F$17/(1+$A34)^$B$14:$F$14)+$F$17*(1+D$33)/($A34-D$33)/(1+$A34)^$F$14,"n/a")</f>
        <v>5034557.82760709</v>
      </c>
      <c r="E34" s="51" t="n">
        <f aca="false">IF($A34&gt;E$33,SUMPRODUCT($B$17:$F$17/(1+$A34)^$B$14:$F$14)+$F$17*(1+E$33)/($A34-E$33)/(1+$A34)^$F$14,"n/a")</f>
        <v>5234757.75664109</v>
      </c>
      <c r="F34" s="51" t="n">
        <f aca="false">IF($A34&gt;F$33,SUMPRODUCT($B$17:$F$17/(1+$A34)^$B$14:$F$14)+$F$17*(1+F$33)/($A34-F$33)/(1+$A34)^$F$14,"n/a")</f>
        <v>5453157.67922364</v>
      </c>
    </row>
    <row r="35" customFormat="false" ht="15" hidden="false" customHeight="false" outlineLevel="0" collapsed="false">
      <c r="A35" s="59" t="n">
        <f aca="false">$B$6+(-1)*$B$10</f>
        <v>0.15</v>
      </c>
      <c r="B35" s="51" t="n">
        <f aca="false">IF($A35&gt;B$33,SUMPRODUCT($B$17:$F$17/(1+$A35)^$B$14:$F$14)+$F$17*(1+B$33)/($A35-B$33)/(1+$A35)^$F$14,"n/a")</f>
        <v>4221134.72533186</v>
      </c>
      <c r="C35" s="51" t="n">
        <f aca="false">IF($A35&gt;C$33,SUMPRODUCT($B$17:$F$17/(1+$A35)^$B$14:$F$14)+$F$17*(1+C$33)/($A35-C$33)/(1+$A35)^$F$14,"n/a")</f>
        <v>4362293.94384699</v>
      </c>
      <c r="D35" s="51" t="n">
        <f aca="false">IF($A35&gt;D$33,SUMPRODUCT($B$17:$F$17/(1+$A35)^$B$14:$F$14)+$F$17*(1+D$33)/($A35-D$33)/(1+$A35)^$F$14,"n/a")</f>
        <v>4514311.56378637</v>
      </c>
      <c r="E35" s="51" t="n">
        <f aca="false">IF($A35&gt;E$33,SUMPRODUCT($B$17:$F$17/(1+$A35)^$B$14:$F$14)+$F$17*(1+E$33)/($A35-E$33)/(1+$A35)^$F$14,"n/a")</f>
        <v>4678490.5933209</v>
      </c>
      <c r="F35" s="51" t="n">
        <f aca="false">IF($A35&gt;F$33,SUMPRODUCT($B$17:$F$17/(1+$A35)^$B$14:$F$14)+$F$17*(1+F$33)/($A35-F$33)/(1+$A35)^$F$14,"n/a")</f>
        <v>4856351.20864997</v>
      </c>
    </row>
    <row r="36" customFormat="false" ht="15" hidden="false" customHeight="false" outlineLevel="0" collapsed="false">
      <c r="A36" s="59" t="n">
        <f aca="false">$B$6+(0)*$B$10</f>
        <v>0.16</v>
      </c>
      <c r="B36" s="51" t="n">
        <f aca="false">IF($A36&gt;B$33,SUMPRODUCT($B$17:$F$17/(1+$A36)^$B$14:$F$14)+$F$17*(1+B$33)/($A36-B$33)/(1+$A36)^$F$14,"n/a")</f>
        <v>3826677.1017422</v>
      </c>
      <c r="C36" s="51" t="n">
        <f aca="false">IF($A36&gt;C$33,SUMPRODUCT($B$17:$F$17/(1+$A36)^$B$14:$F$14)+$F$17*(1+C$33)/($A36-C$33)/(1+$A36)^$F$14,"n/a")</f>
        <v>3945164.23519071</v>
      </c>
      <c r="D36" s="51" t="n">
        <f aca="false">IF($A36&gt;D$33,SUMPRODUCT($B$17:$F$17/(1+$A36)^$B$14:$F$14)+$F$17*(1+D$33)/($A36-D$33)/(1+$A36)^$F$14,"n/a")</f>
        <v>4072114.73531411</v>
      </c>
      <c r="E36" s="51" t="n">
        <f aca="false">IF($A36&gt;E$33,SUMPRODUCT($B$17:$F$17/(1+$A36)^$B$14:$F$14)+$F$17*(1+E$33)/($A36-E$33)/(1+$A36)^$F$14,"n/a")</f>
        <v>4208468.9761874</v>
      </c>
      <c r="F36" s="51" t="n">
        <f aca="false">IF($A36&gt;F$33,SUMPRODUCT($B$17:$F$17/(1+$A36)^$B$14:$F$14)+$F$17*(1+F$33)/($A36-F$33)/(1+$A36)^$F$14,"n/a")</f>
        <v>4355312.00482016</v>
      </c>
    </row>
    <row r="37" customFormat="false" ht="15" hidden="false" customHeight="false" outlineLevel="0" collapsed="false">
      <c r="A37" s="59" t="n">
        <f aca="false">$B$6+(1)*$B$10</f>
        <v>0.17</v>
      </c>
      <c r="B37" s="51" t="n">
        <f aca="false">IF($A37&gt;B$33,SUMPRODUCT($B$17:$F$17/(1+$A37)^$B$14:$F$14)+$F$17*(1+B$33)/($A37-B$33)/(1+$A37)^$F$14,"n/a")</f>
        <v>3484702.5808189</v>
      </c>
      <c r="C37" s="51" t="n">
        <f aca="false">IF($A37&gt;C$33,SUMPRODUCT($B$17:$F$17/(1+$A37)^$B$14:$F$14)+$F$17*(1+C$33)/($A37-C$33)/(1+$A37)^$F$14,"n/a")</f>
        <v>3585110.34189097</v>
      </c>
      <c r="D37" s="51" t="n">
        <f aca="false">IF($A37&gt;D$33,SUMPRODUCT($B$17:$F$17/(1+$A37)^$B$14:$F$14)+$F$17*(1+D$33)/($A37-D$33)/(1+$A37)^$F$14,"n/a")</f>
        <v>3692211.95370118</v>
      </c>
      <c r="E37" s="51" t="n">
        <f aca="false">IF($A37&gt;E$33,SUMPRODUCT($B$17:$F$17/(1+$A37)^$B$14:$F$14)+$F$17*(1+E$33)/($A37-E$33)/(1+$A37)^$F$14,"n/a")</f>
        <v>3806699.88356727</v>
      </c>
      <c r="F37" s="51" t="n">
        <f aca="false">IF($A37&gt;F$33,SUMPRODUCT($B$17:$F$17/(1+$A37)^$B$14:$F$14)+$F$17*(1+F$33)/($A37-F$33)/(1+$A37)^$F$14,"n/a")</f>
        <v>3929365.52270952</v>
      </c>
    </row>
    <row r="38" customFormat="false" ht="15" hidden="false" customHeight="false" outlineLevel="0" collapsed="false">
      <c r="A38" s="59" t="n">
        <f aca="false">$B$6+(2)*$B$10</f>
        <v>0.18</v>
      </c>
      <c r="B38" s="51" t="n">
        <f aca="false">IF($A38&gt;B$33,SUMPRODUCT($B$17:$F$17/(1+$A38)^$B$14:$F$14)+$F$17*(1+B$33)/($A38-B$33)/(1+$A38)^$F$14,"n/a")</f>
        <v>3185825.46010123</v>
      </c>
      <c r="C38" s="51" t="n">
        <f aca="false">IF($A38&gt;C$33,SUMPRODUCT($B$17:$F$17/(1+$A38)^$B$14:$F$14)+$F$17*(1+C$33)/($A38-C$33)/(1+$A38)^$F$14,"n/a")</f>
        <v>3271628.27111155</v>
      </c>
      <c r="D38" s="51" t="n">
        <f aca="false">IF($A38&gt;D$33,SUMPRODUCT($B$17:$F$17/(1+$A38)^$B$14:$F$14)+$F$17*(1+D$33)/($A38-D$33)/(1+$A38)^$F$14,"n/a")</f>
        <v>3362793.75781002</v>
      </c>
      <c r="E38" s="51" t="n">
        <f aca="false">IF($A38&gt;E$33,SUMPRODUCT($B$17:$F$17/(1+$A38)^$B$14:$F$14)+$F$17*(1+E$33)/($A38-E$33)/(1+$A38)^$F$14,"n/a")</f>
        <v>3459840.88881161</v>
      </c>
      <c r="F38" s="51" t="n">
        <f aca="false">IF($A38&gt;F$33,SUMPRODUCT($B$17:$F$17/(1+$A38)^$B$14:$F$14)+$F$17*(1+F$33)/($A38-F$33)/(1+$A38)^$F$14,"n/a")</f>
        <v>3563357.82854665</v>
      </c>
    </row>
    <row r="40" customFormat="false" ht="15" hidden="false" customHeight="false" outlineLevel="0" collapsed="false">
      <c r="A40" s="3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158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159</v>
      </c>
    </row>
    <row r="4" customFormat="false" ht="15.75" hidden="false" customHeight="true" outlineLevel="0" collapsed="false">
      <c r="A4" s="7" t="s">
        <v>160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7" t="s">
        <v>161</v>
      </c>
    </row>
    <row r="6" customFormat="false" ht="15" hidden="false" customHeight="false" outlineLevel="0" collapsed="false">
      <c r="A6" s="38" t="s">
        <v>162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0.301751993285775</v>
      </c>
      <c r="D6" s="39" t="n">
        <f aca="false">IF(N('P&amp;L'!C5)&lt;=0,"n/a",'P&amp;L'!D5/'P&amp;L'!C5-1)</f>
        <v>0.274475955610358</v>
      </c>
      <c r="E6" s="39" t="n">
        <f aca="false">IF(N('P&amp;L'!D5)&lt;=0,"n/a",'P&amp;L'!E5/'P&amp;L'!D5-1)</f>
        <v>0.256881578947368</v>
      </c>
      <c r="F6" s="39" t="n">
        <f aca="false">IF(N('P&amp;L'!E5)&lt;=0,"n/a",'P&amp;L'!F5/'P&amp;L'!E5-1)</f>
        <v>0.245442872397224</v>
      </c>
      <c r="G6" s="65"/>
    </row>
    <row r="7" customFormat="false" ht="15" hidden="false" customHeight="false" outlineLevel="0" collapsed="false">
      <c r="A7" s="38" t="s">
        <v>43</v>
      </c>
      <c r="B7" s="39" t="n">
        <f aca="false">IF('P&amp;L'!B5&lt;=0,"n/a",'P&amp;L'!B7/'P&amp;L'!B5)</f>
        <v>0.58</v>
      </c>
      <c r="C7" s="39" t="n">
        <f aca="false">IF('P&amp;L'!C5&lt;=0,"n/a",'P&amp;L'!C7/'P&amp;L'!C5)</f>
        <v>0.58</v>
      </c>
      <c r="D7" s="39" t="n">
        <f aca="false">IF('P&amp;L'!D5&lt;=0,"n/a",'P&amp;L'!D7/'P&amp;L'!D5)</f>
        <v>0.58</v>
      </c>
      <c r="E7" s="39" t="n">
        <f aca="false">IF('P&amp;L'!E5&lt;=0,"n/a",'P&amp;L'!E7/'P&amp;L'!E5)</f>
        <v>0.58</v>
      </c>
      <c r="F7" s="39" t="n">
        <f aca="false">IF('P&amp;L'!F5&lt;=0,"n/a",'P&amp;L'!F7/'P&amp;L'!F5)</f>
        <v>0.58</v>
      </c>
      <c r="G7" s="65"/>
    </row>
    <row r="8" customFormat="false" ht="15" hidden="false" customHeight="false" outlineLevel="0" collapsed="false">
      <c r="A8" s="38" t="s">
        <v>46</v>
      </c>
      <c r="B8" s="39" t="n">
        <f aca="false">IF('P&amp;L'!B5&lt;=0,"n/a",'P&amp;L'!B18/'P&amp;L'!B5)</f>
        <v>0.0575700823217959</v>
      </c>
      <c r="C8" s="39" t="n">
        <f aca="false">IF('P&amp;L'!C5&lt;=0,"n/a",'P&amp;L'!C18/'P&amp;L'!C5)</f>
        <v>0.0810330998078447</v>
      </c>
      <c r="D8" s="39" t="n">
        <f aca="false">IF('P&amp;L'!D5&lt;=0,"n/a",'P&amp;L'!D18/'P&amp;L'!D5)</f>
        <v>0.0958916492696836</v>
      </c>
      <c r="E8" s="39" t="n">
        <f aca="false">IF('P&amp;L'!E5&lt;=0,"n/a",'P&amp;L'!E18/'P&amp;L'!E5)</f>
        <v>0.105194326135061</v>
      </c>
      <c r="F8" s="39" t="n">
        <f aca="false">IF('P&amp;L'!F5&lt;=0,"n/a",'P&amp;L'!F18/'P&amp;L'!F5)</f>
        <v>0.110673118139964</v>
      </c>
      <c r="G8" s="65"/>
    </row>
    <row r="9" customFormat="false" ht="15" hidden="false" customHeight="false" outlineLevel="0" collapsed="false">
      <c r="A9" s="38" t="s">
        <v>48</v>
      </c>
      <c r="B9" s="39" t="n">
        <f aca="false">IF('P&amp;L'!B5&lt;=0,"n/a",'P&amp;L'!B25/'P&amp;L'!B5)</f>
        <v>0.0330695887133773</v>
      </c>
      <c r="C9" s="39" t="n">
        <f aca="false">IF('P&amp;L'!C5&lt;=0,"n/a",'P&amp;L'!C25/'P&amp;L'!C5)</f>
        <v>0.0530014851933206</v>
      </c>
      <c r="D9" s="39" t="n">
        <f aca="false">IF('P&amp;L'!D5&lt;=0,"n/a",'P&amp;L'!D25/'P&amp;L'!D5)</f>
        <v>0.0659524382499269</v>
      </c>
      <c r="E9" s="39" t="n">
        <f aca="false">IF('P&amp;L'!E5&lt;=0,"n/a",'P&amp;L'!E25/'P&amp;L'!E5)</f>
        <v>0.0743823895443697</v>
      </c>
      <c r="F9" s="39" t="n">
        <f aca="false">IF('P&amp;L'!F5&lt;=0,"n/a",'P&amp;L'!F25/'P&amp;L'!F5)</f>
        <v>0.0796886397916586</v>
      </c>
      <c r="G9" s="65"/>
    </row>
    <row r="10" customFormat="false" ht="15" hidden="false" customHeight="false" outlineLevel="0" collapsed="false">
      <c r="A10" s="38" t="s">
        <v>163</v>
      </c>
      <c r="B10" s="39" t="n">
        <f aca="false">IF('P&amp;L'!B5&lt;=0,"n/a",-SUMIF(Headcount!$C$5:$BJ$5,B$5,Headcount!$C$19:$BJ$19)/'P&amp;L'!B5)</f>
        <v>0.228125663781</v>
      </c>
      <c r="C10" s="39" t="n">
        <f aca="false">IF('P&amp;L'!C5&lt;=0,"n/a",-SUMIF(Headcount!$C$5:$BJ$5,C$5,Headcount!$C$19:$BJ$19)/'P&amp;L'!C5)</f>
        <v>0.21988631166136</v>
      </c>
      <c r="D10" s="39" t="n">
        <f aca="false">IF('P&amp;L'!D5&lt;=0,"n/a",-SUMIF(Headcount!$C$5:$BJ$5,D$5,Headcount!$C$19:$BJ$19)/'P&amp;L'!D5)</f>
        <v>0.216907633956966</v>
      </c>
      <c r="E10" s="39" t="n">
        <f aca="false">IF('P&amp;L'!E5&lt;=0,"n/a",-SUMIF(Headcount!$C$5:$BJ$5,E$5,Headcount!$C$19:$BJ$19)/'P&amp;L'!E5)</f>
        <v>0.217400604342641</v>
      </c>
      <c r="F10" s="39" t="n">
        <f aca="false">IF('P&amp;L'!F5&lt;=0,"n/a",-SUMIF(Headcount!$C$5:$BJ$5,F$5,Headcount!$C$19:$BJ$19)/'P&amp;L'!F5)</f>
        <v>0.220344890146181</v>
      </c>
      <c r="G10" s="65"/>
    </row>
    <row r="11" customFormat="false" ht="15" hidden="false" customHeight="false" outlineLevel="0" collapsed="false">
      <c r="A11" s="38" t="s">
        <v>164</v>
      </c>
      <c r="B11" s="39" t="n">
        <f aca="false">IF('P&amp;L'!B5&lt;=0,"n/a",-'P&amp;L'!B11/'P&amp;L'!B5)</f>
        <v>0.108795324909467</v>
      </c>
      <c r="C11" s="39" t="n">
        <f aca="false">IF('P&amp;L'!C5&lt;=0,"n/a",-'P&amp;L'!C11/'P&amp;L'!C5)</f>
        <v>0.100291292477168</v>
      </c>
      <c r="D11" s="39" t="n">
        <f aca="false">IF('P&amp;L'!D5&lt;=0,"n/a",-'P&amp;L'!D11/'P&amp;L'!D5)</f>
        <v>0.0944306171040828</v>
      </c>
      <c r="E11" s="39" t="n">
        <f aca="false">IF('P&amp;L'!E5&lt;=0,"n/a",-'P&amp;L'!E11/'P&amp;L'!E5)</f>
        <v>0.0901570541114951</v>
      </c>
      <c r="F11" s="39" t="n">
        <f aca="false">IF('P&amp;L'!F5&lt;=0,"n/a",-'P&amp;L'!F11/'P&amp;L'!F5)</f>
        <v>0.0868674648444962</v>
      </c>
      <c r="G11" s="65"/>
    </row>
    <row r="12" customFormat="false" ht="15" hidden="false" customHeight="false" outlineLevel="0" collapsed="false">
      <c r="A12" s="38" t="s">
        <v>165</v>
      </c>
      <c r="B12" s="39" t="n">
        <f aca="false">IF('P&amp;L'!B5&lt;=0,"n/a",-'P&amp;L'!B17/'P&amp;L'!B5)</f>
        <v>0.522429917678204</v>
      </c>
      <c r="C12" s="39" t="n">
        <f aca="false">IF('P&amp;L'!C5&lt;=0,"n/a",-'P&amp;L'!C17/'P&amp;L'!C5)</f>
        <v>0.498966900192155</v>
      </c>
      <c r="D12" s="39" t="n">
        <f aca="false">IF('P&amp;L'!D5&lt;=0,"n/a",-'P&amp;L'!D17/'P&amp;L'!D5)</f>
        <v>0.484108350730317</v>
      </c>
      <c r="E12" s="39" t="n">
        <f aca="false">IF('P&amp;L'!E5&lt;=0,"n/a",-'P&amp;L'!E17/'P&amp;L'!E5)</f>
        <v>0.474805673864939</v>
      </c>
      <c r="F12" s="39" t="n">
        <f aca="false">IF('P&amp;L'!F5&lt;=0,"n/a",-'P&amp;L'!F17/'P&amp;L'!F5)</f>
        <v>0.469326881860036</v>
      </c>
      <c r="G12" s="65"/>
    </row>
    <row r="13" customFormat="false" ht="15" hidden="false" customHeight="false" outlineLevel="0" collapsed="false">
      <c r="A13" s="6" t="s">
        <v>166</v>
      </c>
      <c r="B13" s="66" t="n">
        <f aca="false">IF(('Balance Sheet'!B12-'Balance Sheet'!B11)&lt;=0,"n/a",('Balance Sheet'!B5+'Balance Sheet'!B6+'Balance Sheet'!B7)/('Balance Sheet'!B12-'Balance Sheet'!B11))</f>
        <v>8.84887495673029</v>
      </c>
      <c r="C13" s="66" t="n">
        <f aca="false">IF(('Balance Sheet'!C12-'Balance Sheet'!C11)&lt;=0,"n/a",('Balance Sheet'!C5+'Balance Sheet'!C6+'Balance Sheet'!C7)/('Balance Sheet'!C12-'Balance Sheet'!C11))</f>
        <v>7.66961034414702</v>
      </c>
      <c r="D13" s="66" t="n">
        <f aca="false">IF(('Balance Sheet'!D12-'Balance Sheet'!D11)&lt;=0,"n/a",('Balance Sheet'!D5+'Balance Sheet'!D6+'Balance Sheet'!D7)/('Balance Sheet'!D12-'Balance Sheet'!D11))</f>
        <v>7.38171753183643</v>
      </c>
      <c r="E13" s="66" t="n">
        <f aca="false">IF(('Balance Sheet'!E12-'Balance Sheet'!E11)&lt;=0,"n/a",('Balance Sheet'!E5+'Balance Sheet'!E6+'Balance Sheet'!E7)/('Balance Sheet'!E12-'Balance Sheet'!E11))</f>
        <v>7.5603340047085</v>
      </c>
      <c r="F13" s="66" t="n">
        <f aca="false">IF(('Balance Sheet'!F12-'Balance Sheet'!F11)&lt;=0,"n/a",('Balance Sheet'!F5+'Balance Sheet'!F6+'Balance Sheet'!F7)/('Balance Sheet'!F12-'Balance Sheet'!F11))</f>
        <v>7.96983109154813</v>
      </c>
      <c r="G13" s="67"/>
    </row>
    <row r="14" customFormat="false" ht="15" hidden="false" customHeight="false" outlineLevel="0" collapsed="false">
      <c r="A14" s="6" t="s">
        <v>167</v>
      </c>
      <c r="B14" s="66" t="n">
        <f aca="false">IF('Balance Sheet'!B15&lt;=0,"n/a",'Balance Sheet'!B11/'Balance Sheet'!B15)</f>
        <v>0.24271216233391</v>
      </c>
      <c r="C14" s="66" t="n">
        <f aca="false">IF('Balance Sheet'!C15&lt;=0,"n/a",'Balance Sheet'!C11/'Balance Sheet'!C15)</f>
        <v>0.149467468436973</v>
      </c>
      <c r="D14" s="66" t="n">
        <f aca="false">IF('Balance Sheet'!D15&lt;=0,"n/a",'Balance Sheet'!D11/'Balance Sheet'!D15)</f>
        <v>0.0781352753277163</v>
      </c>
      <c r="E14" s="66" t="n">
        <f aca="false">IF('Balance Sheet'!E15&lt;=0,"n/a",'Balance Sheet'!E11/'Balance Sheet'!E15)</f>
        <v>0.0307615852058599</v>
      </c>
      <c r="F14" s="66" t="n">
        <f aca="false">IF('Balance Sheet'!F15&lt;=0,"n/a",'Balance Sheet'!F11/'Balance Sheet'!F15)</f>
        <v>0.00178709943032631</v>
      </c>
      <c r="G14" s="67"/>
    </row>
    <row r="15" customFormat="false" ht="15" hidden="false" customHeight="false" outlineLevel="0" collapsed="false">
      <c r="A15" s="38" t="s">
        <v>168</v>
      </c>
      <c r="B15" s="39" t="n">
        <f aca="false">IF('Balance Sheet'!B9&lt;=0,"n/a",'P&amp;L'!B25/'Balance Sheet'!B9)</f>
        <v>0.0786494141573329</v>
      </c>
      <c r="C15" s="39" t="n">
        <f aca="false">IF('Balance Sheet'!C9&lt;=0,"n/a",'P&amp;L'!C25/'Balance Sheet'!C9)</f>
        <v>0.142511470493164</v>
      </c>
      <c r="D15" s="39" t="n">
        <f aca="false">IF('Balance Sheet'!D9&lt;=0,"n/a",'P&amp;L'!D25/'Balance Sheet'!D9)</f>
        <v>0.185283776630608</v>
      </c>
      <c r="E15" s="39" t="n">
        <f aca="false">IF('Balance Sheet'!E9&lt;=0,"n/a",'P&amp;L'!E25/'Balance Sheet'!E9)</f>
        <v>0.208048083422007</v>
      </c>
      <c r="F15" s="39" t="n">
        <f aca="false">IF('Balance Sheet'!F9&lt;=0,"n/a",'P&amp;L'!F25/'Balance Sheet'!F9)</f>
        <v>0.216494252635007</v>
      </c>
      <c r="G15" s="65"/>
    </row>
    <row r="16" customFormat="false" ht="15" hidden="false" customHeight="false" outlineLevel="0" collapsed="false">
      <c r="A16" s="38" t="s">
        <v>169</v>
      </c>
      <c r="B16" s="39" t="n">
        <f aca="false">IF('Balance Sheet'!B15&lt;=0,"n/a",'P&amp;L'!B25/'Balance Sheet'!B15)</f>
        <v>0.108404301630535</v>
      </c>
      <c r="C16" s="39" t="n">
        <f aca="false">IF('Balance Sheet'!C15&lt;=0,"n/a",'P&amp;L'!C25/'Balance Sheet'!C15)</f>
        <v>0.184452059415374</v>
      </c>
      <c r="D16" s="39" t="n">
        <f aca="false">IF('Balance Sheet'!D15&lt;=0,"n/a",'P&amp;L'!D25/'Balance Sheet'!D15)</f>
        <v>0.226318551492813</v>
      </c>
      <c r="E16" s="39" t="n">
        <f aca="false">IF('Balance Sheet'!E15&lt;=0,"n/a",'P&amp;L'!E25/'Balance Sheet'!E15)</f>
        <v>0.242891326887417</v>
      </c>
      <c r="F16" s="39" t="n">
        <f aca="false">IF('Balance Sheet'!F15&lt;=0,"n/a",'P&amp;L'!F25/'Balance Sheet'!F15)</f>
        <v>0.244762828743448</v>
      </c>
      <c r="G16" s="65"/>
    </row>
    <row r="18" customFormat="false" ht="15.75" hidden="false" customHeight="true" outlineLevel="0" collapsed="false">
      <c r="A18" s="7" t="s">
        <v>170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48</v>
      </c>
      <c r="B20" s="39" t="n">
        <f aca="false">IF('P&amp;L'!B5&lt;=0,"n/a",'P&amp;L'!B25/'P&amp;L'!B5)</f>
        <v>0.0330695887133773</v>
      </c>
      <c r="C20" s="39" t="n">
        <f aca="false">IF('P&amp;L'!C5&lt;=0,"n/a",'P&amp;L'!C25/'P&amp;L'!C5)</f>
        <v>0.0530014851933206</v>
      </c>
      <c r="D20" s="39" t="n">
        <f aca="false">IF('P&amp;L'!D5&lt;=0,"n/a",'P&amp;L'!D25/'P&amp;L'!D5)</f>
        <v>0.0659524382499269</v>
      </c>
      <c r="E20" s="39" t="n">
        <f aca="false">IF('P&amp;L'!E5&lt;=0,"n/a",'P&amp;L'!E25/'P&amp;L'!E5)</f>
        <v>0.0743823895443697</v>
      </c>
      <c r="F20" s="39" t="n">
        <f aca="false">IF('P&amp;L'!F5&lt;=0,"n/a",'P&amp;L'!F25/'P&amp;L'!F5)</f>
        <v>0.0796886397916586</v>
      </c>
    </row>
    <row r="21" customFormat="false" ht="15" hidden="false" customHeight="false" outlineLevel="0" collapsed="false">
      <c r="A21" s="49" t="s">
        <v>171</v>
      </c>
      <c r="B21" s="66" t="n">
        <f aca="false">IF('Balance Sheet'!B9&lt;=0,"n/a",'P&amp;L'!B5/'Balance Sheet'!B9)</f>
        <v>2.37830034231776</v>
      </c>
      <c r="C21" s="66" t="n">
        <f aca="false">IF('Balance Sheet'!C9&lt;=0,"n/a",'P&amp;L'!C5/'Balance Sheet'!C9)</f>
        <v>2.68882032217322</v>
      </c>
      <c r="D21" s="66" t="n">
        <f aca="false">IF('Balance Sheet'!D9&lt;=0,"n/a",'P&amp;L'!D5/'Balance Sheet'!D9)</f>
        <v>2.80935446129337</v>
      </c>
      <c r="E21" s="66" t="n">
        <f aca="false">IF('Balance Sheet'!E9&lt;=0,"n/a",'P&amp;L'!E5/'Balance Sheet'!E9)</f>
        <v>2.79700725798685</v>
      </c>
      <c r="F21" s="66" t="n">
        <f aca="false">IF('Balance Sheet'!F9&lt;=0,"n/a",'P&amp;L'!F5/'Balance Sheet'!F9)</f>
        <v>2.71675176287385</v>
      </c>
    </row>
    <row r="22" customFormat="false" ht="15" hidden="false" customHeight="false" outlineLevel="0" collapsed="false">
      <c r="A22" s="49" t="s">
        <v>172</v>
      </c>
      <c r="B22" s="66" t="n">
        <f aca="false">IF('Balance Sheet'!B15&lt;=0,"n/a",'Balance Sheet'!B9/'Balance Sheet'!B15)</f>
        <v>1.37832306561978</v>
      </c>
      <c r="C22" s="66" t="n">
        <f aca="false">IF('Balance Sheet'!C15&lt;=0,"n/a",'Balance Sheet'!C9/'Balance Sheet'!C15)</f>
        <v>1.29429623297741</v>
      </c>
      <c r="D22" s="66" t="n">
        <f aca="false">IF('Balance Sheet'!D15&lt;=0,"n/a",'Balance Sheet'!D9/'Balance Sheet'!D15)</f>
        <v>1.22146987506637</v>
      </c>
      <c r="E22" s="66" t="n">
        <f aca="false">IF('Balance Sheet'!E15&lt;=0,"n/a",'Balance Sheet'!E9/'Balance Sheet'!E15)</f>
        <v>1.16747687790391</v>
      </c>
      <c r="F22" s="66" t="n">
        <f aca="false">IF('Balance Sheet'!F15&lt;=0,"n/a",'Balance Sheet'!F9/'Balance Sheet'!F15)</f>
        <v>1.13057425665752</v>
      </c>
    </row>
    <row r="23" customFormat="false" ht="15" hidden="false" customHeight="false" outlineLevel="0" collapsed="false">
      <c r="A23" s="40" t="s">
        <v>173</v>
      </c>
      <c r="B23" s="68" t="n">
        <f aca="false">IF(AND(ISNUMBER(B20),ISNUMBER(B21),ISNUMBER(B22)),B20*B21*B22,"n/a")</f>
        <v>0.108404301630535</v>
      </c>
      <c r="C23" s="68" t="n">
        <f aca="false">IF(AND(ISNUMBER(C20),ISNUMBER(C21),ISNUMBER(C22)),C20*C21*C22,"n/a")</f>
        <v>0.184452059415374</v>
      </c>
      <c r="D23" s="68" t="n">
        <f aca="false">IF(AND(ISNUMBER(D20),ISNUMBER(D21),ISNUMBER(D22)),D20*D21*D22,"n/a")</f>
        <v>0.226318551492813</v>
      </c>
      <c r="E23" s="68" t="n">
        <f aca="false">IF(AND(ISNUMBER(E20),ISNUMBER(E21),ISNUMBER(E22)),E20*E21*E22,"n/a")</f>
        <v>0.242891326887417</v>
      </c>
      <c r="F23" s="68" t="n">
        <f aca="false">IF(AND(ISNUMBER(F20),ISNUMBER(F21),ISNUMBER(F22)),F20*F21*F22,"n/a")</f>
        <v>0.244762828743448</v>
      </c>
    </row>
    <row r="24" customFormat="false" ht="15" hidden="false" customHeight="false" outlineLevel="0" collapsed="false">
      <c r="A24" s="21" t="s">
        <v>174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175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6" t="s">
        <v>121</v>
      </c>
      <c r="B27" s="56" t="n">
        <v>1</v>
      </c>
      <c r="C27" s="56" t="n">
        <v>2</v>
      </c>
      <c r="D27" s="56" t="n">
        <v>3</v>
      </c>
      <c r="E27" s="56" t="n">
        <v>4</v>
      </c>
      <c r="F27" s="56" t="n">
        <v>5</v>
      </c>
    </row>
    <row r="28" customFormat="false" ht="15" hidden="false" customHeight="false" outlineLevel="0" collapsed="false">
      <c r="A28" s="33"/>
      <c r="B28" s="57" t="s">
        <v>122</v>
      </c>
      <c r="C28" s="57" t="s">
        <v>123</v>
      </c>
      <c r="D28" s="57" t="s">
        <v>124</v>
      </c>
      <c r="E28" s="57" t="s">
        <v>125</v>
      </c>
      <c r="F28" s="57" t="s">
        <v>126</v>
      </c>
      <c r="G28" s="57" t="s">
        <v>161</v>
      </c>
    </row>
    <row r="29" customFormat="false" ht="15" hidden="false" customHeight="false" outlineLevel="0" collapsed="false">
      <c r="A29" s="6" t="s">
        <v>176</v>
      </c>
      <c r="B29" s="69" t="n">
        <f aca="false">SUMIF(Monthly!$C$5:$BJ$5,B$27,Monthly!$C$9:$BJ$9)</f>
        <v>960000</v>
      </c>
      <c r="C29" s="69" t="n">
        <f aca="false">SUMIF(Monthly!$C$5:$BJ$5,C$27,Monthly!$C$9:$BJ$9)</f>
        <v>1200000</v>
      </c>
      <c r="D29" s="69" t="n">
        <f aca="false">SUMIF(Monthly!$C$5:$BJ$5,D$27,Monthly!$C$9:$BJ$9)</f>
        <v>1500000</v>
      </c>
      <c r="E29" s="69" t="n">
        <f aca="false">SUMIF(Monthly!$C$5:$BJ$5,E$27,Monthly!$C$9:$BJ$9)</f>
        <v>1875000</v>
      </c>
      <c r="F29" s="69" t="n">
        <f aca="false">SUMIF(Monthly!$C$5:$BJ$5,F$27,Monthly!$C$9:$BJ$9)</f>
        <v>2343750</v>
      </c>
      <c r="G29" s="70"/>
    </row>
    <row r="30" customFormat="false" ht="15" hidden="false" customHeight="false" outlineLevel="0" collapsed="false">
      <c r="A30" s="4" t="s">
        <v>57</v>
      </c>
      <c r="B30" s="71" t="n">
        <f aca="false">SUMIF(Monthly!$C$5:$BJ$5,B$27,Monthly!$C$14:$BJ$14)</f>
        <v>66702.8571428571</v>
      </c>
      <c r="C30" s="71" t="n">
        <f aca="false">SUMIF(Monthly!$C$5:$BJ$5,C$27,Monthly!$C$14:$BJ$14)</f>
        <v>81771.4285714286</v>
      </c>
      <c r="D30" s="71" t="n">
        <f aca="false">SUMIF(Monthly!$C$5:$BJ$5,D$27,Monthly!$C$14:$BJ$14)</f>
        <v>100285.714285714</v>
      </c>
      <c r="E30" s="71" t="n">
        <f aca="false">SUMIF(Monthly!$C$5:$BJ$5,E$27,Monthly!$C$14:$BJ$14)</f>
        <v>123042.857142857</v>
      </c>
      <c r="F30" s="71" t="n">
        <f aca="false">SUMIF(Monthly!$C$5:$BJ$5,F$27,Monthly!$C$14:$BJ$14)</f>
        <v>151026.428571429</v>
      </c>
      <c r="G30" s="70"/>
    </row>
    <row r="31" customFormat="false" ht="15" hidden="false" customHeight="false" outlineLevel="0" collapsed="false">
      <c r="A31" s="6" t="s">
        <v>177</v>
      </c>
      <c r="B31" s="69" t="n">
        <f aca="false">SUMIF(Monthly!$C$5:$BJ$5,B$27,Monthly!$C$13:$BJ$13)</f>
        <v>22234.2857142857</v>
      </c>
      <c r="C31" s="69" t="n">
        <f aca="false">SUMIF(Monthly!$C$5:$BJ$5,C$27,Monthly!$C$13:$BJ$13)</f>
        <v>27257.1428571429</v>
      </c>
      <c r="D31" s="69" t="n">
        <f aca="false">SUMIF(Monthly!$C$5:$BJ$5,D$27,Monthly!$C$13:$BJ$13)</f>
        <v>33428.5714285714</v>
      </c>
      <c r="E31" s="69" t="n">
        <f aca="false">SUMIF(Monthly!$C$5:$BJ$5,E$27,Monthly!$C$13:$BJ$13)</f>
        <v>41014.2857142857</v>
      </c>
      <c r="F31" s="69" t="n">
        <f aca="false">SUMIF(Monthly!$C$5:$BJ$5,F$27,Monthly!$C$13:$BJ$13)</f>
        <v>50342.1428571429</v>
      </c>
      <c r="G31" s="70"/>
    </row>
    <row r="32" customFormat="false" ht="15" hidden="false" customHeight="false" outlineLevel="0" collapsed="false">
      <c r="A32" s="38" t="s">
        <v>178</v>
      </c>
      <c r="B32" s="72" t="n">
        <f aca="false">IF(B30=0,0,B31/B30)</f>
        <v>0.333333333333333</v>
      </c>
      <c r="C32" s="72" t="n">
        <f aca="false">IF(C30=0,0,C31/C30)</f>
        <v>0.333333333333333</v>
      </c>
      <c r="D32" s="72" t="n">
        <f aca="false">IF(D30=0,0,D31/D30)</f>
        <v>0.333333333333333</v>
      </c>
      <c r="E32" s="72" t="n">
        <f aca="false">IF(E30=0,0,E31/E30)</f>
        <v>0.333333333333333</v>
      </c>
      <c r="F32" s="72" t="n">
        <f aca="false">IF(F30=0,0,F31/F30)</f>
        <v>0.333333333333333</v>
      </c>
      <c r="G32" s="73"/>
    </row>
    <row r="33" customFormat="false" ht="15" hidden="false" customHeight="false" outlineLevel="0" collapsed="false">
      <c r="A33" s="6" t="s">
        <v>55</v>
      </c>
      <c r="B33" s="35" t="n">
        <f aca="false">SUMIF(Monthly!$C$5:$BJ$5,B$27,Monthly!$C$16:$BJ$16)</f>
        <v>5002714.28571429</v>
      </c>
      <c r="C33" s="35" t="n">
        <f aca="false">SUMIF(Monthly!$C$5:$BJ$5,C$27,Monthly!$C$16:$BJ$16)</f>
        <v>6255514.28571429</v>
      </c>
      <c r="D33" s="35" t="n">
        <f aca="false">SUMIF(Monthly!$C$5:$BJ$5,D$27,Monthly!$C$16:$BJ$16)</f>
        <v>7825294.28571429</v>
      </c>
      <c r="E33" s="35" t="n">
        <f aca="false">SUMIF(Monthly!$C$5:$BJ$5,E$27,Monthly!$C$16:$BJ$16)</f>
        <v>9793054.82571429</v>
      </c>
      <c r="F33" s="35" t="n">
        <f aca="false">SUMIF(Monthly!$C$5:$BJ$5,F$27,Monthly!$C$16:$BJ$16)</f>
        <v>12260689.7471743</v>
      </c>
      <c r="G33" s="74"/>
    </row>
    <row r="34" customFormat="false" ht="15" hidden="false" customHeight="false" outlineLevel="0" collapsed="false">
      <c r="A34" s="6" t="s">
        <v>179</v>
      </c>
      <c r="B34" s="75" t="n">
        <f aca="false">IF(B30=0,0,B33/B30)</f>
        <v>75</v>
      </c>
      <c r="C34" s="75" t="n">
        <f aca="false">IF(C30=0,0,C33/C30)</f>
        <v>76.5</v>
      </c>
      <c r="D34" s="75" t="n">
        <f aca="false">IF(D30=0,0,D33/D30)</f>
        <v>78.03</v>
      </c>
      <c r="E34" s="75" t="n">
        <f aca="false">IF(E30=0,0,E33/E30)</f>
        <v>79.5906</v>
      </c>
      <c r="F34" s="75" t="n">
        <f aca="false">IF(F30=0,0,F33/F30)</f>
        <v>81.182412</v>
      </c>
      <c r="G34" s="76"/>
    </row>
    <row r="35" customFormat="false" ht="15" hidden="false" customHeight="false" outlineLevel="0" collapsed="false">
      <c r="A35" s="6" t="s">
        <v>180</v>
      </c>
      <c r="B35" s="35" t="n">
        <f aca="false">-SUMIF(Monthly!$C$5:$BJ$5,B$27,Monthly!$C$32:$BJ$32)</f>
        <v>600000</v>
      </c>
      <c r="C35" s="35" t="n">
        <f aca="false">-SUMIF(Monthly!$C$5:$BJ$5,C$27,Monthly!$C$32:$BJ$32)</f>
        <v>720000</v>
      </c>
      <c r="D35" s="35" t="n">
        <f aca="false">-SUMIF(Monthly!$C$5:$BJ$5,D$27,Monthly!$C$32:$BJ$32)</f>
        <v>864000</v>
      </c>
      <c r="E35" s="35" t="n">
        <f aca="false">-SUMIF(Monthly!$C$5:$BJ$5,E$27,Monthly!$C$32:$BJ$32)</f>
        <v>1036800</v>
      </c>
      <c r="F35" s="35" t="n">
        <f aca="false">-SUMIF(Monthly!$C$5:$BJ$5,F$27,Monthly!$C$32:$BJ$32)</f>
        <v>1244160</v>
      </c>
      <c r="G35" s="74"/>
    </row>
    <row r="36" customFormat="false" ht="15" hidden="false" customHeight="false" outlineLevel="0" collapsed="false">
      <c r="A36" s="38" t="s">
        <v>181</v>
      </c>
      <c r="B36" s="72" t="n">
        <f aca="false">IF(B33=0,0,B35/B33)</f>
        <v>0.119934892486936</v>
      </c>
      <c r="C36" s="72" t="n">
        <f aca="false">IF(C33=0,0,C35/C33)</f>
        <v>0.11509845028158</v>
      </c>
      <c r="D36" s="72" t="n">
        <f aca="false">IF(D33=0,0,D35/D33)</f>
        <v>0.110411183075543</v>
      </c>
      <c r="E36" s="72" t="n">
        <f aca="false">IF(E33=0,0,E35/E33)</f>
        <v>0.105870948182339</v>
      </c>
      <c r="F36" s="72" t="n">
        <f aca="false">IF(F33=0,0,F35/F33)</f>
        <v>0.101475530794403</v>
      </c>
      <c r="G36" s="73"/>
    </row>
    <row r="37" customFormat="false" ht="15" hidden="false" customHeight="false" outlineLevel="0" collapsed="false">
      <c r="A37" s="4" t="s">
        <v>58</v>
      </c>
      <c r="B37" s="71" t="n">
        <f aca="false">INDEX(Monthly!$C$19:$BJ$19,B$27*12)</f>
        <v>2</v>
      </c>
      <c r="C37" s="71" t="n">
        <f aca="false">INDEX(Monthly!$C$19:$BJ$19,C$27*12)</f>
        <v>3</v>
      </c>
      <c r="D37" s="71" t="n">
        <f aca="false">INDEX(Monthly!$C$19:$BJ$19,D$27*12)</f>
        <v>4</v>
      </c>
      <c r="E37" s="71" t="n">
        <f aca="false">INDEX(Monthly!$C$19:$BJ$19,E$27*12)</f>
        <v>5</v>
      </c>
      <c r="F37" s="71" t="n">
        <f aca="false">INDEX(Monthly!$C$19:$BJ$19,F$27*12)</f>
        <v>6</v>
      </c>
      <c r="G37" s="70"/>
    </row>
    <row r="38" customFormat="false" ht="15" hidden="false" customHeight="false" outlineLevel="0" collapsed="false">
      <c r="A38" s="6" t="s">
        <v>56</v>
      </c>
      <c r="B38" s="35" t="n">
        <f aca="false">SUMIF(Monthly!$C$5:$BJ$5,B$27,Monthly!$C$20:$BJ$20)</f>
        <v>1125000</v>
      </c>
      <c r="C38" s="35" t="n">
        <f aca="false">SUMIF(Monthly!$C$5:$BJ$5,C$27,Monthly!$C$20:$BJ$20)</f>
        <v>1721250</v>
      </c>
      <c r="D38" s="35" t="n">
        <f aca="false">SUMIF(Monthly!$C$5:$BJ$5,D$27,Monthly!$C$20:$BJ$20)</f>
        <v>2340900</v>
      </c>
      <c r="E38" s="35" t="n">
        <f aca="false">SUMIF(Monthly!$C$5:$BJ$5,E$27,Monthly!$C$20:$BJ$20)</f>
        <v>2984647.5</v>
      </c>
      <c r="F38" s="35" t="n">
        <f aca="false">SUMIF(Monthly!$C$5:$BJ$5,F$27,Monthly!$C$20:$BJ$20)</f>
        <v>3653208.54</v>
      </c>
      <c r="G38" s="74"/>
    </row>
    <row r="39" customFormat="false" ht="15" hidden="false" customHeight="false" outlineLevel="0" collapsed="false">
      <c r="A39" s="6" t="s">
        <v>182</v>
      </c>
      <c r="B39" s="35" t="n">
        <f aca="false">SUMIF(Monthly!$C$5:$BJ$5,B$27,Monthly!$C$25:$BJ$25)</f>
        <v>5514942.85714286</v>
      </c>
      <c r="C39" s="35" t="n">
        <f aca="false">SUMIF(Monthly!$C$5:$BJ$5,C$27,Monthly!$C$25:$BJ$25)</f>
        <v>7179087.85714286</v>
      </c>
      <c r="D39" s="35" t="n">
        <f aca="false">SUMIF(Monthly!$C$5:$BJ$5,D$27,Monthly!$C$25:$BJ$25)</f>
        <v>9149574.85714286</v>
      </c>
      <c r="E39" s="35" t="n">
        <f aca="false">SUMIF(Monthly!$C$5:$BJ$5,E$27,Monthly!$C$25:$BJ$25)</f>
        <v>11499932.0931429</v>
      </c>
      <c r="F39" s="35" t="n">
        <f aca="false">SUMIF(Monthly!$C$5:$BJ$5,F$27,Monthly!$C$25:$BJ$25)</f>
        <v>14322508.4584569</v>
      </c>
      <c r="G39" s="74"/>
    </row>
    <row r="40" customFormat="false" ht="15" hidden="false" customHeight="false" outlineLevel="0" collapsed="false">
      <c r="A40" s="6" t="s">
        <v>183</v>
      </c>
      <c r="B40" s="35" t="n">
        <f aca="false">SUMIF(Monthly!$C$5:$BJ$5,B$27,Monthly!$C$27:$BJ$27)</f>
        <v>3198666.85714286</v>
      </c>
      <c r="C40" s="35" t="n">
        <f aca="false">SUMIF(Monthly!$C$5:$BJ$5,C$27,Monthly!$C$27:$BJ$27)</f>
        <v>4163870.95714286</v>
      </c>
      <c r="D40" s="35" t="n">
        <f aca="false">SUMIF(Monthly!$C$5:$BJ$5,D$27,Monthly!$C$27:$BJ$27)</f>
        <v>5306753.41714286</v>
      </c>
      <c r="E40" s="35" t="n">
        <f aca="false">SUMIF(Monthly!$C$5:$BJ$5,E$27,Monthly!$C$27:$BJ$27)</f>
        <v>6669960.61402286</v>
      </c>
      <c r="F40" s="35" t="n">
        <f aca="false">SUMIF(Monthly!$C$5:$BJ$5,F$27,Monthly!$C$27:$BJ$27)</f>
        <v>8307054.90590498</v>
      </c>
      <c r="G40" s="74"/>
    </row>
    <row r="41" customFormat="false" ht="15" hidden="false" customHeight="false" outlineLevel="0" collapsed="false">
      <c r="A41" s="38" t="s">
        <v>43</v>
      </c>
      <c r="B41" s="72" t="n">
        <f aca="false">IF(B39=0,0,B40/B39)</f>
        <v>0.58</v>
      </c>
      <c r="C41" s="72" t="n">
        <f aca="false">IF(C39=0,0,C40/C39)</f>
        <v>0.58</v>
      </c>
      <c r="D41" s="72" t="n">
        <f aca="false">IF(D39=0,0,D40/D39)</f>
        <v>0.58</v>
      </c>
      <c r="E41" s="72" t="n">
        <f aca="false">IF(E39=0,0,E40/E39)</f>
        <v>0.58</v>
      </c>
      <c r="F41" s="72" t="n">
        <f aca="false">IF(F39=0,0,F40/F39)</f>
        <v>0.58</v>
      </c>
      <c r="G41" s="73"/>
    </row>
    <row r="42" customFormat="false" ht="15" hidden="false" customHeight="false" outlineLevel="0" collapsed="false">
      <c r="A42" s="6" t="s">
        <v>73</v>
      </c>
      <c r="B42" s="35" t="n">
        <f aca="false">-SUMIF(Monthly!$C$5:$BJ$5,B$27,Monthly!$C$26:$BJ$26)</f>
        <v>2316276</v>
      </c>
      <c r="C42" s="35" t="n">
        <f aca="false">-SUMIF(Monthly!$C$5:$BJ$5,C$27,Monthly!$C$26:$BJ$26)</f>
        <v>3015216.9</v>
      </c>
      <c r="D42" s="35" t="n">
        <f aca="false">-SUMIF(Monthly!$C$5:$BJ$5,D$27,Monthly!$C$26:$BJ$26)</f>
        <v>3842821.44</v>
      </c>
      <c r="E42" s="35" t="n">
        <f aca="false">-SUMIF(Monthly!$C$5:$BJ$5,E$27,Monthly!$C$26:$BJ$26)</f>
        <v>4829971.47912</v>
      </c>
      <c r="F42" s="35" t="n">
        <f aca="false">-SUMIF(Monthly!$C$5:$BJ$5,F$27,Monthly!$C$26:$BJ$26)</f>
        <v>6015453.55255188</v>
      </c>
      <c r="G42" s="74"/>
    </row>
    <row r="43" customFormat="false" ht="15" hidden="false" customHeight="false" outlineLevel="0" collapsed="false">
      <c r="A43" s="6" t="s">
        <v>184</v>
      </c>
      <c r="B43" s="35" t="n">
        <f aca="false">INDEX(Monthly!$C$65:$BJ$65,B$27*12)</f>
        <v>570371.625</v>
      </c>
      <c r="C43" s="35" t="n">
        <f aca="false">INDEX(Monthly!$C$65:$BJ$65,C$27*12)</f>
        <v>746910.61875</v>
      </c>
      <c r="D43" s="35" t="n">
        <f aca="false">INDEX(Monthly!$C$65:$BJ$65,D$27*12)</f>
        <v>955438.335</v>
      </c>
      <c r="E43" s="35" t="n">
        <f aca="false">INDEX(Monthly!$C$65:$BJ$65,E$27*12)</f>
        <v>1203678.490275</v>
      </c>
      <c r="F43" s="35" t="n">
        <f aca="false">INDEX(Monthly!$C$65:$BJ$65,F$27*12)</f>
        <v>1501352.26391779</v>
      </c>
      <c r="G43" s="74"/>
    </row>
    <row r="44" customFormat="false" ht="15" hidden="false" customHeight="false" outlineLevel="0" collapsed="false">
      <c r="A44" s="6" t="s">
        <v>185</v>
      </c>
      <c r="B44" s="77" t="n">
        <f aca="false">IF(B43=0,0,B42/B43)</f>
        <v>4.06099444375411</v>
      </c>
      <c r="C44" s="77" t="n">
        <f aca="false">IF(C43=0,0,C42/C43)</f>
        <v>4.03691797158561</v>
      </c>
      <c r="D44" s="77" t="n">
        <f aca="false">IF(D43=0,0,D42/D43)</f>
        <v>4.02205071664829</v>
      </c>
      <c r="E44" s="77" t="n">
        <f aca="false">IF(E43=0,0,E42/E43)</f>
        <v>4.01267574202187</v>
      </c>
      <c r="F44" s="77" t="n">
        <f aca="false">IF(F43=0,0,F42/F43)</f>
        <v>4.0066902998864</v>
      </c>
      <c r="G44" s="78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186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187</v>
      </c>
    </row>
    <row r="5" customFormat="false" ht="15" hidden="false" customHeight="false" outlineLevel="0" collapsed="false">
      <c r="A5" s="33" t="s">
        <v>188</v>
      </c>
      <c r="B5" s="57" t="s">
        <v>189</v>
      </c>
      <c r="C5" s="57" t="s">
        <v>190</v>
      </c>
      <c r="D5" s="57" t="s">
        <v>191</v>
      </c>
      <c r="E5" s="57" t="s">
        <v>192</v>
      </c>
      <c r="F5" s="33" t="s">
        <v>193</v>
      </c>
      <c r="G5" s="33" t="s">
        <v>194</v>
      </c>
    </row>
    <row r="6" customFormat="false" ht="15.75" hidden="false" customHeight="true" outlineLevel="0" collapsed="false">
      <c r="A6" s="7" t="s">
        <v>195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196</v>
      </c>
      <c r="B7" s="79" t="n">
        <v>65000</v>
      </c>
      <c r="C7" s="79" t="n">
        <v>80000</v>
      </c>
      <c r="D7" s="79" t="n">
        <v>100000</v>
      </c>
      <c r="E7" s="80" t="n">
        <f aca="false">CHOOSE(Dashboard!$B$4,B7,C7,D7)</f>
        <v>80000</v>
      </c>
      <c r="F7" s="38" t="s">
        <v>197</v>
      </c>
      <c r="G7" s="81" t="s">
        <v>198</v>
      </c>
    </row>
    <row r="8" customFormat="false" ht="15" hidden="false" customHeight="false" outlineLevel="0" collapsed="false">
      <c r="A8" s="6" t="s">
        <v>199</v>
      </c>
      <c r="B8" s="82" t="n">
        <v>0.1</v>
      </c>
      <c r="C8" s="82" t="n">
        <v>0.25</v>
      </c>
      <c r="D8" s="82" t="n">
        <v>0.4</v>
      </c>
      <c r="E8" s="83" t="n">
        <f aca="false">CHOOSE(Dashboard!$B$4,B8,C8,D8)</f>
        <v>0.25</v>
      </c>
      <c r="F8" s="38" t="s">
        <v>200</v>
      </c>
      <c r="G8" s="81" t="s">
        <v>198</v>
      </c>
    </row>
    <row r="9" customFormat="false" ht="15" hidden="false" customHeight="false" outlineLevel="0" collapsed="false">
      <c r="A9" s="6" t="s">
        <v>201</v>
      </c>
      <c r="B9" s="82" t="n">
        <v>0.02</v>
      </c>
      <c r="C9" s="82" t="n">
        <v>0.024</v>
      </c>
      <c r="D9" s="82" t="n">
        <v>0.028</v>
      </c>
      <c r="E9" s="83" t="n">
        <f aca="false">CHOOSE(Dashboard!$B$4,B9,C9,D9)</f>
        <v>0.024</v>
      </c>
      <c r="F9" s="38" t="s">
        <v>200</v>
      </c>
      <c r="G9" s="81" t="s">
        <v>198</v>
      </c>
    </row>
    <row r="10" customFormat="false" ht="15" hidden="false" customHeight="false" outlineLevel="0" collapsed="false">
      <c r="A10" s="6" t="s">
        <v>202</v>
      </c>
      <c r="B10" s="84" t="n">
        <v>65</v>
      </c>
      <c r="C10" s="84" t="n">
        <v>75</v>
      </c>
      <c r="D10" s="84" t="n">
        <v>85</v>
      </c>
      <c r="E10" s="85" t="n">
        <f aca="false">CHOOSE(Dashboard!$B$4,B10,C10,D10)</f>
        <v>75</v>
      </c>
      <c r="F10" s="38" t="s">
        <v>203</v>
      </c>
      <c r="G10" s="81" t="s">
        <v>198</v>
      </c>
    </row>
    <row r="11" customFormat="false" ht="15" hidden="false" customHeight="false" outlineLevel="0" collapsed="false">
      <c r="A11" s="6" t="s">
        <v>204</v>
      </c>
      <c r="B11" s="82" t="n">
        <v>0</v>
      </c>
      <c r="C11" s="82" t="n">
        <v>0.02</v>
      </c>
      <c r="D11" s="82" t="n">
        <v>0.04</v>
      </c>
      <c r="E11" s="83" t="n">
        <f aca="false">CHOOSE(Dashboard!$B$4,B11,C11,D11)</f>
        <v>0.02</v>
      </c>
      <c r="F11" s="38" t="s">
        <v>200</v>
      </c>
      <c r="G11" s="81" t="s">
        <v>198</v>
      </c>
    </row>
    <row r="12" customFormat="false" ht="15" hidden="false" customHeight="false" outlineLevel="0" collapsed="false">
      <c r="A12" s="6" t="s">
        <v>205</v>
      </c>
      <c r="B12" s="86" t="n">
        <v>0.4</v>
      </c>
      <c r="C12" s="86" t="n">
        <v>0.5</v>
      </c>
      <c r="D12" s="86" t="n">
        <v>0.6</v>
      </c>
      <c r="E12" s="87" t="n">
        <f aca="false">CHOOSE(Dashboard!$B$4,B12,C12,D12)</f>
        <v>0.5</v>
      </c>
      <c r="F12" s="38" t="s">
        <v>206</v>
      </c>
      <c r="G12" s="81" t="s">
        <v>198</v>
      </c>
    </row>
    <row r="13" customFormat="false" ht="15" hidden="false" customHeight="false" outlineLevel="0" collapsed="false">
      <c r="A13" s="6" t="s">
        <v>207</v>
      </c>
      <c r="B13" s="88" t="n">
        <v>50000</v>
      </c>
      <c r="C13" s="88" t="n">
        <v>50000</v>
      </c>
      <c r="D13" s="88" t="n">
        <v>50000</v>
      </c>
      <c r="E13" s="89" t="n">
        <f aca="false">CHOOSE(Dashboard!$B$4,B13,C13,D13)</f>
        <v>50000</v>
      </c>
      <c r="F13" s="38" t="s">
        <v>208</v>
      </c>
      <c r="G13" s="81"/>
    </row>
    <row r="14" customFormat="false" ht="15" hidden="false" customHeight="false" outlineLevel="0" collapsed="false">
      <c r="A14" s="6" t="s">
        <v>209</v>
      </c>
      <c r="B14" s="82" t="n">
        <v>0.2</v>
      </c>
      <c r="C14" s="82" t="n">
        <v>0.2</v>
      </c>
      <c r="D14" s="82" t="n">
        <v>0.2</v>
      </c>
      <c r="E14" s="83" t="n">
        <f aca="false">CHOOSE(Dashboard!$B$4,B14,C14,D14)</f>
        <v>0.2</v>
      </c>
      <c r="F14" s="38" t="s">
        <v>200</v>
      </c>
      <c r="G14" s="81"/>
    </row>
    <row r="15" customFormat="false" ht="15" hidden="false" customHeight="false" outlineLevel="0" collapsed="false">
      <c r="A15" s="6" t="s">
        <v>210</v>
      </c>
      <c r="B15" s="84" t="n">
        <v>36</v>
      </c>
      <c r="C15" s="84" t="n">
        <v>28</v>
      </c>
      <c r="D15" s="84" t="n">
        <v>22</v>
      </c>
      <c r="E15" s="85" t="n">
        <f aca="false">CHOOSE(Dashboard!$B$4,B15,C15,D15)</f>
        <v>28</v>
      </c>
      <c r="F15" s="38" t="s">
        <v>203</v>
      </c>
      <c r="G15" s="81" t="s">
        <v>211</v>
      </c>
    </row>
    <row r="17" customFormat="false" ht="15.75" hidden="false" customHeight="true" outlineLevel="0" collapsed="false">
      <c r="A17" s="7" t="s">
        <v>212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213</v>
      </c>
      <c r="B18" s="79" t="n">
        <v>2</v>
      </c>
      <c r="C18" s="79" t="n">
        <v>2</v>
      </c>
      <c r="D18" s="79" t="n">
        <v>2</v>
      </c>
      <c r="E18" s="80" t="n">
        <f aca="false">CHOOSE(Dashboard!$B$4,B18,C18,D18)</f>
        <v>2</v>
      </c>
      <c r="F18" s="38" t="s">
        <v>214</v>
      </c>
      <c r="G18" s="81" t="s">
        <v>198</v>
      </c>
    </row>
    <row r="19" customFormat="false" ht="15" hidden="false" customHeight="false" outlineLevel="0" collapsed="false">
      <c r="A19" s="6" t="s">
        <v>215</v>
      </c>
      <c r="B19" s="79" t="n">
        <v>1</v>
      </c>
      <c r="C19" s="79" t="n">
        <v>1</v>
      </c>
      <c r="D19" s="79" t="n">
        <v>1</v>
      </c>
      <c r="E19" s="80" t="n">
        <f aca="false">CHOOSE(Dashboard!$B$4,B19,C19,D19)</f>
        <v>1</v>
      </c>
      <c r="F19" s="38" t="s">
        <v>216</v>
      </c>
      <c r="G19" s="81" t="s">
        <v>198</v>
      </c>
    </row>
    <row r="20" customFormat="false" ht="15" hidden="false" customHeight="false" outlineLevel="0" collapsed="false">
      <c r="A20" s="6" t="s">
        <v>217</v>
      </c>
      <c r="B20" s="79" t="n">
        <v>1500</v>
      </c>
      <c r="C20" s="79" t="n">
        <v>1500</v>
      </c>
      <c r="D20" s="79" t="n">
        <v>1500</v>
      </c>
      <c r="E20" s="80" t="n">
        <f aca="false">CHOOSE(Dashboard!$B$4,B20,C20,D20)</f>
        <v>1500</v>
      </c>
      <c r="F20" s="38" t="s">
        <v>218</v>
      </c>
      <c r="G20" s="81"/>
    </row>
    <row r="21" customFormat="false" ht="15" hidden="false" customHeight="false" outlineLevel="0" collapsed="false">
      <c r="A21" s="6" t="s">
        <v>219</v>
      </c>
      <c r="B21" s="88" t="n">
        <v>300</v>
      </c>
      <c r="C21" s="88" t="n">
        <v>375</v>
      </c>
      <c r="D21" s="88" t="n">
        <v>450</v>
      </c>
      <c r="E21" s="89" t="n">
        <f aca="false">CHOOSE(Dashboard!$B$4,B21,C21,D21)</f>
        <v>375</v>
      </c>
      <c r="F21" s="38" t="s">
        <v>220</v>
      </c>
      <c r="G21" s="81" t="s">
        <v>198</v>
      </c>
    </row>
    <row r="22" customFormat="false" ht="15" hidden="false" customHeight="false" outlineLevel="0" collapsed="false">
      <c r="A22" s="6" t="s">
        <v>221</v>
      </c>
      <c r="B22" s="82" t="n">
        <v>0</v>
      </c>
      <c r="C22" s="82" t="n">
        <v>0.02</v>
      </c>
      <c r="D22" s="82" t="n">
        <v>0.04</v>
      </c>
      <c r="E22" s="83" t="n">
        <f aca="false">CHOOSE(Dashboard!$B$4,B22,C22,D22)</f>
        <v>0.02</v>
      </c>
      <c r="F22" s="38" t="s">
        <v>200</v>
      </c>
      <c r="G22" s="81" t="s">
        <v>198</v>
      </c>
    </row>
    <row r="23" customFormat="false" ht="15" hidden="false" customHeight="false" outlineLevel="0" collapsed="false">
      <c r="A23" s="6" t="s">
        <v>222</v>
      </c>
      <c r="B23" s="84" t="n">
        <v>40</v>
      </c>
      <c r="C23" s="84" t="n">
        <v>40</v>
      </c>
      <c r="D23" s="84" t="n">
        <v>40</v>
      </c>
      <c r="E23" s="85" t="n">
        <f aca="false">CHOOSE(Dashboard!$B$4,B23,C23,D23)</f>
        <v>40</v>
      </c>
      <c r="F23" s="38" t="s">
        <v>220</v>
      </c>
      <c r="G23" s="81"/>
    </row>
    <row r="24" customFormat="false" ht="15" hidden="false" customHeight="false" outlineLevel="0" collapsed="false">
      <c r="A24" s="6" t="s">
        <v>223</v>
      </c>
      <c r="B24" s="88" t="n">
        <v>2500</v>
      </c>
      <c r="C24" s="88" t="n">
        <v>2500</v>
      </c>
      <c r="D24" s="88" t="n">
        <v>2500</v>
      </c>
      <c r="E24" s="89" t="n">
        <f aca="false">CHOOSE(Dashboard!$B$4,B24,C24,D24)</f>
        <v>2500</v>
      </c>
      <c r="F24" s="38" t="s">
        <v>203</v>
      </c>
      <c r="G24" s="81"/>
    </row>
    <row r="25" customFormat="false" ht="15" hidden="false" customHeight="false" outlineLevel="0" collapsed="false">
      <c r="A25" s="6" t="s">
        <v>224</v>
      </c>
      <c r="B25" s="88" t="n">
        <v>150000</v>
      </c>
      <c r="C25" s="88" t="n">
        <v>150000</v>
      </c>
      <c r="D25" s="88" t="n">
        <v>150000</v>
      </c>
      <c r="E25" s="89" t="n">
        <f aca="false">CHOOSE(Dashboard!$B$4,B25,C25,D25)</f>
        <v>150000</v>
      </c>
      <c r="F25" s="38" t="s">
        <v>203</v>
      </c>
      <c r="G25" s="81"/>
    </row>
    <row r="27" customFormat="false" ht="15.75" hidden="false" customHeight="true" outlineLevel="0" collapsed="false">
      <c r="A27" s="7" t="s">
        <v>225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226</v>
      </c>
      <c r="B28" s="82" t="n">
        <v>0.3</v>
      </c>
      <c r="C28" s="82" t="n">
        <v>0.3</v>
      </c>
      <c r="D28" s="82" t="n">
        <v>0.3</v>
      </c>
      <c r="E28" s="83" t="n">
        <f aca="false">CHOOSE(Dashboard!$B$4,B28,C28,D28)</f>
        <v>0.3</v>
      </c>
      <c r="F28" s="38" t="s">
        <v>200</v>
      </c>
      <c r="G28" s="81"/>
    </row>
    <row r="29" customFormat="false" ht="15" hidden="false" customHeight="false" outlineLevel="0" collapsed="false">
      <c r="A29" s="6" t="s">
        <v>227</v>
      </c>
      <c r="B29" s="82" t="n">
        <v>0.12</v>
      </c>
      <c r="C29" s="82" t="n">
        <v>0.1</v>
      </c>
      <c r="D29" s="82" t="n">
        <v>0.08</v>
      </c>
      <c r="E29" s="83" t="n">
        <f aca="false">CHOOSE(Dashboard!$B$4,B29,C29,D29)</f>
        <v>0.1</v>
      </c>
      <c r="F29" s="38" t="s">
        <v>200</v>
      </c>
      <c r="G29" s="81" t="s">
        <v>211</v>
      </c>
    </row>
    <row r="30" customFormat="false" ht="15" hidden="false" customHeight="false" outlineLevel="0" collapsed="false">
      <c r="A30" s="6" t="s">
        <v>228</v>
      </c>
      <c r="B30" s="82" t="n">
        <v>0.45</v>
      </c>
      <c r="C30" s="82" t="n">
        <v>0.42</v>
      </c>
      <c r="D30" s="82" t="n">
        <v>0.39</v>
      </c>
      <c r="E30" s="83" t="n">
        <f aca="false">CHOOSE(Dashboard!$B$4,B30,C30,D30)</f>
        <v>0.42</v>
      </c>
      <c r="F30" s="38" t="s">
        <v>200</v>
      </c>
      <c r="G30" s="81" t="s">
        <v>211</v>
      </c>
    </row>
    <row r="31" customFormat="false" ht="15" hidden="false" customHeight="false" outlineLevel="0" collapsed="false">
      <c r="A31" s="6" t="s">
        <v>229</v>
      </c>
      <c r="B31" s="84" t="n">
        <v>9</v>
      </c>
      <c r="C31" s="84" t="n">
        <v>8</v>
      </c>
      <c r="D31" s="84" t="n">
        <v>7</v>
      </c>
      <c r="E31" s="85" t="n">
        <f aca="false">CHOOSE(Dashboard!$B$4,B31,C31,D31)</f>
        <v>8</v>
      </c>
      <c r="F31" s="38" t="s">
        <v>203</v>
      </c>
      <c r="G31" s="81" t="s">
        <v>211</v>
      </c>
    </row>
    <row r="32" customFormat="false" ht="15" hidden="false" customHeight="false" outlineLevel="0" collapsed="false">
      <c r="A32" s="6" t="s">
        <v>230</v>
      </c>
      <c r="B32" s="82" t="n">
        <v>0.03</v>
      </c>
      <c r="C32" s="82" t="n">
        <v>0.03</v>
      </c>
      <c r="D32" s="82" t="n">
        <v>0.03</v>
      </c>
      <c r="E32" s="83" t="n">
        <f aca="false">CHOOSE(Dashboard!$B$4,B32,C32,D32)</f>
        <v>0.03</v>
      </c>
      <c r="F32" s="38" t="s">
        <v>200</v>
      </c>
      <c r="G32" s="81"/>
    </row>
    <row r="33" customFormat="false" ht="15" hidden="false" customHeight="false" outlineLevel="0" collapsed="false">
      <c r="A33" s="6" t="s">
        <v>231</v>
      </c>
      <c r="B33" s="88" t="n">
        <v>4000</v>
      </c>
      <c r="C33" s="88" t="n">
        <v>4000</v>
      </c>
      <c r="D33" s="88" t="n">
        <v>4000</v>
      </c>
      <c r="E33" s="89" t="n">
        <f aca="false">CHOOSE(Dashboard!$B$4,B33,C33,D33)</f>
        <v>4000</v>
      </c>
      <c r="F33" s="38" t="s">
        <v>203</v>
      </c>
      <c r="G33" s="81"/>
    </row>
    <row r="34" customFormat="false" ht="15" hidden="false" customHeight="false" outlineLevel="0" collapsed="false">
      <c r="A34" s="6" t="s">
        <v>232</v>
      </c>
      <c r="B34" s="88" t="n">
        <v>8000</v>
      </c>
      <c r="C34" s="88" t="n">
        <v>8000</v>
      </c>
      <c r="D34" s="88" t="n">
        <v>8000</v>
      </c>
      <c r="E34" s="89" t="n">
        <f aca="false">CHOOSE(Dashboard!$B$4,B34,C34,D34)</f>
        <v>8000</v>
      </c>
      <c r="F34" s="38" t="s">
        <v>203</v>
      </c>
      <c r="G34" s="81"/>
    </row>
    <row r="35" customFormat="false" ht="15" hidden="false" customHeight="false" outlineLevel="0" collapsed="false">
      <c r="A35" s="6" t="s">
        <v>233</v>
      </c>
      <c r="B35" s="88" t="n">
        <v>50000</v>
      </c>
      <c r="C35" s="88" t="n">
        <v>50000</v>
      </c>
      <c r="D35" s="88" t="n">
        <v>50000</v>
      </c>
      <c r="E35" s="89" t="n">
        <f aca="false">CHOOSE(Dashboard!$B$4,B35,C35,D35)</f>
        <v>50000</v>
      </c>
      <c r="F35" s="38" t="s">
        <v>203</v>
      </c>
      <c r="G35" s="81"/>
    </row>
    <row r="37" customFormat="false" ht="15.75" hidden="false" customHeight="true" outlineLevel="0" collapsed="false">
      <c r="A37" s="7" t="s">
        <v>234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235</v>
      </c>
      <c r="B38" s="90" t="n">
        <v>6</v>
      </c>
      <c r="C38" s="90" t="n">
        <v>6</v>
      </c>
      <c r="D38" s="90" t="n">
        <v>6</v>
      </c>
      <c r="E38" s="91" t="n">
        <f aca="false">CHOOSE(Dashboard!$B$4,B38,C38,D38)</f>
        <v>6</v>
      </c>
      <c r="F38" s="38" t="s">
        <v>236</v>
      </c>
      <c r="G38" s="81" t="s">
        <v>198</v>
      </c>
    </row>
    <row r="39" customFormat="false" ht="15" hidden="false" customHeight="false" outlineLevel="0" collapsed="false">
      <c r="A39" s="6" t="s">
        <v>237</v>
      </c>
      <c r="B39" s="88" t="n">
        <v>50000</v>
      </c>
      <c r="C39" s="88" t="n">
        <v>50000</v>
      </c>
      <c r="D39" s="88" t="n">
        <v>50000</v>
      </c>
      <c r="E39" s="89" t="n">
        <f aca="false">CHOOSE(Dashboard!$B$4,B39,C39,D39)</f>
        <v>50000</v>
      </c>
      <c r="F39" s="38" t="s">
        <v>203</v>
      </c>
      <c r="G39" s="81"/>
    </row>
    <row r="40" customFormat="false" ht="15" hidden="false" customHeight="false" outlineLevel="0" collapsed="false">
      <c r="A40" s="6" t="s">
        <v>238</v>
      </c>
      <c r="B40" s="82" t="n">
        <v>0.2</v>
      </c>
      <c r="C40" s="82" t="n">
        <v>0.2</v>
      </c>
      <c r="D40" s="82" t="n">
        <v>0.2</v>
      </c>
      <c r="E40" s="83" t="n">
        <f aca="false">CHOOSE(Dashboard!$B$4,B40,C40,D40)</f>
        <v>0.2</v>
      </c>
      <c r="F40" s="38" t="s">
        <v>200</v>
      </c>
      <c r="G40" s="81" t="s">
        <v>198</v>
      </c>
    </row>
    <row r="41" customFormat="false" ht="15" hidden="false" customHeight="false" outlineLevel="0" collapsed="false">
      <c r="A41" s="6" t="s">
        <v>239</v>
      </c>
      <c r="B41" s="79" t="n">
        <v>1</v>
      </c>
      <c r="C41" s="79" t="n">
        <v>1</v>
      </c>
      <c r="D41" s="79" t="n">
        <v>1</v>
      </c>
      <c r="E41" s="80" t="n">
        <f aca="false">CHOOSE(Dashboard!$B$4,B41,C41,D41)</f>
        <v>1</v>
      </c>
      <c r="F41" s="38" t="s">
        <v>240</v>
      </c>
      <c r="G41" s="81"/>
    </row>
    <row r="42" customFormat="false" ht="15" hidden="false" customHeight="false" outlineLevel="0" collapsed="false">
      <c r="A42" s="6" t="s">
        <v>241</v>
      </c>
      <c r="B42" s="90" t="n">
        <v>4</v>
      </c>
      <c r="C42" s="90" t="n">
        <v>4</v>
      </c>
      <c r="D42" s="90" t="n">
        <v>4</v>
      </c>
      <c r="E42" s="91" t="n">
        <f aca="false">CHOOSE(Dashboard!$B$4,B42,C42,D42)</f>
        <v>4</v>
      </c>
      <c r="F42" s="38" t="s">
        <v>236</v>
      </c>
      <c r="G42" s="81" t="s">
        <v>198</v>
      </c>
    </row>
    <row r="43" customFormat="false" ht="15" hidden="false" customHeight="false" outlineLevel="0" collapsed="false">
      <c r="A43" s="6" t="s">
        <v>242</v>
      </c>
      <c r="B43" s="88" t="n">
        <v>70000</v>
      </c>
      <c r="C43" s="88" t="n">
        <v>70000</v>
      </c>
      <c r="D43" s="88" t="n">
        <v>70000</v>
      </c>
      <c r="E43" s="89" t="n">
        <f aca="false">CHOOSE(Dashboard!$B$4,B43,C43,D43)</f>
        <v>70000</v>
      </c>
      <c r="F43" s="38" t="s">
        <v>203</v>
      </c>
      <c r="G43" s="81"/>
    </row>
    <row r="44" customFormat="false" ht="15" hidden="false" customHeight="false" outlineLevel="0" collapsed="false">
      <c r="A44" s="6" t="s">
        <v>243</v>
      </c>
      <c r="B44" s="82" t="n">
        <v>0.2</v>
      </c>
      <c r="C44" s="82" t="n">
        <v>0.2</v>
      </c>
      <c r="D44" s="82" t="n">
        <v>0.2</v>
      </c>
      <c r="E44" s="83" t="n">
        <f aca="false">CHOOSE(Dashboard!$B$4,B44,C44,D44)</f>
        <v>0.2</v>
      </c>
      <c r="F44" s="38" t="s">
        <v>200</v>
      </c>
      <c r="G44" s="81" t="s">
        <v>198</v>
      </c>
    </row>
    <row r="45" customFormat="false" ht="15" hidden="false" customHeight="false" outlineLevel="0" collapsed="false">
      <c r="A45" s="6" t="s">
        <v>244</v>
      </c>
      <c r="B45" s="79" t="n">
        <v>1</v>
      </c>
      <c r="C45" s="79" t="n">
        <v>1</v>
      </c>
      <c r="D45" s="79" t="n">
        <v>1</v>
      </c>
      <c r="E45" s="80" t="n">
        <f aca="false">CHOOSE(Dashboard!$B$4,B45,C45,D45)</f>
        <v>1</v>
      </c>
      <c r="F45" s="38" t="s">
        <v>240</v>
      </c>
      <c r="G45" s="81"/>
    </row>
    <row r="46" customFormat="false" ht="15" hidden="false" customHeight="false" outlineLevel="0" collapsed="false">
      <c r="A46" s="6" t="s">
        <v>245</v>
      </c>
      <c r="B46" s="90" t="n">
        <v>8</v>
      </c>
      <c r="C46" s="90" t="n">
        <v>8</v>
      </c>
      <c r="D46" s="90" t="n">
        <v>8</v>
      </c>
      <c r="E46" s="91" t="n">
        <f aca="false">CHOOSE(Dashboard!$B$4,B46,C46,D46)</f>
        <v>8</v>
      </c>
      <c r="F46" s="38" t="s">
        <v>236</v>
      </c>
      <c r="G46" s="81" t="s">
        <v>198</v>
      </c>
    </row>
    <row r="47" customFormat="false" ht="15" hidden="false" customHeight="false" outlineLevel="0" collapsed="false">
      <c r="A47" s="6" t="s">
        <v>246</v>
      </c>
      <c r="B47" s="88" t="n">
        <v>38000</v>
      </c>
      <c r="C47" s="88" t="n">
        <v>38000</v>
      </c>
      <c r="D47" s="88" t="n">
        <v>38000</v>
      </c>
      <c r="E47" s="89" t="n">
        <f aca="false">CHOOSE(Dashboard!$B$4,B47,C47,D47)</f>
        <v>38000</v>
      </c>
      <c r="F47" s="38" t="s">
        <v>203</v>
      </c>
      <c r="G47" s="81"/>
    </row>
    <row r="48" customFormat="false" ht="15" hidden="false" customHeight="false" outlineLevel="0" collapsed="false">
      <c r="A48" s="6" t="s">
        <v>247</v>
      </c>
      <c r="B48" s="82" t="n">
        <v>0.3</v>
      </c>
      <c r="C48" s="82" t="n">
        <v>0.3</v>
      </c>
      <c r="D48" s="82" t="n">
        <v>0.3</v>
      </c>
      <c r="E48" s="83" t="n">
        <f aca="false">CHOOSE(Dashboard!$B$4,B48,C48,D48)</f>
        <v>0.3</v>
      </c>
      <c r="F48" s="38" t="s">
        <v>200</v>
      </c>
      <c r="G48" s="81" t="s">
        <v>198</v>
      </c>
    </row>
    <row r="49" customFormat="false" ht="15" hidden="false" customHeight="false" outlineLevel="0" collapsed="false">
      <c r="A49" s="6" t="s">
        <v>248</v>
      </c>
      <c r="B49" s="79" t="n">
        <v>1</v>
      </c>
      <c r="C49" s="79" t="n">
        <v>1</v>
      </c>
      <c r="D49" s="79" t="n">
        <v>1</v>
      </c>
      <c r="E49" s="80" t="n">
        <f aca="false">CHOOSE(Dashboard!$B$4,B49,C49,D49)</f>
        <v>1</v>
      </c>
      <c r="F49" s="38" t="s">
        <v>240</v>
      </c>
      <c r="G49" s="81"/>
    </row>
    <row r="50" customFormat="false" ht="15" hidden="false" customHeight="false" outlineLevel="0" collapsed="false">
      <c r="A50" s="6" t="s">
        <v>249</v>
      </c>
      <c r="B50" s="90" t="n">
        <v>3</v>
      </c>
      <c r="C50" s="90" t="n">
        <v>3</v>
      </c>
      <c r="D50" s="90" t="n">
        <v>3</v>
      </c>
      <c r="E50" s="91" t="n">
        <f aca="false">CHOOSE(Dashboard!$B$4,B50,C50,D50)</f>
        <v>3</v>
      </c>
      <c r="F50" s="38" t="s">
        <v>236</v>
      </c>
      <c r="G50" s="81" t="s">
        <v>198</v>
      </c>
    </row>
    <row r="51" customFormat="false" ht="15" hidden="false" customHeight="false" outlineLevel="0" collapsed="false">
      <c r="A51" s="6" t="s">
        <v>250</v>
      </c>
      <c r="B51" s="88" t="n">
        <v>70000</v>
      </c>
      <c r="C51" s="88" t="n">
        <v>70000</v>
      </c>
      <c r="D51" s="88" t="n">
        <v>70000</v>
      </c>
      <c r="E51" s="89" t="n">
        <f aca="false">CHOOSE(Dashboard!$B$4,B51,C51,D51)</f>
        <v>70000</v>
      </c>
      <c r="F51" s="38" t="s">
        <v>203</v>
      </c>
      <c r="G51" s="81"/>
    </row>
    <row r="52" customFormat="false" ht="15" hidden="false" customHeight="false" outlineLevel="0" collapsed="false">
      <c r="A52" s="6" t="s">
        <v>251</v>
      </c>
      <c r="B52" s="82" t="n">
        <v>0.15</v>
      </c>
      <c r="C52" s="82" t="n">
        <v>0.15</v>
      </c>
      <c r="D52" s="82" t="n">
        <v>0.15</v>
      </c>
      <c r="E52" s="83" t="n">
        <f aca="false">CHOOSE(Dashboard!$B$4,B52,C52,D52)</f>
        <v>0.15</v>
      </c>
      <c r="F52" s="38" t="s">
        <v>200</v>
      </c>
      <c r="G52" s="81" t="s">
        <v>198</v>
      </c>
    </row>
    <row r="53" customFormat="false" ht="15" hidden="false" customHeight="false" outlineLevel="0" collapsed="false">
      <c r="A53" s="6" t="s">
        <v>252</v>
      </c>
      <c r="B53" s="79" t="n">
        <v>1</v>
      </c>
      <c r="C53" s="79" t="n">
        <v>1</v>
      </c>
      <c r="D53" s="79" t="n">
        <v>1</v>
      </c>
      <c r="E53" s="80" t="n">
        <f aca="false">CHOOSE(Dashboard!$B$4,B53,C53,D53)</f>
        <v>1</v>
      </c>
      <c r="F53" s="38" t="s">
        <v>240</v>
      </c>
      <c r="G53" s="81"/>
    </row>
    <row r="54" customFormat="false" ht="15" hidden="false" customHeight="false" outlineLevel="0" collapsed="false">
      <c r="A54" s="6" t="s">
        <v>253</v>
      </c>
      <c r="B54" s="82" t="n">
        <v>0.15</v>
      </c>
      <c r="C54" s="82" t="n">
        <v>0.15</v>
      </c>
      <c r="D54" s="82" t="n">
        <v>0.15</v>
      </c>
      <c r="E54" s="83" t="n">
        <f aca="false">CHOOSE(Dashboard!$B$4,B54,C54,D54)</f>
        <v>0.15</v>
      </c>
      <c r="F54" s="38" t="s">
        <v>200</v>
      </c>
      <c r="G54" s="81"/>
    </row>
    <row r="55" customFormat="false" ht="15" hidden="false" customHeight="false" outlineLevel="0" collapsed="false">
      <c r="A55" s="6" t="s">
        <v>254</v>
      </c>
      <c r="B55" s="82" t="n">
        <v>0.03</v>
      </c>
      <c r="C55" s="82" t="n">
        <v>0.03</v>
      </c>
      <c r="D55" s="82" t="n">
        <v>0.03</v>
      </c>
      <c r="E55" s="83" t="n">
        <f aca="false">CHOOSE(Dashboard!$B$4,B55,C55,D55)</f>
        <v>0.03</v>
      </c>
      <c r="F55" s="38" t="s">
        <v>200</v>
      </c>
      <c r="G55" s="81"/>
    </row>
    <row r="57" customFormat="false" ht="15.75" hidden="false" customHeight="true" outlineLevel="0" collapsed="false">
      <c r="A57" s="7" t="s">
        <v>255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256</v>
      </c>
      <c r="B58" s="88" t="n">
        <v>1500000</v>
      </c>
      <c r="C58" s="88" t="n">
        <v>1500000</v>
      </c>
      <c r="D58" s="88" t="n">
        <v>1500000</v>
      </c>
      <c r="E58" s="89" t="n">
        <f aca="false">CHOOSE(Dashboard!$B$4,B58,C58,D58)</f>
        <v>1500000</v>
      </c>
      <c r="F58" s="38" t="s">
        <v>203</v>
      </c>
      <c r="G58" s="81"/>
    </row>
    <row r="59" customFormat="false" ht="15" hidden="false" customHeight="false" outlineLevel="0" collapsed="false">
      <c r="A59" s="6" t="s">
        <v>257</v>
      </c>
      <c r="B59" s="88" t="n">
        <v>500000</v>
      </c>
      <c r="C59" s="88" t="n">
        <v>500000</v>
      </c>
      <c r="D59" s="88" t="n">
        <v>500000</v>
      </c>
      <c r="E59" s="89" t="n">
        <f aca="false">CHOOSE(Dashboard!$B$4,B59,C59,D59)</f>
        <v>500000</v>
      </c>
      <c r="F59" s="38" t="s">
        <v>203</v>
      </c>
      <c r="G59" s="81"/>
    </row>
    <row r="60" customFormat="false" ht="15" hidden="false" customHeight="false" outlineLevel="0" collapsed="false">
      <c r="A60" s="6" t="s">
        <v>258</v>
      </c>
      <c r="B60" s="82" t="n">
        <v>0.08</v>
      </c>
      <c r="C60" s="82" t="n">
        <v>0.08</v>
      </c>
      <c r="D60" s="82" t="n">
        <v>0.08</v>
      </c>
      <c r="E60" s="83" t="n">
        <f aca="false">CHOOSE(Dashboard!$B$4,B60,C60,D60)</f>
        <v>0.08</v>
      </c>
      <c r="F60" s="38" t="s">
        <v>200</v>
      </c>
      <c r="G60" s="81"/>
    </row>
    <row r="61" customFormat="false" ht="15" hidden="false" customHeight="false" outlineLevel="0" collapsed="false">
      <c r="A61" s="6" t="s">
        <v>259</v>
      </c>
      <c r="B61" s="79" t="n">
        <v>5</v>
      </c>
      <c r="C61" s="79" t="n">
        <v>5</v>
      </c>
      <c r="D61" s="79" t="n">
        <v>5</v>
      </c>
      <c r="E61" s="80" t="n">
        <f aca="false">CHOOSE(Dashboard!$B$4,B61,C61,D61)</f>
        <v>5</v>
      </c>
      <c r="F61" s="38" t="s">
        <v>260</v>
      </c>
      <c r="G61" s="81"/>
    </row>
    <row r="63" customFormat="false" ht="15.75" hidden="false" customHeight="true" outlineLevel="0" collapsed="false">
      <c r="A63" s="7" t="s">
        <v>261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262</v>
      </c>
      <c r="B64" s="79" t="n">
        <v>2</v>
      </c>
      <c r="C64" s="79" t="n">
        <v>2</v>
      </c>
      <c r="D64" s="79" t="n">
        <v>2</v>
      </c>
      <c r="E64" s="80" t="n">
        <f aca="false">CHOOSE(Dashboard!$B$4,B64,C64,D64)</f>
        <v>2</v>
      </c>
      <c r="F64" s="38" t="s">
        <v>263</v>
      </c>
      <c r="G64" s="81"/>
    </row>
    <row r="65" customFormat="false" ht="15" hidden="false" customHeight="false" outlineLevel="0" collapsed="false">
      <c r="A65" s="6" t="s">
        <v>264</v>
      </c>
      <c r="B65" s="79" t="n">
        <v>75</v>
      </c>
      <c r="C65" s="79" t="n">
        <v>75</v>
      </c>
      <c r="D65" s="79" t="n">
        <v>75</v>
      </c>
      <c r="E65" s="80" t="n">
        <f aca="false">CHOOSE(Dashboard!$B$4,B65,C65,D65)</f>
        <v>75</v>
      </c>
      <c r="F65" s="38" t="s">
        <v>263</v>
      </c>
      <c r="G65" s="81"/>
    </row>
    <row r="66" customFormat="false" ht="15" hidden="false" customHeight="false" outlineLevel="0" collapsed="false">
      <c r="A66" s="6" t="s">
        <v>265</v>
      </c>
      <c r="B66" s="79" t="n">
        <v>30</v>
      </c>
      <c r="C66" s="79" t="n">
        <v>30</v>
      </c>
      <c r="D66" s="79" t="n">
        <v>30</v>
      </c>
      <c r="E66" s="80" t="n">
        <f aca="false">CHOOSE(Dashboard!$B$4,B66,C66,D66)</f>
        <v>30</v>
      </c>
      <c r="F66" s="38" t="s">
        <v>263</v>
      </c>
      <c r="G66" s="81"/>
    </row>
    <row r="68" customFormat="false" ht="15.75" hidden="false" customHeight="true" outlineLevel="0" collapsed="false">
      <c r="A68" s="7" t="s">
        <v>266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267</v>
      </c>
      <c r="B69" s="79" t="n">
        <v>7</v>
      </c>
      <c r="C69" s="79" t="n">
        <v>7</v>
      </c>
      <c r="D69" s="79" t="n">
        <v>7</v>
      </c>
      <c r="E69" s="80" t="n">
        <f aca="false">CHOOSE(Dashboard!$B$4,B69,C69,D69)</f>
        <v>7</v>
      </c>
      <c r="F69" s="38" t="s">
        <v>260</v>
      </c>
      <c r="G69" s="81"/>
    </row>
    <row r="70" customFormat="false" ht="15" hidden="false" customHeight="false" outlineLevel="0" collapsed="false">
      <c r="A70" s="6" t="s">
        <v>268</v>
      </c>
      <c r="B70" s="82" t="n">
        <v>0.21</v>
      </c>
      <c r="C70" s="82" t="n">
        <v>0.21</v>
      </c>
      <c r="D70" s="82" t="n">
        <v>0.21</v>
      </c>
      <c r="E70" s="83" t="n">
        <f aca="false">CHOOSE(Dashboard!$B$4,B70,C70,D70)</f>
        <v>0.21</v>
      </c>
      <c r="F70" s="38" t="s">
        <v>200</v>
      </c>
      <c r="G70" s="81"/>
    </row>
    <row r="72" customFormat="false" ht="15.75" hidden="false" customHeight="true" outlineLevel="0" collapsed="false">
      <c r="A72" s="7" t="s">
        <v>269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108</v>
      </c>
      <c r="B73" s="88" t="n">
        <v>720000</v>
      </c>
      <c r="C73" s="88" t="n">
        <v>720000</v>
      </c>
      <c r="D73" s="88" t="n">
        <v>720000</v>
      </c>
      <c r="E73" s="89" t="n">
        <f aca="false">CHOOSE(Dashboard!$B$4,B73,C73,D73)</f>
        <v>720000</v>
      </c>
      <c r="F73" s="38" t="s">
        <v>203</v>
      </c>
      <c r="G73" s="81" t="s">
        <v>270</v>
      </c>
    </row>
    <row r="75" customFormat="false" ht="15.75" hidden="false" customHeight="true" outlineLevel="0" collapsed="false">
      <c r="A75" s="7" t="s">
        <v>271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135</v>
      </c>
      <c r="B76" s="82" t="n">
        <v>0.2</v>
      </c>
      <c r="C76" s="82" t="n">
        <v>0.16</v>
      </c>
      <c r="D76" s="82" t="n">
        <v>0.13</v>
      </c>
      <c r="E76" s="83" t="n">
        <f aca="false">CHOOSE(Dashboard!$B$4,B76,C76,D76)</f>
        <v>0.16</v>
      </c>
      <c r="F76" s="38" t="s">
        <v>200</v>
      </c>
      <c r="G76" s="81" t="s">
        <v>211</v>
      </c>
    </row>
    <row r="77" customFormat="false" ht="15" hidden="false" customHeight="false" outlineLevel="0" collapsed="false">
      <c r="A77" s="6" t="s">
        <v>272</v>
      </c>
      <c r="B77" s="82" t="n">
        <v>0.01</v>
      </c>
      <c r="C77" s="82" t="n">
        <v>0.02</v>
      </c>
      <c r="D77" s="82" t="n">
        <v>0.03</v>
      </c>
      <c r="E77" s="83" t="n">
        <f aca="false">CHOOSE(Dashboard!$B$4,B77,C77,D77)</f>
        <v>0.02</v>
      </c>
      <c r="F77" s="38" t="s">
        <v>200</v>
      </c>
      <c r="G77" s="81" t="s">
        <v>198</v>
      </c>
    </row>
    <row r="78" customFormat="false" ht="15" hidden="false" customHeight="false" outlineLevel="0" collapsed="false">
      <c r="A78" s="6" t="s">
        <v>137</v>
      </c>
      <c r="B78" s="86" t="n">
        <v>4</v>
      </c>
      <c r="C78" s="86" t="n">
        <v>5.5</v>
      </c>
      <c r="D78" s="86" t="n">
        <v>7</v>
      </c>
      <c r="E78" s="87" t="n">
        <f aca="false">CHOOSE(Dashboard!$B$4,B78,C78,D78)</f>
        <v>5.5</v>
      </c>
      <c r="F78" s="38" t="s">
        <v>206</v>
      </c>
      <c r="G78" s="81" t="s">
        <v>198</v>
      </c>
    </row>
    <row r="79" customFormat="false" ht="15" hidden="false" customHeight="false" outlineLevel="0" collapsed="false">
      <c r="A79" s="6" t="s">
        <v>273</v>
      </c>
      <c r="B79" s="82" t="n">
        <v>0.01</v>
      </c>
      <c r="C79" s="82" t="n">
        <v>0.01</v>
      </c>
      <c r="D79" s="82" t="n">
        <v>0.01</v>
      </c>
      <c r="E79" s="83" t="n">
        <f aca="false">CHOOSE(Dashboard!$B$4,B79,C79,D79)</f>
        <v>0.01</v>
      </c>
      <c r="F79" s="38" t="s">
        <v>200</v>
      </c>
      <c r="G79" s="81"/>
    </row>
    <row r="80" customFormat="false" ht="15" hidden="false" customHeight="false" outlineLevel="0" collapsed="false">
      <c r="A80" s="6" t="s">
        <v>274</v>
      </c>
      <c r="B80" s="82" t="n">
        <v>0.005</v>
      </c>
      <c r="C80" s="82" t="n">
        <v>0.005</v>
      </c>
      <c r="D80" s="82" t="n">
        <v>0.005</v>
      </c>
      <c r="E80" s="83" t="n">
        <f aca="false">CHOOSE(Dashboard!$B$4,B80,C80,D80)</f>
        <v>0.005</v>
      </c>
      <c r="F80" s="38" t="s">
        <v>200</v>
      </c>
      <c r="G80" s="81"/>
    </row>
    <row r="82" customFormat="false" ht="15" hidden="false" customHeight="false" outlineLevel="0" collapsed="false">
      <c r="A82" s="21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276</v>
      </c>
    </row>
    <row r="3" customFormat="false" ht="15" hidden="false" customHeight="false" outlineLevel="0" collapsed="false">
      <c r="A3" s="56" t="s">
        <v>121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122</v>
      </c>
      <c r="C4" s="57" t="s">
        <v>123</v>
      </c>
      <c r="D4" s="57" t="s">
        <v>124</v>
      </c>
      <c r="E4" s="57" t="s">
        <v>125</v>
      </c>
      <c r="F4" s="57" t="s">
        <v>126</v>
      </c>
    </row>
    <row r="5" customFormat="false" ht="15" hidden="false" customHeight="false" outlineLevel="0" collapsed="false">
      <c r="A5" s="4" t="s">
        <v>41</v>
      </c>
      <c r="B5" s="58" t="n">
        <f aca="false">SUMIF(Monthly!$C$5:$BJ$5,B$3,Monthly!$C$25:$BJ$25)</f>
        <v>5514942.85714286</v>
      </c>
      <c r="C5" s="58" t="n">
        <f aca="false">SUMIF(Monthly!$C$5:$BJ$5,C$3,Monthly!$C$25:$BJ$25)</f>
        <v>7179087.85714286</v>
      </c>
      <c r="D5" s="58" t="n">
        <f aca="false">SUMIF(Monthly!$C$5:$BJ$5,D$3,Monthly!$C$25:$BJ$25)</f>
        <v>9149574.85714286</v>
      </c>
      <c r="E5" s="58" t="n">
        <f aca="false">SUMIF(Monthly!$C$5:$BJ$5,E$3,Monthly!$C$25:$BJ$25)</f>
        <v>11499932.0931429</v>
      </c>
      <c r="F5" s="58" t="n">
        <f aca="false">SUMIF(Monthly!$C$5:$BJ$5,F$3,Monthly!$C$25:$BJ$25)</f>
        <v>14322508.4584569</v>
      </c>
    </row>
    <row r="6" customFormat="false" ht="15" hidden="false" customHeight="false" outlineLevel="0" collapsed="false">
      <c r="A6" s="6" t="s">
        <v>73</v>
      </c>
      <c r="B6" s="51" t="n">
        <f aca="false">SUMIF(Monthly!$C$5:$BJ$5,B$3,Monthly!$C$26:$BJ$26)</f>
        <v>-2316276</v>
      </c>
      <c r="C6" s="51" t="n">
        <f aca="false">SUMIF(Monthly!$C$5:$BJ$5,C$3,Monthly!$C$26:$BJ$26)</f>
        <v>-3015216.9</v>
      </c>
      <c r="D6" s="51" t="n">
        <f aca="false">SUMIF(Monthly!$C$5:$BJ$5,D$3,Monthly!$C$26:$BJ$26)</f>
        <v>-3842821.44</v>
      </c>
      <c r="E6" s="51" t="n">
        <f aca="false">SUMIF(Monthly!$C$5:$BJ$5,E$3,Monthly!$C$26:$BJ$26)</f>
        <v>-4829971.47912</v>
      </c>
      <c r="F6" s="51" t="n">
        <f aca="false">SUMIF(Monthly!$C$5:$BJ$5,F$3,Monthly!$C$26:$BJ$26)</f>
        <v>-6015453.55255188</v>
      </c>
    </row>
    <row r="7" customFormat="false" ht="15" hidden="false" customHeight="false" outlineLevel="0" collapsed="false">
      <c r="A7" s="92" t="s">
        <v>42</v>
      </c>
      <c r="B7" s="52" t="n">
        <f aca="false">SUMIF(Monthly!$C$5:$BJ$5,B$3,Monthly!$C$27:$BJ$27)</f>
        <v>3198666.85714286</v>
      </c>
      <c r="C7" s="52" t="n">
        <f aca="false">SUMIF(Monthly!$C$5:$BJ$5,C$3,Monthly!$C$27:$BJ$27)</f>
        <v>4163870.95714286</v>
      </c>
      <c r="D7" s="52" t="n">
        <f aca="false">SUMIF(Monthly!$C$5:$BJ$5,D$3,Monthly!$C$27:$BJ$27)</f>
        <v>5306753.41714286</v>
      </c>
      <c r="E7" s="52" t="n">
        <f aca="false">SUMIF(Monthly!$C$5:$BJ$5,E$3,Monthly!$C$27:$BJ$27)</f>
        <v>6669960.61402286</v>
      </c>
      <c r="F7" s="52" t="n">
        <f aca="false">SUMIF(Monthly!$C$5:$BJ$5,F$3,Monthly!$C$27:$BJ$27)</f>
        <v>8307054.90590498</v>
      </c>
    </row>
    <row r="8" customFormat="false" ht="15" hidden="false" customHeight="false" outlineLevel="0" collapsed="false">
      <c r="A8" s="38" t="s">
        <v>43</v>
      </c>
      <c r="B8" s="59" t="n">
        <f aca="false">IF(B5=0,0,B7/B5)</f>
        <v>0.58</v>
      </c>
      <c r="C8" s="59" t="n">
        <f aca="false">IF(C5=0,0,C7/C5)</f>
        <v>0.58</v>
      </c>
      <c r="D8" s="59" t="n">
        <f aca="false">IF(D5=0,0,D7/D5)</f>
        <v>0.58</v>
      </c>
      <c r="E8" s="59" t="n">
        <f aca="false">IF(E5=0,0,E7/E5)</f>
        <v>0.58</v>
      </c>
      <c r="F8" s="59" t="n">
        <f aca="false">IF(F5=0,0,F7/F5)</f>
        <v>0.58</v>
      </c>
    </row>
    <row r="9" customFormat="false" ht="15" hidden="false" customHeight="false" outlineLevel="0" collapsed="false">
      <c r="A9" s="6" t="s">
        <v>277</v>
      </c>
      <c r="B9" s="51" t="n">
        <f aca="false">SUMIF(Monthly!$C$5:$BJ$5,B$3,Monthly!$C$30:$BJ$30)</f>
        <v>-533622.857142857</v>
      </c>
      <c r="C9" s="51" t="n">
        <f aca="false">SUMIF(Monthly!$C$5:$BJ$5,C$3,Monthly!$C$30:$BJ$30)</f>
        <v>-654171.428571429</v>
      </c>
      <c r="D9" s="51" t="n">
        <f aca="false">SUMIF(Monthly!$C$5:$BJ$5,D$3,Monthly!$C$30:$BJ$30)</f>
        <v>-802285.714285714</v>
      </c>
      <c r="E9" s="51" t="n">
        <f aca="false">SUMIF(Monthly!$C$5:$BJ$5,E$3,Monthly!$C$30:$BJ$30)</f>
        <v>-984342.857142857</v>
      </c>
      <c r="F9" s="51" t="n">
        <f aca="false">SUMIF(Monthly!$C$5:$BJ$5,F$3,Monthly!$C$30:$BJ$30)</f>
        <v>-1208211.42857143</v>
      </c>
    </row>
    <row r="10" customFormat="false" ht="15" hidden="false" customHeight="false" outlineLevel="0" collapsed="false">
      <c r="A10" s="6" t="s">
        <v>278</v>
      </c>
      <c r="B10" s="51" t="n">
        <f aca="false">SUMIF(Monthly!$C$5:$BJ$5,B$3,Monthly!$C$31:$BJ$31)</f>
        <v>-165448.285714286</v>
      </c>
      <c r="C10" s="51" t="n">
        <f aca="false">SUMIF(Monthly!$C$5:$BJ$5,C$3,Monthly!$C$31:$BJ$31)</f>
        <v>-215372.635714286</v>
      </c>
      <c r="D10" s="51" t="n">
        <f aca="false">SUMIF(Monthly!$C$5:$BJ$5,D$3,Monthly!$C$31:$BJ$31)</f>
        <v>-274487.245714286</v>
      </c>
      <c r="E10" s="51" t="n">
        <f aca="false">SUMIF(Monthly!$C$5:$BJ$5,E$3,Monthly!$C$31:$BJ$31)</f>
        <v>-344997.962794286</v>
      </c>
      <c r="F10" s="51" t="n">
        <f aca="false">SUMIF(Monthly!$C$5:$BJ$5,F$3,Monthly!$C$31:$BJ$31)</f>
        <v>-429675.253753706</v>
      </c>
    </row>
    <row r="11" customFormat="false" ht="15" hidden="false" customHeight="false" outlineLevel="0" collapsed="false">
      <c r="A11" s="6" t="s">
        <v>279</v>
      </c>
      <c r="B11" s="51" t="n">
        <f aca="false">SUMIF(Monthly!$C$5:$BJ$5,B$3,Monthly!$C$32:$BJ$32)</f>
        <v>-600000</v>
      </c>
      <c r="C11" s="51" t="n">
        <f aca="false">SUMIF(Monthly!$C$5:$BJ$5,C$3,Monthly!$C$32:$BJ$32)</f>
        <v>-720000</v>
      </c>
      <c r="D11" s="51" t="n">
        <f aca="false">SUMIF(Monthly!$C$5:$BJ$5,D$3,Monthly!$C$32:$BJ$32)</f>
        <v>-864000</v>
      </c>
      <c r="E11" s="51" t="n">
        <f aca="false">SUMIF(Monthly!$C$5:$BJ$5,E$3,Monthly!$C$32:$BJ$32)</f>
        <v>-1036800</v>
      </c>
      <c r="F11" s="51" t="n">
        <f aca="false">SUMIF(Monthly!$C$5:$BJ$5,F$3,Monthly!$C$32:$BJ$32)</f>
        <v>-1244160</v>
      </c>
    </row>
    <row r="12" customFormat="false" ht="15" hidden="false" customHeight="false" outlineLevel="0" collapsed="false">
      <c r="A12" s="6" t="s">
        <v>280</v>
      </c>
      <c r="B12" s="51" t="n">
        <f aca="false">SUMIF(Monthly!$C$5:$BJ$5,B$3,Monthly!$C$33:$BJ$33)</f>
        <v>-1258100</v>
      </c>
      <c r="C12" s="51" t="n">
        <f aca="false">SUMIF(Monthly!$C$5:$BJ$5,C$3,Monthly!$C$33:$BJ$33)</f>
        <v>-1578583.15</v>
      </c>
      <c r="D12" s="51" t="n">
        <f aca="false">SUMIF(Monthly!$C$5:$BJ$5,D$3,Monthly!$C$33:$BJ$33)</f>
        <v>-1984612.633975</v>
      </c>
      <c r="E12" s="51" t="n">
        <f aca="false">SUMIF(Monthly!$C$5:$BJ$5,E$3,Monthly!$C$33:$BJ$33)</f>
        <v>-2500092.18694859</v>
      </c>
      <c r="F12" s="51" t="n">
        <f aca="false">SUMIF(Monthly!$C$5:$BJ$5,F$3,Monthly!$C$33:$BJ$33)</f>
        <v>-3155891.55289642</v>
      </c>
    </row>
    <row r="13" customFormat="false" ht="15" hidden="false" customHeight="false" outlineLevel="0" collapsed="false">
      <c r="A13" s="6" t="s">
        <v>281</v>
      </c>
      <c r="B13" s="51" t="n">
        <f aca="false">SUMIF(Monthly!$C$5:$BJ$5,B$3,Monthly!$C$34:$BJ$34)</f>
        <v>-120000</v>
      </c>
      <c r="C13" s="51" t="n">
        <f aca="false">SUMIF(Monthly!$C$5:$BJ$5,C$3,Monthly!$C$34:$BJ$34)</f>
        <v>-180000</v>
      </c>
      <c r="D13" s="51" t="n">
        <f aca="false">SUMIF(Monthly!$C$5:$BJ$5,D$3,Monthly!$C$34:$BJ$34)</f>
        <v>-240000</v>
      </c>
      <c r="E13" s="51" t="n">
        <f aca="false">SUMIF(Monthly!$C$5:$BJ$5,E$3,Monthly!$C$34:$BJ$34)</f>
        <v>-300000</v>
      </c>
      <c r="F13" s="51" t="n">
        <f aca="false">SUMIF(Monthly!$C$5:$BJ$5,F$3,Monthly!$C$34:$BJ$34)</f>
        <v>-360000</v>
      </c>
    </row>
    <row r="14" customFormat="false" ht="15" hidden="false" customHeight="false" outlineLevel="0" collapsed="false">
      <c r="A14" s="6" t="s">
        <v>282</v>
      </c>
      <c r="B14" s="51" t="n">
        <f aca="false">SUMIF(Monthly!$C$5:$BJ$5,B$3,Monthly!$C$35:$BJ$35)</f>
        <v>-60000</v>
      </c>
      <c r="C14" s="51" t="n">
        <f aca="false">SUMIF(Monthly!$C$5:$BJ$5,C$3,Monthly!$C$35:$BJ$35)</f>
        <v>-90000</v>
      </c>
      <c r="D14" s="51" t="n">
        <f aca="false">SUMIF(Monthly!$C$5:$BJ$5,D$3,Monthly!$C$35:$BJ$35)</f>
        <v>-120000</v>
      </c>
      <c r="E14" s="51" t="n">
        <f aca="false">SUMIF(Monthly!$C$5:$BJ$5,E$3,Monthly!$C$35:$BJ$35)</f>
        <v>-150000</v>
      </c>
      <c r="F14" s="51" t="n">
        <f aca="false">SUMIF(Monthly!$C$5:$BJ$5,F$3,Monthly!$C$35:$BJ$35)</f>
        <v>-180000</v>
      </c>
    </row>
    <row r="15" customFormat="false" ht="15" hidden="false" customHeight="false" outlineLevel="0" collapsed="false">
      <c r="A15" s="6" t="s">
        <v>283</v>
      </c>
      <c r="B15" s="51" t="n">
        <f aca="false">SUMIF(Monthly!$C$5:$BJ$5,B$3,Monthly!$C$36:$BJ$36)</f>
        <v>-48000</v>
      </c>
      <c r="C15" s="51" t="n">
        <f aca="false">SUMIF(Monthly!$C$5:$BJ$5,C$3,Monthly!$C$36:$BJ$36)</f>
        <v>-48000</v>
      </c>
      <c r="D15" s="51" t="n">
        <f aca="false">SUMIF(Monthly!$C$5:$BJ$5,D$3,Monthly!$C$36:$BJ$36)</f>
        <v>-48000</v>
      </c>
      <c r="E15" s="51" t="n">
        <f aca="false">SUMIF(Monthly!$C$5:$BJ$5,E$3,Monthly!$C$36:$BJ$36)</f>
        <v>-48000</v>
      </c>
      <c r="F15" s="51" t="n">
        <f aca="false">SUMIF(Monthly!$C$5:$BJ$5,F$3,Monthly!$C$36:$BJ$36)</f>
        <v>-48000</v>
      </c>
    </row>
    <row r="16" customFormat="false" ht="15" hidden="false" customHeight="false" outlineLevel="0" collapsed="false">
      <c r="A16" s="6" t="s">
        <v>284</v>
      </c>
      <c r="B16" s="51" t="n">
        <f aca="false">SUMIF(Monthly!$C$5:$BJ$5,B$3,Monthly!$C$37:$BJ$37)</f>
        <v>-96000</v>
      </c>
      <c r="C16" s="51" t="n">
        <f aca="false">SUMIF(Monthly!$C$5:$BJ$5,C$3,Monthly!$C$37:$BJ$37)</f>
        <v>-96000</v>
      </c>
      <c r="D16" s="51" t="n">
        <f aca="false">SUMIF(Monthly!$C$5:$BJ$5,D$3,Monthly!$C$37:$BJ$37)</f>
        <v>-96000</v>
      </c>
      <c r="E16" s="51" t="n">
        <f aca="false">SUMIF(Monthly!$C$5:$BJ$5,E$3,Monthly!$C$37:$BJ$37)</f>
        <v>-96000</v>
      </c>
      <c r="F16" s="51" t="n">
        <f aca="false">SUMIF(Monthly!$C$5:$BJ$5,F$3,Monthly!$C$37:$BJ$37)</f>
        <v>-96000</v>
      </c>
    </row>
    <row r="17" customFormat="false" ht="15" hidden="false" customHeight="false" outlineLevel="0" collapsed="false">
      <c r="A17" s="92" t="s">
        <v>74</v>
      </c>
      <c r="B17" s="52" t="n">
        <f aca="false">SUMIF(Monthly!$C$5:$BJ$5,B$3,Monthly!$C$38:$BJ$38)</f>
        <v>-2881171.14285714</v>
      </c>
      <c r="C17" s="52" t="n">
        <f aca="false">SUMIF(Monthly!$C$5:$BJ$5,C$3,Monthly!$C$38:$BJ$38)</f>
        <v>-3582127.21428571</v>
      </c>
      <c r="D17" s="52" t="n">
        <f aca="false">SUMIF(Monthly!$C$5:$BJ$5,D$3,Monthly!$C$38:$BJ$38)</f>
        <v>-4429385.593975</v>
      </c>
      <c r="E17" s="52" t="n">
        <f aca="false">SUMIF(Monthly!$C$5:$BJ$5,E$3,Monthly!$C$38:$BJ$38)</f>
        <v>-5460233.00688573</v>
      </c>
      <c r="F17" s="52" t="n">
        <f aca="false">SUMIF(Monthly!$C$5:$BJ$5,F$3,Monthly!$C$38:$BJ$38)</f>
        <v>-6721938.23522155</v>
      </c>
    </row>
    <row r="18" customFormat="false" ht="15" hidden="false" customHeight="false" outlineLevel="0" collapsed="false">
      <c r="A18" s="92" t="s">
        <v>45</v>
      </c>
      <c r="B18" s="52" t="n">
        <f aca="false">SUMIF(Monthly!$C$5:$BJ$5,B$3,Monthly!$C$39:$BJ$39)</f>
        <v>317495.714285714</v>
      </c>
      <c r="C18" s="52" t="n">
        <f aca="false">SUMIF(Monthly!$C$5:$BJ$5,C$3,Monthly!$C$39:$BJ$39)</f>
        <v>581743.742857143</v>
      </c>
      <c r="D18" s="52" t="n">
        <f aca="false">SUMIF(Monthly!$C$5:$BJ$5,D$3,Monthly!$C$39:$BJ$39)</f>
        <v>877367.823167858</v>
      </c>
      <c r="E18" s="52" t="n">
        <f aca="false">SUMIF(Monthly!$C$5:$BJ$5,E$3,Monthly!$C$39:$BJ$39)</f>
        <v>1209727.60713713</v>
      </c>
      <c r="F18" s="52" t="n">
        <f aca="false">SUMIF(Monthly!$C$5:$BJ$5,F$3,Monthly!$C$39:$BJ$39)</f>
        <v>1585116.67068342</v>
      </c>
    </row>
    <row r="19" customFormat="false" ht="15" hidden="false" customHeight="false" outlineLevel="0" collapsed="false">
      <c r="A19" s="38" t="s">
        <v>46</v>
      </c>
      <c r="B19" s="59" t="n">
        <f aca="false">IF(B5=0,0,B18/B5)</f>
        <v>0.0575700823217959</v>
      </c>
      <c r="C19" s="59" t="n">
        <f aca="false">IF(C5=0,0,C18/C5)</f>
        <v>0.0810330998078447</v>
      </c>
      <c r="D19" s="59" t="n">
        <f aca="false">IF(D5=0,0,D18/D5)</f>
        <v>0.0958916492696836</v>
      </c>
      <c r="E19" s="59" t="n">
        <f aca="false">IF(E5=0,0,E18/E5)</f>
        <v>0.105194326135061</v>
      </c>
      <c r="F19" s="59" t="n">
        <f aca="false">IF(F5=0,0,F18/F5)</f>
        <v>0.110673118139964</v>
      </c>
    </row>
    <row r="20" customFormat="false" ht="15" hidden="false" customHeight="false" outlineLevel="0" collapsed="false">
      <c r="A20" s="6" t="s">
        <v>75</v>
      </c>
      <c r="B20" s="51" t="n">
        <f aca="false">SUMIF(Monthly!$C$5:$BJ$5,B$3,Monthly!$C$53:$BJ$53)</f>
        <v>-50000</v>
      </c>
      <c r="C20" s="51" t="n">
        <f aca="false">SUMIF(Monthly!$C$5:$BJ$5,C$3,Monthly!$C$53:$BJ$53)</f>
        <v>-71428.5714285714</v>
      </c>
      <c r="D20" s="51" t="n">
        <f aca="false">SUMIF(Monthly!$C$5:$BJ$5,D$3,Monthly!$C$53:$BJ$53)</f>
        <v>-92857.1428571429</v>
      </c>
      <c r="E20" s="51" t="n">
        <f aca="false">SUMIF(Monthly!$C$5:$BJ$5,E$3,Monthly!$C$53:$BJ$53)</f>
        <v>-114285.714285714</v>
      </c>
      <c r="F20" s="51" t="n">
        <f aca="false">SUMIF(Monthly!$C$5:$BJ$5,F$3,Monthly!$C$53:$BJ$53)</f>
        <v>-135714.285714286</v>
      </c>
    </row>
    <row r="21" customFormat="false" ht="15" hidden="false" customHeight="false" outlineLevel="0" collapsed="false">
      <c r="A21" s="4" t="s">
        <v>76</v>
      </c>
      <c r="B21" s="58" t="n">
        <f aca="false">SUMIF(Monthly!$C$5:$BJ$5,B$3,Monthly!$C$42:$BJ$42)</f>
        <v>267495.714285714</v>
      </c>
      <c r="C21" s="58" t="n">
        <f aca="false">SUMIF(Monthly!$C$5:$BJ$5,C$3,Monthly!$C$42:$BJ$42)</f>
        <v>510315.171428572</v>
      </c>
      <c r="D21" s="58" t="n">
        <f aca="false">SUMIF(Monthly!$C$5:$BJ$5,D$3,Monthly!$C$42:$BJ$42)</f>
        <v>784510.680310715</v>
      </c>
      <c r="E21" s="58" t="n">
        <f aca="false">SUMIF(Monthly!$C$5:$BJ$5,E$3,Monthly!$C$42:$BJ$42)</f>
        <v>1095441.89285141</v>
      </c>
      <c r="F21" s="58" t="n">
        <f aca="false">SUMIF(Monthly!$C$5:$BJ$5,F$3,Monthly!$C$42:$BJ$42)</f>
        <v>1449402.38496914</v>
      </c>
    </row>
    <row r="22" customFormat="false" ht="15" hidden="false" customHeight="false" outlineLevel="0" collapsed="false">
      <c r="A22" s="6" t="s">
        <v>77</v>
      </c>
      <c r="B22" s="51" t="n">
        <f aca="false">SUMIF(Monthly!$C$5:$BJ$5,B$3,Monthly!$C$43:$BJ$43)</f>
        <v>-36638.8888888889</v>
      </c>
      <c r="C22" s="51" t="n">
        <f aca="false">SUMIF(Monthly!$C$5:$BJ$5,C$3,Monthly!$C$43:$BJ$43)</f>
        <v>-28666.6666666667</v>
      </c>
      <c r="D22" s="51" t="n">
        <f aca="false">SUMIF(Monthly!$C$5:$BJ$5,D$3,Monthly!$C$43:$BJ$43)</f>
        <v>-20666.6666666667</v>
      </c>
      <c r="E22" s="51" t="n">
        <f aca="false">SUMIF(Monthly!$C$5:$BJ$5,E$3,Monthly!$C$43:$BJ$43)</f>
        <v>-12666.6666666667</v>
      </c>
      <c r="F22" s="51" t="n">
        <f aca="false">SUMIF(Monthly!$C$5:$BJ$5,F$3,Monthly!$C$43:$BJ$43)</f>
        <v>-4666.6666666667</v>
      </c>
    </row>
    <row r="23" customFormat="false" ht="15" hidden="false" customHeight="false" outlineLevel="0" collapsed="false">
      <c r="A23" s="93" t="s">
        <v>78</v>
      </c>
      <c r="B23" s="94" t="n">
        <f aca="false">SUMIF(Monthly!$C$5:$BJ$5,B$3,Monthly!$C$44:$BJ$44)</f>
        <v>230856.825396825</v>
      </c>
      <c r="C23" s="94" t="n">
        <f aca="false">SUMIF(Monthly!$C$5:$BJ$5,C$3,Monthly!$C$44:$BJ$44)</f>
        <v>481648.504761905</v>
      </c>
      <c r="D23" s="94" t="n">
        <f aca="false">SUMIF(Monthly!$C$5:$BJ$5,D$3,Monthly!$C$44:$BJ$44)</f>
        <v>763844.013644049</v>
      </c>
      <c r="E23" s="94" t="n">
        <f aca="false">SUMIF(Monthly!$C$5:$BJ$5,E$3,Monthly!$C$44:$BJ$44)</f>
        <v>1082775.22618475</v>
      </c>
      <c r="F23" s="94" t="n">
        <f aca="false">SUMIF(Monthly!$C$5:$BJ$5,F$3,Monthly!$C$44:$BJ$44)</f>
        <v>1444735.71830247</v>
      </c>
    </row>
    <row r="24" customFormat="false" ht="15" hidden="false" customHeight="false" outlineLevel="0" collapsed="false">
      <c r="A24" s="6" t="s">
        <v>79</v>
      </c>
      <c r="B24" s="51" t="n">
        <f aca="false">SUMIF(Monthly!$C$5:$BJ$5,B$3,Monthly!$C$47:$BJ$47)</f>
        <v>-48479.9333333333</v>
      </c>
      <c r="C24" s="51" t="n">
        <f aca="false">SUMIF(Monthly!$C$5:$BJ$5,C$3,Monthly!$C$47:$BJ$47)</f>
        <v>-101146.186</v>
      </c>
      <c r="D24" s="51" t="n">
        <f aca="false">SUMIF(Monthly!$C$5:$BJ$5,D$3,Monthly!$C$47:$BJ$47)</f>
        <v>-160407.24286525</v>
      </c>
      <c r="E24" s="51" t="n">
        <f aca="false">SUMIF(Monthly!$C$5:$BJ$5,E$3,Monthly!$C$47:$BJ$47)</f>
        <v>-227382.797498797</v>
      </c>
      <c r="F24" s="51" t="n">
        <f aca="false">SUMIF(Monthly!$C$5:$BJ$5,F$3,Monthly!$C$47:$BJ$47)</f>
        <v>-303394.500843519</v>
      </c>
    </row>
    <row r="25" customFormat="false" ht="15" hidden="false" customHeight="false" outlineLevel="0" collapsed="false">
      <c r="A25" s="54" t="s">
        <v>47</v>
      </c>
      <c r="B25" s="55" t="n">
        <f aca="false">SUMIF(Monthly!$C$5:$BJ$5,B$3,Monthly!$C$48:$BJ$48)</f>
        <v>182376.892063492</v>
      </c>
      <c r="C25" s="55" t="n">
        <f aca="false">SUMIF(Monthly!$C$5:$BJ$5,C$3,Monthly!$C$48:$BJ$48)</f>
        <v>380502.318761905</v>
      </c>
      <c r="D25" s="55" t="n">
        <f aca="false">SUMIF(Monthly!$C$5:$BJ$5,D$3,Monthly!$C$48:$BJ$48)</f>
        <v>603436.770778798</v>
      </c>
      <c r="E25" s="55" t="n">
        <f aca="false">SUMIF(Monthly!$C$5:$BJ$5,E$3,Monthly!$C$48:$BJ$48)</f>
        <v>855392.428685951</v>
      </c>
      <c r="F25" s="55" t="n">
        <f aca="false">SUMIF(Monthly!$C$5:$BJ$5,F$3,Monthly!$C$48:$BJ$48)</f>
        <v>1141341.21745895</v>
      </c>
    </row>
    <row r="26" customFormat="false" ht="15" hidden="false" customHeight="false" outlineLevel="0" collapsed="false">
      <c r="A26" s="38" t="s">
        <v>48</v>
      </c>
      <c r="B26" s="59" t="n">
        <f aca="false">IF(B5=0,0,B25/B5)</f>
        <v>0.0330695887133773</v>
      </c>
      <c r="C26" s="59" t="n">
        <f aca="false">IF(C5=0,0,C25/C5)</f>
        <v>0.0530014851933206</v>
      </c>
      <c r="D26" s="59" t="n">
        <f aca="false">IF(D5=0,0,D25/D5)</f>
        <v>0.0659524382499269</v>
      </c>
      <c r="E26" s="59" t="n">
        <f aca="false">IF(E5=0,0,E25/E5)</f>
        <v>0.0743823895443697</v>
      </c>
      <c r="F26" s="59" t="n">
        <f aca="false">IF(F5=0,0,F25/F5)</f>
        <v>0.0796886397916586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276</v>
      </c>
    </row>
    <row r="3" customFormat="false" ht="15" hidden="false" customHeight="false" outlineLevel="0" collapsed="false">
      <c r="A3" s="56" t="s">
        <v>121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122</v>
      </c>
      <c r="C4" s="57" t="s">
        <v>123</v>
      </c>
      <c r="D4" s="57" t="s">
        <v>124</v>
      </c>
      <c r="E4" s="57" t="s">
        <v>125</v>
      </c>
      <c r="F4" s="57" t="s">
        <v>126</v>
      </c>
    </row>
    <row r="5" customFormat="false" ht="15" hidden="false" customHeight="false" outlineLevel="0" collapsed="false">
      <c r="A5" s="6" t="s">
        <v>47</v>
      </c>
      <c r="B5" s="51" t="n">
        <f aca="false">SUMIF(Monthly!$C$5:$BJ$5,B$3,Monthly!$C$48:$BJ$48)</f>
        <v>182376.892063492</v>
      </c>
      <c r="C5" s="51" t="n">
        <f aca="false">SUMIF(Monthly!$C$5:$BJ$5,C$3,Monthly!$C$48:$BJ$48)</f>
        <v>380502.318761905</v>
      </c>
      <c r="D5" s="51" t="n">
        <f aca="false">SUMIF(Monthly!$C$5:$BJ$5,D$3,Monthly!$C$48:$BJ$48)</f>
        <v>603436.770778798</v>
      </c>
      <c r="E5" s="51" t="n">
        <f aca="false">SUMIF(Monthly!$C$5:$BJ$5,E$3,Monthly!$C$48:$BJ$48)</f>
        <v>855392.428685951</v>
      </c>
      <c r="F5" s="51" t="n">
        <f aca="false">SUMIF(Monthly!$C$5:$BJ$5,F$3,Monthly!$C$48:$BJ$48)</f>
        <v>1141341.21745895</v>
      </c>
    </row>
    <row r="6" customFormat="false" ht="15" hidden="false" customHeight="false" outlineLevel="0" collapsed="false">
      <c r="A6" s="6" t="s">
        <v>285</v>
      </c>
      <c r="B6" s="51" t="n">
        <f aca="false">-SUMIF(Monthly!$C$5:$BJ$5,B$3,Monthly!$C$53:$BJ$53)</f>
        <v>50000</v>
      </c>
      <c r="C6" s="51" t="n">
        <f aca="false">-SUMIF(Monthly!$C$5:$BJ$5,C$3,Monthly!$C$53:$BJ$53)</f>
        <v>71428.5714285714</v>
      </c>
      <c r="D6" s="51" t="n">
        <f aca="false">-SUMIF(Monthly!$C$5:$BJ$5,D$3,Monthly!$C$53:$BJ$53)</f>
        <v>92857.1428571429</v>
      </c>
      <c r="E6" s="51" t="n">
        <f aca="false">-SUMIF(Monthly!$C$5:$BJ$5,E$3,Monthly!$C$53:$BJ$53)</f>
        <v>114285.714285714</v>
      </c>
      <c r="F6" s="51" t="n">
        <f aca="false">-SUMIF(Monthly!$C$5:$BJ$5,F$3,Monthly!$C$53:$BJ$53)</f>
        <v>135714.285714286</v>
      </c>
    </row>
    <row r="7" customFormat="false" ht="15" hidden="false" customHeight="false" outlineLevel="0" collapsed="false">
      <c r="A7" s="6" t="s">
        <v>286</v>
      </c>
      <c r="B7" s="51" t="n">
        <f aca="false">SUMIF(Monthly!$C$5:$BJ$5,B$3,Monthly!$C$67:$BJ$67)</f>
        <v>-36214.0714285714</v>
      </c>
      <c r="C7" s="51" t="n">
        <f aca="false">SUMIF(Monthly!$C$5:$BJ$5,C$3,Monthly!$C$67:$BJ$67)</f>
        <v>-11208.825</v>
      </c>
      <c r="D7" s="51" t="n">
        <f aca="false">SUMIF(Monthly!$C$5:$BJ$5,D$3,Monthly!$C$67:$BJ$67)</f>
        <v>-13239.855</v>
      </c>
      <c r="E7" s="51" t="n">
        <f aca="false">SUMIF(Monthly!$C$5:$BJ$5,E$3,Monthly!$C$67:$BJ$67)</f>
        <v>-15761.2797</v>
      </c>
      <c r="F7" s="51" t="n">
        <f aca="false">SUMIF(Monthly!$C$5:$BJ$5,F$3,Monthly!$C$67:$BJ$67)</f>
        <v>-18899.92213605</v>
      </c>
    </row>
    <row r="8" customFormat="false" ht="15" hidden="false" customHeight="false" outlineLevel="0" collapsed="false">
      <c r="A8" s="6" t="s">
        <v>287</v>
      </c>
      <c r="B8" s="51" t="n">
        <f aca="false">SUMIF(Monthly!$C$5:$BJ$5,B$3,Monthly!$C$68:$BJ$68)</f>
        <v>-570371.625</v>
      </c>
      <c r="C8" s="51" t="n">
        <f aca="false">SUMIF(Monthly!$C$5:$BJ$5,C$3,Monthly!$C$68:$BJ$68)</f>
        <v>-176538.99375</v>
      </c>
      <c r="D8" s="51" t="n">
        <f aca="false">SUMIF(Monthly!$C$5:$BJ$5,D$3,Monthly!$C$68:$BJ$68)</f>
        <v>-208527.71625</v>
      </c>
      <c r="E8" s="51" t="n">
        <f aca="false">SUMIF(Monthly!$C$5:$BJ$5,E$3,Monthly!$C$68:$BJ$68)</f>
        <v>-248240.155275</v>
      </c>
      <c r="F8" s="51" t="n">
        <f aca="false">SUMIF(Monthly!$C$5:$BJ$5,F$3,Monthly!$C$68:$BJ$68)</f>
        <v>-297673.773642788</v>
      </c>
    </row>
    <row r="9" customFormat="false" ht="15" hidden="false" customHeight="false" outlineLevel="0" collapsed="false">
      <c r="A9" s="6" t="s">
        <v>288</v>
      </c>
      <c r="B9" s="51" t="n">
        <f aca="false">SUMIF(Monthly!$C$5:$BJ$5,B$3,Monthly!$C$69:$BJ$69)</f>
        <v>228148.65</v>
      </c>
      <c r="C9" s="51" t="n">
        <f aca="false">SUMIF(Monthly!$C$5:$BJ$5,C$3,Monthly!$C$69:$BJ$69)</f>
        <v>70615.5975</v>
      </c>
      <c r="D9" s="51" t="n">
        <f aca="false">SUMIF(Monthly!$C$5:$BJ$5,D$3,Monthly!$C$69:$BJ$69)</f>
        <v>83411.0865</v>
      </c>
      <c r="E9" s="51" t="n">
        <f aca="false">SUMIF(Monthly!$C$5:$BJ$5,E$3,Monthly!$C$69:$BJ$69)</f>
        <v>99296.06211</v>
      </c>
      <c r="F9" s="51" t="n">
        <f aca="false">SUMIF(Monthly!$C$5:$BJ$5,F$3,Monthly!$C$69:$BJ$69)</f>
        <v>119069.509457115</v>
      </c>
    </row>
    <row r="10" customFormat="false" ht="15" hidden="false" customHeight="false" outlineLevel="0" collapsed="false">
      <c r="A10" s="92" t="s">
        <v>49</v>
      </c>
      <c r="B10" s="52" t="n">
        <f aca="false">SUMIF(Monthly!$C$5:$BJ$5,B$3,Monthly!$C$72:$BJ$72)</f>
        <v>-146060.154365079</v>
      </c>
      <c r="C10" s="52" t="n">
        <f aca="false">SUMIF(Monthly!$C$5:$BJ$5,C$3,Monthly!$C$72:$BJ$72)</f>
        <v>334798.668940476</v>
      </c>
      <c r="D10" s="52" t="n">
        <f aca="false">SUMIF(Monthly!$C$5:$BJ$5,D$3,Monthly!$C$72:$BJ$72)</f>
        <v>557937.428885941</v>
      </c>
      <c r="E10" s="52" t="n">
        <f aca="false">SUMIF(Monthly!$C$5:$BJ$5,E$3,Monthly!$C$72:$BJ$72)</f>
        <v>804972.770106665</v>
      </c>
      <c r="F10" s="52" t="n">
        <f aca="false">SUMIF(Monthly!$C$5:$BJ$5,F$3,Monthly!$C$72:$BJ$72)</f>
        <v>1079551.31685151</v>
      </c>
    </row>
    <row r="11" customFormat="false" ht="15" hidden="false" customHeight="false" outlineLevel="0" collapsed="false">
      <c r="A11" s="6" t="s">
        <v>81</v>
      </c>
      <c r="B11" s="51" t="n">
        <f aca="false">SUMIF(Monthly!$C$5:$BJ$5,B$3,Monthly!$C$73:$BJ$73)</f>
        <v>-350000</v>
      </c>
      <c r="C11" s="51" t="n">
        <f aca="false">SUMIF(Monthly!$C$5:$BJ$5,C$3,Monthly!$C$73:$BJ$73)</f>
        <v>-150000</v>
      </c>
      <c r="D11" s="51" t="n">
        <f aca="false">SUMIF(Monthly!$C$5:$BJ$5,D$3,Monthly!$C$73:$BJ$73)</f>
        <v>-150000</v>
      </c>
      <c r="E11" s="51" t="n">
        <f aca="false">SUMIF(Monthly!$C$5:$BJ$5,E$3,Monthly!$C$73:$BJ$73)</f>
        <v>-150000</v>
      </c>
      <c r="F11" s="51" t="n">
        <f aca="false">SUMIF(Monthly!$C$5:$BJ$5,F$3,Monthly!$C$73:$BJ$73)</f>
        <v>-150000</v>
      </c>
    </row>
    <row r="12" customFormat="false" ht="15" hidden="false" customHeight="false" outlineLevel="0" collapsed="false">
      <c r="A12" s="6" t="s">
        <v>61</v>
      </c>
      <c r="B12" s="51" t="n">
        <f aca="false">SUMIF(Monthly!$C$5:$BJ$5,B$3,Monthly!$C$74:$BJ$74)</f>
        <v>1500000</v>
      </c>
      <c r="C12" s="51" t="n">
        <f aca="false">SUMIF(Monthly!$C$5:$BJ$5,C$3,Monthly!$C$74:$BJ$74)</f>
        <v>0</v>
      </c>
      <c r="D12" s="51" t="n">
        <f aca="false">SUMIF(Monthly!$C$5:$BJ$5,D$3,Monthly!$C$74:$BJ$74)</f>
        <v>0</v>
      </c>
      <c r="E12" s="51" t="n">
        <f aca="false">SUMIF(Monthly!$C$5:$BJ$5,E$3,Monthly!$C$74:$BJ$74)</f>
        <v>0</v>
      </c>
      <c r="F12" s="51" t="n">
        <f aca="false">SUMIF(Monthly!$C$5:$BJ$5,F$3,Monthly!$C$74:$BJ$74)</f>
        <v>0</v>
      </c>
    </row>
    <row r="13" customFormat="false" ht="15" hidden="false" customHeight="false" outlineLevel="0" collapsed="false">
      <c r="A13" s="6" t="s">
        <v>82</v>
      </c>
      <c r="B13" s="51" t="n">
        <f aca="false">SUMIF(Monthly!$C$5:$BJ$5,B$3,Monthly!$C$59:$BJ$59)</f>
        <v>500000</v>
      </c>
      <c r="C13" s="51" t="n">
        <f aca="false">SUMIF(Monthly!$C$5:$BJ$5,C$3,Monthly!$C$59:$BJ$59)</f>
        <v>0</v>
      </c>
      <c r="D13" s="51" t="n">
        <f aca="false">SUMIF(Monthly!$C$5:$BJ$5,D$3,Monthly!$C$59:$BJ$59)</f>
        <v>0</v>
      </c>
      <c r="E13" s="51" t="n">
        <f aca="false">SUMIF(Monthly!$C$5:$BJ$5,E$3,Monthly!$C$59:$BJ$59)</f>
        <v>0</v>
      </c>
      <c r="F13" s="51" t="n">
        <f aca="false">SUMIF(Monthly!$C$5:$BJ$5,F$3,Monthly!$C$59:$BJ$59)</f>
        <v>0</v>
      </c>
    </row>
    <row r="14" customFormat="false" ht="15" hidden="false" customHeight="false" outlineLevel="0" collapsed="false">
      <c r="A14" s="6" t="s">
        <v>83</v>
      </c>
      <c r="B14" s="51" t="n">
        <f aca="false">SUMIF(Monthly!$C$5:$BJ$5,B$3,Monthly!$C$60:$BJ$60)</f>
        <v>-91666.6666666667</v>
      </c>
      <c r="C14" s="51" t="n">
        <f aca="false">SUMIF(Monthly!$C$5:$BJ$5,C$3,Monthly!$C$60:$BJ$60)</f>
        <v>-100000</v>
      </c>
      <c r="D14" s="51" t="n">
        <f aca="false">SUMIF(Monthly!$C$5:$BJ$5,D$3,Monthly!$C$60:$BJ$60)</f>
        <v>-100000</v>
      </c>
      <c r="E14" s="51" t="n">
        <f aca="false">SUMIF(Monthly!$C$5:$BJ$5,E$3,Monthly!$C$60:$BJ$60)</f>
        <v>-100000</v>
      </c>
      <c r="F14" s="51" t="n">
        <f aca="false">SUMIF(Monthly!$C$5:$BJ$5,F$3,Monthly!$C$60:$BJ$60)</f>
        <v>-100000</v>
      </c>
    </row>
    <row r="15" customFormat="false" ht="15" hidden="false" customHeight="false" outlineLevel="0" collapsed="false">
      <c r="A15" s="92" t="s">
        <v>51</v>
      </c>
      <c r="B15" s="52" t="n">
        <f aca="false">SUMIF(Monthly!$C$5:$BJ$5,B$3,Monthly!$C$75:$BJ$75)</f>
        <v>1908333.33333333</v>
      </c>
      <c r="C15" s="52" t="n">
        <f aca="false">SUMIF(Monthly!$C$5:$BJ$5,C$3,Monthly!$C$75:$BJ$75)</f>
        <v>-100000</v>
      </c>
      <c r="D15" s="52" t="n">
        <f aca="false">SUMIF(Monthly!$C$5:$BJ$5,D$3,Monthly!$C$75:$BJ$75)</f>
        <v>-100000</v>
      </c>
      <c r="E15" s="52" t="n">
        <f aca="false">SUMIF(Monthly!$C$5:$BJ$5,E$3,Monthly!$C$75:$BJ$75)</f>
        <v>-100000</v>
      </c>
      <c r="F15" s="52" t="n">
        <f aca="false">SUMIF(Monthly!$C$5:$BJ$5,F$3,Monthly!$C$75:$BJ$75)</f>
        <v>-100000</v>
      </c>
    </row>
    <row r="16" customFormat="false" ht="15" hidden="false" customHeight="false" outlineLevel="0" collapsed="false">
      <c r="A16" s="4" t="s">
        <v>52</v>
      </c>
      <c r="B16" s="58" t="n">
        <f aca="false">SUMIF(Monthly!$C$5:$BJ$5,B$3,Monthly!$C$76:$BJ$76)</f>
        <v>1412273.17896825</v>
      </c>
      <c r="C16" s="58" t="n">
        <f aca="false">SUMIF(Monthly!$C$5:$BJ$5,C$3,Monthly!$C$76:$BJ$76)</f>
        <v>84798.6689404764</v>
      </c>
      <c r="D16" s="58" t="n">
        <f aca="false">SUMIF(Monthly!$C$5:$BJ$5,D$3,Monthly!$C$76:$BJ$76)</f>
        <v>307937.428885941</v>
      </c>
      <c r="E16" s="58" t="n">
        <f aca="false">SUMIF(Monthly!$C$5:$BJ$5,E$3,Monthly!$C$76:$BJ$76)</f>
        <v>554972.770106665</v>
      </c>
      <c r="F16" s="58" t="n">
        <f aca="false">SUMIF(Monthly!$C$5:$BJ$5,F$3,Monthly!$C$76:$BJ$76)</f>
        <v>829551.316851515</v>
      </c>
    </row>
    <row r="17" customFormat="false" ht="15" hidden="false" customHeight="false" outlineLevel="0" collapsed="false">
      <c r="A17" s="6" t="s">
        <v>289</v>
      </c>
      <c r="B17" s="51" t="n">
        <f aca="false">INDEX(Monthly!$C$77:$BJ$77,(B$3-1)*12+1)</f>
        <v>0</v>
      </c>
      <c r="C17" s="51" t="n">
        <f aca="false">INDEX(Monthly!$C$77:$BJ$77,(C$3-1)*12+1)</f>
        <v>1412273.17896825</v>
      </c>
      <c r="D17" s="51" t="n">
        <f aca="false">INDEX(Monthly!$C$77:$BJ$77,(D$3-1)*12+1)</f>
        <v>1497071.84790873</v>
      </c>
      <c r="E17" s="51" t="n">
        <f aca="false">INDEX(Monthly!$C$77:$BJ$77,(E$3-1)*12+1)</f>
        <v>1805009.27679467</v>
      </c>
      <c r="F17" s="51" t="n">
        <f aca="false">INDEX(Monthly!$C$77:$BJ$77,(F$3-1)*12+1)</f>
        <v>2359982.04690134</v>
      </c>
    </row>
    <row r="18" customFormat="false" ht="15" hidden="false" customHeight="false" outlineLevel="0" collapsed="false">
      <c r="A18" s="54" t="s">
        <v>84</v>
      </c>
      <c r="B18" s="55" t="n">
        <f aca="false">INDEX(Monthly!$C$78:$BJ$78,B$3*12)</f>
        <v>1412273.17896825</v>
      </c>
      <c r="C18" s="55" t="n">
        <f aca="false">INDEX(Monthly!$C$78:$BJ$78,C$3*12)</f>
        <v>1497071.84790873</v>
      </c>
      <c r="D18" s="55" t="n">
        <f aca="false">INDEX(Monthly!$C$78:$BJ$78,D$3*12)</f>
        <v>1805009.27679467</v>
      </c>
      <c r="E18" s="55" t="n">
        <f aca="false">INDEX(Monthly!$C$78:$BJ$78,E$3*12)</f>
        <v>2359982.04690134</v>
      </c>
      <c r="F18" s="55" t="n">
        <f aca="false">INDEX(Monthly!$C$78:$BJ$78,F$3*12)</f>
        <v>3189533.36375285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276</v>
      </c>
    </row>
    <row r="3" customFormat="false" ht="15" hidden="false" customHeight="false" outlineLevel="0" collapsed="false">
      <c r="A3" s="56" t="s">
        <v>121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122</v>
      </c>
      <c r="C4" s="57" t="s">
        <v>123</v>
      </c>
      <c r="D4" s="57" t="s">
        <v>124</v>
      </c>
      <c r="E4" s="57" t="s">
        <v>125</v>
      </c>
      <c r="F4" s="57" t="s">
        <v>126</v>
      </c>
    </row>
    <row r="5" customFormat="false" ht="15" hidden="false" customHeight="false" outlineLevel="0" collapsed="false">
      <c r="A5" s="6" t="s">
        <v>86</v>
      </c>
      <c r="B5" s="51" t="n">
        <f aca="false">INDEX(Monthly!$C$78:$BJ$78,B$3*12)</f>
        <v>1412273.17896825</v>
      </c>
      <c r="C5" s="51" t="n">
        <f aca="false">INDEX(Monthly!$C$78:$BJ$78,C$3*12)</f>
        <v>1497071.84790873</v>
      </c>
      <c r="D5" s="51" t="n">
        <f aca="false">INDEX(Monthly!$C$78:$BJ$78,D$3*12)</f>
        <v>1805009.27679467</v>
      </c>
      <c r="E5" s="51" t="n">
        <f aca="false">INDEX(Monthly!$C$78:$BJ$78,E$3*12)</f>
        <v>2359982.04690134</v>
      </c>
      <c r="F5" s="51" t="n">
        <f aca="false">INDEX(Monthly!$C$78:$BJ$78,F$3*12)</f>
        <v>3189533.36375285</v>
      </c>
    </row>
    <row r="6" customFormat="false" ht="15" hidden="false" customHeight="false" outlineLevel="0" collapsed="false">
      <c r="A6" s="6" t="s">
        <v>87</v>
      </c>
      <c r="B6" s="51" t="n">
        <f aca="false">INDEX(Monthly!$C$64:$BJ$64,B$3*12)</f>
        <v>36214.0714285714</v>
      </c>
      <c r="C6" s="51" t="n">
        <f aca="false">INDEX(Monthly!$C$64:$BJ$64,C$3*12)</f>
        <v>47422.8964285714</v>
      </c>
      <c r="D6" s="51" t="n">
        <f aca="false">INDEX(Monthly!$C$64:$BJ$64,D$3*12)</f>
        <v>60662.7514285714</v>
      </c>
      <c r="E6" s="51" t="n">
        <f aca="false">INDEX(Monthly!$C$64:$BJ$64,E$3*12)</f>
        <v>76424.0311285714</v>
      </c>
      <c r="F6" s="51" t="n">
        <f aca="false">INDEX(Monthly!$C$64:$BJ$64,F$3*12)</f>
        <v>95323.9532646214</v>
      </c>
    </row>
    <row r="7" customFormat="false" ht="15" hidden="false" customHeight="false" outlineLevel="0" collapsed="false">
      <c r="A7" s="6" t="s">
        <v>88</v>
      </c>
      <c r="B7" s="51" t="n">
        <f aca="false">INDEX(Monthly!$C$65:$BJ$65,B$3*12)</f>
        <v>570371.625</v>
      </c>
      <c r="C7" s="51" t="n">
        <f aca="false">INDEX(Monthly!$C$65:$BJ$65,C$3*12)</f>
        <v>746910.61875</v>
      </c>
      <c r="D7" s="51" t="n">
        <f aca="false">INDEX(Monthly!$C$65:$BJ$65,D$3*12)</f>
        <v>955438.335</v>
      </c>
      <c r="E7" s="51" t="n">
        <f aca="false">INDEX(Monthly!$C$65:$BJ$65,E$3*12)</f>
        <v>1203678.490275</v>
      </c>
      <c r="F7" s="51" t="n">
        <f aca="false">INDEX(Monthly!$C$65:$BJ$65,F$3*12)</f>
        <v>1501352.26391779</v>
      </c>
    </row>
    <row r="8" customFormat="false" ht="15" hidden="false" customHeight="false" outlineLevel="0" collapsed="false">
      <c r="A8" s="6" t="s">
        <v>89</v>
      </c>
      <c r="B8" s="51" t="n">
        <f aca="false">INDEX(Monthly!$C$55:$BJ$55,B$3*12)</f>
        <v>300000</v>
      </c>
      <c r="C8" s="51" t="n">
        <f aca="false">INDEX(Monthly!$C$55:$BJ$55,C$3*12)</f>
        <v>378571.428571429</v>
      </c>
      <c r="D8" s="51" t="n">
        <f aca="false">INDEX(Monthly!$C$55:$BJ$55,D$3*12)</f>
        <v>435714.285714286</v>
      </c>
      <c r="E8" s="51" t="n">
        <f aca="false">INDEX(Monthly!$C$55:$BJ$55,E$3*12)</f>
        <v>471428.571428572</v>
      </c>
      <c r="F8" s="51" t="n">
        <f aca="false">INDEX(Monthly!$C$55:$BJ$55,F$3*12)</f>
        <v>485714.285714286</v>
      </c>
    </row>
    <row r="9" customFormat="false" ht="15" hidden="false" customHeight="false" outlineLevel="0" collapsed="false">
      <c r="A9" s="92" t="s">
        <v>90</v>
      </c>
      <c r="B9" s="52" t="n">
        <f aca="false">INDEX(Monthly!$C$92:$BJ$92,B$3*12)</f>
        <v>2318858.87539683</v>
      </c>
      <c r="C9" s="52" t="n">
        <f aca="false">INDEX(Monthly!$C$92:$BJ$92,C$3*12)</f>
        <v>2669976.79165873</v>
      </c>
      <c r="D9" s="52" t="n">
        <f aca="false">INDEX(Monthly!$C$92:$BJ$92,D$3*12)</f>
        <v>3256824.64893753</v>
      </c>
      <c r="E9" s="52" t="n">
        <f aca="false">INDEX(Monthly!$C$92:$BJ$92,E$3*12)</f>
        <v>4111513.13973348</v>
      </c>
      <c r="F9" s="52" t="n">
        <f aca="false">INDEX(Monthly!$C$92:$BJ$92,F$3*12)</f>
        <v>5271923.86664955</v>
      </c>
    </row>
    <row r="10" customFormat="false" ht="15" hidden="false" customHeight="false" outlineLevel="0" collapsed="false">
      <c r="A10" s="6" t="s">
        <v>91</v>
      </c>
      <c r="B10" s="51" t="n">
        <f aca="false">INDEX(Monthly!$C$66:$BJ$66,B$3*12)</f>
        <v>228148.65</v>
      </c>
      <c r="C10" s="51" t="n">
        <f aca="false">INDEX(Monthly!$C$66:$BJ$66,C$3*12)</f>
        <v>298764.2475</v>
      </c>
      <c r="D10" s="51" t="n">
        <f aca="false">INDEX(Monthly!$C$66:$BJ$66,D$3*12)</f>
        <v>382175.334</v>
      </c>
      <c r="E10" s="51" t="n">
        <f aca="false">INDEX(Monthly!$C$66:$BJ$66,E$3*12)</f>
        <v>481471.39611</v>
      </c>
      <c r="F10" s="51" t="n">
        <f aca="false">INDEX(Monthly!$C$66:$BJ$66,F$3*12)</f>
        <v>600540.905567115</v>
      </c>
    </row>
    <row r="11" customFormat="false" ht="15" hidden="false" customHeight="false" outlineLevel="0" collapsed="false">
      <c r="A11" s="6" t="s">
        <v>92</v>
      </c>
      <c r="B11" s="51" t="n">
        <f aca="false">INDEX(Monthly!$C$61:$BJ$61,B$3*12)</f>
        <v>408333.333333334</v>
      </c>
      <c r="C11" s="51" t="n">
        <f aca="false">INDEX(Monthly!$C$61:$BJ$61,C$3*12)</f>
        <v>308333.333333334</v>
      </c>
      <c r="D11" s="51" t="n">
        <f aca="false">INDEX(Monthly!$C$61:$BJ$61,D$3*12)</f>
        <v>208333.333333334</v>
      </c>
      <c r="E11" s="51" t="n">
        <f aca="false">INDEX(Monthly!$C$61:$BJ$61,E$3*12)</f>
        <v>108333.333333334</v>
      </c>
      <c r="F11" s="51" t="n">
        <f aca="false">INDEX(Monthly!$C$61:$BJ$61,F$3*12)</f>
        <v>8333.33333333375</v>
      </c>
    </row>
    <row r="12" customFormat="false" ht="15" hidden="false" customHeight="false" outlineLevel="0" collapsed="false">
      <c r="A12" s="93" t="s">
        <v>93</v>
      </c>
      <c r="B12" s="94" t="n">
        <f aca="false">INDEX(Monthly!$C$93:$BJ$93,B$3*12)</f>
        <v>636481.983333334</v>
      </c>
      <c r="C12" s="94" t="n">
        <f aca="false">INDEX(Monthly!$C$93:$BJ$93,C$3*12)</f>
        <v>607097.580833334</v>
      </c>
      <c r="D12" s="94" t="n">
        <f aca="false">INDEX(Monthly!$C$93:$BJ$93,D$3*12)</f>
        <v>590508.667333334</v>
      </c>
      <c r="E12" s="94" t="n">
        <f aca="false">INDEX(Monthly!$C$93:$BJ$93,E$3*12)</f>
        <v>589804.729443334</v>
      </c>
      <c r="F12" s="94" t="n">
        <f aca="false">INDEX(Monthly!$C$93:$BJ$93,F$3*12)</f>
        <v>608874.238900449</v>
      </c>
    </row>
    <row r="13" customFormat="false" ht="15" hidden="false" customHeight="false" outlineLevel="0" collapsed="false">
      <c r="A13" s="6" t="s">
        <v>94</v>
      </c>
      <c r="B13" s="51" t="n">
        <f aca="false">INDEX(Monthly!$C$90:$BJ$90,B$3*12)</f>
        <v>1500000</v>
      </c>
      <c r="C13" s="51" t="n">
        <f aca="false">INDEX(Monthly!$C$90:$BJ$90,C$3*12)</f>
        <v>1500000</v>
      </c>
      <c r="D13" s="51" t="n">
        <f aca="false">INDEX(Monthly!$C$90:$BJ$90,D$3*12)</f>
        <v>1500000</v>
      </c>
      <c r="E13" s="51" t="n">
        <f aca="false">INDEX(Monthly!$C$90:$BJ$90,E$3*12)</f>
        <v>1500000</v>
      </c>
      <c r="F13" s="51" t="n">
        <f aca="false">INDEX(Monthly!$C$90:$BJ$90,F$3*12)</f>
        <v>1500000</v>
      </c>
    </row>
    <row r="14" customFormat="false" ht="15" hidden="false" customHeight="false" outlineLevel="0" collapsed="false">
      <c r="A14" s="6" t="s">
        <v>95</v>
      </c>
      <c r="B14" s="51" t="n">
        <f aca="false">INDEX(Monthly!$C$91:$BJ$91,B$3*12)</f>
        <v>182376.892063492</v>
      </c>
      <c r="C14" s="51" t="n">
        <f aca="false">INDEX(Monthly!$C$91:$BJ$91,C$3*12)</f>
        <v>562879.210825397</v>
      </c>
      <c r="D14" s="51" t="n">
        <f aca="false">INDEX(Monthly!$C$91:$BJ$91,D$3*12)</f>
        <v>1166315.9816042</v>
      </c>
      <c r="E14" s="51" t="n">
        <f aca="false">INDEX(Monthly!$C$91:$BJ$91,E$3*12)</f>
        <v>2021708.41029015</v>
      </c>
      <c r="F14" s="51" t="n">
        <f aca="false">INDEX(Monthly!$C$91:$BJ$91,F$3*12)</f>
        <v>3163049.6277491</v>
      </c>
    </row>
    <row r="15" customFormat="false" ht="15" hidden="false" customHeight="false" outlineLevel="0" collapsed="false">
      <c r="A15" s="93" t="s">
        <v>96</v>
      </c>
      <c r="B15" s="94" t="n">
        <f aca="false">INDEX(Monthly!$C$94:$BJ$94,B$3*12)</f>
        <v>1682376.89206349</v>
      </c>
      <c r="C15" s="94" t="n">
        <f aca="false">INDEX(Monthly!$C$94:$BJ$94,C$3*12)</f>
        <v>2062879.2108254</v>
      </c>
      <c r="D15" s="94" t="n">
        <f aca="false">INDEX(Monthly!$C$94:$BJ$94,D$3*12)</f>
        <v>2666315.9816042</v>
      </c>
      <c r="E15" s="94" t="n">
        <f aca="false">INDEX(Monthly!$C$94:$BJ$94,E$3*12)</f>
        <v>3521708.41029015</v>
      </c>
      <c r="F15" s="94" t="n">
        <f aca="false">INDEX(Monthly!$C$94:$BJ$94,F$3*12)</f>
        <v>4663049.6277491</v>
      </c>
    </row>
    <row r="16" customFormat="false" ht="15" hidden="false" customHeight="false" outlineLevel="0" collapsed="false">
      <c r="A16" s="54" t="s">
        <v>97</v>
      </c>
      <c r="B16" s="55" t="n">
        <f aca="false">INDEX(Monthly!$C$95:$BJ$95,B$3*12)</f>
        <v>2318858.87539683</v>
      </c>
      <c r="C16" s="55" t="n">
        <f aca="false">INDEX(Monthly!$C$95:$BJ$95,C$3*12)</f>
        <v>2669976.79165873</v>
      </c>
      <c r="D16" s="55" t="n">
        <f aca="false">INDEX(Monthly!$C$95:$BJ$95,D$3*12)</f>
        <v>3256824.64893753</v>
      </c>
      <c r="E16" s="55" t="n">
        <f aca="false">INDEX(Monthly!$C$95:$BJ$95,E$3*12)</f>
        <v>4111513.13973348</v>
      </c>
      <c r="F16" s="55" t="n">
        <f aca="false">INDEX(Monthly!$C$95:$BJ$95,F$3*12)</f>
        <v>5271923.86664955</v>
      </c>
    </row>
    <row r="17" customFormat="false" ht="15" hidden="false" customHeight="false" outlineLevel="0" collapsed="false">
      <c r="A17" s="6" t="s">
        <v>290</v>
      </c>
      <c r="B17" s="51" t="n">
        <f aca="false">INDEX(Monthly!$C$96:$BJ$96,B$3*12)</f>
        <v>0</v>
      </c>
      <c r="C17" s="51" t="n">
        <f aca="false">INDEX(Monthly!$C$96:$BJ$96,C$3*12)</f>
        <v>0</v>
      </c>
      <c r="D17" s="51" t="n">
        <f aca="false">INDEX(Monthly!$C$96:$BJ$96,D$3*12)</f>
        <v>0</v>
      </c>
      <c r="E17" s="51" t="n">
        <f aca="false">INDEX(Monthly!$C$96:$BJ$96,E$3*12)</f>
        <v>0</v>
      </c>
      <c r="F17" s="51" t="n">
        <f aca="false">INDEX(Monthly!$C$96:$BJ$96,F$3*12)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291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292</v>
      </c>
    </row>
    <row r="3" customFormat="false" ht="15" hidden="false" customHeight="false" outlineLevel="0" collapsed="false">
      <c r="A3" s="33" t="s">
        <v>293</v>
      </c>
      <c r="C3" s="57" t="s">
        <v>294</v>
      </c>
      <c r="D3" s="57" t="s">
        <v>295</v>
      </c>
      <c r="E3" s="57" t="s">
        <v>296</v>
      </c>
      <c r="F3" s="57" t="s">
        <v>297</v>
      </c>
      <c r="G3" s="57" t="s">
        <v>298</v>
      </c>
      <c r="H3" s="57" t="s">
        <v>299</v>
      </c>
      <c r="I3" s="57" t="s">
        <v>300</v>
      </c>
      <c r="J3" s="57" t="s">
        <v>301</v>
      </c>
      <c r="K3" s="57" t="s">
        <v>302</v>
      </c>
      <c r="L3" s="57" t="s">
        <v>303</v>
      </c>
      <c r="M3" s="57" t="s">
        <v>304</v>
      </c>
      <c r="N3" s="57" t="s">
        <v>305</v>
      </c>
      <c r="O3" s="57" t="s">
        <v>306</v>
      </c>
      <c r="P3" s="57" t="s">
        <v>307</v>
      </c>
      <c r="Q3" s="57" t="s">
        <v>308</v>
      </c>
      <c r="R3" s="57" t="s">
        <v>309</v>
      </c>
      <c r="S3" s="57" t="s">
        <v>310</v>
      </c>
      <c r="T3" s="57" t="s">
        <v>311</v>
      </c>
      <c r="U3" s="57" t="s">
        <v>312</v>
      </c>
      <c r="V3" s="57" t="s">
        <v>313</v>
      </c>
      <c r="W3" s="57" t="s">
        <v>314</v>
      </c>
      <c r="X3" s="57" t="s">
        <v>315</v>
      </c>
      <c r="Y3" s="57" t="s">
        <v>316</v>
      </c>
      <c r="Z3" s="57" t="s">
        <v>317</v>
      </c>
      <c r="AA3" s="57" t="s">
        <v>318</v>
      </c>
      <c r="AB3" s="57" t="s">
        <v>319</v>
      </c>
      <c r="AC3" s="57" t="s">
        <v>320</v>
      </c>
      <c r="AD3" s="57" t="s">
        <v>321</v>
      </c>
      <c r="AE3" s="57" t="s">
        <v>322</v>
      </c>
      <c r="AF3" s="57" t="s">
        <v>323</v>
      </c>
      <c r="AG3" s="57" t="s">
        <v>324</v>
      </c>
      <c r="AH3" s="57" t="s">
        <v>325</v>
      </c>
      <c r="AI3" s="57" t="s">
        <v>326</v>
      </c>
      <c r="AJ3" s="57" t="s">
        <v>327</v>
      </c>
      <c r="AK3" s="57" t="s">
        <v>328</v>
      </c>
      <c r="AL3" s="57" t="s">
        <v>329</v>
      </c>
      <c r="AM3" s="57" t="s">
        <v>330</v>
      </c>
      <c r="AN3" s="57" t="s">
        <v>331</v>
      </c>
      <c r="AO3" s="57" t="s">
        <v>332</v>
      </c>
      <c r="AP3" s="57" t="s">
        <v>333</v>
      </c>
      <c r="AQ3" s="57" t="s">
        <v>334</v>
      </c>
      <c r="AR3" s="57" t="s">
        <v>335</v>
      </c>
      <c r="AS3" s="57" t="s">
        <v>336</v>
      </c>
      <c r="AT3" s="57" t="s">
        <v>337</v>
      </c>
      <c r="AU3" s="57" t="s">
        <v>338</v>
      </c>
      <c r="AV3" s="57" t="s">
        <v>339</v>
      </c>
      <c r="AW3" s="57" t="s">
        <v>340</v>
      </c>
      <c r="AX3" s="57" t="s">
        <v>341</v>
      </c>
      <c r="AY3" s="57" t="s">
        <v>342</v>
      </c>
      <c r="AZ3" s="57" t="s">
        <v>343</v>
      </c>
      <c r="BA3" s="57" t="s">
        <v>344</v>
      </c>
      <c r="BB3" s="57" t="s">
        <v>345</v>
      </c>
      <c r="BC3" s="57" t="s">
        <v>346</v>
      </c>
      <c r="BD3" s="57" t="s">
        <v>347</v>
      </c>
      <c r="BE3" s="57" t="s">
        <v>348</v>
      </c>
      <c r="BF3" s="57" t="s">
        <v>349</v>
      </c>
      <c r="BG3" s="57" t="s">
        <v>350</v>
      </c>
      <c r="BH3" s="57" t="s">
        <v>351</v>
      </c>
      <c r="BI3" s="57" t="s">
        <v>352</v>
      </c>
      <c r="BJ3" s="57" t="s">
        <v>353</v>
      </c>
    </row>
    <row r="4" customFormat="false" ht="15" hidden="false" customHeight="false" outlineLevel="0" collapsed="false">
      <c r="A4" s="56" t="s">
        <v>354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121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195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355</v>
      </c>
      <c r="C8" s="63" t="n">
        <f aca="false">IF(MOD(C$4-1,12)&gt;=10,1+Inputs!$E$28,1-Inputs!$E$28/5)</f>
        <v>0.94</v>
      </c>
      <c r="D8" s="63" t="n">
        <f aca="false">IF(MOD(D$4-1,12)&gt;=10,1+Inputs!$E$28,1-Inputs!$E$28/5)</f>
        <v>0.94</v>
      </c>
      <c r="E8" s="63" t="n">
        <f aca="false">IF(MOD(E$4-1,12)&gt;=10,1+Inputs!$E$28,1-Inputs!$E$28/5)</f>
        <v>0.94</v>
      </c>
      <c r="F8" s="63" t="n">
        <f aca="false">IF(MOD(F$4-1,12)&gt;=10,1+Inputs!$E$28,1-Inputs!$E$28/5)</f>
        <v>0.94</v>
      </c>
      <c r="G8" s="63" t="n">
        <f aca="false">IF(MOD(G$4-1,12)&gt;=10,1+Inputs!$E$28,1-Inputs!$E$28/5)</f>
        <v>0.94</v>
      </c>
      <c r="H8" s="63" t="n">
        <f aca="false">IF(MOD(H$4-1,12)&gt;=10,1+Inputs!$E$28,1-Inputs!$E$28/5)</f>
        <v>0.94</v>
      </c>
      <c r="I8" s="63" t="n">
        <f aca="false">IF(MOD(I$4-1,12)&gt;=10,1+Inputs!$E$28,1-Inputs!$E$28/5)</f>
        <v>0.94</v>
      </c>
      <c r="J8" s="63" t="n">
        <f aca="false">IF(MOD(J$4-1,12)&gt;=10,1+Inputs!$E$28,1-Inputs!$E$28/5)</f>
        <v>0.94</v>
      </c>
      <c r="K8" s="63" t="n">
        <f aca="false">IF(MOD(K$4-1,12)&gt;=10,1+Inputs!$E$28,1-Inputs!$E$28/5)</f>
        <v>0.94</v>
      </c>
      <c r="L8" s="63" t="n">
        <f aca="false">IF(MOD(L$4-1,12)&gt;=10,1+Inputs!$E$28,1-Inputs!$E$28/5)</f>
        <v>0.94</v>
      </c>
      <c r="M8" s="63" t="n">
        <f aca="false">IF(MOD(M$4-1,12)&gt;=10,1+Inputs!$E$28,1-Inputs!$E$28/5)</f>
        <v>1.3</v>
      </c>
      <c r="N8" s="63" t="n">
        <f aca="false">IF(MOD(N$4-1,12)&gt;=10,1+Inputs!$E$28,1-Inputs!$E$28/5)</f>
        <v>1.3</v>
      </c>
      <c r="O8" s="63" t="n">
        <f aca="false">IF(MOD(O$4-1,12)&gt;=10,1+Inputs!$E$28,1-Inputs!$E$28/5)</f>
        <v>0.94</v>
      </c>
      <c r="P8" s="63" t="n">
        <f aca="false">IF(MOD(P$4-1,12)&gt;=10,1+Inputs!$E$28,1-Inputs!$E$28/5)</f>
        <v>0.94</v>
      </c>
      <c r="Q8" s="63" t="n">
        <f aca="false">IF(MOD(Q$4-1,12)&gt;=10,1+Inputs!$E$28,1-Inputs!$E$28/5)</f>
        <v>0.94</v>
      </c>
      <c r="R8" s="63" t="n">
        <f aca="false">IF(MOD(R$4-1,12)&gt;=10,1+Inputs!$E$28,1-Inputs!$E$28/5)</f>
        <v>0.94</v>
      </c>
      <c r="S8" s="63" t="n">
        <f aca="false">IF(MOD(S$4-1,12)&gt;=10,1+Inputs!$E$28,1-Inputs!$E$28/5)</f>
        <v>0.94</v>
      </c>
      <c r="T8" s="63" t="n">
        <f aca="false">IF(MOD(T$4-1,12)&gt;=10,1+Inputs!$E$28,1-Inputs!$E$28/5)</f>
        <v>0.94</v>
      </c>
      <c r="U8" s="63" t="n">
        <f aca="false">IF(MOD(U$4-1,12)&gt;=10,1+Inputs!$E$28,1-Inputs!$E$28/5)</f>
        <v>0.94</v>
      </c>
      <c r="V8" s="63" t="n">
        <f aca="false">IF(MOD(V$4-1,12)&gt;=10,1+Inputs!$E$28,1-Inputs!$E$28/5)</f>
        <v>0.94</v>
      </c>
      <c r="W8" s="63" t="n">
        <f aca="false">IF(MOD(W$4-1,12)&gt;=10,1+Inputs!$E$28,1-Inputs!$E$28/5)</f>
        <v>0.94</v>
      </c>
      <c r="X8" s="63" t="n">
        <f aca="false">IF(MOD(X$4-1,12)&gt;=10,1+Inputs!$E$28,1-Inputs!$E$28/5)</f>
        <v>0.94</v>
      </c>
      <c r="Y8" s="63" t="n">
        <f aca="false">IF(MOD(Y$4-1,12)&gt;=10,1+Inputs!$E$28,1-Inputs!$E$28/5)</f>
        <v>1.3</v>
      </c>
      <c r="Z8" s="63" t="n">
        <f aca="false">IF(MOD(Z$4-1,12)&gt;=10,1+Inputs!$E$28,1-Inputs!$E$28/5)</f>
        <v>1.3</v>
      </c>
      <c r="AA8" s="63" t="n">
        <f aca="false">IF(MOD(AA$4-1,12)&gt;=10,1+Inputs!$E$28,1-Inputs!$E$28/5)</f>
        <v>0.94</v>
      </c>
      <c r="AB8" s="63" t="n">
        <f aca="false">IF(MOD(AB$4-1,12)&gt;=10,1+Inputs!$E$28,1-Inputs!$E$28/5)</f>
        <v>0.94</v>
      </c>
      <c r="AC8" s="63" t="n">
        <f aca="false">IF(MOD(AC$4-1,12)&gt;=10,1+Inputs!$E$28,1-Inputs!$E$28/5)</f>
        <v>0.94</v>
      </c>
      <c r="AD8" s="63" t="n">
        <f aca="false">IF(MOD(AD$4-1,12)&gt;=10,1+Inputs!$E$28,1-Inputs!$E$28/5)</f>
        <v>0.94</v>
      </c>
      <c r="AE8" s="63" t="n">
        <f aca="false">IF(MOD(AE$4-1,12)&gt;=10,1+Inputs!$E$28,1-Inputs!$E$28/5)</f>
        <v>0.94</v>
      </c>
      <c r="AF8" s="63" t="n">
        <f aca="false">IF(MOD(AF$4-1,12)&gt;=10,1+Inputs!$E$28,1-Inputs!$E$28/5)</f>
        <v>0.94</v>
      </c>
      <c r="AG8" s="63" t="n">
        <f aca="false">IF(MOD(AG$4-1,12)&gt;=10,1+Inputs!$E$28,1-Inputs!$E$28/5)</f>
        <v>0.94</v>
      </c>
      <c r="AH8" s="63" t="n">
        <f aca="false">IF(MOD(AH$4-1,12)&gt;=10,1+Inputs!$E$28,1-Inputs!$E$28/5)</f>
        <v>0.94</v>
      </c>
      <c r="AI8" s="63" t="n">
        <f aca="false">IF(MOD(AI$4-1,12)&gt;=10,1+Inputs!$E$28,1-Inputs!$E$28/5)</f>
        <v>0.94</v>
      </c>
      <c r="AJ8" s="63" t="n">
        <f aca="false">IF(MOD(AJ$4-1,12)&gt;=10,1+Inputs!$E$28,1-Inputs!$E$28/5)</f>
        <v>0.94</v>
      </c>
      <c r="AK8" s="63" t="n">
        <f aca="false">IF(MOD(AK$4-1,12)&gt;=10,1+Inputs!$E$28,1-Inputs!$E$28/5)</f>
        <v>1.3</v>
      </c>
      <c r="AL8" s="63" t="n">
        <f aca="false">IF(MOD(AL$4-1,12)&gt;=10,1+Inputs!$E$28,1-Inputs!$E$28/5)</f>
        <v>1.3</v>
      </c>
      <c r="AM8" s="63" t="n">
        <f aca="false">IF(MOD(AM$4-1,12)&gt;=10,1+Inputs!$E$28,1-Inputs!$E$28/5)</f>
        <v>0.94</v>
      </c>
      <c r="AN8" s="63" t="n">
        <f aca="false">IF(MOD(AN$4-1,12)&gt;=10,1+Inputs!$E$28,1-Inputs!$E$28/5)</f>
        <v>0.94</v>
      </c>
      <c r="AO8" s="63" t="n">
        <f aca="false">IF(MOD(AO$4-1,12)&gt;=10,1+Inputs!$E$28,1-Inputs!$E$28/5)</f>
        <v>0.94</v>
      </c>
      <c r="AP8" s="63" t="n">
        <f aca="false">IF(MOD(AP$4-1,12)&gt;=10,1+Inputs!$E$28,1-Inputs!$E$28/5)</f>
        <v>0.94</v>
      </c>
      <c r="AQ8" s="63" t="n">
        <f aca="false">IF(MOD(AQ$4-1,12)&gt;=10,1+Inputs!$E$28,1-Inputs!$E$28/5)</f>
        <v>0.94</v>
      </c>
      <c r="AR8" s="63" t="n">
        <f aca="false">IF(MOD(AR$4-1,12)&gt;=10,1+Inputs!$E$28,1-Inputs!$E$28/5)</f>
        <v>0.94</v>
      </c>
      <c r="AS8" s="63" t="n">
        <f aca="false">IF(MOD(AS$4-1,12)&gt;=10,1+Inputs!$E$28,1-Inputs!$E$28/5)</f>
        <v>0.94</v>
      </c>
      <c r="AT8" s="63" t="n">
        <f aca="false">IF(MOD(AT$4-1,12)&gt;=10,1+Inputs!$E$28,1-Inputs!$E$28/5)</f>
        <v>0.94</v>
      </c>
      <c r="AU8" s="63" t="n">
        <f aca="false">IF(MOD(AU$4-1,12)&gt;=10,1+Inputs!$E$28,1-Inputs!$E$28/5)</f>
        <v>0.94</v>
      </c>
      <c r="AV8" s="63" t="n">
        <f aca="false">IF(MOD(AV$4-1,12)&gt;=10,1+Inputs!$E$28,1-Inputs!$E$28/5)</f>
        <v>0.94</v>
      </c>
      <c r="AW8" s="63" t="n">
        <f aca="false">IF(MOD(AW$4-1,12)&gt;=10,1+Inputs!$E$28,1-Inputs!$E$28/5)</f>
        <v>1.3</v>
      </c>
      <c r="AX8" s="63" t="n">
        <f aca="false">IF(MOD(AX$4-1,12)&gt;=10,1+Inputs!$E$28,1-Inputs!$E$28/5)</f>
        <v>1.3</v>
      </c>
      <c r="AY8" s="63" t="n">
        <f aca="false">IF(MOD(AY$4-1,12)&gt;=10,1+Inputs!$E$28,1-Inputs!$E$28/5)</f>
        <v>0.94</v>
      </c>
      <c r="AZ8" s="63" t="n">
        <f aca="false">IF(MOD(AZ$4-1,12)&gt;=10,1+Inputs!$E$28,1-Inputs!$E$28/5)</f>
        <v>0.94</v>
      </c>
      <c r="BA8" s="63" t="n">
        <f aca="false">IF(MOD(BA$4-1,12)&gt;=10,1+Inputs!$E$28,1-Inputs!$E$28/5)</f>
        <v>0.94</v>
      </c>
      <c r="BB8" s="63" t="n">
        <f aca="false">IF(MOD(BB$4-1,12)&gt;=10,1+Inputs!$E$28,1-Inputs!$E$28/5)</f>
        <v>0.94</v>
      </c>
      <c r="BC8" s="63" t="n">
        <f aca="false">IF(MOD(BC$4-1,12)&gt;=10,1+Inputs!$E$28,1-Inputs!$E$28/5)</f>
        <v>0.94</v>
      </c>
      <c r="BD8" s="63" t="n">
        <f aca="false">IF(MOD(BD$4-1,12)&gt;=10,1+Inputs!$E$28,1-Inputs!$E$28/5)</f>
        <v>0.94</v>
      </c>
      <c r="BE8" s="63" t="n">
        <f aca="false">IF(MOD(BE$4-1,12)&gt;=10,1+Inputs!$E$28,1-Inputs!$E$28/5)</f>
        <v>0.94</v>
      </c>
      <c r="BF8" s="63" t="n">
        <f aca="false">IF(MOD(BF$4-1,12)&gt;=10,1+Inputs!$E$28,1-Inputs!$E$28/5)</f>
        <v>0.94</v>
      </c>
      <c r="BG8" s="63" t="n">
        <f aca="false">IF(MOD(BG$4-1,12)&gt;=10,1+Inputs!$E$28,1-Inputs!$E$28/5)</f>
        <v>0.94</v>
      </c>
      <c r="BH8" s="63" t="n">
        <f aca="false">IF(MOD(BH$4-1,12)&gt;=10,1+Inputs!$E$28,1-Inputs!$E$28/5)</f>
        <v>0.94</v>
      </c>
      <c r="BI8" s="63" t="n">
        <f aca="false">IF(MOD(BI$4-1,12)&gt;=10,1+Inputs!$E$28,1-Inputs!$E$28/5)</f>
        <v>1.3</v>
      </c>
      <c r="BJ8" s="63" t="n">
        <f aca="false">IF(MOD(BJ$4-1,12)&gt;=10,1+Inputs!$E$28,1-Inputs!$E$28/5)</f>
        <v>1.3</v>
      </c>
    </row>
    <row r="9" customFormat="false" ht="15" hidden="false" customHeight="false" outlineLevel="0" collapsed="false">
      <c r="A9" s="6" t="s">
        <v>356</v>
      </c>
      <c r="C9" s="95" t="n">
        <f aca="false">Inputs!$E$7*(1+Inputs!$E$8)^(C$5-1)*1*C8</f>
        <v>75200</v>
      </c>
      <c r="D9" s="95" t="n">
        <f aca="false">Inputs!$E$7*(1+Inputs!$E$8)^(D$5-1)*1*D8</f>
        <v>75200</v>
      </c>
      <c r="E9" s="95" t="n">
        <f aca="false">Inputs!$E$7*(1+Inputs!$E$8)^(E$5-1)*1*E8</f>
        <v>75200</v>
      </c>
      <c r="F9" s="95" t="n">
        <f aca="false">Inputs!$E$7*(1+Inputs!$E$8)^(F$5-1)*1*F8</f>
        <v>75200</v>
      </c>
      <c r="G9" s="95" t="n">
        <f aca="false">Inputs!$E$7*(1+Inputs!$E$8)^(G$5-1)*1*G8</f>
        <v>75200</v>
      </c>
      <c r="H9" s="95" t="n">
        <f aca="false">Inputs!$E$7*(1+Inputs!$E$8)^(H$5-1)*1*H8</f>
        <v>75200</v>
      </c>
      <c r="I9" s="95" t="n">
        <f aca="false">Inputs!$E$7*(1+Inputs!$E$8)^(I$5-1)*1*I8</f>
        <v>75200</v>
      </c>
      <c r="J9" s="95" t="n">
        <f aca="false">Inputs!$E$7*(1+Inputs!$E$8)^(J$5-1)*1*J8</f>
        <v>75200</v>
      </c>
      <c r="K9" s="95" t="n">
        <f aca="false">Inputs!$E$7*(1+Inputs!$E$8)^(K$5-1)*1*K8</f>
        <v>75200</v>
      </c>
      <c r="L9" s="95" t="n">
        <f aca="false">Inputs!$E$7*(1+Inputs!$E$8)^(L$5-1)*1*L8</f>
        <v>75200</v>
      </c>
      <c r="M9" s="95" t="n">
        <f aca="false">Inputs!$E$7*(1+Inputs!$E$8)^(M$5-1)*1*M8</f>
        <v>104000</v>
      </c>
      <c r="N9" s="95" t="n">
        <f aca="false">Inputs!$E$7*(1+Inputs!$E$8)^(N$5-1)*1*N8</f>
        <v>104000</v>
      </c>
      <c r="O9" s="95" t="n">
        <f aca="false">Inputs!$E$7*(1+Inputs!$E$8)^(O$5-1)*1*O8</f>
        <v>94000</v>
      </c>
      <c r="P9" s="95" t="n">
        <f aca="false">Inputs!$E$7*(1+Inputs!$E$8)^(P$5-1)*1*P8</f>
        <v>94000</v>
      </c>
      <c r="Q9" s="95" t="n">
        <f aca="false">Inputs!$E$7*(1+Inputs!$E$8)^(Q$5-1)*1*Q8</f>
        <v>94000</v>
      </c>
      <c r="R9" s="95" t="n">
        <f aca="false">Inputs!$E$7*(1+Inputs!$E$8)^(R$5-1)*1*R8</f>
        <v>94000</v>
      </c>
      <c r="S9" s="95" t="n">
        <f aca="false">Inputs!$E$7*(1+Inputs!$E$8)^(S$5-1)*1*S8</f>
        <v>94000</v>
      </c>
      <c r="T9" s="95" t="n">
        <f aca="false">Inputs!$E$7*(1+Inputs!$E$8)^(T$5-1)*1*T8</f>
        <v>94000</v>
      </c>
      <c r="U9" s="95" t="n">
        <f aca="false">Inputs!$E$7*(1+Inputs!$E$8)^(U$5-1)*1*U8</f>
        <v>94000</v>
      </c>
      <c r="V9" s="95" t="n">
        <f aca="false">Inputs!$E$7*(1+Inputs!$E$8)^(V$5-1)*1*V8</f>
        <v>94000</v>
      </c>
      <c r="W9" s="95" t="n">
        <f aca="false">Inputs!$E$7*(1+Inputs!$E$8)^(W$5-1)*1*W8</f>
        <v>94000</v>
      </c>
      <c r="X9" s="95" t="n">
        <f aca="false">Inputs!$E$7*(1+Inputs!$E$8)^(X$5-1)*1*X8</f>
        <v>94000</v>
      </c>
      <c r="Y9" s="95" t="n">
        <f aca="false">Inputs!$E$7*(1+Inputs!$E$8)^(Y$5-1)*1*Y8</f>
        <v>130000</v>
      </c>
      <c r="Z9" s="95" t="n">
        <f aca="false">Inputs!$E$7*(1+Inputs!$E$8)^(Z$5-1)*1*Z8</f>
        <v>130000</v>
      </c>
      <c r="AA9" s="95" t="n">
        <f aca="false">Inputs!$E$7*(1+Inputs!$E$8)^(AA$5-1)*1*AA8</f>
        <v>117500</v>
      </c>
      <c r="AB9" s="95" t="n">
        <f aca="false">Inputs!$E$7*(1+Inputs!$E$8)^(AB$5-1)*1*AB8</f>
        <v>117500</v>
      </c>
      <c r="AC9" s="95" t="n">
        <f aca="false">Inputs!$E$7*(1+Inputs!$E$8)^(AC$5-1)*1*AC8</f>
        <v>117500</v>
      </c>
      <c r="AD9" s="95" t="n">
        <f aca="false">Inputs!$E$7*(1+Inputs!$E$8)^(AD$5-1)*1*AD8</f>
        <v>117500</v>
      </c>
      <c r="AE9" s="95" t="n">
        <f aca="false">Inputs!$E$7*(1+Inputs!$E$8)^(AE$5-1)*1*AE8</f>
        <v>117500</v>
      </c>
      <c r="AF9" s="95" t="n">
        <f aca="false">Inputs!$E$7*(1+Inputs!$E$8)^(AF$5-1)*1*AF8</f>
        <v>117500</v>
      </c>
      <c r="AG9" s="95" t="n">
        <f aca="false">Inputs!$E$7*(1+Inputs!$E$8)^(AG$5-1)*1*AG8</f>
        <v>117500</v>
      </c>
      <c r="AH9" s="95" t="n">
        <f aca="false">Inputs!$E$7*(1+Inputs!$E$8)^(AH$5-1)*1*AH8</f>
        <v>117500</v>
      </c>
      <c r="AI9" s="95" t="n">
        <f aca="false">Inputs!$E$7*(1+Inputs!$E$8)^(AI$5-1)*1*AI8</f>
        <v>117500</v>
      </c>
      <c r="AJ9" s="95" t="n">
        <f aca="false">Inputs!$E$7*(1+Inputs!$E$8)^(AJ$5-1)*1*AJ8</f>
        <v>117500</v>
      </c>
      <c r="AK9" s="95" t="n">
        <f aca="false">Inputs!$E$7*(1+Inputs!$E$8)^(AK$5-1)*1*AK8</f>
        <v>162500</v>
      </c>
      <c r="AL9" s="95" t="n">
        <f aca="false">Inputs!$E$7*(1+Inputs!$E$8)^(AL$5-1)*1*AL8</f>
        <v>162500</v>
      </c>
      <c r="AM9" s="95" t="n">
        <f aca="false">Inputs!$E$7*(1+Inputs!$E$8)^(AM$5-1)*1*AM8</f>
        <v>146875</v>
      </c>
      <c r="AN9" s="95" t="n">
        <f aca="false">Inputs!$E$7*(1+Inputs!$E$8)^(AN$5-1)*1*AN8</f>
        <v>146875</v>
      </c>
      <c r="AO9" s="95" t="n">
        <f aca="false">Inputs!$E$7*(1+Inputs!$E$8)^(AO$5-1)*1*AO8</f>
        <v>146875</v>
      </c>
      <c r="AP9" s="95" t="n">
        <f aca="false">Inputs!$E$7*(1+Inputs!$E$8)^(AP$5-1)*1*AP8</f>
        <v>146875</v>
      </c>
      <c r="AQ9" s="95" t="n">
        <f aca="false">Inputs!$E$7*(1+Inputs!$E$8)^(AQ$5-1)*1*AQ8</f>
        <v>146875</v>
      </c>
      <c r="AR9" s="95" t="n">
        <f aca="false">Inputs!$E$7*(1+Inputs!$E$8)^(AR$5-1)*1*AR8</f>
        <v>146875</v>
      </c>
      <c r="AS9" s="95" t="n">
        <f aca="false">Inputs!$E$7*(1+Inputs!$E$8)^(AS$5-1)*1*AS8</f>
        <v>146875</v>
      </c>
      <c r="AT9" s="95" t="n">
        <f aca="false">Inputs!$E$7*(1+Inputs!$E$8)^(AT$5-1)*1*AT8</f>
        <v>146875</v>
      </c>
      <c r="AU9" s="95" t="n">
        <f aca="false">Inputs!$E$7*(1+Inputs!$E$8)^(AU$5-1)*1*AU8</f>
        <v>146875</v>
      </c>
      <c r="AV9" s="95" t="n">
        <f aca="false">Inputs!$E$7*(1+Inputs!$E$8)^(AV$5-1)*1*AV8</f>
        <v>146875</v>
      </c>
      <c r="AW9" s="95" t="n">
        <f aca="false">Inputs!$E$7*(1+Inputs!$E$8)^(AW$5-1)*1*AW8</f>
        <v>203125</v>
      </c>
      <c r="AX9" s="95" t="n">
        <f aca="false">Inputs!$E$7*(1+Inputs!$E$8)^(AX$5-1)*1*AX8</f>
        <v>203125</v>
      </c>
      <c r="AY9" s="95" t="n">
        <f aca="false">Inputs!$E$7*(1+Inputs!$E$8)^(AY$5-1)*1*AY8</f>
        <v>183593.75</v>
      </c>
      <c r="AZ9" s="95" t="n">
        <f aca="false">Inputs!$E$7*(1+Inputs!$E$8)^(AZ$5-1)*1*AZ8</f>
        <v>183593.75</v>
      </c>
      <c r="BA9" s="95" t="n">
        <f aca="false">Inputs!$E$7*(1+Inputs!$E$8)^(BA$5-1)*1*BA8</f>
        <v>183593.75</v>
      </c>
      <c r="BB9" s="95" t="n">
        <f aca="false">Inputs!$E$7*(1+Inputs!$E$8)^(BB$5-1)*1*BB8</f>
        <v>183593.75</v>
      </c>
      <c r="BC9" s="95" t="n">
        <f aca="false">Inputs!$E$7*(1+Inputs!$E$8)^(BC$5-1)*1*BC8</f>
        <v>183593.75</v>
      </c>
      <c r="BD9" s="95" t="n">
        <f aca="false">Inputs!$E$7*(1+Inputs!$E$8)^(BD$5-1)*1*BD8</f>
        <v>183593.75</v>
      </c>
      <c r="BE9" s="95" t="n">
        <f aca="false">Inputs!$E$7*(1+Inputs!$E$8)^(BE$5-1)*1*BE8</f>
        <v>183593.75</v>
      </c>
      <c r="BF9" s="95" t="n">
        <f aca="false">Inputs!$E$7*(1+Inputs!$E$8)^(BF$5-1)*1*BF8</f>
        <v>183593.75</v>
      </c>
      <c r="BG9" s="95" t="n">
        <f aca="false">Inputs!$E$7*(1+Inputs!$E$8)^(BG$5-1)*1*BG8</f>
        <v>183593.75</v>
      </c>
      <c r="BH9" s="95" t="n">
        <f aca="false">Inputs!$E$7*(1+Inputs!$E$8)^(BH$5-1)*1*BH8</f>
        <v>183593.75</v>
      </c>
      <c r="BI9" s="95" t="n">
        <f aca="false">Inputs!$E$7*(1+Inputs!$E$8)^(BI$5-1)*1*BI8</f>
        <v>253906.25</v>
      </c>
      <c r="BJ9" s="95" t="n">
        <f aca="false">Inputs!$E$7*(1+Inputs!$E$8)^(BJ$5-1)*1*BJ8</f>
        <v>253906.25</v>
      </c>
    </row>
    <row r="10" customFormat="false" ht="15" hidden="false" customHeight="false" outlineLevel="0" collapsed="false">
      <c r="A10" s="6" t="s">
        <v>357</v>
      </c>
      <c r="C10" s="96" t="n">
        <f aca="false">C9*Inputs!$E$9</f>
        <v>1804.8</v>
      </c>
      <c r="D10" s="96" t="n">
        <f aca="false">D9*Inputs!$E$9</f>
        <v>1804.8</v>
      </c>
      <c r="E10" s="96" t="n">
        <f aca="false">E9*Inputs!$E$9</f>
        <v>1804.8</v>
      </c>
      <c r="F10" s="96" t="n">
        <f aca="false">F9*Inputs!$E$9</f>
        <v>1804.8</v>
      </c>
      <c r="G10" s="96" t="n">
        <f aca="false">G9*Inputs!$E$9</f>
        <v>1804.8</v>
      </c>
      <c r="H10" s="96" t="n">
        <f aca="false">H9*Inputs!$E$9</f>
        <v>1804.8</v>
      </c>
      <c r="I10" s="96" t="n">
        <f aca="false">I9*Inputs!$E$9</f>
        <v>1804.8</v>
      </c>
      <c r="J10" s="96" t="n">
        <f aca="false">J9*Inputs!$E$9</f>
        <v>1804.8</v>
      </c>
      <c r="K10" s="96" t="n">
        <f aca="false">K9*Inputs!$E$9</f>
        <v>1804.8</v>
      </c>
      <c r="L10" s="96" t="n">
        <f aca="false">L9*Inputs!$E$9</f>
        <v>1804.8</v>
      </c>
      <c r="M10" s="96" t="n">
        <f aca="false">M9*Inputs!$E$9</f>
        <v>2496</v>
      </c>
      <c r="N10" s="96" t="n">
        <f aca="false">N9*Inputs!$E$9</f>
        <v>2496</v>
      </c>
      <c r="O10" s="96" t="n">
        <f aca="false">O9*Inputs!$E$9</f>
        <v>2256</v>
      </c>
      <c r="P10" s="96" t="n">
        <f aca="false">P9*Inputs!$E$9</f>
        <v>2256</v>
      </c>
      <c r="Q10" s="96" t="n">
        <f aca="false">Q9*Inputs!$E$9</f>
        <v>2256</v>
      </c>
      <c r="R10" s="96" t="n">
        <f aca="false">R9*Inputs!$E$9</f>
        <v>2256</v>
      </c>
      <c r="S10" s="96" t="n">
        <f aca="false">S9*Inputs!$E$9</f>
        <v>2256</v>
      </c>
      <c r="T10" s="96" t="n">
        <f aca="false">T9*Inputs!$E$9</f>
        <v>2256</v>
      </c>
      <c r="U10" s="96" t="n">
        <f aca="false">U9*Inputs!$E$9</f>
        <v>2256</v>
      </c>
      <c r="V10" s="96" t="n">
        <f aca="false">V9*Inputs!$E$9</f>
        <v>2256</v>
      </c>
      <c r="W10" s="96" t="n">
        <f aca="false">W9*Inputs!$E$9</f>
        <v>2256</v>
      </c>
      <c r="X10" s="96" t="n">
        <f aca="false">X9*Inputs!$E$9</f>
        <v>2256</v>
      </c>
      <c r="Y10" s="96" t="n">
        <f aca="false">Y9*Inputs!$E$9</f>
        <v>3120</v>
      </c>
      <c r="Z10" s="96" t="n">
        <f aca="false">Z9*Inputs!$E$9</f>
        <v>3120</v>
      </c>
      <c r="AA10" s="96" t="n">
        <f aca="false">AA9*Inputs!$E$9</f>
        <v>2820</v>
      </c>
      <c r="AB10" s="96" t="n">
        <f aca="false">AB9*Inputs!$E$9</f>
        <v>2820</v>
      </c>
      <c r="AC10" s="96" t="n">
        <f aca="false">AC9*Inputs!$E$9</f>
        <v>2820</v>
      </c>
      <c r="AD10" s="96" t="n">
        <f aca="false">AD9*Inputs!$E$9</f>
        <v>2820</v>
      </c>
      <c r="AE10" s="96" t="n">
        <f aca="false">AE9*Inputs!$E$9</f>
        <v>2820</v>
      </c>
      <c r="AF10" s="96" t="n">
        <f aca="false">AF9*Inputs!$E$9</f>
        <v>2820</v>
      </c>
      <c r="AG10" s="96" t="n">
        <f aca="false">AG9*Inputs!$E$9</f>
        <v>2820</v>
      </c>
      <c r="AH10" s="96" t="n">
        <f aca="false">AH9*Inputs!$E$9</f>
        <v>2820</v>
      </c>
      <c r="AI10" s="96" t="n">
        <f aca="false">AI9*Inputs!$E$9</f>
        <v>2820</v>
      </c>
      <c r="AJ10" s="96" t="n">
        <f aca="false">AJ9*Inputs!$E$9</f>
        <v>2820</v>
      </c>
      <c r="AK10" s="96" t="n">
        <f aca="false">AK9*Inputs!$E$9</f>
        <v>3900</v>
      </c>
      <c r="AL10" s="96" t="n">
        <f aca="false">AL9*Inputs!$E$9</f>
        <v>3900</v>
      </c>
      <c r="AM10" s="96" t="n">
        <f aca="false">AM9*Inputs!$E$9</f>
        <v>3525</v>
      </c>
      <c r="AN10" s="96" t="n">
        <f aca="false">AN9*Inputs!$E$9</f>
        <v>3525</v>
      </c>
      <c r="AO10" s="96" t="n">
        <f aca="false">AO9*Inputs!$E$9</f>
        <v>3525</v>
      </c>
      <c r="AP10" s="96" t="n">
        <f aca="false">AP9*Inputs!$E$9</f>
        <v>3525</v>
      </c>
      <c r="AQ10" s="96" t="n">
        <f aca="false">AQ9*Inputs!$E$9</f>
        <v>3525</v>
      </c>
      <c r="AR10" s="96" t="n">
        <f aca="false">AR9*Inputs!$E$9</f>
        <v>3525</v>
      </c>
      <c r="AS10" s="96" t="n">
        <f aca="false">AS9*Inputs!$E$9</f>
        <v>3525</v>
      </c>
      <c r="AT10" s="96" t="n">
        <f aca="false">AT9*Inputs!$E$9</f>
        <v>3525</v>
      </c>
      <c r="AU10" s="96" t="n">
        <f aca="false">AU9*Inputs!$E$9</f>
        <v>3525</v>
      </c>
      <c r="AV10" s="96" t="n">
        <f aca="false">AV9*Inputs!$E$9</f>
        <v>3525</v>
      </c>
      <c r="AW10" s="96" t="n">
        <f aca="false">AW9*Inputs!$E$9</f>
        <v>4875</v>
      </c>
      <c r="AX10" s="96" t="n">
        <f aca="false">AX9*Inputs!$E$9</f>
        <v>4875</v>
      </c>
      <c r="AY10" s="96" t="n">
        <f aca="false">AY9*Inputs!$E$9</f>
        <v>4406.25</v>
      </c>
      <c r="AZ10" s="96" t="n">
        <f aca="false">AZ9*Inputs!$E$9</f>
        <v>4406.25</v>
      </c>
      <c r="BA10" s="96" t="n">
        <f aca="false">BA9*Inputs!$E$9</f>
        <v>4406.25</v>
      </c>
      <c r="BB10" s="96" t="n">
        <f aca="false">BB9*Inputs!$E$9</f>
        <v>4406.25</v>
      </c>
      <c r="BC10" s="96" t="n">
        <f aca="false">BC9*Inputs!$E$9</f>
        <v>4406.25</v>
      </c>
      <c r="BD10" s="96" t="n">
        <f aca="false">BD9*Inputs!$E$9</f>
        <v>4406.25</v>
      </c>
      <c r="BE10" s="96" t="n">
        <f aca="false">BE9*Inputs!$E$9</f>
        <v>4406.25</v>
      </c>
      <c r="BF10" s="96" t="n">
        <f aca="false">BF9*Inputs!$E$9</f>
        <v>4406.25</v>
      </c>
      <c r="BG10" s="96" t="n">
        <f aca="false">BG9*Inputs!$E$9</f>
        <v>4406.25</v>
      </c>
      <c r="BH10" s="96" t="n">
        <f aca="false">BH9*Inputs!$E$9</f>
        <v>4406.25</v>
      </c>
      <c r="BI10" s="96" t="n">
        <f aca="false">BI9*Inputs!$E$9</f>
        <v>6093.75</v>
      </c>
      <c r="BJ10" s="96" t="n">
        <f aca="false">BJ9*Inputs!$E$9</f>
        <v>6093.75</v>
      </c>
    </row>
    <row r="11" customFormat="false" ht="15" hidden="false" customHeight="false" outlineLevel="0" collapsed="false">
      <c r="A11" s="6" t="s">
        <v>358</v>
      </c>
      <c r="C11" s="96" t="n">
        <f aca="false">-C32/MAX(1,Inputs!$E$15)</f>
        <v>1785.71428571429</v>
      </c>
      <c r="D11" s="96" t="n">
        <f aca="false">-D32/MAX(1,Inputs!$E$15)</f>
        <v>1785.71428571429</v>
      </c>
      <c r="E11" s="96" t="n">
        <f aca="false">-E32/MAX(1,Inputs!$E$15)</f>
        <v>1785.71428571429</v>
      </c>
      <c r="F11" s="96" t="n">
        <f aca="false">-F32/MAX(1,Inputs!$E$15)</f>
        <v>1785.71428571429</v>
      </c>
      <c r="G11" s="96" t="n">
        <f aca="false">-G32/MAX(1,Inputs!$E$15)</f>
        <v>1785.71428571429</v>
      </c>
      <c r="H11" s="96" t="n">
        <f aca="false">-H32/MAX(1,Inputs!$E$15)</f>
        <v>1785.71428571429</v>
      </c>
      <c r="I11" s="96" t="n">
        <f aca="false">-I32/MAX(1,Inputs!$E$15)</f>
        <v>1785.71428571429</v>
      </c>
      <c r="J11" s="96" t="n">
        <f aca="false">-J32/MAX(1,Inputs!$E$15)</f>
        <v>1785.71428571429</v>
      </c>
      <c r="K11" s="96" t="n">
        <f aca="false">-K32/MAX(1,Inputs!$E$15)</f>
        <v>1785.71428571429</v>
      </c>
      <c r="L11" s="96" t="n">
        <f aca="false">-L32/MAX(1,Inputs!$E$15)</f>
        <v>1785.71428571429</v>
      </c>
      <c r="M11" s="96" t="n">
        <f aca="false">-M32/MAX(1,Inputs!$E$15)</f>
        <v>1785.71428571429</v>
      </c>
      <c r="N11" s="96" t="n">
        <f aca="false">-N32/MAX(1,Inputs!$E$15)</f>
        <v>1785.71428571429</v>
      </c>
      <c r="O11" s="96" t="n">
        <f aca="false">-O32/MAX(1,Inputs!$E$15)</f>
        <v>2142.85714285714</v>
      </c>
      <c r="P11" s="96" t="n">
        <f aca="false">-P32/MAX(1,Inputs!$E$15)</f>
        <v>2142.85714285714</v>
      </c>
      <c r="Q11" s="96" t="n">
        <f aca="false">-Q32/MAX(1,Inputs!$E$15)</f>
        <v>2142.85714285714</v>
      </c>
      <c r="R11" s="96" t="n">
        <f aca="false">-R32/MAX(1,Inputs!$E$15)</f>
        <v>2142.85714285714</v>
      </c>
      <c r="S11" s="96" t="n">
        <f aca="false">-S32/MAX(1,Inputs!$E$15)</f>
        <v>2142.85714285714</v>
      </c>
      <c r="T11" s="96" t="n">
        <f aca="false">-T32/MAX(1,Inputs!$E$15)</f>
        <v>2142.85714285714</v>
      </c>
      <c r="U11" s="96" t="n">
        <f aca="false">-U32/MAX(1,Inputs!$E$15)</f>
        <v>2142.85714285714</v>
      </c>
      <c r="V11" s="96" t="n">
        <f aca="false">-V32/MAX(1,Inputs!$E$15)</f>
        <v>2142.85714285714</v>
      </c>
      <c r="W11" s="96" t="n">
        <f aca="false">-W32/MAX(1,Inputs!$E$15)</f>
        <v>2142.85714285714</v>
      </c>
      <c r="X11" s="96" t="n">
        <f aca="false">-X32/MAX(1,Inputs!$E$15)</f>
        <v>2142.85714285714</v>
      </c>
      <c r="Y11" s="96" t="n">
        <f aca="false">-Y32/MAX(1,Inputs!$E$15)</f>
        <v>2142.85714285714</v>
      </c>
      <c r="Z11" s="96" t="n">
        <f aca="false">-Z32/MAX(1,Inputs!$E$15)</f>
        <v>2142.85714285714</v>
      </c>
      <c r="AA11" s="96" t="n">
        <f aca="false">-AA32/MAX(1,Inputs!$E$15)</f>
        <v>2571.42857142857</v>
      </c>
      <c r="AB11" s="96" t="n">
        <f aca="false">-AB32/MAX(1,Inputs!$E$15)</f>
        <v>2571.42857142857</v>
      </c>
      <c r="AC11" s="96" t="n">
        <f aca="false">-AC32/MAX(1,Inputs!$E$15)</f>
        <v>2571.42857142857</v>
      </c>
      <c r="AD11" s="96" t="n">
        <f aca="false">-AD32/MAX(1,Inputs!$E$15)</f>
        <v>2571.42857142857</v>
      </c>
      <c r="AE11" s="96" t="n">
        <f aca="false">-AE32/MAX(1,Inputs!$E$15)</f>
        <v>2571.42857142857</v>
      </c>
      <c r="AF11" s="96" t="n">
        <f aca="false">-AF32/MAX(1,Inputs!$E$15)</f>
        <v>2571.42857142857</v>
      </c>
      <c r="AG11" s="96" t="n">
        <f aca="false">-AG32/MAX(1,Inputs!$E$15)</f>
        <v>2571.42857142857</v>
      </c>
      <c r="AH11" s="96" t="n">
        <f aca="false">-AH32/MAX(1,Inputs!$E$15)</f>
        <v>2571.42857142857</v>
      </c>
      <c r="AI11" s="96" t="n">
        <f aca="false">-AI32/MAX(1,Inputs!$E$15)</f>
        <v>2571.42857142857</v>
      </c>
      <c r="AJ11" s="96" t="n">
        <f aca="false">-AJ32/MAX(1,Inputs!$E$15)</f>
        <v>2571.42857142857</v>
      </c>
      <c r="AK11" s="96" t="n">
        <f aca="false">-AK32/MAX(1,Inputs!$E$15)</f>
        <v>2571.42857142857</v>
      </c>
      <c r="AL11" s="96" t="n">
        <f aca="false">-AL32/MAX(1,Inputs!$E$15)</f>
        <v>2571.42857142857</v>
      </c>
      <c r="AM11" s="96" t="n">
        <f aca="false">-AM32/MAX(1,Inputs!$E$15)</f>
        <v>3085.71428571429</v>
      </c>
      <c r="AN11" s="96" t="n">
        <f aca="false">-AN32/MAX(1,Inputs!$E$15)</f>
        <v>3085.71428571429</v>
      </c>
      <c r="AO11" s="96" t="n">
        <f aca="false">-AO32/MAX(1,Inputs!$E$15)</f>
        <v>3085.71428571429</v>
      </c>
      <c r="AP11" s="96" t="n">
        <f aca="false">-AP32/MAX(1,Inputs!$E$15)</f>
        <v>3085.71428571429</v>
      </c>
      <c r="AQ11" s="96" t="n">
        <f aca="false">-AQ32/MAX(1,Inputs!$E$15)</f>
        <v>3085.71428571429</v>
      </c>
      <c r="AR11" s="96" t="n">
        <f aca="false">-AR32/MAX(1,Inputs!$E$15)</f>
        <v>3085.71428571429</v>
      </c>
      <c r="AS11" s="96" t="n">
        <f aca="false">-AS32/MAX(1,Inputs!$E$15)</f>
        <v>3085.71428571429</v>
      </c>
      <c r="AT11" s="96" t="n">
        <f aca="false">-AT32/MAX(1,Inputs!$E$15)</f>
        <v>3085.71428571429</v>
      </c>
      <c r="AU11" s="96" t="n">
        <f aca="false">-AU32/MAX(1,Inputs!$E$15)</f>
        <v>3085.71428571429</v>
      </c>
      <c r="AV11" s="96" t="n">
        <f aca="false">-AV32/MAX(1,Inputs!$E$15)</f>
        <v>3085.71428571429</v>
      </c>
      <c r="AW11" s="96" t="n">
        <f aca="false">-AW32/MAX(1,Inputs!$E$15)</f>
        <v>3085.71428571429</v>
      </c>
      <c r="AX11" s="96" t="n">
        <f aca="false">-AX32/MAX(1,Inputs!$E$15)</f>
        <v>3085.71428571429</v>
      </c>
      <c r="AY11" s="96" t="n">
        <f aca="false">-AY32/MAX(1,Inputs!$E$15)</f>
        <v>3702.85714285714</v>
      </c>
      <c r="AZ11" s="96" t="n">
        <f aca="false">-AZ32/MAX(1,Inputs!$E$15)</f>
        <v>3702.85714285714</v>
      </c>
      <c r="BA11" s="96" t="n">
        <f aca="false">-BA32/MAX(1,Inputs!$E$15)</f>
        <v>3702.85714285714</v>
      </c>
      <c r="BB11" s="96" t="n">
        <f aca="false">-BB32/MAX(1,Inputs!$E$15)</f>
        <v>3702.85714285714</v>
      </c>
      <c r="BC11" s="96" t="n">
        <f aca="false">-BC32/MAX(1,Inputs!$E$15)</f>
        <v>3702.85714285714</v>
      </c>
      <c r="BD11" s="96" t="n">
        <f aca="false">-BD32/MAX(1,Inputs!$E$15)</f>
        <v>3702.85714285714</v>
      </c>
      <c r="BE11" s="96" t="n">
        <f aca="false">-BE32/MAX(1,Inputs!$E$15)</f>
        <v>3702.85714285714</v>
      </c>
      <c r="BF11" s="96" t="n">
        <f aca="false">-BF32/MAX(1,Inputs!$E$15)</f>
        <v>3702.85714285714</v>
      </c>
      <c r="BG11" s="96" t="n">
        <f aca="false">-BG32/MAX(1,Inputs!$E$15)</f>
        <v>3702.85714285714</v>
      </c>
      <c r="BH11" s="96" t="n">
        <f aca="false">-BH32/MAX(1,Inputs!$E$15)</f>
        <v>3702.85714285714</v>
      </c>
      <c r="BI11" s="96" t="n">
        <f aca="false">-BI32/MAX(1,Inputs!$E$15)</f>
        <v>3702.85714285714</v>
      </c>
      <c r="BJ11" s="96" t="n">
        <f aca="false">-BJ32/MAX(1,Inputs!$E$15)</f>
        <v>3702.85714285714</v>
      </c>
    </row>
    <row r="12" customFormat="false" ht="15" hidden="false" customHeight="false" outlineLevel="0" collapsed="false">
      <c r="A12" s="6" t="s">
        <v>359</v>
      </c>
      <c r="C12" s="96" t="n">
        <f aca="false">C10+C11</f>
        <v>3590.51428571429</v>
      </c>
      <c r="D12" s="96" t="n">
        <f aca="false">D10+D11</f>
        <v>3590.51428571429</v>
      </c>
      <c r="E12" s="96" t="n">
        <f aca="false">E10+E11</f>
        <v>3590.51428571429</v>
      </c>
      <c r="F12" s="96" t="n">
        <f aca="false">F10+F11</f>
        <v>3590.51428571429</v>
      </c>
      <c r="G12" s="96" t="n">
        <f aca="false">G10+G11</f>
        <v>3590.51428571429</v>
      </c>
      <c r="H12" s="96" t="n">
        <f aca="false">H10+H11</f>
        <v>3590.51428571429</v>
      </c>
      <c r="I12" s="96" t="n">
        <f aca="false">I10+I11</f>
        <v>3590.51428571429</v>
      </c>
      <c r="J12" s="96" t="n">
        <f aca="false">J10+J11</f>
        <v>3590.51428571429</v>
      </c>
      <c r="K12" s="96" t="n">
        <f aca="false">K10+K11</f>
        <v>3590.51428571429</v>
      </c>
      <c r="L12" s="96" t="n">
        <f aca="false">L10+L11</f>
        <v>3590.51428571429</v>
      </c>
      <c r="M12" s="96" t="n">
        <f aca="false">M10+M11</f>
        <v>4281.71428571429</v>
      </c>
      <c r="N12" s="96" t="n">
        <f aca="false">N10+N11</f>
        <v>4281.71428571429</v>
      </c>
      <c r="O12" s="96" t="n">
        <f aca="false">O10+O11</f>
        <v>4398.85714285714</v>
      </c>
      <c r="P12" s="96" t="n">
        <f aca="false">P10+P11</f>
        <v>4398.85714285714</v>
      </c>
      <c r="Q12" s="96" t="n">
        <f aca="false">Q10+Q11</f>
        <v>4398.85714285714</v>
      </c>
      <c r="R12" s="96" t="n">
        <f aca="false">R10+R11</f>
        <v>4398.85714285714</v>
      </c>
      <c r="S12" s="96" t="n">
        <f aca="false">S10+S11</f>
        <v>4398.85714285714</v>
      </c>
      <c r="T12" s="96" t="n">
        <f aca="false">T10+T11</f>
        <v>4398.85714285714</v>
      </c>
      <c r="U12" s="96" t="n">
        <f aca="false">U10+U11</f>
        <v>4398.85714285714</v>
      </c>
      <c r="V12" s="96" t="n">
        <f aca="false">V10+V11</f>
        <v>4398.85714285714</v>
      </c>
      <c r="W12" s="96" t="n">
        <f aca="false">W10+W11</f>
        <v>4398.85714285714</v>
      </c>
      <c r="X12" s="96" t="n">
        <f aca="false">X10+X11</f>
        <v>4398.85714285714</v>
      </c>
      <c r="Y12" s="96" t="n">
        <f aca="false">Y10+Y11</f>
        <v>5262.85714285714</v>
      </c>
      <c r="Z12" s="96" t="n">
        <f aca="false">Z10+Z11</f>
        <v>5262.85714285714</v>
      </c>
      <c r="AA12" s="96" t="n">
        <f aca="false">AA10+AA11</f>
        <v>5391.42857142857</v>
      </c>
      <c r="AB12" s="96" t="n">
        <f aca="false">AB10+AB11</f>
        <v>5391.42857142857</v>
      </c>
      <c r="AC12" s="96" t="n">
        <f aca="false">AC10+AC11</f>
        <v>5391.42857142857</v>
      </c>
      <c r="AD12" s="96" t="n">
        <f aca="false">AD10+AD11</f>
        <v>5391.42857142857</v>
      </c>
      <c r="AE12" s="96" t="n">
        <f aca="false">AE10+AE11</f>
        <v>5391.42857142857</v>
      </c>
      <c r="AF12" s="96" t="n">
        <f aca="false">AF10+AF11</f>
        <v>5391.42857142857</v>
      </c>
      <c r="AG12" s="96" t="n">
        <f aca="false">AG10+AG11</f>
        <v>5391.42857142857</v>
      </c>
      <c r="AH12" s="96" t="n">
        <f aca="false">AH10+AH11</f>
        <v>5391.42857142857</v>
      </c>
      <c r="AI12" s="96" t="n">
        <f aca="false">AI10+AI11</f>
        <v>5391.42857142857</v>
      </c>
      <c r="AJ12" s="96" t="n">
        <f aca="false">AJ10+AJ11</f>
        <v>5391.42857142857</v>
      </c>
      <c r="AK12" s="96" t="n">
        <f aca="false">AK10+AK11</f>
        <v>6471.42857142857</v>
      </c>
      <c r="AL12" s="96" t="n">
        <f aca="false">AL10+AL11</f>
        <v>6471.42857142857</v>
      </c>
      <c r="AM12" s="96" t="n">
        <f aca="false">AM10+AM11</f>
        <v>6610.71428571429</v>
      </c>
      <c r="AN12" s="96" t="n">
        <f aca="false">AN10+AN11</f>
        <v>6610.71428571429</v>
      </c>
      <c r="AO12" s="96" t="n">
        <f aca="false">AO10+AO11</f>
        <v>6610.71428571429</v>
      </c>
      <c r="AP12" s="96" t="n">
        <f aca="false">AP10+AP11</f>
        <v>6610.71428571429</v>
      </c>
      <c r="AQ12" s="96" t="n">
        <f aca="false">AQ10+AQ11</f>
        <v>6610.71428571429</v>
      </c>
      <c r="AR12" s="96" t="n">
        <f aca="false">AR10+AR11</f>
        <v>6610.71428571429</v>
      </c>
      <c r="AS12" s="96" t="n">
        <f aca="false">AS10+AS11</f>
        <v>6610.71428571429</v>
      </c>
      <c r="AT12" s="96" t="n">
        <f aca="false">AT10+AT11</f>
        <v>6610.71428571429</v>
      </c>
      <c r="AU12" s="96" t="n">
        <f aca="false">AU10+AU11</f>
        <v>6610.71428571429</v>
      </c>
      <c r="AV12" s="96" t="n">
        <f aca="false">AV10+AV11</f>
        <v>6610.71428571429</v>
      </c>
      <c r="AW12" s="96" t="n">
        <f aca="false">AW10+AW11</f>
        <v>7960.71428571429</v>
      </c>
      <c r="AX12" s="96" t="n">
        <f aca="false">AX10+AX11</f>
        <v>7960.71428571429</v>
      </c>
      <c r="AY12" s="96" t="n">
        <f aca="false">AY10+AY11</f>
        <v>8109.10714285714</v>
      </c>
      <c r="AZ12" s="96" t="n">
        <f aca="false">AZ10+AZ11</f>
        <v>8109.10714285714</v>
      </c>
      <c r="BA12" s="96" t="n">
        <f aca="false">BA10+BA11</f>
        <v>8109.10714285714</v>
      </c>
      <c r="BB12" s="96" t="n">
        <f aca="false">BB10+BB11</f>
        <v>8109.10714285714</v>
      </c>
      <c r="BC12" s="96" t="n">
        <f aca="false">BC10+BC11</f>
        <v>8109.10714285714</v>
      </c>
      <c r="BD12" s="96" t="n">
        <f aca="false">BD10+BD11</f>
        <v>8109.10714285714</v>
      </c>
      <c r="BE12" s="96" t="n">
        <f aca="false">BE10+BE11</f>
        <v>8109.10714285714</v>
      </c>
      <c r="BF12" s="96" t="n">
        <f aca="false">BF10+BF11</f>
        <v>8109.10714285714</v>
      </c>
      <c r="BG12" s="96" t="n">
        <f aca="false">BG10+BG11</f>
        <v>8109.10714285714</v>
      </c>
      <c r="BH12" s="96" t="n">
        <f aca="false">BH10+BH11</f>
        <v>8109.10714285714</v>
      </c>
      <c r="BI12" s="96" t="n">
        <f aca="false">BI10+BI11</f>
        <v>9796.60714285714</v>
      </c>
      <c r="BJ12" s="96" t="n">
        <f aca="false">BJ10+BJ11</f>
        <v>9796.60714285714</v>
      </c>
    </row>
    <row r="13" customFormat="false" ht="15" hidden="false" customHeight="false" outlineLevel="0" collapsed="false">
      <c r="A13" s="6" t="s">
        <v>360</v>
      </c>
      <c r="C13" s="96" t="n">
        <f aca="false">C12*Inputs!$E$12</f>
        <v>1795.25714285714</v>
      </c>
      <c r="D13" s="96" t="n">
        <f aca="false">D12*Inputs!$E$12</f>
        <v>1795.25714285714</v>
      </c>
      <c r="E13" s="96" t="n">
        <f aca="false">E12*Inputs!$E$12</f>
        <v>1795.25714285714</v>
      </c>
      <c r="F13" s="96" t="n">
        <f aca="false">F12*Inputs!$E$12</f>
        <v>1795.25714285714</v>
      </c>
      <c r="G13" s="96" t="n">
        <f aca="false">G12*Inputs!$E$12</f>
        <v>1795.25714285714</v>
      </c>
      <c r="H13" s="96" t="n">
        <f aca="false">H12*Inputs!$E$12</f>
        <v>1795.25714285714</v>
      </c>
      <c r="I13" s="96" t="n">
        <f aca="false">I12*Inputs!$E$12</f>
        <v>1795.25714285714</v>
      </c>
      <c r="J13" s="96" t="n">
        <f aca="false">J12*Inputs!$E$12</f>
        <v>1795.25714285714</v>
      </c>
      <c r="K13" s="96" t="n">
        <f aca="false">K12*Inputs!$E$12</f>
        <v>1795.25714285714</v>
      </c>
      <c r="L13" s="96" t="n">
        <f aca="false">L12*Inputs!$E$12</f>
        <v>1795.25714285714</v>
      </c>
      <c r="M13" s="96" t="n">
        <f aca="false">M12*Inputs!$E$12</f>
        <v>2140.85714285714</v>
      </c>
      <c r="N13" s="96" t="n">
        <f aca="false">N12*Inputs!$E$12</f>
        <v>2140.85714285714</v>
      </c>
      <c r="O13" s="96" t="n">
        <f aca="false">O12*Inputs!$E$12</f>
        <v>2199.42857142857</v>
      </c>
      <c r="P13" s="96" t="n">
        <f aca="false">P12*Inputs!$E$12</f>
        <v>2199.42857142857</v>
      </c>
      <c r="Q13" s="96" t="n">
        <f aca="false">Q12*Inputs!$E$12</f>
        <v>2199.42857142857</v>
      </c>
      <c r="R13" s="96" t="n">
        <f aca="false">R12*Inputs!$E$12</f>
        <v>2199.42857142857</v>
      </c>
      <c r="S13" s="96" t="n">
        <f aca="false">S12*Inputs!$E$12</f>
        <v>2199.42857142857</v>
      </c>
      <c r="T13" s="96" t="n">
        <f aca="false">T12*Inputs!$E$12</f>
        <v>2199.42857142857</v>
      </c>
      <c r="U13" s="96" t="n">
        <f aca="false">U12*Inputs!$E$12</f>
        <v>2199.42857142857</v>
      </c>
      <c r="V13" s="96" t="n">
        <f aca="false">V12*Inputs!$E$12</f>
        <v>2199.42857142857</v>
      </c>
      <c r="W13" s="96" t="n">
        <f aca="false">W12*Inputs!$E$12</f>
        <v>2199.42857142857</v>
      </c>
      <c r="X13" s="96" t="n">
        <f aca="false">X12*Inputs!$E$12</f>
        <v>2199.42857142857</v>
      </c>
      <c r="Y13" s="96" t="n">
        <f aca="false">Y12*Inputs!$E$12</f>
        <v>2631.42857142857</v>
      </c>
      <c r="Z13" s="96" t="n">
        <f aca="false">Z12*Inputs!$E$12</f>
        <v>2631.42857142857</v>
      </c>
      <c r="AA13" s="96" t="n">
        <f aca="false">AA12*Inputs!$E$12</f>
        <v>2695.71428571429</v>
      </c>
      <c r="AB13" s="96" t="n">
        <f aca="false">AB12*Inputs!$E$12</f>
        <v>2695.71428571429</v>
      </c>
      <c r="AC13" s="96" t="n">
        <f aca="false">AC12*Inputs!$E$12</f>
        <v>2695.71428571429</v>
      </c>
      <c r="AD13" s="96" t="n">
        <f aca="false">AD12*Inputs!$E$12</f>
        <v>2695.71428571429</v>
      </c>
      <c r="AE13" s="96" t="n">
        <f aca="false">AE12*Inputs!$E$12</f>
        <v>2695.71428571429</v>
      </c>
      <c r="AF13" s="96" t="n">
        <f aca="false">AF12*Inputs!$E$12</f>
        <v>2695.71428571429</v>
      </c>
      <c r="AG13" s="96" t="n">
        <f aca="false">AG12*Inputs!$E$12</f>
        <v>2695.71428571429</v>
      </c>
      <c r="AH13" s="96" t="n">
        <f aca="false">AH12*Inputs!$E$12</f>
        <v>2695.71428571429</v>
      </c>
      <c r="AI13" s="96" t="n">
        <f aca="false">AI12*Inputs!$E$12</f>
        <v>2695.71428571429</v>
      </c>
      <c r="AJ13" s="96" t="n">
        <f aca="false">AJ12*Inputs!$E$12</f>
        <v>2695.71428571429</v>
      </c>
      <c r="AK13" s="96" t="n">
        <f aca="false">AK12*Inputs!$E$12</f>
        <v>3235.71428571429</v>
      </c>
      <c r="AL13" s="96" t="n">
        <f aca="false">AL12*Inputs!$E$12</f>
        <v>3235.71428571429</v>
      </c>
      <c r="AM13" s="96" t="n">
        <f aca="false">AM12*Inputs!$E$12</f>
        <v>3305.35714285714</v>
      </c>
      <c r="AN13" s="96" t="n">
        <f aca="false">AN12*Inputs!$E$12</f>
        <v>3305.35714285714</v>
      </c>
      <c r="AO13" s="96" t="n">
        <f aca="false">AO12*Inputs!$E$12</f>
        <v>3305.35714285714</v>
      </c>
      <c r="AP13" s="96" t="n">
        <f aca="false">AP12*Inputs!$E$12</f>
        <v>3305.35714285714</v>
      </c>
      <c r="AQ13" s="96" t="n">
        <f aca="false">AQ12*Inputs!$E$12</f>
        <v>3305.35714285714</v>
      </c>
      <c r="AR13" s="96" t="n">
        <f aca="false">AR12*Inputs!$E$12</f>
        <v>3305.35714285714</v>
      </c>
      <c r="AS13" s="96" t="n">
        <f aca="false">AS12*Inputs!$E$12</f>
        <v>3305.35714285714</v>
      </c>
      <c r="AT13" s="96" t="n">
        <f aca="false">AT12*Inputs!$E$12</f>
        <v>3305.35714285714</v>
      </c>
      <c r="AU13" s="96" t="n">
        <f aca="false">AU12*Inputs!$E$12</f>
        <v>3305.35714285714</v>
      </c>
      <c r="AV13" s="96" t="n">
        <f aca="false">AV12*Inputs!$E$12</f>
        <v>3305.35714285714</v>
      </c>
      <c r="AW13" s="96" t="n">
        <f aca="false">AW12*Inputs!$E$12</f>
        <v>3980.35714285714</v>
      </c>
      <c r="AX13" s="96" t="n">
        <f aca="false">AX12*Inputs!$E$12</f>
        <v>3980.35714285714</v>
      </c>
      <c r="AY13" s="96" t="n">
        <f aca="false">AY12*Inputs!$E$12</f>
        <v>4054.55357142857</v>
      </c>
      <c r="AZ13" s="96" t="n">
        <f aca="false">AZ12*Inputs!$E$12</f>
        <v>4054.55357142857</v>
      </c>
      <c r="BA13" s="96" t="n">
        <f aca="false">BA12*Inputs!$E$12</f>
        <v>4054.55357142857</v>
      </c>
      <c r="BB13" s="96" t="n">
        <f aca="false">BB12*Inputs!$E$12</f>
        <v>4054.55357142857</v>
      </c>
      <c r="BC13" s="96" t="n">
        <f aca="false">BC12*Inputs!$E$12</f>
        <v>4054.55357142857</v>
      </c>
      <c r="BD13" s="96" t="n">
        <f aca="false">BD12*Inputs!$E$12</f>
        <v>4054.55357142857</v>
      </c>
      <c r="BE13" s="96" t="n">
        <f aca="false">BE12*Inputs!$E$12</f>
        <v>4054.55357142857</v>
      </c>
      <c r="BF13" s="96" t="n">
        <f aca="false">BF12*Inputs!$E$12</f>
        <v>4054.55357142857</v>
      </c>
      <c r="BG13" s="96" t="n">
        <f aca="false">BG12*Inputs!$E$12</f>
        <v>4054.55357142857</v>
      </c>
      <c r="BH13" s="96" t="n">
        <f aca="false">BH12*Inputs!$E$12</f>
        <v>4054.55357142857</v>
      </c>
      <c r="BI13" s="96" t="n">
        <f aca="false">BI12*Inputs!$E$12</f>
        <v>4898.30357142857</v>
      </c>
      <c r="BJ13" s="96" t="n">
        <f aca="false">BJ12*Inputs!$E$12</f>
        <v>4898.30357142857</v>
      </c>
    </row>
    <row r="14" customFormat="false" ht="15" hidden="false" customHeight="false" outlineLevel="0" collapsed="false">
      <c r="A14" s="4" t="s">
        <v>57</v>
      </c>
      <c r="C14" s="97" t="n">
        <f aca="false">C12+C13</f>
        <v>5385.77142857143</v>
      </c>
      <c r="D14" s="97" t="n">
        <f aca="false">D12+D13</f>
        <v>5385.77142857143</v>
      </c>
      <c r="E14" s="97" t="n">
        <f aca="false">E12+E13</f>
        <v>5385.77142857143</v>
      </c>
      <c r="F14" s="97" t="n">
        <f aca="false">F12+F13</f>
        <v>5385.77142857143</v>
      </c>
      <c r="G14" s="97" t="n">
        <f aca="false">G12+G13</f>
        <v>5385.77142857143</v>
      </c>
      <c r="H14" s="97" t="n">
        <f aca="false">H12+H13</f>
        <v>5385.77142857143</v>
      </c>
      <c r="I14" s="97" t="n">
        <f aca="false">I12+I13</f>
        <v>5385.77142857143</v>
      </c>
      <c r="J14" s="97" t="n">
        <f aca="false">J12+J13</f>
        <v>5385.77142857143</v>
      </c>
      <c r="K14" s="97" t="n">
        <f aca="false">K12+K13</f>
        <v>5385.77142857143</v>
      </c>
      <c r="L14" s="97" t="n">
        <f aca="false">L12+L13</f>
        <v>5385.77142857143</v>
      </c>
      <c r="M14" s="97" t="n">
        <f aca="false">M12+M13</f>
        <v>6422.57142857143</v>
      </c>
      <c r="N14" s="97" t="n">
        <f aca="false">N12+N13</f>
        <v>6422.57142857143</v>
      </c>
      <c r="O14" s="97" t="n">
        <f aca="false">O12+O13</f>
        <v>6598.28571428572</v>
      </c>
      <c r="P14" s="97" t="n">
        <f aca="false">P12+P13</f>
        <v>6598.28571428572</v>
      </c>
      <c r="Q14" s="97" t="n">
        <f aca="false">Q12+Q13</f>
        <v>6598.28571428572</v>
      </c>
      <c r="R14" s="97" t="n">
        <f aca="false">R12+R13</f>
        <v>6598.28571428572</v>
      </c>
      <c r="S14" s="97" t="n">
        <f aca="false">S12+S13</f>
        <v>6598.28571428572</v>
      </c>
      <c r="T14" s="97" t="n">
        <f aca="false">T12+T13</f>
        <v>6598.28571428572</v>
      </c>
      <c r="U14" s="97" t="n">
        <f aca="false">U12+U13</f>
        <v>6598.28571428572</v>
      </c>
      <c r="V14" s="97" t="n">
        <f aca="false">V12+V13</f>
        <v>6598.28571428572</v>
      </c>
      <c r="W14" s="97" t="n">
        <f aca="false">W12+W13</f>
        <v>6598.28571428572</v>
      </c>
      <c r="X14" s="97" t="n">
        <f aca="false">X12+X13</f>
        <v>6598.28571428572</v>
      </c>
      <c r="Y14" s="97" t="n">
        <f aca="false">Y12+Y13</f>
        <v>7894.28571428572</v>
      </c>
      <c r="Z14" s="97" t="n">
        <f aca="false">Z12+Z13</f>
        <v>7894.28571428572</v>
      </c>
      <c r="AA14" s="97" t="n">
        <f aca="false">AA12+AA13</f>
        <v>8087.14285714286</v>
      </c>
      <c r="AB14" s="97" t="n">
        <f aca="false">AB12+AB13</f>
        <v>8087.14285714286</v>
      </c>
      <c r="AC14" s="97" t="n">
        <f aca="false">AC12+AC13</f>
        <v>8087.14285714286</v>
      </c>
      <c r="AD14" s="97" t="n">
        <f aca="false">AD12+AD13</f>
        <v>8087.14285714286</v>
      </c>
      <c r="AE14" s="97" t="n">
        <f aca="false">AE12+AE13</f>
        <v>8087.14285714286</v>
      </c>
      <c r="AF14" s="97" t="n">
        <f aca="false">AF12+AF13</f>
        <v>8087.14285714286</v>
      </c>
      <c r="AG14" s="97" t="n">
        <f aca="false">AG12+AG13</f>
        <v>8087.14285714286</v>
      </c>
      <c r="AH14" s="97" t="n">
        <f aca="false">AH12+AH13</f>
        <v>8087.14285714286</v>
      </c>
      <c r="AI14" s="97" t="n">
        <f aca="false">AI12+AI13</f>
        <v>8087.14285714286</v>
      </c>
      <c r="AJ14" s="97" t="n">
        <f aca="false">AJ12+AJ13</f>
        <v>8087.14285714286</v>
      </c>
      <c r="AK14" s="97" t="n">
        <f aca="false">AK12+AK13</f>
        <v>9707.14285714286</v>
      </c>
      <c r="AL14" s="97" t="n">
        <f aca="false">AL12+AL13</f>
        <v>9707.14285714286</v>
      </c>
      <c r="AM14" s="97" t="n">
        <f aca="false">AM12+AM13</f>
        <v>9916.07142857143</v>
      </c>
      <c r="AN14" s="97" t="n">
        <f aca="false">AN12+AN13</f>
        <v>9916.07142857143</v>
      </c>
      <c r="AO14" s="97" t="n">
        <f aca="false">AO12+AO13</f>
        <v>9916.07142857143</v>
      </c>
      <c r="AP14" s="97" t="n">
        <f aca="false">AP12+AP13</f>
        <v>9916.07142857143</v>
      </c>
      <c r="AQ14" s="97" t="n">
        <f aca="false">AQ12+AQ13</f>
        <v>9916.07142857143</v>
      </c>
      <c r="AR14" s="97" t="n">
        <f aca="false">AR12+AR13</f>
        <v>9916.07142857143</v>
      </c>
      <c r="AS14" s="97" t="n">
        <f aca="false">AS12+AS13</f>
        <v>9916.07142857143</v>
      </c>
      <c r="AT14" s="97" t="n">
        <f aca="false">AT12+AT13</f>
        <v>9916.07142857143</v>
      </c>
      <c r="AU14" s="97" t="n">
        <f aca="false">AU12+AU13</f>
        <v>9916.07142857143</v>
      </c>
      <c r="AV14" s="97" t="n">
        <f aca="false">AV12+AV13</f>
        <v>9916.07142857143</v>
      </c>
      <c r="AW14" s="97" t="n">
        <f aca="false">AW12+AW13</f>
        <v>11941.0714285714</v>
      </c>
      <c r="AX14" s="97" t="n">
        <f aca="false">AX12+AX13</f>
        <v>11941.0714285714</v>
      </c>
      <c r="AY14" s="97" t="n">
        <f aca="false">AY12+AY13</f>
        <v>12163.6607142857</v>
      </c>
      <c r="AZ14" s="97" t="n">
        <f aca="false">AZ12+AZ13</f>
        <v>12163.6607142857</v>
      </c>
      <c r="BA14" s="97" t="n">
        <f aca="false">BA12+BA13</f>
        <v>12163.6607142857</v>
      </c>
      <c r="BB14" s="97" t="n">
        <f aca="false">BB12+BB13</f>
        <v>12163.6607142857</v>
      </c>
      <c r="BC14" s="97" t="n">
        <f aca="false">BC12+BC13</f>
        <v>12163.6607142857</v>
      </c>
      <c r="BD14" s="97" t="n">
        <f aca="false">BD12+BD13</f>
        <v>12163.6607142857</v>
      </c>
      <c r="BE14" s="97" t="n">
        <f aca="false">BE12+BE13</f>
        <v>12163.6607142857</v>
      </c>
      <c r="BF14" s="97" t="n">
        <f aca="false">BF12+BF13</f>
        <v>12163.6607142857</v>
      </c>
      <c r="BG14" s="97" t="n">
        <f aca="false">BG12+BG13</f>
        <v>12163.6607142857</v>
      </c>
      <c r="BH14" s="97" t="n">
        <f aca="false">BH12+BH13</f>
        <v>12163.6607142857</v>
      </c>
      <c r="BI14" s="97" t="n">
        <f aca="false">BI12+BI13</f>
        <v>14694.9107142857</v>
      </c>
      <c r="BJ14" s="97" t="n">
        <f aca="false">BJ12+BJ13</f>
        <v>14694.9107142857</v>
      </c>
    </row>
    <row r="15" customFormat="false" ht="15" hidden="false" customHeight="false" outlineLevel="0" collapsed="false">
      <c r="A15" s="6" t="s">
        <v>361</v>
      </c>
      <c r="C15" s="98" t="n">
        <f aca="false">Inputs!$E$10*(1+Inputs!$E$11)^(C$5-1)</f>
        <v>75</v>
      </c>
      <c r="D15" s="98" t="n">
        <f aca="false">Inputs!$E$10*(1+Inputs!$E$11)^(D$5-1)</f>
        <v>75</v>
      </c>
      <c r="E15" s="98" t="n">
        <f aca="false">Inputs!$E$10*(1+Inputs!$E$11)^(E$5-1)</f>
        <v>75</v>
      </c>
      <c r="F15" s="98" t="n">
        <f aca="false">Inputs!$E$10*(1+Inputs!$E$11)^(F$5-1)</f>
        <v>75</v>
      </c>
      <c r="G15" s="98" t="n">
        <f aca="false">Inputs!$E$10*(1+Inputs!$E$11)^(G$5-1)</f>
        <v>75</v>
      </c>
      <c r="H15" s="98" t="n">
        <f aca="false">Inputs!$E$10*(1+Inputs!$E$11)^(H$5-1)</f>
        <v>75</v>
      </c>
      <c r="I15" s="98" t="n">
        <f aca="false">Inputs!$E$10*(1+Inputs!$E$11)^(I$5-1)</f>
        <v>75</v>
      </c>
      <c r="J15" s="98" t="n">
        <f aca="false">Inputs!$E$10*(1+Inputs!$E$11)^(J$5-1)</f>
        <v>75</v>
      </c>
      <c r="K15" s="98" t="n">
        <f aca="false">Inputs!$E$10*(1+Inputs!$E$11)^(K$5-1)</f>
        <v>75</v>
      </c>
      <c r="L15" s="98" t="n">
        <f aca="false">Inputs!$E$10*(1+Inputs!$E$11)^(L$5-1)</f>
        <v>75</v>
      </c>
      <c r="M15" s="98" t="n">
        <f aca="false">Inputs!$E$10*(1+Inputs!$E$11)^(M$5-1)</f>
        <v>75</v>
      </c>
      <c r="N15" s="98" t="n">
        <f aca="false">Inputs!$E$10*(1+Inputs!$E$11)^(N$5-1)</f>
        <v>75</v>
      </c>
      <c r="O15" s="98" t="n">
        <f aca="false">Inputs!$E$10*(1+Inputs!$E$11)^(O$5-1)</f>
        <v>76.5</v>
      </c>
      <c r="P15" s="98" t="n">
        <f aca="false">Inputs!$E$10*(1+Inputs!$E$11)^(P$5-1)</f>
        <v>76.5</v>
      </c>
      <c r="Q15" s="98" t="n">
        <f aca="false">Inputs!$E$10*(1+Inputs!$E$11)^(Q$5-1)</f>
        <v>76.5</v>
      </c>
      <c r="R15" s="98" t="n">
        <f aca="false">Inputs!$E$10*(1+Inputs!$E$11)^(R$5-1)</f>
        <v>76.5</v>
      </c>
      <c r="S15" s="98" t="n">
        <f aca="false">Inputs!$E$10*(1+Inputs!$E$11)^(S$5-1)</f>
        <v>76.5</v>
      </c>
      <c r="T15" s="98" t="n">
        <f aca="false">Inputs!$E$10*(1+Inputs!$E$11)^(T$5-1)</f>
        <v>76.5</v>
      </c>
      <c r="U15" s="98" t="n">
        <f aca="false">Inputs!$E$10*(1+Inputs!$E$11)^(U$5-1)</f>
        <v>76.5</v>
      </c>
      <c r="V15" s="98" t="n">
        <f aca="false">Inputs!$E$10*(1+Inputs!$E$11)^(V$5-1)</f>
        <v>76.5</v>
      </c>
      <c r="W15" s="98" t="n">
        <f aca="false">Inputs!$E$10*(1+Inputs!$E$11)^(W$5-1)</f>
        <v>76.5</v>
      </c>
      <c r="X15" s="98" t="n">
        <f aca="false">Inputs!$E$10*(1+Inputs!$E$11)^(X$5-1)</f>
        <v>76.5</v>
      </c>
      <c r="Y15" s="98" t="n">
        <f aca="false">Inputs!$E$10*(1+Inputs!$E$11)^(Y$5-1)</f>
        <v>76.5</v>
      </c>
      <c r="Z15" s="98" t="n">
        <f aca="false">Inputs!$E$10*(1+Inputs!$E$11)^(Z$5-1)</f>
        <v>76.5</v>
      </c>
      <c r="AA15" s="98" t="n">
        <f aca="false">Inputs!$E$10*(1+Inputs!$E$11)^(AA$5-1)</f>
        <v>78.03</v>
      </c>
      <c r="AB15" s="98" t="n">
        <f aca="false">Inputs!$E$10*(1+Inputs!$E$11)^(AB$5-1)</f>
        <v>78.03</v>
      </c>
      <c r="AC15" s="98" t="n">
        <f aca="false">Inputs!$E$10*(1+Inputs!$E$11)^(AC$5-1)</f>
        <v>78.03</v>
      </c>
      <c r="AD15" s="98" t="n">
        <f aca="false">Inputs!$E$10*(1+Inputs!$E$11)^(AD$5-1)</f>
        <v>78.03</v>
      </c>
      <c r="AE15" s="98" t="n">
        <f aca="false">Inputs!$E$10*(1+Inputs!$E$11)^(AE$5-1)</f>
        <v>78.03</v>
      </c>
      <c r="AF15" s="98" t="n">
        <f aca="false">Inputs!$E$10*(1+Inputs!$E$11)^(AF$5-1)</f>
        <v>78.03</v>
      </c>
      <c r="AG15" s="98" t="n">
        <f aca="false">Inputs!$E$10*(1+Inputs!$E$11)^(AG$5-1)</f>
        <v>78.03</v>
      </c>
      <c r="AH15" s="98" t="n">
        <f aca="false">Inputs!$E$10*(1+Inputs!$E$11)^(AH$5-1)</f>
        <v>78.03</v>
      </c>
      <c r="AI15" s="98" t="n">
        <f aca="false">Inputs!$E$10*(1+Inputs!$E$11)^(AI$5-1)</f>
        <v>78.03</v>
      </c>
      <c r="AJ15" s="98" t="n">
        <f aca="false">Inputs!$E$10*(1+Inputs!$E$11)^(AJ$5-1)</f>
        <v>78.03</v>
      </c>
      <c r="AK15" s="98" t="n">
        <f aca="false">Inputs!$E$10*(1+Inputs!$E$11)^(AK$5-1)</f>
        <v>78.03</v>
      </c>
      <c r="AL15" s="98" t="n">
        <f aca="false">Inputs!$E$10*(1+Inputs!$E$11)^(AL$5-1)</f>
        <v>78.03</v>
      </c>
      <c r="AM15" s="98" t="n">
        <f aca="false">Inputs!$E$10*(1+Inputs!$E$11)^(AM$5-1)</f>
        <v>79.5906</v>
      </c>
      <c r="AN15" s="98" t="n">
        <f aca="false">Inputs!$E$10*(1+Inputs!$E$11)^(AN$5-1)</f>
        <v>79.5906</v>
      </c>
      <c r="AO15" s="98" t="n">
        <f aca="false">Inputs!$E$10*(1+Inputs!$E$11)^(AO$5-1)</f>
        <v>79.5906</v>
      </c>
      <c r="AP15" s="98" t="n">
        <f aca="false">Inputs!$E$10*(1+Inputs!$E$11)^(AP$5-1)</f>
        <v>79.5906</v>
      </c>
      <c r="AQ15" s="98" t="n">
        <f aca="false">Inputs!$E$10*(1+Inputs!$E$11)^(AQ$5-1)</f>
        <v>79.5906</v>
      </c>
      <c r="AR15" s="98" t="n">
        <f aca="false">Inputs!$E$10*(1+Inputs!$E$11)^(AR$5-1)</f>
        <v>79.5906</v>
      </c>
      <c r="AS15" s="98" t="n">
        <f aca="false">Inputs!$E$10*(1+Inputs!$E$11)^(AS$5-1)</f>
        <v>79.5906</v>
      </c>
      <c r="AT15" s="98" t="n">
        <f aca="false">Inputs!$E$10*(1+Inputs!$E$11)^(AT$5-1)</f>
        <v>79.5906</v>
      </c>
      <c r="AU15" s="98" t="n">
        <f aca="false">Inputs!$E$10*(1+Inputs!$E$11)^(AU$5-1)</f>
        <v>79.5906</v>
      </c>
      <c r="AV15" s="98" t="n">
        <f aca="false">Inputs!$E$10*(1+Inputs!$E$11)^(AV$5-1)</f>
        <v>79.5906</v>
      </c>
      <c r="AW15" s="98" t="n">
        <f aca="false">Inputs!$E$10*(1+Inputs!$E$11)^(AW$5-1)</f>
        <v>79.5906</v>
      </c>
      <c r="AX15" s="98" t="n">
        <f aca="false">Inputs!$E$10*(1+Inputs!$E$11)^(AX$5-1)</f>
        <v>79.5906</v>
      </c>
      <c r="AY15" s="98" t="n">
        <f aca="false">Inputs!$E$10*(1+Inputs!$E$11)^(AY$5-1)</f>
        <v>81.182412</v>
      </c>
      <c r="AZ15" s="98" t="n">
        <f aca="false">Inputs!$E$10*(1+Inputs!$E$11)^(AZ$5-1)</f>
        <v>81.182412</v>
      </c>
      <c r="BA15" s="98" t="n">
        <f aca="false">Inputs!$E$10*(1+Inputs!$E$11)^(BA$5-1)</f>
        <v>81.182412</v>
      </c>
      <c r="BB15" s="98" t="n">
        <f aca="false">Inputs!$E$10*(1+Inputs!$E$11)^(BB$5-1)</f>
        <v>81.182412</v>
      </c>
      <c r="BC15" s="98" t="n">
        <f aca="false">Inputs!$E$10*(1+Inputs!$E$11)^(BC$5-1)</f>
        <v>81.182412</v>
      </c>
      <c r="BD15" s="98" t="n">
        <f aca="false">Inputs!$E$10*(1+Inputs!$E$11)^(BD$5-1)</f>
        <v>81.182412</v>
      </c>
      <c r="BE15" s="98" t="n">
        <f aca="false">Inputs!$E$10*(1+Inputs!$E$11)^(BE$5-1)</f>
        <v>81.182412</v>
      </c>
      <c r="BF15" s="98" t="n">
        <f aca="false">Inputs!$E$10*(1+Inputs!$E$11)^(BF$5-1)</f>
        <v>81.182412</v>
      </c>
      <c r="BG15" s="98" t="n">
        <f aca="false">Inputs!$E$10*(1+Inputs!$E$11)^(BG$5-1)</f>
        <v>81.182412</v>
      </c>
      <c r="BH15" s="98" t="n">
        <f aca="false">Inputs!$E$10*(1+Inputs!$E$11)^(BH$5-1)</f>
        <v>81.182412</v>
      </c>
      <c r="BI15" s="98" t="n">
        <f aca="false">Inputs!$E$10*(1+Inputs!$E$11)^(BI$5-1)</f>
        <v>81.182412</v>
      </c>
      <c r="BJ15" s="98" t="n">
        <f aca="false">Inputs!$E$10*(1+Inputs!$E$11)^(BJ$5-1)</f>
        <v>81.182412</v>
      </c>
    </row>
    <row r="16" customFormat="false" ht="15" hidden="false" customHeight="false" outlineLevel="0" collapsed="false">
      <c r="A16" s="4" t="s">
        <v>55</v>
      </c>
      <c r="C16" s="58" t="n">
        <f aca="false">C14*C15</f>
        <v>403932.857142857</v>
      </c>
      <c r="D16" s="58" t="n">
        <f aca="false">D14*D15</f>
        <v>403932.857142857</v>
      </c>
      <c r="E16" s="58" t="n">
        <f aca="false">E14*E15</f>
        <v>403932.857142857</v>
      </c>
      <c r="F16" s="58" t="n">
        <f aca="false">F14*F15</f>
        <v>403932.857142857</v>
      </c>
      <c r="G16" s="58" t="n">
        <f aca="false">G14*G15</f>
        <v>403932.857142857</v>
      </c>
      <c r="H16" s="58" t="n">
        <f aca="false">H14*H15</f>
        <v>403932.857142857</v>
      </c>
      <c r="I16" s="58" t="n">
        <f aca="false">I14*I15</f>
        <v>403932.857142857</v>
      </c>
      <c r="J16" s="58" t="n">
        <f aca="false">J14*J15</f>
        <v>403932.857142857</v>
      </c>
      <c r="K16" s="58" t="n">
        <f aca="false">K14*K15</f>
        <v>403932.857142857</v>
      </c>
      <c r="L16" s="58" t="n">
        <f aca="false">L14*L15</f>
        <v>403932.857142857</v>
      </c>
      <c r="M16" s="58" t="n">
        <f aca="false">M14*M15</f>
        <v>481692.857142857</v>
      </c>
      <c r="N16" s="58" t="n">
        <f aca="false">N14*N15</f>
        <v>481692.857142857</v>
      </c>
      <c r="O16" s="58" t="n">
        <f aca="false">O14*O15</f>
        <v>504768.857142857</v>
      </c>
      <c r="P16" s="58" t="n">
        <f aca="false">P14*P15</f>
        <v>504768.857142857</v>
      </c>
      <c r="Q16" s="58" t="n">
        <f aca="false">Q14*Q15</f>
        <v>504768.857142857</v>
      </c>
      <c r="R16" s="58" t="n">
        <f aca="false">R14*R15</f>
        <v>504768.857142857</v>
      </c>
      <c r="S16" s="58" t="n">
        <f aca="false">S14*S15</f>
        <v>504768.857142857</v>
      </c>
      <c r="T16" s="58" t="n">
        <f aca="false">T14*T15</f>
        <v>504768.857142857</v>
      </c>
      <c r="U16" s="58" t="n">
        <f aca="false">U14*U15</f>
        <v>504768.857142857</v>
      </c>
      <c r="V16" s="58" t="n">
        <f aca="false">V14*V15</f>
        <v>504768.857142857</v>
      </c>
      <c r="W16" s="58" t="n">
        <f aca="false">W14*W15</f>
        <v>504768.857142857</v>
      </c>
      <c r="X16" s="58" t="n">
        <f aca="false">X14*X15</f>
        <v>504768.857142857</v>
      </c>
      <c r="Y16" s="58" t="n">
        <f aca="false">Y14*Y15</f>
        <v>603912.857142857</v>
      </c>
      <c r="Z16" s="58" t="n">
        <f aca="false">Z14*Z15</f>
        <v>603912.857142857</v>
      </c>
      <c r="AA16" s="58" t="n">
        <f aca="false">AA14*AA15</f>
        <v>631039.757142857</v>
      </c>
      <c r="AB16" s="58" t="n">
        <f aca="false">AB14*AB15</f>
        <v>631039.757142857</v>
      </c>
      <c r="AC16" s="58" t="n">
        <f aca="false">AC14*AC15</f>
        <v>631039.757142857</v>
      </c>
      <c r="AD16" s="58" t="n">
        <f aca="false">AD14*AD15</f>
        <v>631039.757142857</v>
      </c>
      <c r="AE16" s="58" t="n">
        <f aca="false">AE14*AE15</f>
        <v>631039.757142857</v>
      </c>
      <c r="AF16" s="58" t="n">
        <f aca="false">AF14*AF15</f>
        <v>631039.757142857</v>
      </c>
      <c r="AG16" s="58" t="n">
        <f aca="false">AG14*AG15</f>
        <v>631039.757142857</v>
      </c>
      <c r="AH16" s="58" t="n">
        <f aca="false">AH14*AH15</f>
        <v>631039.757142857</v>
      </c>
      <c r="AI16" s="58" t="n">
        <f aca="false">AI14*AI15</f>
        <v>631039.757142857</v>
      </c>
      <c r="AJ16" s="58" t="n">
        <f aca="false">AJ14*AJ15</f>
        <v>631039.757142857</v>
      </c>
      <c r="AK16" s="58" t="n">
        <f aca="false">AK14*AK15</f>
        <v>757448.357142857</v>
      </c>
      <c r="AL16" s="58" t="n">
        <f aca="false">AL14*AL15</f>
        <v>757448.357142857</v>
      </c>
      <c r="AM16" s="58" t="n">
        <f aca="false">AM14*AM15</f>
        <v>789226.074642857</v>
      </c>
      <c r="AN16" s="58" t="n">
        <f aca="false">AN14*AN15</f>
        <v>789226.074642857</v>
      </c>
      <c r="AO16" s="58" t="n">
        <f aca="false">AO14*AO15</f>
        <v>789226.074642857</v>
      </c>
      <c r="AP16" s="58" t="n">
        <f aca="false">AP14*AP15</f>
        <v>789226.074642857</v>
      </c>
      <c r="AQ16" s="58" t="n">
        <f aca="false">AQ14*AQ15</f>
        <v>789226.074642857</v>
      </c>
      <c r="AR16" s="58" t="n">
        <f aca="false">AR14*AR15</f>
        <v>789226.074642857</v>
      </c>
      <c r="AS16" s="58" t="n">
        <f aca="false">AS14*AS15</f>
        <v>789226.074642857</v>
      </c>
      <c r="AT16" s="58" t="n">
        <f aca="false">AT14*AT15</f>
        <v>789226.074642857</v>
      </c>
      <c r="AU16" s="58" t="n">
        <f aca="false">AU14*AU15</f>
        <v>789226.074642857</v>
      </c>
      <c r="AV16" s="58" t="n">
        <f aca="false">AV14*AV15</f>
        <v>789226.074642857</v>
      </c>
      <c r="AW16" s="58" t="n">
        <f aca="false">AW14*AW15</f>
        <v>950397.039642857</v>
      </c>
      <c r="AX16" s="58" t="n">
        <f aca="false">AX14*AX15</f>
        <v>950397.039642857</v>
      </c>
      <c r="AY16" s="58" t="n">
        <f aca="false">AY14*AY15</f>
        <v>987475.315535357</v>
      </c>
      <c r="AZ16" s="58" t="n">
        <f aca="false">AZ14*AZ15</f>
        <v>987475.315535357</v>
      </c>
      <c r="BA16" s="58" t="n">
        <f aca="false">BA14*BA15</f>
        <v>987475.315535357</v>
      </c>
      <c r="BB16" s="58" t="n">
        <f aca="false">BB14*BB15</f>
        <v>987475.315535357</v>
      </c>
      <c r="BC16" s="58" t="n">
        <f aca="false">BC14*BC15</f>
        <v>987475.315535357</v>
      </c>
      <c r="BD16" s="58" t="n">
        <f aca="false">BD14*BD15</f>
        <v>987475.315535357</v>
      </c>
      <c r="BE16" s="58" t="n">
        <f aca="false">BE14*BE15</f>
        <v>987475.315535357</v>
      </c>
      <c r="BF16" s="58" t="n">
        <f aca="false">BF14*BF15</f>
        <v>987475.315535357</v>
      </c>
      <c r="BG16" s="58" t="n">
        <f aca="false">BG14*BG15</f>
        <v>987475.315535357</v>
      </c>
      <c r="BH16" s="58" t="n">
        <f aca="false">BH14*BH15</f>
        <v>987475.315535357</v>
      </c>
      <c r="BI16" s="58" t="n">
        <f aca="false">BI14*BI15</f>
        <v>1192968.29591036</v>
      </c>
      <c r="BJ16" s="58" t="n">
        <f aca="false">BJ14*BJ15</f>
        <v>1192968.29591036</v>
      </c>
    </row>
    <row r="18" customFormat="false" ht="15.75" hidden="false" customHeight="true" outlineLevel="0" collapsed="false">
      <c r="A18" s="7" t="s">
        <v>212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362</v>
      </c>
      <c r="C19" s="95" t="n">
        <f aca="false">Inputs!$E$18+Inputs!$E$19*(C$5-1)</f>
        <v>2</v>
      </c>
      <c r="D19" s="95" t="n">
        <f aca="false">Inputs!$E$18+Inputs!$E$19*(D$5-1)</f>
        <v>2</v>
      </c>
      <c r="E19" s="95" t="n">
        <f aca="false">Inputs!$E$18+Inputs!$E$19*(E$5-1)</f>
        <v>2</v>
      </c>
      <c r="F19" s="95" t="n">
        <f aca="false">Inputs!$E$18+Inputs!$E$19*(F$5-1)</f>
        <v>2</v>
      </c>
      <c r="G19" s="95" t="n">
        <f aca="false">Inputs!$E$18+Inputs!$E$19*(G$5-1)</f>
        <v>2</v>
      </c>
      <c r="H19" s="95" t="n">
        <f aca="false">Inputs!$E$18+Inputs!$E$19*(H$5-1)</f>
        <v>2</v>
      </c>
      <c r="I19" s="95" t="n">
        <f aca="false">Inputs!$E$18+Inputs!$E$19*(I$5-1)</f>
        <v>2</v>
      </c>
      <c r="J19" s="95" t="n">
        <f aca="false">Inputs!$E$18+Inputs!$E$19*(J$5-1)</f>
        <v>2</v>
      </c>
      <c r="K19" s="95" t="n">
        <f aca="false">Inputs!$E$18+Inputs!$E$19*(K$5-1)</f>
        <v>2</v>
      </c>
      <c r="L19" s="95" t="n">
        <f aca="false">Inputs!$E$18+Inputs!$E$19*(L$5-1)</f>
        <v>2</v>
      </c>
      <c r="M19" s="95" t="n">
        <f aca="false">Inputs!$E$18+Inputs!$E$19*(M$5-1)</f>
        <v>2</v>
      </c>
      <c r="N19" s="95" t="n">
        <f aca="false">Inputs!$E$18+Inputs!$E$19*(N$5-1)</f>
        <v>2</v>
      </c>
      <c r="O19" s="95" t="n">
        <f aca="false">Inputs!$E$18+Inputs!$E$19*(O$5-1)</f>
        <v>3</v>
      </c>
      <c r="P19" s="95" t="n">
        <f aca="false">Inputs!$E$18+Inputs!$E$19*(P$5-1)</f>
        <v>3</v>
      </c>
      <c r="Q19" s="95" t="n">
        <f aca="false">Inputs!$E$18+Inputs!$E$19*(Q$5-1)</f>
        <v>3</v>
      </c>
      <c r="R19" s="95" t="n">
        <f aca="false">Inputs!$E$18+Inputs!$E$19*(R$5-1)</f>
        <v>3</v>
      </c>
      <c r="S19" s="95" t="n">
        <f aca="false">Inputs!$E$18+Inputs!$E$19*(S$5-1)</f>
        <v>3</v>
      </c>
      <c r="T19" s="95" t="n">
        <f aca="false">Inputs!$E$18+Inputs!$E$19*(T$5-1)</f>
        <v>3</v>
      </c>
      <c r="U19" s="95" t="n">
        <f aca="false">Inputs!$E$18+Inputs!$E$19*(U$5-1)</f>
        <v>3</v>
      </c>
      <c r="V19" s="95" t="n">
        <f aca="false">Inputs!$E$18+Inputs!$E$19*(V$5-1)</f>
        <v>3</v>
      </c>
      <c r="W19" s="95" t="n">
        <f aca="false">Inputs!$E$18+Inputs!$E$19*(W$5-1)</f>
        <v>3</v>
      </c>
      <c r="X19" s="95" t="n">
        <f aca="false">Inputs!$E$18+Inputs!$E$19*(X$5-1)</f>
        <v>3</v>
      </c>
      <c r="Y19" s="95" t="n">
        <f aca="false">Inputs!$E$18+Inputs!$E$19*(Y$5-1)</f>
        <v>3</v>
      </c>
      <c r="Z19" s="95" t="n">
        <f aca="false">Inputs!$E$18+Inputs!$E$19*(Z$5-1)</f>
        <v>3</v>
      </c>
      <c r="AA19" s="95" t="n">
        <f aca="false">Inputs!$E$18+Inputs!$E$19*(AA$5-1)</f>
        <v>4</v>
      </c>
      <c r="AB19" s="95" t="n">
        <f aca="false">Inputs!$E$18+Inputs!$E$19*(AB$5-1)</f>
        <v>4</v>
      </c>
      <c r="AC19" s="95" t="n">
        <f aca="false">Inputs!$E$18+Inputs!$E$19*(AC$5-1)</f>
        <v>4</v>
      </c>
      <c r="AD19" s="95" t="n">
        <f aca="false">Inputs!$E$18+Inputs!$E$19*(AD$5-1)</f>
        <v>4</v>
      </c>
      <c r="AE19" s="95" t="n">
        <f aca="false">Inputs!$E$18+Inputs!$E$19*(AE$5-1)</f>
        <v>4</v>
      </c>
      <c r="AF19" s="95" t="n">
        <f aca="false">Inputs!$E$18+Inputs!$E$19*(AF$5-1)</f>
        <v>4</v>
      </c>
      <c r="AG19" s="95" t="n">
        <f aca="false">Inputs!$E$18+Inputs!$E$19*(AG$5-1)</f>
        <v>4</v>
      </c>
      <c r="AH19" s="95" t="n">
        <f aca="false">Inputs!$E$18+Inputs!$E$19*(AH$5-1)</f>
        <v>4</v>
      </c>
      <c r="AI19" s="95" t="n">
        <f aca="false">Inputs!$E$18+Inputs!$E$19*(AI$5-1)</f>
        <v>4</v>
      </c>
      <c r="AJ19" s="95" t="n">
        <f aca="false">Inputs!$E$18+Inputs!$E$19*(AJ$5-1)</f>
        <v>4</v>
      </c>
      <c r="AK19" s="95" t="n">
        <f aca="false">Inputs!$E$18+Inputs!$E$19*(AK$5-1)</f>
        <v>4</v>
      </c>
      <c r="AL19" s="95" t="n">
        <f aca="false">Inputs!$E$18+Inputs!$E$19*(AL$5-1)</f>
        <v>4</v>
      </c>
      <c r="AM19" s="95" t="n">
        <f aca="false">Inputs!$E$18+Inputs!$E$19*(AM$5-1)</f>
        <v>5</v>
      </c>
      <c r="AN19" s="95" t="n">
        <f aca="false">Inputs!$E$18+Inputs!$E$19*(AN$5-1)</f>
        <v>5</v>
      </c>
      <c r="AO19" s="95" t="n">
        <f aca="false">Inputs!$E$18+Inputs!$E$19*(AO$5-1)</f>
        <v>5</v>
      </c>
      <c r="AP19" s="95" t="n">
        <f aca="false">Inputs!$E$18+Inputs!$E$19*(AP$5-1)</f>
        <v>5</v>
      </c>
      <c r="AQ19" s="95" t="n">
        <f aca="false">Inputs!$E$18+Inputs!$E$19*(AQ$5-1)</f>
        <v>5</v>
      </c>
      <c r="AR19" s="95" t="n">
        <f aca="false">Inputs!$E$18+Inputs!$E$19*(AR$5-1)</f>
        <v>5</v>
      </c>
      <c r="AS19" s="95" t="n">
        <f aca="false">Inputs!$E$18+Inputs!$E$19*(AS$5-1)</f>
        <v>5</v>
      </c>
      <c r="AT19" s="95" t="n">
        <f aca="false">Inputs!$E$18+Inputs!$E$19*(AT$5-1)</f>
        <v>5</v>
      </c>
      <c r="AU19" s="95" t="n">
        <f aca="false">Inputs!$E$18+Inputs!$E$19*(AU$5-1)</f>
        <v>5</v>
      </c>
      <c r="AV19" s="95" t="n">
        <f aca="false">Inputs!$E$18+Inputs!$E$19*(AV$5-1)</f>
        <v>5</v>
      </c>
      <c r="AW19" s="95" t="n">
        <f aca="false">Inputs!$E$18+Inputs!$E$19*(AW$5-1)</f>
        <v>5</v>
      </c>
      <c r="AX19" s="95" t="n">
        <f aca="false">Inputs!$E$18+Inputs!$E$19*(AX$5-1)</f>
        <v>5</v>
      </c>
      <c r="AY19" s="95" t="n">
        <f aca="false">Inputs!$E$18+Inputs!$E$19*(AY$5-1)</f>
        <v>6</v>
      </c>
      <c r="AZ19" s="95" t="n">
        <f aca="false">Inputs!$E$18+Inputs!$E$19*(AZ$5-1)</f>
        <v>6</v>
      </c>
      <c r="BA19" s="95" t="n">
        <f aca="false">Inputs!$E$18+Inputs!$E$19*(BA$5-1)</f>
        <v>6</v>
      </c>
      <c r="BB19" s="95" t="n">
        <f aca="false">Inputs!$E$18+Inputs!$E$19*(BB$5-1)</f>
        <v>6</v>
      </c>
      <c r="BC19" s="95" t="n">
        <f aca="false">Inputs!$E$18+Inputs!$E$19*(BC$5-1)</f>
        <v>6</v>
      </c>
      <c r="BD19" s="95" t="n">
        <f aca="false">Inputs!$E$18+Inputs!$E$19*(BD$5-1)</f>
        <v>6</v>
      </c>
      <c r="BE19" s="95" t="n">
        <f aca="false">Inputs!$E$18+Inputs!$E$19*(BE$5-1)</f>
        <v>6</v>
      </c>
      <c r="BF19" s="95" t="n">
        <f aca="false">Inputs!$E$18+Inputs!$E$19*(BF$5-1)</f>
        <v>6</v>
      </c>
      <c r="BG19" s="95" t="n">
        <f aca="false">Inputs!$E$18+Inputs!$E$19*(BG$5-1)</f>
        <v>6</v>
      </c>
      <c r="BH19" s="95" t="n">
        <f aca="false">Inputs!$E$18+Inputs!$E$19*(BH$5-1)</f>
        <v>6</v>
      </c>
      <c r="BI19" s="95" t="n">
        <f aca="false">Inputs!$E$18+Inputs!$E$19*(BI$5-1)</f>
        <v>6</v>
      </c>
      <c r="BJ19" s="95" t="n">
        <f aca="false">Inputs!$E$18+Inputs!$E$19*(BJ$5-1)</f>
        <v>6</v>
      </c>
    </row>
    <row r="20" customFormat="false" ht="15" hidden="false" customHeight="false" outlineLevel="0" collapsed="false">
      <c r="A20" s="4" t="s">
        <v>56</v>
      </c>
      <c r="C20" s="58" t="n">
        <f aca="false">C19*Inputs!$E$20*Inputs!$E$21*(1+Inputs!$E$22)^(C$5-1)/12*1*C8</f>
        <v>88125</v>
      </c>
      <c r="D20" s="58" t="n">
        <f aca="false">D19*Inputs!$E$20*Inputs!$E$21*(1+Inputs!$E$22)^(D$5-1)/12*1*D8</f>
        <v>88125</v>
      </c>
      <c r="E20" s="58" t="n">
        <f aca="false">E19*Inputs!$E$20*Inputs!$E$21*(1+Inputs!$E$22)^(E$5-1)/12*1*E8</f>
        <v>88125</v>
      </c>
      <c r="F20" s="58" t="n">
        <f aca="false">F19*Inputs!$E$20*Inputs!$E$21*(1+Inputs!$E$22)^(F$5-1)/12*1*F8</f>
        <v>88125</v>
      </c>
      <c r="G20" s="58" t="n">
        <f aca="false">G19*Inputs!$E$20*Inputs!$E$21*(1+Inputs!$E$22)^(G$5-1)/12*1*G8</f>
        <v>88125</v>
      </c>
      <c r="H20" s="58" t="n">
        <f aca="false">H19*Inputs!$E$20*Inputs!$E$21*(1+Inputs!$E$22)^(H$5-1)/12*1*H8</f>
        <v>88125</v>
      </c>
      <c r="I20" s="58" t="n">
        <f aca="false">I19*Inputs!$E$20*Inputs!$E$21*(1+Inputs!$E$22)^(I$5-1)/12*1*I8</f>
        <v>88125</v>
      </c>
      <c r="J20" s="58" t="n">
        <f aca="false">J19*Inputs!$E$20*Inputs!$E$21*(1+Inputs!$E$22)^(J$5-1)/12*1*J8</f>
        <v>88125</v>
      </c>
      <c r="K20" s="58" t="n">
        <f aca="false">K19*Inputs!$E$20*Inputs!$E$21*(1+Inputs!$E$22)^(K$5-1)/12*1*K8</f>
        <v>88125</v>
      </c>
      <c r="L20" s="58" t="n">
        <f aca="false">L19*Inputs!$E$20*Inputs!$E$21*(1+Inputs!$E$22)^(L$5-1)/12*1*L8</f>
        <v>88125</v>
      </c>
      <c r="M20" s="58" t="n">
        <f aca="false">M19*Inputs!$E$20*Inputs!$E$21*(1+Inputs!$E$22)^(M$5-1)/12*1*M8</f>
        <v>121875</v>
      </c>
      <c r="N20" s="58" t="n">
        <f aca="false">N19*Inputs!$E$20*Inputs!$E$21*(1+Inputs!$E$22)^(N$5-1)/12*1*N8</f>
        <v>121875</v>
      </c>
      <c r="O20" s="58" t="n">
        <f aca="false">O19*Inputs!$E$20*Inputs!$E$21*(1+Inputs!$E$22)^(O$5-1)/12*1*O8</f>
        <v>134831.25</v>
      </c>
      <c r="P20" s="58" t="n">
        <f aca="false">P19*Inputs!$E$20*Inputs!$E$21*(1+Inputs!$E$22)^(P$5-1)/12*1*P8</f>
        <v>134831.25</v>
      </c>
      <c r="Q20" s="58" t="n">
        <f aca="false">Q19*Inputs!$E$20*Inputs!$E$21*(1+Inputs!$E$22)^(Q$5-1)/12*1*Q8</f>
        <v>134831.25</v>
      </c>
      <c r="R20" s="58" t="n">
        <f aca="false">R19*Inputs!$E$20*Inputs!$E$21*(1+Inputs!$E$22)^(R$5-1)/12*1*R8</f>
        <v>134831.25</v>
      </c>
      <c r="S20" s="58" t="n">
        <f aca="false">S19*Inputs!$E$20*Inputs!$E$21*(1+Inputs!$E$22)^(S$5-1)/12*1*S8</f>
        <v>134831.25</v>
      </c>
      <c r="T20" s="58" t="n">
        <f aca="false">T19*Inputs!$E$20*Inputs!$E$21*(1+Inputs!$E$22)^(T$5-1)/12*1*T8</f>
        <v>134831.25</v>
      </c>
      <c r="U20" s="58" t="n">
        <f aca="false">U19*Inputs!$E$20*Inputs!$E$21*(1+Inputs!$E$22)^(U$5-1)/12*1*U8</f>
        <v>134831.25</v>
      </c>
      <c r="V20" s="58" t="n">
        <f aca="false">V19*Inputs!$E$20*Inputs!$E$21*(1+Inputs!$E$22)^(V$5-1)/12*1*V8</f>
        <v>134831.25</v>
      </c>
      <c r="W20" s="58" t="n">
        <f aca="false">W19*Inputs!$E$20*Inputs!$E$21*(1+Inputs!$E$22)^(W$5-1)/12*1*W8</f>
        <v>134831.25</v>
      </c>
      <c r="X20" s="58" t="n">
        <f aca="false">X19*Inputs!$E$20*Inputs!$E$21*(1+Inputs!$E$22)^(X$5-1)/12*1*X8</f>
        <v>134831.25</v>
      </c>
      <c r="Y20" s="58" t="n">
        <f aca="false">Y19*Inputs!$E$20*Inputs!$E$21*(1+Inputs!$E$22)^(Y$5-1)/12*1*Y8</f>
        <v>186468.75</v>
      </c>
      <c r="Z20" s="58" t="n">
        <f aca="false">Z19*Inputs!$E$20*Inputs!$E$21*(1+Inputs!$E$22)^(Z$5-1)/12*1*Z8</f>
        <v>186468.75</v>
      </c>
      <c r="AA20" s="58" t="n">
        <f aca="false">AA19*Inputs!$E$20*Inputs!$E$21*(1+Inputs!$E$22)^(AA$5-1)/12*1*AA8</f>
        <v>183370.5</v>
      </c>
      <c r="AB20" s="58" t="n">
        <f aca="false">AB19*Inputs!$E$20*Inputs!$E$21*(1+Inputs!$E$22)^(AB$5-1)/12*1*AB8</f>
        <v>183370.5</v>
      </c>
      <c r="AC20" s="58" t="n">
        <f aca="false">AC19*Inputs!$E$20*Inputs!$E$21*(1+Inputs!$E$22)^(AC$5-1)/12*1*AC8</f>
        <v>183370.5</v>
      </c>
      <c r="AD20" s="58" t="n">
        <f aca="false">AD19*Inputs!$E$20*Inputs!$E$21*(1+Inputs!$E$22)^(AD$5-1)/12*1*AD8</f>
        <v>183370.5</v>
      </c>
      <c r="AE20" s="58" t="n">
        <f aca="false">AE19*Inputs!$E$20*Inputs!$E$21*(1+Inputs!$E$22)^(AE$5-1)/12*1*AE8</f>
        <v>183370.5</v>
      </c>
      <c r="AF20" s="58" t="n">
        <f aca="false">AF19*Inputs!$E$20*Inputs!$E$21*(1+Inputs!$E$22)^(AF$5-1)/12*1*AF8</f>
        <v>183370.5</v>
      </c>
      <c r="AG20" s="58" t="n">
        <f aca="false">AG19*Inputs!$E$20*Inputs!$E$21*(1+Inputs!$E$22)^(AG$5-1)/12*1*AG8</f>
        <v>183370.5</v>
      </c>
      <c r="AH20" s="58" t="n">
        <f aca="false">AH19*Inputs!$E$20*Inputs!$E$21*(1+Inputs!$E$22)^(AH$5-1)/12*1*AH8</f>
        <v>183370.5</v>
      </c>
      <c r="AI20" s="58" t="n">
        <f aca="false">AI19*Inputs!$E$20*Inputs!$E$21*(1+Inputs!$E$22)^(AI$5-1)/12*1*AI8</f>
        <v>183370.5</v>
      </c>
      <c r="AJ20" s="58" t="n">
        <f aca="false">AJ19*Inputs!$E$20*Inputs!$E$21*(1+Inputs!$E$22)^(AJ$5-1)/12*1*AJ8</f>
        <v>183370.5</v>
      </c>
      <c r="AK20" s="58" t="n">
        <f aca="false">AK19*Inputs!$E$20*Inputs!$E$21*(1+Inputs!$E$22)^(AK$5-1)/12*1*AK8</f>
        <v>253597.5</v>
      </c>
      <c r="AL20" s="58" t="n">
        <f aca="false">AL19*Inputs!$E$20*Inputs!$E$21*(1+Inputs!$E$22)^(AL$5-1)/12*1*AL8</f>
        <v>253597.5</v>
      </c>
      <c r="AM20" s="58" t="n">
        <f aca="false">AM19*Inputs!$E$20*Inputs!$E$21*(1+Inputs!$E$22)^(AM$5-1)/12*1*AM8</f>
        <v>233797.3875</v>
      </c>
      <c r="AN20" s="58" t="n">
        <f aca="false">AN19*Inputs!$E$20*Inputs!$E$21*(1+Inputs!$E$22)^(AN$5-1)/12*1*AN8</f>
        <v>233797.3875</v>
      </c>
      <c r="AO20" s="58" t="n">
        <f aca="false">AO19*Inputs!$E$20*Inputs!$E$21*(1+Inputs!$E$22)^(AO$5-1)/12*1*AO8</f>
        <v>233797.3875</v>
      </c>
      <c r="AP20" s="58" t="n">
        <f aca="false">AP19*Inputs!$E$20*Inputs!$E$21*(1+Inputs!$E$22)^(AP$5-1)/12*1*AP8</f>
        <v>233797.3875</v>
      </c>
      <c r="AQ20" s="58" t="n">
        <f aca="false">AQ19*Inputs!$E$20*Inputs!$E$21*(1+Inputs!$E$22)^(AQ$5-1)/12*1*AQ8</f>
        <v>233797.3875</v>
      </c>
      <c r="AR20" s="58" t="n">
        <f aca="false">AR19*Inputs!$E$20*Inputs!$E$21*(1+Inputs!$E$22)^(AR$5-1)/12*1*AR8</f>
        <v>233797.3875</v>
      </c>
      <c r="AS20" s="58" t="n">
        <f aca="false">AS19*Inputs!$E$20*Inputs!$E$21*(1+Inputs!$E$22)^(AS$5-1)/12*1*AS8</f>
        <v>233797.3875</v>
      </c>
      <c r="AT20" s="58" t="n">
        <f aca="false">AT19*Inputs!$E$20*Inputs!$E$21*(1+Inputs!$E$22)^(AT$5-1)/12*1*AT8</f>
        <v>233797.3875</v>
      </c>
      <c r="AU20" s="58" t="n">
        <f aca="false">AU19*Inputs!$E$20*Inputs!$E$21*(1+Inputs!$E$22)^(AU$5-1)/12*1*AU8</f>
        <v>233797.3875</v>
      </c>
      <c r="AV20" s="58" t="n">
        <f aca="false">AV19*Inputs!$E$20*Inputs!$E$21*(1+Inputs!$E$22)^(AV$5-1)/12*1*AV8</f>
        <v>233797.3875</v>
      </c>
      <c r="AW20" s="58" t="n">
        <f aca="false">AW19*Inputs!$E$20*Inputs!$E$21*(1+Inputs!$E$22)^(AW$5-1)/12*1*AW8</f>
        <v>323336.8125</v>
      </c>
      <c r="AX20" s="58" t="n">
        <f aca="false">AX19*Inputs!$E$20*Inputs!$E$21*(1+Inputs!$E$22)^(AX$5-1)/12*1*AX8</f>
        <v>323336.8125</v>
      </c>
      <c r="AY20" s="58" t="n">
        <f aca="false">AY19*Inputs!$E$20*Inputs!$E$21*(1+Inputs!$E$22)^(AY$5-1)/12*1*AY8</f>
        <v>286168.0023</v>
      </c>
      <c r="AZ20" s="58" t="n">
        <f aca="false">AZ19*Inputs!$E$20*Inputs!$E$21*(1+Inputs!$E$22)^(AZ$5-1)/12*1*AZ8</f>
        <v>286168.0023</v>
      </c>
      <c r="BA20" s="58" t="n">
        <f aca="false">BA19*Inputs!$E$20*Inputs!$E$21*(1+Inputs!$E$22)^(BA$5-1)/12*1*BA8</f>
        <v>286168.0023</v>
      </c>
      <c r="BB20" s="58" t="n">
        <f aca="false">BB19*Inputs!$E$20*Inputs!$E$21*(1+Inputs!$E$22)^(BB$5-1)/12*1*BB8</f>
        <v>286168.0023</v>
      </c>
      <c r="BC20" s="58" t="n">
        <f aca="false">BC19*Inputs!$E$20*Inputs!$E$21*(1+Inputs!$E$22)^(BC$5-1)/12*1*BC8</f>
        <v>286168.0023</v>
      </c>
      <c r="BD20" s="58" t="n">
        <f aca="false">BD19*Inputs!$E$20*Inputs!$E$21*(1+Inputs!$E$22)^(BD$5-1)/12*1*BD8</f>
        <v>286168.0023</v>
      </c>
      <c r="BE20" s="58" t="n">
        <f aca="false">BE19*Inputs!$E$20*Inputs!$E$21*(1+Inputs!$E$22)^(BE$5-1)/12*1*BE8</f>
        <v>286168.0023</v>
      </c>
      <c r="BF20" s="58" t="n">
        <f aca="false">BF19*Inputs!$E$20*Inputs!$E$21*(1+Inputs!$E$22)^(BF$5-1)/12*1*BF8</f>
        <v>286168.0023</v>
      </c>
      <c r="BG20" s="58" t="n">
        <f aca="false">BG19*Inputs!$E$20*Inputs!$E$21*(1+Inputs!$E$22)^(BG$5-1)/12*1*BG8</f>
        <v>286168.0023</v>
      </c>
      <c r="BH20" s="58" t="n">
        <f aca="false">BH19*Inputs!$E$20*Inputs!$E$21*(1+Inputs!$E$22)^(BH$5-1)/12*1*BH8</f>
        <v>286168.0023</v>
      </c>
      <c r="BI20" s="58" t="n">
        <f aca="false">BI19*Inputs!$E$20*Inputs!$E$21*(1+Inputs!$E$22)^(BI$5-1)/12*1*BI8</f>
        <v>395764.2585</v>
      </c>
      <c r="BJ20" s="58" t="n">
        <f aca="false">BJ19*Inputs!$E$20*Inputs!$E$21*(1+Inputs!$E$22)^(BJ$5-1)/12*1*BJ8</f>
        <v>395764.2585</v>
      </c>
    </row>
    <row r="22" customFormat="false" ht="15.75" hidden="false" customHeight="true" outlineLevel="0" collapsed="false">
      <c r="A22" s="7" t="s">
        <v>363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92" t="s">
        <v>364</v>
      </c>
      <c r="C23" s="52" t="n">
        <f aca="false">C16+C20</f>
        <v>492057.857142857</v>
      </c>
      <c r="D23" s="52" t="n">
        <f aca="false">D16+D20</f>
        <v>492057.857142857</v>
      </c>
      <c r="E23" s="52" t="n">
        <f aca="false">E16+E20</f>
        <v>492057.857142857</v>
      </c>
      <c r="F23" s="52" t="n">
        <f aca="false">F16+F20</f>
        <v>492057.857142857</v>
      </c>
      <c r="G23" s="52" t="n">
        <f aca="false">G16+G20</f>
        <v>492057.857142857</v>
      </c>
      <c r="H23" s="52" t="n">
        <f aca="false">H16+H20</f>
        <v>492057.857142857</v>
      </c>
      <c r="I23" s="52" t="n">
        <f aca="false">I16+I20</f>
        <v>492057.857142857</v>
      </c>
      <c r="J23" s="52" t="n">
        <f aca="false">J16+J20</f>
        <v>492057.857142857</v>
      </c>
      <c r="K23" s="52" t="n">
        <f aca="false">K16+K20</f>
        <v>492057.857142857</v>
      </c>
      <c r="L23" s="52" t="n">
        <f aca="false">L16+L20</f>
        <v>492057.857142857</v>
      </c>
      <c r="M23" s="52" t="n">
        <f aca="false">M16+M20</f>
        <v>603567.857142857</v>
      </c>
      <c r="N23" s="52" t="n">
        <f aca="false">N16+N20</f>
        <v>603567.857142857</v>
      </c>
      <c r="O23" s="52" t="n">
        <f aca="false">O16+O20</f>
        <v>639600.107142857</v>
      </c>
      <c r="P23" s="52" t="n">
        <f aca="false">P16+P20</f>
        <v>639600.107142857</v>
      </c>
      <c r="Q23" s="52" t="n">
        <f aca="false">Q16+Q20</f>
        <v>639600.107142857</v>
      </c>
      <c r="R23" s="52" t="n">
        <f aca="false">R16+R20</f>
        <v>639600.107142857</v>
      </c>
      <c r="S23" s="52" t="n">
        <f aca="false">S16+S20</f>
        <v>639600.107142857</v>
      </c>
      <c r="T23" s="52" t="n">
        <f aca="false">T16+T20</f>
        <v>639600.107142857</v>
      </c>
      <c r="U23" s="52" t="n">
        <f aca="false">U16+U20</f>
        <v>639600.107142857</v>
      </c>
      <c r="V23" s="52" t="n">
        <f aca="false">V16+V20</f>
        <v>639600.107142857</v>
      </c>
      <c r="W23" s="52" t="n">
        <f aca="false">W16+W20</f>
        <v>639600.107142857</v>
      </c>
      <c r="X23" s="52" t="n">
        <f aca="false">X16+X20</f>
        <v>639600.107142857</v>
      </c>
      <c r="Y23" s="52" t="n">
        <f aca="false">Y16+Y20</f>
        <v>790381.607142857</v>
      </c>
      <c r="Z23" s="52" t="n">
        <f aca="false">Z16+Z20</f>
        <v>790381.607142857</v>
      </c>
      <c r="AA23" s="52" t="n">
        <f aca="false">AA16+AA20</f>
        <v>814410.257142857</v>
      </c>
      <c r="AB23" s="52" t="n">
        <f aca="false">AB16+AB20</f>
        <v>814410.257142857</v>
      </c>
      <c r="AC23" s="52" t="n">
        <f aca="false">AC16+AC20</f>
        <v>814410.257142857</v>
      </c>
      <c r="AD23" s="52" t="n">
        <f aca="false">AD16+AD20</f>
        <v>814410.257142857</v>
      </c>
      <c r="AE23" s="52" t="n">
        <f aca="false">AE16+AE20</f>
        <v>814410.257142857</v>
      </c>
      <c r="AF23" s="52" t="n">
        <f aca="false">AF16+AF20</f>
        <v>814410.257142857</v>
      </c>
      <c r="AG23" s="52" t="n">
        <f aca="false">AG16+AG20</f>
        <v>814410.257142857</v>
      </c>
      <c r="AH23" s="52" t="n">
        <f aca="false">AH16+AH20</f>
        <v>814410.257142857</v>
      </c>
      <c r="AI23" s="52" t="n">
        <f aca="false">AI16+AI20</f>
        <v>814410.257142857</v>
      </c>
      <c r="AJ23" s="52" t="n">
        <f aca="false">AJ16+AJ20</f>
        <v>814410.257142857</v>
      </c>
      <c r="AK23" s="52" t="n">
        <f aca="false">AK16+AK20</f>
        <v>1011045.85714286</v>
      </c>
      <c r="AL23" s="52" t="n">
        <f aca="false">AL16+AL20</f>
        <v>1011045.85714286</v>
      </c>
      <c r="AM23" s="52" t="n">
        <f aca="false">AM16+AM20</f>
        <v>1023023.46214286</v>
      </c>
      <c r="AN23" s="52" t="n">
        <f aca="false">AN16+AN20</f>
        <v>1023023.46214286</v>
      </c>
      <c r="AO23" s="52" t="n">
        <f aca="false">AO16+AO20</f>
        <v>1023023.46214286</v>
      </c>
      <c r="AP23" s="52" t="n">
        <f aca="false">AP16+AP20</f>
        <v>1023023.46214286</v>
      </c>
      <c r="AQ23" s="52" t="n">
        <f aca="false">AQ16+AQ20</f>
        <v>1023023.46214286</v>
      </c>
      <c r="AR23" s="52" t="n">
        <f aca="false">AR16+AR20</f>
        <v>1023023.46214286</v>
      </c>
      <c r="AS23" s="52" t="n">
        <f aca="false">AS16+AS20</f>
        <v>1023023.46214286</v>
      </c>
      <c r="AT23" s="52" t="n">
        <f aca="false">AT16+AT20</f>
        <v>1023023.46214286</v>
      </c>
      <c r="AU23" s="52" t="n">
        <f aca="false">AU16+AU20</f>
        <v>1023023.46214286</v>
      </c>
      <c r="AV23" s="52" t="n">
        <f aca="false">AV16+AV20</f>
        <v>1023023.46214286</v>
      </c>
      <c r="AW23" s="52" t="n">
        <f aca="false">AW16+AW20</f>
        <v>1273733.85214286</v>
      </c>
      <c r="AX23" s="52" t="n">
        <f aca="false">AX16+AX20</f>
        <v>1273733.85214286</v>
      </c>
      <c r="AY23" s="52" t="n">
        <f aca="false">AY16+AY20</f>
        <v>1273643.31783536</v>
      </c>
      <c r="AZ23" s="52" t="n">
        <f aca="false">AZ16+AZ20</f>
        <v>1273643.31783536</v>
      </c>
      <c r="BA23" s="52" t="n">
        <f aca="false">BA16+BA20</f>
        <v>1273643.31783536</v>
      </c>
      <c r="BB23" s="52" t="n">
        <f aca="false">BB16+BB20</f>
        <v>1273643.31783536</v>
      </c>
      <c r="BC23" s="52" t="n">
        <f aca="false">BC16+BC20</f>
        <v>1273643.31783536</v>
      </c>
      <c r="BD23" s="52" t="n">
        <f aca="false">BD16+BD20</f>
        <v>1273643.31783536</v>
      </c>
      <c r="BE23" s="52" t="n">
        <f aca="false">BE16+BE20</f>
        <v>1273643.31783536</v>
      </c>
      <c r="BF23" s="52" t="n">
        <f aca="false">BF16+BF20</f>
        <v>1273643.31783536</v>
      </c>
      <c r="BG23" s="52" t="n">
        <f aca="false">BG16+BG20</f>
        <v>1273643.31783536</v>
      </c>
      <c r="BH23" s="52" t="n">
        <f aca="false">BH16+BH20</f>
        <v>1273643.31783536</v>
      </c>
      <c r="BI23" s="52" t="n">
        <f aca="false">BI16+BI20</f>
        <v>1588732.55441036</v>
      </c>
      <c r="BJ23" s="52" t="n">
        <f aca="false">BJ16+BJ20</f>
        <v>1588732.55441036</v>
      </c>
    </row>
    <row r="24" customFormat="false" ht="15" hidden="false" customHeight="false" outlineLevel="0" collapsed="false">
      <c r="A24" s="6" t="s">
        <v>365</v>
      </c>
      <c r="C24" s="51" t="n">
        <f aca="false">-C23*Inputs!$E$29</f>
        <v>-49205.7857142857</v>
      </c>
      <c r="D24" s="51" t="n">
        <f aca="false">-D23*Inputs!$E$29</f>
        <v>-49205.7857142857</v>
      </c>
      <c r="E24" s="51" t="n">
        <f aca="false">-E23*Inputs!$E$29</f>
        <v>-49205.7857142857</v>
      </c>
      <c r="F24" s="51" t="n">
        <f aca="false">-F23*Inputs!$E$29</f>
        <v>-49205.7857142857</v>
      </c>
      <c r="G24" s="51" t="n">
        <f aca="false">-G23*Inputs!$E$29</f>
        <v>-49205.7857142857</v>
      </c>
      <c r="H24" s="51" t="n">
        <f aca="false">-H23*Inputs!$E$29</f>
        <v>-49205.7857142857</v>
      </c>
      <c r="I24" s="51" t="n">
        <f aca="false">-I23*Inputs!$E$29</f>
        <v>-49205.7857142857</v>
      </c>
      <c r="J24" s="51" t="n">
        <f aca="false">-J23*Inputs!$E$29</f>
        <v>-49205.7857142857</v>
      </c>
      <c r="K24" s="51" t="n">
        <f aca="false">-K23*Inputs!$E$29</f>
        <v>-49205.7857142857</v>
      </c>
      <c r="L24" s="51" t="n">
        <f aca="false">-L23*Inputs!$E$29</f>
        <v>-49205.7857142857</v>
      </c>
      <c r="M24" s="51" t="n">
        <f aca="false">-M23*Inputs!$E$29</f>
        <v>-60356.7857142857</v>
      </c>
      <c r="N24" s="51" t="n">
        <f aca="false">-N23*Inputs!$E$29</f>
        <v>-60356.7857142857</v>
      </c>
      <c r="O24" s="51" t="n">
        <f aca="false">-O23*Inputs!$E$29</f>
        <v>-63960.0107142857</v>
      </c>
      <c r="P24" s="51" t="n">
        <f aca="false">-P23*Inputs!$E$29</f>
        <v>-63960.0107142857</v>
      </c>
      <c r="Q24" s="51" t="n">
        <f aca="false">-Q23*Inputs!$E$29</f>
        <v>-63960.0107142857</v>
      </c>
      <c r="R24" s="51" t="n">
        <f aca="false">-R23*Inputs!$E$29</f>
        <v>-63960.0107142857</v>
      </c>
      <c r="S24" s="51" t="n">
        <f aca="false">-S23*Inputs!$E$29</f>
        <v>-63960.0107142857</v>
      </c>
      <c r="T24" s="51" t="n">
        <f aca="false">-T23*Inputs!$E$29</f>
        <v>-63960.0107142857</v>
      </c>
      <c r="U24" s="51" t="n">
        <f aca="false">-U23*Inputs!$E$29</f>
        <v>-63960.0107142857</v>
      </c>
      <c r="V24" s="51" t="n">
        <f aca="false">-V23*Inputs!$E$29</f>
        <v>-63960.0107142857</v>
      </c>
      <c r="W24" s="51" t="n">
        <f aca="false">-W23*Inputs!$E$29</f>
        <v>-63960.0107142857</v>
      </c>
      <c r="X24" s="51" t="n">
        <f aca="false">-X23*Inputs!$E$29</f>
        <v>-63960.0107142857</v>
      </c>
      <c r="Y24" s="51" t="n">
        <f aca="false">-Y23*Inputs!$E$29</f>
        <v>-79038.1607142857</v>
      </c>
      <c r="Z24" s="51" t="n">
        <f aca="false">-Z23*Inputs!$E$29</f>
        <v>-79038.1607142857</v>
      </c>
      <c r="AA24" s="51" t="n">
        <f aca="false">-AA23*Inputs!$E$29</f>
        <v>-81441.0257142857</v>
      </c>
      <c r="AB24" s="51" t="n">
        <f aca="false">-AB23*Inputs!$E$29</f>
        <v>-81441.0257142857</v>
      </c>
      <c r="AC24" s="51" t="n">
        <f aca="false">-AC23*Inputs!$E$29</f>
        <v>-81441.0257142857</v>
      </c>
      <c r="AD24" s="51" t="n">
        <f aca="false">-AD23*Inputs!$E$29</f>
        <v>-81441.0257142857</v>
      </c>
      <c r="AE24" s="51" t="n">
        <f aca="false">-AE23*Inputs!$E$29</f>
        <v>-81441.0257142857</v>
      </c>
      <c r="AF24" s="51" t="n">
        <f aca="false">-AF23*Inputs!$E$29</f>
        <v>-81441.0257142857</v>
      </c>
      <c r="AG24" s="51" t="n">
        <f aca="false">-AG23*Inputs!$E$29</f>
        <v>-81441.0257142857</v>
      </c>
      <c r="AH24" s="51" t="n">
        <f aca="false">-AH23*Inputs!$E$29</f>
        <v>-81441.0257142857</v>
      </c>
      <c r="AI24" s="51" t="n">
        <f aca="false">-AI23*Inputs!$E$29</f>
        <v>-81441.0257142857</v>
      </c>
      <c r="AJ24" s="51" t="n">
        <f aca="false">-AJ23*Inputs!$E$29</f>
        <v>-81441.0257142857</v>
      </c>
      <c r="AK24" s="51" t="n">
        <f aca="false">-AK23*Inputs!$E$29</f>
        <v>-101104.585714286</v>
      </c>
      <c r="AL24" s="51" t="n">
        <f aca="false">-AL23*Inputs!$E$29</f>
        <v>-101104.585714286</v>
      </c>
      <c r="AM24" s="51" t="n">
        <f aca="false">-AM23*Inputs!$E$29</f>
        <v>-102302.346214286</v>
      </c>
      <c r="AN24" s="51" t="n">
        <f aca="false">-AN23*Inputs!$E$29</f>
        <v>-102302.346214286</v>
      </c>
      <c r="AO24" s="51" t="n">
        <f aca="false">-AO23*Inputs!$E$29</f>
        <v>-102302.346214286</v>
      </c>
      <c r="AP24" s="51" t="n">
        <f aca="false">-AP23*Inputs!$E$29</f>
        <v>-102302.346214286</v>
      </c>
      <c r="AQ24" s="51" t="n">
        <f aca="false">-AQ23*Inputs!$E$29</f>
        <v>-102302.346214286</v>
      </c>
      <c r="AR24" s="51" t="n">
        <f aca="false">-AR23*Inputs!$E$29</f>
        <v>-102302.346214286</v>
      </c>
      <c r="AS24" s="51" t="n">
        <f aca="false">-AS23*Inputs!$E$29</f>
        <v>-102302.346214286</v>
      </c>
      <c r="AT24" s="51" t="n">
        <f aca="false">-AT23*Inputs!$E$29</f>
        <v>-102302.346214286</v>
      </c>
      <c r="AU24" s="51" t="n">
        <f aca="false">-AU23*Inputs!$E$29</f>
        <v>-102302.346214286</v>
      </c>
      <c r="AV24" s="51" t="n">
        <f aca="false">-AV23*Inputs!$E$29</f>
        <v>-102302.346214286</v>
      </c>
      <c r="AW24" s="51" t="n">
        <f aca="false">-AW23*Inputs!$E$29</f>
        <v>-127373.385214286</v>
      </c>
      <c r="AX24" s="51" t="n">
        <f aca="false">-AX23*Inputs!$E$29</f>
        <v>-127373.385214286</v>
      </c>
      <c r="AY24" s="51" t="n">
        <f aca="false">-AY23*Inputs!$E$29</f>
        <v>-127364.331783536</v>
      </c>
      <c r="AZ24" s="51" t="n">
        <f aca="false">-AZ23*Inputs!$E$29</f>
        <v>-127364.331783536</v>
      </c>
      <c r="BA24" s="51" t="n">
        <f aca="false">-BA23*Inputs!$E$29</f>
        <v>-127364.331783536</v>
      </c>
      <c r="BB24" s="51" t="n">
        <f aca="false">-BB23*Inputs!$E$29</f>
        <v>-127364.331783536</v>
      </c>
      <c r="BC24" s="51" t="n">
        <f aca="false">-BC23*Inputs!$E$29</f>
        <v>-127364.331783536</v>
      </c>
      <c r="BD24" s="51" t="n">
        <f aca="false">-BD23*Inputs!$E$29</f>
        <v>-127364.331783536</v>
      </c>
      <c r="BE24" s="51" t="n">
        <f aca="false">-BE23*Inputs!$E$29</f>
        <v>-127364.331783536</v>
      </c>
      <c r="BF24" s="51" t="n">
        <f aca="false">-BF23*Inputs!$E$29</f>
        <v>-127364.331783536</v>
      </c>
      <c r="BG24" s="51" t="n">
        <f aca="false">-BG23*Inputs!$E$29</f>
        <v>-127364.331783536</v>
      </c>
      <c r="BH24" s="51" t="n">
        <f aca="false">-BH23*Inputs!$E$29</f>
        <v>-127364.331783536</v>
      </c>
      <c r="BI24" s="51" t="n">
        <f aca="false">-BI23*Inputs!$E$29</f>
        <v>-158873.255441036</v>
      </c>
      <c r="BJ24" s="51" t="n">
        <f aca="false">-BJ23*Inputs!$E$29</f>
        <v>-158873.255441036</v>
      </c>
    </row>
    <row r="25" customFormat="false" ht="15" hidden="false" customHeight="false" outlineLevel="0" collapsed="false">
      <c r="A25" s="92" t="s">
        <v>182</v>
      </c>
      <c r="C25" s="52" t="n">
        <f aca="false">C23+C24</f>
        <v>442852.071428571</v>
      </c>
      <c r="D25" s="52" t="n">
        <f aca="false">D23+D24</f>
        <v>442852.071428571</v>
      </c>
      <c r="E25" s="52" t="n">
        <f aca="false">E23+E24</f>
        <v>442852.071428571</v>
      </c>
      <c r="F25" s="52" t="n">
        <f aca="false">F23+F24</f>
        <v>442852.071428571</v>
      </c>
      <c r="G25" s="52" t="n">
        <f aca="false">G23+G24</f>
        <v>442852.071428571</v>
      </c>
      <c r="H25" s="52" t="n">
        <f aca="false">H23+H24</f>
        <v>442852.071428571</v>
      </c>
      <c r="I25" s="52" t="n">
        <f aca="false">I23+I24</f>
        <v>442852.071428571</v>
      </c>
      <c r="J25" s="52" t="n">
        <f aca="false">J23+J24</f>
        <v>442852.071428571</v>
      </c>
      <c r="K25" s="52" t="n">
        <f aca="false">K23+K24</f>
        <v>442852.071428571</v>
      </c>
      <c r="L25" s="52" t="n">
        <f aca="false">L23+L24</f>
        <v>442852.071428571</v>
      </c>
      <c r="M25" s="52" t="n">
        <f aca="false">M23+M24</f>
        <v>543211.071428572</v>
      </c>
      <c r="N25" s="52" t="n">
        <f aca="false">N23+N24</f>
        <v>543211.071428572</v>
      </c>
      <c r="O25" s="52" t="n">
        <f aca="false">O23+O24</f>
        <v>575640.096428572</v>
      </c>
      <c r="P25" s="52" t="n">
        <f aca="false">P23+P24</f>
        <v>575640.096428572</v>
      </c>
      <c r="Q25" s="52" t="n">
        <f aca="false">Q23+Q24</f>
        <v>575640.096428572</v>
      </c>
      <c r="R25" s="52" t="n">
        <f aca="false">R23+R24</f>
        <v>575640.096428572</v>
      </c>
      <c r="S25" s="52" t="n">
        <f aca="false">S23+S24</f>
        <v>575640.096428572</v>
      </c>
      <c r="T25" s="52" t="n">
        <f aca="false">T23+T24</f>
        <v>575640.096428572</v>
      </c>
      <c r="U25" s="52" t="n">
        <f aca="false">U23+U24</f>
        <v>575640.096428572</v>
      </c>
      <c r="V25" s="52" t="n">
        <f aca="false">V23+V24</f>
        <v>575640.096428572</v>
      </c>
      <c r="W25" s="52" t="n">
        <f aca="false">W23+W24</f>
        <v>575640.096428572</v>
      </c>
      <c r="X25" s="52" t="n">
        <f aca="false">X23+X24</f>
        <v>575640.096428572</v>
      </c>
      <c r="Y25" s="52" t="n">
        <f aca="false">Y23+Y24</f>
        <v>711343.446428572</v>
      </c>
      <c r="Z25" s="52" t="n">
        <f aca="false">Z23+Z24</f>
        <v>711343.446428572</v>
      </c>
      <c r="AA25" s="52" t="n">
        <f aca="false">AA23+AA24</f>
        <v>732969.231428572</v>
      </c>
      <c r="AB25" s="52" t="n">
        <f aca="false">AB23+AB24</f>
        <v>732969.231428572</v>
      </c>
      <c r="AC25" s="52" t="n">
        <f aca="false">AC23+AC24</f>
        <v>732969.231428572</v>
      </c>
      <c r="AD25" s="52" t="n">
        <f aca="false">AD23+AD24</f>
        <v>732969.231428572</v>
      </c>
      <c r="AE25" s="52" t="n">
        <f aca="false">AE23+AE24</f>
        <v>732969.231428572</v>
      </c>
      <c r="AF25" s="52" t="n">
        <f aca="false">AF23+AF24</f>
        <v>732969.231428572</v>
      </c>
      <c r="AG25" s="52" t="n">
        <f aca="false">AG23+AG24</f>
        <v>732969.231428572</v>
      </c>
      <c r="AH25" s="52" t="n">
        <f aca="false">AH23+AH24</f>
        <v>732969.231428572</v>
      </c>
      <c r="AI25" s="52" t="n">
        <f aca="false">AI23+AI24</f>
        <v>732969.231428572</v>
      </c>
      <c r="AJ25" s="52" t="n">
        <f aca="false">AJ23+AJ24</f>
        <v>732969.231428572</v>
      </c>
      <c r="AK25" s="52" t="n">
        <f aca="false">AK23+AK24</f>
        <v>909941.271428571</v>
      </c>
      <c r="AL25" s="52" t="n">
        <f aca="false">AL23+AL24</f>
        <v>909941.271428571</v>
      </c>
      <c r="AM25" s="52" t="n">
        <f aca="false">AM23+AM24</f>
        <v>920721.115928572</v>
      </c>
      <c r="AN25" s="52" t="n">
        <f aca="false">AN23+AN24</f>
        <v>920721.115928572</v>
      </c>
      <c r="AO25" s="52" t="n">
        <f aca="false">AO23+AO24</f>
        <v>920721.115928572</v>
      </c>
      <c r="AP25" s="52" t="n">
        <f aca="false">AP23+AP24</f>
        <v>920721.115928572</v>
      </c>
      <c r="AQ25" s="52" t="n">
        <f aca="false">AQ23+AQ24</f>
        <v>920721.115928572</v>
      </c>
      <c r="AR25" s="52" t="n">
        <f aca="false">AR23+AR24</f>
        <v>920721.115928572</v>
      </c>
      <c r="AS25" s="52" t="n">
        <f aca="false">AS23+AS24</f>
        <v>920721.115928572</v>
      </c>
      <c r="AT25" s="52" t="n">
        <f aca="false">AT23+AT24</f>
        <v>920721.115928572</v>
      </c>
      <c r="AU25" s="52" t="n">
        <f aca="false">AU23+AU24</f>
        <v>920721.115928572</v>
      </c>
      <c r="AV25" s="52" t="n">
        <f aca="false">AV23+AV24</f>
        <v>920721.115928572</v>
      </c>
      <c r="AW25" s="52" t="n">
        <f aca="false">AW23+AW24</f>
        <v>1146360.46692857</v>
      </c>
      <c r="AX25" s="52" t="n">
        <f aca="false">AX23+AX24</f>
        <v>1146360.46692857</v>
      </c>
      <c r="AY25" s="52" t="n">
        <f aca="false">AY23+AY24</f>
        <v>1146278.98605182</v>
      </c>
      <c r="AZ25" s="52" t="n">
        <f aca="false">AZ23+AZ24</f>
        <v>1146278.98605182</v>
      </c>
      <c r="BA25" s="52" t="n">
        <f aca="false">BA23+BA24</f>
        <v>1146278.98605182</v>
      </c>
      <c r="BB25" s="52" t="n">
        <f aca="false">BB23+BB24</f>
        <v>1146278.98605182</v>
      </c>
      <c r="BC25" s="52" t="n">
        <f aca="false">BC23+BC24</f>
        <v>1146278.98605182</v>
      </c>
      <c r="BD25" s="52" t="n">
        <f aca="false">BD23+BD24</f>
        <v>1146278.98605182</v>
      </c>
      <c r="BE25" s="52" t="n">
        <f aca="false">BE23+BE24</f>
        <v>1146278.98605182</v>
      </c>
      <c r="BF25" s="52" t="n">
        <f aca="false">BF23+BF24</f>
        <v>1146278.98605182</v>
      </c>
      <c r="BG25" s="52" t="n">
        <f aca="false">BG23+BG24</f>
        <v>1146278.98605182</v>
      </c>
      <c r="BH25" s="52" t="n">
        <f aca="false">BH23+BH24</f>
        <v>1146278.98605182</v>
      </c>
      <c r="BI25" s="52" t="n">
        <f aca="false">BI23+BI24</f>
        <v>1429859.29896932</v>
      </c>
      <c r="BJ25" s="52" t="n">
        <f aca="false">BJ23+BJ24</f>
        <v>1429859.29896932</v>
      </c>
    </row>
    <row r="26" customFormat="false" ht="15" hidden="false" customHeight="false" outlineLevel="0" collapsed="false">
      <c r="A26" s="6" t="s">
        <v>73</v>
      </c>
      <c r="C26" s="51" t="n">
        <f aca="false">-C25*Inputs!$E$30</f>
        <v>-185997.87</v>
      </c>
      <c r="D26" s="51" t="n">
        <f aca="false">-D25*Inputs!$E$30</f>
        <v>-185997.87</v>
      </c>
      <c r="E26" s="51" t="n">
        <f aca="false">-E25*Inputs!$E$30</f>
        <v>-185997.87</v>
      </c>
      <c r="F26" s="51" t="n">
        <f aca="false">-F25*Inputs!$E$30</f>
        <v>-185997.87</v>
      </c>
      <c r="G26" s="51" t="n">
        <f aca="false">-G25*Inputs!$E$30</f>
        <v>-185997.87</v>
      </c>
      <c r="H26" s="51" t="n">
        <f aca="false">-H25*Inputs!$E$30</f>
        <v>-185997.87</v>
      </c>
      <c r="I26" s="51" t="n">
        <f aca="false">-I25*Inputs!$E$30</f>
        <v>-185997.87</v>
      </c>
      <c r="J26" s="51" t="n">
        <f aca="false">-J25*Inputs!$E$30</f>
        <v>-185997.87</v>
      </c>
      <c r="K26" s="51" t="n">
        <f aca="false">-K25*Inputs!$E$30</f>
        <v>-185997.87</v>
      </c>
      <c r="L26" s="51" t="n">
        <f aca="false">-L25*Inputs!$E$30</f>
        <v>-185997.87</v>
      </c>
      <c r="M26" s="51" t="n">
        <f aca="false">-M25*Inputs!$E$30</f>
        <v>-228148.65</v>
      </c>
      <c r="N26" s="51" t="n">
        <f aca="false">-N25*Inputs!$E$30</f>
        <v>-228148.65</v>
      </c>
      <c r="O26" s="51" t="n">
        <f aca="false">-O25*Inputs!$E$30</f>
        <v>-241768.8405</v>
      </c>
      <c r="P26" s="51" t="n">
        <f aca="false">-P25*Inputs!$E$30</f>
        <v>-241768.8405</v>
      </c>
      <c r="Q26" s="51" t="n">
        <f aca="false">-Q25*Inputs!$E$30</f>
        <v>-241768.8405</v>
      </c>
      <c r="R26" s="51" t="n">
        <f aca="false">-R25*Inputs!$E$30</f>
        <v>-241768.8405</v>
      </c>
      <c r="S26" s="51" t="n">
        <f aca="false">-S25*Inputs!$E$30</f>
        <v>-241768.8405</v>
      </c>
      <c r="T26" s="51" t="n">
        <f aca="false">-T25*Inputs!$E$30</f>
        <v>-241768.8405</v>
      </c>
      <c r="U26" s="51" t="n">
        <f aca="false">-U25*Inputs!$E$30</f>
        <v>-241768.8405</v>
      </c>
      <c r="V26" s="51" t="n">
        <f aca="false">-V25*Inputs!$E$30</f>
        <v>-241768.8405</v>
      </c>
      <c r="W26" s="51" t="n">
        <f aca="false">-W25*Inputs!$E$30</f>
        <v>-241768.8405</v>
      </c>
      <c r="X26" s="51" t="n">
        <f aca="false">-X25*Inputs!$E$30</f>
        <v>-241768.8405</v>
      </c>
      <c r="Y26" s="51" t="n">
        <f aca="false">-Y25*Inputs!$E$30</f>
        <v>-298764.2475</v>
      </c>
      <c r="Z26" s="51" t="n">
        <f aca="false">-Z25*Inputs!$E$30</f>
        <v>-298764.2475</v>
      </c>
      <c r="AA26" s="51" t="n">
        <f aca="false">-AA25*Inputs!$E$30</f>
        <v>-307847.0772</v>
      </c>
      <c r="AB26" s="51" t="n">
        <f aca="false">-AB25*Inputs!$E$30</f>
        <v>-307847.0772</v>
      </c>
      <c r="AC26" s="51" t="n">
        <f aca="false">-AC25*Inputs!$E$30</f>
        <v>-307847.0772</v>
      </c>
      <c r="AD26" s="51" t="n">
        <f aca="false">-AD25*Inputs!$E$30</f>
        <v>-307847.0772</v>
      </c>
      <c r="AE26" s="51" t="n">
        <f aca="false">-AE25*Inputs!$E$30</f>
        <v>-307847.0772</v>
      </c>
      <c r="AF26" s="51" t="n">
        <f aca="false">-AF25*Inputs!$E$30</f>
        <v>-307847.0772</v>
      </c>
      <c r="AG26" s="51" t="n">
        <f aca="false">-AG25*Inputs!$E$30</f>
        <v>-307847.0772</v>
      </c>
      <c r="AH26" s="51" t="n">
        <f aca="false">-AH25*Inputs!$E$30</f>
        <v>-307847.0772</v>
      </c>
      <c r="AI26" s="51" t="n">
        <f aca="false">-AI25*Inputs!$E$30</f>
        <v>-307847.0772</v>
      </c>
      <c r="AJ26" s="51" t="n">
        <f aca="false">-AJ25*Inputs!$E$30</f>
        <v>-307847.0772</v>
      </c>
      <c r="AK26" s="51" t="n">
        <f aca="false">-AK25*Inputs!$E$30</f>
        <v>-382175.334</v>
      </c>
      <c r="AL26" s="51" t="n">
        <f aca="false">-AL25*Inputs!$E$30</f>
        <v>-382175.334</v>
      </c>
      <c r="AM26" s="51" t="n">
        <f aca="false">-AM25*Inputs!$E$30</f>
        <v>-386702.86869</v>
      </c>
      <c r="AN26" s="51" t="n">
        <f aca="false">-AN25*Inputs!$E$30</f>
        <v>-386702.86869</v>
      </c>
      <c r="AO26" s="51" t="n">
        <f aca="false">-AO25*Inputs!$E$30</f>
        <v>-386702.86869</v>
      </c>
      <c r="AP26" s="51" t="n">
        <f aca="false">-AP25*Inputs!$E$30</f>
        <v>-386702.86869</v>
      </c>
      <c r="AQ26" s="51" t="n">
        <f aca="false">-AQ25*Inputs!$E$30</f>
        <v>-386702.86869</v>
      </c>
      <c r="AR26" s="51" t="n">
        <f aca="false">-AR25*Inputs!$E$30</f>
        <v>-386702.86869</v>
      </c>
      <c r="AS26" s="51" t="n">
        <f aca="false">-AS25*Inputs!$E$30</f>
        <v>-386702.86869</v>
      </c>
      <c r="AT26" s="51" t="n">
        <f aca="false">-AT25*Inputs!$E$30</f>
        <v>-386702.86869</v>
      </c>
      <c r="AU26" s="51" t="n">
        <f aca="false">-AU25*Inputs!$E$30</f>
        <v>-386702.86869</v>
      </c>
      <c r="AV26" s="51" t="n">
        <f aca="false">-AV25*Inputs!$E$30</f>
        <v>-386702.86869</v>
      </c>
      <c r="AW26" s="51" t="n">
        <f aca="false">-AW25*Inputs!$E$30</f>
        <v>-481471.39611</v>
      </c>
      <c r="AX26" s="51" t="n">
        <f aca="false">-AX25*Inputs!$E$30</f>
        <v>-481471.39611</v>
      </c>
      <c r="AY26" s="51" t="n">
        <f aca="false">-AY25*Inputs!$E$30</f>
        <v>-481437.174141765</v>
      </c>
      <c r="AZ26" s="51" t="n">
        <f aca="false">-AZ25*Inputs!$E$30</f>
        <v>-481437.174141765</v>
      </c>
      <c r="BA26" s="51" t="n">
        <f aca="false">-BA25*Inputs!$E$30</f>
        <v>-481437.174141765</v>
      </c>
      <c r="BB26" s="51" t="n">
        <f aca="false">-BB25*Inputs!$E$30</f>
        <v>-481437.174141765</v>
      </c>
      <c r="BC26" s="51" t="n">
        <f aca="false">-BC25*Inputs!$E$30</f>
        <v>-481437.174141765</v>
      </c>
      <c r="BD26" s="51" t="n">
        <f aca="false">-BD25*Inputs!$E$30</f>
        <v>-481437.174141765</v>
      </c>
      <c r="BE26" s="51" t="n">
        <f aca="false">-BE25*Inputs!$E$30</f>
        <v>-481437.174141765</v>
      </c>
      <c r="BF26" s="51" t="n">
        <f aca="false">-BF25*Inputs!$E$30</f>
        <v>-481437.174141765</v>
      </c>
      <c r="BG26" s="51" t="n">
        <f aca="false">-BG25*Inputs!$E$30</f>
        <v>-481437.174141765</v>
      </c>
      <c r="BH26" s="51" t="n">
        <f aca="false">-BH25*Inputs!$E$30</f>
        <v>-481437.174141765</v>
      </c>
      <c r="BI26" s="51" t="n">
        <f aca="false">-BI25*Inputs!$E$30</f>
        <v>-600540.905567115</v>
      </c>
      <c r="BJ26" s="51" t="n">
        <f aca="false">-BJ25*Inputs!$E$30</f>
        <v>-600540.905567115</v>
      </c>
    </row>
    <row r="27" customFormat="false" ht="15" hidden="false" customHeight="false" outlineLevel="0" collapsed="false">
      <c r="A27" s="92" t="s">
        <v>42</v>
      </c>
      <c r="C27" s="52" t="n">
        <f aca="false">C25+C26</f>
        <v>256854.201428571</v>
      </c>
      <c r="D27" s="52" t="n">
        <f aca="false">D25+D26</f>
        <v>256854.201428571</v>
      </c>
      <c r="E27" s="52" t="n">
        <f aca="false">E25+E26</f>
        <v>256854.201428571</v>
      </c>
      <c r="F27" s="52" t="n">
        <f aca="false">F25+F26</f>
        <v>256854.201428571</v>
      </c>
      <c r="G27" s="52" t="n">
        <f aca="false">G25+G26</f>
        <v>256854.201428571</v>
      </c>
      <c r="H27" s="52" t="n">
        <f aca="false">H25+H26</f>
        <v>256854.201428571</v>
      </c>
      <c r="I27" s="52" t="n">
        <f aca="false">I25+I26</f>
        <v>256854.201428571</v>
      </c>
      <c r="J27" s="52" t="n">
        <f aca="false">J25+J26</f>
        <v>256854.201428571</v>
      </c>
      <c r="K27" s="52" t="n">
        <f aca="false">K25+K26</f>
        <v>256854.201428571</v>
      </c>
      <c r="L27" s="52" t="n">
        <f aca="false">L25+L26</f>
        <v>256854.201428571</v>
      </c>
      <c r="M27" s="52" t="n">
        <f aca="false">M25+M26</f>
        <v>315062.421428572</v>
      </c>
      <c r="N27" s="52" t="n">
        <f aca="false">N25+N26</f>
        <v>315062.421428572</v>
      </c>
      <c r="O27" s="52" t="n">
        <f aca="false">O25+O26</f>
        <v>333871.255928571</v>
      </c>
      <c r="P27" s="52" t="n">
        <f aca="false">P25+P26</f>
        <v>333871.255928571</v>
      </c>
      <c r="Q27" s="52" t="n">
        <f aca="false">Q25+Q26</f>
        <v>333871.255928571</v>
      </c>
      <c r="R27" s="52" t="n">
        <f aca="false">R25+R26</f>
        <v>333871.255928571</v>
      </c>
      <c r="S27" s="52" t="n">
        <f aca="false">S25+S26</f>
        <v>333871.255928571</v>
      </c>
      <c r="T27" s="52" t="n">
        <f aca="false">T25+T26</f>
        <v>333871.255928571</v>
      </c>
      <c r="U27" s="52" t="n">
        <f aca="false">U25+U26</f>
        <v>333871.255928571</v>
      </c>
      <c r="V27" s="52" t="n">
        <f aca="false">V25+V26</f>
        <v>333871.255928571</v>
      </c>
      <c r="W27" s="52" t="n">
        <f aca="false">W25+W26</f>
        <v>333871.255928571</v>
      </c>
      <c r="X27" s="52" t="n">
        <f aca="false">X25+X26</f>
        <v>333871.255928571</v>
      </c>
      <c r="Y27" s="52" t="n">
        <f aca="false">Y25+Y26</f>
        <v>412579.198928572</v>
      </c>
      <c r="Z27" s="52" t="n">
        <f aca="false">Z25+Z26</f>
        <v>412579.198928572</v>
      </c>
      <c r="AA27" s="52" t="n">
        <f aca="false">AA25+AA26</f>
        <v>425122.154228572</v>
      </c>
      <c r="AB27" s="52" t="n">
        <f aca="false">AB25+AB26</f>
        <v>425122.154228572</v>
      </c>
      <c r="AC27" s="52" t="n">
        <f aca="false">AC25+AC26</f>
        <v>425122.154228572</v>
      </c>
      <c r="AD27" s="52" t="n">
        <f aca="false">AD25+AD26</f>
        <v>425122.154228572</v>
      </c>
      <c r="AE27" s="52" t="n">
        <f aca="false">AE25+AE26</f>
        <v>425122.154228572</v>
      </c>
      <c r="AF27" s="52" t="n">
        <f aca="false">AF25+AF26</f>
        <v>425122.154228572</v>
      </c>
      <c r="AG27" s="52" t="n">
        <f aca="false">AG25+AG26</f>
        <v>425122.154228572</v>
      </c>
      <c r="AH27" s="52" t="n">
        <f aca="false">AH25+AH26</f>
        <v>425122.154228572</v>
      </c>
      <c r="AI27" s="52" t="n">
        <f aca="false">AI25+AI26</f>
        <v>425122.154228572</v>
      </c>
      <c r="AJ27" s="52" t="n">
        <f aca="false">AJ25+AJ26</f>
        <v>425122.154228572</v>
      </c>
      <c r="AK27" s="52" t="n">
        <f aca="false">AK25+AK26</f>
        <v>527765.937428572</v>
      </c>
      <c r="AL27" s="52" t="n">
        <f aca="false">AL25+AL26</f>
        <v>527765.937428572</v>
      </c>
      <c r="AM27" s="52" t="n">
        <f aca="false">AM25+AM26</f>
        <v>534018.247238572</v>
      </c>
      <c r="AN27" s="52" t="n">
        <f aca="false">AN25+AN26</f>
        <v>534018.247238572</v>
      </c>
      <c r="AO27" s="52" t="n">
        <f aca="false">AO25+AO26</f>
        <v>534018.247238572</v>
      </c>
      <c r="AP27" s="52" t="n">
        <f aca="false">AP25+AP26</f>
        <v>534018.247238572</v>
      </c>
      <c r="AQ27" s="52" t="n">
        <f aca="false">AQ25+AQ26</f>
        <v>534018.247238572</v>
      </c>
      <c r="AR27" s="52" t="n">
        <f aca="false">AR25+AR26</f>
        <v>534018.247238572</v>
      </c>
      <c r="AS27" s="52" t="n">
        <f aca="false">AS25+AS26</f>
        <v>534018.247238572</v>
      </c>
      <c r="AT27" s="52" t="n">
        <f aca="false">AT25+AT26</f>
        <v>534018.247238572</v>
      </c>
      <c r="AU27" s="52" t="n">
        <f aca="false">AU25+AU26</f>
        <v>534018.247238572</v>
      </c>
      <c r="AV27" s="52" t="n">
        <f aca="false">AV25+AV26</f>
        <v>534018.247238572</v>
      </c>
      <c r="AW27" s="52" t="n">
        <f aca="false">AW25+AW26</f>
        <v>664889.070818572</v>
      </c>
      <c r="AX27" s="52" t="n">
        <f aca="false">AX25+AX26</f>
        <v>664889.070818572</v>
      </c>
      <c r="AY27" s="52" t="n">
        <f aca="false">AY25+AY26</f>
        <v>664841.811910056</v>
      </c>
      <c r="AZ27" s="52" t="n">
        <f aca="false">AZ25+AZ26</f>
        <v>664841.811910056</v>
      </c>
      <c r="BA27" s="52" t="n">
        <f aca="false">BA25+BA26</f>
        <v>664841.811910056</v>
      </c>
      <c r="BB27" s="52" t="n">
        <f aca="false">BB25+BB26</f>
        <v>664841.811910056</v>
      </c>
      <c r="BC27" s="52" t="n">
        <f aca="false">BC25+BC26</f>
        <v>664841.811910056</v>
      </c>
      <c r="BD27" s="52" t="n">
        <f aca="false">BD25+BD26</f>
        <v>664841.811910056</v>
      </c>
      <c r="BE27" s="52" t="n">
        <f aca="false">BE25+BE26</f>
        <v>664841.811910056</v>
      </c>
      <c r="BF27" s="52" t="n">
        <f aca="false">BF25+BF26</f>
        <v>664841.811910056</v>
      </c>
      <c r="BG27" s="52" t="n">
        <f aca="false">BG25+BG26</f>
        <v>664841.811910056</v>
      </c>
      <c r="BH27" s="52" t="n">
        <f aca="false">BH25+BH26</f>
        <v>664841.811910056</v>
      </c>
      <c r="BI27" s="52" t="n">
        <f aca="false">BI25+BI26</f>
        <v>829318.393402207</v>
      </c>
      <c r="BJ27" s="52" t="n">
        <f aca="false">BJ25+BJ26</f>
        <v>829318.393402207</v>
      </c>
    </row>
    <row r="29" customFormat="false" ht="15.75" hidden="false" customHeight="true" outlineLevel="0" collapsed="false">
      <c r="A29" s="7" t="s">
        <v>44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277</v>
      </c>
      <c r="C30" s="51" t="n">
        <f aca="false">-C14*Inputs!$E$31</f>
        <v>-43086.1714285714</v>
      </c>
      <c r="D30" s="51" t="n">
        <f aca="false">-D14*Inputs!$E$31</f>
        <v>-43086.1714285714</v>
      </c>
      <c r="E30" s="51" t="n">
        <f aca="false">-E14*Inputs!$E$31</f>
        <v>-43086.1714285714</v>
      </c>
      <c r="F30" s="51" t="n">
        <f aca="false">-F14*Inputs!$E$31</f>
        <v>-43086.1714285714</v>
      </c>
      <c r="G30" s="51" t="n">
        <f aca="false">-G14*Inputs!$E$31</f>
        <v>-43086.1714285714</v>
      </c>
      <c r="H30" s="51" t="n">
        <f aca="false">-H14*Inputs!$E$31</f>
        <v>-43086.1714285714</v>
      </c>
      <c r="I30" s="51" t="n">
        <f aca="false">-I14*Inputs!$E$31</f>
        <v>-43086.1714285714</v>
      </c>
      <c r="J30" s="51" t="n">
        <f aca="false">-J14*Inputs!$E$31</f>
        <v>-43086.1714285714</v>
      </c>
      <c r="K30" s="51" t="n">
        <f aca="false">-K14*Inputs!$E$31</f>
        <v>-43086.1714285714</v>
      </c>
      <c r="L30" s="51" t="n">
        <f aca="false">-L14*Inputs!$E$31</f>
        <v>-43086.1714285714</v>
      </c>
      <c r="M30" s="51" t="n">
        <f aca="false">-M14*Inputs!$E$31</f>
        <v>-51380.5714285714</v>
      </c>
      <c r="N30" s="51" t="n">
        <f aca="false">-N14*Inputs!$E$31</f>
        <v>-51380.5714285714</v>
      </c>
      <c r="O30" s="51" t="n">
        <f aca="false">-O14*Inputs!$E$31</f>
        <v>-52786.2857142857</v>
      </c>
      <c r="P30" s="51" t="n">
        <f aca="false">-P14*Inputs!$E$31</f>
        <v>-52786.2857142857</v>
      </c>
      <c r="Q30" s="51" t="n">
        <f aca="false">-Q14*Inputs!$E$31</f>
        <v>-52786.2857142857</v>
      </c>
      <c r="R30" s="51" t="n">
        <f aca="false">-R14*Inputs!$E$31</f>
        <v>-52786.2857142857</v>
      </c>
      <c r="S30" s="51" t="n">
        <f aca="false">-S14*Inputs!$E$31</f>
        <v>-52786.2857142857</v>
      </c>
      <c r="T30" s="51" t="n">
        <f aca="false">-T14*Inputs!$E$31</f>
        <v>-52786.2857142857</v>
      </c>
      <c r="U30" s="51" t="n">
        <f aca="false">-U14*Inputs!$E$31</f>
        <v>-52786.2857142857</v>
      </c>
      <c r="V30" s="51" t="n">
        <f aca="false">-V14*Inputs!$E$31</f>
        <v>-52786.2857142857</v>
      </c>
      <c r="W30" s="51" t="n">
        <f aca="false">-W14*Inputs!$E$31</f>
        <v>-52786.2857142857</v>
      </c>
      <c r="X30" s="51" t="n">
        <f aca="false">-X14*Inputs!$E$31</f>
        <v>-52786.2857142857</v>
      </c>
      <c r="Y30" s="51" t="n">
        <f aca="false">-Y14*Inputs!$E$31</f>
        <v>-63154.2857142857</v>
      </c>
      <c r="Z30" s="51" t="n">
        <f aca="false">-Z14*Inputs!$E$31</f>
        <v>-63154.2857142857</v>
      </c>
      <c r="AA30" s="51" t="n">
        <f aca="false">-AA14*Inputs!$E$31</f>
        <v>-64697.1428571429</v>
      </c>
      <c r="AB30" s="51" t="n">
        <f aca="false">-AB14*Inputs!$E$31</f>
        <v>-64697.1428571429</v>
      </c>
      <c r="AC30" s="51" t="n">
        <f aca="false">-AC14*Inputs!$E$31</f>
        <v>-64697.1428571429</v>
      </c>
      <c r="AD30" s="51" t="n">
        <f aca="false">-AD14*Inputs!$E$31</f>
        <v>-64697.1428571429</v>
      </c>
      <c r="AE30" s="51" t="n">
        <f aca="false">-AE14*Inputs!$E$31</f>
        <v>-64697.1428571429</v>
      </c>
      <c r="AF30" s="51" t="n">
        <f aca="false">-AF14*Inputs!$E$31</f>
        <v>-64697.1428571429</v>
      </c>
      <c r="AG30" s="51" t="n">
        <f aca="false">-AG14*Inputs!$E$31</f>
        <v>-64697.1428571429</v>
      </c>
      <c r="AH30" s="51" t="n">
        <f aca="false">-AH14*Inputs!$E$31</f>
        <v>-64697.1428571429</v>
      </c>
      <c r="AI30" s="51" t="n">
        <f aca="false">-AI14*Inputs!$E$31</f>
        <v>-64697.1428571429</v>
      </c>
      <c r="AJ30" s="51" t="n">
        <f aca="false">-AJ14*Inputs!$E$31</f>
        <v>-64697.1428571429</v>
      </c>
      <c r="AK30" s="51" t="n">
        <f aca="false">-AK14*Inputs!$E$31</f>
        <v>-77657.1428571429</v>
      </c>
      <c r="AL30" s="51" t="n">
        <f aca="false">-AL14*Inputs!$E$31</f>
        <v>-77657.1428571429</v>
      </c>
      <c r="AM30" s="51" t="n">
        <f aca="false">-AM14*Inputs!$E$31</f>
        <v>-79328.5714285714</v>
      </c>
      <c r="AN30" s="51" t="n">
        <f aca="false">-AN14*Inputs!$E$31</f>
        <v>-79328.5714285714</v>
      </c>
      <c r="AO30" s="51" t="n">
        <f aca="false">-AO14*Inputs!$E$31</f>
        <v>-79328.5714285714</v>
      </c>
      <c r="AP30" s="51" t="n">
        <f aca="false">-AP14*Inputs!$E$31</f>
        <v>-79328.5714285714</v>
      </c>
      <c r="AQ30" s="51" t="n">
        <f aca="false">-AQ14*Inputs!$E$31</f>
        <v>-79328.5714285714</v>
      </c>
      <c r="AR30" s="51" t="n">
        <f aca="false">-AR14*Inputs!$E$31</f>
        <v>-79328.5714285714</v>
      </c>
      <c r="AS30" s="51" t="n">
        <f aca="false">-AS14*Inputs!$E$31</f>
        <v>-79328.5714285714</v>
      </c>
      <c r="AT30" s="51" t="n">
        <f aca="false">-AT14*Inputs!$E$31</f>
        <v>-79328.5714285714</v>
      </c>
      <c r="AU30" s="51" t="n">
        <f aca="false">-AU14*Inputs!$E$31</f>
        <v>-79328.5714285714</v>
      </c>
      <c r="AV30" s="51" t="n">
        <f aca="false">-AV14*Inputs!$E$31</f>
        <v>-79328.5714285714</v>
      </c>
      <c r="AW30" s="51" t="n">
        <f aca="false">-AW14*Inputs!$E$31</f>
        <v>-95528.5714285714</v>
      </c>
      <c r="AX30" s="51" t="n">
        <f aca="false">-AX14*Inputs!$E$31</f>
        <v>-95528.5714285714</v>
      </c>
      <c r="AY30" s="51" t="n">
        <f aca="false">-AY14*Inputs!$E$31</f>
        <v>-97309.2857142857</v>
      </c>
      <c r="AZ30" s="51" t="n">
        <f aca="false">-AZ14*Inputs!$E$31</f>
        <v>-97309.2857142857</v>
      </c>
      <c r="BA30" s="51" t="n">
        <f aca="false">-BA14*Inputs!$E$31</f>
        <v>-97309.2857142857</v>
      </c>
      <c r="BB30" s="51" t="n">
        <f aca="false">-BB14*Inputs!$E$31</f>
        <v>-97309.2857142857</v>
      </c>
      <c r="BC30" s="51" t="n">
        <f aca="false">-BC14*Inputs!$E$31</f>
        <v>-97309.2857142857</v>
      </c>
      <c r="BD30" s="51" t="n">
        <f aca="false">-BD14*Inputs!$E$31</f>
        <v>-97309.2857142857</v>
      </c>
      <c r="BE30" s="51" t="n">
        <f aca="false">-BE14*Inputs!$E$31</f>
        <v>-97309.2857142857</v>
      </c>
      <c r="BF30" s="51" t="n">
        <f aca="false">-BF14*Inputs!$E$31</f>
        <v>-97309.2857142857</v>
      </c>
      <c r="BG30" s="51" t="n">
        <f aca="false">-BG14*Inputs!$E$31</f>
        <v>-97309.2857142857</v>
      </c>
      <c r="BH30" s="51" t="n">
        <f aca="false">-BH14*Inputs!$E$31</f>
        <v>-97309.2857142857</v>
      </c>
      <c r="BI30" s="51" t="n">
        <f aca="false">-BI14*Inputs!$E$31</f>
        <v>-117559.285714286</v>
      </c>
      <c r="BJ30" s="51" t="n">
        <f aca="false">-BJ14*Inputs!$E$31</f>
        <v>-117559.285714286</v>
      </c>
    </row>
    <row r="31" customFormat="false" ht="15" hidden="false" customHeight="false" outlineLevel="0" collapsed="false">
      <c r="A31" s="6" t="s">
        <v>278</v>
      </c>
      <c r="C31" s="51" t="n">
        <f aca="false">-C25*Inputs!$E$32</f>
        <v>-13285.5621428571</v>
      </c>
      <c r="D31" s="51" t="n">
        <f aca="false">-D25*Inputs!$E$32</f>
        <v>-13285.5621428571</v>
      </c>
      <c r="E31" s="51" t="n">
        <f aca="false">-E25*Inputs!$E$32</f>
        <v>-13285.5621428571</v>
      </c>
      <c r="F31" s="51" t="n">
        <f aca="false">-F25*Inputs!$E$32</f>
        <v>-13285.5621428571</v>
      </c>
      <c r="G31" s="51" t="n">
        <f aca="false">-G25*Inputs!$E$32</f>
        <v>-13285.5621428571</v>
      </c>
      <c r="H31" s="51" t="n">
        <f aca="false">-H25*Inputs!$E$32</f>
        <v>-13285.5621428571</v>
      </c>
      <c r="I31" s="51" t="n">
        <f aca="false">-I25*Inputs!$E$32</f>
        <v>-13285.5621428571</v>
      </c>
      <c r="J31" s="51" t="n">
        <f aca="false">-J25*Inputs!$E$32</f>
        <v>-13285.5621428571</v>
      </c>
      <c r="K31" s="51" t="n">
        <f aca="false">-K25*Inputs!$E$32</f>
        <v>-13285.5621428571</v>
      </c>
      <c r="L31" s="51" t="n">
        <f aca="false">-L25*Inputs!$E$32</f>
        <v>-13285.5621428571</v>
      </c>
      <c r="M31" s="51" t="n">
        <f aca="false">-M25*Inputs!$E$32</f>
        <v>-16296.3321428571</v>
      </c>
      <c r="N31" s="51" t="n">
        <f aca="false">-N25*Inputs!$E$32</f>
        <v>-16296.3321428571</v>
      </c>
      <c r="O31" s="51" t="n">
        <f aca="false">-O25*Inputs!$E$32</f>
        <v>-17269.2028928571</v>
      </c>
      <c r="P31" s="51" t="n">
        <f aca="false">-P25*Inputs!$E$32</f>
        <v>-17269.2028928571</v>
      </c>
      <c r="Q31" s="51" t="n">
        <f aca="false">-Q25*Inputs!$E$32</f>
        <v>-17269.2028928571</v>
      </c>
      <c r="R31" s="51" t="n">
        <f aca="false">-R25*Inputs!$E$32</f>
        <v>-17269.2028928571</v>
      </c>
      <c r="S31" s="51" t="n">
        <f aca="false">-S25*Inputs!$E$32</f>
        <v>-17269.2028928571</v>
      </c>
      <c r="T31" s="51" t="n">
        <f aca="false">-T25*Inputs!$E$32</f>
        <v>-17269.2028928571</v>
      </c>
      <c r="U31" s="51" t="n">
        <f aca="false">-U25*Inputs!$E$32</f>
        <v>-17269.2028928571</v>
      </c>
      <c r="V31" s="51" t="n">
        <f aca="false">-V25*Inputs!$E$32</f>
        <v>-17269.2028928571</v>
      </c>
      <c r="W31" s="51" t="n">
        <f aca="false">-W25*Inputs!$E$32</f>
        <v>-17269.2028928571</v>
      </c>
      <c r="X31" s="51" t="n">
        <f aca="false">-X25*Inputs!$E$32</f>
        <v>-17269.2028928571</v>
      </c>
      <c r="Y31" s="51" t="n">
        <f aca="false">-Y25*Inputs!$E$32</f>
        <v>-21340.3033928571</v>
      </c>
      <c r="Z31" s="51" t="n">
        <f aca="false">-Z25*Inputs!$E$32</f>
        <v>-21340.3033928571</v>
      </c>
      <c r="AA31" s="51" t="n">
        <f aca="false">-AA25*Inputs!$E$32</f>
        <v>-21989.0769428571</v>
      </c>
      <c r="AB31" s="51" t="n">
        <f aca="false">-AB25*Inputs!$E$32</f>
        <v>-21989.0769428571</v>
      </c>
      <c r="AC31" s="51" t="n">
        <f aca="false">-AC25*Inputs!$E$32</f>
        <v>-21989.0769428571</v>
      </c>
      <c r="AD31" s="51" t="n">
        <f aca="false">-AD25*Inputs!$E$32</f>
        <v>-21989.0769428571</v>
      </c>
      <c r="AE31" s="51" t="n">
        <f aca="false">-AE25*Inputs!$E$32</f>
        <v>-21989.0769428571</v>
      </c>
      <c r="AF31" s="51" t="n">
        <f aca="false">-AF25*Inputs!$E$32</f>
        <v>-21989.0769428571</v>
      </c>
      <c r="AG31" s="51" t="n">
        <f aca="false">-AG25*Inputs!$E$32</f>
        <v>-21989.0769428571</v>
      </c>
      <c r="AH31" s="51" t="n">
        <f aca="false">-AH25*Inputs!$E$32</f>
        <v>-21989.0769428571</v>
      </c>
      <c r="AI31" s="51" t="n">
        <f aca="false">-AI25*Inputs!$E$32</f>
        <v>-21989.0769428571</v>
      </c>
      <c r="AJ31" s="51" t="n">
        <f aca="false">-AJ25*Inputs!$E$32</f>
        <v>-21989.0769428571</v>
      </c>
      <c r="AK31" s="51" t="n">
        <f aca="false">-AK25*Inputs!$E$32</f>
        <v>-27298.2381428571</v>
      </c>
      <c r="AL31" s="51" t="n">
        <f aca="false">-AL25*Inputs!$E$32</f>
        <v>-27298.2381428571</v>
      </c>
      <c r="AM31" s="51" t="n">
        <f aca="false">-AM25*Inputs!$E$32</f>
        <v>-27621.6334778571</v>
      </c>
      <c r="AN31" s="51" t="n">
        <f aca="false">-AN25*Inputs!$E$32</f>
        <v>-27621.6334778571</v>
      </c>
      <c r="AO31" s="51" t="n">
        <f aca="false">-AO25*Inputs!$E$32</f>
        <v>-27621.6334778571</v>
      </c>
      <c r="AP31" s="51" t="n">
        <f aca="false">-AP25*Inputs!$E$32</f>
        <v>-27621.6334778571</v>
      </c>
      <c r="AQ31" s="51" t="n">
        <f aca="false">-AQ25*Inputs!$E$32</f>
        <v>-27621.6334778571</v>
      </c>
      <c r="AR31" s="51" t="n">
        <f aca="false">-AR25*Inputs!$E$32</f>
        <v>-27621.6334778571</v>
      </c>
      <c r="AS31" s="51" t="n">
        <f aca="false">-AS25*Inputs!$E$32</f>
        <v>-27621.6334778571</v>
      </c>
      <c r="AT31" s="51" t="n">
        <f aca="false">-AT25*Inputs!$E$32</f>
        <v>-27621.6334778571</v>
      </c>
      <c r="AU31" s="51" t="n">
        <f aca="false">-AU25*Inputs!$E$32</f>
        <v>-27621.6334778571</v>
      </c>
      <c r="AV31" s="51" t="n">
        <f aca="false">-AV25*Inputs!$E$32</f>
        <v>-27621.6334778571</v>
      </c>
      <c r="AW31" s="51" t="n">
        <f aca="false">-AW25*Inputs!$E$32</f>
        <v>-34390.8140078571</v>
      </c>
      <c r="AX31" s="51" t="n">
        <f aca="false">-AX25*Inputs!$E$32</f>
        <v>-34390.8140078571</v>
      </c>
      <c r="AY31" s="51" t="n">
        <f aca="false">-AY25*Inputs!$E$32</f>
        <v>-34388.3695815546</v>
      </c>
      <c r="AZ31" s="51" t="n">
        <f aca="false">-AZ25*Inputs!$E$32</f>
        <v>-34388.3695815546</v>
      </c>
      <c r="BA31" s="51" t="n">
        <f aca="false">-BA25*Inputs!$E$32</f>
        <v>-34388.3695815546</v>
      </c>
      <c r="BB31" s="51" t="n">
        <f aca="false">-BB25*Inputs!$E$32</f>
        <v>-34388.3695815546</v>
      </c>
      <c r="BC31" s="51" t="n">
        <f aca="false">-BC25*Inputs!$E$32</f>
        <v>-34388.3695815546</v>
      </c>
      <c r="BD31" s="51" t="n">
        <f aca="false">-BD25*Inputs!$E$32</f>
        <v>-34388.3695815546</v>
      </c>
      <c r="BE31" s="51" t="n">
        <f aca="false">-BE25*Inputs!$E$32</f>
        <v>-34388.3695815546</v>
      </c>
      <c r="BF31" s="51" t="n">
        <f aca="false">-BF25*Inputs!$E$32</f>
        <v>-34388.3695815546</v>
      </c>
      <c r="BG31" s="51" t="n">
        <f aca="false">-BG25*Inputs!$E$32</f>
        <v>-34388.3695815546</v>
      </c>
      <c r="BH31" s="51" t="n">
        <f aca="false">-BH25*Inputs!$E$32</f>
        <v>-34388.3695815546</v>
      </c>
      <c r="BI31" s="51" t="n">
        <f aca="false">-BI25*Inputs!$E$32</f>
        <v>-42895.7789690796</v>
      </c>
      <c r="BJ31" s="51" t="n">
        <f aca="false">-BJ25*Inputs!$E$32</f>
        <v>-42895.7789690796</v>
      </c>
    </row>
    <row r="32" customFormat="false" ht="15" hidden="false" customHeight="false" outlineLevel="0" collapsed="false">
      <c r="A32" s="6" t="s">
        <v>279</v>
      </c>
      <c r="C32" s="51" t="n">
        <f aca="false">-Inputs!$E$13*(1+Inputs!$E$14)^(C$5-1)*1</f>
        <v>-50000</v>
      </c>
      <c r="D32" s="51" t="n">
        <f aca="false">-Inputs!$E$13*(1+Inputs!$E$14)^(D$5-1)*1</f>
        <v>-50000</v>
      </c>
      <c r="E32" s="51" t="n">
        <f aca="false">-Inputs!$E$13*(1+Inputs!$E$14)^(E$5-1)*1</f>
        <v>-50000</v>
      </c>
      <c r="F32" s="51" t="n">
        <f aca="false">-Inputs!$E$13*(1+Inputs!$E$14)^(F$5-1)*1</f>
        <v>-50000</v>
      </c>
      <c r="G32" s="51" t="n">
        <f aca="false">-Inputs!$E$13*(1+Inputs!$E$14)^(G$5-1)*1</f>
        <v>-50000</v>
      </c>
      <c r="H32" s="51" t="n">
        <f aca="false">-Inputs!$E$13*(1+Inputs!$E$14)^(H$5-1)*1</f>
        <v>-50000</v>
      </c>
      <c r="I32" s="51" t="n">
        <f aca="false">-Inputs!$E$13*(1+Inputs!$E$14)^(I$5-1)*1</f>
        <v>-50000</v>
      </c>
      <c r="J32" s="51" t="n">
        <f aca="false">-Inputs!$E$13*(1+Inputs!$E$14)^(J$5-1)*1</f>
        <v>-50000</v>
      </c>
      <c r="K32" s="51" t="n">
        <f aca="false">-Inputs!$E$13*(1+Inputs!$E$14)^(K$5-1)*1</f>
        <v>-50000</v>
      </c>
      <c r="L32" s="51" t="n">
        <f aca="false">-Inputs!$E$13*(1+Inputs!$E$14)^(L$5-1)*1</f>
        <v>-50000</v>
      </c>
      <c r="M32" s="51" t="n">
        <f aca="false">-Inputs!$E$13*(1+Inputs!$E$14)^(M$5-1)*1</f>
        <v>-50000</v>
      </c>
      <c r="N32" s="51" t="n">
        <f aca="false">-Inputs!$E$13*(1+Inputs!$E$14)^(N$5-1)*1</f>
        <v>-50000</v>
      </c>
      <c r="O32" s="51" t="n">
        <f aca="false">-Inputs!$E$13*(1+Inputs!$E$14)^(O$5-1)*1</f>
        <v>-60000</v>
      </c>
      <c r="P32" s="51" t="n">
        <f aca="false">-Inputs!$E$13*(1+Inputs!$E$14)^(P$5-1)*1</f>
        <v>-60000</v>
      </c>
      <c r="Q32" s="51" t="n">
        <f aca="false">-Inputs!$E$13*(1+Inputs!$E$14)^(Q$5-1)*1</f>
        <v>-60000</v>
      </c>
      <c r="R32" s="51" t="n">
        <f aca="false">-Inputs!$E$13*(1+Inputs!$E$14)^(R$5-1)*1</f>
        <v>-60000</v>
      </c>
      <c r="S32" s="51" t="n">
        <f aca="false">-Inputs!$E$13*(1+Inputs!$E$14)^(S$5-1)*1</f>
        <v>-60000</v>
      </c>
      <c r="T32" s="51" t="n">
        <f aca="false">-Inputs!$E$13*(1+Inputs!$E$14)^(T$5-1)*1</f>
        <v>-60000</v>
      </c>
      <c r="U32" s="51" t="n">
        <f aca="false">-Inputs!$E$13*(1+Inputs!$E$14)^(U$5-1)*1</f>
        <v>-60000</v>
      </c>
      <c r="V32" s="51" t="n">
        <f aca="false">-Inputs!$E$13*(1+Inputs!$E$14)^(V$5-1)*1</f>
        <v>-60000</v>
      </c>
      <c r="W32" s="51" t="n">
        <f aca="false">-Inputs!$E$13*(1+Inputs!$E$14)^(W$5-1)*1</f>
        <v>-60000</v>
      </c>
      <c r="X32" s="51" t="n">
        <f aca="false">-Inputs!$E$13*(1+Inputs!$E$14)^(X$5-1)*1</f>
        <v>-60000</v>
      </c>
      <c r="Y32" s="51" t="n">
        <f aca="false">-Inputs!$E$13*(1+Inputs!$E$14)^(Y$5-1)*1</f>
        <v>-60000</v>
      </c>
      <c r="Z32" s="51" t="n">
        <f aca="false">-Inputs!$E$13*(1+Inputs!$E$14)^(Z$5-1)*1</f>
        <v>-60000</v>
      </c>
      <c r="AA32" s="51" t="n">
        <f aca="false">-Inputs!$E$13*(1+Inputs!$E$14)^(AA$5-1)*1</f>
        <v>-72000</v>
      </c>
      <c r="AB32" s="51" t="n">
        <f aca="false">-Inputs!$E$13*(1+Inputs!$E$14)^(AB$5-1)*1</f>
        <v>-72000</v>
      </c>
      <c r="AC32" s="51" t="n">
        <f aca="false">-Inputs!$E$13*(1+Inputs!$E$14)^(AC$5-1)*1</f>
        <v>-72000</v>
      </c>
      <c r="AD32" s="51" t="n">
        <f aca="false">-Inputs!$E$13*(1+Inputs!$E$14)^(AD$5-1)*1</f>
        <v>-72000</v>
      </c>
      <c r="AE32" s="51" t="n">
        <f aca="false">-Inputs!$E$13*(1+Inputs!$E$14)^(AE$5-1)*1</f>
        <v>-72000</v>
      </c>
      <c r="AF32" s="51" t="n">
        <f aca="false">-Inputs!$E$13*(1+Inputs!$E$14)^(AF$5-1)*1</f>
        <v>-72000</v>
      </c>
      <c r="AG32" s="51" t="n">
        <f aca="false">-Inputs!$E$13*(1+Inputs!$E$14)^(AG$5-1)*1</f>
        <v>-72000</v>
      </c>
      <c r="AH32" s="51" t="n">
        <f aca="false">-Inputs!$E$13*(1+Inputs!$E$14)^(AH$5-1)*1</f>
        <v>-72000</v>
      </c>
      <c r="AI32" s="51" t="n">
        <f aca="false">-Inputs!$E$13*(1+Inputs!$E$14)^(AI$5-1)*1</f>
        <v>-72000</v>
      </c>
      <c r="AJ32" s="51" t="n">
        <f aca="false">-Inputs!$E$13*(1+Inputs!$E$14)^(AJ$5-1)*1</f>
        <v>-72000</v>
      </c>
      <c r="AK32" s="51" t="n">
        <f aca="false">-Inputs!$E$13*(1+Inputs!$E$14)^(AK$5-1)*1</f>
        <v>-72000</v>
      </c>
      <c r="AL32" s="51" t="n">
        <f aca="false">-Inputs!$E$13*(1+Inputs!$E$14)^(AL$5-1)*1</f>
        <v>-72000</v>
      </c>
      <c r="AM32" s="51" t="n">
        <f aca="false">-Inputs!$E$13*(1+Inputs!$E$14)^(AM$5-1)*1</f>
        <v>-86400</v>
      </c>
      <c r="AN32" s="51" t="n">
        <f aca="false">-Inputs!$E$13*(1+Inputs!$E$14)^(AN$5-1)*1</f>
        <v>-86400</v>
      </c>
      <c r="AO32" s="51" t="n">
        <f aca="false">-Inputs!$E$13*(1+Inputs!$E$14)^(AO$5-1)*1</f>
        <v>-86400</v>
      </c>
      <c r="AP32" s="51" t="n">
        <f aca="false">-Inputs!$E$13*(1+Inputs!$E$14)^(AP$5-1)*1</f>
        <v>-86400</v>
      </c>
      <c r="AQ32" s="51" t="n">
        <f aca="false">-Inputs!$E$13*(1+Inputs!$E$14)^(AQ$5-1)*1</f>
        <v>-86400</v>
      </c>
      <c r="AR32" s="51" t="n">
        <f aca="false">-Inputs!$E$13*(1+Inputs!$E$14)^(AR$5-1)*1</f>
        <v>-86400</v>
      </c>
      <c r="AS32" s="51" t="n">
        <f aca="false">-Inputs!$E$13*(1+Inputs!$E$14)^(AS$5-1)*1</f>
        <v>-86400</v>
      </c>
      <c r="AT32" s="51" t="n">
        <f aca="false">-Inputs!$E$13*(1+Inputs!$E$14)^(AT$5-1)*1</f>
        <v>-86400</v>
      </c>
      <c r="AU32" s="51" t="n">
        <f aca="false">-Inputs!$E$13*(1+Inputs!$E$14)^(AU$5-1)*1</f>
        <v>-86400</v>
      </c>
      <c r="AV32" s="51" t="n">
        <f aca="false">-Inputs!$E$13*(1+Inputs!$E$14)^(AV$5-1)*1</f>
        <v>-86400</v>
      </c>
      <c r="AW32" s="51" t="n">
        <f aca="false">-Inputs!$E$13*(1+Inputs!$E$14)^(AW$5-1)*1</f>
        <v>-86400</v>
      </c>
      <c r="AX32" s="51" t="n">
        <f aca="false">-Inputs!$E$13*(1+Inputs!$E$14)^(AX$5-1)*1</f>
        <v>-86400</v>
      </c>
      <c r="AY32" s="51" t="n">
        <f aca="false">-Inputs!$E$13*(1+Inputs!$E$14)^(AY$5-1)*1</f>
        <v>-103680</v>
      </c>
      <c r="AZ32" s="51" t="n">
        <f aca="false">-Inputs!$E$13*(1+Inputs!$E$14)^(AZ$5-1)*1</f>
        <v>-103680</v>
      </c>
      <c r="BA32" s="51" t="n">
        <f aca="false">-Inputs!$E$13*(1+Inputs!$E$14)^(BA$5-1)*1</f>
        <v>-103680</v>
      </c>
      <c r="BB32" s="51" t="n">
        <f aca="false">-Inputs!$E$13*(1+Inputs!$E$14)^(BB$5-1)*1</f>
        <v>-103680</v>
      </c>
      <c r="BC32" s="51" t="n">
        <f aca="false">-Inputs!$E$13*(1+Inputs!$E$14)^(BC$5-1)*1</f>
        <v>-103680</v>
      </c>
      <c r="BD32" s="51" t="n">
        <f aca="false">-Inputs!$E$13*(1+Inputs!$E$14)^(BD$5-1)*1</f>
        <v>-103680</v>
      </c>
      <c r="BE32" s="51" t="n">
        <f aca="false">-Inputs!$E$13*(1+Inputs!$E$14)^(BE$5-1)*1</f>
        <v>-103680</v>
      </c>
      <c r="BF32" s="51" t="n">
        <f aca="false">-Inputs!$E$13*(1+Inputs!$E$14)^(BF$5-1)*1</f>
        <v>-103680</v>
      </c>
      <c r="BG32" s="51" t="n">
        <f aca="false">-Inputs!$E$13*(1+Inputs!$E$14)^(BG$5-1)*1</f>
        <v>-103680</v>
      </c>
      <c r="BH32" s="51" t="n">
        <f aca="false">-Inputs!$E$13*(1+Inputs!$E$14)^(BH$5-1)*1</f>
        <v>-103680</v>
      </c>
      <c r="BI32" s="51" t="n">
        <f aca="false">-Inputs!$E$13*(1+Inputs!$E$14)^(BI$5-1)*1</f>
        <v>-103680</v>
      </c>
      <c r="BJ32" s="51" t="n">
        <f aca="false">-Inputs!$E$13*(1+Inputs!$E$14)^(BJ$5-1)*1</f>
        <v>-103680</v>
      </c>
    </row>
    <row r="33" customFormat="false" ht="15" hidden="false" customHeight="false" outlineLevel="0" collapsed="false">
      <c r="A33" s="6" t="s">
        <v>280</v>
      </c>
      <c r="C33" s="53" t="n">
        <f aca="false">Headcount!C19</f>
        <v>-104841.666666667</v>
      </c>
      <c r="D33" s="53" t="n">
        <f aca="false">Headcount!D19</f>
        <v>-104841.666666667</v>
      </c>
      <c r="E33" s="53" t="n">
        <f aca="false">Headcount!E19</f>
        <v>-104841.666666667</v>
      </c>
      <c r="F33" s="53" t="n">
        <f aca="false">Headcount!F19</f>
        <v>-104841.666666667</v>
      </c>
      <c r="G33" s="53" t="n">
        <f aca="false">Headcount!G19</f>
        <v>-104841.666666667</v>
      </c>
      <c r="H33" s="53" t="n">
        <f aca="false">Headcount!H19</f>
        <v>-104841.666666667</v>
      </c>
      <c r="I33" s="53" t="n">
        <f aca="false">Headcount!I19</f>
        <v>-104841.666666667</v>
      </c>
      <c r="J33" s="53" t="n">
        <f aca="false">Headcount!J19</f>
        <v>-104841.666666667</v>
      </c>
      <c r="K33" s="53" t="n">
        <f aca="false">Headcount!K19</f>
        <v>-104841.666666667</v>
      </c>
      <c r="L33" s="53" t="n">
        <f aca="false">Headcount!L19</f>
        <v>-104841.666666667</v>
      </c>
      <c r="M33" s="53" t="n">
        <f aca="false">Headcount!M19</f>
        <v>-104841.666666667</v>
      </c>
      <c r="N33" s="53" t="n">
        <f aca="false">Headcount!N19</f>
        <v>-104841.666666667</v>
      </c>
      <c r="O33" s="53" t="n">
        <f aca="false">Headcount!O19</f>
        <v>-131548.595833333</v>
      </c>
      <c r="P33" s="53" t="n">
        <f aca="false">Headcount!P19</f>
        <v>-131548.595833333</v>
      </c>
      <c r="Q33" s="53" t="n">
        <f aca="false">Headcount!Q19</f>
        <v>-131548.595833333</v>
      </c>
      <c r="R33" s="53" t="n">
        <f aca="false">Headcount!R19</f>
        <v>-131548.595833333</v>
      </c>
      <c r="S33" s="53" t="n">
        <f aca="false">Headcount!S19</f>
        <v>-131548.595833333</v>
      </c>
      <c r="T33" s="53" t="n">
        <f aca="false">Headcount!T19</f>
        <v>-131548.595833333</v>
      </c>
      <c r="U33" s="53" t="n">
        <f aca="false">Headcount!U19</f>
        <v>-131548.595833333</v>
      </c>
      <c r="V33" s="53" t="n">
        <f aca="false">Headcount!V19</f>
        <v>-131548.595833333</v>
      </c>
      <c r="W33" s="53" t="n">
        <f aca="false">Headcount!W19</f>
        <v>-131548.595833333</v>
      </c>
      <c r="X33" s="53" t="n">
        <f aca="false">Headcount!X19</f>
        <v>-131548.595833333</v>
      </c>
      <c r="Y33" s="53" t="n">
        <f aca="false">Headcount!Y19</f>
        <v>-131548.595833333</v>
      </c>
      <c r="Z33" s="53" t="n">
        <f aca="false">Headcount!Z19</f>
        <v>-131548.595833333</v>
      </c>
      <c r="AA33" s="53" t="n">
        <f aca="false">Headcount!AA19</f>
        <v>-165384.386164583</v>
      </c>
      <c r="AB33" s="53" t="n">
        <f aca="false">Headcount!AB19</f>
        <v>-165384.386164583</v>
      </c>
      <c r="AC33" s="53" t="n">
        <f aca="false">Headcount!AC19</f>
        <v>-165384.386164583</v>
      </c>
      <c r="AD33" s="53" t="n">
        <f aca="false">Headcount!AD19</f>
        <v>-165384.386164583</v>
      </c>
      <c r="AE33" s="53" t="n">
        <f aca="false">Headcount!AE19</f>
        <v>-165384.386164583</v>
      </c>
      <c r="AF33" s="53" t="n">
        <f aca="false">Headcount!AF19</f>
        <v>-165384.386164583</v>
      </c>
      <c r="AG33" s="53" t="n">
        <f aca="false">Headcount!AG19</f>
        <v>-165384.386164583</v>
      </c>
      <c r="AH33" s="53" t="n">
        <f aca="false">Headcount!AH19</f>
        <v>-165384.386164583</v>
      </c>
      <c r="AI33" s="53" t="n">
        <f aca="false">Headcount!AI19</f>
        <v>-165384.386164583</v>
      </c>
      <c r="AJ33" s="53" t="n">
        <f aca="false">Headcount!AJ19</f>
        <v>-165384.386164583</v>
      </c>
      <c r="AK33" s="53" t="n">
        <f aca="false">Headcount!AK19</f>
        <v>-165384.386164583</v>
      </c>
      <c r="AL33" s="53" t="n">
        <f aca="false">Headcount!AL19</f>
        <v>-165384.386164583</v>
      </c>
      <c r="AM33" s="53" t="n">
        <f aca="false">Headcount!AM19</f>
        <v>-208341.015579049</v>
      </c>
      <c r="AN33" s="53" t="n">
        <f aca="false">Headcount!AN19</f>
        <v>-208341.015579049</v>
      </c>
      <c r="AO33" s="53" t="n">
        <f aca="false">Headcount!AO19</f>
        <v>-208341.015579049</v>
      </c>
      <c r="AP33" s="53" t="n">
        <f aca="false">Headcount!AP19</f>
        <v>-208341.015579049</v>
      </c>
      <c r="AQ33" s="53" t="n">
        <f aca="false">Headcount!AQ19</f>
        <v>-208341.015579049</v>
      </c>
      <c r="AR33" s="53" t="n">
        <f aca="false">Headcount!AR19</f>
        <v>-208341.015579049</v>
      </c>
      <c r="AS33" s="53" t="n">
        <f aca="false">Headcount!AS19</f>
        <v>-208341.015579049</v>
      </c>
      <c r="AT33" s="53" t="n">
        <f aca="false">Headcount!AT19</f>
        <v>-208341.015579049</v>
      </c>
      <c r="AU33" s="53" t="n">
        <f aca="false">Headcount!AU19</f>
        <v>-208341.015579049</v>
      </c>
      <c r="AV33" s="53" t="n">
        <f aca="false">Headcount!AV19</f>
        <v>-208341.015579049</v>
      </c>
      <c r="AW33" s="53" t="n">
        <f aca="false">Headcount!AW19</f>
        <v>-208341.015579049</v>
      </c>
      <c r="AX33" s="53" t="n">
        <f aca="false">Headcount!AX19</f>
        <v>-208341.015579049</v>
      </c>
      <c r="AY33" s="53" t="n">
        <f aca="false">Headcount!AY19</f>
        <v>-262990.962741368</v>
      </c>
      <c r="AZ33" s="53" t="n">
        <f aca="false">Headcount!AZ19</f>
        <v>-262990.962741368</v>
      </c>
      <c r="BA33" s="53" t="n">
        <f aca="false">Headcount!BA19</f>
        <v>-262990.962741368</v>
      </c>
      <c r="BB33" s="53" t="n">
        <f aca="false">Headcount!BB19</f>
        <v>-262990.962741368</v>
      </c>
      <c r="BC33" s="53" t="n">
        <f aca="false">Headcount!BC19</f>
        <v>-262990.962741368</v>
      </c>
      <c r="BD33" s="53" t="n">
        <f aca="false">Headcount!BD19</f>
        <v>-262990.962741368</v>
      </c>
      <c r="BE33" s="53" t="n">
        <f aca="false">Headcount!BE19</f>
        <v>-262990.962741368</v>
      </c>
      <c r="BF33" s="53" t="n">
        <f aca="false">Headcount!BF19</f>
        <v>-262990.962741368</v>
      </c>
      <c r="BG33" s="53" t="n">
        <f aca="false">Headcount!BG19</f>
        <v>-262990.962741368</v>
      </c>
      <c r="BH33" s="53" t="n">
        <f aca="false">Headcount!BH19</f>
        <v>-262990.962741368</v>
      </c>
      <c r="BI33" s="53" t="n">
        <f aca="false">Headcount!BI19</f>
        <v>-262990.962741368</v>
      </c>
      <c r="BJ33" s="53" t="n">
        <f aca="false">Headcount!BJ19</f>
        <v>-262990.962741368</v>
      </c>
    </row>
    <row r="34" customFormat="false" ht="15" hidden="false" customHeight="false" outlineLevel="0" collapsed="false">
      <c r="A34" s="6" t="s">
        <v>281</v>
      </c>
      <c r="C34" s="51" t="n">
        <f aca="false">-C19*Inputs!$E$20*Inputs!$E$23/12*1</f>
        <v>-10000</v>
      </c>
      <c r="D34" s="51" t="n">
        <f aca="false">-D19*Inputs!$E$20*Inputs!$E$23/12*1</f>
        <v>-10000</v>
      </c>
      <c r="E34" s="51" t="n">
        <f aca="false">-E19*Inputs!$E$20*Inputs!$E$23/12*1</f>
        <v>-10000</v>
      </c>
      <c r="F34" s="51" t="n">
        <f aca="false">-F19*Inputs!$E$20*Inputs!$E$23/12*1</f>
        <v>-10000</v>
      </c>
      <c r="G34" s="51" t="n">
        <f aca="false">-G19*Inputs!$E$20*Inputs!$E$23/12*1</f>
        <v>-10000</v>
      </c>
      <c r="H34" s="51" t="n">
        <f aca="false">-H19*Inputs!$E$20*Inputs!$E$23/12*1</f>
        <v>-10000</v>
      </c>
      <c r="I34" s="51" t="n">
        <f aca="false">-I19*Inputs!$E$20*Inputs!$E$23/12*1</f>
        <v>-10000</v>
      </c>
      <c r="J34" s="51" t="n">
        <f aca="false">-J19*Inputs!$E$20*Inputs!$E$23/12*1</f>
        <v>-10000</v>
      </c>
      <c r="K34" s="51" t="n">
        <f aca="false">-K19*Inputs!$E$20*Inputs!$E$23/12*1</f>
        <v>-10000</v>
      </c>
      <c r="L34" s="51" t="n">
        <f aca="false">-L19*Inputs!$E$20*Inputs!$E$23/12*1</f>
        <v>-10000</v>
      </c>
      <c r="M34" s="51" t="n">
        <f aca="false">-M19*Inputs!$E$20*Inputs!$E$23/12*1</f>
        <v>-10000</v>
      </c>
      <c r="N34" s="51" t="n">
        <f aca="false">-N19*Inputs!$E$20*Inputs!$E$23/12*1</f>
        <v>-10000</v>
      </c>
      <c r="O34" s="51" t="n">
        <f aca="false">-O19*Inputs!$E$20*Inputs!$E$23/12*1</f>
        <v>-15000</v>
      </c>
      <c r="P34" s="51" t="n">
        <f aca="false">-P19*Inputs!$E$20*Inputs!$E$23/12*1</f>
        <v>-15000</v>
      </c>
      <c r="Q34" s="51" t="n">
        <f aca="false">-Q19*Inputs!$E$20*Inputs!$E$23/12*1</f>
        <v>-15000</v>
      </c>
      <c r="R34" s="51" t="n">
        <f aca="false">-R19*Inputs!$E$20*Inputs!$E$23/12*1</f>
        <v>-15000</v>
      </c>
      <c r="S34" s="51" t="n">
        <f aca="false">-S19*Inputs!$E$20*Inputs!$E$23/12*1</f>
        <v>-15000</v>
      </c>
      <c r="T34" s="51" t="n">
        <f aca="false">-T19*Inputs!$E$20*Inputs!$E$23/12*1</f>
        <v>-15000</v>
      </c>
      <c r="U34" s="51" t="n">
        <f aca="false">-U19*Inputs!$E$20*Inputs!$E$23/12*1</f>
        <v>-15000</v>
      </c>
      <c r="V34" s="51" t="n">
        <f aca="false">-V19*Inputs!$E$20*Inputs!$E$23/12*1</f>
        <v>-15000</v>
      </c>
      <c r="W34" s="51" t="n">
        <f aca="false">-W19*Inputs!$E$20*Inputs!$E$23/12*1</f>
        <v>-15000</v>
      </c>
      <c r="X34" s="51" t="n">
        <f aca="false">-X19*Inputs!$E$20*Inputs!$E$23/12*1</f>
        <v>-15000</v>
      </c>
      <c r="Y34" s="51" t="n">
        <f aca="false">-Y19*Inputs!$E$20*Inputs!$E$23/12*1</f>
        <v>-15000</v>
      </c>
      <c r="Z34" s="51" t="n">
        <f aca="false">-Z19*Inputs!$E$20*Inputs!$E$23/12*1</f>
        <v>-15000</v>
      </c>
      <c r="AA34" s="51" t="n">
        <f aca="false">-AA19*Inputs!$E$20*Inputs!$E$23/12*1</f>
        <v>-20000</v>
      </c>
      <c r="AB34" s="51" t="n">
        <f aca="false">-AB19*Inputs!$E$20*Inputs!$E$23/12*1</f>
        <v>-20000</v>
      </c>
      <c r="AC34" s="51" t="n">
        <f aca="false">-AC19*Inputs!$E$20*Inputs!$E$23/12*1</f>
        <v>-20000</v>
      </c>
      <c r="AD34" s="51" t="n">
        <f aca="false">-AD19*Inputs!$E$20*Inputs!$E$23/12*1</f>
        <v>-20000</v>
      </c>
      <c r="AE34" s="51" t="n">
        <f aca="false">-AE19*Inputs!$E$20*Inputs!$E$23/12*1</f>
        <v>-20000</v>
      </c>
      <c r="AF34" s="51" t="n">
        <f aca="false">-AF19*Inputs!$E$20*Inputs!$E$23/12*1</f>
        <v>-20000</v>
      </c>
      <c r="AG34" s="51" t="n">
        <f aca="false">-AG19*Inputs!$E$20*Inputs!$E$23/12*1</f>
        <v>-20000</v>
      </c>
      <c r="AH34" s="51" t="n">
        <f aca="false">-AH19*Inputs!$E$20*Inputs!$E$23/12*1</f>
        <v>-20000</v>
      </c>
      <c r="AI34" s="51" t="n">
        <f aca="false">-AI19*Inputs!$E$20*Inputs!$E$23/12*1</f>
        <v>-20000</v>
      </c>
      <c r="AJ34" s="51" t="n">
        <f aca="false">-AJ19*Inputs!$E$20*Inputs!$E$23/12*1</f>
        <v>-20000</v>
      </c>
      <c r="AK34" s="51" t="n">
        <f aca="false">-AK19*Inputs!$E$20*Inputs!$E$23/12*1</f>
        <v>-20000</v>
      </c>
      <c r="AL34" s="51" t="n">
        <f aca="false">-AL19*Inputs!$E$20*Inputs!$E$23/12*1</f>
        <v>-20000</v>
      </c>
      <c r="AM34" s="51" t="n">
        <f aca="false">-AM19*Inputs!$E$20*Inputs!$E$23/12*1</f>
        <v>-25000</v>
      </c>
      <c r="AN34" s="51" t="n">
        <f aca="false">-AN19*Inputs!$E$20*Inputs!$E$23/12*1</f>
        <v>-25000</v>
      </c>
      <c r="AO34" s="51" t="n">
        <f aca="false">-AO19*Inputs!$E$20*Inputs!$E$23/12*1</f>
        <v>-25000</v>
      </c>
      <c r="AP34" s="51" t="n">
        <f aca="false">-AP19*Inputs!$E$20*Inputs!$E$23/12*1</f>
        <v>-25000</v>
      </c>
      <c r="AQ34" s="51" t="n">
        <f aca="false">-AQ19*Inputs!$E$20*Inputs!$E$23/12*1</f>
        <v>-25000</v>
      </c>
      <c r="AR34" s="51" t="n">
        <f aca="false">-AR19*Inputs!$E$20*Inputs!$E$23/12*1</f>
        <v>-25000</v>
      </c>
      <c r="AS34" s="51" t="n">
        <f aca="false">-AS19*Inputs!$E$20*Inputs!$E$23/12*1</f>
        <v>-25000</v>
      </c>
      <c r="AT34" s="51" t="n">
        <f aca="false">-AT19*Inputs!$E$20*Inputs!$E$23/12*1</f>
        <v>-25000</v>
      </c>
      <c r="AU34" s="51" t="n">
        <f aca="false">-AU19*Inputs!$E$20*Inputs!$E$23/12*1</f>
        <v>-25000</v>
      </c>
      <c r="AV34" s="51" t="n">
        <f aca="false">-AV19*Inputs!$E$20*Inputs!$E$23/12*1</f>
        <v>-25000</v>
      </c>
      <c r="AW34" s="51" t="n">
        <f aca="false">-AW19*Inputs!$E$20*Inputs!$E$23/12*1</f>
        <v>-25000</v>
      </c>
      <c r="AX34" s="51" t="n">
        <f aca="false">-AX19*Inputs!$E$20*Inputs!$E$23/12*1</f>
        <v>-25000</v>
      </c>
      <c r="AY34" s="51" t="n">
        <f aca="false">-AY19*Inputs!$E$20*Inputs!$E$23/12*1</f>
        <v>-30000</v>
      </c>
      <c r="AZ34" s="51" t="n">
        <f aca="false">-AZ19*Inputs!$E$20*Inputs!$E$23/12*1</f>
        <v>-30000</v>
      </c>
      <c r="BA34" s="51" t="n">
        <f aca="false">-BA19*Inputs!$E$20*Inputs!$E$23/12*1</f>
        <v>-30000</v>
      </c>
      <c r="BB34" s="51" t="n">
        <f aca="false">-BB19*Inputs!$E$20*Inputs!$E$23/12*1</f>
        <v>-30000</v>
      </c>
      <c r="BC34" s="51" t="n">
        <f aca="false">-BC19*Inputs!$E$20*Inputs!$E$23/12*1</f>
        <v>-30000</v>
      </c>
      <c r="BD34" s="51" t="n">
        <f aca="false">-BD19*Inputs!$E$20*Inputs!$E$23/12*1</f>
        <v>-30000</v>
      </c>
      <c r="BE34" s="51" t="n">
        <f aca="false">-BE19*Inputs!$E$20*Inputs!$E$23/12*1</f>
        <v>-30000</v>
      </c>
      <c r="BF34" s="51" t="n">
        <f aca="false">-BF19*Inputs!$E$20*Inputs!$E$23/12*1</f>
        <v>-30000</v>
      </c>
      <c r="BG34" s="51" t="n">
        <f aca="false">-BG19*Inputs!$E$20*Inputs!$E$23/12*1</f>
        <v>-30000</v>
      </c>
      <c r="BH34" s="51" t="n">
        <f aca="false">-BH19*Inputs!$E$20*Inputs!$E$23/12*1</f>
        <v>-30000</v>
      </c>
      <c r="BI34" s="51" t="n">
        <f aca="false">-BI19*Inputs!$E$20*Inputs!$E$23/12*1</f>
        <v>-30000</v>
      </c>
      <c r="BJ34" s="51" t="n">
        <f aca="false">-BJ19*Inputs!$E$20*Inputs!$E$23/12*1</f>
        <v>-30000</v>
      </c>
    </row>
    <row r="35" customFormat="false" ht="15" hidden="false" customHeight="false" outlineLevel="0" collapsed="false">
      <c r="A35" s="6" t="s">
        <v>282</v>
      </c>
      <c r="C35" s="51" t="n">
        <f aca="false">-C19*Inputs!$E$24*1</f>
        <v>-5000</v>
      </c>
      <c r="D35" s="51" t="n">
        <f aca="false">-D19*Inputs!$E$24*1</f>
        <v>-5000</v>
      </c>
      <c r="E35" s="51" t="n">
        <f aca="false">-E19*Inputs!$E$24*1</f>
        <v>-5000</v>
      </c>
      <c r="F35" s="51" t="n">
        <f aca="false">-F19*Inputs!$E$24*1</f>
        <v>-5000</v>
      </c>
      <c r="G35" s="51" t="n">
        <f aca="false">-G19*Inputs!$E$24*1</f>
        <v>-5000</v>
      </c>
      <c r="H35" s="51" t="n">
        <f aca="false">-H19*Inputs!$E$24*1</f>
        <v>-5000</v>
      </c>
      <c r="I35" s="51" t="n">
        <f aca="false">-I19*Inputs!$E$24*1</f>
        <v>-5000</v>
      </c>
      <c r="J35" s="51" t="n">
        <f aca="false">-J19*Inputs!$E$24*1</f>
        <v>-5000</v>
      </c>
      <c r="K35" s="51" t="n">
        <f aca="false">-K19*Inputs!$E$24*1</f>
        <v>-5000</v>
      </c>
      <c r="L35" s="51" t="n">
        <f aca="false">-L19*Inputs!$E$24*1</f>
        <v>-5000</v>
      </c>
      <c r="M35" s="51" t="n">
        <f aca="false">-M19*Inputs!$E$24*1</f>
        <v>-5000</v>
      </c>
      <c r="N35" s="51" t="n">
        <f aca="false">-N19*Inputs!$E$24*1</f>
        <v>-5000</v>
      </c>
      <c r="O35" s="51" t="n">
        <f aca="false">-O19*Inputs!$E$24*1</f>
        <v>-7500</v>
      </c>
      <c r="P35" s="51" t="n">
        <f aca="false">-P19*Inputs!$E$24*1</f>
        <v>-7500</v>
      </c>
      <c r="Q35" s="51" t="n">
        <f aca="false">-Q19*Inputs!$E$24*1</f>
        <v>-7500</v>
      </c>
      <c r="R35" s="51" t="n">
        <f aca="false">-R19*Inputs!$E$24*1</f>
        <v>-7500</v>
      </c>
      <c r="S35" s="51" t="n">
        <f aca="false">-S19*Inputs!$E$24*1</f>
        <v>-7500</v>
      </c>
      <c r="T35" s="51" t="n">
        <f aca="false">-T19*Inputs!$E$24*1</f>
        <v>-7500</v>
      </c>
      <c r="U35" s="51" t="n">
        <f aca="false">-U19*Inputs!$E$24*1</f>
        <v>-7500</v>
      </c>
      <c r="V35" s="51" t="n">
        <f aca="false">-V19*Inputs!$E$24*1</f>
        <v>-7500</v>
      </c>
      <c r="W35" s="51" t="n">
        <f aca="false">-W19*Inputs!$E$24*1</f>
        <v>-7500</v>
      </c>
      <c r="X35" s="51" t="n">
        <f aca="false">-X19*Inputs!$E$24*1</f>
        <v>-7500</v>
      </c>
      <c r="Y35" s="51" t="n">
        <f aca="false">-Y19*Inputs!$E$24*1</f>
        <v>-7500</v>
      </c>
      <c r="Z35" s="51" t="n">
        <f aca="false">-Z19*Inputs!$E$24*1</f>
        <v>-7500</v>
      </c>
      <c r="AA35" s="51" t="n">
        <f aca="false">-AA19*Inputs!$E$24*1</f>
        <v>-10000</v>
      </c>
      <c r="AB35" s="51" t="n">
        <f aca="false">-AB19*Inputs!$E$24*1</f>
        <v>-10000</v>
      </c>
      <c r="AC35" s="51" t="n">
        <f aca="false">-AC19*Inputs!$E$24*1</f>
        <v>-10000</v>
      </c>
      <c r="AD35" s="51" t="n">
        <f aca="false">-AD19*Inputs!$E$24*1</f>
        <v>-10000</v>
      </c>
      <c r="AE35" s="51" t="n">
        <f aca="false">-AE19*Inputs!$E$24*1</f>
        <v>-10000</v>
      </c>
      <c r="AF35" s="51" t="n">
        <f aca="false">-AF19*Inputs!$E$24*1</f>
        <v>-10000</v>
      </c>
      <c r="AG35" s="51" t="n">
        <f aca="false">-AG19*Inputs!$E$24*1</f>
        <v>-10000</v>
      </c>
      <c r="AH35" s="51" t="n">
        <f aca="false">-AH19*Inputs!$E$24*1</f>
        <v>-10000</v>
      </c>
      <c r="AI35" s="51" t="n">
        <f aca="false">-AI19*Inputs!$E$24*1</f>
        <v>-10000</v>
      </c>
      <c r="AJ35" s="51" t="n">
        <f aca="false">-AJ19*Inputs!$E$24*1</f>
        <v>-10000</v>
      </c>
      <c r="AK35" s="51" t="n">
        <f aca="false">-AK19*Inputs!$E$24*1</f>
        <v>-10000</v>
      </c>
      <c r="AL35" s="51" t="n">
        <f aca="false">-AL19*Inputs!$E$24*1</f>
        <v>-10000</v>
      </c>
      <c r="AM35" s="51" t="n">
        <f aca="false">-AM19*Inputs!$E$24*1</f>
        <v>-12500</v>
      </c>
      <c r="AN35" s="51" t="n">
        <f aca="false">-AN19*Inputs!$E$24*1</f>
        <v>-12500</v>
      </c>
      <c r="AO35" s="51" t="n">
        <f aca="false">-AO19*Inputs!$E$24*1</f>
        <v>-12500</v>
      </c>
      <c r="AP35" s="51" t="n">
        <f aca="false">-AP19*Inputs!$E$24*1</f>
        <v>-12500</v>
      </c>
      <c r="AQ35" s="51" t="n">
        <f aca="false">-AQ19*Inputs!$E$24*1</f>
        <v>-12500</v>
      </c>
      <c r="AR35" s="51" t="n">
        <f aca="false">-AR19*Inputs!$E$24*1</f>
        <v>-12500</v>
      </c>
      <c r="AS35" s="51" t="n">
        <f aca="false">-AS19*Inputs!$E$24*1</f>
        <v>-12500</v>
      </c>
      <c r="AT35" s="51" t="n">
        <f aca="false">-AT19*Inputs!$E$24*1</f>
        <v>-12500</v>
      </c>
      <c r="AU35" s="51" t="n">
        <f aca="false">-AU19*Inputs!$E$24*1</f>
        <v>-12500</v>
      </c>
      <c r="AV35" s="51" t="n">
        <f aca="false">-AV19*Inputs!$E$24*1</f>
        <v>-12500</v>
      </c>
      <c r="AW35" s="51" t="n">
        <f aca="false">-AW19*Inputs!$E$24*1</f>
        <v>-12500</v>
      </c>
      <c r="AX35" s="51" t="n">
        <f aca="false">-AX19*Inputs!$E$24*1</f>
        <v>-12500</v>
      </c>
      <c r="AY35" s="51" t="n">
        <f aca="false">-AY19*Inputs!$E$24*1</f>
        <v>-15000</v>
      </c>
      <c r="AZ35" s="51" t="n">
        <f aca="false">-AZ19*Inputs!$E$24*1</f>
        <v>-15000</v>
      </c>
      <c r="BA35" s="51" t="n">
        <f aca="false">-BA19*Inputs!$E$24*1</f>
        <v>-15000</v>
      </c>
      <c r="BB35" s="51" t="n">
        <f aca="false">-BB19*Inputs!$E$24*1</f>
        <v>-15000</v>
      </c>
      <c r="BC35" s="51" t="n">
        <f aca="false">-BC19*Inputs!$E$24*1</f>
        <v>-15000</v>
      </c>
      <c r="BD35" s="51" t="n">
        <f aca="false">-BD19*Inputs!$E$24*1</f>
        <v>-15000</v>
      </c>
      <c r="BE35" s="51" t="n">
        <f aca="false">-BE19*Inputs!$E$24*1</f>
        <v>-15000</v>
      </c>
      <c r="BF35" s="51" t="n">
        <f aca="false">-BF19*Inputs!$E$24*1</f>
        <v>-15000</v>
      </c>
      <c r="BG35" s="51" t="n">
        <f aca="false">-BG19*Inputs!$E$24*1</f>
        <v>-15000</v>
      </c>
      <c r="BH35" s="51" t="n">
        <f aca="false">-BH19*Inputs!$E$24*1</f>
        <v>-15000</v>
      </c>
      <c r="BI35" s="51" t="n">
        <f aca="false">-BI19*Inputs!$E$24*1</f>
        <v>-15000</v>
      </c>
      <c r="BJ35" s="51" t="n">
        <f aca="false">-BJ19*Inputs!$E$24*1</f>
        <v>-15000</v>
      </c>
    </row>
    <row r="36" customFormat="false" ht="15" hidden="false" customHeight="false" outlineLevel="0" collapsed="false">
      <c r="A36" s="6" t="s">
        <v>283</v>
      </c>
      <c r="C36" s="51" t="n">
        <f aca="false">-Inputs!$E$33*1</f>
        <v>-4000</v>
      </c>
      <c r="D36" s="51" t="n">
        <f aca="false">-Inputs!$E$33*1</f>
        <v>-4000</v>
      </c>
      <c r="E36" s="51" t="n">
        <f aca="false">-Inputs!$E$33*1</f>
        <v>-4000</v>
      </c>
      <c r="F36" s="51" t="n">
        <f aca="false">-Inputs!$E$33*1</f>
        <v>-4000</v>
      </c>
      <c r="G36" s="51" t="n">
        <f aca="false">-Inputs!$E$33*1</f>
        <v>-4000</v>
      </c>
      <c r="H36" s="51" t="n">
        <f aca="false">-Inputs!$E$33*1</f>
        <v>-4000</v>
      </c>
      <c r="I36" s="51" t="n">
        <f aca="false">-Inputs!$E$33*1</f>
        <v>-4000</v>
      </c>
      <c r="J36" s="51" t="n">
        <f aca="false">-Inputs!$E$33*1</f>
        <v>-4000</v>
      </c>
      <c r="K36" s="51" t="n">
        <f aca="false">-Inputs!$E$33*1</f>
        <v>-4000</v>
      </c>
      <c r="L36" s="51" t="n">
        <f aca="false">-Inputs!$E$33*1</f>
        <v>-4000</v>
      </c>
      <c r="M36" s="51" t="n">
        <f aca="false">-Inputs!$E$33*1</f>
        <v>-4000</v>
      </c>
      <c r="N36" s="51" t="n">
        <f aca="false">-Inputs!$E$33*1</f>
        <v>-4000</v>
      </c>
      <c r="O36" s="51" t="n">
        <f aca="false">-Inputs!$E$33*1</f>
        <v>-4000</v>
      </c>
      <c r="P36" s="51" t="n">
        <f aca="false">-Inputs!$E$33*1</f>
        <v>-4000</v>
      </c>
      <c r="Q36" s="51" t="n">
        <f aca="false">-Inputs!$E$33*1</f>
        <v>-4000</v>
      </c>
      <c r="R36" s="51" t="n">
        <f aca="false">-Inputs!$E$33*1</f>
        <v>-4000</v>
      </c>
      <c r="S36" s="51" t="n">
        <f aca="false">-Inputs!$E$33*1</f>
        <v>-4000</v>
      </c>
      <c r="T36" s="51" t="n">
        <f aca="false">-Inputs!$E$33*1</f>
        <v>-4000</v>
      </c>
      <c r="U36" s="51" t="n">
        <f aca="false">-Inputs!$E$33*1</f>
        <v>-4000</v>
      </c>
      <c r="V36" s="51" t="n">
        <f aca="false">-Inputs!$E$33*1</f>
        <v>-4000</v>
      </c>
      <c r="W36" s="51" t="n">
        <f aca="false">-Inputs!$E$33*1</f>
        <v>-4000</v>
      </c>
      <c r="X36" s="51" t="n">
        <f aca="false">-Inputs!$E$33*1</f>
        <v>-4000</v>
      </c>
      <c r="Y36" s="51" t="n">
        <f aca="false">-Inputs!$E$33*1</f>
        <v>-4000</v>
      </c>
      <c r="Z36" s="51" t="n">
        <f aca="false">-Inputs!$E$33*1</f>
        <v>-4000</v>
      </c>
      <c r="AA36" s="51" t="n">
        <f aca="false">-Inputs!$E$33*1</f>
        <v>-4000</v>
      </c>
      <c r="AB36" s="51" t="n">
        <f aca="false">-Inputs!$E$33*1</f>
        <v>-4000</v>
      </c>
      <c r="AC36" s="51" t="n">
        <f aca="false">-Inputs!$E$33*1</f>
        <v>-4000</v>
      </c>
      <c r="AD36" s="51" t="n">
        <f aca="false">-Inputs!$E$33*1</f>
        <v>-4000</v>
      </c>
      <c r="AE36" s="51" t="n">
        <f aca="false">-Inputs!$E$33*1</f>
        <v>-4000</v>
      </c>
      <c r="AF36" s="51" t="n">
        <f aca="false">-Inputs!$E$33*1</f>
        <v>-4000</v>
      </c>
      <c r="AG36" s="51" t="n">
        <f aca="false">-Inputs!$E$33*1</f>
        <v>-4000</v>
      </c>
      <c r="AH36" s="51" t="n">
        <f aca="false">-Inputs!$E$33*1</f>
        <v>-4000</v>
      </c>
      <c r="AI36" s="51" t="n">
        <f aca="false">-Inputs!$E$33*1</f>
        <v>-4000</v>
      </c>
      <c r="AJ36" s="51" t="n">
        <f aca="false">-Inputs!$E$33*1</f>
        <v>-4000</v>
      </c>
      <c r="AK36" s="51" t="n">
        <f aca="false">-Inputs!$E$33*1</f>
        <v>-4000</v>
      </c>
      <c r="AL36" s="51" t="n">
        <f aca="false">-Inputs!$E$33*1</f>
        <v>-4000</v>
      </c>
      <c r="AM36" s="51" t="n">
        <f aca="false">-Inputs!$E$33*1</f>
        <v>-4000</v>
      </c>
      <c r="AN36" s="51" t="n">
        <f aca="false">-Inputs!$E$33*1</f>
        <v>-4000</v>
      </c>
      <c r="AO36" s="51" t="n">
        <f aca="false">-Inputs!$E$33*1</f>
        <v>-4000</v>
      </c>
      <c r="AP36" s="51" t="n">
        <f aca="false">-Inputs!$E$33*1</f>
        <v>-4000</v>
      </c>
      <c r="AQ36" s="51" t="n">
        <f aca="false">-Inputs!$E$33*1</f>
        <v>-4000</v>
      </c>
      <c r="AR36" s="51" t="n">
        <f aca="false">-Inputs!$E$33*1</f>
        <v>-4000</v>
      </c>
      <c r="AS36" s="51" t="n">
        <f aca="false">-Inputs!$E$33*1</f>
        <v>-4000</v>
      </c>
      <c r="AT36" s="51" t="n">
        <f aca="false">-Inputs!$E$33*1</f>
        <v>-4000</v>
      </c>
      <c r="AU36" s="51" t="n">
        <f aca="false">-Inputs!$E$33*1</f>
        <v>-4000</v>
      </c>
      <c r="AV36" s="51" t="n">
        <f aca="false">-Inputs!$E$33*1</f>
        <v>-4000</v>
      </c>
      <c r="AW36" s="51" t="n">
        <f aca="false">-Inputs!$E$33*1</f>
        <v>-4000</v>
      </c>
      <c r="AX36" s="51" t="n">
        <f aca="false">-Inputs!$E$33*1</f>
        <v>-4000</v>
      </c>
      <c r="AY36" s="51" t="n">
        <f aca="false">-Inputs!$E$33*1</f>
        <v>-4000</v>
      </c>
      <c r="AZ36" s="51" t="n">
        <f aca="false">-Inputs!$E$33*1</f>
        <v>-4000</v>
      </c>
      <c r="BA36" s="51" t="n">
        <f aca="false">-Inputs!$E$33*1</f>
        <v>-4000</v>
      </c>
      <c r="BB36" s="51" t="n">
        <f aca="false">-Inputs!$E$33*1</f>
        <v>-4000</v>
      </c>
      <c r="BC36" s="51" t="n">
        <f aca="false">-Inputs!$E$33*1</f>
        <v>-4000</v>
      </c>
      <c r="BD36" s="51" t="n">
        <f aca="false">-Inputs!$E$33*1</f>
        <v>-4000</v>
      </c>
      <c r="BE36" s="51" t="n">
        <f aca="false">-Inputs!$E$33*1</f>
        <v>-4000</v>
      </c>
      <c r="BF36" s="51" t="n">
        <f aca="false">-Inputs!$E$33*1</f>
        <v>-4000</v>
      </c>
      <c r="BG36" s="51" t="n">
        <f aca="false">-Inputs!$E$33*1</f>
        <v>-4000</v>
      </c>
      <c r="BH36" s="51" t="n">
        <f aca="false">-Inputs!$E$33*1</f>
        <v>-4000</v>
      </c>
      <c r="BI36" s="51" t="n">
        <f aca="false">-Inputs!$E$33*1</f>
        <v>-4000</v>
      </c>
      <c r="BJ36" s="51" t="n">
        <f aca="false">-Inputs!$E$33*1</f>
        <v>-4000</v>
      </c>
    </row>
    <row r="37" customFormat="false" ht="15" hidden="false" customHeight="false" outlineLevel="0" collapsed="false">
      <c r="A37" s="6" t="s">
        <v>284</v>
      </c>
      <c r="C37" s="51" t="n">
        <f aca="false">-Inputs!$E$34*1</f>
        <v>-8000</v>
      </c>
      <c r="D37" s="51" t="n">
        <f aca="false">-Inputs!$E$34*1</f>
        <v>-8000</v>
      </c>
      <c r="E37" s="51" t="n">
        <f aca="false">-Inputs!$E$34*1</f>
        <v>-8000</v>
      </c>
      <c r="F37" s="51" t="n">
        <f aca="false">-Inputs!$E$34*1</f>
        <v>-8000</v>
      </c>
      <c r="G37" s="51" t="n">
        <f aca="false">-Inputs!$E$34*1</f>
        <v>-8000</v>
      </c>
      <c r="H37" s="51" t="n">
        <f aca="false">-Inputs!$E$34*1</f>
        <v>-8000</v>
      </c>
      <c r="I37" s="51" t="n">
        <f aca="false">-Inputs!$E$34*1</f>
        <v>-8000</v>
      </c>
      <c r="J37" s="51" t="n">
        <f aca="false">-Inputs!$E$34*1</f>
        <v>-8000</v>
      </c>
      <c r="K37" s="51" t="n">
        <f aca="false">-Inputs!$E$34*1</f>
        <v>-8000</v>
      </c>
      <c r="L37" s="51" t="n">
        <f aca="false">-Inputs!$E$34*1</f>
        <v>-8000</v>
      </c>
      <c r="M37" s="51" t="n">
        <f aca="false">-Inputs!$E$34*1</f>
        <v>-8000</v>
      </c>
      <c r="N37" s="51" t="n">
        <f aca="false">-Inputs!$E$34*1</f>
        <v>-8000</v>
      </c>
      <c r="O37" s="51" t="n">
        <f aca="false">-Inputs!$E$34*1</f>
        <v>-8000</v>
      </c>
      <c r="P37" s="51" t="n">
        <f aca="false">-Inputs!$E$34*1</f>
        <v>-8000</v>
      </c>
      <c r="Q37" s="51" t="n">
        <f aca="false">-Inputs!$E$34*1</f>
        <v>-8000</v>
      </c>
      <c r="R37" s="51" t="n">
        <f aca="false">-Inputs!$E$34*1</f>
        <v>-8000</v>
      </c>
      <c r="S37" s="51" t="n">
        <f aca="false">-Inputs!$E$34*1</f>
        <v>-8000</v>
      </c>
      <c r="T37" s="51" t="n">
        <f aca="false">-Inputs!$E$34*1</f>
        <v>-8000</v>
      </c>
      <c r="U37" s="51" t="n">
        <f aca="false">-Inputs!$E$34*1</f>
        <v>-8000</v>
      </c>
      <c r="V37" s="51" t="n">
        <f aca="false">-Inputs!$E$34*1</f>
        <v>-8000</v>
      </c>
      <c r="W37" s="51" t="n">
        <f aca="false">-Inputs!$E$34*1</f>
        <v>-8000</v>
      </c>
      <c r="X37" s="51" t="n">
        <f aca="false">-Inputs!$E$34*1</f>
        <v>-8000</v>
      </c>
      <c r="Y37" s="51" t="n">
        <f aca="false">-Inputs!$E$34*1</f>
        <v>-8000</v>
      </c>
      <c r="Z37" s="51" t="n">
        <f aca="false">-Inputs!$E$34*1</f>
        <v>-8000</v>
      </c>
      <c r="AA37" s="51" t="n">
        <f aca="false">-Inputs!$E$34*1</f>
        <v>-8000</v>
      </c>
      <c r="AB37" s="51" t="n">
        <f aca="false">-Inputs!$E$34*1</f>
        <v>-8000</v>
      </c>
      <c r="AC37" s="51" t="n">
        <f aca="false">-Inputs!$E$34*1</f>
        <v>-8000</v>
      </c>
      <c r="AD37" s="51" t="n">
        <f aca="false">-Inputs!$E$34*1</f>
        <v>-8000</v>
      </c>
      <c r="AE37" s="51" t="n">
        <f aca="false">-Inputs!$E$34*1</f>
        <v>-8000</v>
      </c>
      <c r="AF37" s="51" t="n">
        <f aca="false">-Inputs!$E$34*1</f>
        <v>-8000</v>
      </c>
      <c r="AG37" s="51" t="n">
        <f aca="false">-Inputs!$E$34*1</f>
        <v>-8000</v>
      </c>
      <c r="AH37" s="51" t="n">
        <f aca="false">-Inputs!$E$34*1</f>
        <v>-8000</v>
      </c>
      <c r="AI37" s="51" t="n">
        <f aca="false">-Inputs!$E$34*1</f>
        <v>-8000</v>
      </c>
      <c r="AJ37" s="51" t="n">
        <f aca="false">-Inputs!$E$34*1</f>
        <v>-8000</v>
      </c>
      <c r="AK37" s="51" t="n">
        <f aca="false">-Inputs!$E$34*1</f>
        <v>-8000</v>
      </c>
      <c r="AL37" s="51" t="n">
        <f aca="false">-Inputs!$E$34*1</f>
        <v>-8000</v>
      </c>
      <c r="AM37" s="51" t="n">
        <f aca="false">-Inputs!$E$34*1</f>
        <v>-8000</v>
      </c>
      <c r="AN37" s="51" t="n">
        <f aca="false">-Inputs!$E$34*1</f>
        <v>-8000</v>
      </c>
      <c r="AO37" s="51" t="n">
        <f aca="false">-Inputs!$E$34*1</f>
        <v>-8000</v>
      </c>
      <c r="AP37" s="51" t="n">
        <f aca="false">-Inputs!$E$34*1</f>
        <v>-8000</v>
      </c>
      <c r="AQ37" s="51" t="n">
        <f aca="false">-Inputs!$E$34*1</f>
        <v>-8000</v>
      </c>
      <c r="AR37" s="51" t="n">
        <f aca="false">-Inputs!$E$34*1</f>
        <v>-8000</v>
      </c>
      <c r="AS37" s="51" t="n">
        <f aca="false">-Inputs!$E$34*1</f>
        <v>-8000</v>
      </c>
      <c r="AT37" s="51" t="n">
        <f aca="false">-Inputs!$E$34*1</f>
        <v>-8000</v>
      </c>
      <c r="AU37" s="51" t="n">
        <f aca="false">-Inputs!$E$34*1</f>
        <v>-8000</v>
      </c>
      <c r="AV37" s="51" t="n">
        <f aca="false">-Inputs!$E$34*1</f>
        <v>-8000</v>
      </c>
      <c r="AW37" s="51" t="n">
        <f aca="false">-Inputs!$E$34*1</f>
        <v>-8000</v>
      </c>
      <c r="AX37" s="51" t="n">
        <f aca="false">-Inputs!$E$34*1</f>
        <v>-8000</v>
      </c>
      <c r="AY37" s="51" t="n">
        <f aca="false">-Inputs!$E$34*1</f>
        <v>-8000</v>
      </c>
      <c r="AZ37" s="51" t="n">
        <f aca="false">-Inputs!$E$34*1</f>
        <v>-8000</v>
      </c>
      <c r="BA37" s="51" t="n">
        <f aca="false">-Inputs!$E$34*1</f>
        <v>-8000</v>
      </c>
      <c r="BB37" s="51" t="n">
        <f aca="false">-Inputs!$E$34*1</f>
        <v>-8000</v>
      </c>
      <c r="BC37" s="51" t="n">
        <f aca="false">-Inputs!$E$34*1</f>
        <v>-8000</v>
      </c>
      <c r="BD37" s="51" t="n">
        <f aca="false">-Inputs!$E$34*1</f>
        <v>-8000</v>
      </c>
      <c r="BE37" s="51" t="n">
        <f aca="false">-Inputs!$E$34*1</f>
        <v>-8000</v>
      </c>
      <c r="BF37" s="51" t="n">
        <f aca="false">-Inputs!$E$34*1</f>
        <v>-8000</v>
      </c>
      <c r="BG37" s="51" t="n">
        <f aca="false">-Inputs!$E$34*1</f>
        <v>-8000</v>
      </c>
      <c r="BH37" s="51" t="n">
        <f aca="false">-Inputs!$E$34*1</f>
        <v>-8000</v>
      </c>
      <c r="BI37" s="51" t="n">
        <f aca="false">-Inputs!$E$34*1</f>
        <v>-8000</v>
      </c>
      <c r="BJ37" s="51" t="n">
        <f aca="false">-Inputs!$E$34*1</f>
        <v>-8000</v>
      </c>
    </row>
    <row r="38" customFormat="false" ht="15" hidden="false" customHeight="false" outlineLevel="0" collapsed="false">
      <c r="A38" s="92" t="s">
        <v>74</v>
      </c>
      <c r="C38" s="52" t="n">
        <f aca="false">C30+C31+C32+C33+C34+C35+C36+C37</f>
        <v>-238213.400238095</v>
      </c>
      <c r="D38" s="52" t="n">
        <f aca="false">D30+D31+D32+D33+D34+D35+D36+D37</f>
        <v>-238213.400238095</v>
      </c>
      <c r="E38" s="52" t="n">
        <f aca="false">E30+E31+E32+E33+E34+E35+E36+E37</f>
        <v>-238213.400238095</v>
      </c>
      <c r="F38" s="52" t="n">
        <f aca="false">F30+F31+F32+F33+F34+F35+F36+F37</f>
        <v>-238213.400238095</v>
      </c>
      <c r="G38" s="52" t="n">
        <f aca="false">G30+G31+G32+G33+G34+G35+G36+G37</f>
        <v>-238213.400238095</v>
      </c>
      <c r="H38" s="52" t="n">
        <f aca="false">H30+H31+H32+H33+H34+H35+H36+H37</f>
        <v>-238213.400238095</v>
      </c>
      <c r="I38" s="52" t="n">
        <f aca="false">I30+I31+I32+I33+I34+I35+I36+I37</f>
        <v>-238213.400238095</v>
      </c>
      <c r="J38" s="52" t="n">
        <f aca="false">J30+J31+J32+J33+J34+J35+J36+J37</f>
        <v>-238213.400238095</v>
      </c>
      <c r="K38" s="52" t="n">
        <f aca="false">K30+K31+K32+K33+K34+K35+K36+K37</f>
        <v>-238213.400238095</v>
      </c>
      <c r="L38" s="52" t="n">
        <f aca="false">L30+L31+L32+L33+L34+L35+L36+L37</f>
        <v>-238213.400238095</v>
      </c>
      <c r="M38" s="52" t="n">
        <f aca="false">M30+M31+M32+M33+M34+M35+M36+M37</f>
        <v>-249518.570238095</v>
      </c>
      <c r="N38" s="52" t="n">
        <f aca="false">N30+N31+N32+N33+N34+N35+N36+N37</f>
        <v>-249518.570238095</v>
      </c>
      <c r="O38" s="52" t="n">
        <f aca="false">O30+O31+O32+O33+O34+O35+O36+O37</f>
        <v>-296104.084440476</v>
      </c>
      <c r="P38" s="52" t="n">
        <f aca="false">P30+P31+P32+P33+P34+P35+P36+P37</f>
        <v>-296104.084440476</v>
      </c>
      <c r="Q38" s="52" t="n">
        <f aca="false">Q30+Q31+Q32+Q33+Q34+Q35+Q36+Q37</f>
        <v>-296104.084440476</v>
      </c>
      <c r="R38" s="52" t="n">
        <f aca="false">R30+R31+R32+R33+R34+R35+R36+R37</f>
        <v>-296104.084440476</v>
      </c>
      <c r="S38" s="52" t="n">
        <f aca="false">S30+S31+S32+S33+S34+S35+S36+S37</f>
        <v>-296104.084440476</v>
      </c>
      <c r="T38" s="52" t="n">
        <f aca="false">T30+T31+T32+T33+T34+T35+T36+T37</f>
        <v>-296104.084440476</v>
      </c>
      <c r="U38" s="52" t="n">
        <f aca="false">U30+U31+U32+U33+U34+U35+U36+U37</f>
        <v>-296104.084440476</v>
      </c>
      <c r="V38" s="52" t="n">
        <f aca="false">V30+V31+V32+V33+V34+V35+V36+V37</f>
        <v>-296104.084440476</v>
      </c>
      <c r="W38" s="52" t="n">
        <f aca="false">W30+W31+W32+W33+W34+W35+W36+W37</f>
        <v>-296104.084440476</v>
      </c>
      <c r="X38" s="52" t="n">
        <f aca="false">X30+X31+X32+X33+X34+X35+X36+X37</f>
        <v>-296104.084440476</v>
      </c>
      <c r="Y38" s="52" t="n">
        <f aca="false">Y30+Y31+Y32+Y33+Y34+Y35+Y36+Y37</f>
        <v>-310543.184940476</v>
      </c>
      <c r="Z38" s="52" t="n">
        <f aca="false">Z30+Z31+Z32+Z33+Z34+Z35+Z36+Z37</f>
        <v>-310543.184940476</v>
      </c>
      <c r="AA38" s="52" t="n">
        <f aca="false">AA30+AA31+AA32+AA33+AA34+AA35+AA36+AA37</f>
        <v>-366070.605964583</v>
      </c>
      <c r="AB38" s="52" t="n">
        <f aca="false">AB30+AB31+AB32+AB33+AB34+AB35+AB36+AB37</f>
        <v>-366070.605964583</v>
      </c>
      <c r="AC38" s="52" t="n">
        <f aca="false">AC30+AC31+AC32+AC33+AC34+AC35+AC36+AC37</f>
        <v>-366070.605964583</v>
      </c>
      <c r="AD38" s="52" t="n">
        <f aca="false">AD30+AD31+AD32+AD33+AD34+AD35+AD36+AD37</f>
        <v>-366070.605964583</v>
      </c>
      <c r="AE38" s="52" t="n">
        <f aca="false">AE30+AE31+AE32+AE33+AE34+AE35+AE36+AE37</f>
        <v>-366070.605964583</v>
      </c>
      <c r="AF38" s="52" t="n">
        <f aca="false">AF30+AF31+AF32+AF33+AF34+AF35+AF36+AF37</f>
        <v>-366070.605964583</v>
      </c>
      <c r="AG38" s="52" t="n">
        <f aca="false">AG30+AG31+AG32+AG33+AG34+AG35+AG36+AG37</f>
        <v>-366070.605964583</v>
      </c>
      <c r="AH38" s="52" t="n">
        <f aca="false">AH30+AH31+AH32+AH33+AH34+AH35+AH36+AH37</f>
        <v>-366070.605964583</v>
      </c>
      <c r="AI38" s="52" t="n">
        <f aca="false">AI30+AI31+AI32+AI33+AI34+AI35+AI36+AI37</f>
        <v>-366070.605964583</v>
      </c>
      <c r="AJ38" s="52" t="n">
        <f aca="false">AJ30+AJ31+AJ32+AJ33+AJ34+AJ35+AJ36+AJ37</f>
        <v>-366070.605964583</v>
      </c>
      <c r="AK38" s="52" t="n">
        <f aca="false">AK30+AK31+AK32+AK33+AK34+AK35+AK36+AK37</f>
        <v>-384339.767164583</v>
      </c>
      <c r="AL38" s="52" t="n">
        <f aca="false">AL30+AL31+AL32+AL33+AL34+AL35+AL36+AL37</f>
        <v>-384339.767164583</v>
      </c>
      <c r="AM38" s="52" t="n">
        <f aca="false">AM30+AM31+AM32+AM33+AM34+AM35+AM36+AM37</f>
        <v>-451191.220485478</v>
      </c>
      <c r="AN38" s="52" t="n">
        <f aca="false">AN30+AN31+AN32+AN33+AN34+AN35+AN36+AN37</f>
        <v>-451191.220485478</v>
      </c>
      <c r="AO38" s="52" t="n">
        <f aca="false">AO30+AO31+AO32+AO33+AO34+AO35+AO36+AO37</f>
        <v>-451191.220485478</v>
      </c>
      <c r="AP38" s="52" t="n">
        <f aca="false">AP30+AP31+AP32+AP33+AP34+AP35+AP36+AP37</f>
        <v>-451191.220485478</v>
      </c>
      <c r="AQ38" s="52" t="n">
        <f aca="false">AQ30+AQ31+AQ32+AQ33+AQ34+AQ35+AQ36+AQ37</f>
        <v>-451191.220485478</v>
      </c>
      <c r="AR38" s="52" t="n">
        <f aca="false">AR30+AR31+AR32+AR33+AR34+AR35+AR36+AR37</f>
        <v>-451191.220485478</v>
      </c>
      <c r="AS38" s="52" t="n">
        <f aca="false">AS30+AS31+AS32+AS33+AS34+AS35+AS36+AS37</f>
        <v>-451191.220485478</v>
      </c>
      <c r="AT38" s="52" t="n">
        <f aca="false">AT30+AT31+AT32+AT33+AT34+AT35+AT36+AT37</f>
        <v>-451191.220485478</v>
      </c>
      <c r="AU38" s="52" t="n">
        <f aca="false">AU30+AU31+AU32+AU33+AU34+AU35+AU36+AU37</f>
        <v>-451191.220485478</v>
      </c>
      <c r="AV38" s="52" t="n">
        <f aca="false">AV30+AV31+AV32+AV33+AV34+AV35+AV36+AV37</f>
        <v>-451191.220485478</v>
      </c>
      <c r="AW38" s="52" t="n">
        <f aca="false">AW30+AW31+AW32+AW33+AW34+AW35+AW36+AW37</f>
        <v>-474160.401015478</v>
      </c>
      <c r="AX38" s="52" t="n">
        <f aca="false">AX30+AX31+AX32+AX33+AX34+AX35+AX36+AX37</f>
        <v>-474160.401015478</v>
      </c>
      <c r="AY38" s="52" t="n">
        <f aca="false">AY30+AY31+AY32+AY33+AY34+AY35+AY36+AY37</f>
        <v>-555368.618037209</v>
      </c>
      <c r="AZ38" s="52" t="n">
        <f aca="false">AZ30+AZ31+AZ32+AZ33+AZ34+AZ35+AZ36+AZ37</f>
        <v>-555368.618037209</v>
      </c>
      <c r="BA38" s="52" t="n">
        <f aca="false">BA30+BA31+BA32+BA33+BA34+BA35+BA36+BA37</f>
        <v>-555368.618037209</v>
      </c>
      <c r="BB38" s="52" t="n">
        <f aca="false">BB30+BB31+BB32+BB33+BB34+BB35+BB36+BB37</f>
        <v>-555368.618037209</v>
      </c>
      <c r="BC38" s="52" t="n">
        <f aca="false">BC30+BC31+BC32+BC33+BC34+BC35+BC36+BC37</f>
        <v>-555368.618037209</v>
      </c>
      <c r="BD38" s="52" t="n">
        <f aca="false">BD30+BD31+BD32+BD33+BD34+BD35+BD36+BD37</f>
        <v>-555368.618037209</v>
      </c>
      <c r="BE38" s="52" t="n">
        <f aca="false">BE30+BE31+BE32+BE33+BE34+BE35+BE36+BE37</f>
        <v>-555368.618037209</v>
      </c>
      <c r="BF38" s="52" t="n">
        <f aca="false">BF30+BF31+BF32+BF33+BF34+BF35+BF36+BF37</f>
        <v>-555368.618037209</v>
      </c>
      <c r="BG38" s="52" t="n">
        <f aca="false">BG30+BG31+BG32+BG33+BG34+BG35+BG36+BG37</f>
        <v>-555368.618037209</v>
      </c>
      <c r="BH38" s="52" t="n">
        <f aca="false">BH30+BH31+BH32+BH33+BH34+BH35+BH36+BH37</f>
        <v>-555368.618037209</v>
      </c>
      <c r="BI38" s="52" t="n">
        <f aca="false">BI30+BI31+BI32+BI33+BI34+BI35+BI36+BI37</f>
        <v>-584126.027424734</v>
      </c>
      <c r="BJ38" s="52" t="n">
        <f aca="false">BJ30+BJ31+BJ32+BJ33+BJ34+BJ35+BJ36+BJ37</f>
        <v>-584126.027424734</v>
      </c>
    </row>
    <row r="39" customFormat="false" ht="15" hidden="false" customHeight="false" outlineLevel="0" collapsed="false">
      <c r="A39" s="92" t="s">
        <v>45</v>
      </c>
      <c r="C39" s="52" t="n">
        <f aca="false">C27+C38</f>
        <v>18640.8011904762</v>
      </c>
      <c r="D39" s="52" t="n">
        <f aca="false">D27+D38</f>
        <v>18640.8011904762</v>
      </c>
      <c r="E39" s="52" t="n">
        <f aca="false">E27+E38</f>
        <v>18640.8011904762</v>
      </c>
      <c r="F39" s="52" t="n">
        <f aca="false">F27+F38</f>
        <v>18640.8011904762</v>
      </c>
      <c r="G39" s="52" t="n">
        <f aca="false">G27+G38</f>
        <v>18640.8011904762</v>
      </c>
      <c r="H39" s="52" t="n">
        <f aca="false">H27+H38</f>
        <v>18640.8011904762</v>
      </c>
      <c r="I39" s="52" t="n">
        <f aca="false">I27+I38</f>
        <v>18640.8011904762</v>
      </c>
      <c r="J39" s="52" t="n">
        <f aca="false">J27+J38</f>
        <v>18640.8011904762</v>
      </c>
      <c r="K39" s="52" t="n">
        <f aca="false">K27+K38</f>
        <v>18640.8011904762</v>
      </c>
      <c r="L39" s="52" t="n">
        <f aca="false">L27+L38</f>
        <v>18640.8011904762</v>
      </c>
      <c r="M39" s="52" t="n">
        <f aca="false">M27+M38</f>
        <v>65543.8511904763</v>
      </c>
      <c r="N39" s="52" t="n">
        <f aca="false">N27+N38</f>
        <v>65543.8511904763</v>
      </c>
      <c r="O39" s="52" t="n">
        <f aca="false">O27+O38</f>
        <v>37767.1714880953</v>
      </c>
      <c r="P39" s="52" t="n">
        <f aca="false">P27+P38</f>
        <v>37767.1714880953</v>
      </c>
      <c r="Q39" s="52" t="n">
        <f aca="false">Q27+Q38</f>
        <v>37767.1714880953</v>
      </c>
      <c r="R39" s="52" t="n">
        <f aca="false">R27+R38</f>
        <v>37767.1714880953</v>
      </c>
      <c r="S39" s="52" t="n">
        <f aca="false">S27+S38</f>
        <v>37767.1714880953</v>
      </c>
      <c r="T39" s="52" t="n">
        <f aca="false">T27+T38</f>
        <v>37767.1714880953</v>
      </c>
      <c r="U39" s="52" t="n">
        <f aca="false">U27+U38</f>
        <v>37767.1714880953</v>
      </c>
      <c r="V39" s="52" t="n">
        <f aca="false">V27+V38</f>
        <v>37767.1714880953</v>
      </c>
      <c r="W39" s="52" t="n">
        <f aca="false">W27+W38</f>
        <v>37767.1714880953</v>
      </c>
      <c r="X39" s="52" t="n">
        <f aca="false">X27+X38</f>
        <v>37767.1714880953</v>
      </c>
      <c r="Y39" s="52" t="n">
        <f aca="false">Y27+Y38</f>
        <v>102036.013988095</v>
      </c>
      <c r="Z39" s="52" t="n">
        <f aca="false">Z27+Z38</f>
        <v>102036.013988095</v>
      </c>
      <c r="AA39" s="52" t="n">
        <f aca="false">AA27+AA38</f>
        <v>59051.5482639882</v>
      </c>
      <c r="AB39" s="52" t="n">
        <f aca="false">AB27+AB38</f>
        <v>59051.5482639882</v>
      </c>
      <c r="AC39" s="52" t="n">
        <f aca="false">AC27+AC38</f>
        <v>59051.5482639882</v>
      </c>
      <c r="AD39" s="52" t="n">
        <f aca="false">AD27+AD38</f>
        <v>59051.5482639882</v>
      </c>
      <c r="AE39" s="52" t="n">
        <f aca="false">AE27+AE38</f>
        <v>59051.5482639882</v>
      </c>
      <c r="AF39" s="52" t="n">
        <f aca="false">AF27+AF38</f>
        <v>59051.5482639882</v>
      </c>
      <c r="AG39" s="52" t="n">
        <f aca="false">AG27+AG38</f>
        <v>59051.5482639882</v>
      </c>
      <c r="AH39" s="52" t="n">
        <f aca="false">AH27+AH38</f>
        <v>59051.5482639882</v>
      </c>
      <c r="AI39" s="52" t="n">
        <f aca="false">AI27+AI38</f>
        <v>59051.5482639882</v>
      </c>
      <c r="AJ39" s="52" t="n">
        <f aca="false">AJ27+AJ38</f>
        <v>59051.5482639882</v>
      </c>
      <c r="AK39" s="52" t="n">
        <f aca="false">AK27+AK38</f>
        <v>143426.170263988</v>
      </c>
      <c r="AL39" s="52" t="n">
        <f aca="false">AL27+AL38</f>
        <v>143426.170263988</v>
      </c>
      <c r="AM39" s="52" t="n">
        <f aca="false">AM27+AM38</f>
        <v>82827.0267530941</v>
      </c>
      <c r="AN39" s="52" t="n">
        <f aca="false">AN27+AN38</f>
        <v>82827.0267530941</v>
      </c>
      <c r="AO39" s="52" t="n">
        <f aca="false">AO27+AO38</f>
        <v>82827.0267530941</v>
      </c>
      <c r="AP39" s="52" t="n">
        <f aca="false">AP27+AP38</f>
        <v>82827.0267530941</v>
      </c>
      <c r="AQ39" s="52" t="n">
        <f aca="false">AQ27+AQ38</f>
        <v>82827.0267530941</v>
      </c>
      <c r="AR39" s="52" t="n">
        <f aca="false">AR27+AR38</f>
        <v>82827.0267530941</v>
      </c>
      <c r="AS39" s="52" t="n">
        <f aca="false">AS27+AS38</f>
        <v>82827.0267530941</v>
      </c>
      <c r="AT39" s="52" t="n">
        <f aca="false">AT27+AT38</f>
        <v>82827.0267530941</v>
      </c>
      <c r="AU39" s="52" t="n">
        <f aca="false">AU27+AU38</f>
        <v>82827.0267530941</v>
      </c>
      <c r="AV39" s="52" t="n">
        <f aca="false">AV27+AV38</f>
        <v>82827.0267530941</v>
      </c>
      <c r="AW39" s="52" t="n">
        <f aca="false">AW27+AW38</f>
        <v>190728.669803094</v>
      </c>
      <c r="AX39" s="52" t="n">
        <f aca="false">AX27+AX38</f>
        <v>190728.669803094</v>
      </c>
      <c r="AY39" s="52" t="n">
        <f aca="false">AY27+AY38</f>
        <v>109473.193872848</v>
      </c>
      <c r="AZ39" s="52" t="n">
        <f aca="false">AZ27+AZ38</f>
        <v>109473.193872848</v>
      </c>
      <c r="BA39" s="52" t="n">
        <f aca="false">BA27+BA38</f>
        <v>109473.193872848</v>
      </c>
      <c r="BB39" s="52" t="n">
        <f aca="false">BB27+BB38</f>
        <v>109473.193872848</v>
      </c>
      <c r="BC39" s="52" t="n">
        <f aca="false">BC27+BC38</f>
        <v>109473.193872848</v>
      </c>
      <c r="BD39" s="52" t="n">
        <f aca="false">BD27+BD38</f>
        <v>109473.193872848</v>
      </c>
      <c r="BE39" s="52" t="n">
        <f aca="false">BE27+BE38</f>
        <v>109473.193872848</v>
      </c>
      <c r="BF39" s="52" t="n">
        <f aca="false">BF27+BF38</f>
        <v>109473.193872848</v>
      </c>
      <c r="BG39" s="52" t="n">
        <f aca="false">BG27+BG38</f>
        <v>109473.193872848</v>
      </c>
      <c r="BH39" s="52" t="n">
        <f aca="false">BH27+BH38</f>
        <v>109473.193872848</v>
      </c>
      <c r="BI39" s="52" t="n">
        <f aca="false">BI27+BI38</f>
        <v>245192.365977473</v>
      </c>
      <c r="BJ39" s="52" t="n">
        <f aca="false">BJ27+BJ38</f>
        <v>245192.365977473</v>
      </c>
    </row>
    <row r="41" customFormat="false" ht="15.75" hidden="false" customHeight="true" outlineLevel="0" collapsed="false">
      <c r="A41" s="7" t="s">
        <v>366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4" t="s">
        <v>76</v>
      </c>
      <c r="C42" s="58" t="n">
        <f aca="false">C39+C53</f>
        <v>14474.1345238095</v>
      </c>
      <c r="D42" s="58" t="n">
        <f aca="false">D39+D53</f>
        <v>14474.1345238095</v>
      </c>
      <c r="E42" s="58" t="n">
        <f aca="false">E39+E53</f>
        <v>14474.1345238095</v>
      </c>
      <c r="F42" s="58" t="n">
        <f aca="false">F39+F53</f>
        <v>14474.1345238095</v>
      </c>
      <c r="G42" s="58" t="n">
        <f aca="false">G39+G53</f>
        <v>14474.1345238095</v>
      </c>
      <c r="H42" s="58" t="n">
        <f aca="false">H39+H53</f>
        <v>14474.1345238095</v>
      </c>
      <c r="I42" s="58" t="n">
        <f aca="false">I39+I53</f>
        <v>14474.1345238095</v>
      </c>
      <c r="J42" s="58" t="n">
        <f aca="false">J39+J53</f>
        <v>14474.1345238095</v>
      </c>
      <c r="K42" s="58" t="n">
        <f aca="false">K39+K53</f>
        <v>14474.1345238095</v>
      </c>
      <c r="L42" s="58" t="n">
        <f aca="false">L39+L53</f>
        <v>14474.1345238095</v>
      </c>
      <c r="M42" s="58" t="n">
        <f aca="false">M39+M53</f>
        <v>61377.1845238097</v>
      </c>
      <c r="N42" s="58" t="n">
        <f aca="false">N39+N53</f>
        <v>61377.1845238097</v>
      </c>
      <c r="O42" s="58" t="n">
        <f aca="false">O39+O53</f>
        <v>31814.7905357143</v>
      </c>
      <c r="P42" s="58" t="n">
        <f aca="false">P39+P53</f>
        <v>31814.7905357143</v>
      </c>
      <c r="Q42" s="58" t="n">
        <f aca="false">Q39+Q53</f>
        <v>31814.7905357143</v>
      </c>
      <c r="R42" s="58" t="n">
        <f aca="false">R39+R53</f>
        <v>31814.7905357143</v>
      </c>
      <c r="S42" s="58" t="n">
        <f aca="false">S39+S53</f>
        <v>31814.7905357143</v>
      </c>
      <c r="T42" s="58" t="n">
        <f aca="false">T39+T53</f>
        <v>31814.7905357143</v>
      </c>
      <c r="U42" s="58" t="n">
        <f aca="false">U39+U53</f>
        <v>31814.7905357143</v>
      </c>
      <c r="V42" s="58" t="n">
        <f aca="false">V39+V53</f>
        <v>31814.7905357143</v>
      </c>
      <c r="W42" s="58" t="n">
        <f aca="false">W39+W53</f>
        <v>31814.7905357143</v>
      </c>
      <c r="X42" s="58" t="n">
        <f aca="false">X39+X53</f>
        <v>31814.7905357143</v>
      </c>
      <c r="Y42" s="58" t="n">
        <f aca="false">Y39+Y53</f>
        <v>96083.6330357143</v>
      </c>
      <c r="Z42" s="58" t="n">
        <f aca="false">Z39+Z53</f>
        <v>96083.6330357143</v>
      </c>
      <c r="AA42" s="58" t="n">
        <f aca="false">AA39+AA53</f>
        <v>51313.4530258929</v>
      </c>
      <c r="AB42" s="58" t="n">
        <f aca="false">AB39+AB53</f>
        <v>51313.4530258929</v>
      </c>
      <c r="AC42" s="58" t="n">
        <f aca="false">AC39+AC53</f>
        <v>51313.4530258929</v>
      </c>
      <c r="AD42" s="58" t="n">
        <f aca="false">AD39+AD53</f>
        <v>51313.4530258929</v>
      </c>
      <c r="AE42" s="58" t="n">
        <f aca="false">AE39+AE53</f>
        <v>51313.4530258929</v>
      </c>
      <c r="AF42" s="58" t="n">
        <f aca="false">AF39+AF53</f>
        <v>51313.4530258929</v>
      </c>
      <c r="AG42" s="58" t="n">
        <f aca="false">AG39+AG53</f>
        <v>51313.4530258929</v>
      </c>
      <c r="AH42" s="58" t="n">
        <f aca="false">AH39+AH53</f>
        <v>51313.4530258929</v>
      </c>
      <c r="AI42" s="58" t="n">
        <f aca="false">AI39+AI53</f>
        <v>51313.4530258929</v>
      </c>
      <c r="AJ42" s="58" t="n">
        <f aca="false">AJ39+AJ53</f>
        <v>51313.4530258929</v>
      </c>
      <c r="AK42" s="58" t="n">
        <f aca="false">AK39+AK53</f>
        <v>135688.075025893</v>
      </c>
      <c r="AL42" s="58" t="n">
        <f aca="false">AL39+AL53</f>
        <v>135688.075025893</v>
      </c>
      <c r="AM42" s="58" t="n">
        <f aca="false">AM39+AM53</f>
        <v>73303.2172292845</v>
      </c>
      <c r="AN42" s="58" t="n">
        <f aca="false">AN39+AN53</f>
        <v>73303.2172292845</v>
      </c>
      <c r="AO42" s="58" t="n">
        <f aca="false">AO39+AO53</f>
        <v>73303.2172292845</v>
      </c>
      <c r="AP42" s="58" t="n">
        <f aca="false">AP39+AP53</f>
        <v>73303.2172292845</v>
      </c>
      <c r="AQ42" s="58" t="n">
        <f aca="false">AQ39+AQ53</f>
        <v>73303.2172292845</v>
      </c>
      <c r="AR42" s="58" t="n">
        <f aca="false">AR39+AR53</f>
        <v>73303.2172292845</v>
      </c>
      <c r="AS42" s="58" t="n">
        <f aca="false">AS39+AS53</f>
        <v>73303.2172292845</v>
      </c>
      <c r="AT42" s="58" t="n">
        <f aca="false">AT39+AT53</f>
        <v>73303.2172292845</v>
      </c>
      <c r="AU42" s="58" t="n">
        <f aca="false">AU39+AU53</f>
        <v>73303.2172292845</v>
      </c>
      <c r="AV42" s="58" t="n">
        <f aca="false">AV39+AV53</f>
        <v>73303.2172292845</v>
      </c>
      <c r="AW42" s="58" t="n">
        <f aca="false">AW39+AW53</f>
        <v>181204.860279284</v>
      </c>
      <c r="AX42" s="58" t="n">
        <f aca="false">AX39+AX53</f>
        <v>181204.860279284</v>
      </c>
      <c r="AY42" s="58" t="n">
        <f aca="false">AY39+AY53</f>
        <v>98163.6700633239</v>
      </c>
      <c r="AZ42" s="58" t="n">
        <f aca="false">AZ39+AZ53</f>
        <v>98163.6700633239</v>
      </c>
      <c r="BA42" s="58" t="n">
        <f aca="false">BA39+BA53</f>
        <v>98163.6700633239</v>
      </c>
      <c r="BB42" s="58" t="n">
        <f aca="false">BB39+BB53</f>
        <v>98163.6700633239</v>
      </c>
      <c r="BC42" s="58" t="n">
        <f aca="false">BC39+BC53</f>
        <v>98163.6700633239</v>
      </c>
      <c r="BD42" s="58" t="n">
        <f aca="false">BD39+BD53</f>
        <v>98163.6700633239</v>
      </c>
      <c r="BE42" s="58" t="n">
        <f aca="false">BE39+BE53</f>
        <v>98163.6700633239</v>
      </c>
      <c r="BF42" s="58" t="n">
        <f aca="false">BF39+BF53</f>
        <v>98163.6700633239</v>
      </c>
      <c r="BG42" s="58" t="n">
        <f aca="false">BG39+BG53</f>
        <v>98163.6700633239</v>
      </c>
      <c r="BH42" s="58" t="n">
        <f aca="false">BH39+BH53</f>
        <v>98163.6700633239</v>
      </c>
      <c r="BI42" s="58" t="n">
        <f aca="false">BI39+BI53</f>
        <v>233882.842167949</v>
      </c>
      <c r="BJ42" s="58" t="n">
        <f aca="false">BJ39+BJ53</f>
        <v>233882.842167949</v>
      </c>
    </row>
    <row r="43" customFormat="false" ht="15" hidden="false" customHeight="false" outlineLevel="0" collapsed="false">
      <c r="A43" s="6" t="s">
        <v>367</v>
      </c>
      <c r="C43" s="51" t="n">
        <f aca="false">-(C58+C59+C61)/2*Inputs!$E$60/12</f>
        <v>-3333.33333333333</v>
      </c>
      <c r="D43" s="51" t="n">
        <f aca="false">-(D58+D59+D61)/2*Inputs!$E$60/12</f>
        <v>-3305.55555555556</v>
      </c>
      <c r="E43" s="51" t="n">
        <f aca="false">-(E58+E59+E61)/2*Inputs!$E$60/12</f>
        <v>-3250</v>
      </c>
      <c r="F43" s="51" t="n">
        <f aca="false">-(F58+F59+F61)/2*Inputs!$E$60/12</f>
        <v>-3194.44444444445</v>
      </c>
      <c r="G43" s="51" t="n">
        <f aca="false">-(G58+G59+G61)/2*Inputs!$E$60/12</f>
        <v>-3138.88888888889</v>
      </c>
      <c r="H43" s="51" t="n">
        <f aca="false">-(H58+H59+H61)/2*Inputs!$E$60/12</f>
        <v>-3083.33333333333</v>
      </c>
      <c r="I43" s="51" t="n">
        <f aca="false">-(I58+I59+I61)/2*Inputs!$E$60/12</f>
        <v>-3027.77777777778</v>
      </c>
      <c r="J43" s="51" t="n">
        <f aca="false">-(J58+J59+J61)/2*Inputs!$E$60/12</f>
        <v>-2972.22222222222</v>
      </c>
      <c r="K43" s="51" t="n">
        <f aca="false">-(K58+K59+K61)/2*Inputs!$E$60/12</f>
        <v>-2916.66666666667</v>
      </c>
      <c r="L43" s="51" t="n">
        <f aca="false">-(L58+L59+L61)/2*Inputs!$E$60/12</f>
        <v>-2861.11111111111</v>
      </c>
      <c r="M43" s="51" t="n">
        <f aca="false">-(M58+M59+M61)/2*Inputs!$E$60/12</f>
        <v>-2805.55555555556</v>
      </c>
      <c r="N43" s="51" t="n">
        <f aca="false">-(N58+N59+N61)/2*Inputs!$E$60/12</f>
        <v>-2750</v>
      </c>
      <c r="O43" s="51" t="n">
        <f aca="false">-(O58+O59+O61)/2*Inputs!$E$60/12</f>
        <v>-2694.44444444445</v>
      </c>
      <c r="P43" s="51" t="n">
        <f aca="false">-(P58+P59+P61)/2*Inputs!$E$60/12</f>
        <v>-2638.88888888889</v>
      </c>
      <c r="Q43" s="51" t="n">
        <f aca="false">-(Q58+Q59+Q61)/2*Inputs!$E$60/12</f>
        <v>-2583.33333333334</v>
      </c>
      <c r="R43" s="51" t="n">
        <f aca="false">-(R58+R59+R61)/2*Inputs!$E$60/12</f>
        <v>-2527.77777777778</v>
      </c>
      <c r="S43" s="51" t="n">
        <f aca="false">-(S58+S59+S61)/2*Inputs!$E$60/12</f>
        <v>-2472.22222222222</v>
      </c>
      <c r="T43" s="51" t="n">
        <f aca="false">-(T58+T59+T61)/2*Inputs!$E$60/12</f>
        <v>-2416.66666666667</v>
      </c>
      <c r="U43" s="51" t="n">
        <f aca="false">-(U58+U59+U61)/2*Inputs!$E$60/12</f>
        <v>-2361.11111111111</v>
      </c>
      <c r="V43" s="51" t="n">
        <f aca="false">-(V58+V59+V61)/2*Inputs!$E$60/12</f>
        <v>-2305.55555555556</v>
      </c>
      <c r="W43" s="51" t="n">
        <f aca="false">-(W58+W59+W61)/2*Inputs!$E$60/12</f>
        <v>-2250</v>
      </c>
      <c r="X43" s="51" t="n">
        <f aca="false">-(X58+X59+X61)/2*Inputs!$E$60/12</f>
        <v>-2194.44444444445</v>
      </c>
      <c r="Y43" s="51" t="n">
        <f aca="false">-(Y58+Y59+Y61)/2*Inputs!$E$60/12</f>
        <v>-2138.88888888889</v>
      </c>
      <c r="Z43" s="51" t="n">
        <f aca="false">-(Z58+Z59+Z61)/2*Inputs!$E$60/12</f>
        <v>-2083.33333333334</v>
      </c>
      <c r="AA43" s="51" t="n">
        <f aca="false">-(AA58+AA59+AA61)/2*Inputs!$E$60/12</f>
        <v>-2027.77777777778</v>
      </c>
      <c r="AB43" s="51" t="n">
        <f aca="false">-(AB58+AB59+AB61)/2*Inputs!$E$60/12</f>
        <v>-1972.22222222223</v>
      </c>
      <c r="AC43" s="51" t="n">
        <f aca="false">-(AC58+AC59+AC61)/2*Inputs!$E$60/12</f>
        <v>-1916.66666666667</v>
      </c>
      <c r="AD43" s="51" t="n">
        <f aca="false">-(AD58+AD59+AD61)/2*Inputs!$E$60/12</f>
        <v>-1861.11111111111</v>
      </c>
      <c r="AE43" s="51" t="n">
        <f aca="false">-(AE58+AE59+AE61)/2*Inputs!$E$60/12</f>
        <v>-1805.55555555556</v>
      </c>
      <c r="AF43" s="51" t="n">
        <f aca="false">-(AF58+AF59+AF61)/2*Inputs!$E$60/12</f>
        <v>-1750</v>
      </c>
      <c r="AG43" s="51" t="n">
        <f aca="false">-(AG58+AG59+AG61)/2*Inputs!$E$60/12</f>
        <v>-1694.44444444445</v>
      </c>
      <c r="AH43" s="51" t="n">
        <f aca="false">-(AH58+AH59+AH61)/2*Inputs!$E$60/12</f>
        <v>-1638.88888888889</v>
      </c>
      <c r="AI43" s="51" t="n">
        <f aca="false">-(AI58+AI59+AI61)/2*Inputs!$E$60/12</f>
        <v>-1583.33333333334</v>
      </c>
      <c r="AJ43" s="51" t="n">
        <f aca="false">-(AJ58+AJ59+AJ61)/2*Inputs!$E$60/12</f>
        <v>-1527.77777777778</v>
      </c>
      <c r="AK43" s="51" t="n">
        <f aca="false">-(AK58+AK59+AK61)/2*Inputs!$E$60/12</f>
        <v>-1472.22222222223</v>
      </c>
      <c r="AL43" s="51" t="n">
        <f aca="false">-(AL58+AL59+AL61)/2*Inputs!$E$60/12</f>
        <v>-1416.66666666667</v>
      </c>
      <c r="AM43" s="51" t="n">
        <f aca="false">-(AM58+AM59+AM61)/2*Inputs!$E$60/12</f>
        <v>-1361.11111111111</v>
      </c>
      <c r="AN43" s="51" t="n">
        <f aca="false">-(AN58+AN59+AN61)/2*Inputs!$E$60/12</f>
        <v>-1305.55555555556</v>
      </c>
      <c r="AO43" s="51" t="n">
        <f aca="false">-(AO58+AO59+AO61)/2*Inputs!$E$60/12</f>
        <v>-1250</v>
      </c>
      <c r="AP43" s="51" t="n">
        <f aca="false">-(AP58+AP59+AP61)/2*Inputs!$E$60/12</f>
        <v>-1194.44444444445</v>
      </c>
      <c r="AQ43" s="51" t="n">
        <f aca="false">-(AQ58+AQ59+AQ61)/2*Inputs!$E$60/12</f>
        <v>-1138.88888888889</v>
      </c>
      <c r="AR43" s="51" t="n">
        <f aca="false">-(AR58+AR59+AR61)/2*Inputs!$E$60/12</f>
        <v>-1083.33333333334</v>
      </c>
      <c r="AS43" s="51" t="n">
        <f aca="false">-(AS58+AS59+AS61)/2*Inputs!$E$60/12</f>
        <v>-1027.77777777778</v>
      </c>
      <c r="AT43" s="51" t="n">
        <f aca="false">-(AT58+AT59+AT61)/2*Inputs!$E$60/12</f>
        <v>-972.222222222225</v>
      </c>
      <c r="AU43" s="51" t="n">
        <f aca="false">-(AU58+AU59+AU61)/2*Inputs!$E$60/12</f>
        <v>-916.666666666669</v>
      </c>
      <c r="AV43" s="51" t="n">
        <f aca="false">-(AV58+AV59+AV61)/2*Inputs!$E$60/12</f>
        <v>-861.111111111114</v>
      </c>
      <c r="AW43" s="51" t="n">
        <f aca="false">-(AW58+AW59+AW61)/2*Inputs!$E$60/12</f>
        <v>-805.555555555558</v>
      </c>
      <c r="AX43" s="51" t="n">
        <f aca="false">-(AX58+AX59+AX61)/2*Inputs!$E$60/12</f>
        <v>-750.000000000003</v>
      </c>
      <c r="AY43" s="51" t="n">
        <f aca="false">-(AY58+AY59+AY61)/2*Inputs!$E$60/12</f>
        <v>-694.444444444447</v>
      </c>
      <c r="AZ43" s="51" t="n">
        <f aca="false">-(AZ58+AZ59+AZ61)/2*Inputs!$E$60/12</f>
        <v>-638.888888888892</v>
      </c>
      <c r="BA43" s="51" t="n">
        <f aca="false">-(BA58+BA59+BA61)/2*Inputs!$E$60/12</f>
        <v>-583.333333333336</v>
      </c>
      <c r="BB43" s="51" t="n">
        <f aca="false">-(BB58+BB59+BB61)/2*Inputs!$E$60/12</f>
        <v>-527.777777777781</v>
      </c>
      <c r="BC43" s="51" t="n">
        <f aca="false">-(BC58+BC59+BC61)/2*Inputs!$E$60/12</f>
        <v>-472.222222222225</v>
      </c>
      <c r="BD43" s="51" t="n">
        <f aca="false">-(BD58+BD59+BD61)/2*Inputs!$E$60/12</f>
        <v>-416.666666666669</v>
      </c>
      <c r="BE43" s="51" t="n">
        <f aca="false">-(BE58+BE59+BE61)/2*Inputs!$E$60/12</f>
        <v>-361.111111111114</v>
      </c>
      <c r="BF43" s="51" t="n">
        <f aca="false">-(BF58+BF59+BF61)/2*Inputs!$E$60/12</f>
        <v>-305.555555555558</v>
      </c>
      <c r="BG43" s="51" t="n">
        <f aca="false">-(BG58+BG59+BG61)/2*Inputs!$E$60/12</f>
        <v>-250.000000000003</v>
      </c>
      <c r="BH43" s="51" t="n">
        <f aca="false">-(BH58+BH59+BH61)/2*Inputs!$E$60/12</f>
        <v>-194.444444444447</v>
      </c>
      <c r="BI43" s="51" t="n">
        <f aca="false">-(BI58+BI59+BI61)/2*Inputs!$E$60/12</f>
        <v>-138.888888888892</v>
      </c>
      <c r="BJ43" s="51" t="n">
        <f aca="false">-(BJ58+BJ59+BJ61)/2*Inputs!$E$60/12</f>
        <v>-83.3333333333361</v>
      </c>
    </row>
    <row r="44" customFormat="false" ht="15" hidden="false" customHeight="false" outlineLevel="0" collapsed="false">
      <c r="A44" s="92" t="s">
        <v>78</v>
      </c>
      <c r="C44" s="52" t="n">
        <f aca="false">C42+C43</f>
        <v>11140.8011904762</v>
      </c>
      <c r="D44" s="52" t="n">
        <f aca="false">D42+D43</f>
        <v>11168.5789682539</v>
      </c>
      <c r="E44" s="52" t="n">
        <f aca="false">E42+E43</f>
        <v>11224.1345238095</v>
      </c>
      <c r="F44" s="52" t="n">
        <f aca="false">F42+F43</f>
        <v>11279.6900793651</v>
      </c>
      <c r="G44" s="52" t="n">
        <f aca="false">G42+G43</f>
        <v>11335.2456349206</v>
      </c>
      <c r="H44" s="52" t="n">
        <f aca="false">H42+H43</f>
        <v>11390.8011904762</v>
      </c>
      <c r="I44" s="52" t="n">
        <f aca="false">I42+I43</f>
        <v>11446.3567460317</v>
      </c>
      <c r="J44" s="52" t="n">
        <f aca="false">J42+J43</f>
        <v>11501.9123015873</v>
      </c>
      <c r="K44" s="52" t="n">
        <f aca="false">K42+K43</f>
        <v>11557.4678571428</v>
      </c>
      <c r="L44" s="52" t="n">
        <f aca="false">L42+L43</f>
        <v>11613.0234126984</v>
      </c>
      <c r="M44" s="52" t="n">
        <f aca="false">M42+M43</f>
        <v>58571.6289682541</v>
      </c>
      <c r="N44" s="52" t="n">
        <f aca="false">N42+N43</f>
        <v>58627.1845238097</v>
      </c>
      <c r="O44" s="52" t="n">
        <f aca="false">O42+O43</f>
        <v>29120.3460912699</v>
      </c>
      <c r="P44" s="52" t="n">
        <f aca="false">P42+P43</f>
        <v>29175.9016468254</v>
      </c>
      <c r="Q44" s="52" t="n">
        <f aca="false">Q42+Q43</f>
        <v>29231.457202381</v>
      </c>
      <c r="R44" s="52" t="n">
        <f aca="false">R42+R43</f>
        <v>29287.0127579365</v>
      </c>
      <c r="S44" s="52" t="n">
        <f aca="false">S42+S43</f>
        <v>29342.5683134921</v>
      </c>
      <c r="T44" s="52" t="n">
        <f aca="false">T42+T43</f>
        <v>29398.1238690476</v>
      </c>
      <c r="U44" s="52" t="n">
        <f aca="false">U42+U43</f>
        <v>29453.6794246032</v>
      </c>
      <c r="V44" s="52" t="n">
        <f aca="false">V42+V43</f>
        <v>29509.2349801587</v>
      </c>
      <c r="W44" s="52" t="n">
        <f aca="false">W42+W43</f>
        <v>29564.7905357143</v>
      </c>
      <c r="X44" s="52" t="n">
        <f aca="false">X42+X43</f>
        <v>29620.3460912698</v>
      </c>
      <c r="Y44" s="52" t="n">
        <f aca="false">Y42+Y43</f>
        <v>93944.7441468254</v>
      </c>
      <c r="Z44" s="52" t="n">
        <f aca="false">Z42+Z43</f>
        <v>94000.299702381</v>
      </c>
      <c r="AA44" s="52" t="n">
        <f aca="false">AA42+AA43</f>
        <v>49285.6752481152</v>
      </c>
      <c r="AB44" s="52" t="n">
        <f aca="false">AB42+AB43</f>
        <v>49341.2308036707</v>
      </c>
      <c r="AC44" s="52" t="n">
        <f aca="false">AC42+AC43</f>
        <v>49396.7863592263</v>
      </c>
      <c r="AD44" s="52" t="n">
        <f aca="false">AD42+AD43</f>
        <v>49452.3419147818</v>
      </c>
      <c r="AE44" s="52" t="n">
        <f aca="false">AE42+AE43</f>
        <v>49507.8974703374</v>
      </c>
      <c r="AF44" s="52" t="n">
        <f aca="false">AF42+AF43</f>
        <v>49563.4530258929</v>
      </c>
      <c r="AG44" s="52" t="n">
        <f aca="false">AG42+AG43</f>
        <v>49619.0085814485</v>
      </c>
      <c r="AH44" s="52" t="n">
        <f aca="false">AH42+AH43</f>
        <v>49674.564137004</v>
      </c>
      <c r="AI44" s="52" t="n">
        <f aca="false">AI42+AI43</f>
        <v>49730.1196925596</v>
      </c>
      <c r="AJ44" s="52" t="n">
        <f aca="false">AJ42+AJ43</f>
        <v>49785.6752481152</v>
      </c>
      <c r="AK44" s="52" t="n">
        <f aca="false">AK42+AK43</f>
        <v>134215.852803671</v>
      </c>
      <c r="AL44" s="52" t="n">
        <f aca="false">AL42+AL43</f>
        <v>134271.408359226</v>
      </c>
      <c r="AM44" s="52" t="n">
        <f aca="false">AM42+AM43</f>
        <v>71942.1061181734</v>
      </c>
      <c r="AN44" s="52" t="n">
        <f aca="false">AN42+AN43</f>
        <v>71997.661673729</v>
      </c>
      <c r="AO44" s="52" t="n">
        <f aca="false">AO42+AO43</f>
        <v>72053.2172292845</v>
      </c>
      <c r="AP44" s="52" t="n">
        <f aca="false">AP42+AP43</f>
        <v>72108.7727848401</v>
      </c>
      <c r="AQ44" s="52" t="n">
        <f aca="false">AQ42+AQ43</f>
        <v>72164.3283403956</v>
      </c>
      <c r="AR44" s="52" t="n">
        <f aca="false">AR42+AR43</f>
        <v>72219.8838959512</v>
      </c>
      <c r="AS44" s="52" t="n">
        <f aca="false">AS42+AS43</f>
        <v>72275.4394515067</v>
      </c>
      <c r="AT44" s="52" t="n">
        <f aca="false">AT42+AT43</f>
        <v>72330.9950070623</v>
      </c>
      <c r="AU44" s="52" t="n">
        <f aca="false">AU42+AU43</f>
        <v>72386.5505626179</v>
      </c>
      <c r="AV44" s="52" t="n">
        <f aca="false">AV42+AV43</f>
        <v>72442.1061181734</v>
      </c>
      <c r="AW44" s="52" t="n">
        <f aca="false">AW42+AW43</f>
        <v>180399.304723729</v>
      </c>
      <c r="AX44" s="52" t="n">
        <f aca="false">AX42+AX43</f>
        <v>180454.860279284</v>
      </c>
      <c r="AY44" s="52" t="n">
        <f aca="false">AY42+AY43</f>
        <v>97469.2256188794</v>
      </c>
      <c r="AZ44" s="52" t="n">
        <f aca="false">AZ42+AZ43</f>
        <v>97524.781174435</v>
      </c>
      <c r="BA44" s="52" t="n">
        <f aca="false">BA42+BA43</f>
        <v>97580.3367299906</v>
      </c>
      <c r="BB44" s="52" t="n">
        <f aca="false">BB42+BB43</f>
        <v>97635.8922855461</v>
      </c>
      <c r="BC44" s="52" t="n">
        <f aca="false">BC42+BC43</f>
        <v>97691.4478411017</v>
      </c>
      <c r="BD44" s="52" t="n">
        <f aca="false">BD42+BD43</f>
        <v>97747.0033966572</v>
      </c>
      <c r="BE44" s="52" t="n">
        <f aca="false">BE42+BE43</f>
        <v>97802.5589522128</v>
      </c>
      <c r="BF44" s="52" t="n">
        <f aca="false">BF42+BF43</f>
        <v>97858.1145077683</v>
      </c>
      <c r="BG44" s="52" t="n">
        <f aca="false">BG42+BG43</f>
        <v>97913.6700633239</v>
      </c>
      <c r="BH44" s="52" t="n">
        <f aca="false">BH42+BH43</f>
        <v>97969.2256188794</v>
      </c>
      <c r="BI44" s="52" t="n">
        <f aca="false">BI42+BI43</f>
        <v>233743.95327906</v>
      </c>
      <c r="BJ44" s="52" t="n">
        <f aca="false">BJ42+BJ43</f>
        <v>233799.508834616</v>
      </c>
    </row>
    <row r="45" customFormat="false" ht="15" hidden="false" customHeight="false" outlineLevel="0" collapsed="false">
      <c r="A45" s="99" t="s">
        <v>368</v>
      </c>
      <c r="C45" s="51" t="n">
        <f aca="false">C44</f>
        <v>11140.8011904762</v>
      </c>
      <c r="D45" s="51" t="n">
        <f aca="false">C45+D44</f>
        <v>22309.3801587301</v>
      </c>
      <c r="E45" s="51" t="n">
        <f aca="false">D45+E44</f>
        <v>33533.5146825396</v>
      </c>
      <c r="F45" s="51" t="n">
        <f aca="false">E45+F44</f>
        <v>44813.2047619047</v>
      </c>
      <c r="G45" s="51" t="n">
        <f aca="false">F45+G44</f>
        <v>56148.4503968253</v>
      </c>
      <c r="H45" s="51" t="n">
        <f aca="false">G45+H44</f>
        <v>67539.2515873014</v>
      </c>
      <c r="I45" s="51" t="n">
        <f aca="false">H45+I44</f>
        <v>78985.6083333332</v>
      </c>
      <c r="J45" s="51" t="n">
        <f aca="false">I45+J44</f>
        <v>90487.5206349204</v>
      </c>
      <c r="K45" s="51" t="n">
        <f aca="false">J45+K44</f>
        <v>102044.988492063</v>
      </c>
      <c r="L45" s="51" t="n">
        <f aca="false">K45+L44</f>
        <v>113658.011904762</v>
      </c>
      <c r="M45" s="51" t="n">
        <f aca="false">L45+M44</f>
        <v>172229.640873016</v>
      </c>
      <c r="N45" s="51" t="n">
        <f aca="false">M45+N44</f>
        <v>230856.825396825</v>
      </c>
      <c r="O45" s="51" t="n">
        <f aca="false">N45+O44</f>
        <v>259977.171488095</v>
      </c>
      <c r="P45" s="51" t="n">
        <f aca="false">O45+P44</f>
        <v>289153.073134921</v>
      </c>
      <c r="Q45" s="51" t="n">
        <f aca="false">P45+Q44</f>
        <v>318384.530337302</v>
      </c>
      <c r="R45" s="51" t="n">
        <f aca="false">Q45+R44</f>
        <v>347671.543095238</v>
      </c>
      <c r="S45" s="51" t="n">
        <f aca="false">R45+S44</f>
        <v>377014.11140873</v>
      </c>
      <c r="T45" s="51" t="n">
        <f aca="false">S45+T44</f>
        <v>406412.235277778</v>
      </c>
      <c r="U45" s="51" t="n">
        <f aca="false">T45+U44</f>
        <v>435865.914702381</v>
      </c>
      <c r="V45" s="51" t="n">
        <f aca="false">U45+V44</f>
        <v>465375.14968254</v>
      </c>
      <c r="W45" s="51" t="n">
        <f aca="false">V45+W44</f>
        <v>494939.940218254</v>
      </c>
      <c r="X45" s="51" t="n">
        <f aca="false">W45+X44</f>
        <v>524560.286309524</v>
      </c>
      <c r="Y45" s="51" t="n">
        <f aca="false">X45+Y44</f>
        <v>618505.030456349</v>
      </c>
      <c r="Z45" s="51" t="n">
        <f aca="false">Y45+Z44</f>
        <v>712505.33015873</v>
      </c>
      <c r="AA45" s="51" t="n">
        <f aca="false">Z45+AA44</f>
        <v>761791.005406845</v>
      </c>
      <c r="AB45" s="51" t="n">
        <f aca="false">AA45+AB44</f>
        <v>811132.236210516</v>
      </c>
      <c r="AC45" s="51" t="n">
        <f aca="false">AB45+AC44</f>
        <v>860529.022569742</v>
      </c>
      <c r="AD45" s="51" t="n">
        <f aca="false">AC45+AD44</f>
        <v>909981.364484524</v>
      </c>
      <c r="AE45" s="51" t="n">
        <f aca="false">AD45+AE44</f>
        <v>959489.261954862</v>
      </c>
      <c r="AF45" s="51" t="n">
        <f aca="false">AE45+AF44</f>
        <v>1009052.71498075</v>
      </c>
      <c r="AG45" s="51" t="n">
        <f aca="false">AF45+AG44</f>
        <v>1058671.7235622</v>
      </c>
      <c r="AH45" s="51" t="n">
        <f aca="false">AG45+AH44</f>
        <v>1108346.28769921</v>
      </c>
      <c r="AI45" s="51" t="n">
        <f aca="false">AH45+AI44</f>
        <v>1158076.40739177</v>
      </c>
      <c r="AJ45" s="51" t="n">
        <f aca="false">AI45+AJ44</f>
        <v>1207862.08263988</v>
      </c>
      <c r="AK45" s="51" t="n">
        <f aca="false">AJ45+AK44</f>
        <v>1342077.93544355</v>
      </c>
      <c r="AL45" s="51" t="n">
        <f aca="false">AK45+AL44</f>
        <v>1476349.34380278</v>
      </c>
      <c r="AM45" s="51" t="n">
        <f aca="false">AL45+AM44</f>
        <v>1548291.44992095</v>
      </c>
      <c r="AN45" s="51" t="n">
        <f aca="false">AM45+AN44</f>
        <v>1620289.11159468</v>
      </c>
      <c r="AO45" s="51" t="n">
        <f aca="false">AN45+AO44</f>
        <v>1692342.32882397</v>
      </c>
      <c r="AP45" s="51" t="n">
        <f aca="false">AO45+AP44</f>
        <v>1764451.10160881</v>
      </c>
      <c r="AQ45" s="51" t="n">
        <f aca="false">AP45+AQ44</f>
        <v>1836615.4299492</v>
      </c>
      <c r="AR45" s="51" t="n">
        <f aca="false">AQ45+AR44</f>
        <v>1908835.31384515</v>
      </c>
      <c r="AS45" s="51" t="n">
        <f aca="false">AR45+AS44</f>
        <v>1981110.75329666</v>
      </c>
      <c r="AT45" s="51" t="n">
        <f aca="false">AS45+AT44</f>
        <v>2053441.74830372</v>
      </c>
      <c r="AU45" s="51" t="n">
        <f aca="false">AT45+AU44</f>
        <v>2125828.29886634</v>
      </c>
      <c r="AV45" s="51" t="n">
        <f aca="false">AU45+AV44</f>
        <v>2198270.40498451</v>
      </c>
      <c r="AW45" s="51" t="n">
        <f aca="false">AV45+AW44</f>
        <v>2378669.70970824</v>
      </c>
      <c r="AX45" s="51" t="n">
        <f aca="false">AW45+AX44</f>
        <v>2559124.56998753</v>
      </c>
      <c r="AY45" s="51" t="n">
        <f aca="false">AX45+AY44</f>
        <v>2656593.79560641</v>
      </c>
      <c r="AZ45" s="51" t="n">
        <f aca="false">AY45+AZ44</f>
        <v>2754118.57678084</v>
      </c>
      <c r="BA45" s="51" t="n">
        <f aca="false">AZ45+BA44</f>
        <v>2851698.91351083</v>
      </c>
      <c r="BB45" s="51" t="n">
        <f aca="false">BA45+BB44</f>
        <v>2949334.80579638</v>
      </c>
      <c r="BC45" s="51" t="n">
        <f aca="false">BB45+BC44</f>
        <v>3047026.25363748</v>
      </c>
      <c r="BD45" s="51" t="n">
        <f aca="false">BC45+BD44</f>
        <v>3144773.25703414</v>
      </c>
      <c r="BE45" s="51" t="n">
        <f aca="false">BD45+BE44</f>
        <v>3242575.81598635</v>
      </c>
      <c r="BF45" s="51" t="n">
        <f aca="false">BE45+BF44</f>
        <v>3340433.93049412</v>
      </c>
      <c r="BG45" s="51" t="n">
        <f aca="false">BF45+BG44</f>
        <v>3438347.60055744</v>
      </c>
      <c r="BH45" s="51" t="n">
        <f aca="false">BG45+BH44</f>
        <v>3536316.82617632</v>
      </c>
      <c r="BI45" s="51" t="n">
        <f aca="false">BH45+BI44</f>
        <v>3770060.77945538</v>
      </c>
      <c r="BJ45" s="51" t="n">
        <f aca="false">BI45+BJ44</f>
        <v>4003860.28829</v>
      </c>
    </row>
    <row r="46" customFormat="false" ht="15" hidden="false" customHeight="false" outlineLevel="0" collapsed="false">
      <c r="A46" s="99" t="s">
        <v>369</v>
      </c>
      <c r="C46" s="51" t="n">
        <f aca="false">MAX(0,C45)</f>
        <v>11140.8011904762</v>
      </c>
      <c r="D46" s="51" t="n">
        <f aca="false">MAX(C46,D45)</f>
        <v>22309.3801587301</v>
      </c>
      <c r="E46" s="51" t="n">
        <f aca="false">MAX(D46,E45)</f>
        <v>33533.5146825396</v>
      </c>
      <c r="F46" s="51" t="n">
        <f aca="false">MAX(E46,F45)</f>
        <v>44813.2047619047</v>
      </c>
      <c r="G46" s="51" t="n">
        <f aca="false">MAX(F46,G45)</f>
        <v>56148.4503968253</v>
      </c>
      <c r="H46" s="51" t="n">
        <f aca="false">MAX(G46,H45)</f>
        <v>67539.2515873014</v>
      </c>
      <c r="I46" s="51" t="n">
        <f aca="false">MAX(H46,I45)</f>
        <v>78985.6083333332</v>
      </c>
      <c r="J46" s="51" t="n">
        <f aca="false">MAX(I46,J45)</f>
        <v>90487.5206349204</v>
      </c>
      <c r="K46" s="51" t="n">
        <f aca="false">MAX(J46,K45)</f>
        <v>102044.988492063</v>
      </c>
      <c r="L46" s="51" t="n">
        <f aca="false">MAX(K46,L45)</f>
        <v>113658.011904762</v>
      </c>
      <c r="M46" s="51" t="n">
        <f aca="false">MAX(L46,M45)</f>
        <v>172229.640873016</v>
      </c>
      <c r="N46" s="51" t="n">
        <f aca="false">MAX(M46,N45)</f>
        <v>230856.825396825</v>
      </c>
      <c r="O46" s="51" t="n">
        <f aca="false">MAX(N46,O45)</f>
        <v>259977.171488095</v>
      </c>
      <c r="P46" s="51" t="n">
        <f aca="false">MAX(O46,P45)</f>
        <v>289153.073134921</v>
      </c>
      <c r="Q46" s="51" t="n">
        <f aca="false">MAX(P46,Q45)</f>
        <v>318384.530337302</v>
      </c>
      <c r="R46" s="51" t="n">
        <f aca="false">MAX(Q46,R45)</f>
        <v>347671.543095238</v>
      </c>
      <c r="S46" s="51" t="n">
        <f aca="false">MAX(R46,S45)</f>
        <v>377014.11140873</v>
      </c>
      <c r="T46" s="51" t="n">
        <f aca="false">MAX(S46,T45)</f>
        <v>406412.235277778</v>
      </c>
      <c r="U46" s="51" t="n">
        <f aca="false">MAX(T46,U45)</f>
        <v>435865.914702381</v>
      </c>
      <c r="V46" s="51" t="n">
        <f aca="false">MAX(U46,V45)</f>
        <v>465375.14968254</v>
      </c>
      <c r="W46" s="51" t="n">
        <f aca="false">MAX(V46,W45)</f>
        <v>494939.940218254</v>
      </c>
      <c r="X46" s="51" t="n">
        <f aca="false">MAX(W46,X45)</f>
        <v>524560.286309524</v>
      </c>
      <c r="Y46" s="51" t="n">
        <f aca="false">MAX(X46,Y45)</f>
        <v>618505.030456349</v>
      </c>
      <c r="Z46" s="51" t="n">
        <f aca="false">MAX(Y46,Z45)</f>
        <v>712505.33015873</v>
      </c>
      <c r="AA46" s="51" t="n">
        <f aca="false">MAX(Z46,AA45)</f>
        <v>761791.005406845</v>
      </c>
      <c r="AB46" s="51" t="n">
        <f aca="false">MAX(AA46,AB45)</f>
        <v>811132.236210516</v>
      </c>
      <c r="AC46" s="51" t="n">
        <f aca="false">MAX(AB46,AC45)</f>
        <v>860529.022569742</v>
      </c>
      <c r="AD46" s="51" t="n">
        <f aca="false">MAX(AC46,AD45)</f>
        <v>909981.364484524</v>
      </c>
      <c r="AE46" s="51" t="n">
        <f aca="false">MAX(AD46,AE45)</f>
        <v>959489.261954862</v>
      </c>
      <c r="AF46" s="51" t="n">
        <f aca="false">MAX(AE46,AF45)</f>
        <v>1009052.71498075</v>
      </c>
      <c r="AG46" s="51" t="n">
        <f aca="false">MAX(AF46,AG45)</f>
        <v>1058671.7235622</v>
      </c>
      <c r="AH46" s="51" t="n">
        <f aca="false">MAX(AG46,AH45)</f>
        <v>1108346.28769921</v>
      </c>
      <c r="AI46" s="51" t="n">
        <f aca="false">MAX(AH46,AI45)</f>
        <v>1158076.40739177</v>
      </c>
      <c r="AJ46" s="51" t="n">
        <f aca="false">MAX(AI46,AJ45)</f>
        <v>1207862.08263988</v>
      </c>
      <c r="AK46" s="51" t="n">
        <f aca="false">MAX(AJ46,AK45)</f>
        <v>1342077.93544355</v>
      </c>
      <c r="AL46" s="51" t="n">
        <f aca="false">MAX(AK46,AL45)</f>
        <v>1476349.34380278</v>
      </c>
      <c r="AM46" s="51" t="n">
        <f aca="false">MAX(AL46,AM45)</f>
        <v>1548291.44992095</v>
      </c>
      <c r="AN46" s="51" t="n">
        <f aca="false">MAX(AM46,AN45)</f>
        <v>1620289.11159468</v>
      </c>
      <c r="AO46" s="51" t="n">
        <f aca="false">MAX(AN46,AO45)</f>
        <v>1692342.32882397</v>
      </c>
      <c r="AP46" s="51" t="n">
        <f aca="false">MAX(AO46,AP45)</f>
        <v>1764451.10160881</v>
      </c>
      <c r="AQ46" s="51" t="n">
        <f aca="false">MAX(AP46,AQ45)</f>
        <v>1836615.4299492</v>
      </c>
      <c r="AR46" s="51" t="n">
        <f aca="false">MAX(AQ46,AR45)</f>
        <v>1908835.31384515</v>
      </c>
      <c r="AS46" s="51" t="n">
        <f aca="false">MAX(AR46,AS45)</f>
        <v>1981110.75329666</v>
      </c>
      <c r="AT46" s="51" t="n">
        <f aca="false">MAX(AS46,AT45)</f>
        <v>2053441.74830372</v>
      </c>
      <c r="AU46" s="51" t="n">
        <f aca="false">MAX(AT46,AU45)</f>
        <v>2125828.29886634</v>
      </c>
      <c r="AV46" s="51" t="n">
        <f aca="false">MAX(AU46,AV45)</f>
        <v>2198270.40498451</v>
      </c>
      <c r="AW46" s="51" t="n">
        <f aca="false">MAX(AV46,AW45)</f>
        <v>2378669.70970824</v>
      </c>
      <c r="AX46" s="51" t="n">
        <f aca="false">MAX(AW46,AX45)</f>
        <v>2559124.56998753</v>
      </c>
      <c r="AY46" s="51" t="n">
        <f aca="false">MAX(AX46,AY45)</f>
        <v>2656593.79560641</v>
      </c>
      <c r="AZ46" s="51" t="n">
        <f aca="false">MAX(AY46,AZ45)</f>
        <v>2754118.57678084</v>
      </c>
      <c r="BA46" s="51" t="n">
        <f aca="false">MAX(AZ46,BA45)</f>
        <v>2851698.91351083</v>
      </c>
      <c r="BB46" s="51" t="n">
        <f aca="false">MAX(BA46,BB45)</f>
        <v>2949334.80579638</v>
      </c>
      <c r="BC46" s="51" t="n">
        <f aca="false">MAX(BB46,BC45)</f>
        <v>3047026.25363748</v>
      </c>
      <c r="BD46" s="51" t="n">
        <f aca="false">MAX(BC46,BD45)</f>
        <v>3144773.25703414</v>
      </c>
      <c r="BE46" s="51" t="n">
        <f aca="false">MAX(BD46,BE45)</f>
        <v>3242575.81598635</v>
      </c>
      <c r="BF46" s="51" t="n">
        <f aca="false">MAX(BE46,BF45)</f>
        <v>3340433.93049412</v>
      </c>
      <c r="BG46" s="51" t="n">
        <f aca="false">MAX(BF46,BG45)</f>
        <v>3438347.60055744</v>
      </c>
      <c r="BH46" s="51" t="n">
        <f aca="false">MAX(BG46,BH45)</f>
        <v>3536316.82617632</v>
      </c>
      <c r="BI46" s="51" t="n">
        <f aca="false">MAX(BH46,BI45)</f>
        <v>3770060.77945538</v>
      </c>
      <c r="BJ46" s="51" t="n">
        <f aca="false">MAX(BI46,BJ45)</f>
        <v>4003860.28829</v>
      </c>
    </row>
    <row r="47" customFormat="false" ht="15" hidden="false" customHeight="false" outlineLevel="0" collapsed="false">
      <c r="A47" s="6" t="s">
        <v>79</v>
      </c>
      <c r="C47" s="51" t="n">
        <f aca="false">-C46*Inputs!$E$70</f>
        <v>-2339.56824999999</v>
      </c>
      <c r="D47" s="51" t="n">
        <f aca="false">-(D46-C46)*Inputs!$E$70</f>
        <v>-2345.40158333333</v>
      </c>
      <c r="E47" s="51" t="n">
        <f aca="false">-(E46-D46)*Inputs!$E$70</f>
        <v>-2357.06825</v>
      </c>
      <c r="F47" s="51" t="n">
        <f aca="false">-(F46-E46)*Inputs!$E$70</f>
        <v>-2368.73491666666</v>
      </c>
      <c r="G47" s="51" t="n">
        <f aca="false">-(G46-F46)*Inputs!$E$70</f>
        <v>-2380.40158333333</v>
      </c>
      <c r="H47" s="51" t="n">
        <f aca="false">-(H46-G46)*Inputs!$E$70</f>
        <v>-2392.06824999999</v>
      </c>
      <c r="I47" s="51" t="n">
        <f aca="false">-(I46-H46)*Inputs!$E$70</f>
        <v>-2403.73491666666</v>
      </c>
      <c r="J47" s="51" t="n">
        <f aca="false">-(J46-I46)*Inputs!$E$70</f>
        <v>-2415.40158333333</v>
      </c>
      <c r="K47" s="51" t="n">
        <f aca="false">-(K46-J46)*Inputs!$E$70</f>
        <v>-2427.06824999999</v>
      </c>
      <c r="L47" s="51" t="n">
        <f aca="false">-(L46-K46)*Inputs!$E$70</f>
        <v>-2438.73491666666</v>
      </c>
      <c r="M47" s="51" t="n">
        <f aca="false">-(M46-L46)*Inputs!$E$70</f>
        <v>-12300.0420833334</v>
      </c>
      <c r="N47" s="51" t="n">
        <f aca="false">-(N46-M46)*Inputs!$E$70</f>
        <v>-12311.70875</v>
      </c>
      <c r="O47" s="51" t="n">
        <f aca="false">-(O46-N46)*Inputs!$E$70</f>
        <v>-6115.27267916667</v>
      </c>
      <c r="P47" s="51" t="n">
        <f aca="false">-(P46-O46)*Inputs!$E$70</f>
        <v>-6126.93934583334</v>
      </c>
      <c r="Q47" s="51" t="n">
        <f aca="false">-(Q46-P46)*Inputs!$E$70</f>
        <v>-6138.60601250001</v>
      </c>
      <c r="R47" s="51" t="n">
        <f aca="false">-(R46-Q46)*Inputs!$E$70</f>
        <v>-6150.27267916666</v>
      </c>
      <c r="S47" s="51" t="n">
        <f aca="false">-(S46-R46)*Inputs!$E$70</f>
        <v>-6161.93934583333</v>
      </c>
      <c r="T47" s="51" t="n">
        <f aca="false">-(T46-S46)*Inputs!$E$70</f>
        <v>-6173.6060125</v>
      </c>
      <c r="U47" s="51" t="n">
        <f aca="false">-(U46-T46)*Inputs!$E$70</f>
        <v>-6185.27267916667</v>
      </c>
      <c r="V47" s="51" t="n">
        <f aca="false">-(V46-U46)*Inputs!$E$70</f>
        <v>-6196.93934583334</v>
      </c>
      <c r="W47" s="51" t="n">
        <f aca="false">-(W46-V46)*Inputs!$E$70</f>
        <v>-6208.6060125</v>
      </c>
      <c r="X47" s="51" t="n">
        <f aca="false">-(X46-W46)*Inputs!$E$70</f>
        <v>-6220.27267916666</v>
      </c>
      <c r="Y47" s="51" t="n">
        <f aca="false">-(Y46-X46)*Inputs!$E$70</f>
        <v>-19728.3962708333</v>
      </c>
      <c r="Z47" s="51" t="n">
        <f aca="false">-(Z46-Y46)*Inputs!$E$70</f>
        <v>-19740.0629375</v>
      </c>
      <c r="AA47" s="51" t="n">
        <f aca="false">-(AA46-Z46)*Inputs!$E$70</f>
        <v>-10349.9918021042</v>
      </c>
      <c r="AB47" s="51" t="n">
        <f aca="false">-(AB46-AA46)*Inputs!$E$70</f>
        <v>-10361.6584687709</v>
      </c>
      <c r="AC47" s="51" t="n">
        <f aca="false">-(AC46-AB46)*Inputs!$E$70</f>
        <v>-10373.3251354375</v>
      </c>
      <c r="AD47" s="51" t="n">
        <f aca="false">-(AD46-AC46)*Inputs!$E$70</f>
        <v>-10384.9918021042</v>
      </c>
      <c r="AE47" s="51" t="n">
        <f aca="false">-(AE46-AD46)*Inputs!$E$70</f>
        <v>-10396.6584687708</v>
      </c>
      <c r="AF47" s="51" t="n">
        <f aca="false">-(AF46-AE46)*Inputs!$E$70</f>
        <v>-10408.3251354375</v>
      </c>
      <c r="AG47" s="51" t="n">
        <f aca="false">-(AG46-AF46)*Inputs!$E$70</f>
        <v>-10419.9918021042</v>
      </c>
      <c r="AH47" s="51" t="n">
        <f aca="false">-(AH46-AG46)*Inputs!$E$70</f>
        <v>-10431.6584687709</v>
      </c>
      <c r="AI47" s="51" t="n">
        <f aca="false">-(AI46-AH46)*Inputs!$E$70</f>
        <v>-10443.3251354375</v>
      </c>
      <c r="AJ47" s="51" t="n">
        <f aca="false">-(AJ46-AI46)*Inputs!$E$70</f>
        <v>-10454.9918021042</v>
      </c>
      <c r="AK47" s="51" t="n">
        <f aca="false">-(AK46-AJ46)*Inputs!$E$70</f>
        <v>-28185.3290887709</v>
      </c>
      <c r="AL47" s="51" t="n">
        <f aca="false">-(AL46-AK46)*Inputs!$E$70</f>
        <v>-28196.9957554375</v>
      </c>
      <c r="AM47" s="51" t="n">
        <f aca="false">-(AM46-AL46)*Inputs!$E$70</f>
        <v>-15107.8422848164</v>
      </c>
      <c r="AN47" s="51" t="n">
        <f aca="false">-(AN46-AM46)*Inputs!$E$70</f>
        <v>-15119.5089514831</v>
      </c>
      <c r="AO47" s="51" t="n">
        <f aca="false">-(AO46-AN46)*Inputs!$E$70</f>
        <v>-15131.1756181498</v>
      </c>
      <c r="AP47" s="51" t="n">
        <f aca="false">-(AP46-AO46)*Inputs!$E$70</f>
        <v>-15142.8422848164</v>
      </c>
      <c r="AQ47" s="51" t="n">
        <f aca="false">-(AQ46-AP46)*Inputs!$E$70</f>
        <v>-15154.5089514831</v>
      </c>
      <c r="AR47" s="51" t="n">
        <f aca="false">-(AR46-AQ46)*Inputs!$E$70</f>
        <v>-15166.1756181497</v>
      </c>
      <c r="AS47" s="51" t="n">
        <f aca="false">-(AS46-AR46)*Inputs!$E$70</f>
        <v>-15177.8422848164</v>
      </c>
      <c r="AT47" s="51" t="n">
        <f aca="false">-(AT46-AS46)*Inputs!$E$70</f>
        <v>-15189.5089514831</v>
      </c>
      <c r="AU47" s="51" t="n">
        <f aca="false">-(AU46-AT46)*Inputs!$E$70</f>
        <v>-15201.1756181497</v>
      </c>
      <c r="AV47" s="51" t="n">
        <f aca="false">-(AV46-AU46)*Inputs!$E$70</f>
        <v>-15212.8422848164</v>
      </c>
      <c r="AW47" s="51" t="n">
        <f aca="false">-(AW46-AV46)*Inputs!$E$70</f>
        <v>-37883.8539919831</v>
      </c>
      <c r="AX47" s="51" t="n">
        <f aca="false">-(AX46-AW46)*Inputs!$E$70</f>
        <v>-37895.5206586497</v>
      </c>
      <c r="AY47" s="51" t="n">
        <f aca="false">-(AY46-AX46)*Inputs!$E$70</f>
        <v>-20468.5373799647</v>
      </c>
      <c r="AZ47" s="51" t="n">
        <f aca="false">-(AZ46-AY46)*Inputs!$E$70</f>
        <v>-20480.2040466313</v>
      </c>
      <c r="BA47" s="51" t="n">
        <f aca="false">-(BA46-AZ46)*Inputs!$E$70</f>
        <v>-20491.8707132981</v>
      </c>
      <c r="BB47" s="51" t="n">
        <f aca="false">-(BB46-BA46)*Inputs!$E$70</f>
        <v>-20503.5373799647</v>
      </c>
      <c r="BC47" s="51" t="n">
        <f aca="false">-(BC46-BB46)*Inputs!$E$70</f>
        <v>-20515.2040466314</v>
      </c>
      <c r="BD47" s="51" t="n">
        <f aca="false">-(BD46-BC46)*Inputs!$E$70</f>
        <v>-20526.870713298</v>
      </c>
      <c r="BE47" s="51" t="n">
        <f aca="false">-(BE46-BD46)*Inputs!$E$70</f>
        <v>-20538.5373799647</v>
      </c>
      <c r="BF47" s="51" t="n">
        <f aca="false">-(BF46-BE46)*Inputs!$E$70</f>
        <v>-20550.2040466313</v>
      </c>
      <c r="BG47" s="51" t="n">
        <f aca="false">-(BG46-BF46)*Inputs!$E$70</f>
        <v>-20561.870713298</v>
      </c>
      <c r="BH47" s="51" t="n">
        <f aca="false">-(BH46-BG46)*Inputs!$E$70</f>
        <v>-20573.5373799647</v>
      </c>
      <c r="BI47" s="51" t="n">
        <f aca="false">-(BI46-BH46)*Inputs!$E$70</f>
        <v>-49086.2301886026</v>
      </c>
      <c r="BJ47" s="51" t="n">
        <f aca="false">-(BJ46-BI46)*Inputs!$E$70</f>
        <v>-49097.8968552692</v>
      </c>
    </row>
    <row r="48" customFormat="false" ht="15" hidden="false" customHeight="false" outlineLevel="0" collapsed="false">
      <c r="A48" s="92" t="s">
        <v>47</v>
      </c>
      <c r="C48" s="52" t="n">
        <f aca="false">C44+C47</f>
        <v>8801.23294047617</v>
      </c>
      <c r="D48" s="52" t="n">
        <f aca="false">D44+D47</f>
        <v>8823.17738492062</v>
      </c>
      <c r="E48" s="52" t="n">
        <f aca="false">E44+E47</f>
        <v>8867.0662738095</v>
      </c>
      <c r="F48" s="52" t="n">
        <f aca="false">F44+F47</f>
        <v>8910.95516269839</v>
      </c>
      <c r="G48" s="52" t="n">
        <f aca="false">G44+G47</f>
        <v>8954.84405158728</v>
      </c>
      <c r="H48" s="52" t="n">
        <f aca="false">H44+H47</f>
        <v>8998.73294047617</v>
      </c>
      <c r="I48" s="52" t="n">
        <f aca="false">I44+I47</f>
        <v>9042.62182936506</v>
      </c>
      <c r="J48" s="52" t="n">
        <f aca="false">J44+J47</f>
        <v>9086.51071825395</v>
      </c>
      <c r="K48" s="52" t="n">
        <f aca="false">K44+K47</f>
        <v>9130.39960714284</v>
      </c>
      <c r="L48" s="52" t="n">
        <f aca="false">L44+L47</f>
        <v>9174.28849603172</v>
      </c>
      <c r="M48" s="52" t="n">
        <f aca="false">M44+M47</f>
        <v>46271.5868849208</v>
      </c>
      <c r="N48" s="52" t="n">
        <f aca="false">N44+N47</f>
        <v>46315.4757738096</v>
      </c>
      <c r="O48" s="52" t="n">
        <f aca="false">O44+O47</f>
        <v>23005.0734121032</v>
      </c>
      <c r="P48" s="52" t="n">
        <f aca="false">P44+P47</f>
        <v>23048.9623009921</v>
      </c>
      <c r="Q48" s="52" t="n">
        <f aca="false">Q44+Q47</f>
        <v>23092.851189881</v>
      </c>
      <c r="R48" s="52" t="n">
        <f aca="false">R44+R47</f>
        <v>23136.7400787699</v>
      </c>
      <c r="S48" s="52" t="n">
        <f aca="false">S44+S47</f>
        <v>23180.6289676587</v>
      </c>
      <c r="T48" s="52" t="n">
        <f aca="false">T44+T47</f>
        <v>23224.5178565476</v>
      </c>
      <c r="U48" s="52" t="n">
        <f aca="false">U44+U47</f>
        <v>23268.4067454365</v>
      </c>
      <c r="V48" s="52" t="n">
        <f aca="false">V44+V47</f>
        <v>23312.2956343254</v>
      </c>
      <c r="W48" s="52" t="n">
        <f aca="false">W44+W47</f>
        <v>23356.1845232143</v>
      </c>
      <c r="X48" s="52" t="n">
        <f aca="false">X44+X47</f>
        <v>23400.0734121032</v>
      </c>
      <c r="Y48" s="52" t="n">
        <f aca="false">Y44+Y47</f>
        <v>74216.3478759921</v>
      </c>
      <c r="Z48" s="52" t="n">
        <f aca="false">Z44+Z47</f>
        <v>74260.236764881</v>
      </c>
      <c r="AA48" s="52" t="n">
        <f aca="false">AA44+AA47</f>
        <v>38935.683446011</v>
      </c>
      <c r="AB48" s="52" t="n">
        <f aca="false">AB44+AB47</f>
        <v>38979.5723348999</v>
      </c>
      <c r="AC48" s="52" t="n">
        <f aca="false">AC44+AC47</f>
        <v>39023.4612237888</v>
      </c>
      <c r="AD48" s="52" t="n">
        <f aca="false">AD44+AD47</f>
        <v>39067.3501126776</v>
      </c>
      <c r="AE48" s="52" t="n">
        <f aca="false">AE44+AE47</f>
        <v>39111.2390015665</v>
      </c>
      <c r="AF48" s="52" t="n">
        <f aca="false">AF44+AF47</f>
        <v>39155.1278904554</v>
      </c>
      <c r="AG48" s="52" t="n">
        <f aca="false">AG44+AG47</f>
        <v>39199.0167793443</v>
      </c>
      <c r="AH48" s="52" t="n">
        <f aca="false">AH44+AH47</f>
        <v>39242.9056682332</v>
      </c>
      <c r="AI48" s="52" t="n">
        <f aca="false">AI44+AI47</f>
        <v>39286.7945571221</v>
      </c>
      <c r="AJ48" s="52" t="n">
        <f aca="false">AJ44+AJ47</f>
        <v>39330.683446011</v>
      </c>
      <c r="AK48" s="52" t="n">
        <f aca="false">AK44+AK47</f>
        <v>106030.5237149</v>
      </c>
      <c r="AL48" s="52" t="n">
        <f aca="false">AL44+AL47</f>
        <v>106074.412603789</v>
      </c>
      <c r="AM48" s="52" t="n">
        <f aca="false">AM44+AM47</f>
        <v>56834.263833357</v>
      </c>
      <c r="AN48" s="52" t="n">
        <f aca="false">AN44+AN47</f>
        <v>56878.1527222459</v>
      </c>
      <c r="AO48" s="52" t="n">
        <f aca="false">AO44+AO47</f>
        <v>56922.0416111348</v>
      </c>
      <c r="AP48" s="52" t="n">
        <f aca="false">AP44+AP47</f>
        <v>56965.9305000237</v>
      </c>
      <c r="AQ48" s="52" t="n">
        <f aca="false">AQ44+AQ47</f>
        <v>57009.8193889126</v>
      </c>
      <c r="AR48" s="52" t="n">
        <f aca="false">AR44+AR47</f>
        <v>57053.7082778015</v>
      </c>
      <c r="AS48" s="52" t="n">
        <f aca="false">AS44+AS47</f>
        <v>57097.5971666903</v>
      </c>
      <c r="AT48" s="52" t="n">
        <f aca="false">AT44+AT47</f>
        <v>57141.4860555792</v>
      </c>
      <c r="AU48" s="52" t="n">
        <f aca="false">AU44+AU47</f>
        <v>57185.3749444681</v>
      </c>
      <c r="AV48" s="52" t="n">
        <f aca="false">AV44+AV47</f>
        <v>57229.263833357</v>
      </c>
      <c r="AW48" s="52" t="n">
        <f aca="false">AW44+AW47</f>
        <v>142515.450731746</v>
      </c>
      <c r="AX48" s="52" t="n">
        <f aca="false">AX44+AX47</f>
        <v>142559.339620635</v>
      </c>
      <c r="AY48" s="52" t="n">
        <f aca="false">AY44+AY47</f>
        <v>77000.6882389148</v>
      </c>
      <c r="AZ48" s="52" t="n">
        <f aca="false">AZ44+AZ47</f>
        <v>77044.5771278037</v>
      </c>
      <c r="BA48" s="52" t="n">
        <f aca="false">BA44+BA47</f>
        <v>77088.4660166925</v>
      </c>
      <c r="BB48" s="52" t="n">
        <f aca="false">BB44+BB47</f>
        <v>77132.3549055814</v>
      </c>
      <c r="BC48" s="52" t="n">
        <f aca="false">BC44+BC47</f>
        <v>77176.2437944703</v>
      </c>
      <c r="BD48" s="52" t="n">
        <f aca="false">BD44+BD47</f>
        <v>77220.1326833592</v>
      </c>
      <c r="BE48" s="52" t="n">
        <f aca="false">BE44+BE47</f>
        <v>77264.0215722481</v>
      </c>
      <c r="BF48" s="52" t="n">
        <f aca="false">BF44+BF47</f>
        <v>77307.910461137</v>
      </c>
      <c r="BG48" s="52" t="n">
        <f aca="false">BG44+BG47</f>
        <v>77351.7993500259</v>
      </c>
      <c r="BH48" s="52" t="n">
        <f aca="false">BH44+BH47</f>
        <v>77395.6882389148</v>
      </c>
      <c r="BI48" s="52" t="n">
        <f aca="false">BI44+BI47</f>
        <v>184657.723090457</v>
      </c>
      <c r="BJ48" s="52" t="n">
        <f aca="false">BJ44+BJ47</f>
        <v>184701.611979346</v>
      </c>
    </row>
    <row r="50" customFormat="false" ht="15.75" hidden="false" customHeight="true" outlineLevel="0" collapsed="false">
      <c r="A50" s="7" t="s">
        <v>370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371</v>
      </c>
      <c r="C51" s="51" t="n">
        <f aca="false">IF(C$4=1,Inputs!$E$35+Inputs!$E$18*Inputs!$E$25,0)+IF(AND(C$4&gt;1,MOD(C$4-1,12)=0),Inputs!$E$19*Inputs!$E$25,0)</f>
        <v>350000</v>
      </c>
      <c r="D51" s="51" t="n">
        <f aca="false">IF(D$4=1,Inputs!$E$35+Inputs!$E$18*Inputs!$E$25,0)+IF(AND(D$4&gt;1,MOD(D$4-1,12)=0),Inputs!$E$19*Inputs!$E$25,0)</f>
        <v>0</v>
      </c>
      <c r="E51" s="51" t="n">
        <f aca="false">IF(E$4=1,Inputs!$E$35+Inputs!$E$18*Inputs!$E$25,0)+IF(AND(E$4&gt;1,MOD(E$4-1,12)=0),Inputs!$E$19*Inputs!$E$25,0)</f>
        <v>0</v>
      </c>
      <c r="F51" s="51" t="n">
        <f aca="false">IF(F$4=1,Inputs!$E$35+Inputs!$E$18*Inputs!$E$25,0)+IF(AND(F$4&gt;1,MOD(F$4-1,12)=0),Inputs!$E$19*Inputs!$E$25,0)</f>
        <v>0</v>
      </c>
      <c r="G51" s="51" t="n">
        <f aca="false">IF(G$4=1,Inputs!$E$35+Inputs!$E$18*Inputs!$E$25,0)+IF(AND(G$4&gt;1,MOD(G$4-1,12)=0),Inputs!$E$19*Inputs!$E$25,0)</f>
        <v>0</v>
      </c>
      <c r="H51" s="51" t="n">
        <f aca="false">IF(H$4=1,Inputs!$E$35+Inputs!$E$18*Inputs!$E$25,0)+IF(AND(H$4&gt;1,MOD(H$4-1,12)=0),Inputs!$E$19*Inputs!$E$25,0)</f>
        <v>0</v>
      </c>
      <c r="I51" s="51" t="n">
        <f aca="false">IF(I$4=1,Inputs!$E$35+Inputs!$E$18*Inputs!$E$25,0)+IF(AND(I$4&gt;1,MOD(I$4-1,12)=0),Inputs!$E$19*Inputs!$E$25,0)</f>
        <v>0</v>
      </c>
      <c r="J51" s="51" t="n">
        <f aca="false">IF(J$4=1,Inputs!$E$35+Inputs!$E$18*Inputs!$E$25,0)+IF(AND(J$4&gt;1,MOD(J$4-1,12)=0),Inputs!$E$19*Inputs!$E$25,0)</f>
        <v>0</v>
      </c>
      <c r="K51" s="51" t="n">
        <f aca="false">IF(K$4=1,Inputs!$E$35+Inputs!$E$18*Inputs!$E$25,0)+IF(AND(K$4&gt;1,MOD(K$4-1,12)=0),Inputs!$E$19*Inputs!$E$25,0)</f>
        <v>0</v>
      </c>
      <c r="L51" s="51" t="n">
        <f aca="false">IF(L$4=1,Inputs!$E$35+Inputs!$E$18*Inputs!$E$25,0)+IF(AND(L$4&gt;1,MOD(L$4-1,12)=0),Inputs!$E$19*Inputs!$E$25,0)</f>
        <v>0</v>
      </c>
      <c r="M51" s="51" t="n">
        <f aca="false">IF(M$4=1,Inputs!$E$35+Inputs!$E$18*Inputs!$E$25,0)+IF(AND(M$4&gt;1,MOD(M$4-1,12)=0),Inputs!$E$19*Inputs!$E$25,0)</f>
        <v>0</v>
      </c>
      <c r="N51" s="51" t="n">
        <f aca="false">IF(N$4=1,Inputs!$E$35+Inputs!$E$18*Inputs!$E$25,0)+IF(AND(N$4&gt;1,MOD(N$4-1,12)=0),Inputs!$E$19*Inputs!$E$25,0)</f>
        <v>0</v>
      </c>
      <c r="O51" s="51" t="n">
        <f aca="false">IF(O$4=1,Inputs!$E$35+Inputs!$E$18*Inputs!$E$25,0)+IF(AND(O$4&gt;1,MOD(O$4-1,12)=0),Inputs!$E$19*Inputs!$E$25,0)</f>
        <v>150000</v>
      </c>
      <c r="P51" s="51" t="n">
        <f aca="false">IF(P$4=1,Inputs!$E$35+Inputs!$E$18*Inputs!$E$25,0)+IF(AND(P$4&gt;1,MOD(P$4-1,12)=0),Inputs!$E$19*Inputs!$E$25,0)</f>
        <v>0</v>
      </c>
      <c r="Q51" s="51" t="n">
        <f aca="false">IF(Q$4=1,Inputs!$E$35+Inputs!$E$18*Inputs!$E$25,0)+IF(AND(Q$4&gt;1,MOD(Q$4-1,12)=0),Inputs!$E$19*Inputs!$E$25,0)</f>
        <v>0</v>
      </c>
      <c r="R51" s="51" t="n">
        <f aca="false">IF(R$4=1,Inputs!$E$35+Inputs!$E$18*Inputs!$E$25,0)+IF(AND(R$4&gt;1,MOD(R$4-1,12)=0),Inputs!$E$19*Inputs!$E$25,0)</f>
        <v>0</v>
      </c>
      <c r="S51" s="51" t="n">
        <f aca="false">IF(S$4=1,Inputs!$E$35+Inputs!$E$18*Inputs!$E$25,0)+IF(AND(S$4&gt;1,MOD(S$4-1,12)=0),Inputs!$E$19*Inputs!$E$25,0)</f>
        <v>0</v>
      </c>
      <c r="T51" s="51" t="n">
        <f aca="false">IF(T$4=1,Inputs!$E$35+Inputs!$E$18*Inputs!$E$25,0)+IF(AND(T$4&gt;1,MOD(T$4-1,12)=0),Inputs!$E$19*Inputs!$E$25,0)</f>
        <v>0</v>
      </c>
      <c r="U51" s="51" t="n">
        <f aca="false">IF(U$4=1,Inputs!$E$35+Inputs!$E$18*Inputs!$E$25,0)+IF(AND(U$4&gt;1,MOD(U$4-1,12)=0),Inputs!$E$19*Inputs!$E$25,0)</f>
        <v>0</v>
      </c>
      <c r="V51" s="51" t="n">
        <f aca="false">IF(V$4=1,Inputs!$E$35+Inputs!$E$18*Inputs!$E$25,0)+IF(AND(V$4&gt;1,MOD(V$4-1,12)=0),Inputs!$E$19*Inputs!$E$25,0)</f>
        <v>0</v>
      </c>
      <c r="W51" s="51" t="n">
        <f aca="false">IF(W$4=1,Inputs!$E$35+Inputs!$E$18*Inputs!$E$25,0)+IF(AND(W$4&gt;1,MOD(W$4-1,12)=0),Inputs!$E$19*Inputs!$E$25,0)</f>
        <v>0</v>
      </c>
      <c r="X51" s="51" t="n">
        <f aca="false">IF(X$4=1,Inputs!$E$35+Inputs!$E$18*Inputs!$E$25,0)+IF(AND(X$4&gt;1,MOD(X$4-1,12)=0),Inputs!$E$19*Inputs!$E$25,0)</f>
        <v>0</v>
      </c>
      <c r="Y51" s="51" t="n">
        <f aca="false">IF(Y$4=1,Inputs!$E$35+Inputs!$E$18*Inputs!$E$25,0)+IF(AND(Y$4&gt;1,MOD(Y$4-1,12)=0),Inputs!$E$19*Inputs!$E$25,0)</f>
        <v>0</v>
      </c>
      <c r="Z51" s="51" t="n">
        <f aca="false">IF(Z$4=1,Inputs!$E$35+Inputs!$E$18*Inputs!$E$25,0)+IF(AND(Z$4&gt;1,MOD(Z$4-1,12)=0),Inputs!$E$19*Inputs!$E$25,0)</f>
        <v>0</v>
      </c>
      <c r="AA51" s="51" t="n">
        <f aca="false">IF(AA$4=1,Inputs!$E$35+Inputs!$E$18*Inputs!$E$25,0)+IF(AND(AA$4&gt;1,MOD(AA$4-1,12)=0),Inputs!$E$19*Inputs!$E$25,0)</f>
        <v>150000</v>
      </c>
      <c r="AB51" s="51" t="n">
        <f aca="false">IF(AB$4=1,Inputs!$E$35+Inputs!$E$18*Inputs!$E$25,0)+IF(AND(AB$4&gt;1,MOD(AB$4-1,12)=0),Inputs!$E$19*Inputs!$E$25,0)</f>
        <v>0</v>
      </c>
      <c r="AC51" s="51" t="n">
        <f aca="false">IF(AC$4=1,Inputs!$E$35+Inputs!$E$18*Inputs!$E$25,0)+IF(AND(AC$4&gt;1,MOD(AC$4-1,12)=0),Inputs!$E$19*Inputs!$E$25,0)</f>
        <v>0</v>
      </c>
      <c r="AD51" s="51" t="n">
        <f aca="false">IF(AD$4=1,Inputs!$E$35+Inputs!$E$18*Inputs!$E$25,0)+IF(AND(AD$4&gt;1,MOD(AD$4-1,12)=0),Inputs!$E$19*Inputs!$E$25,0)</f>
        <v>0</v>
      </c>
      <c r="AE51" s="51" t="n">
        <f aca="false">IF(AE$4=1,Inputs!$E$35+Inputs!$E$18*Inputs!$E$25,0)+IF(AND(AE$4&gt;1,MOD(AE$4-1,12)=0),Inputs!$E$19*Inputs!$E$25,0)</f>
        <v>0</v>
      </c>
      <c r="AF51" s="51" t="n">
        <f aca="false">IF(AF$4=1,Inputs!$E$35+Inputs!$E$18*Inputs!$E$25,0)+IF(AND(AF$4&gt;1,MOD(AF$4-1,12)=0),Inputs!$E$19*Inputs!$E$25,0)</f>
        <v>0</v>
      </c>
      <c r="AG51" s="51" t="n">
        <f aca="false">IF(AG$4=1,Inputs!$E$35+Inputs!$E$18*Inputs!$E$25,0)+IF(AND(AG$4&gt;1,MOD(AG$4-1,12)=0),Inputs!$E$19*Inputs!$E$25,0)</f>
        <v>0</v>
      </c>
      <c r="AH51" s="51" t="n">
        <f aca="false">IF(AH$4=1,Inputs!$E$35+Inputs!$E$18*Inputs!$E$25,0)+IF(AND(AH$4&gt;1,MOD(AH$4-1,12)=0),Inputs!$E$19*Inputs!$E$25,0)</f>
        <v>0</v>
      </c>
      <c r="AI51" s="51" t="n">
        <f aca="false">IF(AI$4=1,Inputs!$E$35+Inputs!$E$18*Inputs!$E$25,0)+IF(AND(AI$4&gt;1,MOD(AI$4-1,12)=0),Inputs!$E$19*Inputs!$E$25,0)</f>
        <v>0</v>
      </c>
      <c r="AJ51" s="51" t="n">
        <f aca="false">IF(AJ$4=1,Inputs!$E$35+Inputs!$E$18*Inputs!$E$25,0)+IF(AND(AJ$4&gt;1,MOD(AJ$4-1,12)=0),Inputs!$E$19*Inputs!$E$25,0)</f>
        <v>0</v>
      </c>
      <c r="AK51" s="51" t="n">
        <f aca="false">IF(AK$4=1,Inputs!$E$35+Inputs!$E$18*Inputs!$E$25,0)+IF(AND(AK$4&gt;1,MOD(AK$4-1,12)=0),Inputs!$E$19*Inputs!$E$25,0)</f>
        <v>0</v>
      </c>
      <c r="AL51" s="51" t="n">
        <f aca="false">IF(AL$4=1,Inputs!$E$35+Inputs!$E$18*Inputs!$E$25,0)+IF(AND(AL$4&gt;1,MOD(AL$4-1,12)=0),Inputs!$E$19*Inputs!$E$25,0)</f>
        <v>0</v>
      </c>
      <c r="AM51" s="51" t="n">
        <f aca="false">IF(AM$4=1,Inputs!$E$35+Inputs!$E$18*Inputs!$E$25,0)+IF(AND(AM$4&gt;1,MOD(AM$4-1,12)=0),Inputs!$E$19*Inputs!$E$25,0)</f>
        <v>150000</v>
      </c>
      <c r="AN51" s="51" t="n">
        <f aca="false">IF(AN$4=1,Inputs!$E$35+Inputs!$E$18*Inputs!$E$25,0)+IF(AND(AN$4&gt;1,MOD(AN$4-1,12)=0),Inputs!$E$19*Inputs!$E$25,0)</f>
        <v>0</v>
      </c>
      <c r="AO51" s="51" t="n">
        <f aca="false">IF(AO$4=1,Inputs!$E$35+Inputs!$E$18*Inputs!$E$25,0)+IF(AND(AO$4&gt;1,MOD(AO$4-1,12)=0),Inputs!$E$19*Inputs!$E$25,0)</f>
        <v>0</v>
      </c>
      <c r="AP51" s="51" t="n">
        <f aca="false">IF(AP$4=1,Inputs!$E$35+Inputs!$E$18*Inputs!$E$25,0)+IF(AND(AP$4&gt;1,MOD(AP$4-1,12)=0),Inputs!$E$19*Inputs!$E$25,0)</f>
        <v>0</v>
      </c>
      <c r="AQ51" s="51" t="n">
        <f aca="false">IF(AQ$4=1,Inputs!$E$35+Inputs!$E$18*Inputs!$E$25,0)+IF(AND(AQ$4&gt;1,MOD(AQ$4-1,12)=0),Inputs!$E$19*Inputs!$E$25,0)</f>
        <v>0</v>
      </c>
      <c r="AR51" s="51" t="n">
        <f aca="false">IF(AR$4=1,Inputs!$E$35+Inputs!$E$18*Inputs!$E$25,0)+IF(AND(AR$4&gt;1,MOD(AR$4-1,12)=0),Inputs!$E$19*Inputs!$E$25,0)</f>
        <v>0</v>
      </c>
      <c r="AS51" s="51" t="n">
        <f aca="false">IF(AS$4=1,Inputs!$E$35+Inputs!$E$18*Inputs!$E$25,0)+IF(AND(AS$4&gt;1,MOD(AS$4-1,12)=0),Inputs!$E$19*Inputs!$E$25,0)</f>
        <v>0</v>
      </c>
      <c r="AT51" s="51" t="n">
        <f aca="false">IF(AT$4=1,Inputs!$E$35+Inputs!$E$18*Inputs!$E$25,0)+IF(AND(AT$4&gt;1,MOD(AT$4-1,12)=0),Inputs!$E$19*Inputs!$E$25,0)</f>
        <v>0</v>
      </c>
      <c r="AU51" s="51" t="n">
        <f aca="false">IF(AU$4=1,Inputs!$E$35+Inputs!$E$18*Inputs!$E$25,0)+IF(AND(AU$4&gt;1,MOD(AU$4-1,12)=0),Inputs!$E$19*Inputs!$E$25,0)</f>
        <v>0</v>
      </c>
      <c r="AV51" s="51" t="n">
        <f aca="false">IF(AV$4=1,Inputs!$E$35+Inputs!$E$18*Inputs!$E$25,0)+IF(AND(AV$4&gt;1,MOD(AV$4-1,12)=0),Inputs!$E$19*Inputs!$E$25,0)</f>
        <v>0</v>
      </c>
      <c r="AW51" s="51" t="n">
        <f aca="false">IF(AW$4=1,Inputs!$E$35+Inputs!$E$18*Inputs!$E$25,0)+IF(AND(AW$4&gt;1,MOD(AW$4-1,12)=0),Inputs!$E$19*Inputs!$E$25,0)</f>
        <v>0</v>
      </c>
      <c r="AX51" s="51" t="n">
        <f aca="false">IF(AX$4=1,Inputs!$E$35+Inputs!$E$18*Inputs!$E$25,0)+IF(AND(AX$4&gt;1,MOD(AX$4-1,12)=0),Inputs!$E$19*Inputs!$E$25,0)</f>
        <v>0</v>
      </c>
      <c r="AY51" s="51" t="n">
        <f aca="false">IF(AY$4=1,Inputs!$E$35+Inputs!$E$18*Inputs!$E$25,0)+IF(AND(AY$4&gt;1,MOD(AY$4-1,12)=0),Inputs!$E$19*Inputs!$E$25,0)</f>
        <v>150000</v>
      </c>
      <c r="AZ51" s="51" t="n">
        <f aca="false">IF(AZ$4=1,Inputs!$E$35+Inputs!$E$18*Inputs!$E$25,0)+IF(AND(AZ$4&gt;1,MOD(AZ$4-1,12)=0),Inputs!$E$19*Inputs!$E$25,0)</f>
        <v>0</v>
      </c>
      <c r="BA51" s="51" t="n">
        <f aca="false">IF(BA$4=1,Inputs!$E$35+Inputs!$E$18*Inputs!$E$25,0)+IF(AND(BA$4&gt;1,MOD(BA$4-1,12)=0),Inputs!$E$19*Inputs!$E$25,0)</f>
        <v>0</v>
      </c>
      <c r="BB51" s="51" t="n">
        <f aca="false">IF(BB$4=1,Inputs!$E$35+Inputs!$E$18*Inputs!$E$25,0)+IF(AND(BB$4&gt;1,MOD(BB$4-1,12)=0),Inputs!$E$19*Inputs!$E$25,0)</f>
        <v>0</v>
      </c>
      <c r="BC51" s="51" t="n">
        <f aca="false">IF(BC$4=1,Inputs!$E$35+Inputs!$E$18*Inputs!$E$25,0)+IF(AND(BC$4&gt;1,MOD(BC$4-1,12)=0),Inputs!$E$19*Inputs!$E$25,0)</f>
        <v>0</v>
      </c>
      <c r="BD51" s="51" t="n">
        <f aca="false">IF(BD$4=1,Inputs!$E$35+Inputs!$E$18*Inputs!$E$25,0)+IF(AND(BD$4&gt;1,MOD(BD$4-1,12)=0),Inputs!$E$19*Inputs!$E$25,0)</f>
        <v>0</v>
      </c>
      <c r="BE51" s="51" t="n">
        <f aca="false">IF(BE$4=1,Inputs!$E$35+Inputs!$E$18*Inputs!$E$25,0)+IF(AND(BE$4&gt;1,MOD(BE$4-1,12)=0),Inputs!$E$19*Inputs!$E$25,0)</f>
        <v>0</v>
      </c>
      <c r="BF51" s="51" t="n">
        <f aca="false">IF(BF$4=1,Inputs!$E$35+Inputs!$E$18*Inputs!$E$25,0)+IF(AND(BF$4&gt;1,MOD(BF$4-1,12)=0),Inputs!$E$19*Inputs!$E$25,0)</f>
        <v>0</v>
      </c>
      <c r="BG51" s="51" t="n">
        <f aca="false">IF(BG$4=1,Inputs!$E$35+Inputs!$E$18*Inputs!$E$25,0)+IF(AND(BG$4&gt;1,MOD(BG$4-1,12)=0),Inputs!$E$19*Inputs!$E$25,0)</f>
        <v>0</v>
      </c>
      <c r="BH51" s="51" t="n">
        <f aca="false">IF(BH$4=1,Inputs!$E$35+Inputs!$E$18*Inputs!$E$25,0)+IF(AND(BH$4&gt;1,MOD(BH$4-1,12)=0),Inputs!$E$19*Inputs!$E$25,0)</f>
        <v>0</v>
      </c>
      <c r="BI51" s="51" t="n">
        <f aca="false">IF(BI$4=1,Inputs!$E$35+Inputs!$E$18*Inputs!$E$25,0)+IF(AND(BI$4&gt;1,MOD(BI$4-1,12)=0),Inputs!$E$19*Inputs!$E$25,0)</f>
        <v>0</v>
      </c>
      <c r="BJ51" s="51" t="n">
        <f aca="false">IF(BJ$4=1,Inputs!$E$35+Inputs!$E$18*Inputs!$E$25,0)+IF(AND(BJ$4&gt;1,MOD(BJ$4-1,12)=0),Inputs!$E$19*Inputs!$E$25,0)</f>
        <v>0</v>
      </c>
    </row>
    <row r="52" customFormat="false" ht="15" hidden="false" customHeight="false" outlineLevel="0" collapsed="false">
      <c r="A52" s="6" t="s">
        <v>372</v>
      </c>
      <c r="C52" s="51" t="n">
        <f aca="false">C51</f>
        <v>350000</v>
      </c>
      <c r="D52" s="51" t="n">
        <f aca="false">C52+D51</f>
        <v>350000</v>
      </c>
      <c r="E52" s="51" t="n">
        <f aca="false">D52+E51</f>
        <v>350000</v>
      </c>
      <c r="F52" s="51" t="n">
        <f aca="false">E52+F51</f>
        <v>350000</v>
      </c>
      <c r="G52" s="51" t="n">
        <f aca="false">F52+G51</f>
        <v>350000</v>
      </c>
      <c r="H52" s="51" t="n">
        <f aca="false">G52+H51</f>
        <v>350000</v>
      </c>
      <c r="I52" s="51" t="n">
        <f aca="false">H52+I51</f>
        <v>350000</v>
      </c>
      <c r="J52" s="51" t="n">
        <f aca="false">I52+J51</f>
        <v>350000</v>
      </c>
      <c r="K52" s="51" t="n">
        <f aca="false">J52+K51</f>
        <v>350000</v>
      </c>
      <c r="L52" s="51" t="n">
        <f aca="false">K52+L51</f>
        <v>350000</v>
      </c>
      <c r="M52" s="51" t="n">
        <f aca="false">L52+M51</f>
        <v>350000</v>
      </c>
      <c r="N52" s="51" t="n">
        <f aca="false">M52+N51</f>
        <v>350000</v>
      </c>
      <c r="O52" s="51" t="n">
        <f aca="false">N52+O51</f>
        <v>500000</v>
      </c>
      <c r="P52" s="51" t="n">
        <f aca="false">O52+P51</f>
        <v>500000</v>
      </c>
      <c r="Q52" s="51" t="n">
        <f aca="false">P52+Q51</f>
        <v>500000</v>
      </c>
      <c r="R52" s="51" t="n">
        <f aca="false">Q52+R51</f>
        <v>500000</v>
      </c>
      <c r="S52" s="51" t="n">
        <f aca="false">R52+S51</f>
        <v>500000</v>
      </c>
      <c r="T52" s="51" t="n">
        <f aca="false">S52+T51</f>
        <v>500000</v>
      </c>
      <c r="U52" s="51" t="n">
        <f aca="false">T52+U51</f>
        <v>500000</v>
      </c>
      <c r="V52" s="51" t="n">
        <f aca="false">U52+V51</f>
        <v>500000</v>
      </c>
      <c r="W52" s="51" t="n">
        <f aca="false">V52+W51</f>
        <v>500000</v>
      </c>
      <c r="X52" s="51" t="n">
        <f aca="false">W52+X51</f>
        <v>500000</v>
      </c>
      <c r="Y52" s="51" t="n">
        <f aca="false">X52+Y51</f>
        <v>500000</v>
      </c>
      <c r="Z52" s="51" t="n">
        <f aca="false">Y52+Z51</f>
        <v>500000</v>
      </c>
      <c r="AA52" s="51" t="n">
        <f aca="false">Z52+AA51</f>
        <v>650000</v>
      </c>
      <c r="AB52" s="51" t="n">
        <f aca="false">AA52+AB51</f>
        <v>650000</v>
      </c>
      <c r="AC52" s="51" t="n">
        <f aca="false">AB52+AC51</f>
        <v>650000</v>
      </c>
      <c r="AD52" s="51" t="n">
        <f aca="false">AC52+AD51</f>
        <v>650000</v>
      </c>
      <c r="AE52" s="51" t="n">
        <f aca="false">AD52+AE51</f>
        <v>650000</v>
      </c>
      <c r="AF52" s="51" t="n">
        <f aca="false">AE52+AF51</f>
        <v>650000</v>
      </c>
      <c r="AG52" s="51" t="n">
        <f aca="false">AF52+AG51</f>
        <v>650000</v>
      </c>
      <c r="AH52" s="51" t="n">
        <f aca="false">AG52+AH51</f>
        <v>650000</v>
      </c>
      <c r="AI52" s="51" t="n">
        <f aca="false">AH52+AI51</f>
        <v>650000</v>
      </c>
      <c r="AJ52" s="51" t="n">
        <f aca="false">AI52+AJ51</f>
        <v>650000</v>
      </c>
      <c r="AK52" s="51" t="n">
        <f aca="false">AJ52+AK51</f>
        <v>650000</v>
      </c>
      <c r="AL52" s="51" t="n">
        <f aca="false">AK52+AL51</f>
        <v>650000</v>
      </c>
      <c r="AM52" s="51" t="n">
        <f aca="false">AL52+AM51</f>
        <v>800000</v>
      </c>
      <c r="AN52" s="51" t="n">
        <f aca="false">AM52+AN51</f>
        <v>800000</v>
      </c>
      <c r="AO52" s="51" t="n">
        <f aca="false">AN52+AO51</f>
        <v>800000</v>
      </c>
      <c r="AP52" s="51" t="n">
        <f aca="false">AO52+AP51</f>
        <v>800000</v>
      </c>
      <c r="AQ52" s="51" t="n">
        <f aca="false">AP52+AQ51</f>
        <v>800000</v>
      </c>
      <c r="AR52" s="51" t="n">
        <f aca="false">AQ52+AR51</f>
        <v>800000</v>
      </c>
      <c r="AS52" s="51" t="n">
        <f aca="false">AR52+AS51</f>
        <v>800000</v>
      </c>
      <c r="AT52" s="51" t="n">
        <f aca="false">AS52+AT51</f>
        <v>800000</v>
      </c>
      <c r="AU52" s="51" t="n">
        <f aca="false">AT52+AU51</f>
        <v>800000</v>
      </c>
      <c r="AV52" s="51" t="n">
        <f aca="false">AU52+AV51</f>
        <v>800000</v>
      </c>
      <c r="AW52" s="51" t="n">
        <f aca="false">AV52+AW51</f>
        <v>800000</v>
      </c>
      <c r="AX52" s="51" t="n">
        <f aca="false">AW52+AX51</f>
        <v>800000</v>
      </c>
      <c r="AY52" s="51" t="n">
        <f aca="false">AX52+AY51</f>
        <v>950000</v>
      </c>
      <c r="AZ52" s="51" t="n">
        <f aca="false">AY52+AZ51</f>
        <v>950000</v>
      </c>
      <c r="BA52" s="51" t="n">
        <f aca="false">AZ52+BA51</f>
        <v>950000</v>
      </c>
      <c r="BB52" s="51" t="n">
        <f aca="false">BA52+BB51</f>
        <v>950000</v>
      </c>
      <c r="BC52" s="51" t="n">
        <f aca="false">BB52+BC51</f>
        <v>950000</v>
      </c>
      <c r="BD52" s="51" t="n">
        <f aca="false">BC52+BD51</f>
        <v>950000</v>
      </c>
      <c r="BE52" s="51" t="n">
        <f aca="false">BD52+BE51</f>
        <v>950000</v>
      </c>
      <c r="BF52" s="51" t="n">
        <f aca="false">BE52+BF51</f>
        <v>950000</v>
      </c>
      <c r="BG52" s="51" t="n">
        <f aca="false">BF52+BG51</f>
        <v>950000</v>
      </c>
      <c r="BH52" s="51" t="n">
        <f aca="false">BG52+BH51</f>
        <v>950000</v>
      </c>
      <c r="BI52" s="51" t="n">
        <f aca="false">BH52+BI51</f>
        <v>950000</v>
      </c>
      <c r="BJ52" s="51" t="n">
        <f aca="false">BI52+BJ51</f>
        <v>950000</v>
      </c>
    </row>
    <row r="53" customFormat="false" ht="15" hidden="false" customHeight="false" outlineLevel="0" collapsed="false">
      <c r="A53" s="6" t="s">
        <v>75</v>
      </c>
      <c r="C53" s="51" t="n">
        <f aca="false">-MIN(C52/MAX(1,Inputs!$E$69*12),C51)</f>
        <v>-4166.66666666667</v>
      </c>
      <c r="D53" s="51" t="n">
        <f aca="false">-MIN(D52/MAX(1,Inputs!$E$69*12),C55+D51)</f>
        <v>-4166.66666666667</v>
      </c>
      <c r="E53" s="51" t="n">
        <f aca="false">-MIN(E52/MAX(1,Inputs!$E$69*12),D55+E51)</f>
        <v>-4166.66666666667</v>
      </c>
      <c r="F53" s="51" t="n">
        <f aca="false">-MIN(F52/MAX(1,Inputs!$E$69*12),E55+F51)</f>
        <v>-4166.66666666667</v>
      </c>
      <c r="G53" s="51" t="n">
        <f aca="false">-MIN(G52/MAX(1,Inputs!$E$69*12),F55+G51)</f>
        <v>-4166.66666666667</v>
      </c>
      <c r="H53" s="51" t="n">
        <f aca="false">-MIN(H52/MAX(1,Inputs!$E$69*12),G55+H51)</f>
        <v>-4166.66666666667</v>
      </c>
      <c r="I53" s="51" t="n">
        <f aca="false">-MIN(I52/MAX(1,Inputs!$E$69*12),H55+I51)</f>
        <v>-4166.66666666667</v>
      </c>
      <c r="J53" s="51" t="n">
        <f aca="false">-MIN(J52/MAX(1,Inputs!$E$69*12),I55+J51)</f>
        <v>-4166.66666666667</v>
      </c>
      <c r="K53" s="51" t="n">
        <f aca="false">-MIN(K52/MAX(1,Inputs!$E$69*12),J55+K51)</f>
        <v>-4166.66666666667</v>
      </c>
      <c r="L53" s="51" t="n">
        <f aca="false">-MIN(L52/MAX(1,Inputs!$E$69*12),K55+L51)</f>
        <v>-4166.66666666667</v>
      </c>
      <c r="M53" s="51" t="n">
        <f aca="false">-MIN(M52/MAX(1,Inputs!$E$69*12),L55+M51)</f>
        <v>-4166.66666666667</v>
      </c>
      <c r="N53" s="51" t="n">
        <f aca="false">-MIN(N52/MAX(1,Inputs!$E$69*12),M55+N51)</f>
        <v>-4166.66666666667</v>
      </c>
      <c r="O53" s="51" t="n">
        <f aca="false">-MIN(O52/MAX(1,Inputs!$E$69*12),N55+O51)</f>
        <v>-5952.38095238095</v>
      </c>
      <c r="P53" s="51" t="n">
        <f aca="false">-MIN(P52/MAX(1,Inputs!$E$69*12),O55+P51)</f>
        <v>-5952.38095238095</v>
      </c>
      <c r="Q53" s="51" t="n">
        <f aca="false">-MIN(Q52/MAX(1,Inputs!$E$69*12),P55+Q51)</f>
        <v>-5952.38095238095</v>
      </c>
      <c r="R53" s="51" t="n">
        <f aca="false">-MIN(R52/MAX(1,Inputs!$E$69*12),Q55+R51)</f>
        <v>-5952.38095238095</v>
      </c>
      <c r="S53" s="51" t="n">
        <f aca="false">-MIN(S52/MAX(1,Inputs!$E$69*12),R55+S51)</f>
        <v>-5952.38095238095</v>
      </c>
      <c r="T53" s="51" t="n">
        <f aca="false">-MIN(T52/MAX(1,Inputs!$E$69*12),S55+T51)</f>
        <v>-5952.38095238095</v>
      </c>
      <c r="U53" s="51" t="n">
        <f aca="false">-MIN(U52/MAX(1,Inputs!$E$69*12),T55+U51)</f>
        <v>-5952.38095238095</v>
      </c>
      <c r="V53" s="51" t="n">
        <f aca="false">-MIN(V52/MAX(1,Inputs!$E$69*12),U55+V51)</f>
        <v>-5952.38095238095</v>
      </c>
      <c r="W53" s="51" t="n">
        <f aca="false">-MIN(W52/MAX(1,Inputs!$E$69*12),V55+W51)</f>
        <v>-5952.38095238095</v>
      </c>
      <c r="X53" s="51" t="n">
        <f aca="false">-MIN(X52/MAX(1,Inputs!$E$69*12),W55+X51)</f>
        <v>-5952.38095238095</v>
      </c>
      <c r="Y53" s="51" t="n">
        <f aca="false">-MIN(Y52/MAX(1,Inputs!$E$69*12),X55+Y51)</f>
        <v>-5952.38095238095</v>
      </c>
      <c r="Z53" s="51" t="n">
        <f aca="false">-MIN(Z52/MAX(1,Inputs!$E$69*12),Y55+Z51)</f>
        <v>-5952.38095238095</v>
      </c>
      <c r="AA53" s="51" t="n">
        <f aca="false">-MIN(AA52/MAX(1,Inputs!$E$69*12),Z55+AA51)</f>
        <v>-7738.09523809524</v>
      </c>
      <c r="AB53" s="51" t="n">
        <f aca="false">-MIN(AB52/MAX(1,Inputs!$E$69*12),AA55+AB51)</f>
        <v>-7738.09523809524</v>
      </c>
      <c r="AC53" s="51" t="n">
        <f aca="false">-MIN(AC52/MAX(1,Inputs!$E$69*12),AB55+AC51)</f>
        <v>-7738.09523809524</v>
      </c>
      <c r="AD53" s="51" t="n">
        <f aca="false">-MIN(AD52/MAX(1,Inputs!$E$69*12),AC55+AD51)</f>
        <v>-7738.09523809524</v>
      </c>
      <c r="AE53" s="51" t="n">
        <f aca="false">-MIN(AE52/MAX(1,Inputs!$E$69*12),AD55+AE51)</f>
        <v>-7738.09523809524</v>
      </c>
      <c r="AF53" s="51" t="n">
        <f aca="false">-MIN(AF52/MAX(1,Inputs!$E$69*12),AE55+AF51)</f>
        <v>-7738.09523809524</v>
      </c>
      <c r="AG53" s="51" t="n">
        <f aca="false">-MIN(AG52/MAX(1,Inputs!$E$69*12),AF55+AG51)</f>
        <v>-7738.09523809524</v>
      </c>
      <c r="AH53" s="51" t="n">
        <f aca="false">-MIN(AH52/MAX(1,Inputs!$E$69*12),AG55+AH51)</f>
        <v>-7738.09523809524</v>
      </c>
      <c r="AI53" s="51" t="n">
        <f aca="false">-MIN(AI52/MAX(1,Inputs!$E$69*12),AH55+AI51)</f>
        <v>-7738.09523809524</v>
      </c>
      <c r="AJ53" s="51" t="n">
        <f aca="false">-MIN(AJ52/MAX(1,Inputs!$E$69*12),AI55+AJ51)</f>
        <v>-7738.09523809524</v>
      </c>
      <c r="AK53" s="51" t="n">
        <f aca="false">-MIN(AK52/MAX(1,Inputs!$E$69*12),AJ55+AK51)</f>
        <v>-7738.09523809524</v>
      </c>
      <c r="AL53" s="51" t="n">
        <f aca="false">-MIN(AL52/MAX(1,Inputs!$E$69*12),AK55+AL51)</f>
        <v>-7738.09523809524</v>
      </c>
      <c r="AM53" s="51" t="n">
        <f aca="false">-MIN(AM52/MAX(1,Inputs!$E$69*12),AL55+AM51)</f>
        <v>-9523.80952380952</v>
      </c>
      <c r="AN53" s="51" t="n">
        <f aca="false">-MIN(AN52/MAX(1,Inputs!$E$69*12),AM55+AN51)</f>
        <v>-9523.80952380952</v>
      </c>
      <c r="AO53" s="51" t="n">
        <f aca="false">-MIN(AO52/MAX(1,Inputs!$E$69*12),AN55+AO51)</f>
        <v>-9523.80952380952</v>
      </c>
      <c r="AP53" s="51" t="n">
        <f aca="false">-MIN(AP52/MAX(1,Inputs!$E$69*12),AO55+AP51)</f>
        <v>-9523.80952380952</v>
      </c>
      <c r="AQ53" s="51" t="n">
        <f aca="false">-MIN(AQ52/MAX(1,Inputs!$E$69*12),AP55+AQ51)</f>
        <v>-9523.80952380952</v>
      </c>
      <c r="AR53" s="51" t="n">
        <f aca="false">-MIN(AR52/MAX(1,Inputs!$E$69*12),AQ55+AR51)</f>
        <v>-9523.80952380952</v>
      </c>
      <c r="AS53" s="51" t="n">
        <f aca="false">-MIN(AS52/MAX(1,Inputs!$E$69*12),AR55+AS51)</f>
        <v>-9523.80952380952</v>
      </c>
      <c r="AT53" s="51" t="n">
        <f aca="false">-MIN(AT52/MAX(1,Inputs!$E$69*12),AS55+AT51)</f>
        <v>-9523.80952380952</v>
      </c>
      <c r="AU53" s="51" t="n">
        <f aca="false">-MIN(AU52/MAX(1,Inputs!$E$69*12),AT55+AU51)</f>
        <v>-9523.80952380952</v>
      </c>
      <c r="AV53" s="51" t="n">
        <f aca="false">-MIN(AV52/MAX(1,Inputs!$E$69*12),AU55+AV51)</f>
        <v>-9523.80952380952</v>
      </c>
      <c r="AW53" s="51" t="n">
        <f aca="false">-MIN(AW52/MAX(1,Inputs!$E$69*12),AV55+AW51)</f>
        <v>-9523.80952380952</v>
      </c>
      <c r="AX53" s="51" t="n">
        <f aca="false">-MIN(AX52/MAX(1,Inputs!$E$69*12),AW55+AX51)</f>
        <v>-9523.80952380952</v>
      </c>
      <c r="AY53" s="51" t="n">
        <f aca="false">-MIN(AY52/MAX(1,Inputs!$E$69*12),AX55+AY51)</f>
        <v>-11309.5238095238</v>
      </c>
      <c r="AZ53" s="51" t="n">
        <f aca="false">-MIN(AZ52/MAX(1,Inputs!$E$69*12),AY55+AZ51)</f>
        <v>-11309.5238095238</v>
      </c>
      <c r="BA53" s="51" t="n">
        <f aca="false">-MIN(BA52/MAX(1,Inputs!$E$69*12),AZ55+BA51)</f>
        <v>-11309.5238095238</v>
      </c>
      <c r="BB53" s="51" t="n">
        <f aca="false">-MIN(BB52/MAX(1,Inputs!$E$69*12),BA55+BB51)</f>
        <v>-11309.5238095238</v>
      </c>
      <c r="BC53" s="51" t="n">
        <f aca="false">-MIN(BC52/MAX(1,Inputs!$E$69*12),BB55+BC51)</f>
        <v>-11309.5238095238</v>
      </c>
      <c r="BD53" s="51" t="n">
        <f aca="false">-MIN(BD52/MAX(1,Inputs!$E$69*12),BC55+BD51)</f>
        <v>-11309.5238095238</v>
      </c>
      <c r="BE53" s="51" t="n">
        <f aca="false">-MIN(BE52/MAX(1,Inputs!$E$69*12),BD55+BE51)</f>
        <v>-11309.5238095238</v>
      </c>
      <c r="BF53" s="51" t="n">
        <f aca="false">-MIN(BF52/MAX(1,Inputs!$E$69*12),BE55+BF51)</f>
        <v>-11309.5238095238</v>
      </c>
      <c r="BG53" s="51" t="n">
        <f aca="false">-MIN(BG52/MAX(1,Inputs!$E$69*12),BF55+BG51)</f>
        <v>-11309.5238095238</v>
      </c>
      <c r="BH53" s="51" t="n">
        <f aca="false">-MIN(BH52/MAX(1,Inputs!$E$69*12),BG55+BH51)</f>
        <v>-11309.5238095238</v>
      </c>
      <c r="BI53" s="51" t="n">
        <f aca="false">-MIN(BI52/MAX(1,Inputs!$E$69*12),BH55+BI51)</f>
        <v>-11309.5238095238</v>
      </c>
      <c r="BJ53" s="51" t="n">
        <f aca="false">-MIN(BJ52/MAX(1,Inputs!$E$69*12),BI55+BJ51)</f>
        <v>-11309.5238095238</v>
      </c>
    </row>
    <row r="54" customFormat="false" ht="15" hidden="false" customHeight="false" outlineLevel="0" collapsed="false">
      <c r="A54" s="6" t="s">
        <v>373</v>
      </c>
      <c r="C54" s="51" t="n">
        <f aca="false">C53</f>
        <v>-4166.66666666667</v>
      </c>
      <c r="D54" s="51" t="n">
        <f aca="false">C54+D53</f>
        <v>-8333.33333333333</v>
      </c>
      <c r="E54" s="51" t="n">
        <f aca="false">D54+E53</f>
        <v>-12500</v>
      </c>
      <c r="F54" s="51" t="n">
        <f aca="false">E54+F53</f>
        <v>-16666.6666666667</v>
      </c>
      <c r="G54" s="51" t="n">
        <f aca="false">F54+G53</f>
        <v>-20833.3333333333</v>
      </c>
      <c r="H54" s="51" t="n">
        <f aca="false">G54+H53</f>
        <v>-25000</v>
      </c>
      <c r="I54" s="51" t="n">
        <f aca="false">H54+I53</f>
        <v>-29166.6666666667</v>
      </c>
      <c r="J54" s="51" t="n">
        <f aca="false">I54+J53</f>
        <v>-33333.3333333333</v>
      </c>
      <c r="K54" s="51" t="n">
        <f aca="false">J54+K53</f>
        <v>-37500</v>
      </c>
      <c r="L54" s="51" t="n">
        <f aca="false">K54+L53</f>
        <v>-41666.6666666667</v>
      </c>
      <c r="M54" s="51" t="n">
        <f aca="false">L54+M53</f>
        <v>-45833.3333333333</v>
      </c>
      <c r="N54" s="51" t="n">
        <f aca="false">M54+N53</f>
        <v>-50000</v>
      </c>
      <c r="O54" s="51" t="n">
        <f aca="false">N54+O53</f>
        <v>-55952.380952381</v>
      </c>
      <c r="P54" s="51" t="n">
        <f aca="false">O54+P53</f>
        <v>-61904.7619047619</v>
      </c>
      <c r="Q54" s="51" t="n">
        <f aca="false">P54+Q53</f>
        <v>-67857.1428571429</v>
      </c>
      <c r="R54" s="51" t="n">
        <f aca="false">Q54+R53</f>
        <v>-73809.5238095238</v>
      </c>
      <c r="S54" s="51" t="n">
        <f aca="false">R54+S53</f>
        <v>-79761.9047619048</v>
      </c>
      <c r="T54" s="51" t="n">
        <f aca="false">S54+T53</f>
        <v>-85714.2857142857</v>
      </c>
      <c r="U54" s="51" t="n">
        <f aca="false">T54+U53</f>
        <v>-91666.6666666666</v>
      </c>
      <c r="V54" s="51" t="n">
        <f aca="false">U54+V53</f>
        <v>-97619.0476190476</v>
      </c>
      <c r="W54" s="51" t="n">
        <f aca="false">V54+W53</f>
        <v>-103571.428571429</v>
      </c>
      <c r="X54" s="51" t="n">
        <f aca="false">W54+X53</f>
        <v>-109523.809523809</v>
      </c>
      <c r="Y54" s="51" t="n">
        <f aca="false">X54+Y53</f>
        <v>-115476.19047619</v>
      </c>
      <c r="Z54" s="51" t="n">
        <f aca="false">Y54+Z53</f>
        <v>-121428.571428571</v>
      </c>
      <c r="AA54" s="51" t="n">
        <f aca="false">Z54+AA53</f>
        <v>-129166.666666667</v>
      </c>
      <c r="AB54" s="51" t="n">
        <f aca="false">AA54+AB53</f>
        <v>-136904.761904762</v>
      </c>
      <c r="AC54" s="51" t="n">
        <f aca="false">AB54+AC53</f>
        <v>-144642.857142857</v>
      </c>
      <c r="AD54" s="51" t="n">
        <f aca="false">AC54+AD53</f>
        <v>-152380.952380952</v>
      </c>
      <c r="AE54" s="51" t="n">
        <f aca="false">AD54+AE53</f>
        <v>-160119.047619048</v>
      </c>
      <c r="AF54" s="51" t="n">
        <f aca="false">AE54+AF53</f>
        <v>-167857.142857143</v>
      </c>
      <c r="AG54" s="51" t="n">
        <f aca="false">AF54+AG53</f>
        <v>-175595.238095238</v>
      </c>
      <c r="AH54" s="51" t="n">
        <f aca="false">AG54+AH53</f>
        <v>-183333.333333333</v>
      </c>
      <c r="AI54" s="51" t="n">
        <f aca="false">AH54+AI53</f>
        <v>-191071.428571429</v>
      </c>
      <c r="AJ54" s="51" t="n">
        <f aca="false">AI54+AJ53</f>
        <v>-198809.523809524</v>
      </c>
      <c r="AK54" s="51" t="n">
        <f aca="false">AJ54+AK53</f>
        <v>-206547.619047619</v>
      </c>
      <c r="AL54" s="51" t="n">
        <f aca="false">AK54+AL53</f>
        <v>-214285.714285714</v>
      </c>
      <c r="AM54" s="51" t="n">
        <f aca="false">AL54+AM53</f>
        <v>-223809.523809524</v>
      </c>
      <c r="AN54" s="51" t="n">
        <f aca="false">AM54+AN53</f>
        <v>-233333.333333333</v>
      </c>
      <c r="AO54" s="51" t="n">
        <f aca="false">AN54+AO53</f>
        <v>-242857.142857143</v>
      </c>
      <c r="AP54" s="51" t="n">
        <f aca="false">AO54+AP53</f>
        <v>-252380.952380952</v>
      </c>
      <c r="AQ54" s="51" t="n">
        <f aca="false">AP54+AQ53</f>
        <v>-261904.761904762</v>
      </c>
      <c r="AR54" s="51" t="n">
        <f aca="false">AQ54+AR53</f>
        <v>-271428.571428571</v>
      </c>
      <c r="AS54" s="51" t="n">
        <f aca="false">AR54+AS53</f>
        <v>-280952.380952381</v>
      </c>
      <c r="AT54" s="51" t="n">
        <f aca="false">AS54+AT53</f>
        <v>-290476.19047619</v>
      </c>
      <c r="AU54" s="51" t="n">
        <f aca="false">AT54+AU53</f>
        <v>-300000</v>
      </c>
      <c r="AV54" s="51" t="n">
        <f aca="false">AU54+AV53</f>
        <v>-309523.809523809</v>
      </c>
      <c r="AW54" s="51" t="n">
        <f aca="false">AV54+AW53</f>
        <v>-319047.619047619</v>
      </c>
      <c r="AX54" s="51" t="n">
        <f aca="false">AW54+AX53</f>
        <v>-328571.428571429</v>
      </c>
      <c r="AY54" s="51" t="n">
        <f aca="false">AX54+AY53</f>
        <v>-339880.952380952</v>
      </c>
      <c r="AZ54" s="51" t="n">
        <f aca="false">AY54+AZ53</f>
        <v>-351190.476190476</v>
      </c>
      <c r="BA54" s="51" t="n">
        <f aca="false">AZ54+BA53</f>
        <v>-362500</v>
      </c>
      <c r="BB54" s="51" t="n">
        <f aca="false">BA54+BB53</f>
        <v>-373809.523809524</v>
      </c>
      <c r="BC54" s="51" t="n">
        <f aca="false">BB54+BC53</f>
        <v>-385119.047619047</v>
      </c>
      <c r="BD54" s="51" t="n">
        <f aca="false">BC54+BD53</f>
        <v>-396428.571428571</v>
      </c>
      <c r="BE54" s="51" t="n">
        <f aca="false">BD54+BE53</f>
        <v>-407738.095238095</v>
      </c>
      <c r="BF54" s="51" t="n">
        <f aca="false">BE54+BF53</f>
        <v>-419047.619047619</v>
      </c>
      <c r="BG54" s="51" t="n">
        <f aca="false">BF54+BG53</f>
        <v>-430357.142857143</v>
      </c>
      <c r="BH54" s="51" t="n">
        <f aca="false">BG54+BH53</f>
        <v>-441666.666666666</v>
      </c>
      <c r="BI54" s="51" t="n">
        <f aca="false">BH54+BI53</f>
        <v>-452976.19047619</v>
      </c>
      <c r="BJ54" s="51" t="n">
        <f aca="false">BI54+BJ53</f>
        <v>-464285.714285714</v>
      </c>
    </row>
    <row r="55" customFormat="false" ht="15" hidden="false" customHeight="false" outlineLevel="0" collapsed="false">
      <c r="A55" s="4" t="s">
        <v>89</v>
      </c>
      <c r="C55" s="58" t="n">
        <f aca="false">C52+C54</f>
        <v>345833.333333333</v>
      </c>
      <c r="D55" s="58" t="n">
        <f aca="false">D52+D54</f>
        <v>341666.666666667</v>
      </c>
      <c r="E55" s="58" t="n">
        <f aca="false">E52+E54</f>
        <v>337500</v>
      </c>
      <c r="F55" s="58" t="n">
        <f aca="false">F52+F54</f>
        <v>333333.333333333</v>
      </c>
      <c r="G55" s="58" t="n">
        <f aca="false">G52+G54</f>
        <v>329166.666666667</v>
      </c>
      <c r="H55" s="58" t="n">
        <f aca="false">H52+H54</f>
        <v>325000</v>
      </c>
      <c r="I55" s="58" t="n">
        <f aca="false">I52+I54</f>
        <v>320833.333333333</v>
      </c>
      <c r="J55" s="58" t="n">
        <f aca="false">J52+J54</f>
        <v>316666.666666667</v>
      </c>
      <c r="K55" s="58" t="n">
        <f aca="false">K52+K54</f>
        <v>312500</v>
      </c>
      <c r="L55" s="58" t="n">
        <f aca="false">L52+L54</f>
        <v>308333.333333333</v>
      </c>
      <c r="M55" s="58" t="n">
        <f aca="false">M52+M54</f>
        <v>304166.666666667</v>
      </c>
      <c r="N55" s="58" t="n">
        <f aca="false">N52+N54</f>
        <v>300000</v>
      </c>
      <c r="O55" s="58" t="n">
        <f aca="false">O52+O54</f>
        <v>444047.619047619</v>
      </c>
      <c r="P55" s="58" t="n">
        <f aca="false">P52+P54</f>
        <v>438095.238095238</v>
      </c>
      <c r="Q55" s="58" t="n">
        <f aca="false">Q52+Q54</f>
        <v>432142.857142857</v>
      </c>
      <c r="R55" s="58" t="n">
        <f aca="false">R52+R54</f>
        <v>426190.476190476</v>
      </c>
      <c r="S55" s="58" t="n">
        <f aca="false">S52+S54</f>
        <v>420238.095238095</v>
      </c>
      <c r="T55" s="58" t="n">
        <f aca="false">T52+T54</f>
        <v>414285.714285714</v>
      </c>
      <c r="U55" s="58" t="n">
        <f aca="false">U52+U54</f>
        <v>408333.333333333</v>
      </c>
      <c r="V55" s="58" t="n">
        <f aca="false">V52+V54</f>
        <v>402380.952380952</v>
      </c>
      <c r="W55" s="58" t="n">
        <f aca="false">W52+W54</f>
        <v>396428.571428572</v>
      </c>
      <c r="X55" s="58" t="n">
        <f aca="false">X52+X54</f>
        <v>390476.190476191</v>
      </c>
      <c r="Y55" s="58" t="n">
        <f aca="false">Y52+Y54</f>
        <v>384523.80952381</v>
      </c>
      <c r="Z55" s="58" t="n">
        <f aca="false">Z52+Z54</f>
        <v>378571.428571429</v>
      </c>
      <c r="AA55" s="58" t="n">
        <f aca="false">AA52+AA54</f>
        <v>520833.333333333</v>
      </c>
      <c r="AB55" s="58" t="n">
        <f aca="false">AB52+AB54</f>
        <v>513095.238095238</v>
      </c>
      <c r="AC55" s="58" t="n">
        <f aca="false">AC52+AC54</f>
        <v>505357.142857143</v>
      </c>
      <c r="AD55" s="58" t="n">
        <f aca="false">AD52+AD54</f>
        <v>497619.047619048</v>
      </c>
      <c r="AE55" s="58" t="n">
        <f aca="false">AE52+AE54</f>
        <v>489880.952380952</v>
      </c>
      <c r="AF55" s="58" t="n">
        <f aca="false">AF52+AF54</f>
        <v>482142.857142857</v>
      </c>
      <c r="AG55" s="58" t="n">
        <f aca="false">AG52+AG54</f>
        <v>474404.761904762</v>
      </c>
      <c r="AH55" s="58" t="n">
        <f aca="false">AH52+AH54</f>
        <v>466666.666666667</v>
      </c>
      <c r="AI55" s="58" t="n">
        <f aca="false">AI52+AI54</f>
        <v>458928.571428572</v>
      </c>
      <c r="AJ55" s="58" t="n">
        <f aca="false">AJ52+AJ54</f>
        <v>451190.476190476</v>
      </c>
      <c r="AK55" s="58" t="n">
        <f aca="false">AK52+AK54</f>
        <v>443452.380952381</v>
      </c>
      <c r="AL55" s="58" t="n">
        <f aca="false">AL52+AL54</f>
        <v>435714.285714286</v>
      </c>
      <c r="AM55" s="58" t="n">
        <f aca="false">AM52+AM54</f>
        <v>576190.476190476</v>
      </c>
      <c r="AN55" s="58" t="n">
        <f aca="false">AN52+AN54</f>
        <v>566666.666666667</v>
      </c>
      <c r="AO55" s="58" t="n">
        <f aca="false">AO52+AO54</f>
        <v>557142.857142857</v>
      </c>
      <c r="AP55" s="58" t="n">
        <f aca="false">AP52+AP54</f>
        <v>547619.047619048</v>
      </c>
      <c r="AQ55" s="58" t="n">
        <f aca="false">AQ52+AQ54</f>
        <v>538095.238095238</v>
      </c>
      <c r="AR55" s="58" t="n">
        <f aca="false">AR52+AR54</f>
        <v>528571.428571429</v>
      </c>
      <c r="AS55" s="58" t="n">
        <f aca="false">AS52+AS54</f>
        <v>519047.619047619</v>
      </c>
      <c r="AT55" s="58" t="n">
        <f aca="false">AT52+AT54</f>
        <v>509523.80952381</v>
      </c>
      <c r="AU55" s="58" t="n">
        <f aca="false">AU52+AU54</f>
        <v>500000</v>
      </c>
      <c r="AV55" s="58" t="n">
        <f aca="false">AV52+AV54</f>
        <v>490476.190476191</v>
      </c>
      <c r="AW55" s="58" t="n">
        <f aca="false">AW52+AW54</f>
        <v>480952.380952381</v>
      </c>
      <c r="AX55" s="58" t="n">
        <f aca="false">AX52+AX54</f>
        <v>471428.571428572</v>
      </c>
      <c r="AY55" s="58" t="n">
        <f aca="false">AY52+AY54</f>
        <v>610119.047619048</v>
      </c>
      <c r="AZ55" s="58" t="n">
        <f aca="false">AZ52+AZ54</f>
        <v>598809.523809524</v>
      </c>
      <c r="BA55" s="58" t="n">
        <f aca="false">BA52+BA54</f>
        <v>587500</v>
      </c>
      <c r="BB55" s="58" t="n">
        <f aca="false">BB52+BB54</f>
        <v>576190.476190476</v>
      </c>
      <c r="BC55" s="58" t="n">
        <f aca="false">BC52+BC54</f>
        <v>564880.952380953</v>
      </c>
      <c r="BD55" s="58" t="n">
        <f aca="false">BD52+BD54</f>
        <v>553571.428571429</v>
      </c>
      <c r="BE55" s="58" t="n">
        <f aca="false">BE52+BE54</f>
        <v>542261.904761905</v>
      </c>
      <c r="BF55" s="58" t="n">
        <f aca="false">BF52+BF54</f>
        <v>530952.380952381</v>
      </c>
      <c r="BG55" s="58" t="n">
        <f aca="false">BG52+BG54</f>
        <v>519642.857142857</v>
      </c>
      <c r="BH55" s="58" t="n">
        <f aca="false">BH52+BH54</f>
        <v>508333.333333334</v>
      </c>
      <c r="BI55" s="58" t="n">
        <f aca="false">BI52+BI54</f>
        <v>497023.80952381</v>
      </c>
      <c r="BJ55" s="58" t="n">
        <f aca="false">BJ52+BJ54</f>
        <v>485714.285714286</v>
      </c>
    </row>
    <row r="57" customFormat="false" ht="15.75" hidden="false" customHeight="true" outlineLevel="0" collapsed="false">
      <c r="A57" s="7" t="s">
        <v>374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375</v>
      </c>
      <c r="C58" s="51" t="n">
        <f aca="false">0</f>
        <v>0</v>
      </c>
      <c r="D58" s="51" t="n">
        <f aca="false">C61</f>
        <v>500000</v>
      </c>
      <c r="E58" s="51" t="n">
        <f aca="false">D61</f>
        <v>491666.666666667</v>
      </c>
      <c r="F58" s="51" t="n">
        <f aca="false">E61</f>
        <v>483333.333333333</v>
      </c>
      <c r="G58" s="51" t="n">
        <f aca="false">F61</f>
        <v>475000</v>
      </c>
      <c r="H58" s="51" t="n">
        <f aca="false">G61</f>
        <v>466666.666666667</v>
      </c>
      <c r="I58" s="51" t="n">
        <f aca="false">H61</f>
        <v>458333.333333333</v>
      </c>
      <c r="J58" s="51" t="n">
        <f aca="false">I61</f>
        <v>450000</v>
      </c>
      <c r="K58" s="51" t="n">
        <f aca="false">J61</f>
        <v>441666.666666667</v>
      </c>
      <c r="L58" s="51" t="n">
        <f aca="false">K61</f>
        <v>433333.333333334</v>
      </c>
      <c r="M58" s="51" t="n">
        <f aca="false">L61</f>
        <v>425000</v>
      </c>
      <c r="N58" s="51" t="n">
        <f aca="false">M61</f>
        <v>416666.666666667</v>
      </c>
      <c r="O58" s="51" t="n">
        <f aca="false">N61</f>
        <v>408333.333333334</v>
      </c>
      <c r="P58" s="51" t="n">
        <f aca="false">O61</f>
        <v>400000</v>
      </c>
      <c r="Q58" s="51" t="n">
        <f aca="false">P61</f>
        <v>391666.666666667</v>
      </c>
      <c r="R58" s="51" t="n">
        <f aca="false">Q61</f>
        <v>383333.333333334</v>
      </c>
      <c r="S58" s="51" t="n">
        <f aca="false">R61</f>
        <v>375000</v>
      </c>
      <c r="T58" s="51" t="n">
        <f aca="false">S61</f>
        <v>366666.666666667</v>
      </c>
      <c r="U58" s="51" t="n">
        <f aca="false">T61</f>
        <v>358333.333333334</v>
      </c>
      <c r="V58" s="51" t="n">
        <f aca="false">U61</f>
        <v>350000</v>
      </c>
      <c r="W58" s="51" t="n">
        <f aca="false">V61</f>
        <v>341666.666666667</v>
      </c>
      <c r="X58" s="51" t="n">
        <f aca="false">W61</f>
        <v>333333.333333334</v>
      </c>
      <c r="Y58" s="51" t="n">
        <f aca="false">X61</f>
        <v>325000</v>
      </c>
      <c r="Z58" s="51" t="n">
        <f aca="false">Y61</f>
        <v>316666.666666667</v>
      </c>
      <c r="AA58" s="51" t="n">
        <f aca="false">Z61</f>
        <v>308333.333333334</v>
      </c>
      <c r="AB58" s="51" t="n">
        <f aca="false">AA61</f>
        <v>300000</v>
      </c>
      <c r="AC58" s="51" t="n">
        <f aca="false">AB61</f>
        <v>291666.666666667</v>
      </c>
      <c r="AD58" s="51" t="n">
        <f aca="false">AC61</f>
        <v>283333.333333334</v>
      </c>
      <c r="AE58" s="51" t="n">
        <f aca="false">AD61</f>
        <v>275000.000000001</v>
      </c>
      <c r="AF58" s="51" t="n">
        <f aca="false">AE61</f>
        <v>266666.666666667</v>
      </c>
      <c r="AG58" s="51" t="n">
        <f aca="false">AF61</f>
        <v>258333.333333334</v>
      </c>
      <c r="AH58" s="51" t="n">
        <f aca="false">AG61</f>
        <v>250000.000000001</v>
      </c>
      <c r="AI58" s="51" t="n">
        <f aca="false">AH61</f>
        <v>241666.666666667</v>
      </c>
      <c r="AJ58" s="51" t="n">
        <f aca="false">AI61</f>
        <v>233333.333333334</v>
      </c>
      <c r="AK58" s="51" t="n">
        <f aca="false">AJ61</f>
        <v>225000.000000001</v>
      </c>
      <c r="AL58" s="51" t="n">
        <f aca="false">AK61</f>
        <v>216666.666666667</v>
      </c>
      <c r="AM58" s="51" t="n">
        <f aca="false">AL61</f>
        <v>208333.333333334</v>
      </c>
      <c r="AN58" s="51" t="n">
        <f aca="false">AM61</f>
        <v>200000</v>
      </c>
      <c r="AO58" s="51" t="n">
        <f aca="false">AN61</f>
        <v>191666.666666667</v>
      </c>
      <c r="AP58" s="51" t="n">
        <f aca="false">AO61</f>
        <v>183333.333333334</v>
      </c>
      <c r="AQ58" s="51" t="n">
        <f aca="false">AP61</f>
        <v>175000</v>
      </c>
      <c r="AR58" s="51" t="n">
        <f aca="false">AQ61</f>
        <v>166666.666666667</v>
      </c>
      <c r="AS58" s="51" t="n">
        <f aca="false">AR61</f>
        <v>158333.333333334</v>
      </c>
      <c r="AT58" s="51" t="n">
        <f aca="false">AS61</f>
        <v>150000</v>
      </c>
      <c r="AU58" s="51" t="n">
        <f aca="false">AT61</f>
        <v>141666.666666667</v>
      </c>
      <c r="AV58" s="51" t="n">
        <f aca="false">AU61</f>
        <v>133333.333333334</v>
      </c>
      <c r="AW58" s="51" t="n">
        <f aca="false">AV61</f>
        <v>125000</v>
      </c>
      <c r="AX58" s="51" t="n">
        <f aca="false">AW61</f>
        <v>116666.666666667</v>
      </c>
      <c r="AY58" s="51" t="n">
        <f aca="false">AX61</f>
        <v>108333.333333334</v>
      </c>
      <c r="AZ58" s="51" t="n">
        <f aca="false">AY61</f>
        <v>100000</v>
      </c>
      <c r="BA58" s="51" t="n">
        <f aca="false">AZ61</f>
        <v>91666.6666666671</v>
      </c>
      <c r="BB58" s="51" t="n">
        <f aca="false">BA61</f>
        <v>83333.3333333338</v>
      </c>
      <c r="BC58" s="51" t="n">
        <f aca="false">BB61</f>
        <v>75000.0000000004</v>
      </c>
      <c r="BD58" s="51" t="n">
        <f aca="false">BC61</f>
        <v>66666.6666666671</v>
      </c>
      <c r="BE58" s="51" t="n">
        <f aca="false">BD61</f>
        <v>58333.3333333338</v>
      </c>
      <c r="BF58" s="51" t="n">
        <f aca="false">BE61</f>
        <v>50000.0000000004</v>
      </c>
      <c r="BG58" s="51" t="n">
        <f aca="false">BF61</f>
        <v>41666.6666666671</v>
      </c>
      <c r="BH58" s="51" t="n">
        <f aca="false">BG61</f>
        <v>33333.3333333338</v>
      </c>
      <c r="BI58" s="51" t="n">
        <f aca="false">BH61</f>
        <v>25000.0000000004</v>
      </c>
      <c r="BJ58" s="51" t="n">
        <f aca="false">BI61</f>
        <v>16666.6666666671</v>
      </c>
    </row>
    <row r="59" customFormat="false" ht="15" hidden="false" customHeight="false" outlineLevel="0" collapsed="false">
      <c r="A59" s="6" t="s">
        <v>82</v>
      </c>
      <c r="C59" s="51" t="n">
        <f aca="false">IF(C$4=1,Inputs!$E$59,0)</f>
        <v>500000</v>
      </c>
      <c r="D59" s="51" t="n">
        <f aca="false">IF(D$4=1,Inputs!$E$59,0)</f>
        <v>0</v>
      </c>
      <c r="E59" s="51" t="n">
        <f aca="false">IF(E$4=1,Inputs!$E$59,0)</f>
        <v>0</v>
      </c>
      <c r="F59" s="51" t="n">
        <f aca="false">IF(F$4=1,Inputs!$E$59,0)</f>
        <v>0</v>
      </c>
      <c r="G59" s="51" t="n">
        <f aca="false">IF(G$4=1,Inputs!$E$59,0)</f>
        <v>0</v>
      </c>
      <c r="H59" s="51" t="n">
        <f aca="false">IF(H$4=1,Inputs!$E$59,0)</f>
        <v>0</v>
      </c>
      <c r="I59" s="51" t="n">
        <f aca="false">IF(I$4=1,Inputs!$E$59,0)</f>
        <v>0</v>
      </c>
      <c r="J59" s="51" t="n">
        <f aca="false">IF(J$4=1,Inputs!$E$59,0)</f>
        <v>0</v>
      </c>
      <c r="K59" s="51" t="n">
        <f aca="false">IF(K$4=1,Inputs!$E$59,0)</f>
        <v>0</v>
      </c>
      <c r="L59" s="51" t="n">
        <f aca="false">IF(L$4=1,Inputs!$E$59,0)</f>
        <v>0</v>
      </c>
      <c r="M59" s="51" t="n">
        <f aca="false">IF(M$4=1,Inputs!$E$59,0)</f>
        <v>0</v>
      </c>
      <c r="N59" s="51" t="n">
        <f aca="false">IF(N$4=1,Inputs!$E$59,0)</f>
        <v>0</v>
      </c>
      <c r="O59" s="51" t="n">
        <f aca="false">IF(O$4=1,Inputs!$E$59,0)</f>
        <v>0</v>
      </c>
      <c r="P59" s="51" t="n">
        <f aca="false">IF(P$4=1,Inputs!$E$59,0)</f>
        <v>0</v>
      </c>
      <c r="Q59" s="51" t="n">
        <f aca="false">IF(Q$4=1,Inputs!$E$59,0)</f>
        <v>0</v>
      </c>
      <c r="R59" s="51" t="n">
        <f aca="false">IF(R$4=1,Inputs!$E$59,0)</f>
        <v>0</v>
      </c>
      <c r="S59" s="51" t="n">
        <f aca="false">IF(S$4=1,Inputs!$E$59,0)</f>
        <v>0</v>
      </c>
      <c r="T59" s="51" t="n">
        <f aca="false">IF(T$4=1,Inputs!$E$59,0)</f>
        <v>0</v>
      </c>
      <c r="U59" s="51" t="n">
        <f aca="false">IF(U$4=1,Inputs!$E$59,0)</f>
        <v>0</v>
      </c>
      <c r="V59" s="51" t="n">
        <f aca="false">IF(V$4=1,Inputs!$E$59,0)</f>
        <v>0</v>
      </c>
      <c r="W59" s="51" t="n">
        <f aca="false">IF(W$4=1,Inputs!$E$59,0)</f>
        <v>0</v>
      </c>
      <c r="X59" s="51" t="n">
        <f aca="false">IF(X$4=1,Inputs!$E$59,0)</f>
        <v>0</v>
      </c>
      <c r="Y59" s="51" t="n">
        <f aca="false">IF(Y$4=1,Inputs!$E$59,0)</f>
        <v>0</v>
      </c>
      <c r="Z59" s="51" t="n">
        <f aca="false">IF(Z$4=1,Inputs!$E$59,0)</f>
        <v>0</v>
      </c>
      <c r="AA59" s="51" t="n">
        <f aca="false">IF(AA$4=1,Inputs!$E$59,0)</f>
        <v>0</v>
      </c>
      <c r="AB59" s="51" t="n">
        <f aca="false">IF(AB$4=1,Inputs!$E$59,0)</f>
        <v>0</v>
      </c>
      <c r="AC59" s="51" t="n">
        <f aca="false">IF(AC$4=1,Inputs!$E$59,0)</f>
        <v>0</v>
      </c>
      <c r="AD59" s="51" t="n">
        <f aca="false">IF(AD$4=1,Inputs!$E$59,0)</f>
        <v>0</v>
      </c>
      <c r="AE59" s="51" t="n">
        <f aca="false">IF(AE$4=1,Inputs!$E$59,0)</f>
        <v>0</v>
      </c>
      <c r="AF59" s="51" t="n">
        <f aca="false">IF(AF$4=1,Inputs!$E$59,0)</f>
        <v>0</v>
      </c>
      <c r="AG59" s="51" t="n">
        <f aca="false">IF(AG$4=1,Inputs!$E$59,0)</f>
        <v>0</v>
      </c>
      <c r="AH59" s="51" t="n">
        <f aca="false">IF(AH$4=1,Inputs!$E$59,0)</f>
        <v>0</v>
      </c>
      <c r="AI59" s="51" t="n">
        <f aca="false">IF(AI$4=1,Inputs!$E$59,0)</f>
        <v>0</v>
      </c>
      <c r="AJ59" s="51" t="n">
        <f aca="false">IF(AJ$4=1,Inputs!$E$59,0)</f>
        <v>0</v>
      </c>
      <c r="AK59" s="51" t="n">
        <f aca="false">IF(AK$4=1,Inputs!$E$59,0)</f>
        <v>0</v>
      </c>
      <c r="AL59" s="51" t="n">
        <f aca="false">IF(AL$4=1,Inputs!$E$59,0)</f>
        <v>0</v>
      </c>
      <c r="AM59" s="51" t="n">
        <f aca="false">IF(AM$4=1,Inputs!$E$59,0)</f>
        <v>0</v>
      </c>
      <c r="AN59" s="51" t="n">
        <f aca="false">IF(AN$4=1,Inputs!$E$59,0)</f>
        <v>0</v>
      </c>
      <c r="AO59" s="51" t="n">
        <f aca="false">IF(AO$4=1,Inputs!$E$59,0)</f>
        <v>0</v>
      </c>
      <c r="AP59" s="51" t="n">
        <f aca="false">IF(AP$4=1,Inputs!$E$59,0)</f>
        <v>0</v>
      </c>
      <c r="AQ59" s="51" t="n">
        <f aca="false">IF(AQ$4=1,Inputs!$E$59,0)</f>
        <v>0</v>
      </c>
      <c r="AR59" s="51" t="n">
        <f aca="false">IF(AR$4=1,Inputs!$E$59,0)</f>
        <v>0</v>
      </c>
      <c r="AS59" s="51" t="n">
        <f aca="false">IF(AS$4=1,Inputs!$E$59,0)</f>
        <v>0</v>
      </c>
      <c r="AT59" s="51" t="n">
        <f aca="false">IF(AT$4=1,Inputs!$E$59,0)</f>
        <v>0</v>
      </c>
      <c r="AU59" s="51" t="n">
        <f aca="false">IF(AU$4=1,Inputs!$E$59,0)</f>
        <v>0</v>
      </c>
      <c r="AV59" s="51" t="n">
        <f aca="false">IF(AV$4=1,Inputs!$E$59,0)</f>
        <v>0</v>
      </c>
      <c r="AW59" s="51" t="n">
        <f aca="false">IF(AW$4=1,Inputs!$E$59,0)</f>
        <v>0</v>
      </c>
      <c r="AX59" s="51" t="n">
        <f aca="false">IF(AX$4=1,Inputs!$E$59,0)</f>
        <v>0</v>
      </c>
      <c r="AY59" s="51" t="n">
        <f aca="false">IF(AY$4=1,Inputs!$E$59,0)</f>
        <v>0</v>
      </c>
      <c r="AZ59" s="51" t="n">
        <f aca="false">IF(AZ$4=1,Inputs!$E$59,0)</f>
        <v>0</v>
      </c>
      <c r="BA59" s="51" t="n">
        <f aca="false">IF(BA$4=1,Inputs!$E$59,0)</f>
        <v>0</v>
      </c>
      <c r="BB59" s="51" t="n">
        <f aca="false">IF(BB$4=1,Inputs!$E$59,0)</f>
        <v>0</v>
      </c>
      <c r="BC59" s="51" t="n">
        <f aca="false">IF(BC$4=1,Inputs!$E$59,0)</f>
        <v>0</v>
      </c>
      <c r="BD59" s="51" t="n">
        <f aca="false">IF(BD$4=1,Inputs!$E$59,0)</f>
        <v>0</v>
      </c>
      <c r="BE59" s="51" t="n">
        <f aca="false">IF(BE$4=1,Inputs!$E$59,0)</f>
        <v>0</v>
      </c>
      <c r="BF59" s="51" t="n">
        <f aca="false">IF(BF$4=1,Inputs!$E$59,0)</f>
        <v>0</v>
      </c>
      <c r="BG59" s="51" t="n">
        <f aca="false">IF(BG$4=1,Inputs!$E$59,0)</f>
        <v>0</v>
      </c>
      <c r="BH59" s="51" t="n">
        <f aca="false">IF(BH$4=1,Inputs!$E$59,0)</f>
        <v>0</v>
      </c>
      <c r="BI59" s="51" t="n">
        <f aca="false">IF(BI$4=1,Inputs!$E$59,0)</f>
        <v>0</v>
      </c>
      <c r="BJ59" s="51" t="n">
        <f aca="false">IF(BJ$4=1,Inputs!$E$59,0)</f>
        <v>0</v>
      </c>
    </row>
    <row r="60" customFormat="false" ht="15" hidden="false" customHeight="false" outlineLevel="0" collapsed="false">
      <c r="A60" s="6" t="s">
        <v>83</v>
      </c>
      <c r="C60" s="51" t="n">
        <f aca="false">-MIN(C58,Inputs!$E$59/MAX(1,Inputs!$E$61*12))</f>
        <v>-0</v>
      </c>
      <c r="D60" s="51" t="n">
        <f aca="false">-MIN(D58,Inputs!$E$59/MAX(1,Inputs!$E$61*12))</f>
        <v>-8333.33333333333</v>
      </c>
      <c r="E60" s="51" t="n">
        <f aca="false">-MIN(E58,Inputs!$E$59/MAX(1,Inputs!$E$61*12))</f>
        <v>-8333.33333333333</v>
      </c>
      <c r="F60" s="51" t="n">
        <f aca="false">-MIN(F58,Inputs!$E$59/MAX(1,Inputs!$E$61*12))</f>
        <v>-8333.33333333333</v>
      </c>
      <c r="G60" s="51" t="n">
        <f aca="false">-MIN(G58,Inputs!$E$59/MAX(1,Inputs!$E$61*12))</f>
        <v>-8333.33333333333</v>
      </c>
      <c r="H60" s="51" t="n">
        <f aca="false">-MIN(H58,Inputs!$E$59/MAX(1,Inputs!$E$61*12))</f>
        <v>-8333.33333333333</v>
      </c>
      <c r="I60" s="51" t="n">
        <f aca="false">-MIN(I58,Inputs!$E$59/MAX(1,Inputs!$E$61*12))</f>
        <v>-8333.33333333333</v>
      </c>
      <c r="J60" s="51" t="n">
        <f aca="false">-MIN(J58,Inputs!$E$59/MAX(1,Inputs!$E$61*12))</f>
        <v>-8333.33333333333</v>
      </c>
      <c r="K60" s="51" t="n">
        <f aca="false">-MIN(K58,Inputs!$E$59/MAX(1,Inputs!$E$61*12))</f>
        <v>-8333.33333333333</v>
      </c>
      <c r="L60" s="51" t="n">
        <f aca="false">-MIN(L58,Inputs!$E$59/MAX(1,Inputs!$E$61*12))</f>
        <v>-8333.33333333333</v>
      </c>
      <c r="M60" s="51" t="n">
        <f aca="false">-MIN(M58,Inputs!$E$59/MAX(1,Inputs!$E$61*12))</f>
        <v>-8333.33333333333</v>
      </c>
      <c r="N60" s="51" t="n">
        <f aca="false">-MIN(N58,Inputs!$E$59/MAX(1,Inputs!$E$61*12))</f>
        <v>-8333.33333333333</v>
      </c>
      <c r="O60" s="51" t="n">
        <f aca="false">-MIN(O58,Inputs!$E$59/MAX(1,Inputs!$E$61*12))</f>
        <v>-8333.33333333333</v>
      </c>
      <c r="P60" s="51" t="n">
        <f aca="false">-MIN(P58,Inputs!$E$59/MAX(1,Inputs!$E$61*12))</f>
        <v>-8333.33333333333</v>
      </c>
      <c r="Q60" s="51" t="n">
        <f aca="false">-MIN(Q58,Inputs!$E$59/MAX(1,Inputs!$E$61*12))</f>
        <v>-8333.33333333333</v>
      </c>
      <c r="R60" s="51" t="n">
        <f aca="false">-MIN(R58,Inputs!$E$59/MAX(1,Inputs!$E$61*12))</f>
        <v>-8333.33333333333</v>
      </c>
      <c r="S60" s="51" t="n">
        <f aca="false">-MIN(S58,Inputs!$E$59/MAX(1,Inputs!$E$61*12))</f>
        <v>-8333.33333333333</v>
      </c>
      <c r="T60" s="51" t="n">
        <f aca="false">-MIN(T58,Inputs!$E$59/MAX(1,Inputs!$E$61*12))</f>
        <v>-8333.33333333333</v>
      </c>
      <c r="U60" s="51" t="n">
        <f aca="false">-MIN(U58,Inputs!$E$59/MAX(1,Inputs!$E$61*12))</f>
        <v>-8333.33333333333</v>
      </c>
      <c r="V60" s="51" t="n">
        <f aca="false">-MIN(V58,Inputs!$E$59/MAX(1,Inputs!$E$61*12))</f>
        <v>-8333.33333333333</v>
      </c>
      <c r="W60" s="51" t="n">
        <f aca="false">-MIN(W58,Inputs!$E$59/MAX(1,Inputs!$E$61*12))</f>
        <v>-8333.33333333333</v>
      </c>
      <c r="X60" s="51" t="n">
        <f aca="false">-MIN(X58,Inputs!$E$59/MAX(1,Inputs!$E$61*12))</f>
        <v>-8333.33333333333</v>
      </c>
      <c r="Y60" s="51" t="n">
        <f aca="false">-MIN(Y58,Inputs!$E$59/MAX(1,Inputs!$E$61*12))</f>
        <v>-8333.33333333333</v>
      </c>
      <c r="Z60" s="51" t="n">
        <f aca="false">-MIN(Z58,Inputs!$E$59/MAX(1,Inputs!$E$61*12))</f>
        <v>-8333.33333333333</v>
      </c>
      <c r="AA60" s="51" t="n">
        <f aca="false">-MIN(AA58,Inputs!$E$59/MAX(1,Inputs!$E$61*12))</f>
        <v>-8333.33333333333</v>
      </c>
      <c r="AB60" s="51" t="n">
        <f aca="false">-MIN(AB58,Inputs!$E$59/MAX(1,Inputs!$E$61*12))</f>
        <v>-8333.33333333333</v>
      </c>
      <c r="AC60" s="51" t="n">
        <f aca="false">-MIN(AC58,Inputs!$E$59/MAX(1,Inputs!$E$61*12))</f>
        <v>-8333.33333333333</v>
      </c>
      <c r="AD60" s="51" t="n">
        <f aca="false">-MIN(AD58,Inputs!$E$59/MAX(1,Inputs!$E$61*12))</f>
        <v>-8333.33333333333</v>
      </c>
      <c r="AE60" s="51" t="n">
        <f aca="false">-MIN(AE58,Inputs!$E$59/MAX(1,Inputs!$E$61*12))</f>
        <v>-8333.33333333333</v>
      </c>
      <c r="AF60" s="51" t="n">
        <f aca="false">-MIN(AF58,Inputs!$E$59/MAX(1,Inputs!$E$61*12))</f>
        <v>-8333.33333333333</v>
      </c>
      <c r="AG60" s="51" t="n">
        <f aca="false">-MIN(AG58,Inputs!$E$59/MAX(1,Inputs!$E$61*12))</f>
        <v>-8333.33333333333</v>
      </c>
      <c r="AH60" s="51" t="n">
        <f aca="false">-MIN(AH58,Inputs!$E$59/MAX(1,Inputs!$E$61*12))</f>
        <v>-8333.33333333333</v>
      </c>
      <c r="AI60" s="51" t="n">
        <f aca="false">-MIN(AI58,Inputs!$E$59/MAX(1,Inputs!$E$61*12))</f>
        <v>-8333.33333333333</v>
      </c>
      <c r="AJ60" s="51" t="n">
        <f aca="false">-MIN(AJ58,Inputs!$E$59/MAX(1,Inputs!$E$61*12))</f>
        <v>-8333.33333333333</v>
      </c>
      <c r="AK60" s="51" t="n">
        <f aca="false">-MIN(AK58,Inputs!$E$59/MAX(1,Inputs!$E$61*12))</f>
        <v>-8333.33333333333</v>
      </c>
      <c r="AL60" s="51" t="n">
        <f aca="false">-MIN(AL58,Inputs!$E$59/MAX(1,Inputs!$E$61*12))</f>
        <v>-8333.33333333333</v>
      </c>
      <c r="AM60" s="51" t="n">
        <f aca="false">-MIN(AM58,Inputs!$E$59/MAX(1,Inputs!$E$61*12))</f>
        <v>-8333.33333333333</v>
      </c>
      <c r="AN60" s="51" t="n">
        <f aca="false">-MIN(AN58,Inputs!$E$59/MAX(1,Inputs!$E$61*12))</f>
        <v>-8333.33333333333</v>
      </c>
      <c r="AO60" s="51" t="n">
        <f aca="false">-MIN(AO58,Inputs!$E$59/MAX(1,Inputs!$E$61*12))</f>
        <v>-8333.33333333333</v>
      </c>
      <c r="AP60" s="51" t="n">
        <f aca="false">-MIN(AP58,Inputs!$E$59/MAX(1,Inputs!$E$61*12))</f>
        <v>-8333.33333333333</v>
      </c>
      <c r="AQ60" s="51" t="n">
        <f aca="false">-MIN(AQ58,Inputs!$E$59/MAX(1,Inputs!$E$61*12))</f>
        <v>-8333.33333333333</v>
      </c>
      <c r="AR60" s="51" t="n">
        <f aca="false">-MIN(AR58,Inputs!$E$59/MAX(1,Inputs!$E$61*12))</f>
        <v>-8333.33333333333</v>
      </c>
      <c r="AS60" s="51" t="n">
        <f aca="false">-MIN(AS58,Inputs!$E$59/MAX(1,Inputs!$E$61*12))</f>
        <v>-8333.33333333333</v>
      </c>
      <c r="AT60" s="51" t="n">
        <f aca="false">-MIN(AT58,Inputs!$E$59/MAX(1,Inputs!$E$61*12))</f>
        <v>-8333.33333333333</v>
      </c>
      <c r="AU60" s="51" t="n">
        <f aca="false">-MIN(AU58,Inputs!$E$59/MAX(1,Inputs!$E$61*12))</f>
        <v>-8333.33333333333</v>
      </c>
      <c r="AV60" s="51" t="n">
        <f aca="false">-MIN(AV58,Inputs!$E$59/MAX(1,Inputs!$E$61*12))</f>
        <v>-8333.33333333333</v>
      </c>
      <c r="AW60" s="51" t="n">
        <f aca="false">-MIN(AW58,Inputs!$E$59/MAX(1,Inputs!$E$61*12))</f>
        <v>-8333.33333333333</v>
      </c>
      <c r="AX60" s="51" t="n">
        <f aca="false">-MIN(AX58,Inputs!$E$59/MAX(1,Inputs!$E$61*12))</f>
        <v>-8333.33333333333</v>
      </c>
      <c r="AY60" s="51" t="n">
        <f aca="false">-MIN(AY58,Inputs!$E$59/MAX(1,Inputs!$E$61*12))</f>
        <v>-8333.33333333333</v>
      </c>
      <c r="AZ60" s="51" t="n">
        <f aca="false">-MIN(AZ58,Inputs!$E$59/MAX(1,Inputs!$E$61*12))</f>
        <v>-8333.33333333333</v>
      </c>
      <c r="BA60" s="51" t="n">
        <f aca="false">-MIN(BA58,Inputs!$E$59/MAX(1,Inputs!$E$61*12))</f>
        <v>-8333.33333333333</v>
      </c>
      <c r="BB60" s="51" t="n">
        <f aca="false">-MIN(BB58,Inputs!$E$59/MAX(1,Inputs!$E$61*12))</f>
        <v>-8333.33333333333</v>
      </c>
      <c r="BC60" s="51" t="n">
        <f aca="false">-MIN(BC58,Inputs!$E$59/MAX(1,Inputs!$E$61*12))</f>
        <v>-8333.33333333333</v>
      </c>
      <c r="BD60" s="51" t="n">
        <f aca="false">-MIN(BD58,Inputs!$E$59/MAX(1,Inputs!$E$61*12))</f>
        <v>-8333.33333333333</v>
      </c>
      <c r="BE60" s="51" t="n">
        <f aca="false">-MIN(BE58,Inputs!$E$59/MAX(1,Inputs!$E$61*12))</f>
        <v>-8333.33333333333</v>
      </c>
      <c r="BF60" s="51" t="n">
        <f aca="false">-MIN(BF58,Inputs!$E$59/MAX(1,Inputs!$E$61*12))</f>
        <v>-8333.33333333333</v>
      </c>
      <c r="BG60" s="51" t="n">
        <f aca="false">-MIN(BG58,Inputs!$E$59/MAX(1,Inputs!$E$61*12))</f>
        <v>-8333.33333333333</v>
      </c>
      <c r="BH60" s="51" t="n">
        <f aca="false">-MIN(BH58,Inputs!$E$59/MAX(1,Inputs!$E$61*12))</f>
        <v>-8333.33333333333</v>
      </c>
      <c r="BI60" s="51" t="n">
        <f aca="false">-MIN(BI58,Inputs!$E$59/MAX(1,Inputs!$E$61*12))</f>
        <v>-8333.33333333333</v>
      </c>
      <c r="BJ60" s="51" t="n">
        <f aca="false">-MIN(BJ58,Inputs!$E$59/MAX(1,Inputs!$E$61*12))</f>
        <v>-8333.33333333333</v>
      </c>
    </row>
    <row r="61" customFormat="false" ht="15" hidden="false" customHeight="false" outlineLevel="0" collapsed="false">
      <c r="A61" s="4" t="s">
        <v>376</v>
      </c>
      <c r="C61" s="58" t="n">
        <f aca="false">C58+C59+C60</f>
        <v>500000</v>
      </c>
      <c r="D61" s="58" t="n">
        <f aca="false">D58+D59+D60</f>
        <v>491666.666666667</v>
      </c>
      <c r="E61" s="58" t="n">
        <f aca="false">E58+E59+E60</f>
        <v>483333.333333333</v>
      </c>
      <c r="F61" s="58" t="n">
        <f aca="false">F58+F59+F60</f>
        <v>475000</v>
      </c>
      <c r="G61" s="58" t="n">
        <f aca="false">G58+G59+G60</f>
        <v>466666.666666667</v>
      </c>
      <c r="H61" s="58" t="n">
        <f aca="false">H58+H59+H60</f>
        <v>458333.333333333</v>
      </c>
      <c r="I61" s="58" t="n">
        <f aca="false">I58+I59+I60</f>
        <v>450000</v>
      </c>
      <c r="J61" s="58" t="n">
        <f aca="false">J58+J59+J60</f>
        <v>441666.666666667</v>
      </c>
      <c r="K61" s="58" t="n">
        <f aca="false">K58+K59+K60</f>
        <v>433333.333333334</v>
      </c>
      <c r="L61" s="58" t="n">
        <f aca="false">L58+L59+L60</f>
        <v>425000</v>
      </c>
      <c r="M61" s="58" t="n">
        <f aca="false">M58+M59+M60</f>
        <v>416666.666666667</v>
      </c>
      <c r="N61" s="58" t="n">
        <f aca="false">N58+N59+N60</f>
        <v>408333.333333334</v>
      </c>
      <c r="O61" s="58" t="n">
        <f aca="false">O58+O59+O60</f>
        <v>400000</v>
      </c>
      <c r="P61" s="58" t="n">
        <f aca="false">P58+P59+P60</f>
        <v>391666.666666667</v>
      </c>
      <c r="Q61" s="58" t="n">
        <f aca="false">Q58+Q59+Q60</f>
        <v>383333.333333334</v>
      </c>
      <c r="R61" s="58" t="n">
        <f aca="false">R58+R59+R60</f>
        <v>375000</v>
      </c>
      <c r="S61" s="58" t="n">
        <f aca="false">S58+S59+S60</f>
        <v>366666.666666667</v>
      </c>
      <c r="T61" s="58" t="n">
        <f aca="false">T58+T59+T60</f>
        <v>358333.333333334</v>
      </c>
      <c r="U61" s="58" t="n">
        <f aca="false">U58+U59+U60</f>
        <v>350000</v>
      </c>
      <c r="V61" s="58" t="n">
        <f aca="false">V58+V59+V60</f>
        <v>341666.666666667</v>
      </c>
      <c r="W61" s="58" t="n">
        <f aca="false">W58+W59+W60</f>
        <v>333333.333333334</v>
      </c>
      <c r="X61" s="58" t="n">
        <f aca="false">X58+X59+X60</f>
        <v>325000</v>
      </c>
      <c r="Y61" s="58" t="n">
        <f aca="false">Y58+Y59+Y60</f>
        <v>316666.666666667</v>
      </c>
      <c r="Z61" s="58" t="n">
        <f aca="false">Z58+Z59+Z60</f>
        <v>308333.333333334</v>
      </c>
      <c r="AA61" s="58" t="n">
        <f aca="false">AA58+AA59+AA60</f>
        <v>300000</v>
      </c>
      <c r="AB61" s="58" t="n">
        <f aca="false">AB58+AB59+AB60</f>
        <v>291666.666666667</v>
      </c>
      <c r="AC61" s="58" t="n">
        <f aca="false">AC58+AC59+AC60</f>
        <v>283333.333333334</v>
      </c>
      <c r="AD61" s="58" t="n">
        <f aca="false">AD58+AD59+AD60</f>
        <v>275000.000000001</v>
      </c>
      <c r="AE61" s="58" t="n">
        <f aca="false">AE58+AE59+AE60</f>
        <v>266666.666666667</v>
      </c>
      <c r="AF61" s="58" t="n">
        <f aca="false">AF58+AF59+AF60</f>
        <v>258333.333333334</v>
      </c>
      <c r="AG61" s="58" t="n">
        <f aca="false">AG58+AG59+AG60</f>
        <v>250000.000000001</v>
      </c>
      <c r="AH61" s="58" t="n">
        <f aca="false">AH58+AH59+AH60</f>
        <v>241666.666666667</v>
      </c>
      <c r="AI61" s="58" t="n">
        <f aca="false">AI58+AI59+AI60</f>
        <v>233333.333333334</v>
      </c>
      <c r="AJ61" s="58" t="n">
        <f aca="false">AJ58+AJ59+AJ60</f>
        <v>225000.000000001</v>
      </c>
      <c r="AK61" s="58" t="n">
        <f aca="false">AK58+AK59+AK60</f>
        <v>216666.666666667</v>
      </c>
      <c r="AL61" s="58" t="n">
        <f aca="false">AL58+AL59+AL60</f>
        <v>208333.333333334</v>
      </c>
      <c r="AM61" s="58" t="n">
        <f aca="false">AM58+AM59+AM60</f>
        <v>200000</v>
      </c>
      <c r="AN61" s="58" t="n">
        <f aca="false">AN58+AN59+AN60</f>
        <v>191666.666666667</v>
      </c>
      <c r="AO61" s="58" t="n">
        <f aca="false">AO58+AO59+AO60</f>
        <v>183333.333333334</v>
      </c>
      <c r="AP61" s="58" t="n">
        <f aca="false">AP58+AP59+AP60</f>
        <v>175000</v>
      </c>
      <c r="AQ61" s="58" t="n">
        <f aca="false">AQ58+AQ59+AQ60</f>
        <v>166666.666666667</v>
      </c>
      <c r="AR61" s="58" t="n">
        <f aca="false">AR58+AR59+AR60</f>
        <v>158333.333333334</v>
      </c>
      <c r="AS61" s="58" t="n">
        <f aca="false">AS58+AS59+AS60</f>
        <v>150000</v>
      </c>
      <c r="AT61" s="58" t="n">
        <f aca="false">AT58+AT59+AT60</f>
        <v>141666.666666667</v>
      </c>
      <c r="AU61" s="58" t="n">
        <f aca="false">AU58+AU59+AU60</f>
        <v>133333.333333334</v>
      </c>
      <c r="AV61" s="58" t="n">
        <f aca="false">AV58+AV59+AV60</f>
        <v>125000</v>
      </c>
      <c r="AW61" s="58" t="n">
        <f aca="false">AW58+AW59+AW60</f>
        <v>116666.666666667</v>
      </c>
      <c r="AX61" s="58" t="n">
        <f aca="false">AX58+AX59+AX60</f>
        <v>108333.333333334</v>
      </c>
      <c r="AY61" s="58" t="n">
        <f aca="false">AY58+AY59+AY60</f>
        <v>100000</v>
      </c>
      <c r="AZ61" s="58" t="n">
        <f aca="false">AZ58+AZ59+AZ60</f>
        <v>91666.6666666671</v>
      </c>
      <c r="BA61" s="58" t="n">
        <f aca="false">BA58+BA59+BA60</f>
        <v>83333.3333333338</v>
      </c>
      <c r="BB61" s="58" t="n">
        <f aca="false">BB58+BB59+BB60</f>
        <v>75000.0000000004</v>
      </c>
      <c r="BC61" s="58" t="n">
        <f aca="false">BC58+BC59+BC60</f>
        <v>66666.6666666671</v>
      </c>
      <c r="BD61" s="58" t="n">
        <f aca="false">BD58+BD59+BD60</f>
        <v>58333.3333333338</v>
      </c>
      <c r="BE61" s="58" t="n">
        <f aca="false">BE58+BE59+BE60</f>
        <v>50000.0000000004</v>
      </c>
      <c r="BF61" s="58" t="n">
        <f aca="false">BF58+BF59+BF60</f>
        <v>41666.6666666671</v>
      </c>
      <c r="BG61" s="58" t="n">
        <f aca="false">BG58+BG59+BG60</f>
        <v>33333.3333333338</v>
      </c>
      <c r="BH61" s="58" t="n">
        <f aca="false">BH58+BH59+BH60</f>
        <v>25000.0000000004</v>
      </c>
      <c r="BI61" s="58" t="n">
        <f aca="false">BI58+BI59+BI60</f>
        <v>16666.6666666671</v>
      </c>
      <c r="BJ61" s="58" t="n">
        <f aca="false">BJ58+BJ59+BJ60</f>
        <v>8333.33333333375</v>
      </c>
    </row>
    <row r="63" customFormat="false" ht="15.75" hidden="false" customHeight="true" outlineLevel="0" collapsed="false">
      <c r="A63" s="7" t="s">
        <v>261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87</v>
      </c>
      <c r="C64" s="51" t="n">
        <f aca="false">C25*Inputs!$E$64/30</f>
        <v>29523.4714285714</v>
      </c>
      <c r="D64" s="51" t="n">
        <f aca="false">D25*Inputs!$E$64/30</f>
        <v>29523.4714285714</v>
      </c>
      <c r="E64" s="51" t="n">
        <f aca="false">E25*Inputs!$E$64/30</f>
        <v>29523.4714285714</v>
      </c>
      <c r="F64" s="51" t="n">
        <f aca="false">F25*Inputs!$E$64/30</f>
        <v>29523.4714285714</v>
      </c>
      <c r="G64" s="51" t="n">
        <f aca="false">G25*Inputs!$E$64/30</f>
        <v>29523.4714285714</v>
      </c>
      <c r="H64" s="51" t="n">
        <f aca="false">H25*Inputs!$E$64/30</f>
        <v>29523.4714285714</v>
      </c>
      <c r="I64" s="51" t="n">
        <f aca="false">I25*Inputs!$E$64/30</f>
        <v>29523.4714285714</v>
      </c>
      <c r="J64" s="51" t="n">
        <f aca="false">J25*Inputs!$E$64/30</f>
        <v>29523.4714285714</v>
      </c>
      <c r="K64" s="51" t="n">
        <f aca="false">K25*Inputs!$E$64/30</f>
        <v>29523.4714285714</v>
      </c>
      <c r="L64" s="51" t="n">
        <f aca="false">L25*Inputs!$E$64/30</f>
        <v>29523.4714285714</v>
      </c>
      <c r="M64" s="51" t="n">
        <f aca="false">M25*Inputs!$E$64/30</f>
        <v>36214.0714285714</v>
      </c>
      <c r="N64" s="51" t="n">
        <f aca="false">N25*Inputs!$E$64/30</f>
        <v>36214.0714285714</v>
      </c>
      <c r="O64" s="51" t="n">
        <f aca="false">O25*Inputs!$E$64/30</f>
        <v>38376.0064285714</v>
      </c>
      <c r="P64" s="51" t="n">
        <f aca="false">P25*Inputs!$E$64/30</f>
        <v>38376.0064285714</v>
      </c>
      <c r="Q64" s="51" t="n">
        <f aca="false">Q25*Inputs!$E$64/30</f>
        <v>38376.0064285714</v>
      </c>
      <c r="R64" s="51" t="n">
        <f aca="false">R25*Inputs!$E$64/30</f>
        <v>38376.0064285714</v>
      </c>
      <c r="S64" s="51" t="n">
        <f aca="false">S25*Inputs!$E$64/30</f>
        <v>38376.0064285714</v>
      </c>
      <c r="T64" s="51" t="n">
        <f aca="false">T25*Inputs!$E$64/30</f>
        <v>38376.0064285714</v>
      </c>
      <c r="U64" s="51" t="n">
        <f aca="false">U25*Inputs!$E$64/30</f>
        <v>38376.0064285714</v>
      </c>
      <c r="V64" s="51" t="n">
        <f aca="false">V25*Inputs!$E$64/30</f>
        <v>38376.0064285714</v>
      </c>
      <c r="W64" s="51" t="n">
        <f aca="false">W25*Inputs!$E$64/30</f>
        <v>38376.0064285714</v>
      </c>
      <c r="X64" s="51" t="n">
        <f aca="false">X25*Inputs!$E$64/30</f>
        <v>38376.0064285714</v>
      </c>
      <c r="Y64" s="51" t="n">
        <f aca="false">Y25*Inputs!$E$64/30</f>
        <v>47422.8964285714</v>
      </c>
      <c r="Z64" s="51" t="n">
        <f aca="false">Z25*Inputs!$E$64/30</f>
        <v>47422.8964285714</v>
      </c>
      <c r="AA64" s="51" t="n">
        <f aca="false">AA25*Inputs!$E$64/30</f>
        <v>48864.6154285714</v>
      </c>
      <c r="AB64" s="51" t="n">
        <f aca="false">AB25*Inputs!$E$64/30</f>
        <v>48864.6154285714</v>
      </c>
      <c r="AC64" s="51" t="n">
        <f aca="false">AC25*Inputs!$E$64/30</f>
        <v>48864.6154285714</v>
      </c>
      <c r="AD64" s="51" t="n">
        <f aca="false">AD25*Inputs!$E$64/30</f>
        <v>48864.6154285714</v>
      </c>
      <c r="AE64" s="51" t="n">
        <f aca="false">AE25*Inputs!$E$64/30</f>
        <v>48864.6154285714</v>
      </c>
      <c r="AF64" s="51" t="n">
        <f aca="false">AF25*Inputs!$E$64/30</f>
        <v>48864.6154285714</v>
      </c>
      <c r="AG64" s="51" t="n">
        <f aca="false">AG25*Inputs!$E$64/30</f>
        <v>48864.6154285714</v>
      </c>
      <c r="AH64" s="51" t="n">
        <f aca="false">AH25*Inputs!$E$64/30</f>
        <v>48864.6154285714</v>
      </c>
      <c r="AI64" s="51" t="n">
        <f aca="false">AI25*Inputs!$E$64/30</f>
        <v>48864.6154285714</v>
      </c>
      <c r="AJ64" s="51" t="n">
        <f aca="false">AJ25*Inputs!$E$64/30</f>
        <v>48864.6154285714</v>
      </c>
      <c r="AK64" s="51" t="n">
        <f aca="false">AK25*Inputs!$E$64/30</f>
        <v>60662.7514285714</v>
      </c>
      <c r="AL64" s="51" t="n">
        <f aca="false">AL25*Inputs!$E$64/30</f>
        <v>60662.7514285714</v>
      </c>
      <c r="AM64" s="51" t="n">
        <f aca="false">AM25*Inputs!$E$64/30</f>
        <v>61381.4077285714</v>
      </c>
      <c r="AN64" s="51" t="n">
        <f aca="false">AN25*Inputs!$E$64/30</f>
        <v>61381.4077285714</v>
      </c>
      <c r="AO64" s="51" t="n">
        <f aca="false">AO25*Inputs!$E$64/30</f>
        <v>61381.4077285714</v>
      </c>
      <c r="AP64" s="51" t="n">
        <f aca="false">AP25*Inputs!$E$64/30</f>
        <v>61381.4077285714</v>
      </c>
      <c r="AQ64" s="51" t="n">
        <f aca="false">AQ25*Inputs!$E$64/30</f>
        <v>61381.4077285714</v>
      </c>
      <c r="AR64" s="51" t="n">
        <f aca="false">AR25*Inputs!$E$64/30</f>
        <v>61381.4077285714</v>
      </c>
      <c r="AS64" s="51" t="n">
        <f aca="false">AS25*Inputs!$E$64/30</f>
        <v>61381.4077285714</v>
      </c>
      <c r="AT64" s="51" t="n">
        <f aca="false">AT25*Inputs!$E$64/30</f>
        <v>61381.4077285714</v>
      </c>
      <c r="AU64" s="51" t="n">
        <f aca="false">AU25*Inputs!$E$64/30</f>
        <v>61381.4077285714</v>
      </c>
      <c r="AV64" s="51" t="n">
        <f aca="false">AV25*Inputs!$E$64/30</f>
        <v>61381.4077285714</v>
      </c>
      <c r="AW64" s="51" t="n">
        <f aca="false">AW25*Inputs!$E$64/30</f>
        <v>76424.0311285714</v>
      </c>
      <c r="AX64" s="51" t="n">
        <f aca="false">AX25*Inputs!$E$64/30</f>
        <v>76424.0311285714</v>
      </c>
      <c r="AY64" s="51" t="n">
        <f aca="false">AY25*Inputs!$E$64/30</f>
        <v>76418.5990701214</v>
      </c>
      <c r="AZ64" s="51" t="n">
        <f aca="false">AZ25*Inputs!$E$64/30</f>
        <v>76418.5990701214</v>
      </c>
      <c r="BA64" s="51" t="n">
        <f aca="false">BA25*Inputs!$E$64/30</f>
        <v>76418.5990701214</v>
      </c>
      <c r="BB64" s="51" t="n">
        <f aca="false">BB25*Inputs!$E$64/30</f>
        <v>76418.5990701214</v>
      </c>
      <c r="BC64" s="51" t="n">
        <f aca="false">BC25*Inputs!$E$64/30</f>
        <v>76418.5990701214</v>
      </c>
      <c r="BD64" s="51" t="n">
        <f aca="false">BD25*Inputs!$E$64/30</f>
        <v>76418.5990701214</v>
      </c>
      <c r="BE64" s="51" t="n">
        <f aca="false">BE25*Inputs!$E$64/30</f>
        <v>76418.5990701214</v>
      </c>
      <c r="BF64" s="51" t="n">
        <f aca="false">BF25*Inputs!$E$64/30</f>
        <v>76418.5990701214</v>
      </c>
      <c r="BG64" s="51" t="n">
        <f aca="false">BG25*Inputs!$E$64/30</f>
        <v>76418.5990701214</v>
      </c>
      <c r="BH64" s="51" t="n">
        <f aca="false">BH25*Inputs!$E$64/30</f>
        <v>76418.5990701214</v>
      </c>
      <c r="BI64" s="51" t="n">
        <f aca="false">BI25*Inputs!$E$64/30</f>
        <v>95323.9532646214</v>
      </c>
      <c r="BJ64" s="51" t="n">
        <f aca="false">BJ25*Inputs!$E$64/30</f>
        <v>95323.9532646214</v>
      </c>
    </row>
    <row r="65" customFormat="false" ht="15" hidden="false" customHeight="false" outlineLevel="0" collapsed="false">
      <c r="A65" s="6" t="s">
        <v>88</v>
      </c>
      <c r="C65" s="51" t="n">
        <f aca="false">-C26*Inputs!$E$65/30</f>
        <v>464994.675</v>
      </c>
      <c r="D65" s="51" t="n">
        <f aca="false">-D26*Inputs!$E$65/30</f>
        <v>464994.675</v>
      </c>
      <c r="E65" s="51" t="n">
        <f aca="false">-E26*Inputs!$E$65/30</f>
        <v>464994.675</v>
      </c>
      <c r="F65" s="51" t="n">
        <f aca="false">-F26*Inputs!$E$65/30</f>
        <v>464994.675</v>
      </c>
      <c r="G65" s="51" t="n">
        <f aca="false">-G26*Inputs!$E$65/30</f>
        <v>464994.675</v>
      </c>
      <c r="H65" s="51" t="n">
        <f aca="false">-H26*Inputs!$E$65/30</f>
        <v>464994.675</v>
      </c>
      <c r="I65" s="51" t="n">
        <f aca="false">-I26*Inputs!$E$65/30</f>
        <v>464994.675</v>
      </c>
      <c r="J65" s="51" t="n">
        <f aca="false">-J26*Inputs!$E$65/30</f>
        <v>464994.675</v>
      </c>
      <c r="K65" s="51" t="n">
        <f aca="false">-K26*Inputs!$E$65/30</f>
        <v>464994.675</v>
      </c>
      <c r="L65" s="51" t="n">
        <f aca="false">-L26*Inputs!$E$65/30</f>
        <v>464994.675</v>
      </c>
      <c r="M65" s="51" t="n">
        <f aca="false">-M26*Inputs!$E$65/30</f>
        <v>570371.625</v>
      </c>
      <c r="N65" s="51" t="n">
        <f aca="false">-N26*Inputs!$E$65/30</f>
        <v>570371.625</v>
      </c>
      <c r="O65" s="51" t="n">
        <f aca="false">-O26*Inputs!$E$65/30</f>
        <v>604422.10125</v>
      </c>
      <c r="P65" s="51" t="n">
        <f aca="false">-P26*Inputs!$E$65/30</f>
        <v>604422.10125</v>
      </c>
      <c r="Q65" s="51" t="n">
        <f aca="false">-Q26*Inputs!$E$65/30</f>
        <v>604422.10125</v>
      </c>
      <c r="R65" s="51" t="n">
        <f aca="false">-R26*Inputs!$E$65/30</f>
        <v>604422.10125</v>
      </c>
      <c r="S65" s="51" t="n">
        <f aca="false">-S26*Inputs!$E$65/30</f>
        <v>604422.10125</v>
      </c>
      <c r="T65" s="51" t="n">
        <f aca="false">-T26*Inputs!$E$65/30</f>
        <v>604422.10125</v>
      </c>
      <c r="U65" s="51" t="n">
        <f aca="false">-U26*Inputs!$E$65/30</f>
        <v>604422.10125</v>
      </c>
      <c r="V65" s="51" t="n">
        <f aca="false">-V26*Inputs!$E$65/30</f>
        <v>604422.10125</v>
      </c>
      <c r="W65" s="51" t="n">
        <f aca="false">-W26*Inputs!$E$65/30</f>
        <v>604422.10125</v>
      </c>
      <c r="X65" s="51" t="n">
        <f aca="false">-X26*Inputs!$E$65/30</f>
        <v>604422.10125</v>
      </c>
      <c r="Y65" s="51" t="n">
        <f aca="false">-Y26*Inputs!$E$65/30</f>
        <v>746910.61875</v>
      </c>
      <c r="Z65" s="51" t="n">
        <f aca="false">-Z26*Inputs!$E$65/30</f>
        <v>746910.61875</v>
      </c>
      <c r="AA65" s="51" t="n">
        <f aca="false">-AA26*Inputs!$E$65/30</f>
        <v>769617.693</v>
      </c>
      <c r="AB65" s="51" t="n">
        <f aca="false">-AB26*Inputs!$E$65/30</f>
        <v>769617.693</v>
      </c>
      <c r="AC65" s="51" t="n">
        <f aca="false">-AC26*Inputs!$E$65/30</f>
        <v>769617.693</v>
      </c>
      <c r="AD65" s="51" t="n">
        <f aca="false">-AD26*Inputs!$E$65/30</f>
        <v>769617.693</v>
      </c>
      <c r="AE65" s="51" t="n">
        <f aca="false">-AE26*Inputs!$E$65/30</f>
        <v>769617.693</v>
      </c>
      <c r="AF65" s="51" t="n">
        <f aca="false">-AF26*Inputs!$E$65/30</f>
        <v>769617.693</v>
      </c>
      <c r="AG65" s="51" t="n">
        <f aca="false">-AG26*Inputs!$E$65/30</f>
        <v>769617.693</v>
      </c>
      <c r="AH65" s="51" t="n">
        <f aca="false">-AH26*Inputs!$E$65/30</f>
        <v>769617.693</v>
      </c>
      <c r="AI65" s="51" t="n">
        <f aca="false">-AI26*Inputs!$E$65/30</f>
        <v>769617.693</v>
      </c>
      <c r="AJ65" s="51" t="n">
        <f aca="false">-AJ26*Inputs!$E$65/30</f>
        <v>769617.693</v>
      </c>
      <c r="AK65" s="51" t="n">
        <f aca="false">-AK26*Inputs!$E$65/30</f>
        <v>955438.335</v>
      </c>
      <c r="AL65" s="51" t="n">
        <f aca="false">-AL26*Inputs!$E$65/30</f>
        <v>955438.335</v>
      </c>
      <c r="AM65" s="51" t="n">
        <f aca="false">-AM26*Inputs!$E$65/30</f>
        <v>966757.171725</v>
      </c>
      <c r="AN65" s="51" t="n">
        <f aca="false">-AN26*Inputs!$E$65/30</f>
        <v>966757.171725</v>
      </c>
      <c r="AO65" s="51" t="n">
        <f aca="false">-AO26*Inputs!$E$65/30</f>
        <v>966757.171725</v>
      </c>
      <c r="AP65" s="51" t="n">
        <f aca="false">-AP26*Inputs!$E$65/30</f>
        <v>966757.171725</v>
      </c>
      <c r="AQ65" s="51" t="n">
        <f aca="false">-AQ26*Inputs!$E$65/30</f>
        <v>966757.171725</v>
      </c>
      <c r="AR65" s="51" t="n">
        <f aca="false">-AR26*Inputs!$E$65/30</f>
        <v>966757.171725</v>
      </c>
      <c r="AS65" s="51" t="n">
        <f aca="false">-AS26*Inputs!$E$65/30</f>
        <v>966757.171725</v>
      </c>
      <c r="AT65" s="51" t="n">
        <f aca="false">-AT26*Inputs!$E$65/30</f>
        <v>966757.171725</v>
      </c>
      <c r="AU65" s="51" t="n">
        <f aca="false">-AU26*Inputs!$E$65/30</f>
        <v>966757.171725</v>
      </c>
      <c r="AV65" s="51" t="n">
        <f aca="false">-AV26*Inputs!$E$65/30</f>
        <v>966757.171725</v>
      </c>
      <c r="AW65" s="51" t="n">
        <f aca="false">-AW26*Inputs!$E$65/30</f>
        <v>1203678.490275</v>
      </c>
      <c r="AX65" s="51" t="n">
        <f aca="false">-AX26*Inputs!$E$65/30</f>
        <v>1203678.490275</v>
      </c>
      <c r="AY65" s="51" t="n">
        <f aca="false">-AY26*Inputs!$E$65/30</f>
        <v>1203592.93535441</v>
      </c>
      <c r="AZ65" s="51" t="n">
        <f aca="false">-AZ26*Inputs!$E$65/30</f>
        <v>1203592.93535441</v>
      </c>
      <c r="BA65" s="51" t="n">
        <f aca="false">-BA26*Inputs!$E$65/30</f>
        <v>1203592.93535441</v>
      </c>
      <c r="BB65" s="51" t="n">
        <f aca="false">-BB26*Inputs!$E$65/30</f>
        <v>1203592.93535441</v>
      </c>
      <c r="BC65" s="51" t="n">
        <f aca="false">-BC26*Inputs!$E$65/30</f>
        <v>1203592.93535441</v>
      </c>
      <c r="BD65" s="51" t="n">
        <f aca="false">-BD26*Inputs!$E$65/30</f>
        <v>1203592.93535441</v>
      </c>
      <c r="BE65" s="51" t="n">
        <f aca="false">-BE26*Inputs!$E$65/30</f>
        <v>1203592.93535441</v>
      </c>
      <c r="BF65" s="51" t="n">
        <f aca="false">-BF26*Inputs!$E$65/30</f>
        <v>1203592.93535441</v>
      </c>
      <c r="BG65" s="51" t="n">
        <f aca="false">-BG26*Inputs!$E$65/30</f>
        <v>1203592.93535441</v>
      </c>
      <c r="BH65" s="51" t="n">
        <f aca="false">-BH26*Inputs!$E$65/30</f>
        <v>1203592.93535441</v>
      </c>
      <c r="BI65" s="51" t="n">
        <f aca="false">-BI26*Inputs!$E$65/30</f>
        <v>1501352.26391779</v>
      </c>
      <c r="BJ65" s="51" t="n">
        <f aca="false">-BJ26*Inputs!$E$65/30</f>
        <v>1501352.26391779</v>
      </c>
    </row>
    <row r="66" customFormat="false" ht="15" hidden="false" customHeight="false" outlineLevel="0" collapsed="false">
      <c r="A66" s="6" t="s">
        <v>91</v>
      </c>
      <c r="C66" s="51" t="n">
        <f aca="false">-C26*Inputs!$E$66/30</f>
        <v>185997.87</v>
      </c>
      <c r="D66" s="51" t="n">
        <f aca="false">-D26*Inputs!$E$66/30</f>
        <v>185997.87</v>
      </c>
      <c r="E66" s="51" t="n">
        <f aca="false">-E26*Inputs!$E$66/30</f>
        <v>185997.87</v>
      </c>
      <c r="F66" s="51" t="n">
        <f aca="false">-F26*Inputs!$E$66/30</f>
        <v>185997.87</v>
      </c>
      <c r="G66" s="51" t="n">
        <f aca="false">-G26*Inputs!$E$66/30</f>
        <v>185997.87</v>
      </c>
      <c r="H66" s="51" t="n">
        <f aca="false">-H26*Inputs!$E$66/30</f>
        <v>185997.87</v>
      </c>
      <c r="I66" s="51" t="n">
        <f aca="false">-I26*Inputs!$E$66/30</f>
        <v>185997.87</v>
      </c>
      <c r="J66" s="51" t="n">
        <f aca="false">-J26*Inputs!$E$66/30</f>
        <v>185997.87</v>
      </c>
      <c r="K66" s="51" t="n">
        <f aca="false">-K26*Inputs!$E$66/30</f>
        <v>185997.87</v>
      </c>
      <c r="L66" s="51" t="n">
        <f aca="false">-L26*Inputs!$E$66/30</f>
        <v>185997.87</v>
      </c>
      <c r="M66" s="51" t="n">
        <f aca="false">-M26*Inputs!$E$66/30</f>
        <v>228148.65</v>
      </c>
      <c r="N66" s="51" t="n">
        <f aca="false">-N26*Inputs!$E$66/30</f>
        <v>228148.65</v>
      </c>
      <c r="O66" s="51" t="n">
        <f aca="false">-O26*Inputs!$E$66/30</f>
        <v>241768.8405</v>
      </c>
      <c r="P66" s="51" t="n">
        <f aca="false">-P26*Inputs!$E$66/30</f>
        <v>241768.8405</v>
      </c>
      <c r="Q66" s="51" t="n">
        <f aca="false">-Q26*Inputs!$E$66/30</f>
        <v>241768.8405</v>
      </c>
      <c r="R66" s="51" t="n">
        <f aca="false">-R26*Inputs!$E$66/30</f>
        <v>241768.8405</v>
      </c>
      <c r="S66" s="51" t="n">
        <f aca="false">-S26*Inputs!$E$66/30</f>
        <v>241768.8405</v>
      </c>
      <c r="T66" s="51" t="n">
        <f aca="false">-T26*Inputs!$E$66/30</f>
        <v>241768.8405</v>
      </c>
      <c r="U66" s="51" t="n">
        <f aca="false">-U26*Inputs!$E$66/30</f>
        <v>241768.8405</v>
      </c>
      <c r="V66" s="51" t="n">
        <f aca="false">-V26*Inputs!$E$66/30</f>
        <v>241768.8405</v>
      </c>
      <c r="W66" s="51" t="n">
        <f aca="false">-W26*Inputs!$E$66/30</f>
        <v>241768.8405</v>
      </c>
      <c r="X66" s="51" t="n">
        <f aca="false">-X26*Inputs!$E$66/30</f>
        <v>241768.8405</v>
      </c>
      <c r="Y66" s="51" t="n">
        <f aca="false">-Y26*Inputs!$E$66/30</f>
        <v>298764.2475</v>
      </c>
      <c r="Z66" s="51" t="n">
        <f aca="false">-Z26*Inputs!$E$66/30</f>
        <v>298764.2475</v>
      </c>
      <c r="AA66" s="51" t="n">
        <f aca="false">-AA26*Inputs!$E$66/30</f>
        <v>307847.0772</v>
      </c>
      <c r="AB66" s="51" t="n">
        <f aca="false">-AB26*Inputs!$E$66/30</f>
        <v>307847.0772</v>
      </c>
      <c r="AC66" s="51" t="n">
        <f aca="false">-AC26*Inputs!$E$66/30</f>
        <v>307847.0772</v>
      </c>
      <c r="AD66" s="51" t="n">
        <f aca="false">-AD26*Inputs!$E$66/30</f>
        <v>307847.0772</v>
      </c>
      <c r="AE66" s="51" t="n">
        <f aca="false">-AE26*Inputs!$E$66/30</f>
        <v>307847.0772</v>
      </c>
      <c r="AF66" s="51" t="n">
        <f aca="false">-AF26*Inputs!$E$66/30</f>
        <v>307847.0772</v>
      </c>
      <c r="AG66" s="51" t="n">
        <f aca="false">-AG26*Inputs!$E$66/30</f>
        <v>307847.0772</v>
      </c>
      <c r="AH66" s="51" t="n">
        <f aca="false">-AH26*Inputs!$E$66/30</f>
        <v>307847.0772</v>
      </c>
      <c r="AI66" s="51" t="n">
        <f aca="false">-AI26*Inputs!$E$66/30</f>
        <v>307847.0772</v>
      </c>
      <c r="AJ66" s="51" t="n">
        <f aca="false">-AJ26*Inputs!$E$66/30</f>
        <v>307847.0772</v>
      </c>
      <c r="AK66" s="51" t="n">
        <f aca="false">-AK26*Inputs!$E$66/30</f>
        <v>382175.334</v>
      </c>
      <c r="AL66" s="51" t="n">
        <f aca="false">-AL26*Inputs!$E$66/30</f>
        <v>382175.334</v>
      </c>
      <c r="AM66" s="51" t="n">
        <f aca="false">-AM26*Inputs!$E$66/30</f>
        <v>386702.86869</v>
      </c>
      <c r="AN66" s="51" t="n">
        <f aca="false">-AN26*Inputs!$E$66/30</f>
        <v>386702.86869</v>
      </c>
      <c r="AO66" s="51" t="n">
        <f aca="false">-AO26*Inputs!$E$66/30</f>
        <v>386702.86869</v>
      </c>
      <c r="AP66" s="51" t="n">
        <f aca="false">-AP26*Inputs!$E$66/30</f>
        <v>386702.86869</v>
      </c>
      <c r="AQ66" s="51" t="n">
        <f aca="false">-AQ26*Inputs!$E$66/30</f>
        <v>386702.86869</v>
      </c>
      <c r="AR66" s="51" t="n">
        <f aca="false">-AR26*Inputs!$E$66/30</f>
        <v>386702.86869</v>
      </c>
      <c r="AS66" s="51" t="n">
        <f aca="false">-AS26*Inputs!$E$66/30</f>
        <v>386702.86869</v>
      </c>
      <c r="AT66" s="51" t="n">
        <f aca="false">-AT26*Inputs!$E$66/30</f>
        <v>386702.86869</v>
      </c>
      <c r="AU66" s="51" t="n">
        <f aca="false">-AU26*Inputs!$E$66/30</f>
        <v>386702.86869</v>
      </c>
      <c r="AV66" s="51" t="n">
        <f aca="false">-AV26*Inputs!$E$66/30</f>
        <v>386702.86869</v>
      </c>
      <c r="AW66" s="51" t="n">
        <f aca="false">-AW26*Inputs!$E$66/30</f>
        <v>481471.39611</v>
      </c>
      <c r="AX66" s="51" t="n">
        <f aca="false">-AX26*Inputs!$E$66/30</f>
        <v>481471.39611</v>
      </c>
      <c r="AY66" s="51" t="n">
        <f aca="false">-AY26*Inputs!$E$66/30</f>
        <v>481437.174141765</v>
      </c>
      <c r="AZ66" s="51" t="n">
        <f aca="false">-AZ26*Inputs!$E$66/30</f>
        <v>481437.174141765</v>
      </c>
      <c r="BA66" s="51" t="n">
        <f aca="false">-BA26*Inputs!$E$66/30</f>
        <v>481437.174141765</v>
      </c>
      <c r="BB66" s="51" t="n">
        <f aca="false">-BB26*Inputs!$E$66/30</f>
        <v>481437.174141765</v>
      </c>
      <c r="BC66" s="51" t="n">
        <f aca="false">-BC26*Inputs!$E$66/30</f>
        <v>481437.174141765</v>
      </c>
      <c r="BD66" s="51" t="n">
        <f aca="false">-BD26*Inputs!$E$66/30</f>
        <v>481437.174141765</v>
      </c>
      <c r="BE66" s="51" t="n">
        <f aca="false">-BE26*Inputs!$E$66/30</f>
        <v>481437.174141765</v>
      </c>
      <c r="BF66" s="51" t="n">
        <f aca="false">-BF26*Inputs!$E$66/30</f>
        <v>481437.174141765</v>
      </c>
      <c r="BG66" s="51" t="n">
        <f aca="false">-BG26*Inputs!$E$66/30</f>
        <v>481437.174141765</v>
      </c>
      <c r="BH66" s="51" t="n">
        <f aca="false">-BH26*Inputs!$E$66/30</f>
        <v>481437.174141765</v>
      </c>
      <c r="BI66" s="51" t="n">
        <f aca="false">-BI26*Inputs!$E$66/30</f>
        <v>600540.905567115</v>
      </c>
      <c r="BJ66" s="51" t="n">
        <f aca="false">-BJ26*Inputs!$E$66/30</f>
        <v>600540.905567115</v>
      </c>
    </row>
    <row r="67" customFormat="false" ht="15" hidden="false" customHeight="false" outlineLevel="0" collapsed="false">
      <c r="A67" s="6" t="s">
        <v>286</v>
      </c>
      <c r="C67" s="51" t="n">
        <f aca="false">-C64</f>
        <v>-29523.4714285714</v>
      </c>
      <c r="D67" s="51" t="n">
        <f aca="false">C64-D64</f>
        <v>0</v>
      </c>
      <c r="E67" s="51" t="n">
        <f aca="false">D64-E64</f>
        <v>0</v>
      </c>
      <c r="F67" s="51" t="n">
        <f aca="false">E64-F64</f>
        <v>0</v>
      </c>
      <c r="G67" s="51" t="n">
        <f aca="false">F64-G64</f>
        <v>0</v>
      </c>
      <c r="H67" s="51" t="n">
        <f aca="false">G64-H64</f>
        <v>0</v>
      </c>
      <c r="I67" s="51" t="n">
        <f aca="false">H64-I64</f>
        <v>0</v>
      </c>
      <c r="J67" s="51" t="n">
        <f aca="false">I64-J64</f>
        <v>0</v>
      </c>
      <c r="K67" s="51" t="n">
        <f aca="false">J64-K64</f>
        <v>0</v>
      </c>
      <c r="L67" s="51" t="n">
        <f aca="false">K64-L64</f>
        <v>0</v>
      </c>
      <c r="M67" s="51" t="n">
        <f aca="false">L64-M64</f>
        <v>-6690.60000000002</v>
      </c>
      <c r="N67" s="51" t="n">
        <f aca="false">M64-N64</f>
        <v>0</v>
      </c>
      <c r="O67" s="51" t="n">
        <f aca="false">N64-O64</f>
        <v>-2161.93499999999</v>
      </c>
      <c r="P67" s="51" t="n">
        <f aca="false">O64-P64</f>
        <v>0</v>
      </c>
      <c r="Q67" s="51" t="n">
        <f aca="false">P64-Q64</f>
        <v>0</v>
      </c>
      <c r="R67" s="51" t="n">
        <f aca="false">Q64-R64</f>
        <v>0</v>
      </c>
      <c r="S67" s="51" t="n">
        <f aca="false">R64-S64</f>
        <v>0</v>
      </c>
      <c r="T67" s="51" t="n">
        <f aca="false">S64-T64</f>
        <v>0</v>
      </c>
      <c r="U67" s="51" t="n">
        <f aca="false">T64-U64</f>
        <v>0</v>
      </c>
      <c r="V67" s="51" t="n">
        <f aca="false">U64-V64</f>
        <v>0</v>
      </c>
      <c r="W67" s="51" t="n">
        <f aca="false">V64-W64</f>
        <v>0</v>
      </c>
      <c r="X67" s="51" t="n">
        <f aca="false">W64-X64</f>
        <v>0</v>
      </c>
      <c r="Y67" s="51" t="n">
        <f aca="false">X64-Y64</f>
        <v>-9046.89</v>
      </c>
      <c r="Z67" s="51" t="n">
        <f aca="false">Y64-Z64</f>
        <v>0</v>
      </c>
      <c r="AA67" s="51" t="n">
        <f aca="false">Z64-AA64</f>
        <v>-1441.719</v>
      </c>
      <c r="AB67" s="51" t="n">
        <f aca="false">AA64-AB64</f>
        <v>0</v>
      </c>
      <c r="AC67" s="51" t="n">
        <f aca="false">AB64-AC64</f>
        <v>0</v>
      </c>
      <c r="AD67" s="51" t="n">
        <f aca="false">AC64-AD64</f>
        <v>0</v>
      </c>
      <c r="AE67" s="51" t="n">
        <f aca="false">AD64-AE64</f>
        <v>0</v>
      </c>
      <c r="AF67" s="51" t="n">
        <f aca="false">AE64-AF64</f>
        <v>0</v>
      </c>
      <c r="AG67" s="51" t="n">
        <f aca="false">AF64-AG64</f>
        <v>0</v>
      </c>
      <c r="AH67" s="51" t="n">
        <f aca="false">AG64-AH64</f>
        <v>0</v>
      </c>
      <c r="AI67" s="51" t="n">
        <f aca="false">AH64-AI64</f>
        <v>0</v>
      </c>
      <c r="AJ67" s="51" t="n">
        <f aca="false">AI64-AJ64</f>
        <v>0</v>
      </c>
      <c r="AK67" s="51" t="n">
        <f aca="false">AJ64-AK64</f>
        <v>-11798.136</v>
      </c>
      <c r="AL67" s="51" t="n">
        <f aca="false">AK64-AL64</f>
        <v>0</v>
      </c>
      <c r="AM67" s="51" t="n">
        <f aca="false">AL64-AM64</f>
        <v>-718.65630000001</v>
      </c>
      <c r="AN67" s="51" t="n">
        <f aca="false">AM64-AN64</f>
        <v>0</v>
      </c>
      <c r="AO67" s="51" t="n">
        <f aca="false">AN64-AO64</f>
        <v>0</v>
      </c>
      <c r="AP67" s="51" t="n">
        <f aca="false">AO64-AP64</f>
        <v>0</v>
      </c>
      <c r="AQ67" s="51" t="n">
        <f aca="false">AP64-AQ64</f>
        <v>0</v>
      </c>
      <c r="AR67" s="51" t="n">
        <f aca="false">AQ64-AR64</f>
        <v>0</v>
      </c>
      <c r="AS67" s="51" t="n">
        <f aca="false">AR64-AS64</f>
        <v>0</v>
      </c>
      <c r="AT67" s="51" t="n">
        <f aca="false">AS64-AT64</f>
        <v>0</v>
      </c>
      <c r="AU67" s="51" t="n">
        <f aca="false">AT64-AU64</f>
        <v>0</v>
      </c>
      <c r="AV67" s="51" t="n">
        <f aca="false">AU64-AV64</f>
        <v>0</v>
      </c>
      <c r="AW67" s="51" t="n">
        <f aca="false">AV64-AW64</f>
        <v>-15042.6234</v>
      </c>
      <c r="AX67" s="51" t="n">
        <f aca="false">AW64-AX64</f>
        <v>0</v>
      </c>
      <c r="AY67" s="51" t="n">
        <f aca="false">AX64-AY64</f>
        <v>5.43205844999466</v>
      </c>
      <c r="AZ67" s="51" t="n">
        <f aca="false">AY64-AZ64</f>
        <v>0</v>
      </c>
      <c r="BA67" s="51" t="n">
        <f aca="false">AZ64-BA64</f>
        <v>0</v>
      </c>
      <c r="BB67" s="51" t="n">
        <f aca="false">BA64-BB64</f>
        <v>0</v>
      </c>
      <c r="BC67" s="51" t="n">
        <f aca="false">BB64-BC64</f>
        <v>0</v>
      </c>
      <c r="BD67" s="51" t="n">
        <f aca="false">BC64-BD64</f>
        <v>0</v>
      </c>
      <c r="BE67" s="51" t="n">
        <f aca="false">BD64-BE64</f>
        <v>0</v>
      </c>
      <c r="BF67" s="51" t="n">
        <f aca="false">BE64-BF64</f>
        <v>0</v>
      </c>
      <c r="BG67" s="51" t="n">
        <f aca="false">BF64-BG64</f>
        <v>0</v>
      </c>
      <c r="BH67" s="51" t="n">
        <f aca="false">BG64-BH64</f>
        <v>0</v>
      </c>
      <c r="BI67" s="51" t="n">
        <f aca="false">BH64-BI64</f>
        <v>-18905.3541945</v>
      </c>
      <c r="BJ67" s="51" t="n">
        <f aca="false">BI64-BJ64</f>
        <v>0</v>
      </c>
    </row>
    <row r="68" customFormat="false" ht="15" hidden="false" customHeight="false" outlineLevel="0" collapsed="false">
      <c r="A68" s="6" t="s">
        <v>287</v>
      </c>
      <c r="C68" s="51" t="n">
        <f aca="false">-C65</f>
        <v>-464994.675</v>
      </c>
      <c r="D68" s="51" t="n">
        <f aca="false">C65-D65</f>
        <v>0</v>
      </c>
      <c r="E68" s="51" t="n">
        <f aca="false">D65-E65</f>
        <v>0</v>
      </c>
      <c r="F68" s="51" t="n">
        <f aca="false">E65-F65</f>
        <v>0</v>
      </c>
      <c r="G68" s="51" t="n">
        <f aca="false">F65-G65</f>
        <v>0</v>
      </c>
      <c r="H68" s="51" t="n">
        <f aca="false">G65-H65</f>
        <v>0</v>
      </c>
      <c r="I68" s="51" t="n">
        <f aca="false">H65-I65</f>
        <v>0</v>
      </c>
      <c r="J68" s="51" t="n">
        <f aca="false">I65-J65</f>
        <v>0</v>
      </c>
      <c r="K68" s="51" t="n">
        <f aca="false">J65-K65</f>
        <v>0</v>
      </c>
      <c r="L68" s="51" t="n">
        <f aca="false">K65-L65</f>
        <v>0</v>
      </c>
      <c r="M68" s="51" t="n">
        <f aca="false">L65-M65</f>
        <v>-105376.95</v>
      </c>
      <c r="N68" s="51" t="n">
        <f aca="false">M65-N65</f>
        <v>0</v>
      </c>
      <c r="O68" s="51" t="n">
        <f aca="false">N65-O65</f>
        <v>-34050.47625</v>
      </c>
      <c r="P68" s="51" t="n">
        <f aca="false">O65-P65</f>
        <v>0</v>
      </c>
      <c r="Q68" s="51" t="n">
        <f aca="false">P65-Q65</f>
        <v>0</v>
      </c>
      <c r="R68" s="51" t="n">
        <f aca="false">Q65-R65</f>
        <v>0</v>
      </c>
      <c r="S68" s="51" t="n">
        <f aca="false">R65-S65</f>
        <v>0</v>
      </c>
      <c r="T68" s="51" t="n">
        <f aca="false">S65-T65</f>
        <v>0</v>
      </c>
      <c r="U68" s="51" t="n">
        <f aca="false">T65-U65</f>
        <v>0</v>
      </c>
      <c r="V68" s="51" t="n">
        <f aca="false">U65-V65</f>
        <v>0</v>
      </c>
      <c r="W68" s="51" t="n">
        <f aca="false">V65-W65</f>
        <v>0</v>
      </c>
      <c r="X68" s="51" t="n">
        <f aca="false">W65-X65</f>
        <v>0</v>
      </c>
      <c r="Y68" s="51" t="n">
        <f aca="false">X65-Y65</f>
        <v>-142488.5175</v>
      </c>
      <c r="Z68" s="51" t="n">
        <f aca="false">Y65-Z65</f>
        <v>0</v>
      </c>
      <c r="AA68" s="51" t="n">
        <f aca="false">Z65-AA65</f>
        <v>-22707.0742499999</v>
      </c>
      <c r="AB68" s="51" t="n">
        <f aca="false">AA65-AB65</f>
        <v>0</v>
      </c>
      <c r="AC68" s="51" t="n">
        <f aca="false">AB65-AC65</f>
        <v>0</v>
      </c>
      <c r="AD68" s="51" t="n">
        <f aca="false">AC65-AD65</f>
        <v>0</v>
      </c>
      <c r="AE68" s="51" t="n">
        <f aca="false">AD65-AE65</f>
        <v>0</v>
      </c>
      <c r="AF68" s="51" t="n">
        <f aca="false">AE65-AF65</f>
        <v>0</v>
      </c>
      <c r="AG68" s="51" t="n">
        <f aca="false">AF65-AG65</f>
        <v>0</v>
      </c>
      <c r="AH68" s="51" t="n">
        <f aca="false">AG65-AH65</f>
        <v>0</v>
      </c>
      <c r="AI68" s="51" t="n">
        <f aca="false">AH65-AI65</f>
        <v>0</v>
      </c>
      <c r="AJ68" s="51" t="n">
        <f aca="false">AI65-AJ65</f>
        <v>0</v>
      </c>
      <c r="AK68" s="51" t="n">
        <f aca="false">AJ65-AK65</f>
        <v>-185820.642</v>
      </c>
      <c r="AL68" s="51" t="n">
        <f aca="false">AK65-AL65</f>
        <v>0</v>
      </c>
      <c r="AM68" s="51" t="n">
        <f aca="false">AL65-AM65</f>
        <v>-11318.8367250002</v>
      </c>
      <c r="AN68" s="51" t="n">
        <f aca="false">AM65-AN65</f>
        <v>0</v>
      </c>
      <c r="AO68" s="51" t="n">
        <f aca="false">AN65-AO65</f>
        <v>0</v>
      </c>
      <c r="AP68" s="51" t="n">
        <f aca="false">AO65-AP65</f>
        <v>0</v>
      </c>
      <c r="AQ68" s="51" t="n">
        <f aca="false">AP65-AQ65</f>
        <v>0</v>
      </c>
      <c r="AR68" s="51" t="n">
        <f aca="false">AQ65-AR65</f>
        <v>0</v>
      </c>
      <c r="AS68" s="51" t="n">
        <f aca="false">AR65-AS65</f>
        <v>0</v>
      </c>
      <c r="AT68" s="51" t="n">
        <f aca="false">AS65-AT65</f>
        <v>0</v>
      </c>
      <c r="AU68" s="51" t="n">
        <f aca="false">AT65-AU65</f>
        <v>0</v>
      </c>
      <c r="AV68" s="51" t="n">
        <f aca="false">AU65-AV65</f>
        <v>0</v>
      </c>
      <c r="AW68" s="51" t="n">
        <f aca="false">AV65-AW65</f>
        <v>-236921.31855</v>
      </c>
      <c r="AX68" s="51" t="n">
        <f aca="false">AW65-AX65</f>
        <v>0</v>
      </c>
      <c r="AY68" s="51" t="n">
        <f aca="false">AX65-AY65</f>
        <v>85.5549205874559</v>
      </c>
      <c r="AZ68" s="51" t="n">
        <f aca="false">AY65-AZ65</f>
        <v>0</v>
      </c>
      <c r="BA68" s="51" t="n">
        <f aca="false">AZ65-BA65</f>
        <v>0</v>
      </c>
      <c r="BB68" s="51" t="n">
        <f aca="false">BA65-BB65</f>
        <v>0</v>
      </c>
      <c r="BC68" s="51" t="n">
        <f aca="false">BB65-BC65</f>
        <v>0</v>
      </c>
      <c r="BD68" s="51" t="n">
        <f aca="false">BC65-BD65</f>
        <v>0</v>
      </c>
      <c r="BE68" s="51" t="n">
        <f aca="false">BD65-BE65</f>
        <v>0</v>
      </c>
      <c r="BF68" s="51" t="n">
        <f aca="false">BE65-BF65</f>
        <v>0</v>
      </c>
      <c r="BG68" s="51" t="n">
        <f aca="false">BF65-BG65</f>
        <v>0</v>
      </c>
      <c r="BH68" s="51" t="n">
        <f aca="false">BG65-BH65</f>
        <v>0</v>
      </c>
      <c r="BI68" s="51" t="n">
        <f aca="false">BH65-BI65</f>
        <v>-297759.328563375</v>
      </c>
      <c r="BJ68" s="51" t="n">
        <f aca="false">BI65-BJ65</f>
        <v>0</v>
      </c>
    </row>
    <row r="69" customFormat="false" ht="15" hidden="false" customHeight="false" outlineLevel="0" collapsed="false">
      <c r="A69" s="6" t="s">
        <v>288</v>
      </c>
      <c r="C69" s="51" t="n">
        <f aca="false">C66</f>
        <v>185997.87</v>
      </c>
      <c r="D69" s="51" t="n">
        <f aca="false">D66-C66</f>
        <v>0</v>
      </c>
      <c r="E69" s="51" t="n">
        <f aca="false">E66-D66</f>
        <v>0</v>
      </c>
      <c r="F69" s="51" t="n">
        <f aca="false">F66-E66</f>
        <v>0</v>
      </c>
      <c r="G69" s="51" t="n">
        <f aca="false">G66-F66</f>
        <v>0</v>
      </c>
      <c r="H69" s="51" t="n">
        <f aca="false">H66-G66</f>
        <v>0</v>
      </c>
      <c r="I69" s="51" t="n">
        <f aca="false">I66-H66</f>
        <v>0</v>
      </c>
      <c r="J69" s="51" t="n">
        <f aca="false">J66-I66</f>
        <v>0</v>
      </c>
      <c r="K69" s="51" t="n">
        <f aca="false">K66-J66</f>
        <v>0</v>
      </c>
      <c r="L69" s="51" t="n">
        <f aca="false">L66-K66</f>
        <v>0</v>
      </c>
      <c r="M69" s="51" t="n">
        <f aca="false">M66-L66</f>
        <v>42150.7800000001</v>
      </c>
      <c r="N69" s="51" t="n">
        <f aca="false">N66-M66</f>
        <v>0</v>
      </c>
      <c r="O69" s="51" t="n">
        <f aca="false">O66-N66</f>
        <v>13620.1905</v>
      </c>
      <c r="P69" s="51" t="n">
        <f aca="false">P66-O66</f>
        <v>0</v>
      </c>
      <c r="Q69" s="51" t="n">
        <f aca="false">Q66-P66</f>
        <v>0</v>
      </c>
      <c r="R69" s="51" t="n">
        <f aca="false">R66-Q66</f>
        <v>0</v>
      </c>
      <c r="S69" s="51" t="n">
        <f aca="false">S66-R66</f>
        <v>0</v>
      </c>
      <c r="T69" s="51" t="n">
        <f aca="false">T66-S66</f>
        <v>0</v>
      </c>
      <c r="U69" s="51" t="n">
        <f aca="false">U66-T66</f>
        <v>0</v>
      </c>
      <c r="V69" s="51" t="n">
        <f aca="false">V66-U66</f>
        <v>0</v>
      </c>
      <c r="W69" s="51" t="n">
        <f aca="false">W66-V66</f>
        <v>0</v>
      </c>
      <c r="X69" s="51" t="n">
        <f aca="false">X66-W66</f>
        <v>0</v>
      </c>
      <c r="Y69" s="51" t="n">
        <f aca="false">Y66-X66</f>
        <v>56995.407</v>
      </c>
      <c r="Z69" s="51" t="n">
        <f aca="false">Z66-Y66</f>
        <v>0</v>
      </c>
      <c r="AA69" s="51" t="n">
        <f aca="false">AA66-Z66</f>
        <v>9082.8297</v>
      </c>
      <c r="AB69" s="51" t="n">
        <f aca="false">AB66-AA66</f>
        <v>0</v>
      </c>
      <c r="AC69" s="51" t="n">
        <f aca="false">AC66-AB66</f>
        <v>0</v>
      </c>
      <c r="AD69" s="51" t="n">
        <f aca="false">AD66-AC66</f>
        <v>0</v>
      </c>
      <c r="AE69" s="51" t="n">
        <f aca="false">AE66-AD66</f>
        <v>0</v>
      </c>
      <c r="AF69" s="51" t="n">
        <f aca="false">AF66-AE66</f>
        <v>0</v>
      </c>
      <c r="AG69" s="51" t="n">
        <f aca="false">AG66-AF66</f>
        <v>0</v>
      </c>
      <c r="AH69" s="51" t="n">
        <f aca="false">AH66-AG66</f>
        <v>0</v>
      </c>
      <c r="AI69" s="51" t="n">
        <f aca="false">AI66-AH66</f>
        <v>0</v>
      </c>
      <c r="AJ69" s="51" t="n">
        <f aca="false">AJ66-AI66</f>
        <v>0</v>
      </c>
      <c r="AK69" s="51" t="n">
        <f aca="false">AK66-AJ66</f>
        <v>74328.2568</v>
      </c>
      <c r="AL69" s="51" t="n">
        <f aca="false">AL66-AK66</f>
        <v>0</v>
      </c>
      <c r="AM69" s="51" t="n">
        <f aca="false">AM66-AL66</f>
        <v>4527.53469000006</v>
      </c>
      <c r="AN69" s="51" t="n">
        <f aca="false">AN66-AM66</f>
        <v>0</v>
      </c>
      <c r="AO69" s="51" t="n">
        <f aca="false">AO66-AN66</f>
        <v>0</v>
      </c>
      <c r="AP69" s="51" t="n">
        <f aca="false">AP66-AO66</f>
        <v>0</v>
      </c>
      <c r="AQ69" s="51" t="n">
        <f aca="false">AQ66-AP66</f>
        <v>0</v>
      </c>
      <c r="AR69" s="51" t="n">
        <f aca="false">AR66-AQ66</f>
        <v>0</v>
      </c>
      <c r="AS69" s="51" t="n">
        <f aca="false">AS66-AR66</f>
        <v>0</v>
      </c>
      <c r="AT69" s="51" t="n">
        <f aca="false">AT66-AS66</f>
        <v>0</v>
      </c>
      <c r="AU69" s="51" t="n">
        <f aca="false">AU66-AT66</f>
        <v>0</v>
      </c>
      <c r="AV69" s="51" t="n">
        <f aca="false">AV66-AU66</f>
        <v>0</v>
      </c>
      <c r="AW69" s="51" t="n">
        <f aca="false">AW66-AV66</f>
        <v>94768.5274199999</v>
      </c>
      <c r="AX69" s="51" t="n">
        <f aca="false">AX66-AW66</f>
        <v>0</v>
      </c>
      <c r="AY69" s="51" t="n">
        <f aca="false">AY66-AX66</f>
        <v>-34.2219682349823</v>
      </c>
      <c r="AZ69" s="51" t="n">
        <f aca="false">AZ66-AY66</f>
        <v>0</v>
      </c>
      <c r="BA69" s="51" t="n">
        <f aca="false">BA66-AZ66</f>
        <v>0</v>
      </c>
      <c r="BB69" s="51" t="n">
        <f aca="false">BB66-BA66</f>
        <v>0</v>
      </c>
      <c r="BC69" s="51" t="n">
        <f aca="false">BC66-BB66</f>
        <v>0</v>
      </c>
      <c r="BD69" s="51" t="n">
        <f aca="false">BD66-BC66</f>
        <v>0</v>
      </c>
      <c r="BE69" s="51" t="n">
        <f aca="false">BE66-BD66</f>
        <v>0</v>
      </c>
      <c r="BF69" s="51" t="n">
        <f aca="false">BF66-BE66</f>
        <v>0</v>
      </c>
      <c r="BG69" s="51" t="n">
        <f aca="false">BG66-BF66</f>
        <v>0</v>
      </c>
      <c r="BH69" s="51" t="n">
        <f aca="false">BH66-BG66</f>
        <v>0</v>
      </c>
      <c r="BI69" s="51" t="n">
        <f aca="false">BI66-BH66</f>
        <v>119103.73142535</v>
      </c>
      <c r="BJ69" s="51" t="n">
        <f aca="false">BJ66-BI66</f>
        <v>0</v>
      </c>
    </row>
    <row r="71" customFormat="false" ht="15.75" hidden="false" customHeight="true" outlineLevel="0" collapsed="false">
      <c r="A71" s="7" t="s">
        <v>377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4" t="s">
        <v>49</v>
      </c>
      <c r="C72" s="58" t="n">
        <f aca="false">C48-C53+C67+C68+C69</f>
        <v>-295552.376821429</v>
      </c>
      <c r="D72" s="58" t="n">
        <f aca="false">D48-D53+D67+D68+D69</f>
        <v>12989.8440515873</v>
      </c>
      <c r="E72" s="58" t="n">
        <f aca="false">E48-E53+E67+E68+E69</f>
        <v>13033.7329404762</v>
      </c>
      <c r="F72" s="58" t="n">
        <f aca="false">F48-F53+F67+F68+F69</f>
        <v>13077.6218293651</v>
      </c>
      <c r="G72" s="58" t="n">
        <f aca="false">G48-G53+G67+G68+G69</f>
        <v>13121.5107182539</v>
      </c>
      <c r="H72" s="58" t="n">
        <f aca="false">H48-H53+H67+H68+H69</f>
        <v>13165.3996071428</v>
      </c>
      <c r="I72" s="58" t="n">
        <f aca="false">I48-I53+I67+I68+I69</f>
        <v>13209.2884960317</v>
      </c>
      <c r="J72" s="58" t="n">
        <f aca="false">J48-J53+J67+J68+J69</f>
        <v>13253.1773849206</v>
      </c>
      <c r="K72" s="58" t="n">
        <f aca="false">K48-K53+K67+K68+K69</f>
        <v>13297.0662738095</v>
      </c>
      <c r="L72" s="58" t="n">
        <f aca="false">L48-L53+L67+L68+L69</f>
        <v>13340.9551626984</v>
      </c>
      <c r="M72" s="58" t="n">
        <f aca="false">M48-M53+M67+M68+M69</f>
        <v>-19478.5164484127</v>
      </c>
      <c r="N72" s="58" t="n">
        <f aca="false">N48-N53+N67+N68+N69</f>
        <v>50482.1424404763</v>
      </c>
      <c r="O72" s="58" t="n">
        <f aca="false">O48-O53+O67+O68+O69</f>
        <v>6365.23361448417</v>
      </c>
      <c r="P72" s="58" t="n">
        <f aca="false">P48-P53+P67+P68+P69</f>
        <v>29001.343253373</v>
      </c>
      <c r="Q72" s="58" t="n">
        <f aca="false">Q48-Q53+Q67+Q68+Q69</f>
        <v>29045.2321422619</v>
      </c>
      <c r="R72" s="58" t="n">
        <f aca="false">R48-R53+R67+R68+R69</f>
        <v>29089.1210311508</v>
      </c>
      <c r="S72" s="58" t="n">
        <f aca="false">S48-S53+S67+S68+S69</f>
        <v>29133.0099200397</v>
      </c>
      <c r="T72" s="58" t="n">
        <f aca="false">T48-T53+T67+T68+T69</f>
        <v>29176.8988089286</v>
      </c>
      <c r="U72" s="58" t="n">
        <f aca="false">U48-U53+U67+U68+U69</f>
        <v>29220.7876978175</v>
      </c>
      <c r="V72" s="58" t="n">
        <f aca="false">V48-V53+V67+V68+V69</f>
        <v>29264.6765867064</v>
      </c>
      <c r="W72" s="58" t="n">
        <f aca="false">W48-W53+W67+W68+W69</f>
        <v>29308.5654755952</v>
      </c>
      <c r="X72" s="58" t="n">
        <f aca="false">X48-X53+X67+X68+X69</f>
        <v>29352.4543644841</v>
      </c>
      <c r="Y72" s="58" t="n">
        <f aca="false">Y48-Y53+Y67+Y68+Y69</f>
        <v>-14371.2716716269</v>
      </c>
      <c r="Z72" s="58" t="n">
        <f aca="false">Z48-Z53+Z67+Z68+Z69</f>
        <v>80212.6177172619</v>
      </c>
      <c r="AA72" s="58" t="n">
        <f aca="false">AA48-AA53+AA67+AA68+AA69</f>
        <v>31607.8151341063</v>
      </c>
      <c r="AB72" s="58" t="n">
        <f aca="false">AB48-AB53+AB67+AB68+AB69</f>
        <v>46717.6675729951</v>
      </c>
      <c r="AC72" s="58" t="n">
        <f aca="false">AC48-AC53+AC67+AC68+AC69</f>
        <v>46761.556461884</v>
      </c>
      <c r="AD72" s="58" t="n">
        <f aca="false">AD48-AD53+AD67+AD68+AD69</f>
        <v>46805.4453507729</v>
      </c>
      <c r="AE72" s="58" t="n">
        <f aca="false">AE48-AE53+AE67+AE68+AE69</f>
        <v>46849.3342396618</v>
      </c>
      <c r="AF72" s="58" t="n">
        <f aca="false">AF48-AF53+AF67+AF68+AF69</f>
        <v>46893.2231285506</v>
      </c>
      <c r="AG72" s="58" t="n">
        <f aca="false">AG48-AG53+AG67+AG68+AG69</f>
        <v>46937.1120174396</v>
      </c>
      <c r="AH72" s="58" t="n">
        <f aca="false">AH48-AH53+AH67+AH68+AH69</f>
        <v>46981.0009063284</v>
      </c>
      <c r="AI72" s="58" t="n">
        <f aca="false">AI48-AI53+AI67+AI68+AI69</f>
        <v>47024.8897952173</v>
      </c>
      <c r="AJ72" s="58" t="n">
        <f aca="false">AJ48-AJ53+AJ67+AJ68+AJ69</f>
        <v>47068.7786841062</v>
      </c>
      <c r="AK72" s="58" t="n">
        <f aca="false">AK48-AK53+AK67+AK68+AK69</f>
        <v>-9521.90224700479</v>
      </c>
      <c r="AL72" s="58" t="n">
        <f aca="false">AL48-AL53+AL67+AL68+AL69</f>
        <v>113812.507841884</v>
      </c>
      <c r="AM72" s="58" t="n">
        <f aca="false">AM48-AM53+AM67+AM68+AM69</f>
        <v>58848.1150221664</v>
      </c>
      <c r="AN72" s="58" t="n">
        <f aca="false">AN48-AN53+AN67+AN68+AN69</f>
        <v>66401.9622460554</v>
      </c>
      <c r="AO72" s="58" t="n">
        <f aca="false">AO48-AO53+AO67+AO68+AO69</f>
        <v>66445.8511349443</v>
      </c>
      <c r="AP72" s="58" t="n">
        <f aca="false">AP48-AP53+AP67+AP68+AP69</f>
        <v>66489.7400238332</v>
      </c>
      <c r="AQ72" s="58" t="n">
        <f aca="false">AQ48-AQ53+AQ67+AQ68+AQ69</f>
        <v>66533.6289127221</v>
      </c>
      <c r="AR72" s="58" t="n">
        <f aca="false">AR48-AR53+AR67+AR68+AR69</f>
        <v>66577.517801611</v>
      </c>
      <c r="AS72" s="58" t="n">
        <f aca="false">AS48-AS53+AS67+AS68+AS69</f>
        <v>66621.4066904998</v>
      </c>
      <c r="AT72" s="58" t="n">
        <f aca="false">AT48-AT53+AT67+AT68+AT69</f>
        <v>66665.2955793887</v>
      </c>
      <c r="AU72" s="58" t="n">
        <f aca="false">AU48-AU53+AU67+AU68+AU69</f>
        <v>66709.1844682776</v>
      </c>
      <c r="AV72" s="58" t="n">
        <f aca="false">AV48-AV53+AV67+AV68+AV69</f>
        <v>66753.0733571665</v>
      </c>
      <c r="AW72" s="58" t="n">
        <f aca="false">AW48-AW53+AW67+AW68+AW69</f>
        <v>-5156.15427444465</v>
      </c>
      <c r="AX72" s="58" t="n">
        <f aca="false">AX48-AX53+AX67+AX68+AX69</f>
        <v>152083.149144444</v>
      </c>
      <c r="AY72" s="58" t="n">
        <f aca="false">AY48-AY53+AY67+AY68+AY69</f>
        <v>88366.9770592411</v>
      </c>
      <c r="AZ72" s="58" t="n">
        <f aca="false">AZ48-AZ53+AZ67+AZ68+AZ69</f>
        <v>88354.1009373275</v>
      </c>
      <c r="BA72" s="58" t="n">
        <f aca="false">BA48-BA53+BA67+BA68+BA69</f>
        <v>88397.9898262163</v>
      </c>
      <c r="BB72" s="58" t="n">
        <f aca="false">BB48-BB53+BB67+BB68+BB69</f>
        <v>88441.8787151052</v>
      </c>
      <c r="BC72" s="58" t="n">
        <f aca="false">BC48-BC53+BC67+BC68+BC69</f>
        <v>88485.7676039941</v>
      </c>
      <c r="BD72" s="58" t="n">
        <f aca="false">BD48-BD53+BD67+BD68+BD69</f>
        <v>88529.656492883</v>
      </c>
      <c r="BE72" s="58" t="n">
        <f aca="false">BE48-BE53+BE67+BE68+BE69</f>
        <v>88573.5453817719</v>
      </c>
      <c r="BF72" s="58" t="n">
        <f aca="false">BF48-BF53+BF67+BF68+BF69</f>
        <v>88617.4342706608</v>
      </c>
      <c r="BG72" s="58" t="n">
        <f aca="false">BG48-BG53+BG67+BG68+BG69</f>
        <v>88661.3231595497</v>
      </c>
      <c r="BH72" s="58" t="n">
        <f aca="false">BH48-BH53+BH67+BH68+BH69</f>
        <v>88705.2120484386</v>
      </c>
      <c r="BI72" s="58" t="n">
        <f aca="false">BI48-BI53+BI67+BI68+BI69</f>
        <v>-1593.70443254372</v>
      </c>
      <c r="BJ72" s="58" t="n">
        <f aca="false">BJ48-BJ53+BJ67+BJ68+BJ69</f>
        <v>196011.13578887</v>
      </c>
    </row>
    <row r="73" customFormat="false" ht="15" hidden="false" customHeight="false" outlineLevel="0" collapsed="false">
      <c r="A73" s="6" t="s">
        <v>378</v>
      </c>
      <c r="C73" s="51" t="n">
        <f aca="false">-C51</f>
        <v>-350000</v>
      </c>
      <c r="D73" s="51" t="n">
        <f aca="false">-D51</f>
        <v>-0</v>
      </c>
      <c r="E73" s="51" t="n">
        <f aca="false">-E51</f>
        <v>-0</v>
      </c>
      <c r="F73" s="51" t="n">
        <f aca="false">-F51</f>
        <v>-0</v>
      </c>
      <c r="G73" s="51" t="n">
        <f aca="false">-G51</f>
        <v>-0</v>
      </c>
      <c r="H73" s="51" t="n">
        <f aca="false">-H51</f>
        <v>-0</v>
      </c>
      <c r="I73" s="51" t="n">
        <f aca="false">-I51</f>
        <v>-0</v>
      </c>
      <c r="J73" s="51" t="n">
        <f aca="false">-J51</f>
        <v>-0</v>
      </c>
      <c r="K73" s="51" t="n">
        <f aca="false">-K51</f>
        <v>-0</v>
      </c>
      <c r="L73" s="51" t="n">
        <f aca="false">-L51</f>
        <v>-0</v>
      </c>
      <c r="M73" s="51" t="n">
        <f aca="false">-M51</f>
        <v>-0</v>
      </c>
      <c r="N73" s="51" t="n">
        <f aca="false">-N51</f>
        <v>-0</v>
      </c>
      <c r="O73" s="51" t="n">
        <f aca="false">-O51</f>
        <v>-150000</v>
      </c>
      <c r="P73" s="51" t="n">
        <f aca="false">-P51</f>
        <v>-0</v>
      </c>
      <c r="Q73" s="51" t="n">
        <f aca="false">-Q51</f>
        <v>-0</v>
      </c>
      <c r="R73" s="51" t="n">
        <f aca="false">-R51</f>
        <v>-0</v>
      </c>
      <c r="S73" s="51" t="n">
        <f aca="false">-S51</f>
        <v>-0</v>
      </c>
      <c r="T73" s="51" t="n">
        <f aca="false">-T51</f>
        <v>-0</v>
      </c>
      <c r="U73" s="51" t="n">
        <f aca="false">-U51</f>
        <v>-0</v>
      </c>
      <c r="V73" s="51" t="n">
        <f aca="false">-V51</f>
        <v>-0</v>
      </c>
      <c r="W73" s="51" t="n">
        <f aca="false">-W51</f>
        <v>-0</v>
      </c>
      <c r="X73" s="51" t="n">
        <f aca="false">-X51</f>
        <v>-0</v>
      </c>
      <c r="Y73" s="51" t="n">
        <f aca="false">-Y51</f>
        <v>-0</v>
      </c>
      <c r="Z73" s="51" t="n">
        <f aca="false">-Z51</f>
        <v>-0</v>
      </c>
      <c r="AA73" s="51" t="n">
        <f aca="false">-AA51</f>
        <v>-150000</v>
      </c>
      <c r="AB73" s="51" t="n">
        <f aca="false">-AB51</f>
        <v>-0</v>
      </c>
      <c r="AC73" s="51" t="n">
        <f aca="false">-AC51</f>
        <v>-0</v>
      </c>
      <c r="AD73" s="51" t="n">
        <f aca="false">-AD51</f>
        <v>-0</v>
      </c>
      <c r="AE73" s="51" t="n">
        <f aca="false">-AE51</f>
        <v>-0</v>
      </c>
      <c r="AF73" s="51" t="n">
        <f aca="false">-AF51</f>
        <v>-0</v>
      </c>
      <c r="AG73" s="51" t="n">
        <f aca="false">-AG51</f>
        <v>-0</v>
      </c>
      <c r="AH73" s="51" t="n">
        <f aca="false">-AH51</f>
        <v>-0</v>
      </c>
      <c r="AI73" s="51" t="n">
        <f aca="false">-AI51</f>
        <v>-0</v>
      </c>
      <c r="AJ73" s="51" t="n">
        <f aca="false">-AJ51</f>
        <v>-0</v>
      </c>
      <c r="AK73" s="51" t="n">
        <f aca="false">-AK51</f>
        <v>-0</v>
      </c>
      <c r="AL73" s="51" t="n">
        <f aca="false">-AL51</f>
        <v>-0</v>
      </c>
      <c r="AM73" s="51" t="n">
        <f aca="false">-AM51</f>
        <v>-150000</v>
      </c>
      <c r="AN73" s="51" t="n">
        <f aca="false">-AN51</f>
        <v>-0</v>
      </c>
      <c r="AO73" s="51" t="n">
        <f aca="false">-AO51</f>
        <v>-0</v>
      </c>
      <c r="AP73" s="51" t="n">
        <f aca="false">-AP51</f>
        <v>-0</v>
      </c>
      <c r="AQ73" s="51" t="n">
        <f aca="false">-AQ51</f>
        <v>-0</v>
      </c>
      <c r="AR73" s="51" t="n">
        <f aca="false">-AR51</f>
        <v>-0</v>
      </c>
      <c r="AS73" s="51" t="n">
        <f aca="false">-AS51</f>
        <v>-0</v>
      </c>
      <c r="AT73" s="51" t="n">
        <f aca="false">-AT51</f>
        <v>-0</v>
      </c>
      <c r="AU73" s="51" t="n">
        <f aca="false">-AU51</f>
        <v>-0</v>
      </c>
      <c r="AV73" s="51" t="n">
        <f aca="false">-AV51</f>
        <v>-0</v>
      </c>
      <c r="AW73" s="51" t="n">
        <f aca="false">-AW51</f>
        <v>-0</v>
      </c>
      <c r="AX73" s="51" t="n">
        <f aca="false">-AX51</f>
        <v>-0</v>
      </c>
      <c r="AY73" s="51" t="n">
        <f aca="false">-AY51</f>
        <v>-150000</v>
      </c>
      <c r="AZ73" s="51" t="n">
        <f aca="false">-AZ51</f>
        <v>-0</v>
      </c>
      <c r="BA73" s="51" t="n">
        <f aca="false">-BA51</f>
        <v>-0</v>
      </c>
      <c r="BB73" s="51" t="n">
        <f aca="false">-BB51</f>
        <v>-0</v>
      </c>
      <c r="BC73" s="51" t="n">
        <f aca="false">-BC51</f>
        <v>-0</v>
      </c>
      <c r="BD73" s="51" t="n">
        <f aca="false">-BD51</f>
        <v>-0</v>
      </c>
      <c r="BE73" s="51" t="n">
        <f aca="false">-BE51</f>
        <v>-0</v>
      </c>
      <c r="BF73" s="51" t="n">
        <f aca="false">-BF51</f>
        <v>-0</v>
      </c>
      <c r="BG73" s="51" t="n">
        <f aca="false">-BG51</f>
        <v>-0</v>
      </c>
      <c r="BH73" s="51" t="n">
        <f aca="false">-BH51</f>
        <v>-0</v>
      </c>
      <c r="BI73" s="51" t="n">
        <f aca="false">-BI51</f>
        <v>-0</v>
      </c>
      <c r="BJ73" s="51" t="n">
        <f aca="false">-BJ51</f>
        <v>-0</v>
      </c>
    </row>
    <row r="74" customFormat="false" ht="15" hidden="false" customHeight="false" outlineLevel="0" collapsed="false">
      <c r="A74" s="6" t="s">
        <v>61</v>
      </c>
      <c r="C74" s="51" t="n">
        <f aca="false">IF(C$4=1,Inputs!$E$58,0)</f>
        <v>1500000</v>
      </c>
      <c r="D74" s="51" t="n">
        <f aca="false">IF(D$4=1,Inputs!$E$58,0)</f>
        <v>0</v>
      </c>
      <c r="E74" s="51" t="n">
        <f aca="false">IF(E$4=1,Inputs!$E$58,0)</f>
        <v>0</v>
      </c>
      <c r="F74" s="51" t="n">
        <f aca="false">IF(F$4=1,Inputs!$E$58,0)</f>
        <v>0</v>
      </c>
      <c r="G74" s="51" t="n">
        <f aca="false">IF(G$4=1,Inputs!$E$58,0)</f>
        <v>0</v>
      </c>
      <c r="H74" s="51" t="n">
        <f aca="false">IF(H$4=1,Inputs!$E$58,0)</f>
        <v>0</v>
      </c>
      <c r="I74" s="51" t="n">
        <f aca="false">IF(I$4=1,Inputs!$E$58,0)</f>
        <v>0</v>
      </c>
      <c r="J74" s="51" t="n">
        <f aca="false">IF(J$4=1,Inputs!$E$58,0)</f>
        <v>0</v>
      </c>
      <c r="K74" s="51" t="n">
        <f aca="false">IF(K$4=1,Inputs!$E$58,0)</f>
        <v>0</v>
      </c>
      <c r="L74" s="51" t="n">
        <f aca="false">IF(L$4=1,Inputs!$E$58,0)</f>
        <v>0</v>
      </c>
      <c r="M74" s="51" t="n">
        <f aca="false">IF(M$4=1,Inputs!$E$58,0)</f>
        <v>0</v>
      </c>
      <c r="N74" s="51" t="n">
        <f aca="false">IF(N$4=1,Inputs!$E$58,0)</f>
        <v>0</v>
      </c>
      <c r="O74" s="51" t="n">
        <f aca="false">IF(O$4=1,Inputs!$E$58,0)</f>
        <v>0</v>
      </c>
      <c r="P74" s="51" t="n">
        <f aca="false">IF(P$4=1,Inputs!$E$58,0)</f>
        <v>0</v>
      </c>
      <c r="Q74" s="51" t="n">
        <f aca="false">IF(Q$4=1,Inputs!$E$58,0)</f>
        <v>0</v>
      </c>
      <c r="R74" s="51" t="n">
        <f aca="false">IF(R$4=1,Inputs!$E$58,0)</f>
        <v>0</v>
      </c>
      <c r="S74" s="51" t="n">
        <f aca="false">IF(S$4=1,Inputs!$E$58,0)</f>
        <v>0</v>
      </c>
      <c r="T74" s="51" t="n">
        <f aca="false">IF(T$4=1,Inputs!$E$58,0)</f>
        <v>0</v>
      </c>
      <c r="U74" s="51" t="n">
        <f aca="false">IF(U$4=1,Inputs!$E$58,0)</f>
        <v>0</v>
      </c>
      <c r="V74" s="51" t="n">
        <f aca="false">IF(V$4=1,Inputs!$E$58,0)</f>
        <v>0</v>
      </c>
      <c r="W74" s="51" t="n">
        <f aca="false">IF(W$4=1,Inputs!$E$58,0)</f>
        <v>0</v>
      </c>
      <c r="X74" s="51" t="n">
        <f aca="false">IF(X$4=1,Inputs!$E$58,0)</f>
        <v>0</v>
      </c>
      <c r="Y74" s="51" t="n">
        <f aca="false">IF(Y$4=1,Inputs!$E$58,0)</f>
        <v>0</v>
      </c>
      <c r="Z74" s="51" t="n">
        <f aca="false">IF(Z$4=1,Inputs!$E$58,0)</f>
        <v>0</v>
      </c>
      <c r="AA74" s="51" t="n">
        <f aca="false">IF(AA$4=1,Inputs!$E$58,0)</f>
        <v>0</v>
      </c>
      <c r="AB74" s="51" t="n">
        <f aca="false">IF(AB$4=1,Inputs!$E$58,0)</f>
        <v>0</v>
      </c>
      <c r="AC74" s="51" t="n">
        <f aca="false">IF(AC$4=1,Inputs!$E$58,0)</f>
        <v>0</v>
      </c>
      <c r="AD74" s="51" t="n">
        <f aca="false">IF(AD$4=1,Inputs!$E$58,0)</f>
        <v>0</v>
      </c>
      <c r="AE74" s="51" t="n">
        <f aca="false">IF(AE$4=1,Inputs!$E$58,0)</f>
        <v>0</v>
      </c>
      <c r="AF74" s="51" t="n">
        <f aca="false">IF(AF$4=1,Inputs!$E$58,0)</f>
        <v>0</v>
      </c>
      <c r="AG74" s="51" t="n">
        <f aca="false">IF(AG$4=1,Inputs!$E$58,0)</f>
        <v>0</v>
      </c>
      <c r="AH74" s="51" t="n">
        <f aca="false">IF(AH$4=1,Inputs!$E$58,0)</f>
        <v>0</v>
      </c>
      <c r="AI74" s="51" t="n">
        <f aca="false">IF(AI$4=1,Inputs!$E$58,0)</f>
        <v>0</v>
      </c>
      <c r="AJ74" s="51" t="n">
        <f aca="false">IF(AJ$4=1,Inputs!$E$58,0)</f>
        <v>0</v>
      </c>
      <c r="AK74" s="51" t="n">
        <f aca="false">IF(AK$4=1,Inputs!$E$58,0)</f>
        <v>0</v>
      </c>
      <c r="AL74" s="51" t="n">
        <f aca="false">IF(AL$4=1,Inputs!$E$58,0)</f>
        <v>0</v>
      </c>
      <c r="AM74" s="51" t="n">
        <f aca="false">IF(AM$4=1,Inputs!$E$58,0)</f>
        <v>0</v>
      </c>
      <c r="AN74" s="51" t="n">
        <f aca="false">IF(AN$4=1,Inputs!$E$58,0)</f>
        <v>0</v>
      </c>
      <c r="AO74" s="51" t="n">
        <f aca="false">IF(AO$4=1,Inputs!$E$58,0)</f>
        <v>0</v>
      </c>
      <c r="AP74" s="51" t="n">
        <f aca="false">IF(AP$4=1,Inputs!$E$58,0)</f>
        <v>0</v>
      </c>
      <c r="AQ74" s="51" t="n">
        <f aca="false">IF(AQ$4=1,Inputs!$E$58,0)</f>
        <v>0</v>
      </c>
      <c r="AR74" s="51" t="n">
        <f aca="false">IF(AR$4=1,Inputs!$E$58,0)</f>
        <v>0</v>
      </c>
      <c r="AS74" s="51" t="n">
        <f aca="false">IF(AS$4=1,Inputs!$E$58,0)</f>
        <v>0</v>
      </c>
      <c r="AT74" s="51" t="n">
        <f aca="false">IF(AT$4=1,Inputs!$E$58,0)</f>
        <v>0</v>
      </c>
      <c r="AU74" s="51" t="n">
        <f aca="false">IF(AU$4=1,Inputs!$E$58,0)</f>
        <v>0</v>
      </c>
      <c r="AV74" s="51" t="n">
        <f aca="false">IF(AV$4=1,Inputs!$E$58,0)</f>
        <v>0</v>
      </c>
      <c r="AW74" s="51" t="n">
        <f aca="false">IF(AW$4=1,Inputs!$E$58,0)</f>
        <v>0</v>
      </c>
      <c r="AX74" s="51" t="n">
        <f aca="false">IF(AX$4=1,Inputs!$E$58,0)</f>
        <v>0</v>
      </c>
      <c r="AY74" s="51" t="n">
        <f aca="false">IF(AY$4=1,Inputs!$E$58,0)</f>
        <v>0</v>
      </c>
      <c r="AZ74" s="51" t="n">
        <f aca="false">IF(AZ$4=1,Inputs!$E$58,0)</f>
        <v>0</v>
      </c>
      <c r="BA74" s="51" t="n">
        <f aca="false">IF(BA$4=1,Inputs!$E$58,0)</f>
        <v>0</v>
      </c>
      <c r="BB74" s="51" t="n">
        <f aca="false">IF(BB$4=1,Inputs!$E$58,0)</f>
        <v>0</v>
      </c>
      <c r="BC74" s="51" t="n">
        <f aca="false">IF(BC$4=1,Inputs!$E$58,0)</f>
        <v>0</v>
      </c>
      <c r="BD74" s="51" t="n">
        <f aca="false">IF(BD$4=1,Inputs!$E$58,0)</f>
        <v>0</v>
      </c>
      <c r="BE74" s="51" t="n">
        <f aca="false">IF(BE$4=1,Inputs!$E$58,0)</f>
        <v>0</v>
      </c>
      <c r="BF74" s="51" t="n">
        <f aca="false">IF(BF$4=1,Inputs!$E$58,0)</f>
        <v>0</v>
      </c>
      <c r="BG74" s="51" t="n">
        <f aca="false">IF(BG$4=1,Inputs!$E$58,0)</f>
        <v>0</v>
      </c>
      <c r="BH74" s="51" t="n">
        <f aca="false">IF(BH$4=1,Inputs!$E$58,0)</f>
        <v>0</v>
      </c>
      <c r="BI74" s="51" t="n">
        <f aca="false">IF(BI$4=1,Inputs!$E$58,0)</f>
        <v>0</v>
      </c>
      <c r="BJ74" s="51" t="n">
        <f aca="false">IF(BJ$4=1,Inputs!$E$58,0)</f>
        <v>0</v>
      </c>
    </row>
    <row r="75" customFormat="false" ht="15" hidden="false" customHeight="false" outlineLevel="0" collapsed="false">
      <c r="A75" s="6" t="s">
        <v>51</v>
      </c>
      <c r="C75" s="51" t="n">
        <f aca="false">C74+C59+C60</f>
        <v>2000000</v>
      </c>
      <c r="D75" s="51" t="n">
        <f aca="false">D74+D59+D60</f>
        <v>-8333.33333333333</v>
      </c>
      <c r="E75" s="51" t="n">
        <f aca="false">E74+E59+E60</f>
        <v>-8333.33333333333</v>
      </c>
      <c r="F75" s="51" t="n">
        <f aca="false">F74+F59+F60</f>
        <v>-8333.33333333333</v>
      </c>
      <c r="G75" s="51" t="n">
        <f aca="false">G74+G59+G60</f>
        <v>-8333.33333333333</v>
      </c>
      <c r="H75" s="51" t="n">
        <f aca="false">H74+H59+H60</f>
        <v>-8333.33333333333</v>
      </c>
      <c r="I75" s="51" t="n">
        <f aca="false">I74+I59+I60</f>
        <v>-8333.33333333333</v>
      </c>
      <c r="J75" s="51" t="n">
        <f aca="false">J74+J59+J60</f>
        <v>-8333.33333333333</v>
      </c>
      <c r="K75" s="51" t="n">
        <f aca="false">K74+K59+K60</f>
        <v>-8333.33333333333</v>
      </c>
      <c r="L75" s="51" t="n">
        <f aca="false">L74+L59+L60</f>
        <v>-8333.33333333333</v>
      </c>
      <c r="M75" s="51" t="n">
        <f aca="false">M74+M59+M60</f>
        <v>-8333.33333333333</v>
      </c>
      <c r="N75" s="51" t="n">
        <f aca="false">N74+N59+N60</f>
        <v>-8333.33333333333</v>
      </c>
      <c r="O75" s="51" t="n">
        <f aca="false">O74+O59+O60</f>
        <v>-8333.33333333333</v>
      </c>
      <c r="P75" s="51" t="n">
        <f aca="false">P74+P59+P60</f>
        <v>-8333.33333333333</v>
      </c>
      <c r="Q75" s="51" t="n">
        <f aca="false">Q74+Q59+Q60</f>
        <v>-8333.33333333333</v>
      </c>
      <c r="R75" s="51" t="n">
        <f aca="false">R74+R59+R60</f>
        <v>-8333.33333333333</v>
      </c>
      <c r="S75" s="51" t="n">
        <f aca="false">S74+S59+S60</f>
        <v>-8333.33333333333</v>
      </c>
      <c r="T75" s="51" t="n">
        <f aca="false">T74+T59+T60</f>
        <v>-8333.33333333333</v>
      </c>
      <c r="U75" s="51" t="n">
        <f aca="false">U74+U59+U60</f>
        <v>-8333.33333333333</v>
      </c>
      <c r="V75" s="51" t="n">
        <f aca="false">V74+V59+V60</f>
        <v>-8333.33333333333</v>
      </c>
      <c r="W75" s="51" t="n">
        <f aca="false">W74+W59+W60</f>
        <v>-8333.33333333333</v>
      </c>
      <c r="X75" s="51" t="n">
        <f aca="false">X74+X59+X60</f>
        <v>-8333.33333333333</v>
      </c>
      <c r="Y75" s="51" t="n">
        <f aca="false">Y74+Y59+Y60</f>
        <v>-8333.33333333333</v>
      </c>
      <c r="Z75" s="51" t="n">
        <f aca="false">Z74+Z59+Z60</f>
        <v>-8333.33333333333</v>
      </c>
      <c r="AA75" s="51" t="n">
        <f aca="false">AA74+AA59+AA60</f>
        <v>-8333.33333333333</v>
      </c>
      <c r="AB75" s="51" t="n">
        <f aca="false">AB74+AB59+AB60</f>
        <v>-8333.33333333333</v>
      </c>
      <c r="AC75" s="51" t="n">
        <f aca="false">AC74+AC59+AC60</f>
        <v>-8333.33333333333</v>
      </c>
      <c r="AD75" s="51" t="n">
        <f aca="false">AD74+AD59+AD60</f>
        <v>-8333.33333333333</v>
      </c>
      <c r="AE75" s="51" t="n">
        <f aca="false">AE74+AE59+AE60</f>
        <v>-8333.33333333333</v>
      </c>
      <c r="AF75" s="51" t="n">
        <f aca="false">AF74+AF59+AF60</f>
        <v>-8333.33333333333</v>
      </c>
      <c r="AG75" s="51" t="n">
        <f aca="false">AG74+AG59+AG60</f>
        <v>-8333.33333333333</v>
      </c>
      <c r="AH75" s="51" t="n">
        <f aca="false">AH74+AH59+AH60</f>
        <v>-8333.33333333333</v>
      </c>
      <c r="AI75" s="51" t="n">
        <f aca="false">AI74+AI59+AI60</f>
        <v>-8333.33333333333</v>
      </c>
      <c r="AJ75" s="51" t="n">
        <f aca="false">AJ74+AJ59+AJ60</f>
        <v>-8333.33333333333</v>
      </c>
      <c r="AK75" s="51" t="n">
        <f aca="false">AK74+AK59+AK60</f>
        <v>-8333.33333333333</v>
      </c>
      <c r="AL75" s="51" t="n">
        <f aca="false">AL74+AL59+AL60</f>
        <v>-8333.33333333333</v>
      </c>
      <c r="AM75" s="51" t="n">
        <f aca="false">AM74+AM59+AM60</f>
        <v>-8333.33333333333</v>
      </c>
      <c r="AN75" s="51" t="n">
        <f aca="false">AN74+AN59+AN60</f>
        <v>-8333.33333333333</v>
      </c>
      <c r="AO75" s="51" t="n">
        <f aca="false">AO74+AO59+AO60</f>
        <v>-8333.33333333333</v>
      </c>
      <c r="AP75" s="51" t="n">
        <f aca="false">AP74+AP59+AP60</f>
        <v>-8333.33333333333</v>
      </c>
      <c r="AQ75" s="51" t="n">
        <f aca="false">AQ74+AQ59+AQ60</f>
        <v>-8333.33333333333</v>
      </c>
      <c r="AR75" s="51" t="n">
        <f aca="false">AR74+AR59+AR60</f>
        <v>-8333.33333333333</v>
      </c>
      <c r="AS75" s="51" t="n">
        <f aca="false">AS74+AS59+AS60</f>
        <v>-8333.33333333333</v>
      </c>
      <c r="AT75" s="51" t="n">
        <f aca="false">AT74+AT59+AT60</f>
        <v>-8333.33333333333</v>
      </c>
      <c r="AU75" s="51" t="n">
        <f aca="false">AU74+AU59+AU60</f>
        <v>-8333.33333333333</v>
      </c>
      <c r="AV75" s="51" t="n">
        <f aca="false">AV74+AV59+AV60</f>
        <v>-8333.33333333333</v>
      </c>
      <c r="AW75" s="51" t="n">
        <f aca="false">AW74+AW59+AW60</f>
        <v>-8333.33333333333</v>
      </c>
      <c r="AX75" s="51" t="n">
        <f aca="false">AX74+AX59+AX60</f>
        <v>-8333.33333333333</v>
      </c>
      <c r="AY75" s="51" t="n">
        <f aca="false">AY74+AY59+AY60</f>
        <v>-8333.33333333333</v>
      </c>
      <c r="AZ75" s="51" t="n">
        <f aca="false">AZ74+AZ59+AZ60</f>
        <v>-8333.33333333333</v>
      </c>
      <c r="BA75" s="51" t="n">
        <f aca="false">BA74+BA59+BA60</f>
        <v>-8333.33333333333</v>
      </c>
      <c r="BB75" s="51" t="n">
        <f aca="false">BB74+BB59+BB60</f>
        <v>-8333.33333333333</v>
      </c>
      <c r="BC75" s="51" t="n">
        <f aca="false">BC74+BC59+BC60</f>
        <v>-8333.33333333333</v>
      </c>
      <c r="BD75" s="51" t="n">
        <f aca="false">BD74+BD59+BD60</f>
        <v>-8333.33333333333</v>
      </c>
      <c r="BE75" s="51" t="n">
        <f aca="false">BE74+BE59+BE60</f>
        <v>-8333.33333333333</v>
      </c>
      <c r="BF75" s="51" t="n">
        <f aca="false">BF74+BF59+BF60</f>
        <v>-8333.33333333333</v>
      </c>
      <c r="BG75" s="51" t="n">
        <f aca="false">BG74+BG59+BG60</f>
        <v>-8333.33333333333</v>
      </c>
      <c r="BH75" s="51" t="n">
        <f aca="false">BH74+BH59+BH60</f>
        <v>-8333.33333333333</v>
      </c>
      <c r="BI75" s="51" t="n">
        <f aca="false">BI74+BI59+BI60</f>
        <v>-8333.33333333333</v>
      </c>
      <c r="BJ75" s="51" t="n">
        <f aca="false">BJ74+BJ59+BJ60</f>
        <v>-8333.33333333333</v>
      </c>
    </row>
    <row r="76" customFormat="false" ht="15" hidden="false" customHeight="false" outlineLevel="0" collapsed="false">
      <c r="A76" s="92" t="s">
        <v>379</v>
      </c>
      <c r="C76" s="52" t="n">
        <f aca="false">C72+C73+C75</f>
        <v>1354447.62317857</v>
      </c>
      <c r="D76" s="52" t="n">
        <f aca="false">D72+D73+D75</f>
        <v>4656.51071825395</v>
      </c>
      <c r="E76" s="52" t="n">
        <f aca="false">E72+E73+E75</f>
        <v>4700.39960714284</v>
      </c>
      <c r="F76" s="52" t="n">
        <f aca="false">F72+F73+F75</f>
        <v>4744.28849603173</v>
      </c>
      <c r="G76" s="52" t="n">
        <f aca="false">G72+G73+G75</f>
        <v>4788.17738492061</v>
      </c>
      <c r="H76" s="52" t="n">
        <f aca="false">H72+H73+H75</f>
        <v>4832.0662738095</v>
      </c>
      <c r="I76" s="52" t="n">
        <f aca="false">I72+I73+I75</f>
        <v>4875.95516269839</v>
      </c>
      <c r="J76" s="52" t="n">
        <f aca="false">J72+J73+J75</f>
        <v>4919.84405158728</v>
      </c>
      <c r="K76" s="52" t="n">
        <f aca="false">K72+K73+K75</f>
        <v>4963.73294047617</v>
      </c>
      <c r="L76" s="52" t="n">
        <f aca="false">L72+L73+L75</f>
        <v>5007.62182936506</v>
      </c>
      <c r="M76" s="52" t="n">
        <f aca="false">M72+M73+M75</f>
        <v>-27811.849781746</v>
      </c>
      <c r="N76" s="52" t="n">
        <f aca="false">N72+N73+N75</f>
        <v>42148.809107143</v>
      </c>
      <c r="O76" s="52" t="n">
        <f aca="false">O72+O73+O75</f>
        <v>-151968.099718849</v>
      </c>
      <c r="P76" s="52" t="n">
        <f aca="false">P72+P73+P75</f>
        <v>20668.0099200397</v>
      </c>
      <c r="Q76" s="52" t="n">
        <f aca="false">Q72+Q73+Q75</f>
        <v>20711.8988089286</v>
      </c>
      <c r="R76" s="52" t="n">
        <f aca="false">R72+R73+R75</f>
        <v>20755.7876978175</v>
      </c>
      <c r="S76" s="52" t="n">
        <f aca="false">S72+S73+S75</f>
        <v>20799.6765867064</v>
      </c>
      <c r="T76" s="52" t="n">
        <f aca="false">T72+T73+T75</f>
        <v>20843.5654755952</v>
      </c>
      <c r="U76" s="52" t="n">
        <f aca="false">U72+U73+U75</f>
        <v>20887.4543644841</v>
      </c>
      <c r="V76" s="52" t="n">
        <f aca="false">V72+V73+V75</f>
        <v>20931.343253373</v>
      </c>
      <c r="W76" s="52" t="n">
        <f aca="false">W72+W73+W75</f>
        <v>20975.2321422619</v>
      </c>
      <c r="X76" s="52" t="n">
        <f aca="false">X72+X73+X75</f>
        <v>21019.1210311508</v>
      </c>
      <c r="Y76" s="52" t="n">
        <f aca="false">Y72+Y73+Y75</f>
        <v>-22704.6050049603</v>
      </c>
      <c r="Z76" s="52" t="n">
        <f aca="false">Z72+Z73+Z75</f>
        <v>71879.2843839286</v>
      </c>
      <c r="AA76" s="52" t="n">
        <f aca="false">AA72+AA73+AA75</f>
        <v>-126725.518199227</v>
      </c>
      <c r="AB76" s="52" t="n">
        <f aca="false">AB72+AB73+AB75</f>
        <v>38384.3342396618</v>
      </c>
      <c r="AC76" s="52" t="n">
        <f aca="false">AC72+AC73+AC75</f>
        <v>38428.2231285507</v>
      </c>
      <c r="AD76" s="52" t="n">
        <f aca="false">AD72+AD73+AD75</f>
        <v>38472.1120174395</v>
      </c>
      <c r="AE76" s="52" t="n">
        <f aca="false">AE72+AE73+AE75</f>
        <v>38516.0009063284</v>
      </c>
      <c r="AF76" s="52" t="n">
        <f aca="false">AF72+AF73+AF75</f>
        <v>38559.8897952173</v>
      </c>
      <c r="AG76" s="52" t="n">
        <f aca="false">AG72+AG73+AG75</f>
        <v>38603.7786841062</v>
      </c>
      <c r="AH76" s="52" t="n">
        <f aca="false">AH72+AH73+AH75</f>
        <v>38647.6675729951</v>
      </c>
      <c r="AI76" s="52" t="n">
        <f aca="false">AI72+AI73+AI75</f>
        <v>38691.556461884</v>
      </c>
      <c r="AJ76" s="52" t="n">
        <f aca="false">AJ72+AJ73+AJ75</f>
        <v>38735.4453507729</v>
      </c>
      <c r="AK76" s="52" t="n">
        <f aca="false">AK72+AK73+AK75</f>
        <v>-17855.2355803381</v>
      </c>
      <c r="AL76" s="52" t="n">
        <f aca="false">AL72+AL73+AL75</f>
        <v>105479.174508551</v>
      </c>
      <c r="AM76" s="52" t="n">
        <f aca="false">AM72+AM73+AM75</f>
        <v>-99485.2183111669</v>
      </c>
      <c r="AN76" s="52" t="n">
        <f aca="false">AN72+AN73+AN75</f>
        <v>58068.628912722</v>
      </c>
      <c r="AO76" s="52" t="n">
        <f aca="false">AO72+AO73+AO75</f>
        <v>58112.517801611</v>
      </c>
      <c r="AP76" s="52" t="n">
        <f aca="false">AP72+AP73+AP75</f>
        <v>58156.4066904998</v>
      </c>
      <c r="AQ76" s="52" t="n">
        <f aca="false">AQ72+AQ73+AQ75</f>
        <v>58200.2955793887</v>
      </c>
      <c r="AR76" s="52" t="n">
        <f aca="false">AR72+AR73+AR75</f>
        <v>58244.1844682776</v>
      </c>
      <c r="AS76" s="52" t="n">
        <f aca="false">AS72+AS73+AS75</f>
        <v>58288.0733571665</v>
      </c>
      <c r="AT76" s="52" t="n">
        <f aca="false">AT72+AT73+AT75</f>
        <v>58331.9622460554</v>
      </c>
      <c r="AU76" s="52" t="n">
        <f aca="false">AU72+AU73+AU75</f>
        <v>58375.8511349443</v>
      </c>
      <c r="AV76" s="52" t="n">
        <f aca="false">AV72+AV73+AV75</f>
        <v>58419.7400238332</v>
      </c>
      <c r="AW76" s="52" t="n">
        <f aca="false">AW72+AW73+AW75</f>
        <v>-13489.487607778</v>
      </c>
      <c r="AX76" s="52" t="n">
        <f aca="false">AX72+AX73+AX75</f>
        <v>143749.815811111</v>
      </c>
      <c r="AY76" s="52" t="n">
        <f aca="false">AY72+AY73+AY75</f>
        <v>-69966.3562740923</v>
      </c>
      <c r="AZ76" s="52" t="n">
        <f aca="false">AZ72+AZ73+AZ75</f>
        <v>80020.7676039942</v>
      </c>
      <c r="BA76" s="52" t="n">
        <f aca="false">BA72+BA73+BA75</f>
        <v>80064.656492883</v>
      </c>
      <c r="BB76" s="52" t="n">
        <f aca="false">BB72+BB73+BB75</f>
        <v>80108.5453817719</v>
      </c>
      <c r="BC76" s="52" t="n">
        <f aca="false">BC72+BC73+BC75</f>
        <v>80152.4342706608</v>
      </c>
      <c r="BD76" s="52" t="n">
        <f aca="false">BD72+BD73+BD75</f>
        <v>80196.3231595497</v>
      </c>
      <c r="BE76" s="52" t="n">
        <f aca="false">BE72+BE73+BE75</f>
        <v>80240.2120484386</v>
      </c>
      <c r="BF76" s="52" t="n">
        <f aca="false">BF72+BF73+BF75</f>
        <v>80284.1009373275</v>
      </c>
      <c r="BG76" s="52" t="n">
        <f aca="false">BG72+BG73+BG75</f>
        <v>80327.9898262164</v>
      </c>
      <c r="BH76" s="52" t="n">
        <f aca="false">BH72+BH73+BH75</f>
        <v>80371.8787151053</v>
      </c>
      <c r="BI76" s="52" t="n">
        <f aca="false">BI72+BI73+BI75</f>
        <v>-9927.03776587705</v>
      </c>
      <c r="BJ76" s="52" t="n">
        <f aca="false">BJ72+BJ73+BJ75</f>
        <v>187677.802455537</v>
      </c>
    </row>
    <row r="77" customFormat="false" ht="15" hidden="false" customHeight="false" outlineLevel="0" collapsed="false">
      <c r="A77" s="6" t="s">
        <v>289</v>
      </c>
      <c r="C77" s="51" t="n">
        <f aca="false">0</f>
        <v>0</v>
      </c>
      <c r="D77" s="51" t="n">
        <f aca="false">C78</f>
        <v>1354447.62317857</v>
      </c>
      <c r="E77" s="51" t="n">
        <f aca="false">D78</f>
        <v>1359104.13389683</v>
      </c>
      <c r="F77" s="51" t="n">
        <f aca="false">E78</f>
        <v>1363804.53350397</v>
      </c>
      <c r="G77" s="51" t="n">
        <f aca="false">F78</f>
        <v>1368548.822</v>
      </c>
      <c r="H77" s="51" t="n">
        <f aca="false">G78</f>
        <v>1373336.99938492</v>
      </c>
      <c r="I77" s="51" t="n">
        <f aca="false">H78</f>
        <v>1378169.06565873</v>
      </c>
      <c r="J77" s="51" t="n">
        <f aca="false">I78</f>
        <v>1383045.02082143</v>
      </c>
      <c r="K77" s="51" t="n">
        <f aca="false">J78</f>
        <v>1387964.86487302</v>
      </c>
      <c r="L77" s="51" t="n">
        <f aca="false">K78</f>
        <v>1392928.59781349</v>
      </c>
      <c r="M77" s="51" t="n">
        <f aca="false">L78</f>
        <v>1397936.21964286</v>
      </c>
      <c r="N77" s="51" t="n">
        <f aca="false">M78</f>
        <v>1370124.36986111</v>
      </c>
      <c r="O77" s="51" t="n">
        <f aca="false">N78</f>
        <v>1412273.17896825</v>
      </c>
      <c r="P77" s="51" t="n">
        <f aca="false">O78</f>
        <v>1260305.0792494</v>
      </c>
      <c r="Q77" s="51" t="n">
        <f aca="false">P78</f>
        <v>1280973.08916944</v>
      </c>
      <c r="R77" s="51" t="n">
        <f aca="false">Q78</f>
        <v>1301684.98797837</v>
      </c>
      <c r="S77" s="51" t="n">
        <f aca="false">R78</f>
        <v>1322440.77567619</v>
      </c>
      <c r="T77" s="51" t="n">
        <f aca="false">S78</f>
        <v>1343240.4522629</v>
      </c>
      <c r="U77" s="51" t="n">
        <f aca="false">T78</f>
        <v>1364084.01773849</v>
      </c>
      <c r="V77" s="51" t="n">
        <f aca="false">U78</f>
        <v>1384971.47210298</v>
      </c>
      <c r="W77" s="51" t="n">
        <f aca="false">V78</f>
        <v>1405902.81535635</v>
      </c>
      <c r="X77" s="51" t="n">
        <f aca="false">W78</f>
        <v>1426878.04749861</v>
      </c>
      <c r="Y77" s="51" t="n">
        <f aca="false">X78</f>
        <v>1447897.16852976</v>
      </c>
      <c r="Z77" s="51" t="n">
        <f aca="false">Y78</f>
        <v>1425192.5635248</v>
      </c>
      <c r="AA77" s="51" t="n">
        <f aca="false">Z78</f>
        <v>1497071.84790873</v>
      </c>
      <c r="AB77" s="51" t="n">
        <f aca="false">AA78</f>
        <v>1370346.3297095</v>
      </c>
      <c r="AC77" s="51" t="n">
        <f aca="false">AB78</f>
        <v>1408730.66394917</v>
      </c>
      <c r="AD77" s="51" t="n">
        <f aca="false">AC78</f>
        <v>1447158.88707772</v>
      </c>
      <c r="AE77" s="51" t="n">
        <f aca="false">AD78</f>
        <v>1485630.99909516</v>
      </c>
      <c r="AF77" s="51" t="n">
        <f aca="false">AE78</f>
        <v>1524147.00000148</v>
      </c>
      <c r="AG77" s="51" t="n">
        <f aca="false">AF78</f>
        <v>1562706.8897967</v>
      </c>
      <c r="AH77" s="51" t="n">
        <f aca="false">AG78</f>
        <v>1601310.66848081</v>
      </c>
      <c r="AI77" s="51" t="n">
        <f aca="false">AH78</f>
        <v>1639958.3360538</v>
      </c>
      <c r="AJ77" s="51" t="n">
        <f aca="false">AI78</f>
        <v>1678649.89251569</v>
      </c>
      <c r="AK77" s="51" t="n">
        <f aca="false">AJ78</f>
        <v>1717385.33786646</v>
      </c>
      <c r="AL77" s="51" t="n">
        <f aca="false">AK78</f>
        <v>1699530.10228612</v>
      </c>
      <c r="AM77" s="51" t="n">
        <f aca="false">AL78</f>
        <v>1805009.27679467</v>
      </c>
      <c r="AN77" s="51" t="n">
        <f aca="false">AM78</f>
        <v>1705524.0584835</v>
      </c>
      <c r="AO77" s="51" t="n">
        <f aca="false">AN78</f>
        <v>1763592.68739623</v>
      </c>
      <c r="AP77" s="51" t="n">
        <f aca="false">AO78</f>
        <v>1821705.20519784</v>
      </c>
      <c r="AQ77" s="51" t="n">
        <f aca="false">AP78</f>
        <v>1879861.61188834</v>
      </c>
      <c r="AR77" s="51" t="n">
        <f aca="false">AQ78</f>
        <v>1938061.90746773</v>
      </c>
      <c r="AS77" s="51" t="n">
        <f aca="false">AR78</f>
        <v>1996306.091936</v>
      </c>
      <c r="AT77" s="51" t="n">
        <f aca="false">AS78</f>
        <v>2054594.16529317</v>
      </c>
      <c r="AU77" s="51" t="n">
        <f aca="false">AT78</f>
        <v>2112926.12753923</v>
      </c>
      <c r="AV77" s="51" t="n">
        <f aca="false">AU78</f>
        <v>2171301.97867417</v>
      </c>
      <c r="AW77" s="51" t="n">
        <f aca="false">AV78</f>
        <v>2229721.718698</v>
      </c>
      <c r="AX77" s="51" t="n">
        <f aca="false">AW78</f>
        <v>2216232.23109023</v>
      </c>
      <c r="AY77" s="51" t="n">
        <f aca="false">AX78</f>
        <v>2359982.04690134</v>
      </c>
      <c r="AZ77" s="51" t="n">
        <f aca="false">AY78</f>
        <v>2290015.69062724</v>
      </c>
      <c r="BA77" s="51" t="n">
        <f aca="false">AZ78</f>
        <v>2370036.45823124</v>
      </c>
      <c r="BB77" s="51" t="n">
        <f aca="false">BA78</f>
        <v>2450101.11472412</v>
      </c>
      <c r="BC77" s="51" t="n">
        <f aca="false">BB78</f>
        <v>2530209.66010589</v>
      </c>
      <c r="BD77" s="51" t="n">
        <f aca="false">BC78</f>
        <v>2610362.09437655</v>
      </c>
      <c r="BE77" s="51" t="n">
        <f aca="false">BD78</f>
        <v>2690558.4175361</v>
      </c>
      <c r="BF77" s="51" t="n">
        <f aca="false">BE78</f>
        <v>2770798.62958454</v>
      </c>
      <c r="BG77" s="51" t="n">
        <f aca="false">BF78</f>
        <v>2851082.73052187</v>
      </c>
      <c r="BH77" s="51" t="n">
        <f aca="false">BG78</f>
        <v>2931410.72034809</v>
      </c>
      <c r="BI77" s="51" t="n">
        <f aca="false">BH78</f>
        <v>3011782.59906319</v>
      </c>
      <c r="BJ77" s="51" t="n">
        <f aca="false">BI78</f>
        <v>3001855.56129731</v>
      </c>
    </row>
    <row r="78" customFormat="false" ht="15" hidden="false" customHeight="false" outlineLevel="0" collapsed="false">
      <c r="A78" s="92" t="s">
        <v>84</v>
      </c>
      <c r="C78" s="52" t="n">
        <f aca="false">C77+C76</f>
        <v>1354447.62317857</v>
      </c>
      <c r="D78" s="52" t="n">
        <f aca="false">D77+D76</f>
        <v>1359104.13389683</v>
      </c>
      <c r="E78" s="52" t="n">
        <f aca="false">E77+E76</f>
        <v>1363804.53350397</v>
      </c>
      <c r="F78" s="52" t="n">
        <f aca="false">F77+F76</f>
        <v>1368548.822</v>
      </c>
      <c r="G78" s="52" t="n">
        <f aca="false">G77+G76</f>
        <v>1373336.99938492</v>
      </c>
      <c r="H78" s="52" t="n">
        <f aca="false">H77+H76</f>
        <v>1378169.06565873</v>
      </c>
      <c r="I78" s="52" t="n">
        <f aca="false">I77+I76</f>
        <v>1383045.02082143</v>
      </c>
      <c r="J78" s="52" t="n">
        <f aca="false">J77+J76</f>
        <v>1387964.86487302</v>
      </c>
      <c r="K78" s="52" t="n">
        <f aca="false">K77+K76</f>
        <v>1392928.59781349</v>
      </c>
      <c r="L78" s="52" t="n">
        <f aca="false">L77+L76</f>
        <v>1397936.21964286</v>
      </c>
      <c r="M78" s="52" t="n">
        <f aca="false">M77+M76</f>
        <v>1370124.36986111</v>
      </c>
      <c r="N78" s="52" t="n">
        <f aca="false">N77+N76</f>
        <v>1412273.17896825</v>
      </c>
      <c r="O78" s="52" t="n">
        <f aca="false">O77+O76</f>
        <v>1260305.0792494</v>
      </c>
      <c r="P78" s="52" t="n">
        <f aca="false">P77+P76</f>
        <v>1280973.08916944</v>
      </c>
      <c r="Q78" s="52" t="n">
        <f aca="false">Q77+Q76</f>
        <v>1301684.98797837</v>
      </c>
      <c r="R78" s="52" t="n">
        <f aca="false">R77+R76</f>
        <v>1322440.77567619</v>
      </c>
      <c r="S78" s="52" t="n">
        <f aca="false">S77+S76</f>
        <v>1343240.4522629</v>
      </c>
      <c r="T78" s="52" t="n">
        <f aca="false">T77+T76</f>
        <v>1364084.01773849</v>
      </c>
      <c r="U78" s="52" t="n">
        <f aca="false">U77+U76</f>
        <v>1384971.47210298</v>
      </c>
      <c r="V78" s="52" t="n">
        <f aca="false">V77+V76</f>
        <v>1405902.81535635</v>
      </c>
      <c r="W78" s="52" t="n">
        <f aca="false">W77+W76</f>
        <v>1426878.04749861</v>
      </c>
      <c r="X78" s="52" t="n">
        <f aca="false">X77+X76</f>
        <v>1447897.16852976</v>
      </c>
      <c r="Y78" s="52" t="n">
        <f aca="false">Y77+Y76</f>
        <v>1425192.5635248</v>
      </c>
      <c r="Z78" s="52" t="n">
        <f aca="false">Z77+Z76</f>
        <v>1497071.84790873</v>
      </c>
      <c r="AA78" s="52" t="n">
        <f aca="false">AA77+AA76</f>
        <v>1370346.3297095</v>
      </c>
      <c r="AB78" s="52" t="n">
        <f aca="false">AB77+AB76</f>
        <v>1408730.66394917</v>
      </c>
      <c r="AC78" s="52" t="n">
        <f aca="false">AC77+AC76</f>
        <v>1447158.88707772</v>
      </c>
      <c r="AD78" s="52" t="n">
        <f aca="false">AD77+AD76</f>
        <v>1485630.99909516</v>
      </c>
      <c r="AE78" s="52" t="n">
        <f aca="false">AE77+AE76</f>
        <v>1524147.00000148</v>
      </c>
      <c r="AF78" s="52" t="n">
        <f aca="false">AF77+AF76</f>
        <v>1562706.8897967</v>
      </c>
      <c r="AG78" s="52" t="n">
        <f aca="false">AG77+AG76</f>
        <v>1601310.66848081</v>
      </c>
      <c r="AH78" s="52" t="n">
        <f aca="false">AH77+AH76</f>
        <v>1639958.3360538</v>
      </c>
      <c r="AI78" s="52" t="n">
        <f aca="false">AI77+AI76</f>
        <v>1678649.89251569</v>
      </c>
      <c r="AJ78" s="52" t="n">
        <f aca="false">AJ77+AJ76</f>
        <v>1717385.33786646</v>
      </c>
      <c r="AK78" s="52" t="n">
        <f aca="false">AK77+AK76</f>
        <v>1699530.10228612</v>
      </c>
      <c r="AL78" s="52" t="n">
        <f aca="false">AL77+AL76</f>
        <v>1805009.27679467</v>
      </c>
      <c r="AM78" s="52" t="n">
        <f aca="false">AM77+AM76</f>
        <v>1705524.0584835</v>
      </c>
      <c r="AN78" s="52" t="n">
        <f aca="false">AN77+AN76</f>
        <v>1763592.68739623</v>
      </c>
      <c r="AO78" s="52" t="n">
        <f aca="false">AO77+AO76</f>
        <v>1821705.20519784</v>
      </c>
      <c r="AP78" s="52" t="n">
        <f aca="false">AP77+AP76</f>
        <v>1879861.61188834</v>
      </c>
      <c r="AQ78" s="52" t="n">
        <f aca="false">AQ77+AQ76</f>
        <v>1938061.90746773</v>
      </c>
      <c r="AR78" s="52" t="n">
        <f aca="false">AR77+AR76</f>
        <v>1996306.091936</v>
      </c>
      <c r="AS78" s="52" t="n">
        <f aca="false">AS77+AS76</f>
        <v>2054594.16529317</v>
      </c>
      <c r="AT78" s="52" t="n">
        <f aca="false">AT77+AT76</f>
        <v>2112926.12753923</v>
      </c>
      <c r="AU78" s="52" t="n">
        <f aca="false">AU77+AU76</f>
        <v>2171301.97867417</v>
      </c>
      <c r="AV78" s="52" t="n">
        <f aca="false">AV77+AV76</f>
        <v>2229721.718698</v>
      </c>
      <c r="AW78" s="52" t="n">
        <f aca="false">AW77+AW76</f>
        <v>2216232.23109023</v>
      </c>
      <c r="AX78" s="52" t="n">
        <f aca="false">AX77+AX76</f>
        <v>2359982.04690134</v>
      </c>
      <c r="AY78" s="52" t="n">
        <f aca="false">AY77+AY76</f>
        <v>2290015.69062724</v>
      </c>
      <c r="AZ78" s="52" t="n">
        <f aca="false">AZ77+AZ76</f>
        <v>2370036.45823124</v>
      </c>
      <c r="BA78" s="52" t="n">
        <f aca="false">BA77+BA76</f>
        <v>2450101.11472412</v>
      </c>
      <c r="BB78" s="52" t="n">
        <f aca="false">BB77+BB76</f>
        <v>2530209.66010589</v>
      </c>
      <c r="BC78" s="52" t="n">
        <f aca="false">BC77+BC76</f>
        <v>2610362.09437655</v>
      </c>
      <c r="BD78" s="52" t="n">
        <f aca="false">BD77+BD76</f>
        <v>2690558.4175361</v>
      </c>
      <c r="BE78" s="52" t="n">
        <f aca="false">BE77+BE76</f>
        <v>2770798.62958454</v>
      </c>
      <c r="BF78" s="52" t="n">
        <f aca="false">BF77+BF76</f>
        <v>2851082.73052187</v>
      </c>
      <c r="BG78" s="52" t="n">
        <f aca="false">BG77+BG76</f>
        <v>2931410.72034809</v>
      </c>
      <c r="BH78" s="52" t="n">
        <f aca="false">BH77+BH76</f>
        <v>3011782.59906319</v>
      </c>
      <c r="BI78" s="52" t="n">
        <f aca="false">BI77+BI76</f>
        <v>3001855.56129731</v>
      </c>
      <c r="BJ78" s="52" t="n">
        <f aca="false">BJ77+BJ76</f>
        <v>3189533.36375285</v>
      </c>
    </row>
    <row r="79" customFormat="false" ht="15" hidden="false" customHeight="false" outlineLevel="0" collapsed="false">
      <c r="A79" s="99" t="s">
        <v>380</v>
      </c>
      <c r="C79" s="95" t="n">
        <f aca="false">IF(C39&gt;0,1,0)</f>
        <v>1</v>
      </c>
      <c r="D79" s="95" t="n">
        <f aca="false">IF(D39&gt;0,1,0)</f>
        <v>1</v>
      </c>
      <c r="E79" s="95" t="n">
        <f aca="false">IF(E39&gt;0,1,0)</f>
        <v>1</v>
      </c>
      <c r="F79" s="95" t="n">
        <f aca="false">IF(F39&gt;0,1,0)</f>
        <v>1</v>
      </c>
      <c r="G79" s="95" t="n">
        <f aca="false">IF(G39&gt;0,1,0)</f>
        <v>1</v>
      </c>
      <c r="H79" s="95" t="n">
        <f aca="false">IF(H39&gt;0,1,0)</f>
        <v>1</v>
      </c>
      <c r="I79" s="95" t="n">
        <f aca="false">IF(I39&gt;0,1,0)</f>
        <v>1</v>
      </c>
      <c r="J79" s="95" t="n">
        <f aca="false">IF(J39&gt;0,1,0)</f>
        <v>1</v>
      </c>
      <c r="K79" s="95" t="n">
        <f aca="false">IF(K39&gt;0,1,0)</f>
        <v>1</v>
      </c>
      <c r="L79" s="95" t="n">
        <f aca="false">IF(L39&gt;0,1,0)</f>
        <v>1</v>
      </c>
      <c r="M79" s="95" t="n">
        <f aca="false">IF(M39&gt;0,1,0)</f>
        <v>1</v>
      </c>
      <c r="N79" s="95" t="n">
        <f aca="false">IF(N39&gt;0,1,0)</f>
        <v>1</v>
      </c>
      <c r="O79" s="95" t="n">
        <f aca="false">IF(O39&gt;0,1,0)</f>
        <v>1</v>
      </c>
      <c r="P79" s="95" t="n">
        <f aca="false">IF(P39&gt;0,1,0)</f>
        <v>1</v>
      </c>
      <c r="Q79" s="95" t="n">
        <f aca="false">IF(Q39&gt;0,1,0)</f>
        <v>1</v>
      </c>
      <c r="R79" s="95" t="n">
        <f aca="false">IF(R39&gt;0,1,0)</f>
        <v>1</v>
      </c>
      <c r="S79" s="95" t="n">
        <f aca="false">IF(S39&gt;0,1,0)</f>
        <v>1</v>
      </c>
      <c r="T79" s="95" t="n">
        <f aca="false">IF(T39&gt;0,1,0)</f>
        <v>1</v>
      </c>
      <c r="U79" s="95" t="n">
        <f aca="false">IF(U39&gt;0,1,0)</f>
        <v>1</v>
      </c>
      <c r="V79" s="95" t="n">
        <f aca="false">IF(V39&gt;0,1,0)</f>
        <v>1</v>
      </c>
      <c r="W79" s="95" t="n">
        <f aca="false">IF(W39&gt;0,1,0)</f>
        <v>1</v>
      </c>
      <c r="X79" s="95" t="n">
        <f aca="false">IF(X39&gt;0,1,0)</f>
        <v>1</v>
      </c>
      <c r="Y79" s="95" t="n">
        <f aca="false">IF(Y39&gt;0,1,0)</f>
        <v>1</v>
      </c>
      <c r="Z79" s="95" t="n">
        <f aca="false">IF(Z39&gt;0,1,0)</f>
        <v>1</v>
      </c>
      <c r="AA79" s="95" t="n">
        <f aca="false">IF(AA39&gt;0,1,0)</f>
        <v>1</v>
      </c>
      <c r="AB79" s="95" t="n">
        <f aca="false">IF(AB39&gt;0,1,0)</f>
        <v>1</v>
      </c>
      <c r="AC79" s="95" t="n">
        <f aca="false">IF(AC39&gt;0,1,0)</f>
        <v>1</v>
      </c>
      <c r="AD79" s="95" t="n">
        <f aca="false">IF(AD39&gt;0,1,0)</f>
        <v>1</v>
      </c>
      <c r="AE79" s="95" t="n">
        <f aca="false">IF(AE39&gt;0,1,0)</f>
        <v>1</v>
      </c>
      <c r="AF79" s="95" t="n">
        <f aca="false">IF(AF39&gt;0,1,0)</f>
        <v>1</v>
      </c>
      <c r="AG79" s="95" t="n">
        <f aca="false">IF(AG39&gt;0,1,0)</f>
        <v>1</v>
      </c>
      <c r="AH79" s="95" t="n">
        <f aca="false">IF(AH39&gt;0,1,0)</f>
        <v>1</v>
      </c>
      <c r="AI79" s="95" t="n">
        <f aca="false">IF(AI39&gt;0,1,0)</f>
        <v>1</v>
      </c>
      <c r="AJ79" s="95" t="n">
        <f aca="false">IF(AJ39&gt;0,1,0)</f>
        <v>1</v>
      </c>
      <c r="AK79" s="95" t="n">
        <f aca="false">IF(AK39&gt;0,1,0)</f>
        <v>1</v>
      </c>
      <c r="AL79" s="95" t="n">
        <f aca="false">IF(AL39&gt;0,1,0)</f>
        <v>1</v>
      </c>
      <c r="AM79" s="95" t="n">
        <f aca="false">IF(AM39&gt;0,1,0)</f>
        <v>1</v>
      </c>
      <c r="AN79" s="95" t="n">
        <f aca="false">IF(AN39&gt;0,1,0)</f>
        <v>1</v>
      </c>
      <c r="AO79" s="95" t="n">
        <f aca="false">IF(AO39&gt;0,1,0)</f>
        <v>1</v>
      </c>
      <c r="AP79" s="95" t="n">
        <f aca="false">IF(AP39&gt;0,1,0)</f>
        <v>1</v>
      </c>
      <c r="AQ79" s="95" t="n">
        <f aca="false">IF(AQ39&gt;0,1,0)</f>
        <v>1</v>
      </c>
      <c r="AR79" s="95" t="n">
        <f aca="false">IF(AR39&gt;0,1,0)</f>
        <v>1</v>
      </c>
      <c r="AS79" s="95" t="n">
        <f aca="false">IF(AS39&gt;0,1,0)</f>
        <v>1</v>
      </c>
      <c r="AT79" s="95" t="n">
        <f aca="false">IF(AT39&gt;0,1,0)</f>
        <v>1</v>
      </c>
      <c r="AU79" s="95" t="n">
        <f aca="false">IF(AU39&gt;0,1,0)</f>
        <v>1</v>
      </c>
      <c r="AV79" s="95" t="n">
        <f aca="false">IF(AV39&gt;0,1,0)</f>
        <v>1</v>
      </c>
      <c r="AW79" s="95" t="n">
        <f aca="false">IF(AW39&gt;0,1,0)</f>
        <v>1</v>
      </c>
      <c r="AX79" s="95" t="n">
        <f aca="false">IF(AX39&gt;0,1,0)</f>
        <v>1</v>
      </c>
      <c r="AY79" s="95" t="n">
        <f aca="false">IF(AY39&gt;0,1,0)</f>
        <v>1</v>
      </c>
      <c r="AZ79" s="95" t="n">
        <f aca="false">IF(AZ39&gt;0,1,0)</f>
        <v>1</v>
      </c>
      <c r="BA79" s="95" t="n">
        <f aca="false">IF(BA39&gt;0,1,0)</f>
        <v>1</v>
      </c>
      <c r="BB79" s="95" t="n">
        <f aca="false">IF(BB39&gt;0,1,0)</f>
        <v>1</v>
      </c>
      <c r="BC79" s="95" t="n">
        <f aca="false">IF(BC39&gt;0,1,0)</f>
        <v>1</v>
      </c>
      <c r="BD79" s="95" t="n">
        <f aca="false">IF(BD39&gt;0,1,0)</f>
        <v>1</v>
      </c>
      <c r="BE79" s="95" t="n">
        <f aca="false">IF(BE39&gt;0,1,0)</f>
        <v>1</v>
      </c>
      <c r="BF79" s="95" t="n">
        <f aca="false">IF(BF39&gt;0,1,0)</f>
        <v>1</v>
      </c>
      <c r="BG79" s="95" t="n">
        <f aca="false">IF(BG39&gt;0,1,0)</f>
        <v>1</v>
      </c>
      <c r="BH79" s="95" t="n">
        <f aca="false">IF(BH39&gt;0,1,0)</f>
        <v>1</v>
      </c>
      <c r="BI79" s="95" t="n">
        <f aca="false">IF(BI39&gt;0,1,0)</f>
        <v>1</v>
      </c>
      <c r="BJ79" s="95" t="n">
        <f aca="false">IF(BJ39&gt;0,1,0)</f>
        <v>1</v>
      </c>
    </row>
    <row r="81" customFormat="false" ht="15.75" hidden="false" customHeight="true" outlineLevel="0" collapsed="false">
      <c r="A81" s="7" t="s">
        <v>381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99" t="s">
        <v>382</v>
      </c>
      <c r="C82" s="95" t="n">
        <f aca="false">IF(C48&gt;0,1,0)</f>
        <v>1</v>
      </c>
      <c r="D82" s="95" t="n">
        <f aca="false">IF(D48&gt;0,1,0)</f>
        <v>1</v>
      </c>
      <c r="E82" s="95" t="n">
        <f aca="false">IF(E48&gt;0,1,0)</f>
        <v>1</v>
      </c>
      <c r="F82" s="95" t="n">
        <f aca="false">IF(F48&gt;0,1,0)</f>
        <v>1</v>
      </c>
      <c r="G82" s="95" t="n">
        <f aca="false">IF(G48&gt;0,1,0)</f>
        <v>1</v>
      </c>
      <c r="H82" s="95" t="n">
        <f aca="false">IF(H48&gt;0,1,0)</f>
        <v>1</v>
      </c>
      <c r="I82" s="95" t="n">
        <f aca="false">IF(I48&gt;0,1,0)</f>
        <v>1</v>
      </c>
      <c r="J82" s="95" t="n">
        <f aca="false">IF(J48&gt;0,1,0)</f>
        <v>1</v>
      </c>
      <c r="K82" s="95" t="n">
        <f aca="false">IF(K48&gt;0,1,0)</f>
        <v>1</v>
      </c>
      <c r="L82" s="95" t="n">
        <f aca="false">IF(L48&gt;0,1,0)</f>
        <v>1</v>
      </c>
      <c r="M82" s="95" t="n">
        <f aca="false">IF(M48&gt;0,1,0)</f>
        <v>1</v>
      </c>
      <c r="N82" s="95" t="n">
        <f aca="false">IF(N48&gt;0,1,0)</f>
        <v>1</v>
      </c>
      <c r="O82" s="95" t="n">
        <f aca="false">IF(O48&gt;0,1,0)</f>
        <v>1</v>
      </c>
      <c r="P82" s="95" t="n">
        <f aca="false">IF(P48&gt;0,1,0)</f>
        <v>1</v>
      </c>
      <c r="Q82" s="95" t="n">
        <f aca="false">IF(Q48&gt;0,1,0)</f>
        <v>1</v>
      </c>
      <c r="R82" s="95" t="n">
        <f aca="false">IF(R48&gt;0,1,0)</f>
        <v>1</v>
      </c>
      <c r="S82" s="95" t="n">
        <f aca="false">IF(S48&gt;0,1,0)</f>
        <v>1</v>
      </c>
      <c r="T82" s="95" t="n">
        <f aca="false">IF(T48&gt;0,1,0)</f>
        <v>1</v>
      </c>
      <c r="U82" s="95" t="n">
        <f aca="false">IF(U48&gt;0,1,0)</f>
        <v>1</v>
      </c>
      <c r="V82" s="95" t="n">
        <f aca="false">IF(V48&gt;0,1,0)</f>
        <v>1</v>
      </c>
      <c r="W82" s="95" t="n">
        <f aca="false">IF(W48&gt;0,1,0)</f>
        <v>1</v>
      </c>
      <c r="X82" s="95" t="n">
        <f aca="false">IF(X48&gt;0,1,0)</f>
        <v>1</v>
      </c>
      <c r="Y82" s="95" t="n">
        <f aca="false">IF(Y48&gt;0,1,0)</f>
        <v>1</v>
      </c>
      <c r="Z82" s="95" t="n">
        <f aca="false">IF(Z48&gt;0,1,0)</f>
        <v>1</v>
      </c>
      <c r="AA82" s="95" t="n">
        <f aca="false">IF(AA48&gt;0,1,0)</f>
        <v>1</v>
      </c>
      <c r="AB82" s="95" t="n">
        <f aca="false">IF(AB48&gt;0,1,0)</f>
        <v>1</v>
      </c>
      <c r="AC82" s="95" t="n">
        <f aca="false">IF(AC48&gt;0,1,0)</f>
        <v>1</v>
      </c>
      <c r="AD82" s="95" t="n">
        <f aca="false">IF(AD48&gt;0,1,0)</f>
        <v>1</v>
      </c>
      <c r="AE82" s="95" t="n">
        <f aca="false">IF(AE48&gt;0,1,0)</f>
        <v>1</v>
      </c>
      <c r="AF82" s="95" t="n">
        <f aca="false">IF(AF48&gt;0,1,0)</f>
        <v>1</v>
      </c>
      <c r="AG82" s="95" t="n">
        <f aca="false">IF(AG48&gt;0,1,0)</f>
        <v>1</v>
      </c>
      <c r="AH82" s="95" t="n">
        <f aca="false">IF(AH48&gt;0,1,0)</f>
        <v>1</v>
      </c>
      <c r="AI82" s="95" t="n">
        <f aca="false">IF(AI48&gt;0,1,0)</f>
        <v>1</v>
      </c>
      <c r="AJ82" s="95" t="n">
        <f aca="false">IF(AJ48&gt;0,1,0)</f>
        <v>1</v>
      </c>
      <c r="AK82" s="95" t="n">
        <f aca="false">IF(AK48&gt;0,1,0)</f>
        <v>1</v>
      </c>
      <c r="AL82" s="95" t="n">
        <f aca="false">IF(AL48&gt;0,1,0)</f>
        <v>1</v>
      </c>
      <c r="AM82" s="95" t="n">
        <f aca="false">IF(AM48&gt;0,1,0)</f>
        <v>1</v>
      </c>
      <c r="AN82" s="95" t="n">
        <f aca="false">IF(AN48&gt;0,1,0)</f>
        <v>1</v>
      </c>
      <c r="AO82" s="95" t="n">
        <f aca="false">IF(AO48&gt;0,1,0)</f>
        <v>1</v>
      </c>
      <c r="AP82" s="95" t="n">
        <f aca="false">IF(AP48&gt;0,1,0)</f>
        <v>1</v>
      </c>
      <c r="AQ82" s="95" t="n">
        <f aca="false">IF(AQ48&gt;0,1,0)</f>
        <v>1</v>
      </c>
      <c r="AR82" s="95" t="n">
        <f aca="false">IF(AR48&gt;0,1,0)</f>
        <v>1</v>
      </c>
      <c r="AS82" s="95" t="n">
        <f aca="false">IF(AS48&gt;0,1,0)</f>
        <v>1</v>
      </c>
      <c r="AT82" s="95" t="n">
        <f aca="false">IF(AT48&gt;0,1,0)</f>
        <v>1</v>
      </c>
      <c r="AU82" s="95" t="n">
        <f aca="false">IF(AU48&gt;0,1,0)</f>
        <v>1</v>
      </c>
      <c r="AV82" s="95" t="n">
        <f aca="false">IF(AV48&gt;0,1,0)</f>
        <v>1</v>
      </c>
      <c r="AW82" s="95" t="n">
        <f aca="false">IF(AW48&gt;0,1,0)</f>
        <v>1</v>
      </c>
      <c r="AX82" s="95" t="n">
        <f aca="false">IF(AX48&gt;0,1,0)</f>
        <v>1</v>
      </c>
      <c r="AY82" s="95" t="n">
        <f aca="false">IF(AY48&gt;0,1,0)</f>
        <v>1</v>
      </c>
      <c r="AZ82" s="95" t="n">
        <f aca="false">IF(AZ48&gt;0,1,0)</f>
        <v>1</v>
      </c>
      <c r="BA82" s="95" t="n">
        <f aca="false">IF(BA48&gt;0,1,0)</f>
        <v>1</v>
      </c>
      <c r="BB82" s="95" t="n">
        <f aca="false">IF(BB48&gt;0,1,0)</f>
        <v>1</v>
      </c>
      <c r="BC82" s="95" t="n">
        <f aca="false">IF(BC48&gt;0,1,0)</f>
        <v>1</v>
      </c>
      <c r="BD82" s="95" t="n">
        <f aca="false">IF(BD48&gt;0,1,0)</f>
        <v>1</v>
      </c>
      <c r="BE82" s="95" t="n">
        <f aca="false">IF(BE48&gt;0,1,0)</f>
        <v>1</v>
      </c>
      <c r="BF82" s="95" t="n">
        <f aca="false">IF(BF48&gt;0,1,0)</f>
        <v>1</v>
      </c>
      <c r="BG82" s="95" t="n">
        <f aca="false">IF(BG48&gt;0,1,0)</f>
        <v>1</v>
      </c>
      <c r="BH82" s="95" t="n">
        <f aca="false">IF(BH48&gt;0,1,0)</f>
        <v>1</v>
      </c>
      <c r="BI82" s="95" t="n">
        <f aca="false">IF(BI48&gt;0,1,0)</f>
        <v>1</v>
      </c>
      <c r="BJ82" s="95" t="n">
        <f aca="false">IF(BJ48&gt;0,1,0)</f>
        <v>1</v>
      </c>
    </row>
    <row r="83" customFormat="false" ht="15" hidden="false" customHeight="false" outlineLevel="0" collapsed="false">
      <c r="A83" s="6" t="s">
        <v>383</v>
      </c>
      <c r="C83" s="51" t="n">
        <f aca="false">C72+C73</f>
        <v>-645552.376821429</v>
      </c>
      <c r="D83" s="51" t="n">
        <f aca="false">D72+D73</f>
        <v>12989.8440515873</v>
      </c>
      <c r="E83" s="51" t="n">
        <f aca="false">E72+E73</f>
        <v>13033.7329404762</v>
      </c>
      <c r="F83" s="51" t="n">
        <f aca="false">F72+F73</f>
        <v>13077.6218293651</v>
      </c>
      <c r="G83" s="51" t="n">
        <f aca="false">G72+G73</f>
        <v>13121.5107182539</v>
      </c>
      <c r="H83" s="51" t="n">
        <f aca="false">H72+H73</f>
        <v>13165.3996071428</v>
      </c>
      <c r="I83" s="51" t="n">
        <f aca="false">I72+I73</f>
        <v>13209.2884960317</v>
      </c>
      <c r="J83" s="51" t="n">
        <f aca="false">J72+J73</f>
        <v>13253.1773849206</v>
      </c>
      <c r="K83" s="51" t="n">
        <f aca="false">K72+K73</f>
        <v>13297.0662738095</v>
      </c>
      <c r="L83" s="51" t="n">
        <f aca="false">L72+L73</f>
        <v>13340.9551626984</v>
      </c>
      <c r="M83" s="51" t="n">
        <f aca="false">M72+M73</f>
        <v>-19478.5164484127</v>
      </c>
      <c r="N83" s="51" t="n">
        <f aca="false">N72+N73</f>
        <v>50482.1424404763</v>
      </c>
      <c r="O83" s="51" t="n">
        <f aca="false">O72+O73</f>
        <v>-143634.766385516</v>
      </c>
      <c r="P83" s="51" t="n">
        <f aca="false">P72+P73</f>
        <v>29001.343253373</v>
      </c>
      <c r="Q83" s="51" t="n">
        <f aca="false">Q72+Q73</f>
        <v>29045.2321422619</v>
      </c>
      <c r="R83" s="51" t="n">
        <f aca="false">R72+R73</f>
        <v>29089.1210311508</v>
      </c>
      <c r="S83" s="51" t="n">
        <f aca="false">S72+S73</f>
        <v>29133.0099200397</v>
      </c>
      <c r="T83" s="51" t="n">
        <f aca="false">T72+T73</f>
        <v>29176.8988089286</v>
      </c>
      <c r="U83" s="51" t="n">
        <f aca="false">U72+U73</f>
        <v>29220.7876978175</v>
      </c>
      <c r="V83" s="51" t="n">
        <f aca="false">V72+V73</f>
        <v>29264.6765867064</v>
      </c>
      <c r="W83" s="51" t="n">
        <f aca="false">W72+W73</f>
        <v>29308.5654755952</v>
      </c>
      <c r="X83" s="51" t="n">
        <f aca="false">X72+X73</f>
        <v>29352.4543644841</v>
      </c>
      <c r="Y83" s="51" t="n">
        <f aca="false">Y72+Y73</f>
        <v>-14371.2716716269</v>
      </c>
      <c r="Z83" s="51" t="n">
        <f aca="false">Z72+Z73</f>
        <v>80212.6177172619</v>
      </c>
      <c r="AA83" s="51" t="n">
        <f aca="false">AA72+AA73</f>
        <v>-118392.184865894</v>
      </c>
      <c r="AB83" s="51" t="n">
        <f aca="false">AB72+AB73</f>
        <v>46717.6675729951</v>
      </c>
      <c r="AC83" s="51" t="n">
        <f aca="false">AC72+AC73</f>
        <v>46761.556461884</v>
      </c>
      <c r="AD83" s="51" t="n">
        <f aca="false">AD72+AD73</f>
        <v>46805.4453507729</v>
      </c>
      <c r="AE83" s="51" t="n">
        <f aca="false">AE72+AE73</f>
        <v>46849.3342396618</v>
      </c>
      <c r="AF83" s="51" t="n">
        <f aca="false">AF72+AF73</f>
        <v>46893.2231285506</v>
      </c>
      <c r="AG83" s="51" t="n">
        <f aca="false">AG72+AG73</f>
        <v>46937.1120174396</v>
      </c>
      <c r="AH83" s="51" t="n">
        <f aca="false">AH72+AH73</f>
        <v>46981.0009063284</v>
      </c>
      <c r="AI83" s="51" t="n">
        <f aca="false">AI72+AI73</f>
        <v>47024.8897952173</v>
      </c>
      <c r="AJ83" s="51" t="n">
        <f aca="false">AJ72+AJ73</f>
        <v>47068.7786841062</v>
      </c>
      <c r="AK83" s="51" t="n">
        <f aca="false">AK72+AK73</f>
        <v>-9521.90224700479</v>
      </c>
      <c r="AL83" s="51" t="n">
        <f aca="false">AL72+AL73</f>
        <v>113812.507841884</v>
      </c>
      <c r="AM83" s="51" t="n">
        <f aca="false">AM72+AM73</f>
        <v>-91151.8849778336</v>
      </c>
      <c r="AN83" s="51" t="n">
        <f aca="false">AN72+AN73</f>
        <v>66401.9622460554</v>
      </c>
      <c r="AO83" s="51" t="n">
        <f aca="false">AO72+AO73</f>
        <v>66445.8511349443</v>
      </c>
      <c r="AP83" s="51" t="n">
        <f aca="false">AP72+AP73</f>
        <v>66489.7400238332</v>
      </c>
      <c r="AQ83" s="51" t="n">
        <f aca="false">AQ72+AQ73</f>
        <v>66533.6289127221</v>
      </c>
      <c r="AR83" s="51" t="n">
        <f aca="false">AR72+AR73</f>
        <v>66577.517801611</v>
      </c>
      <c r="AS83" s="51" t="n">
        <f aca="false">AS72+AS73</f>
        <v>66621.4066904998</v>
      </c>
      <c r="AT83" s="51" t="n">
        <f aca="false">AT72+AT73</f>
        <v>66665.2955793887</v>
      </c>
      <c r="AU83" s="51" t="n">
        <f aca="false">AU72+AU73</f>
        <v>66709.1844682776</v>
      </c>
      <c r="AV83" s="51" t="n">
        <f aca="false">AV72+AV73</f>
        <v>66753.0733571665</v>
      </c>
      <c r="AW83" s="51" t="n">
        <f aca="false">AW72+AW73</f>
        <v>-5156.15427444465</v>
      </c>
      <c r="AX83" s="51" t="n">
        <f aca="false">AX72+AX73</f>
        <v>152083.149144444</v>
      </c>
      <c r="AY83" s="51" t="n">
        <f aca="false">AY72+AY73</f>
        <v>-61633.0229407589</v>
      </c>
      <c r="AZ83" s="51" t="n">
        <f aca="false">AZ72+AZ73</f>
        <v>88354.1009373275</v>
      </c>
      <c r="BA83" s="51" t="n">
        <f aca="false">BA72+BA73</f>
        <v>88397.9898262163</v>
      </c>
      <c r="BB83" s="51" t="n">
        <f aca="false">BB72+BB73</f>
        <v>88441.8787151052</v>
      </c>
      <c r="BC83" s="51" t="n">
        <f aca="false">BC72+BC73</f>
        <v>88485.7676039941</v>
      </c>
      <c r="BD83" s="51" t="n">
        <f aca="false">BD72+BD73</f>
        <v>88529.656492883</v>
      </c>
      <c r="BE83" s="51" t="n">
        <f aca="false">BE72+BE73</f>
        <v>88573.5453817719</v>
      </c>
      <c r="BF83" s="51" t="n">
        <f aca="false">BF72+BF73</f>
        <v>88617.4342706608</v>
      </c>
      <c r="BG83" s="51" t="n">
        <f aca="false">BG72+BG73</f>
        <v>88661.3231595497</v>
      </c>
      <c r="BH83" s="51" t="n">
        <f aca="false">BH72+BH73</f>
        <v>88705.2120484386</v>
      </c>
      <c r="BI83" s="51" t="n">
        <f aca="false">BI72+BI73</f>
        <v>-1593.70443254372</v>
      </c>
      <c r="BJ83" s="51" t="n">
        <f aca="false">BJ72+BJ73</f>
        <v>196011.13578887</v>
      </c>
    </row>
    <row r="84" customFormat="false" ht="15" hidden="false" customHeight="false" outlineLevel="0" collapsed="false">
      <c r="A84" s="6" t="s">
        <v>384</v>
      </c>
      <c r="C84" s="51" t="n">
        <f aca="false">C83</f>
        <v>-645552.376821429</v>
      </c>
      <c r="D84" s="51" t="n">
        <f aca="false">C84+D83</f>
        <v>-632562.532769841</v>
      </c>
      <c r="E84" s="51" t="n">
        <f aca="false">D84+E83</f>
        <v>-619528.799829365</v>
      </c>
      <c r="F84" s="51" t="n">
        <f aca="false">E84+F83</f>
        <v>-606451.178</v>
      </c>
      <c r="G84" s="51" t="n">
        <f aca="false">F84+G83</f>
        <v>-593329.667281746</v>
      </c>
      <c r="H84" s="51" t="n">
        <f aca="false">G84+H83</f>
        <v>-580164.267674603</v>
      </c>
      <c r="I84" s="51" t="n">
        <f aca="false">H84+I83</f>
        <v>-566954.979178572</v>
      </c>
      <c r="J84" s="51" t="n">
        <f aca="false">I84+J83</f>
        <v>-553701.801793651</v>
      </c>
      <c r="K84" s="51" t="n">
        <f aca="false">J84+K83</f>
        <v>-540404.735519841</v>
      </c>
      <c r="L84" s="51" t="n">
        <f aca="false">K84+L83</f>
        <v>-527063.780357143</v>
      </c>
      <c r="M84" s="51" t="n">
        <f aca="false">L84+M83</f>
        <v>-546542.296805556</v>
      </c>
      <c r="N84" s="51" t="n">
        <f aca="false">M84+N83</f>
        <v>-496060.154365079</v>
      </c>
      <c r="O84" s="51" t="n">
        <f aca="false">N84+O83</f>
        <v>-639694.920750595</v>
      </c>
      <c r="P84" s="51" t="n">
        <f aca="false">O84+P83</f>
        <v>-610693.577497222</v>
      </c>
      <c r="Q84" s="51" t="n">
        <f aca="false">P84+Q83</f>
        <v>-581648.34535496</v>
      </c>
      <c r="R84" s="51" t="n">
        <f aca="false">Q84+R83</f>
        <v>-552559.22432381</v>
      </c>
      <c r="S84" s="51" t="n">
        <f aca="false">R84+S83</f>
        <v>-523426.21440377</v>
      </c>
      <c r="T84" s="51" t="n">
        <f aca="false">S84+T83</f>
        <v>-494249.315594841</v>
      </c>
      <c r="U84" s="51" t="n">
        <f aca="false">T84+U83</f>
        <v>-465028.527897024</v>
      </c>
      <c r="V84" s="51" t="n">
        <f aca="false">U84+V83</f>
        <v>-435763.851310317</v>
      </c>
      <c r="W84" s="51" t="n">
        <f aca="false">V84+W83</f>
        <v>-406455.285834722</v>
      </c>
      <c r="X84" s="51" t="n">
        <f aca="false">W84+X83</f>
        <v>-377102.831470238</v>
      </c>
      <c r="Y84" s="51" t="n">
        <f aca="false">X84+Y83</f>
        <v>-391474.103141865</v>
      </c>
      <c r="Z84" s="51" t="n">
        <f aca="false">Y84+Z83</f>
        <v>-311261.485424603</v>
      </c>
      <c r="AA84" s="51" t="n">
        <f aca="false">Z84+AA83</f>
        <v>-429653.670290497</v>
      </c>
      <c r="AB84" s="51" t="n">
        <f aca="false">AA84+AB83</f>
        <v>-382936.002717502</v>
      </c>
      <c r="AC84" s="51" t="n">
        <f aca="false">AB84+AC83</f>
        <v>-336174.446255618</v>
      </c>
      <c r="AD84" s="51" t="n">
        <f aca="false">AC84+AD83</f>
        <v>-289369.000904845</v>
      </c>
      <c r="AE84" s="51" t="n">
        <f aca="false">AD84+AE83</f>
        <v>-242519.666665183</v>
      </c>
      <c r="AF84" s="51" t="n">
        <f aca="false">AE84+AF83</f>
        <v>-195626.443536632</v>
      </c>
      <c r="AG84" s="51" t="n">
        <f aca="false">AF84+AG83</f>
        <v>-148689.331519193</v>
      </c>
      <c r="AH84" s="51" t="n">
        <f aca="false">AG84+AH83</f>
        <v>-101708.330612864</v>
      </c>
      <c r="AI84" s="51" t="n">
        <f aca="false">AH84+AI83</f>
        <v>-54683.4408176472</v>
      </c>
      <c r="AJ84" s="51" t="n">
        <f aca="false">AI84+AJ83</f>
        <v>-7614.66213354094</v>
      </c>
      <c r="AK84" s="51" t="n">
        <f aca="false">AJ84+AK83</f>
        <v>-17136.5643805457</v>
      </c>
      <c r="AL84" s="51" t="n">
        <f aca="false">AK84+AL83</f>
        <v>96675.9434613383</v>
      </c>
      <c r="AM84" s="51" t="n">
        <f aca="false">AL84+AM83</f>
        <v>5524.05848350468</v>
      </c>
      <c r="AN84" s="51" t="n">
        <f aca="false">AM84+AN83</f>
        <v>71926.0207295601</v>
      </c>
      <c r="AO84" s="51" t="n">
        <f aca="false">AN84+AO83</f>
        <v>138371.871864504</v>
      </c>
      <c r="AP84" s="51" t="n">
        <f aca="false">AO84+AP83</f>
        <v>204861.611888338</v>
      </c>
      <c r="AQ84" s="51" t="n">
        <f aca="false">AP84+AQ83</f>
        <v>271395.24080106</v>
      </c>
      <c r="AR84" s="51" t="n">
        <f aca="false">AQ84+AR83</f>
        <v>337972.758602671</v>
      </c>
      <c r="AS84" s="51" t="n">
        <f aca="false">AR84+AS83</f>
        <v>404594.165293171</v>
      </c>
      <c r="AT84" s="51" t="n">
        <f aca="false">AS84+AT83</f>
        <v>471259.460872559</v>
      </c>
      <c r="AU84" s="51" t="n">
        <f aca="false">AT84+AU83</f>
        <v>537968.645340837</v>
      </c>
      <c r="AV84" s="51" t="n">
        <f aca="false">AU84+AV83</f>
        <v>604721.718698003</v>
      </c>
      <c r="AW84" s="51" t="n">
        <f aca="false">AV84+AW83</f>
        <v>599565.564423559</v>
      </c>
      <c r="AX84" s="51" t="n">
        <f aca="false">AW84+AX83</f>
        <v>751648.713568003</v>
      </c>
      <c r="AY84" s="51" t="n">
        <f aca="false">AX84+AY83</f>
        <v>690015.690627244</v>
      </c>
      <c r="AZ84" s="51" t="n">
        <f aca="false">AY84+AZ83</f>
        <v>778369.791564571</v>
      </c>
      <c r="BA84" s="51" t="n">
        <f aca="false">AZ84+BA83</f>
        <v>866767.781390788</v>
      </c>
      <c r="BB84" s="51" t="n">
        <f aca="false">BA84+BB83</f>
        <v>955209.660105893</v>
      </c>
      <c r="BC84" s="51" t="n">
        <f aca="false">BB84+BC83</f>
        <v>1043695.42770989</v>
      </c>
      <c r="BD84" s="51" t="n">
        <f aca="false">BC84+BD83</f>
        <v>1132225.08420277</v>
      </c>
      <c r="BE84" s="51" t="n">
        <f aca="false">BD84+BE83</f>
        <v>1220798.62958454</v>
      </c>
      <c r="BF84" s="51" t="n">
        <f aca="false">BE84+BF83</f>
        <v>1309416.0638552</v>
      </c>
      <c r="BG84" s="51" t="n">
        <f aca="false">BF84+BG83</f>
        <v>1398077.38701475</v>
      </c>
      <c r="BH84" s="51" t="n">
        <f aca="false">BG84+BH83</f>
        <v>1486782.59906319</v>
      </c>
      <c r="BI84" s="51" t="n">
        <f aca="false">BH84+BI83</f>
        <v>1485188.89463065</v>
      </c>
      <c r="BJ84" s="51" t="n">
        <f aca="false">BI84+BJ83</f>
        <v>1681200.03041952</v>
      </c>
    </row>
    <row r="85" customFormat="false" ht="15" hidden="false" customHeight="false" outlineLevel="0" collapsed="false">
      <c r="A85" s="99" t="s">
        <v>385</v>
      </c>
      <c r="C85" s="51" t="n">
        <f aca="false">C84</f>
        <v>-645552.376821429</v>
      </c>
      <c r="D85" s="51" t="n">
        <f aca="false">MIN(C85,D84)</f>
        <v>-645552.376821429</v>
      </c>
      <c r="E85" s="51" t="n">
        <f aca="false">MIN(D85,E84)</f>
        <v>-645552.376821429</v>
      </c>
      <c r="F85" s="51" t="n">
        <f aca="false">MIN(E85,F84)</f>
        <v>-645552.376821429</v>
      </c>
      <c r="G85" s="51" t="n">
        <f aca="false">MIN(F85,G84)</f>
        <v>-645552.376821429</v>
      </c>
      <c r="H85" s="51" t="n">
        <f aca="false">MIN(G85,H84)</f>
        <v>-645552.376821429</v>
      </c>
      <c r="I85" s="51" t="n">
        <f aca="false">MIN(H85,I84)</f>
        <v>-645552.376821429</v>
      </c>
      <c r="J85" s="51" t="n">
        <f aca="false">MIN(I85,J84)</f>
        <v>-645552.376821429</v>
      </c>
      <c r="K85" s="51" t="n">
        <f aca="false">MIN(J85,K84)</f>
        <v>-645552.376821429</v>
      </c>
      <c r="L85" s="51" t="n">
        <f aca="false">MIN(K85,L84)</f>
        <v>-645552.376821429</v>
      </c>
      <c r="M85" s="51" t="n">
        <f aca="false">MIN(L85,M84)</f>
        <v>-645552.376821429</v>
      </c>
      <c r="N85" s="51" t="n">
        <f aca="false">MIN(M85,N84)</f>
        <v>-645552.376821429</v>
      </c>
      <c r="O85" s="51" t="n">
        <f aca="false">MIN(N85,O84)</f>
        <v>-645552.376821429</v>
      </c>
      <c r="P85" s="51" t="n">
        <f aca="false">MIN(O85,P84)</f>
        <v>-645552.376821429</v>
      </c>
      <c r="Q85" s="51" t="n">
        <f aca="false">MIN(P85,Q84)</f>
        <v>-645552.376821429</v>
      </c>
      <c r="R85" s="51" t="n">
        <f aca="false">MIN(Q85,R84)</f>
        <v>-645552.376821429</v>
      </c>
      <c r="S85" s="51" t="n">
        <f aca="false">MIN(R85,S84)</f>
        <v>-645552.376821429</v>
      </c>
      <c r="T85" s="51" t="n">
        <f aca="false">MIN(S85,T84)</f>
        <v>-645552.376821429</v>
      </c>
      <c r="U85" s="51" t="n">
        <f aca="false">MIN(T85,U84)</f>
        <v>-645552.376821429</v>
      </c>
      <c r="V85" s="51" t="n">
        <f aca="false">MIN(U85,V84)</f>
        <v>-645552.376821429</v>
      </c>
      <c r="W85" s="51" t="n">
        <f aca="false">MIN(V85,W84)</f>
        <v>-645552.376821429</v>
      </c>
      <c r="X85" s="51" t="n">
        <f aca="false">MIN(W85,X84)</f>
        <v>-645552.376821429</v>
      </c>
      <c r="Y85" s="51" t="n">
        <f aca="false">MIN(X85,Y84)</f>
        <v>-645552.376821429</v>
      </c>
      <c r="Z85" s="51" t="n">
        <f aca="false">MIN(Y85,Z84)</f>
        <v>-645552.376821429</v>
      </c>
      <c r="AA85" s="51" t="n">
        <f aca="false">MIN(Z85,AA84)</f>
        <v>-645552.376821429</v>
      </c>
      <c r="AB85" s="51" t="n">
        <f aca="false">MIN(AA85,AB84)</f>
        <v>-645552.376821429</v>
      </c>
      <c r="AC85" s="51" t="n">
        <f aca="false">MIN(AB85,AC84)</f>
        <v>-645552.376821429</v>
      </c>
      <c r="AD85" s="51" t="n">
        <f aca="false">MIN(AC85,AD84)</f>
        <v>-645552.376821429</v>
      </c>
      <c r="AE85" s="51" t="n">
        <f aca="false">MIN(AD85,AE84)</f>
        <v>-645552.376821429</v>
      </c>
      <c r="AF85" s="51" t="n">
        <f aca="false">MIN(AE85,AF84)</f>
        <v>-645552.376821429</v>
      </c>
      <c r="AG85" s="51" t="n">
        <f aca="false">MIN(AF85,AG84)</f>
        <v>-645552.376821429</v>
      </c>
      <c r="AH85" s="51" t="n">
        <f aca="false">MIN(AG85,AH84)</f>
        <v>-645552.376821429</v>
      </c>
      <c r="AI85" s="51" t="n">
        <f aca="false">MIN(AH85,AI84)</f>
        <v>-645552.376821429</v>
      </c>
      <c r="AJ85" s="51" t="n">
        <f aca="false">MIN(AI85,AJ84)</f>
        <v>-645552.376821429</v>
      </c>
      <c r="AK85" s="51" t="n">
        <f aca="false">MIN(AJ85,AK84)</f>
        <v>-645552.376821429</v>
      </c>
      <c r="AL85" s="51" t="n">
        <f aca="false">MIN(AK85,AL84)</f>
        <v>-645552.376821429</v>
      </c>
      <c r="AM85" s="51" t="n">
        <f aca="false">MIN(AL85,AM84)</f>
        <v>-645552.376821429</v>
      </c>
      <c r="AN85" s="51" t="n">
        <f aca="false">MIN(AM85,AN84)</f>
        <v>-645552.376821429</v>
      </c>
      <c r="AO85" s="51" t="n">
        <f aca="false">MIN(AN85,AO84)</f>
        <v>-645552.376821429</v>
      </c>
      <c r="AP85" s="51" t="n">
        <f aca="false">MIN(AO85,AP84)</f>
        <v>-645552.376821429</v>
      </c>
      <c r="AQ85" s="51" t="n">
        <f aca="false">MIN(AP85,AQ84)</f>
        <v>-645552.376821429</v>
      </c>
      <c r="AR85" s="51" t="n">
        <f aca="false">MIN(AQ85,AR84)</f>
        <v>-645552.376821429</v>
      </c>
      <c r="AS85" s="51" t="n">
        <f aca="false">MIN(AR85,AS84)</f>
        <v>-645552.376821429</v>
      </c>
      <c r="AT85" s="51" t="n">
        <f aca="false">MIN(AS85,AT84)</f>
        <v>-645552.376821429</v>
      </c>
      <c r="AU85" s="51" t="n">
        <f aca="false">MIN(AT85,AU84)</f>
        <v>-645552.376821429</v>
      </c>
      <c r="AV85" s="51" t="n">
        <f aca="false">MIN(AU85,AV84)</f>
        <v>-645552.376821429</v>
      </c>
      <c r="AW85" s="51" t="n">
        <f aca="false">MIN(AV85,AW84)</f>
        <v>-645552.376821429</v>
      </c>
      <c r="AX85" s="51" t="n">
        <f aca="false">MIN(AW85,AX84)</f>
        <v>-645552.376821429</v>
      </c>
      <c r="AY85" s="51" t="n">
        <f aca="false">MIN(AX85,AY84)</f>
        <v>-645552.376821429</v>
      </c>
      <c r="AZ85" s="51" t="n">
        <f aca="false">MIN(AY85,AZ84)</f>
        <v>-645552.376821429</v>
      </c>
      <c r="BA85" s="51" t="n">
        <f aca="false">MIN(AZ85,BA84)</f>
        <v>-645552.376821429</v>
      </c>
      <c r="BB85" s="51" t="n">
        <f aca="false">MIN(BA85,BB84)</f>
        <v>-645552.376821429</v>
      </c>
      <c r="BC85" s="51" t="n">
        <f aca="false">MIN(BB85,BC84)</f>
        <v>-645552.376821429</v>
      </c>
      <c r="BD85" s="51" t="n">
        <f aca="false">MIN(BC85,BD84)</f>
        <v>-645552.376821429</v>
      </c>
      <c r="BE85" s="51" t="n">
        <f aca="false">MIN(BD85,BE84)</f>
        <v>-645552.376821429</v>
      </c>
      <c r="BF85" s="51" t="n">
        <f aca="false">MIN(BE85,BF84)</f>
        <v>-645552.376821429</v>
      </c>
      <c r="BG85" s="51" t="n">
        <f aca="false">MIN(BF85,BG84)</f>
        <v>-645552.376821429</v>
      </c>
      <c r="BH85" s="51" t="n">
        <f aca="false">MIN(BG85,BH84)</f>
        <v>-645552.376821429</v>
      </c>
      <c r="BI85" s="51" t="n">
        <f aca="false">MIN(BH85,BI84)</f>
        <v>-645552.376821429</v>
      </c>
      <c r="BJ85" s="51" t="n">
        <f aca="false">MIN(BI85,BJ84)</f>
        <v>-645552.376821429</v>
      </c>
    </row>
    <row r="86" customFormat="false" ht="15" hidden="false" customHeight="false" outlineLevel="0" collapsed="false">
      <c r="A86" s="99" t="s">
        <v>386</v>
      </c>
      <c r="C86" s="95" t="n">
        <f aca="false">IF(AND(C84&gt;=0,C85&lt;0),1,0)</f>
        <v>0</v>
      </c>
      <c r="D86" s="95" t="n">
        <f aca="false">IF(AND(D84&gt;=0,D85&lt;0),1,0)</f>
        <v>0</v>
      </c>
      <c r="E86" s="95" t="n">
        <f aca="false">IF(AND(E84&gt;=0,E85&lt;0),1,0)</f>
        <v>0</v>
      </c>
      <c r="F86" s="95" t="n">
        <f aca="false">IF(AND(F84&gt;=0,F85&lt;0),1,0)</f>
        <v>0</v>
      </c>
      <c r="G86" s="95" t="n">
        <f aca="false">IF(AND(G84&gt;=0,G85&lt;0),1,0)</f>
        <v>0</v>
      </c>
      <c r="H86" s="95" t="n">
        <f aca="false">IF(AND(H84&gt;=0,H85&lt;0),1,0)</f>
        <v>0</v>
      </c>
      <c r="I86" s="95" t="n">
        <f aca="false">IF(AND(I84&gt;=0,I85&lt;0),1,0)</f>
        <v>0</v>
      </c>
      <c r="J86" s="95" t="n">
        <f aca="false">IF(AND(J84&gt;=0,J85&lt;0),1,0)</f>
        <v>0</v>
      </c>
      <c r="K86" s="95" t="n">
        <f aca="false">IF(AND(K84&gt;=0,K85&lt;0),1,0)</f>
        <v>0</v>
      </c>
      <c r="L86" s="95" t="n">
        <f aca="false">IF(AND(L84&gt;=0,L85&lt;0),1,0)</f>
        <v>0</v>
      </c>
      <c r="M86" s="95" t="n">
        <f aca="false">IF(AND(M84&gt;=0,M85&lt;0),1,0)</f>
        <v>0</v>
      </c>
      <c r="N86" s="95" t="n">
        <f aca="false">IF(AND(N84&gt;=0,N85&lt;0),1,0)</f>
        <v>0</v>
      </c>
      <c r="O86" s="95" t="n">
        <f aca="false">IF(AND(O84&gt;=0,O85&lt;0),1,0)</f>
        <v>0</v>
      </c>
      <c r="P86" s="95" t="n">
        <f aca="false">IF(AND(P84&gt;=0,P85&lt;0),1,0)</f>
        <v>0</v>
      </c>
      <c r="Q86" s="95" t="n">
        <f aca="false">IF(AND(Q84&gt;=0,Q85&lt;0),1,0)</f>
        <v>0</v>
      </c>
      <c r="R86" s="95" t="n">
        <f aca="false">IF(AND(R84&gt;=0,R85&lt;0),1,0)</f>
        <v>0</v>
      </c>
      <c r="S86" s="95" t="n">
        <f aca="false">IF(AND(S84&gt;=0,S85&lt;0),1,0)</f>
        <v>0</v>
      </c>
      <c r="T86" s="95" t="n">
        <f aca="false">IF(AND(T84&gt;=0,T85&lt;0),1,0)</f>
        <v>0</v>
      </c>
      <c r="U86" s="95" t="n">
        <f aca="false">IF(AND(U84&gt;=0,U85&lt;0),1,0)</f>
        <v>0</v>
      </c>
      <c r="V86" s="95" t="n">
        <f aca="false">IF(AND(V84&gt;=0,V85&lt;0),1,0)</f>
        <v>0</v>
      </c>
      <c r="W86" s="95" t="n">
        <f aca="false">IF(AND(W84&gt;=0,W85&lt;0),1,0)</f>
        <v>0</v>
      </c>
      <c r="X86" s="95" t="n">
        <f aca="false">IF(AND(X84&gt;=0,X85&lt;0),1,0)</f>
        <v>0</v>
      </c>
      <c r="Y86" s="95" t="n">
        <f aca="false">IF(AND(Y84&gt;=0,Y85&lt;0),1,0)</f>
        <v>0</v>
      </c>
      <c r="Z86" s="95" t="n">
        <f aca="false">IF(AND(Z84&gt;=0,Z85&lt;0),1,0)</f>
        <v>0</v>
      </c>
      <c r="AA86" s="95" t="n">
        <f aca="false">IF(AND(AA84&gt;=0,AA85&lt;0),1,0)</f>
        <v>0</v>
      </c>
      <c r="AB86" s="95" t="n">
        <f aca="false">IF(AND(AB84&gt;=0,AB85&lt;0),1,0)</f>
        <v>0</v>
      </c>
      <c r="AC86" s="95" t="n">
        <f aca="false">IF(AND(AC84&gt;=0,AC85&lt;0),1,0)</f>
        <v>0</v>
      </c>
      <c r="AD86" s="95" t="n">
        <f aca="false">IF(AND(AD84&gt;=0,AD85&lt;0),1,0)</f>
        <v>0</v>
      </c>
      <c r="AE86" s="95" t="n">
        <f aca="false">IF(AND(AE84&gt;=0,AE85&lt;0),1,0)</f>
        <v>0</v>
      </c>
      <c r="AF86" s="95" t="n">
        <f aca="false">IF(AND(AF84&gt;=0,AF85&lt;0),1,0)</f>
        <v>0</v>
      </c>
      <c r="AG86" s="95" t="n">
        <f aca="false">IF(AND(AG84&gt;=0,AG85&lt;0),1,0)</f>
        <v>0</v>
      </c>
      <c r="AH86" s="95" t="n">
        <f aca="false">IF(AND(AH84&gt;=0,AH85&lt;0),1,0)</f>
        <v>0</v>
      </c>
      <c r="AI86" s="95" t="n">
        <f aca="false">IF(AND(AI84&gt;=0,AI85&lt;0),1,0)</f>
        <v>0</v>
      </c>
      <c r="AJ86" s="95" t="n">
        <f aca="false">IF(AND(AJ84&gt;=0,AJ85&lt;0),1,0)</f>
        <v>0</v>
      </c>
      <c r="AK86" s="95" t="n">
        <f aca="false">IF(AND(AK84&gt;=0,AK85&lt;0),1,0)</f>
        <v>0</v>
      </c>
      <c r="AL86" s="95" t="n">
        <f aca="false">IF(AND(AL84&gt;=0,AL85&lt;0),1,0)</f>
        <v>1</v>
      </c>
      <c r="AM86" s="95" t="n">
        <f aca="false">IF(AND(AM84&gt;=0,AM85&lt;0),1,0)</f>
        <v>1</v>
      </c>
      <c r="AN86" s="95" t="n">
        <f aca="false">IF(AND(AN84&gt;=0,AN85&lt;0),1,0)</f>
        <v>1</v>
      </c>
      <c r="AO86" s="95" t="n">
        <f aca="false">IF(AND(AO84&gt;=0,AO85&lt;0),1,0)</f>
        <v>1</v>
      </c>
      <c r="AP86" s="95" t="n">
        <f aca="false">IF(AND(AP84&gt;=0,AP85&lt;0),1,0)</f>
        <v>1</v>
      </c>
      <c r="AQ86" s="95" t="n">
        <f aca="false">IF(AND(AQ84&gt;=0,AQ85&lt;0),1,0)</f>
        <v>1</v>
      </c>
      <c r="AR86" s="95" t="n">
        <f aca="false">IF(AND(AR84&gt;=0,AR85&lt;0),1,0)</f>
        <v>1</v>
      </c>
      <c r="AS86" s="95" t="n">
        <f aca="false">IF(AND(AS84&gt;=0,AS85&lt;0),1,0)</f>
        <v>1</v>
      </c>
      <c r="AT86" s="95" t="n">
        <f aca="false">IF(AND(AT84&gt;=0,AT85&lt;0),1,0)</f>
        <v>1</v>
      </c>
      <c r="AU86" s="95" t="n">
        <f aca="false">IF(AND(AU84&gt;=0,AU85&lt;0),1,0)</f>
        <v>1</v>
      </c>
      <c r="AV86" s="95" t="n">
        <f aca="false">IF(AND(AV84&gt;=0,AV85&lt;0),1,0)</f>
        <v>1</v>
      </c>
      <c r="AW86" s="95" t="n">
        <f aca="false">IF(AND(AW84&gt;=0,AW85&lt;0),1,0)</f>
        <v>1</v>
      </c>
      <c r="AX86" s="95" t="n">
        <f aca="false">IF(AND(AX84&gt;=0,AX85&lt;0),1,0)</f>
        <v>1</v>
      </c>
      <c r="AY86" s="95" t="n">
        <f aca="false">IF(AND(AY84&gt;=0,AY85&lt;0),1,0)</f>
        <v>1</v>
      </c>
      <c r="AZ86" s="95" t="n">
        <f aca="false">IF(AND(AZ84&gt;=0,AZ85&lt;0),1,0)</f>
        <v>1</v>
      </c>
      <c r="BA86" s="95" t="n">
        <f aca="false">IF(AND(BA84&gt;=0,BA85&lt;0),1,0)</f>
        <v>1</v>
      </c>
      <c r="BB86" s="95" t="n">
        <f aca="false">IF(AND(BB84&gt;=0,BB85&lt;0),1,0)</f>
        <v>1</v>
      </c>
      <c r="BC86" s="95" t="n">
        <f aca="false">IF(AND(BC84&gt;=0,BC85&lt;0),1,0)</f>
        <v>1</v>
      </c>
      <c r="BD86" s="95" t="n">
        <f aca="false">IF(AND(BD84&gt;=0,BD85&lt;0),1,0)</f>
        <v>1</v>
      </c>
      <c r="BE86" s="95" t="n">
        <f aca="false">IF(AND(BE84&gt;=0,BE85&lt;0),1,0)</f>
        <v>1</v>
      </c>
      <c r="BF86" s="95" t="n">
        <f aca="false">IF(AND(BF84&gt;=0,BF85&lt;0),1,0)</f>
        <v>1</v>
      </c>
      <c r="BG86" s="95" t="n">
        <f aca="false">IF(AND(BG84&gt;=0,BG85&lt;0),1,0)</f>
        <v>1</v>
      </c>
      <c r="BH86" s="95" t="n">
        <f aca="false">IF(AND(BH84&gt;=0,BH85&lt;0),1,0)</f>
        <v>1</v>
      </c>
      <c r="BI86" s="95" t="n">
        <f aca="false">IF(AND(BI84&gt;=0,BI85&lt;0),1,0)</f>
        <v>1</v>
      </c>
      <c r="BJ86" s="95" t="n">
        <f aca="false">IF(AND(BJ84&gt;=0,BJ85&lt;0),1,0)</f>
        <v>1</v>
      </c>
    </row>
    <row r="87" customFormat="false" ht="15" hidden="false" customHeight="false" outlineLevel="0" collapsed="false">
      <c r="A87" s="6" t="s">
        <v>387</v>
      </c>
      <c r="C87" s="51" t="n">
        <f aca="false">C72-C43*(1-Inputs!$E$70)+C73</f>
        <v>-642919.043488095</v>
      </c>
      <c r="D87" s="51" t="n">
        <f aca="false">D72-D43*(1-Inputs!$E$70)+D73</f>
        <v>15601.2329404762</v>
      </c>
      <c r="E87" s="51" t="n">
        <f aca="false">E72-E43*(1-Inputs!$E$70)+E73</f>
        <v>15601.2329404762</v>
      </c>
      <c r="F87" s="51" t="n">
        <f aca="false">F72-F43*(1-Inputs!$E$70)+F73</f>
        <v>15601.2329404762</v>
      </c>
      <c r="G87" s="51" t="n">
        <f aca="false">G72-G43*(1-Inputs!$E$70)+G73</f>
        <v>15601.2329404762</v>
      </c>
      <c r="H87" s="51" t="n">
        <f aca="false">H72-H43*(1-Inputs!$E$70)+H73</f>
        <v>15601.2329404762</v>
      </c>
      <c r="I87" s="51" t="n">
        <f aca="false">I72-I43*(1-Inputs!$E$70)+I73</f>
        <v>15601.2329404762</v>
      </c>
      <c r="J87" s="51" t="n">
        <f aca="false">J72-J43*(1-Inputs!$E$70)+J73</f>
        <v>15601.2329404762</v>
      </c>
      <c r="K87" s="51" t="n">
        <f aca="false">K72-K43*(1-Inputs!$E$70)+K73</f>
        <v>15601.2329404762</v>
      </c>
      <c r="L87" s="51" t="n">
        <f aca="false">L72-L43*(1-Inputs!$E$70)+L73</f>
        <v>15601.2329404762</v>
      </c>
      <c r="M87" s="51" t="n">
        <f aca="false">M72-M43*(1-Inputs!$E$70)+M73</f>
        <v>-17262.1275595238</v>
      </c>
      <c r="N87" s="51" t="n">
        <f aca="false">N72-N43*(1-Inputs!$E$70)+N73</f>
        <v>52654.6424404763</v>
      </c>
      <c r="O87" s="51" t="n">
        <f aca="false">O72-O43*(1-Inputs!$E$70)+O73</f>
        <v>-141506.155274405</v>
      </c>
      <c r="P87" s="51" t="n">
        <f aca="false">P72-P43*(1-Inputs!$E$70)+P73</f>
        <v>31086.0654755952</v>
      </c>
      <c r="Q87" s="51" t="n">
        <f aca="false">Q72-Q43*(1-Inputs!$E$70)+Q73</f>
        <v>31086.0654755952</v>
      </c>
      <c r="R87" s="51" t="n">
        <f aca="false">R72-R43*(1-Inputs!$E$70)+R73</f>
        <v>31086.0654755953</v>
      </c>
      <c r="S87" s="51" t="n">
        <f aca="false">S72-S43*(1-Inputs!$E$70)+S73</f>
        <v>31086.0654755953</v>
      </c>
      <c r="T87" s="51" t="n">
        <f aca="false">T72-T43*(1-Inputs!$E$70)+T73</f>
        <v>31086.0654755952</v>
      </c>
      <c r="U87" s="51" t="n">
        <f aca="false">U72-U43*(1-Inputs!$E$70)+U73</f>
        <v>31086.0654755953</v>
      </c>
      <c r="V87" s="51" t="n">
        <f aca="false">V72-V43*(1-Inputs!$E$70)+V73</f>
        <v>31086.0654755952</v>
      </c>
      <c r="W87" s="51" t="n">
        <f aca="false">W72-W43*(1-Inputs!$E$70)+W73</f>
        <v>31086.0654755952</v>
      </c>
      <c r="X87" s="51" t="n">
        <f aca="false">X72-X43*(1-Inputs!$E$70)+X73</f>
        <v>31086.0654755953</v>
      </c>
      <c r="Y87" s="51" t="n">
        <f aca="false">Y72-Y43*(1-Inputs!$E$70)+Y73</f>
        <v>-12681.5494494047</v>
      </c>
      <c r="Z87" s="51" t="n">
        <f aca="false">Z72-Z43*(1-Inputs!$E$70)+Z73</f>
        <v>81858.4510505953</v>
      </c>
      <c r="AA87" s="51" t="n">
        <f aca="false">AA72-AA43*(1-Inputs!$E$70)+AA73</f>
        <v>-116790.240421449</v>
      </c>
      <c r="AB87" s="51" t="n">
        <f aca="false">AB72-AB43*(1-Inputs!$E$70)+AB73</f>
        <v>48275.7231285507</v>
      </c>
      <c r="AC87" s="51" t="n">
        <f aca="false">AC72-AC43*(1-Inputs!$E$70)+AC73</f>
        <v>48275.7231285507</v>
      </c>
      <c r="AD87" s="51" t="n">
        <f aca="false">AD72-AD43*(1-Inputs!$E$70)+AD73</f>
        <v>48275.7231285506</v>
      </c>
      <c r="AE87" s="51" t="n">
        <f aca="false">AE72-AE43*(1-Inputs!$E$70)+AE73</f>
        <v>48275.7231285507</v>
      </c>
      <c r="AF87" s="51" t="n">
        <f aca="false">AF72-AF43*(1-Inputs!$E$70)+AF73</f>
        <v>48275.7231285506</v>
      </c>
      <c r="AG87" s="51" t="n">
        <f aca="false">AG72-AG43*(1-Inputs!$E$70)+AG73</f>
        <v>48275.7231285507</v>
      </c>
      <c r="AH87" s="51" t="n">
        <f aca="false">AH72-AH43*(1-Inputs!$E$70)+AH73</f>
        <v>48275.7231285507</v>
      </c>
      <c r="AI87" s="51" t="n">
        <f aca="false">AI72-AI43*(1-Inputs!$E$70)+AI73</f>
        <v>48275.7231285507</v>
      </c>
      <c r="AJ87" s="51" t="n">
        <f aca="false">AJ72-AJ43*(1-Inputs!$E$70)+AJ73</f>
        <v>48275.7231285507</v>
      </c>
      <c r="AK87" s="51" t="n">
        <f aca="false">AK72-AK43*(1-Inputs!$E$70)+AK73</f>
        <v>-8358.84669144924</v>
      </c>
      <c r="AL87" s="51" t="n">
        <f aca="false">AL72-AL43*(1-Inputs!$E$70)+AL73</f>
        <v>114931.674508551</v>
      </c>
      <c r="AM87" s="51" t="n">
        <f aca="false">AM72-AM43*(1-Inputs!$E$70)+AM73</f>
        <v>-90076.6072000558</v>
      </c>
      <c r="AN87" s="51" t="n">
        <f aca="false">AN72-AN43*(1-Inputs!$E$70)+AN73</f>
        <v>67433.3511349443</v>
      </c>
      <c r="AO87" s="51" t="n">
        <f aca="false">AO72-AO43*(1-Inputs!$E$70)+AO73</f>
        <v>67433.3511349443</v>
      </c>
      <c r="AP87" s="51" t="n">
        <f aca="false">AP72-AP43*(1-Inputs!$E$70)+AP73</f>
        <v>67433.3511349443</v>
      </c>
      <c r="AQ87" s="51" t="n">
        <f aca="false">AQ72-AQ43*(1-Inputs!$E$70)+AQ73</f>
        <v>67433.3511349443</v>
      </c>
      <c r="AR87" s="51" t="n">
        <f aca="false">AR72-AR43*(1-Inputs!$E$70)+AR73</f>
        <v>67433.3511349443</v>
      </c>
      <c r="AS87" s="51" t="n">
        <f aca="false">AS72-AS43*(1-Inputs!$E$70)+AS73</f>
        <v>67433.3511349443</v>
      </c>
      <c r="AT87" s="51" t="n">
        <f aca="false">AT72-AT43*(1-Inputs!$E$70)+AT73</f>
        <v>67433.3511349443</v>
      </c>
      <c r="AU87" s="51" t="n">
        <f aca="false">AU72-AU43*(1-Inputs!$E$70)+AU73</f>
        <v>67433.3511349443</v>
      </c>
      <c r="AV87" s="51" t="n">
        <f aca="false">AV72-AV43*(1-Inputs!$E$70)+AV73</f>
        <v>67433.3511349443</v>
      </c>
      <c r="AW87" s="51" t="n">
        <f aca="false">AW72-AW43*(1-Inputs!$E$70)+AW73</f>
        <v>-4519.76538555576</v>
      </c>
      <c r="AX87" s="51" t="n">
        <f aca="false">AX72-AX43*(1-Inputs!$E$70)+AX73</f>
        <v>152675.649144444</v>
      </c>
      <c r="AY87" s="51" t="n">
        <f aca="false">AY72-AY43*(1-Inputs!$E$70)+AY73</f>
        <v>-61084.4118296478</v>
      </c>
      <c r="AZ87" s="51" t="n">
        <f aca="false">AZ72-AZ43*(1-Inputs!$E$70)+AZ73</f>
        <v>88858.8231595497</v>
      </c>
      <c r="BA87" s="51" t="n">
        <f aca="false">BA72-BA43*(1-Inputs!$E$70)+BA73</f>
        <v>88858.8231595496</v>
      </c>
      <c r="BB87" s="51" t="n">
        <f aca="false">BB72-BB43*(1-Inputs!$E$70)+BB73</f>
        <v>88858.8231595497</v>
      </c>
      <c r="BC87" s="51" t="n">
        <f aca="false">BC72-BC43*(1-Inputs!$E$70)+BC73</f>
        <v>88858.8231595497</v>
      </c>
      <c r="BD87" s="51" t="n">
        <f aca="false">BD72-BD43*(1-Inputs!$E$70)+BD73</f>
        <v>88858.8231595497</v>
      </c>
      <c r="BE87" s="51" t="n">
        <f aca="false">BE72-BE43*(1-Inputs!$E$70)+BE73</f>
        <v>88858.8231595497</v>
      </c>
      <c r="BF87" s="51" t="n">
        <f aca="false">BF72-BF43*(1-Inputs!$E$70)+BF73</f>
        <v>88858.8231595497</v>
      </c>
      <c r="BG87" s="51" t="n">
        <f aca="false">BG72-BG43*(1-Inputs!$E$70)+BG73</f>
        <v>88858.8231595497</v>
      </c>
      <c r="BH87" s="51" t="n">
        <f aca="false">BH72-BH43*(1-Inputs!$E$70)+BH73</f>
        <v>88858.8231595497</v>
      </c>
      <c r="BI87" s="51" t="n">
        <f aca="false">BI72-BI43*(1-Inputs!$E$70)+BI73</f>
        <v>-1483.98221032149</v>
      </c>
      <c r="BJ87" s="51" t="n">
        <f aca="false">BJ72-BJ43*(1-Inputs!$E$70)+BJ73</f>
        <v>196076.969122204</v>
      </c>
    </row>
    <row r="89" customFormat="false" ht="15.75" hidden="false" customHeight="true" outlineLevel="0" collapsed="false">
      <c r="A89" s="7" t="s">
        <v>388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customFormat="false" ht="15" hidden="false" customHeight="false" outlineLevel="0" collapsed="false">
      <c r="A90" s="6" t="s">
        <v>94</v>
      </c>
      <c r="C90" s="51" t="n">
        <f aca="false">C74</f>
        <v>1500000</v>
      </c>
      <c r="D90" s="51" t="n">
        <f aca="false">C90+D74</f>
        <v>1500000</v>
      </c>
      <c r="E90" s="51" t="n">
        <f aca="false">D90+E74</f>
        <v>1500000</v>
      </c>
      <c r="F90" s="51" t="n">
        <f aca="false">E90+F74</f>
        <v>1500000</v>
      </c>
      <c r="G90" s="51" t="n">
        <f aca="false">F90+G74</f>
        <v>1500000</v>
      </c>
      <c r="H90" s="51" t="n">
        <f aca="false">G90+H74</f>
        <v>1500000</v>
      </c>
      <c r="I90" s="51" t="n">
        <f aca="false">H90+I74</f>
        <v>1500000</v>
      </c>
      <c r="J90" s="51" t="n">
        <f aca="false">I90+J74</f>
        <v>1500000</v>
      </c>
      <c r="K90" s="51" t="n">
        <f aca="false">J90+K74</f>
        <v>1500000</v>
      </c>
      <c r="L90" s="51" t="n">
        <f aca="false">K90+L74</f>
        <v>1500000</v>
      </c>
      <c r="M90" s="51" t="n">
        <f aca="false">L90+M74</f>
        <v>1500000</v>
      </c>
      <c r="N90" s="51" t="n">
        <f aca="false">M90+N74</f>
        <v>1500000</v>
      </c>
      <c r="O90" s="51" t="n">
        <f aca="false">N90+O74</f>
        <v>1500000</v>
      </c>
      <c r="P90" s="51" t="n">
        <f aca="false">O90+P74</f>
        <v>1500000</v>
      </c>
      <c r="Q90" s="51" t="n">
        <f aca="false">P90+Q74</f>
        <v>1500000</v>
      </c>
      <c r="R90" s="51" t="n">
        <f aca="false">Q90+R74</f>
        <v>1500000</v>
      </c>
      <c r="S90" s="51" t="n">
        <f aca="false">R90+S74</f>
        <v>1500000</v>
      </c>
      <c r="T90" s="51" t="n">
        <f aca="false">S90+T74</f>
        <v>1500000</v>
      </c>
      <c r="U90" s="51" t="n">
        <f aca="false">T90+U74</f>
        <v>1500000</v>
      </c>
      <c r="V90" s="51" t="n">
        <f aca="false">U90+V74</f>
        <v>1500000</v>
      </c>
      <c r="W90" s="51" t="n">
        <f aca="false">V90+W74</f>
        <v>1500000</v>
      </c>
      <c r="X90" s="51" t="n">
        <f aca="false">W90+X74</f>
        <v>1500000</v>
      </c>
      <c r="Y90" s="51" t="n">
        <f aca="false">X90+Y74</f>
        <v>1500000</v>
      </c>
      <c r="Z90" s="51" t="n">
        <f aca="false">Y90+Z74</f>
        <v>1500000</v>
      </c>
      <c r="AA90" s="51" t="n">
        <f aca="false">Z90+AA74</f>
        <v>1500000</v>
      </c>
      <c r="AB90" s="51" t="n">
        <f aca="false">AA90+AB74</f>
        <v>1500000</v>
      </c>
      <c r="AC90" s="51" t="n">
        <f aca="false">AB90+AC74</f>
        <v>1500000</v>
      </c>
      <c r="AD90" s="51" t="n">
        <f aca="false">AC90+AD74</f>
        <v>1500000</v>
      </c>
      <c r="AE90" s="51" t="n">
        <f aca="false">AD90+AE74</f>
        <v>1500000</v>
      </c>
      <c r="AF90" s="51" t="n">
        <f aca="false">AE90+AF74</f>
        <v>1500000</v>
      </c>
      <c r="AG90" s="51" t="n">
        <f aca="false">AF90+AG74</f>
        <v>1500000</v>
      </c>
      <c r="AH90" s="51" t="n">
        <f aca="false">AG90+AH74</f>
        <v>1500000</v>
      </c>
      <c r="AI90" s="51" t="n">
        <f aca="false">AH90+AI74</f>
        <v>1500000</v>
      </c>
      <c r="AJ90" s="51" t="n">
        <f aca="false">AI90+AJ74</f>
        <v>1500000</v>
      </c>
      <c r="AK90" s="51" t="n">
        <f aca="false">AJ90+AK74</f>
        <v>1500000</v>
      </c>
      <c r="AL90" s="51" t="n">
        <f aca="false">AK90+AL74</f>
        <v>1500000</v>
      </c>
      <c r="AM90" s="51" t="n">
        <f aca="false">AL90+AM74</f>
        <v>1500000</v>
      </c>
      <c r="AN90" s="51" t="n">
        <f aca="false">AM90+AN74</f>
        <v>1500000</v>
      </c>
      <c r="AO90" s="51" t="n">
        <f aca="false">AN90+AO74</f>
        <v>1500000</v>
      </c>
      <c r="AP90" s="51" t="n">
        <f aca="false">AO90+AP74</f>
        <v>1500000</v>
      </c>
      <c r="AQ90" s="51" t="n">
        <f aca="false">AP90+AQ74</f>
        <v>1500000</v>
      </c>
      <c r="AR90" s="51" t="n">
        <f aca="false">AQ90+AR74</f>
        <v>1500000</v>
      </c>
      <c r="AS90" s="51" t="n">
        <f aca="false">AR90+AS74</f>
        <v>1500000</v>
      </c>
      <c r="AT90" s="51" t="n">
        <f aca="false">AS90+AT74</f>
        <v>1500000</v>
      </c>
      <c r="AU90" s="51" t="n">
        <f aca="false">AT90+AU74</f>
        <v>1500000</v>
      </c>
      <c r="AV90" s="51" t="n">
        <f aca="false">AU90+AV74</f>
        <v>1500000</v>
      </c>
      <c r="AW90" s="51" t="n">
        <f aca="false">AV90+AW74</f>
        <v>1500000</v>
      </c>
      <c r="AX90" s="51" t="n">
        <f aca="false">AW90+AX74</f>
        <v>1500000</v>
      </c>
      <c r="AY90" s="51" t="n">
        <f aca="false">AX90+AY74</f>
        <v>1500000</v>
      </c>
      <c r="AZ90" s="51" t="n">
        <f aca="false">AY90+AZ74</f>
        <v>1500000</v>
      </c>
      <c r="BA90" s="51" t="n">
        <f aca="false">AZ90+BA74</f>
        <v>1500000</v>
      </c>
      <c r="BB90" s="51" t="n">
        <f aca="false">BA90+BB74</f>
        <v>1500000</v>
      </c>
      <c r="BC90" s="51" t="n">
        <f aca="false">BB90+BC74</f>
        <v>1500000</v>
      </c>
      <c r="BD90" s="51" t="n">
        <f aca="false">BC90+BD74</f>
        <v>1500000</v>
      </c>
      <c r="BE90" s="51" t="n">
        <f aca="false">BD90+BE74</f>
        <v>1500000</v>
      </c>
      <c r="BF90" s="51" t="n">
        <f aca="false">BE90+BF74</f>
        <v>1500000</v>
      </c>
      <c r="BG90" s="51" t="n">
        <f aca="false">BF90+BG74</f>
        <v>1500000</v>
      </c>
      <c r="BH90" s="51" t="n">
        <f aca="false">BG90+BH74</f>
        <v>1500000</v>
      </c>
      <c r="BI90" s="51" t="n">
        <f aca="false">BH90+BI74</f>
        <v>1500000</v>
      </c>
      <c r="BJ90" s="51" t="n">
        <f aca="false">BI90+BJ74</f>
        <v>1500000</v>
      </c>
    </row>
    <row r="91" customFormat="false" ht="15" hidden="false" customHeight="false" outlineLevel="0" collapsed="false">
      <c r="A91" s="6" t="s">
        <v>95</v>
      </c>
      <c r="C91" s="51" t="n">
        <f aca="false">C48</f>
        <v>8801.23294047617</v>
      </c>
      <c r="D91" s="51" t="n">
        <f aca="false">C91+D48</f>
        <v>17624.4103253968</v>
      </c>
      <c r="E91" s="51" t="n">
        <f aca="false">D91+E48</f>
        <v>26491.4765992063</v>
      </c>
      <c r="F91" s="51" t="n">
        <f aca="false">E91+F48</f>
        <v>35402.4317619047</v>
      </c>
      <c r="G91" s="51" t="n">
        <f aca="false">F91+G48</f>
        <v>44357.275813492</v>
      </c>
      <c r="H91" s="51" t="n">
        <f aca="false">G91+H48</f>
        <v>53356.0087539681</v>
      </c>
      <c r="I91" s="51" t="n">
        <f aca="false">H91+I48</f>
        <v>62398.6305833332</v>
      </c>
      <c r="J91" s="51" t="n">
        <f aca="false">I91+J48</f>
        <v>71485.1413015871</v>
      </c>
      <c r="K91" s="51" t="n">
        <f aca="false">J91+K48</f>
        <v>80615.54090873</v>
      </c>
      <c r="L91" s="51" t="n">
        <f aca="false">K91+L48</f>
        <v>89789.8294047617</v>
      </c>
      <c r="M91" s="51" t="n">
        <f aca="false">L91+M48</f>
        <v>136061.416289682</v>
      </c>
      <c r="N91" s="51" t="n">
        <f aca="false">M91+N48</f>
        <v>182376.892063492</v>
      </c>
      <c r="O91" s="51" t="n">
        <f aca="false">N91+O48</f>
        <v>205381.965475595</v>
      </c>
      <c r="P91" s="51" t="n">
        <f aca="false">O91+P48</f>
        <v>228430.927776587</v>
      </c>
      <c r="Q91" s="51" t="n">
        <f aca="false">P91+Q48</f>
        <v>251523.778966468</v>
      </c>
      <c r="R91" s="51" t="n">
        <f aca="false">Q91+R48</f>
        <v>274660.519045238</v>
      </c>
      <c r="S91" s="51" t="n">
        <f aca="false">R91+S48</f>
        <v>297841.148012897</v>
      </c>
      <c r="T91" s="51" t="n">
        <f aca="false">S91+T48</f>
        <v>321065.665869445</v>
      </c>
      <c r="U91" s="51" t="n">
        <f aca="false">T91+U48</f>
        <v>344334.072614881</v>
      </c>
      <c r="V91" s="51" t="n">
        <f aca="false">U91+V48</f>
        <v>367646.368249206</v>
      </c>
      <c r="W91" s="51" t="n">
        <f aca="false">V91+W48</f>
        <v>391002.552772421</v>
      </c>
      <c r="X91" s="51" t="n">
        <f aca="false">W91+X48</f>
        <v>414402.626184524</v>
      </c>
      <c r="Y91" s="51" t="n">
        <f aca="false">X91+Y48</f>
        <v>488618.974060516</v>
      </c>
      <c r="Z91" s="51" t="n">
        <f aca="false">Y91+Z48</f>
        <v>562879.210825397</v>
      </c>
      <c r="AA91" s="51" t="n">
        <f aca="false">Z91+AA48</f>
        <v>601814.894271408</v>
      </c>
      <c r="AB91" s="51" t="n">
        <f aca="false">AA91+AB48</f>
        <v>640794.466606308</v>
      </c>
      <c r="AC91" s="51" t="n">
        <f aca="false">AB91+AC48</f>
        <v>679817.927830097</v>
      </c>
      <c r="AD91" s="51" t="n">
        <f aca="false">AC91+AD48</f>
        <v>718885.277942774</v>
      </c>
      <c r="AE91" s="51" t="n">
        <f aca="false">AD91+AE48</f>
        <v>757996.516944341</v>
      </c>
      <c r="AF91" s="51" t="n">
        <f aca="false">AE91+AF48</f>
        <v>797151.644834796</v>
      </c>
      <c r="AG91" s="51" t="n">
        <f aca="false">AF91+AG48</f>
        <v>836350.661614141</v>
      </c>
      <c r="AH91" s="51" t="n">
        <f aca="false">AG91+AH48</f>
        <v>875593.567282374</v>
      </c>
      <c r="AI91" s="51" t="n">
        <f aca="false">AH91+AI48</f>
        <v>914880.361839496</v>
      </c>
      <c r="AJ91" s="51" t="n">
        <f aca="false">AI91+AJ48</f>
        <v>954211.045285507</v>
      </c>
      <c r="AK91" s="51" t="n">
        <f aca="false">AJ91+AK48</f>
        <v>1060241.56900041</v>
      </c>
      <c r="AL91" s="51" t="n">
        <f aca="false">AK91+AL48</f>
        <v>1166315.9816042</v>
      </c>
      <c r="AM91" s="51" t="n">
        <f aca="false">AL91+AM48</f>
        <v>1223150.24543755</v>
      </c>
      <c r="AN91" s="51" t="n">
        <f aca="false">AM91+AN48</f>
        <v>1280028.3981598</v>
      </c>
      <c r="AO91" s="51" t="n">
        <f aca="false">AN91+AO48</f>
        <v>1336950.43977093</v>
      </c>
      <c r="AP91" s="51" t="n">
        <f aca="false">AO91+AP48</f>
        <v>1393916.37027096</v>
      </c>
      <c r="AQ91" s="51" t="n">
        <f aca="false">AP91+AQ48</f>
        <v>1450926.18965987</v>
      </c>
      <c r="AR91" s="51" t="n">
        <f aca="false">AQ91+AR48</f>
        <v>1507979.89793767</v>
      </c>
      <c r="AS91" s="51" t="n">
        <f aca="false">AR91+AS48</f>
        <v>1565077.49510436</v>
      </c>
      <c r="AT91" s="51" t="n">
        <f aca="false">AS91+AT48</f>
        <v>1622218.98115994</v>
      </c>
      <c r="AU91" s="51" t="n">
        <f aca="false">AT91+AU48</f>
        <v>1679404.35610441</v>
      </c>
      <c r="AV91" s="51" t="n">
        <f aca="false">AU91+AV48</f>
        <v>1736633.61993777</v>
      </c>
      <c r="AW91" s="51" t="n">
        <f aca="false">AV91+AW48</f>
        <v>1879149.07066951</v>
      </c>
      <c r="AX91" s="51" t="n">
        <f aca="false">AW91+AX48</f>
        <v>2021708.41029015</v>
      </c>
      <c r="AY91" s="51" t="n">
        <f aca="false">AX91+AY48</f>
        <v>2098709.09852906</v>
      </c>
      <c r="AZ91" s="51" t="n">
        <f aca="false">AY91+AZ48</f>
        <v>2175753.67565686</v>
      </c>
      <c r="BA91" s="51" t="n">
        <f aca="false">AZ91+BA48</f>
        <v>2252842.14167356</v>
      </c>
      <c r="BB91" s="51" t="n">
        <f aca="false">BA91+BB48</f>
        <v>2329974.49657914</v>
      </c>
      <c r="BC91" s="51" t="n">
        <f aca="false">BB91+BC48</f>
        <v>2407150.74037361</v>
      </c>
      <c r="BD91" s="51" t="n">
        <f aca="false">BC91+BD48</f>
        <v>2484370.87305697</v>
      </c>
      <c r="BE91" s="51" t="n">
        <f aca="false">BD91+BE48</f>
        <v>2561634.89462922</v>
      </c>
      <c r="BF91" s="51" t="n">
        <f aca="false">BE91+BF48</f>
        <v>2638942.80509035</v>
      </c>
      <c r="BG91" s="51" t="n">
        <f aca="false">BF91+BG48</f>
        <v>2716294.60444038</v>
      </c>
      <c r="BH91" s="51" t="n">
        <f aca="false">BG91+BH48</f>
        <v>2793690.29267929</v>
      </c>
      <c r="BI91" s="51" t="n">
        <f aca="false">BH91+BI48</f>
        <v>2978348.01576975</v>
      </c>
      <c r="BJ91" s="51" t="n">
        <f aca="false">BI91+BJ48</f>
        <v>3163049.6277491</v>
      </c>
    </row>
    <row r="92" customFormat="false" ht="15" hidden="false" customHeight="false" outlineLevel="0" collapsed="false">
      <c r="A92" s="4" t="s">
        <v>90</v>
      </c>
      <c r="C92" s="58" t="n">
        <f aca="false">C78+C64+C65+C55</f>
        <v>2194799.10294048</v>
      </c>
      <c r="D92" s="58" t="n">
        <f aca="false">D78+D64+D65+D55</f>
        <v>2195288.94699206</v>
      </c>
      <c r="E92" s="58" t="n">
        <f aca="false">E78+E64+E65+E55</f>
        <v>2195822.67993254</v>
      </c>
      <c r="F92" s="58" t="n">
        <f aca="false">F78+F64+F65+F55</f>
        <v>2196400.3017619</v>
      </c>
      <c r="G92" s="58" t="n">
        <f aca="false">G78+G64+G65+G55</f>
        <v>2197021.81248016</v>
      </c>
      <c r="H92" s="58" t="n">
        <f aca="false">H78+H64+H65+H55</f>
        <v>2197687.2120873</v>
      </c>
      <c r="I92" s="58" t="n">
        <f aca="false">I78+I64+I65+I55</f>
        <v>2198396.50058333</v>
      </c>
      <c r="J92" s="58" t="n">
        <f aca="false">J78+J64+J65+J55</f>
        <v>2199149.67796825</v>
      </c>
      <c r="K92" s="58" t="n">
        <f aca="false">K78+K64+K65+K55</f>
        <v>2199946.74424206</v>
      </c>
      <c r="L92" s="58" t="n">
        <f aca="false">L78+L64+L65+L55</f>
        <v>2200787.69940476</v>
      </c>
      <c r="M92" s="58" t="n">
        <f aca="false">M78+M64+M65+M55</f>
        <v>2280876.73295635</v>
      </c>
      <c r="N92" s="58" t="n">
        <f aca="false">N78+N64+N65+N55</f>
        <v>2318858.87539683</v>
      </c>
      <c r="O92" s="58" t="n">
        <f aca="false">O78+O64+O65+O55</f>
        <v>2347150.8059756</v>
      </c>
      <c r="P92" s="58" t="n">
        <f aca="false">P78+P64+P65+P55</f>
        <v>2361866.43494325</v>
      </c>
      <c r="Q92" s="58" t="n">
        <f aca="false">Q78+Q64+Q65+Q55</f>
        <v>2376625.9527998</v>
      </c>
      <c r="R92" s="58" t="n">
        <f aca="false">R78+R64+R65+R55</f>
        <v>2391429.35954524</v>
      </c>
      <c r="S92" s="58" t="n">
        <f aca="false">S78+S64+S65+S55</f>
        <v>2406276.65517956</v>
      </c>
      <c r="T92" s="58" t="n">
        <f aca="false">T78+T64+T65+T55</f>
        <v>2421167.83970278</v>
      </c>
      <c r="U92" s="58" t="n">
        <f aca="false">U78+U64+U65+U55</f>
        <v>2436102.91311488</v>
      </c>
      <c r="V92" s="58" t="n">
        <f aca="false">V78+V64+V65+V55</f>
        <v>2451081.87541587</v>
      </c>
      <c r="W92" s="58" t="n">
        <f aca="false">W78+W64+W65+W55</f>
        <v>2466104.72660575</v>
      </c>
      <c r="X92" s="58" t="n">
        <f aca="false">X78+X64+X65+X55</f>
        <v>2481171.46668452</v>
      </c>
      <c r="Y92" s="58" t="n">
        <f aca="false">Y78+Y64+Y65+Y55</f>
        <v>2604049.88822718</v>
      </c>
      <c r="Z92" s="58" t="n">
        <f aca="false">Z78+Z64+Z65+Z55</f>
        <v>2669976.79165873</v>
      </c>
      <c r="AA92" s="58" t="n">
        <f aca="false">AA78+AA64+AA65+AA55</f>
        <v>2709661.97147141</v>
      </c>
      <c r="AB92" s="58" t="n">
        <f aca="false">AB78+AB64+AB65+AB55</f>
        <v>2740308.21047297</v>
      </c>
      <c r="AC92" s="58" t="n">
        <f aca="false">AC78+AC64+AC65+AC55</f>
        <v>2770998.33836343</v>
      </c>
      <c r="AD92" s="58" t="n">
        <f aca="false">AD78+AD64+AD65+AD55</f>
        <v>2801732.35514277</v>
      </c>
      <c r="AE92" s="58" t="n">
        <f aca="false">AE78+AE64+AE65+AE55</f>
        <v>2832510.26081101</v>
      </c>
      <c r="AF92" s="58" t="n">
        <f aca="false">AF78+AF64+AF65+AF55</f>
        <v>2863332.05536813</v>
      </c>
      <c r="AG92" s="58" t="n">
        <f aca="false">AG78+AG64+AG65+AG55</f>
        <v>2894197.73881414</v>
      </c>
      <c r="AH92" s="58" t="n">
        <f aca="false">AH78+AH64+AH65+AH55</f>
        <v>2925107.31114904</v>
      </c>
      <c r="AI92" s="58" t="n">
        <f aca="false">AI78+AI64+AI65+AI55</f>
        <v>2956060.77237283</v>
      </c>
      <c r="AJ92" s="58" t="n">
        <f aca="false">AJ78+AJ64+AJ65+AJ55</f>
        <v>2987058.12248551</v>
      </c>
      <c r="AK92" s="58" t="n">
        <f aca="false">AK78+AK64+AK65+AK55</f>
        <v>3159083.56966707</v>
      </c>
      <c r="AL92" s="58" t="n">
        <f aca="false">AL78+AL64+AL65+AL55</f>
        <v>3256824.64893753</v>
      </c>
      <c r="AM92" s="58" t="n">
        <f aca="false">AM78+AM64+AM65+AM55</f>
        <v>3309853.11412755</v>
      </c>
      <c r="AN92" s="58" t="n">
        <f aca="false">AN78+AN64+AN65+AN55</f>
        <v>3358397.93351647</v>
      </c>
      <c r="AO92" s="58" t="n">
        <f aca="false">AO78+AO64+AO65+AO55</f>
        <v>3406986.64179427</v>
      </c>
      <c r="AP92" s="58" t="n">
        <f aca="false">AP78+AP64+AP65+AP55</f>
        <v>3455619.23896096</v>
      </c>
      <c r="AQ92" s="58" t="n">
        <f aca="false">AQ78+AQ64+AQ65+AQ55</f>
        <v>3504295.72501654</v>
      </c>
      <c r="AR92" s="58" t="n">
        <f aca="false">AR78+AR64+AR65+AR55</f>
        <v>3553016.099961</v>
      </c>
      <c r="AS92" s="58" t="n">
        <f aca="false">AS78+AS64+AS65+AS55</f>
        <v>3601780.36379436</v>
      </c>
      <c r="AT92" s="58" t="n">
        <f aca="false">AT78+AT64+AT65+AT55</f>
        <v>3650588.51651661</v>
      </c>
      <c r="AU92" s="58" t="n">
        <f aca="false">AU78+AU64+AU65+AU55</f>
        <v>3699440.55812774</v>
      </c>
      <c r="AV92" s="58" t="n">
        <f aca="false">AV78+AV64+AV65+AV55</f>
        <v>3748336.48862777</v>
      </c>
      <c r="AW92" s="58" t="n">
        <f aca="false">AW78+AW64+AW65+AW55</f>
        <v>3977287.13344618</v>
      </c>
      <c r="AX92" s="58" t="n">
        <f aca="false">AX78+AX64+AX65+AX55</f>
        <v>4111513.13973348</v>
      </c>
      <c r="AY92" s="58" t="n">
        <f aca="false">AY78+AY64+AY65+AY55</f>
        <v>4180146.27267083</v>
      </c>
      <c r="AZ92" s="58" t="n">
        <f aca="false">AZ78+AZ64+AZ65+AZ55</f>
        <v>4248857.5164653</v>
      </c>
      <c r="BA92" s="58" t="n">
        <f aca="false">BA78+BA64+BA65+BA55</f>
        <v>4317612.64914866</v>
      </c>
      <c r="BB92" s="58" t="n">
        <f aca="false">BB78+BB64+BB65+BB55</f>
        <v>4386411.6707209</v>
      </c>
      <c r="BC92" s="58" t="n">
        <f aca="false">BC78+BC64+BC65+BC55</f>
        <v>4455254.58118204</v>
      </c>
      <c r="BD92" s="58" t="n">
        <f aca="false">BD78+BD64+BD65+BD55</f>
        <v>4524141.38053207</v>
      </c>
      <c r="BE92" s="58" t="n">
        <f aca="false">BE78+BE64+BE65+BE55</f>
        <v>4593072.06877098</v>
      </c>
      <c r="BF92" s="58" t="n">
        <f aca="false">BF78+BF64+BF65+BF55</f>
        <v>4662046.64589879</v>
      </c>
      <c r="BG92" s="58" t="n">
        <f aca="false">BG78+BG64+BG65+BG55</f>
        <v>4731065.11191548</v>
      </c>
      <c r="BH92" s="58" t="n">
        <f aca="false">BH78+BH64+BH65+BH55</f>
        <v>4800127.46682106</v>
      </c>
      <c r="BI92" s="58" t="n">
        <f aca="false">BI78+BI64+BI65+BI55</f>
        <v>5095555.58800353</v>
      </c>
      <c r="BJ92" s="58" t="n">
        <f aca="false">BJ78+BJ64+BJ65+BJ55</f>
        <v>5271923.86664955</v>
      </c>
    </row>
    <row r="93" customFormat="false" ht="15" hidden="false" customHeight="false" outlineLevel="0" collapsed="false">
      <c r="A93" s="6" t="s">
        <v>93</v>
      </c>
      <c r="C93" s="51" t="n">
        <f aca="false">C66+C61</f>
        <v>685997.87</v>
      </c>
      <c r="D93" s="51" t="n">
        <f aca="false">D66+D61</f>
        <v>677664.536666667</v>
      </c>
      <c r="E93" s="51" t="n">
        <f aca="false">E66+E61</f>
        <v>669331.203333333</v>
      </c>
      <c r="F93" s="51" t="n">
        <f aca="false">F66+F61</f>
        <v>660997.87</v>
      </c>
      <c r="G93" s="51" t="n">
        <f aca="false">G66+G61</f>
        <v>652664.536666667</v>
      </c>
      <c r="H93" s="51" t="n">
        <f aca="false">H66+H61</f>
        <v>644331.203333333</v>
      </c>
      <c r="I93" s="51" t="n">
        <f aca="false">I66+I61</f>
        <v>635997.87</v>
      </c>
      <c r="J93" s="51" t="n">
        <f aca="false">J66+J61</f>
        <v>627664.536666667</v>
      </c>
      <c r="K93" s="51" t="n">
        <f aca="false">K66+K61</f>
        <v>619331.203333334</v>
      </c>
      <c r="L93" s="51" t="n">
        <f aca="false">L66+L61</f>
        <v>610997.87</v>
      </c>
      <c r="M93" s="51" t="n">
        <f aca="false">M66+M61</f>
        <v>644815.316666667</v>
      </c>
      <c r="N93" s="51" t="n">
        <f aca="false">N66+N61</f>
        <v>636481.983333334</v>
      </c>
      <c r="O93" s="51" t="n">
        <f aca="false">O66+O61</f>
        <v>641768.8405</v>
      </c>
      <c r="P93" s="51" t="n">
        <f aca="false">P66+P61</f>
        <v>633435.507166667</v>
      </c>
      <c r="Q93" s="51" t="n">
        <f aca="false">Q66+Q61</f>
        <v>625102.173833334</v>
      </c>
      <c r="R93" s="51" t="n">
        <f aca="false">R66+R61</f>
        <v>616768.8405</v>
      </c>
      <c r="S93" s="51" t="n">
        <f aca="false">S66+S61</f>
        <v>608435.507166667</v>
      </c>
      <c r="T93" s="51" t="n">
        <f aca="false">T66+T61</f>
        <v>600102.173833334</v>
      </c>
      <c r="U93" s="51" t="n">
        <f aca="false">U66+U61</f>
        <v>591768.8405</v>
      </c>
      <c r="V93" s="51" t="n">
        <f aca="false">V66+V61</f>
        <v>583435.507166667</v>
      </c>
      <c r="W93" s="51" t="n">
        <f aca="false">W66+W61</f>
        <v>575102.173833334</v>
      </c>
      <c r="X93" s="51" t="n">
        <f aca="false">X66+X61</f>
        <v>566768.8405</v>
      </c>
      <c r="Y93" s="51" t="n">
        <f aca="false">Y66+Y61</f>
        <v>615430.914166667</v>
      </c>
      <c r="Z93" s="51" t="n">
        <f aca="false">Z66+Z61</f>
        <v>607097.580833334</v>
      </c>
      <c r="AA93" s="51" t="n">
        <f aca="false">AA66+AA61</f>
        <v>607847.0772</v>
      </c>
      <c r="AB93" s="51" t="n">
        <f aca="false">AB66+AB61</f>
        <v>599513.743866667</v>
      </c>
      <c r="AC93" s="51" t="n">
        <f aca="false">AC66+AC61</f>
        <v>591180.410533334</v>
      </c>
      <c r="AD93" s="51" t="n">
        <f aca="false">AD66+AD61</f>
        <v>582847.077200001</v>
      </c>
      <c r="AE93" s="51" t="n">
        <f aca="false">AE66+AE61</f>
        <v>574513.743866667</v>
      </c>
      <c r="AF93" s="51" t="n">
        <f aca="false">AF66+AF61</f>
        <v>566180.410533334</v>
      </c>
      <c r="AG93" s="51" t="n">
        <f aca="false">AG66+AG61</f>
        <v>557847.077200001</v>
      </c>
      <c r="AH93" s="51" t="n">
        <f aca="false">AH66+AH61</f>
        <v>549513.743866667</v>
      </c>
      <c r="AI93" s="51" t="n">
        <f aca="false">AI66+AI61</f>
        <v>541180.410533334</v>
      </c>
      <c r="AJ93" s="51" t="n">
        <f aca="false">AJ66+AJ61</f>
        <v>532847.077200001</v>
      </c>
      <c r="AK93" s="51" t="n">
        <f aca="false">AK66+AK61</f>
        <v>598842.000666667</v>
      </c>
      <c r="AL93" s="51" t="n">
        <f aca="false">AL66+AL61</f>
        <v>590508.667333334</v>
      </c>
      <c r="AM93" s="51" t="n">
        <f aca="false">AM66+AM61</f>
        <v>586702.868690001</v>
      </c>
      <c r="AN93" s="51" t="n">
        <f aca="false">AN66+AN61</f>
        <v>578369.535356667</v>
      </c>
      <c r="AO93" s="51" t="n">
        <f aca="false">AO66+AO61</f>
        <v>570036.202023334</v>
      </c>
      <c r="AP93" s="51" t="n">
        <f aca="false">AP66+AP61</f>
        <v>561702.868690001</v>
      </c>
      <c r="AQ93" s="51" t="n">
        <f aca="false">AQ66+AQ61</f>
        <v>553369.535356667</v>
      </c>
      <c r="AR93" s="51" t="n">
        <f aca="false">AR66+AR61</f>
        <v>545036.202023334</v>
      </c>
      <c r="AS93" s="51" t="n">
        <f aca="false">AS66+AS61</f>
        <v>536702.86869</v>
      </c>
      <c r="AT93" s="51" t="n">
        <f aca="false">AT66+AT61</f>
        <v>528369.535356667</v>
      </c>
      <c r="AU93" s="51" t="n">
        <f aca="false">AU66+AU61</f>
        <v>520036.202023334</v>
      </c>
      <c r="AV93" s="51" t="n">
        <f aca="false">AV66+AV61</f>
        <v>511702.86869</v>
      </c>
      <c r="AW93" s="51" t="n">
        <f aca="false">AW66+AW61</f>
        <v>598138.062776667</v>
      </c>
      <c r="AX93" s="51" t="n">
        <f aca="false">AX66+AX61</f>
        <v>589804.729443334</v>
      </c>
      <c r="AY93" s="51" t="n">
        <f aca="false">AY66+AY61</f>
        <v>581437.174141765</v>
      </c>
      <c r="AZ93" s="51" t="n">
        <f aca="false">AZ66+AZ61</f>
        <v>573103.840808432</v>
      </c>
      <c r="BA93" s="51" t="n">
        <f aca="false">BA66+BA61</f>
        <v>564770.507475099</v>
      </c>
      <c r="BB93" s="51" t="n">
        <f aca="false">BB66+BB61</f>
        <v>556437.174141766</v>
      </c>
      <c r="BC93" s="51" t="n">
        <f aca="false">BC66+BC61</f>
        <v>548103.840808432</v>
      </c>
      <c r="BD93" s="51" t="n">
        <f aca="false">BD66+BD61</f>
        <v>539770.507475099</v>
      </c>
      <c r="BE93" s="51" t="n">
        <f aca="false">BE66+BE61</f>
        <v>531437.174141766</v>
      </c>
      <c r="BF93" s="51" t="n">
        <f aca="false">BF66+BF61</f>
        <v>523103.840808432</v>
      </c>
      <c r="BG93" s="51" t="n">
        <f aca="false">BG66+BG61</f>
        <v>514770.507475099</v>
      </c>
      <c r="BH93" s="51" t="n">
        <f aca="false">BH66+BH61</f>
        <v>506437.174141765</v>
      </c>
      <c r="BI93" s="51" t="n">
        <f aca="false">BI66+BI61</f>
        <v>617207.572233782</v>
      </c>
      <c r="BJ93" s="51" t="n">
        <f aca="false">BJ66+BJ61</f>
        <v>608874.238900449</v>
      </c>
    </row>
    <row r="94" customFormat="false" ht="15" hidden="false" customHeight="false" outlineLevel="0" collapsed="false">
      <c r="A94" s="6" t="s">
        <v>96</v>
      </c>
      <c r="C94" s="51" t="n">
        <f aca="false">C90+C91</f>
        <v>1508801.23294048</v>
      </c>
      <c r="D94" s="51" t="n">
        <f aca="false">D90+D91</f>
        <v>1517624.4103254</v>
      </c>
      <c r="E94" s="51" t="n">
        <f aca="false">E90+E91</f>
        <v>1526491.47659921</v>
      </c>
      <c r="F94" s="51" t="n">
        <f aca="false">F90+F91</f>
        <v>1535402.4317619</v>
      </c>
      <c r="G94" s="51" t="n">
        <f aca="false">G90+G91</f>
        <v>1544357.27581349</v>
      </c>
      <c r="H94" s="51" t="n">
        <f aca="false">H90+H91</f>
        <v>1553356.00875397</v>
      </c>
      <c r="I94" s="51" t="n">
        <f aca="false">I90+I91</f>
        <v>1562398.63058333</v>
      </c>
      <c r="J94" s="51" t="n">
        <f aca="false">J90+J91</f>
        <v>1571485.14130159</v>
      </c>
      <c r="K94" s="51" t="n">
        <f aca="false">K90+K91</f>
        <v>1580615.54090873</v>
      </c>
      <c r="L94" s="51" t="n">
        <f aca="false">L90+L91</f>
        <v>1589789.82940476</v>
      </c>
      <c r="M94" s="51" t="n">
        <f aca="false">M90+M91</f>
        <v>1636061.41628968</v>
      </c>
      <c r="N94" s="51" t="n">
        <f aca="false">N90+N91</f>
        <v>1682376.89206349</v>
      </c>
      <c r="O94" s="51" t="n">
        <f aca="false">O90+O91</f>
        <v>1705381.9654756</v>
      </c>
      <c r="P94" s="51" t="n">
        <f aca="false">P90+P91</f>
        <v>1728430.92777659</v>
      </c>
      <c r="Q94" s="51" t="n">
        <f aca="false">Q90+Q91</f>
        <v>1751523.77896647</v>
      </c>
      <c r="R94" s="51" t="n">
        <f aca="false">R90+R91</f>
        <v>1774660.51904524</v>
      </c>
      <c r="S94" s="51" t="n">
        <f aca="false">S90+S91</f>
        <v>1797841.1480129</v>
      </c>
      <c r="T94" s="51" t="n">
        <f aca="false">T90+T91</f>
        <v>1821065.66586944</v>
      </c>
      <c r="U94" s="51" t="n">
        <f aca="false">U90+U91</f>
        <v>1844334.07261488</v>
      </c>
      <c r="V94" s="51" t="n">
        <f aca="false">V90+V91</f>
        <v>1867646.36824921</v>
      </c>
      <c r="W94" s="51" t="n">
        <f aca="false">W90+W91</f>
        <v>1891002.55277242</v>
      </c>
      <c r="X94" s="51" t="n">
        <f aca="false">X90+X91</f>
        <v>1914402.62618452</v>
      </c>
      <c r="Y94" s="51" t="n">
        <f aca="false">Y90+Y91</f>
        <v>1988618.97406052</v>
      </c>
      <c r="Z94" s="51" t="n">
        <f aca="false">Z90+Z91</f>
        <v>2062879.2108254</v>
      </c>
      <c r="AA94" s="51" t="n">
        <f aca="false">AA90+AA91</f>
        <v>2101814.89427141</v>
      </c>
      <c r="AB94" s="51" t="n">
        <f aca="false">AB90+AB91</f>
        <v>2140794.46660631</v>
      </c>
      <c r="AC94" s="51" t="n">
        <f aca="false">AC90+AC91</f>
        <v>2179817.9278301</v>
      </c>
      <c r="AD94" s="51" t="n">
        <f aca="false">AD90+AD91</f>
        <v>2218885.27794277</v>
      </c>
      <c r="AE94" s="51" t="n">
        <f aca="false">AE90+AE91</f>
        <v>2257996.51694434</v>
      </c>
      <c r="AF94" s="51" t="n">
        <f aca="false">AF90+AF91</f>
        <v>2297151.6448348</v>
      </c>
      <c r="AG94" s="51" t="n">
        <f aca="false">AG90+AG91</f>
        <v>2336350.66161414</v>
      </c>
      <c r="AH94" s="51" t="n">
        <f aca="false">AH90+AH91</f>
        <v>2375593.56728237</v>
      </c>
      <c r="AI94" s="51" t="n">
        <f aca="false">AI90+AI91</f>
        <v>2414880.3618395</v>
      </c>
      <c r="AJ94" s="51" t="n">
        <f aca="false">AJ90+AJ91</f>
        <v>2454211.04528551</v>
      </c>
      <c r="AK94" s="51" t="n">
        <f aca="false">AK90+AK91</f>
        <v>2560241.56900041</v>
      </c>
      <c r="AL94" s="51" t="n">
        <f aca="false">AL90+AL91</f>
        <v>2666315.9816042</v>
      </c>
      <c r="AM94" s="51" t="n">
        <f aca="false">AM90+AM91</f>
        <v>2723150.24543755</v>
      </c>
      <c r="AN94" s="51" t="n">
        <f aca="false">AN90+AN91</f>
        <v>2780028.3981598</v>
      </c>
      <c r="AO94" s="51" t="n">
        <f aca="false">AO90+AO91</f>
        <v>2836950.43977093</v>
      </c>
      <c r="AP94" s="51" t="n">
        <f aca="false">AP90+AP91</f>
        <v>2893916.37027096</v>
      </c>
      <c r="AQ94" s="51" t="n">
        <f aca="false">AQ90+AQ91</f>
        <v>2950926.18965987</v>
      </c>
      <c r="AR94" s="51" t="n">
        <f aca="false">AR90+AR91</f>
        <v>3007979.89793767</v>
      </c>
      <c r="AS94" s="51" t="n">
        <f aca="false">AS90+AS91</f>
        <v>3065077.49510436</v>
      </c>
      <c r="AT94" s="51" t="n">
        <f aca="false">AT90+AT91</f>
        <v>3122218.98115994</v>
      </c>
      <c r="AU94" s="51" t="n">
        <f aca="false">AU90+AU91</f>
        <v>3179404.35610441</v>
      </c>
      <c r="AV94" s="51" t="n">
        <f aca="false">AV90+AV91</f>
        <v>3236633.61993777</v>
      </c>
      <c r="AW94" s="51" t="n">
        <f aca="false">AW90+AW91</f>
        <v>3379149.07066951</v>
      </c>
      <c r="AX94" s="51" t="n">
        <f aca="false">AX90+AX91</f>
        <v>3521708.41029015</v>
      </c>
      <c r="AY94" s="51" t="n">
        <f aca="false">AY90+AY91</f>
        <v>3598709.09852906</v>
      </c>
      <c r="AZ94" s="51" t="n">
        <f aca="false">AZ90+AZ91</f>
        <v>3675753.67565686</v>
      </c>
      <c r="BA94" s="51" t="n">
        <f aca="false">BA90+BA91</f>
        <v>3752842.14167356</v>
      </c>
      <c r="BB94" s="51" t="n">
        <f aca="false">BB90+BB91</f>
        <v>3829974.49657914</v>
      </c>
      <c r="BC94" s="51" t="n">
        <f aca="false">BC90+BC91</f>
        <v>3907150.74037361</v>
      </c>
      <c r="BD94" s="51" t="n">
        <f aca="false">BD90+BD91</f>
        <v>3984370.87305697</v>
      </c>
      <c r="BE94" s="51" t="n">
        <f aca="false">BE90+BE91</f>
        <v>4061634.89462922</v>
      </c>
      <c r="BF94" s="51" t="n">
        <f aca="false">BF90+BF91</f>
        <v>4138942.80509035</v>
      </c>
      <c r="BG94" s="51" t="n">
        <f aca="false">BG90+BG91</f>
        <v>4216294.60444038</v>
      </c>
      <c r="BH94" s="51" t="n">
        <f aca="false">BH90+BH91</f>
        <v>4293690.29267929</v>
      </c>
      <c r="BI94" s="51" t="n">
        <f aca="false">BI90+BI91</f>
        <v>4478348.01576975</v>
      </c>
      <c r="BJ94" s="51" t="n">
        <f aca="false">BJ90+BJ91</f>
        <v>4663049.6277491</v>
      </c>
    </row>
    <row r="95" customFormat="false" ht="15" hidden="false" customHeight="false" outlineLevel="0" collapsed="false">
      <c r="A95" s="4" t="s">
        <v>97</v>
      </c>
      <c r="C95" s="58" t="n">
        <f aca="false">C93+C94</f>
        <v>2194799.10294048</v>
      </c>
      <c r="D95" s="58" t="n">
        <f aca="false">D93+D94</f>
        <v>2195288.94699206</v>
      </c>
      <c r="E95" s="58" t="n">
        <f aca="false">E93+E94</f>
        <v>2195822.67993254</v>
      </c>
      <c r="F95" s="58" t="n">
        <f aca="false">F93+F94</f>
        <v>2196400.3017619</v>
      </c>
      <c r="G95" s="58" t="n">
        <f aca="false">G93+G94</f>
        <v>2197021.81248016</v>
      </c>
      <c r="H95" s="58" t="n">
        <f aca="false">H93+H94</f>
        <v>2197687.2120873</v>
      </c>
      <c r="I95" s="58" t="n">
        <f aca="false">I93+I94</f>
        <v>2198396.50058333</v>
      </c>
      <c r="J95" s="58" t="n">
        <f aca="false">J93+J94</f>
        <v>2199149.67796825</v>
      </c>
      <c r="K95" s="58" t="n">
        <f aca="false">K93+K94</f>
        <v>2199946.74424206</v>
      </c>
      <c r="L95" s="58" t="n">
        <f aca="false">L93+L94</f>
        <v>2200787.69940476</v>
      </c>
      <c r="M95" s="58" t="n">
        <f aca="false">M93+M94</f>
        <v>2280876.73295635</v>
      </c>
      <c r="N95" s="58" t="n">
        <f aca="false">N93+N94</f>
        <v>2318858.87539683</v>
      </c>
      <c r="O95" s="58" t="n">
        <f aca="false">O93+O94</f>
        <v>2347150.8059756</v>
      </c>
      <c r="P95" s="58" t="n">
        <f aca="false">P93+P94</f>
        <v>2361866.43494325</v>
      </c>
      <c r="Q95" s="58" t="n">
        <f aca="false">Q93+Q94</f>
        <v>2376625.9527998</v>
      </c>
      <c r="R95" s="58" t="n">
        <f aca="false">R93+R94</f>
        <v>2391429.35954524</v>
      </c>
      <c r="S95" s="58" t="n">
        <f aca="false">S93+S94</f>
        <v>2406276.65517956</v>
      </c>
      <c r="T95" s="58" t="n">
        <f aca="false">T93+T94</f>
        <v>2421167.83970278</v>
      </c>
      <c r="U95" s="58" t="n">
        <f aca="false">U93+U94</f>
        <v>2436102.91311488</v>
      </c>
      <c r="V95" s="58" t="n">
        <f aca="false">V93+V94</f>
        <v>2451081.87541587</v>
      </c>
      <c r="W95" s="58" t="n">
        <f aca="false">W93+W94</f>
        <v>2466104.72660575</v>
      </c>
      <c r="X95" s="58" t="n">
        <f aca="false">X93+X94</f>
        <v>2481171.46668452</v>
      </c>
      <c r="Y95" s="58" t="n">
        <f aca="false">Y93+Y94</f>
        <v>2604049.88822718</v>
      </c>
      <c r="Z95" s="58" t="n">
        <f aca="false">Z93+Z94</f>
        <v>2669976.79165873</v>
      </c>
      <c r="AA95" s="58" t="n">
        <f aca="false">AA93+AA94</f>
        <v>2709661.97147141</v>
      </c>
      <c r="AB95" s="58" t="n">
        <f aca="false">AB93+AB94</f>
        <v>2740308.21047298</v>
      </c>
      <c r="AC95" s="58" t="n">
        <f aca="false">AC93+AC94</f>
        <v>2770998.33836343</v>
      </c>
      <c r="AD95" s="58" t="n">
        <f aca="false">AD93+AD94</f>
        <v>2801732.35514278</v>
      </c>
      <c r="AE95" s="58" t="n">
        <f aca="false">AE93+AE94</f>
        <v>2832510.26081101</v>
      </c>
      <c r="AF95" s="58" t="n">
        <f aca="false">AF93+AF94</f>
        <v>2863332.05536813</v>
      </c>
      <c r="AG95" s="58" t="n">
        <f aca="false">AG93+AG94</f>
        <v>2894197.73881414</v>
      </c>
      <c r="AH95" s="58" t="n">
        <f aca="false">AH93+AH94</f>
        <v>2925107.31114904</v>
      </c>
      <c r="AI95" s="58" t="n">
        <f aca="false">AI93+AI94</f>
        <v>2956060.77237283</v>
      </c>
      <c r="AJ95" s="58" t="n">
        <f aca="false">AJ93+AJ94</f>
        <v>2987058.12248551</v>
      </c>
      <c r="AK95" s="58" t="n">
        <f aca="false">AK93+AK94</f>
        <v>3159083.56966707</v>
      </c>
      <c r="AL95" s="58" t="n">
        <f aca="false">AL93+AL94</f>
        <v>3256824.64893753</v>
      </c>
      <c r="AM95" s="58" t="n">
        <f aca="false">AM93+AM94</f>
        <v>3309853.11412755</v>
      </c>
      <c r="AN95" s="58" t="n">
        <f aca="false">AN93+AN94</f>
        <v>3358397.93351647</v>
      </c>
      <c r="AO95" s="58" t="n">
        <f aca="false">AO93+AO94</f>
        <v>3406986.64179427</v>
      </c>
      <c r="AP95" s="58" t="n">
        <f aca="false">AP93+AP94</f>
        <v>3455619.23896096</v>
      </c>
      <c r="AQ95" s="58" t="n">
        <f aca="false">AQ93+AQ94</f>
        <v>3504295.72501654</v>
      </c>
      <c r="AR95" s="58" t="n">
        <f aca="false">AR93+AR94</f>
        <v>3553016.099961</v>
      </c>
      <c r="AS95" s="58" t="n">
        <f aca="false">AS93+AS94</f>
        <v>3601780.36379436</v>
      </c>
      <c r="AT95" s="58" t="n">
        <f aca="false">AT93+AT94</f>
        <v>3650588.51651661</v>
      </c>
      <c r="AU95" s="58" t="n">
        <f aca="false">AU93+AU94</f>
        <v>3699440.55812774</v>
      </c>
      <c r="AV95" s="58" t="n">
        <f aca="false">AV93+AV94</f>
        <v>3748336.48862777</v>
      </c>
      <c r="AW95" s="58" t="n">
        <f aca="false">AW93+AW94</f>
        <v>3977287.13344618</v>
      </c>
      <c r="AX95" s="58" t="n">
        <f aca="false">AX93+AX94</f>
        <v>4111513.13973348</v>
      </c>
      <c r="AY95" s="58" t="n">
        <f aca="false">AY93+AY94</f>
        <v>4180146.27267083</v>
      </c>
      <c r="AZ95" s="58" t="n">
        <f aca="false">AZ93+AZ94</f>
        <v>4248857.5164653</v>
      </c>
      <c r="BA95" s="58" t="n">
        <f aca="false">BA93+BA94</f>
        <v>4317612.64914866</v>
      </c>
      <c r="BB95" s="58" t="n">
        <f aca="false">BB93+BB94</f>
        <v>4386411.6707209</v>
      </c>
      <c r="BC95" s="58" t="n">
        <f aca="false">BC93+BC94</f>
        <v>4455254.58118204</v>
      </c>
      <c r="BD95" s="58" t="n">
        <f aca="false">BD93+BD94</f>
        <v>4524141.38053207</v>
      </c>
      <c r="BE95" s="58" t="n">
        <f aca="false">BE93+BE94</f>
        <v>4593072.06877098</v>
      </c>
      <c r="BF95" s="58" t="n">
        <f aca="false">BF93+BF94</f>
        <v>4662046.64589878</v>
      </c>
      <c r="BG95" s="58" t="n">
        <f aca="false">BG93+BG94</f>
        <v>4731065.11191548</v>
      </c>
      <c r="BH95" s="58" t="n">
        <f aca="false">BH93+BH94</f>
        <v>4800127.46682106</v>
      </c>
      <c r="BI95" s="58" t="n">
        <f aca="false">BI93+BI94</f>
        <v>5095555.58800353</v>
      </c>
      <c r="BJ95" s="58" t="n">
        <f aca="false">BJ93+BJ94</f>
        <v>5271923.86664955</v>
      </c>
    </row>
    <row r="96" customFormat="false" ht="15" hidden="false" customHeight="false" outlineLevel="0" collapsed="false">
      <c r="A96" s="6" t="s">
        <v>389</v>
      </c>
      <c r="C96" s="51" t="n">
        <f aca="false">C92-C95</f>
        <v>0</v>
      </c>
      <c r="D96" s="51" t="n">
        <f aca="false">D92-D95</f>
        <v>0</v>
      </c>
      <c r="E96" s="51" t="n">
        <f aca="false">E92-E95</f>
        <v>0</v>
      </c>
      <c r="F96" s="51" t="n">
        <f aca="false">F92-F95</f>
        <v>0</v>
      </c>
      <c r="G96" s="51" t="n">
        <f aca="false">G92-G95</f>
        <v>0</v>
      </c>
      <c r="H96" s="51" t="n">
        <f aca="false">H92-H95</f>
        <v>0</v>
      </c>
      <c r="I96" s="51" t="n">
        <f aca="false">I92-I95</f>
        <v>0</v>
      </c>
      <c r="J96" s="51" t="n">
        <f aca="false">J92-J95</f>
        <v>0</v>
      </c>
      <c r="K96" s="51" t="n">
        <f aca="false">K92-K95</f>
        <v>0</v>
      </c>
      <c r="L96" s="51" t="n">
        <f aca="false">L92-L95</f>
        <v>0</v>
      </c>
      <c r="M96" s="51" t="n">
        <f aca="false">M92-M95</f>
        <v>0</v>
      </c>
      <c r="N96" s="51" t="n">
        <f aca="false">N92-N95</f>
        <v>0</v>
      </c>
      <c r="O96" s="51" t="n">
        <f aca="false">O92-O95</f>
        <v>0</v>
      </c>
      <c r="P96" s="51" t="n">
        <f aca="false">P92-P95</f>
        <v>0</v>
      </c>
      <c r="Q96" s="51" t="n">
        <f aca="false">Q92-Q95</f>
        <v>0</v>
      </c>
      <c r="R96" s="51" t="n">
        <f aca="false">R92-R95</f>
        <v>0</v>
      </c>
      <c r="S96" s="51" t="n">
        <f aca="false">S92-S95</f>
        <v>0</v>
      </c>
      <c r="T96" s="51" t="n">
        <f aca="false">T92-T95</f>
        <v>0</v>
      </c>
      <c r="U96" s="51" t="n">
        <f aca="false">U92-U95</f>
        <v>0</v>
      </c>
      <c r="V96" s="51" t="n">
        <f aca="false">V92-V95</f>
        <v>0</v>
      </c>
      <c r="W96" s="51" t="n">
        <f aca="false">W92-W95</f>
        <v>0</v>
      </c>
      <c r="X96" s="51" t="n">
        <f aca="false">X92-X95</f>
        <v>0</v>
      </c>
      <c r="Y96" s="51" t="n">
        <f aca="false">Y92-Y95</f>
        <v>0</v>
      </c>
      <c r="Z96" s="51" t="n">
        <f aca="false">Z92-Z95</f>
        <v>0</v>
      </c>
      <c r="AA96" s="51" t="n">
        <f aca="false">AA92-AA95</f>
        <v>0</v>
      </c>
      <c r="AB96" s="51" t="n">
        <f aca="false">AB92-AB95</f>
        <v>0</v>
      </c>
      <c r="AC96" s="51" t="n">
        <f aca="false">AC92-AC95</f>
        <v>0</v>
      </c>
      <c r="AD96" s="51" t="n">
        <f aca="false">AD92-AD95</f>
        <v>0</v>
      </c>
      <c r="AE96" s="51" t="n">
        <f aca="false">AE92-AE95</f>
        <v>0</v>
      </c>
      <c r="AF96" s="51" t="n">
        <f aca="false">AF92-AF95</f>
        <v>0</v>
      </c>
      <c r="AG96" s="51" t="n">
        <f aca="false">AG92-AG95</f>
        <v>0</v>
      </c>
      <c r="AH96" s="51" t="n">
        <f aca="false">AH92-AH95</f>
        <v>0</v>
      </c>
      <c r="AI96" s="51" t="n">
        <f aca="false">AI92-AI95</f>
        <v>0</v>
      </c>
      <c r="AJ96" s="51" t="n">
        <f aca="false">AJ92-AJ95</f>
        <v>0</v>
      </c>
      <c r="AK96" s="51" t="n">
        <f aca="false">AK92-AK95</f>
        <v>0</v>
      </c>
      <c r="AL96" s="51" t="n">
        <f aca="false">AL92-AL95</f>
        <v>0</v>
      </c>
      <c r="AM96" s="51" t="n">
        <f aca="false">AM92-AM95</f>
        <v>0</v>
      </c>
      <c r="AN96" s="51" t="n">
        <f aca="false">AN92-AN95</f>
        <v>0</v>
      </c>
      <c r="AO96" s="51" t="n">
        <f aca="false">AO92-AO95</f>
        <v>0</v>
      </c>
      <c r="AP96" s="51" t="n">
        <f aca="false">AP92-AP95</f>
        <v>0</v>
      </c>
      <c r="AQ96" s="51" t="n">
        <f aca="false">AQ92-AQ95</f>
        <v>0</v>
      </c>
      <c r="AR96" s="51" t="n">
        <f aca="false">AR92-AR95</f>
        <v>0</v>
      </c>
      <c r="AS96" s="51" t="n">
        <f aca="false">AS92-AS95</f>
        <v>0</v>
      </c>
      <c r="AT96" s="51" t="n">
        <f aca="false">AT92-AT95</f>
        <v>0</v>
      </c>
      <c r="AU96" s="51" t="n">
        <f aca="false">AU92-AU95</f>
        <v>0</v>
      </c>
      <c r="AV96" s="51" t="n">
        <f aca="false">AV92-AV95</f>
        <v>0</v>
      </c>
      <c r="AW96" s="51" t="n">
        <f aca="false">AW92-AW95</f>
        <v>0</v>
      </c>
      <c r="AX96" s="51" t="n">
        <f aca="false">AX92-AX95</f>
        <v>0</v>
      </c>
      <c r="AY96" s="51" t="n">
        <f aca="false">AY92-AY95</f>
        <v>0</v>
      </c>
      <c r="AZ96" s="51" t="n">
        <f aca="false">AZ92-AZ95</f>
        <v>0</v>
      </c>
      <c r="BA96" s="51" t="n">
        <f aca="false">BA92-BA95</f>
        <v>0</v>
      </c>
      <c r="BB96" s="51" t="n">
        <f aca="false">BB92-BB95</f>
        <v>0</v>
      </c>
      <c r="BC96" s="51" t="n">
        <f aca="false">BC92-BC95</f>
        <v>0</v>
      </c>
      <c r="BD96" s="51" t="n">
        <f aca="false">BD92-BD95</f>
        <v>0</v>
      </c>
      <c r="BE96" s="51" t="n">
        <f aca="false">BE92-BE95</f>
        <v>0</v>
      </c>
      <c r="BF96" s="51" t="n">
        <f aca="false">BF92-BF95</f>
        <v>0</v>
      </c>
      <c r="BG96" s="51" t="n">
        <f aca="false">BG92-BG95</f>
        <v>0</v>
      </c>
      <c r="BH96" s="51" t="n">
        <f aca="false">BH92-BH95</f>
        <v>0</v>
      </c>
      <c r="BI96" s="51" t="n">
        <f aca="false">BI92-BI95</f>
        <v>0</v>
      </c>
      <c r="BJ96" s="51" t="n">
        <f aca="false">BJ92-BJ95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390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292</v>
      </c>
    </row>
    <row r="3" customFormat="false" ht="15" hidden="false" customHeight="false" outlineLevel="0" collapsed="false">
      <c r="A3" s="33" t="s">
        <v>293</v>
      </c>
      <c r="C3" s="57" t="s">
        <v>294</v>
      </c>
      <c r="D3" s="57" t="s">
        <v>295</v>
      </c>
      <c r="E3" s="57" t="s">
        <v>296</v>
      </c>
      <c r="F3" s="57" t="s">
        <v>297</v>
      </c>
      <c r="G3" s="57" t="s">
        <v>298</v>
      </c>
      <c r="H3" s="57" t="s">
        <v>299</v>
      </c>
      <c r="I3" s="57" t="s">
        <v>300</v>
      </c>
      <c r="J3" s="57" t="s">
        <v>301</v>
      </c>
      <c r="K3" s="57" t="s">
        <v>302</v>
      </c>
      <c r="L3" s="57" t="s">
        <v>303</v>
      </c>
      <c r="M3" s="57" t="s">
        <v>304</v>
      </c>
      <c r="N3" s="57" t="s">
        <v>305</v>
      </c>
      <c r="O3" s="57" t="s">
        <v>306</v>
      </c>
      <c r="P3" s="57" t="s">
        <v>307</v>
      </c>
      <c r="Q3" s="57" t="s">
        <v>308</v>
      </c>
      <c r="R3" s="57" t="s">
        <v>309</v>
      </c>
      <c r="S3" s="57" t="s">
        <v>310</v>
      </c>
      <c r="T3" s="57" t="s">
        <v>311</v>
      </c>
      <c r="U3" s="57" t="s">
        <v>312</v>
      </c>
      <c r="V3" s="57" t="s">
        <v>313</v>
      </c>
      <c r="W3" s="57" t="s">
        <v>314</v>
      </c>
      <c r="X3" s="57" t="s">
        <v>315</v>
      </c>
      <c r="Y3" s="57" t="s">
        <v>316</v>
      </c>
      <c r="Z3" s="57" t="s">
        <v>317</v>
      </c>
      <c r="AA3" s="57" t="s">
        <v>318</v>
      </c>
      <c r="AB3" s="57" t="s">
        <v>319</v>
      </c>
      <c r="AC3" s="57" t="s">
        <v>320</v>
      </c>
      <c r="AD3" s="57" t="s">
        <v>321</v>
      </c>
      <c r="AE3" s="57" t="s">
        <v>322</v>
      </c>
      <c r="AF3" s="57" t="s">
        <v>323</v>
      </c>
      <c r="AG3" s="57" t="s">
        <v>324</v>
      </c>
      <c r="AH3" s="57" t="s">
        <v>325</v>
      </c>
      <c r="AI3" s="57" t="s">
        <v>326</v>
      </c>
      <c r="AJ3" s="57" t="s">
        <v>327</v>
      </c>
      <c r="AK3" s="57" t="s">
        <v>328</v>
      </c>
      <c r="AL3" s="57" t="s">
        <v>329</v>
      </c>
      <c r="AM3" s="57" t="s">
        <v>330</v>
      </c>
      <c r="AN3" s="57" t="s">
        <v>331</v>
      </c>
      <c r="AO3" s="57" t="s">
        <v>332</v>
      </c>
      <c r="AP3" s="57" t="s">
        <v>333</v>
      </c>
      <c r="AQ3" s="57" t="s">
        <v>334</v>
      </c>
      <c r="AR3" s="57" t="s">
        <v>335</v>
      </c>
      <c r="AS3" s="57" t="s">
        <v>336</v>
      </c>
      <c r="AT3" s="57" t="s">
        <v>337</v>
      </c>
      <c r="AU3" s="57" t="s">
        <v>338</v>
      </c>
      <c r="AV3" s="57" t="s">
        <v>339</v>
      </c>
      <c r="AW3" s="57" t="s">
        <v>340</v>
      </c>
      <c r="AX3" s="57" t="s">
        <v>341</v>
      </c>
      <c r="AY3" s="57" t="s">
        <v>342</v>
      </c>
      <c r="AZ3" s="57" t="s">
        <v>343</v>
      </c>
      <c r="BA3" s="57" t="s">
        <v>344</v>
      </c>
      <c r="BB3" s="57" t="s">
        <v>345</v>
      </c>
      <c r="BC3" s="57" t="s">
        <v>346</v>
      </c>
      <c r="BD3" s="57" t="s">
        <v>347</v>
      </c>
      <c r="BE3" s="57" t="s">
        <v>348</v>
      </c>
      <c r="BF3" s="57" t="s">
        <v>349</v>
      </c>
      <c r="BG3" s="57" t="s">
        <v>350</v>
      </c>
      <c r="BH3" s="57" t="s">
        <v>351</v>
      </c>
      <c r="BI3" s="57" t="s">
        <v>352</v>
      </c>
      <c r="BJ3" s="57" t="s">
        <v>353</v>
      </c>
    </row>
    <row r="4" customFormat="false" ht="15" hidden="false" customHeight="false" outlineLevel="0" collapsed="false">
      <c r="A4" s="56" t="s">
        <v>354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121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391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392</v>
      </c>
      <c r="C8" s="96" t="n">
        <f aca="false">Inputs!$E$38*(1+Inputs!$E$40)^(C$5-1)*MAX(0,MIN(1,C$4*1-Inputs!$E$41+1))/1</f>
        <v>6</v>
      </c>
      <c r="D8" s="96" t="n">
        <f aca="false">Inputs!$E$38*(1+Inputs!$E$40)^(D$5-1)*MAX(0,MIN(1,D$4*1-Inputs!$E$41+1))/1</f>
        <v>6</v>
      </c>
      <c r="E8" s="96" t="n">
        <f aca="false">Inputs!$E$38*(1+Inputs!$E$40)^(E$5-1)*MAX(0,MIN(1,E$4*1-Inputs!$E$41+1))/1</f>
        <v>6</v>
      </c>
      <c r="F8" s="96" t="n">
        <f aca="false">Inputs!$E$38*(1+Inputs!$E$40)^(F$5-1)*MAX(0,MIN(1,F$4*1-Inputs!$E$41+1))/1</f>
        <v>6</v>
      </c>
      <c r="G8" s="96" t="n">
        <f aca="false">Inputs!$E$38*(1+Inputs!$E$40)^(G$5-1)*MAX(0,MIN(1,G$4*1-Inputs!$E$41+1))/1</f>
        <v>6</v>
      </c>
      <c r="H8" s="96" t="n">
        <f aca="false">Inputs!$E$38*(1+Inputs!$E$40)^(H$5-1)*MAX(0,MIN(1,H$4*1-Inputs!$E$41+1))/1</f>
        <v>6</v>
      </c>
      <c r="I8" s="96" t="n">
        <f aca="false">Inputs!$E$38*(1+Inputs!$E$40)^(I$5-1)*MAX(0,MIN(1,I$4*1-Inputs!$E$41+1))/1</f>
        <v>6</v>
      </c>
      <c r="J8" s="96" t="n">
        <f aca="false">Inputs!$E$38*(1+Inputs!$E$40)^(J$5-1)*MAX(0,MIN(1,J$4*1-Inputs!$E$41+1))/1</f>
        <v>6</v>
      </c>
      <c r="K8" s="96" t="n">
        <f aca="false">Inputs!$E$38*(1+Inputs!$E$40)^(K$5-1)*MAX(0,MIN(1,K$4*1-Inputs!$E$41+1))/1</f>
        <v>6</v>
      </c>
      <c r="L8" s="96" t="n">
        <f aca="false">Inputs!$E$38*(1+Inputs!$E$40)^(L$5-1)*MAX(0,MIN(1,L$4*1-Inputs!$E$41+1))/1</f>
        <v>6</v>
      </c>
      <c r="M8" s="96" t="n">
        <f aca="false">Inputs!$E$38*(1+Inputs!$E$40)^(M$5-1)*MAX(0,MIN(1,M$4*1-Inputs!$E$41+1))/1</f>
        <v>6</v>
      </c>
      <c r="N8" s="96" t="n">
        <f aca="false">Inputs!$E$38*(1+Inputs!$E$40)^(N$5-1)*MAX(0,MIN(1,N$4*1-Inputs!$E$41+1))/1</f>
        <v>6</v>
      </c>
      <c r="O8" s="96" t="n">
        <f aca="false">Inputs!$E$38*(1+Inputs!$E$40)^(O$5-1)*MAX(0,MIN(1,O$4*1-Inputs!$E$41+1))/1</f>
        <v>7.2</v>
      </c>
      <c r="P8" s="96" t="n">
        <f aca="false">Inputs!$E$38*(1+Inputs!$E$40)^(P$5-1)*MAX(0,MIN(1,P$4*1-Inputs!$E$41+1))/1</f>
        <v>7.2</v>
      </c>
      <c r="Q8" s="96" t="n">
        <f aca="false">Inputs!$E$38*(1+Inputs!$E$40)^(Q$5-1)*MAX(0,MIN(1,Q$4*1-Inputs!$E$41+1))/1</f>
        <v>7.2</v>
      </c>
      <c r="R8" s="96" t="n">
        <f aca="false">Inputs!$E$38*(1+Inputs!$E$40)^(R$5-1)*MAX(0,MIN(1,R$4*1-Inputs!$E$41+1))/1</f>
        <v>7.2</v>
      </c>
      <c r="S8" s="96" t="n">
        <f aca="false">Inputs!$E$38*(1+Inputs!$E$40)^(S$5-1)*MAX(0,MIN(1,S$4*1-Inputs!$E$41+1))/1</f>
        <v>7.2</v>
      </c>
      <c r="T8" s="96" t="n">
        <f aca="false">Inputs!$E$38*(1+Inputs!$E$40)^(T$5-1)*MAX(0,MIN(1,T$4*1-Inputs!$E$41+1))/1</f>
        <v>7.2</v>
      </c>
      <c r="U8" s="96" t="n">
        <f aca="false">Inputs!$E$38*(1+Inputs!$E$40)^(U$5-1)*MAX(0,MIN(1,U$4*1-Inputs!$E$41+1))/1</f>
        <v>7.2</v>
      </c>
      <c r="V8" s="96" t="n">
        <f aca="false">Inputs!$E$38*(1+Inputs!$E$40)^(V$5-1)*MAX(0,MIN(1,V$4*1-Inputs!$E$41+1))/1</f>
        <v>7.2</v>
      </c>
      <c r="W8" s="96" t="n">
        <f aca="false">Inputs!$E$38*(1+Inputs!$E$40)^(W$5-1)*MAX(0,MIN(1,W$4*1-Inputs!$E$41+1))/1</f>
        <v>7.2</v>
      </c>
      <c r="X8" s="96" t="n">
        <f aca="false">Inputs!$E$38*(1+Inputs!$E$40)^(X$5-1)*MAX(0,MIN(1,X$4*1-Inputs!$E$41+1))/1</f>
        <v>7.2</v>
      </c>
      <c r="Y8" s="96" t="n">
        <f aca="false">Inputs!$E$38*(1+Inputs!$E$40)^(Y$5-1)*MAX(0,MIN(1,Y$4*1-Inputs!$E$41+1))/1</f>
        <v>7.2</v>
      </c>
      <c r="Z8" s="96" t="n">
        <f aca="false">Inputs!$E$38*(1+Inputs!$E$40)^(Z$5-1)*MAX(0,MIN(1,Z$4*1-Inputs!$E$41+1))/1</f>
        <v>7.2</v>
      </c>
      <c r="AA8" s="96" t="n">
        <f aca="false">Inputs!$E$38*(1+Inputs!$E$40)^(AA$5-1)*MAX(0,MIN(1,AA$4*1-Inputs!$E$41+1))/1</f>
        <v>8.64</v>
      </c>
      <c r="AB8" s="96" t="n">
        <f aca="false">Inputs!$E$38*(1+Inputs!$E$40)^(AB$5-1)*MAX(0,MIN(1,AB$4*1-Inputs!$E$41+1))/1</f>
        <v>8.64</v>
      </c>
      <c r="AC8" s="96" t="n">
        <f aca="false">Inputs!$E$38*(1+Inputs!$E$40)^(AC$5-1)*MAX(0,MIN(1,AC$4*1-Inputs!$E$41+1))/1</f>
        <v>8.64</v>
      </c>
      <c r="AD8" s="96" t="n">
        <f aca="false">Inputs!$E$38*(1+Inputs!$E$40)^(AD$5-1)*MAX(0,MIN(1,AD$4*1-Inputs!$E$41+1))/1</f>
        <v>8.64</v>
      </c>
      <c r="AE8" s="96" t="n">
        <f aca="false">Inputs!$E$38*(1+Inputs!$E$40)^(AE$5-1)*MAX(0,MIN(1,AE$4*1-Inputs!$E$41+1))/1</f>
        <v>8.64</v>
      </c>
      <c r="AF8" s="96" t="n">
        <f aca="false">Inputs!$E$38*(1+Inputs!$E$40)^(AF$5-1)*MAX(0,MIN(1,AF$4*1-Inputs!$E$41+1))/1</f>
        <v>8.64</v>
      </c>
      <c r="AG8" s="96" t="n">
        <f aca="false">Inputs!$E$38*(1+Inputs!$E$40)^(AG$5-1)*MAX(0,MIN(1,AG$4*1-Inputs!$E$41+1))/1</f>
        <v>8.64</v>
      </c>
      <c r="AH8" s="96" t="n">
        <f aca="false">Inputs!$E$38*(1+Inputs!$E$40)^(AH$5-1)*MAX(0,MIN(1,AH$4*1-Inputs!$E$41+1))/1</f>
        <v>8.64</v>
      </c>
      <c r="AI8" s="96" t="n">
        <f aca="false">Inputs!$E$38*(1+Inputs!$E$40)^(AI$5-1)*MAX(0,MIN(1,AI$4*1-Inputs!$E$41+1))/1</f>
        <v>8.64</v>
      </c>
      <c r="AJ8" s="96" t="n">
        <f aca="false">Inputs!$E$38*(1+Inputs!$E$40)^(AJ$5-1)*MAX(0,MIN(1,AJ$4*1-Inputs!$E$41+1))/1</f>
        <v>8.64</v>
      </c>
      <c r="AK8" s="96" t="n">
        <f aca="false">Inputs!$E$38*(1+Inputs!$E$40)^(AK$5-1)*MAX(0,MIN(1,AK$4*1-Inputs!$E$41+1))/1</f>
        <v>8.64</v>
      </c>
      <c r="AL8" s="96" t="n">
        <f aca="false">Inputs!$E$38*(1+Inputs!$E$40)^(AL$5-1)*MAX(0,MIN(1,AL$4*1-Inputs!$E$41+1))/1</f>
        <v>8.64</v>
      </c>
      <c r="AM8" s="96" t="n">
        <f aca="false">Inputs!$E$38*(1+Inputs!$E$40)^(AM$5-1)*MAX(0,MIN(1,AM$4*1-Inputs!$E$41+1))/1</f>
        <v>10.368</v>
      </c>
      <c r="AN8" s="96" t="n">
        <f aca="false">Inputs!$E$38*(1+Inputs!$E$40)^(AN$5-1)*MAX(0,MIN(1,AN$4*1-Inputs!$E$41+1))/1</f>
        <v>10.368</v>
      </c>
      <c r="AO8" s="96" t="n">
        <f aca="false">Inputs!$E$38*(1+Inputs!$E$40)^(AO$5-1)*MAX(0,MIN(1,AO$4*1-Inputs!$E$41+1))/1</f>
        <v>10.368</v>
      </c>
      <c r="AP8" s="96" t="n">
        <f aca="false">Inputs!$E$38*(1+Inputs!$E$40)^(AP$5-1)*MAX(0,MIN(1,AP$4*1-Inputs!$E$41+1))/1</f>
        <v>10.368</v>
      </c>
      <c r="AQ8" s="96" t="n">
        <f aca="false">Inputs!$E$38*(1+Inputs!$E$40)^(AQ$5-1)*MAX(0,MIN(1,AQ$4*1-Inputs!$E$41+1))/1</f>
        <v>10.368</v>
      </c>
      <c r="AR8" s="96" t="n">
        <f aca="false">Inputs!$E$38*(1+Inputs!$E$40)^(AR$5-1)*MAX(0,MIN(1,AR$4*1-Inputs!$E$41+1))/1</f>
        <v>10.368</v>
      </c>
      <c r="AS8" s="96" t="n">
        <f aca="false">Inputs!$E$38*(1+Inputs!$E$40)^(AS$5-1)*MAX(0,MIN(1,AS$4*1-Inputs!$E$41+1))/1</f>
        <v>10.368</v>
      </c>
      <c r="AT8" s="96" t="n">
        <f aca="false">Inputs!$E$38*(1+Inputs!$E$40)^(AT$5-1)*MAX(0,MIN(1,AT$4*1-Inputs!$E$41+1))/1</f>
        <v>10.368</v>
      </c>
      <c r="AU8" s="96" t="n">
        <f aca="false">Inputs!$E$38*(1+Inputs!$E$40)^(AU$5-1)*MAX(0,MIN(1,AU$4*1-Inputs!$E$41+1))/1</f>
        <v>10.368</v>
      </c>
      <c r="AV8" s="96" t="n">
        <f aca="false">Inputs!$E$38*(1+Inputs!$E$40)^(AV$5-1)*MAX(0,MIN(1,AV$4*1-Inputs!$E$41+1))/1</f>
        <v>10.368</v>
      </c>
      <c r="AW8" s="96" t="n">
        <f aca="false">Inputs!$E$38*(1+Inputs!$E$40)^(AW$5-1)*MAX(0,MIN(1,AW$4*1-Inputs!$E$41+1))/1</f>
        <v>10.368</v>
      </c>
      <c r="AX8" s="96" t="n">
        <f aca="false">Inputs!$E$38*(1+Inputs!$E$40)^(AX$5-1)*MAX(0,MIN(1,AX$4*1-Inputs!$E$41+1))/1</f>
        <v>10.368</v>
      </c>
      <c r="AY8" s="96" t="n">
        <f aca="false">Inputs!$E$38*(1+Inputs!$E$40)^(AY$5-1)*MAX(0,MIN(1,AY$4*1-Inputs!$E$41+1))/1</f>
        <v>12.4416</v>
      </c>
      <c r="AZ8" s="96" t="n">
        <f aca="false">Inputs!$E$38*(1+Inputs!$E$40)^(AZ$5-1)*MAX(0,MIN(1,AZ$4*1-Inputs!$E$41+1))/1</f>
        <v>12.4416</v>
      </c>
      <c r="BA8" s="96" t="n">
        <f aca="false">Inputs!$E$38*(1+Inputs!$E$40)^(BA$5-1)*MAX(0,MIN(1,BA$4*1-Inputs!$E$41+1))/1</f>
        <v>12.4416</v>
      </c>
      <c r="BB8" s="96" t="n">
        <f aca="false">Inputs!$E$38*(1+Inputs!$E$40)^(BB$5-1)*MAX(0,MIN(1,BB$4*1-Inputs!$E$41+1))/1</f>
        <v>12.4416</v>
      </c>
      <c r="BC8" s="96" t="n">
        <f aca="false">Inputs!$E$38*(1+Inputs!$E$40)^(BC$5-1)*MAX(0,MIN(1,BC$4*1-Inputs!$E$41+1))/1</f>
        <v>12.4416</v>
      </c>
      <c r="BD8" s="96" t="n">
        <f aca="false">Inputs!$E$38*(1+Inputs!$E$40)^(BD$5-1)*MAX(0,MIN(1,BD$4*1-Inputs!$E$41+1))/1</f>
        <v>12.4416</v>
      </c>
      <c r="BE8" s="96" t="n">
        <f aca="false">Inputs!$E$38*(1+Inputs!$E$40)^(BE$5-1)*MAX(0,MIN(1,BE$4*1-Inputs!$E$41+1))/1</f>
        <v>12.4416</v>
      </c>
      <c r="BF8" s="96" t="n">
        <f aca="false">Inputs!$E$38*(1+Inputs!$E$40)^(BF$5-1)*MAX(0,MIN(1,BF$4*1-Inputs!$E$41+1))/1</f>
        <v>12.4416</v>
      </c>
      <c r="BG8" s="96" t="n">
        <f aca="false">Inputs!$E$38*(1+Inputs!$E$40)^(BG$5-1)*MAX(0,MIN(1,BG$4*1-Inputs!$E$41+1))/1</f>
        <v>12.4416</v>
      </c>
      <c r="BH8" s="96" t="n">
        <f aca="false">Inputs!$E$38*(1+Inputs!$E$40)^(BH$5-1)*MAX(0,MIN(1,BH$4*1-Inputs!$E$41+1))/1</f>
        <v>12.4416</v>
      </c>
      <c r="BI8" s="96" t="n">
        <f aca="false">Inputs!$E$38*(1+Inputs!$E$40)^(BI$5-1)*MAX(0,MIN(1,BI$4*1-Inputs!$E$41+1))/1</f>
        <v>12.4416</v>
      </c>
      <c r="BJ8" s="96" t="n">
        <f aca="false">Inputs!$E$38*(1+Inputs!$E$40)^(BJ$5-1)*MAX(0,MIN(1,BJ$4*1-Inputs!$E$41+1))/1</f>
        <v>12.4416</v>
      </c>
    </row>
    <row r="9" customFormat="false" ht="15" hidden="false" customHeight="false" outlineLevel="0" collapsed="false">
      <c r="A9" s="6" t="s">
        <v>393</v>
      </c>
      <c r="C9" s="96" t="n">
        <f aca="false">Inputs!$E$42*(1+Inputs!$E$44)^(C$5-1)*MAX(0,MIN(1,C$4*1-Inputs!$E$45+1))/1</f>
        <v>4</v>
      </c>
      <c r="D9" s="96" t="n">
        <f aca="false">Inputs!$E$42*(1+Inputs!$E$44)^(D$5-1)*MAX(0,MIN(1,D$4*1-Inputs!$E$45+1))/1</f>
        <v>4</v>
      </c>
      <c r="E9" s="96" t="n">
        <f aca="false">Inputs!$E$42*(1+Inputs!$E$44)^(E$5-1)*MAX(0,MIN(1,E$4*1-Inputs!$E$45+1))/1</f>
        <v>4</v>
      </c>
      <c r="F9" s="96" t="n">
        <f aca="false">Inputs!$E$42*(1+Inputs!$E$44)^(F$5-1)*MAX(0,MIN(1,F$4*1-Inputs!$E$45+1))/1</f>
        <v>4</v>
      </c>
      <c r="G9" s="96" t="n">
        <f aca="false">Inputs!$E$42*(1+Inputs!$E$44)^(G$5-1)*MAX(0,MIN(1,G$4*1-Inputs!$E$45+1))/1</f>
        <v>4</v>
      </c>
      <c r="H9" s="96" t="n">
        <f aca="false">Inputs!$E$42*(1+Inputs!$E$44)^(H$5-1)*MAX(0,MIN(1,H$4*1-Inputs!$E$45+1))/1</f>
        <v>4</v>
      </c>
      <c r="I9" s="96" t="n">
        <f aca="false">Inputs!$E$42*(1+Inputs!$E$44)^(I$5-1)*MAX(0,MIN(1,I$4*1-Inputs!$E$45+1))/1</f>
        <v>4</v>
      </c>
      <c r="J9" s="96" t="n">
        <f aca="false">Inputs!$E$42*(1+Inputs!$E$44)^(J$5-1)*MAX(0,MIN(1,J$4*1-Inputs!$E$45+1))/1</f>
        <v>4</v>
      </c>
      <c r="K9" s="96" t="n">
        <f aca="false">Inputs!$E$42*(1+Inputs!$E$44)^(K$5-1)*MAX(0,MIN(1,K$4*1-Inputs!$E$45+1))/1</f>
        <v>4</v>
      </c>
      <c r="L9" s="96" t="n">
        <f aca="false">Inputs!$E$42*(1+Inputs!$E$44)^(L$5-1)*MAX(0,MIN(1,L$4*1-Inputs!$E$45+1))/1</f>
        <v>4</v>
      </c>
      <c r="M9" s="96" t="n">
        <f aca="false">Inputs!$E$42*(1+Inputs!$E$44)^(M$5-1)*MAX(0,MIN(1,M$4*1-Inputs!$E$45+1))/1</f>
        <v>4</v>
      </c>
      <c r="N9" s="96" t="n">
        <f aca="false">Inputs!$E$42*(1+Inputs!$E$44)^(N$5-1)*MAX(0,MIN(1,N$4*1-Inputs!$E$45+1))/1</f>
        <v>4</v>
      </c>
      <c r="O9" s="96" t="n">
        <f aca="false">Inputs!$E$42*(1+Inputs!$E$44)^(O$5-1)*MAX(0,MIN(1,O$4*1-Inputs!$E$45+1))/1</f>
        <v>4.8</v>
      </c>
      <c r="P9" s="96" t="n">
        <f aca="false">Inputs!$E$42*(1+Inputs!$E$44)^(P$5-1)*MAX(0,MIN(1,P$4*1-Inputs!$E$45+1))/1</f>
        <v>4.8</v>
      </c>
      <c r="Q9" s="96" t="n">
        <f aca="false">Inputs!$E$42*(1+Inputs!$E$44)^(Q$5-1)*MAX(0,MIN(1,Q$4*1-Inputs!$E$45+1))/1</f>
        <v>4.8</v>
      </c>
      <c r="R9" s="96" t="n">
        <f aca="false">Inputs!$E$42*(1+Inputs!$E$44)^(R$5-1)*MAX(0,MIN(1,R$4*1-Inputs!$E$45+1))/1</f>
        <v>4.8</v>
      </c>
      <c r="S9" s="96" t="n">
        <f aca="false">Inputs!$E$42*(1+Inputs!$E$44)^(S$5-1)*MAX(0,MIN(1,S$4*1-Inputs!$E$45+1))/1</f>
        <v>4.8</v>
      </c>
      <c r="T9" s="96" t="n">
        <f aca="false">Inputs!$E$42*(1+Inputs!$E$44)^(T$5-1)*MAX(0,MIN(1,T$4*1-Inputs!$E$45+1))/1</f>
        <v>4.8</v>
      </c>
      <c r="U9" s="96" t="n">
        <f aca="false">Inputs!$E$42*(1+Inputs!$E$44)^(U$5-1)*MAX(0,MIN(1,U$4*1-Inputs!$E$45+1))/1</f>
        <v>4.8</v>
      </c>
      <c r="V9" s="96" t="n">
        <f aca="false">Inputs!$E$42*(1+Inputs!$E$44)^(V$5-1)*MAX(0,MIN(1,V$4*1-Inputs!$E$45+1))/1</f>
        <v>4.8</v>
      </c>
      <c r="W9" s="96" t="n">
        <f aca="false">Inputs!$E$42*(1+Inputs!$E$44)^(W$5-1)*MAX(0,MIN(1,W$4*1-Inputs!$E$45+1))/1</f>
        <v>4.8</v>
      </c>
      <c r="X9" s="96" t="n">
        <f aca="false">Inputs!$E$42*(1+Inputs!$E$44)^(X$5-1)*MAX(0,MIN(1,X$4*1-Inputs!$E$45+1))/1</f>
        <v>4.8</v>
      </c>
      <c r="Y9" s="96" t="n">
        <f aca="false">Inputs!$E$42*(1+Inputs!$E$44)^(Y$5-1)*MAX(0,MIN(1,Y$4*1-Inputs!$E$45+1))/1</f>
        <v>4.8</v>
      </c>
      <c r="Z9" s="96" t="n">
        <f aca="false">Inputs!$E$42*(1+Inputs!$E$44)^(Z$5-1)*MAX(0,MIN(1,Z$4*1-Inputs!$E$45+1))/1</f>
        <v>4.8</v>
      </c>
      <c r="AA9" s="96" t="n">
        <f aca="false">Inputs!$E$42*(1+Inputs!$E$44)^(AA$5-1)*MAX(0,MIN(1,AA$4*1-Inputs!$E$45+1))/1</f>
        <v>5.76</v>
      </c>
      <c r="AB9" s="96" t="n">
        <f aca="false">Inputs!$E$42*(1+Inputs!$E$44)^(AB$5-1)*MAX(0,MIN(1,AB$4*1-Inputs!$E$45+1))/1</f>
        <v>5.76</v>
      </c>
      <c r="AC9" s="96" t="n">
        <f aca="false">Inputs!$E$42*(1+Inputs!$E$44)^(AC$5-1)*MAX(0,MIN(1,AC$4*1-Inputs!$E$45+1))/1</f>
        <v>5.76</v>
      </c>
      <c r="AD9" s="96" t="n">
        <f aca="false">Inputs!$E$42*(1+Inputs!$E$44)^(AD$5-1)*MAX(0,MIN(1,AD$4*1-Inputs!$E$45+1))/1</f>
        <v>5.76</v>
      </c>
      <c r="AE9" s="96" t="n">
        <f aca="false">Inputs!$E$42*(1+Inputs!$E$44)^(AE$5-1)*MAX(0,MIN(1,AE$4*1-Inputs!$E$45+1))/1</f>
        <v>5.76</v>
      </c>
      <c r="AF9" s="96" t="n">
        <f aca="false">Inputs!$E$42*(1+Inputs!$E$44)^(AF$5-1)*MAX(0,MIN(1,AF$4*1-Inputs!$E$45+1))/1</f>
        <v>5.76</v>
      </c>
      <c r="AG9" s="96" t="n">
        <f aca="false">Inputs!$E$42*(1+Inputs!$E$44)^(AG$5-1)*MAX(0,MIN(1,AG$4*1-Inputs!$E$45+1))/1</f>
        <v>5.76</v>
      </c>
      <c r="AH9" s="96" t="n">
        <f aca="false">Inputs!$E$42*(1+Inputs!$E$44)^(AH$5-1)*MAX(0,MIN(1,AH$4*1-Inputs!$E$45+1))/1</f>
        <v>5.76</v>
      </c>
      <c r="AI9" s="96" t="n">
        <f aca="false">Inputs!$E$42*(1+Inputs!$E$44)^(AI$5-1)*MAX(0,MIN(1,AI$4*1-Inputs!$E$45+1))/1</f>
        <v>5.76</v>
      </c>
      <c r="AJ9" s="96" t="n">
        <f aca="false">Inputs!$E$42*(1+Inputs!$E$44)^(AJ$5-1)*MAX(0,MIN(1,AJ$4*1-Inputs!$E$45+1))/1</f>
        <v>5.76</v>
      </c>
      <c r="AK9" s="96" t="n">
        <f aca="false">Inputs!$E$42*(1+Inputs!$E$44)^(AK$5-1)*MAX(0,MIN(1,AK$4*1-Inputs!$E$45+1))/1</f>
        <v>5.76</v>
      </c>
      <c r="AL9" s="96" t="n">
        <f aca="false">Inputs!$E$42*(1+Inputs!$E$44)^(AL$5-1)*MAX(0,MIN(1,AL$4*1-Inputs!$E$45+1))/1</f>
        <v>5.76</v>
      </c>
      <c r="AM9" s="96" t="n">
        <f aca="false">Inputs!$E$42*(1+Inputs!$E$44)^(AM$5-1)*MAX(0,MIN(1,AM$4*1-Inputs!$E$45+1))/1</f>
        <v>6.912</v>
      </c>
      <c r="AN9" s="96" t="n">
        <f aca="false">Inputs!$E$42*(1+Inputs!$E$44)^(AN$5-1)*MAX(0,MIN(1,AN$4*1-Inputs!$E$45+1))/1</f>
        <v>6.912</v>
      </c>
      <c r="AO9" s="96" t="n">
        <f aca="false">Inputs!$E$42*(1+Inputs!$E$44)^(AO$5-1)*MAX(0,MIN(1,AO$4*1-Inputs!$E$45+1))/1</f>
        <v>6.912</v>
      </c>
      <c r="AP9" s="96" t="n">
        <f aca="false">Inputs!$E$42*(1+Inputs!$E$44)^(AP$5-1)*MAX(0,MIN(1,AP$4*1-Inputs!$E$45+1))/1</f>
        <v>6.912</v>
      </c>
      <c r="AQ9" s="96" t="n">
        <f aca="false">Inputs!$E$42*(1+Inputs!$E$44)^(AQ$5-1)*MAX(0,MIN(1,AQ$4*1-Inputs!$E$45+1))/1</f>
        <v>6.912</v>
      </c>
      <c r="AR9" s="96" t="n">
        <f aca="false">Inputs!$E$42*(1+Inputs!$E$44)^(AR$5-1)*MAX(0,MIN(1,AR$4*1-Inputs!$E$45+1))/1</f>
        <v>6.912</v>
      </c>
      <c r="AS9" s="96" t="n">
        <f aca="false">Inputs!$E$42*(1+Inputs!$E$44)^(AS$5-1)*MAX(0,MIN(1,AS$4*1-Inputs!$E$45+1))/1</f>
        <v>6.912</v>
      </c>
      <c r="AT9" s="96" t="n">
        <f aca="false">Inputs!$E$42*(1+Inputs!$E$44)^(AT$5-1)*MAX(0,MIN(1,AT$4*1-Inputs!$E$45+1))/1</f>
        <v>6.912</v>
      </c>
      <c r="AU9" s="96" t="n">
        <f aca="false">Inputs!$E$42*(1+Inputs!$E$44)^(AU$5-1)*MAX(0,MIN(1,AU$4*1-Inputs!$E$45+1))/1</f>
        <v>6.912</v>
      </c>
      <c r="AV9" s="96" t="n">
        <f aca="false">Inputs!$E$42*(1+Inputs!$E$44)^(AV$5-1)*MAX(0,MIN(1,AV$4*1-Inputs!$E$45+1))/1</f>
        <v>6.912</v>
      </c>
      <c r="AW9" s="96" t="n">
        <f aca="false">Inputs!$E$42*(1+Inputs!$E$44)^(AW$5-1)*MAX(0,MIN(1,AW$4*1-Inputs!$E$45+1))/1</f>
        <v>6.912</v>
      </c>
      <c r="AX9" s="96" t="n">
        <f aca="false">Inputs!$E$42*(1+Inputs!$E$44)^(AX$5-1)*MAX(0,MIN(1,AX$4*1-Inputs!$E$45+1))/1</f>
        <v>6.912</v>
      </c>
      <c r="AY9" s="96" t="n">
        <f aca="false">Inputs!$E$42*(1+Inputs!$E$44)^(AY$5-1)*MAX(0,MIN(1,AY$4*1-Inputs!$E$45+1))/1</f>
        <v>8.2944</v>
      </c>
      <c r="AZ9" s="96" t="n">
        <f aca="false">Inputs!$E$42*(1+Inputs!$E$44)^(AZ$5-1)*MAX(0,MIN(1,AZ$4*1-Inputs!$E$45+1))/1</f>
        <v>8.2944</v>
      </c>
      <c r="BA9" s="96" t="n">
        <f aca="false">Inputs!$E$42*(1+Inputs!$E$44)^(BA$5-1)*MAX(0,MIN(1,BA$4*1-Inputs!$E$45+1))/1</f>
        <v>8.2944</v>
      </c>
      <c r="BB9" s="96" t="n">
        <f aca="false">Inputs!$E$42*(1+Inputs!$E$44)^(BB$5-1)*MAX(0,MIN(1,BB$4*1-Inputs!$E$45+1))/1</f>
        <v>8.2944</v>
      </c>
      <c r="BC9" s="96" t="n">
        <f aca="false">Inputs!$E$42*(1+Inputs!$E$44)^(BC$5-1)*MAX(0,MIN(1,BC$4*1-Inputs!$E$45+1))/1</f>
        <v>8.2944</v>
      </c>
      <c r="BD9" s="96" t="n">
        <f aca="false">Inputs!$E$42*(1+Inputs!$E$44)^(BD$5-1)*MAX(0,MIN(1,BD$4*1-Inputs!$E$45+1))/1</f>
        <v>8.2944</v>
      </c>
      <c r="BE9" s="96" t="n">
        <f aca="false">Inputs!$E$42*(1+Inputs!$E$44)^(BE$5-1)*MAX(0,MIN(1,BE$4*1-Inputs!$E$45+1))/1</f>
        <v>8.2944</v>
      </c>
      <c r="BF9" s="96" t="n">
        <f aca="false">Inputs!$E$42*(1+Inputs!$E$44)^(BF$5-1)*MAX(0,MIN(1,BF$4*1-Inputs!$E$45+1))/1</f>
        <v>8.2944</v>
      </c>
      <c r="BG9" s="96" t="n">
        <f aca="false">Inputs!$E$42*(1+Inputs!$E$44)^(BG$5-1)*MAX(0,MIN(1,BG$4*1-Inputs!$E$45+1))/1</f>
        <v>8.2944</v>
      </c>
      <c r="BH9" s="96" t="n">
        <f aca="false">Inputs!$E$42*(1+Inputs!$E$44)^(BH$5-1)*MAX(0,MIN(1,BH$4*1-Inputs!$E$45+1))/1</f>
        <v>8.2944</v>
      </c>
      <c r="BI9" s="96" t="n">
        <f aca="false">Inputs!$E$42*(1+Inputs!$E$44)^(BI$5-1)*MAX(0,MIN(1,BI$4*1-Inputs!$E$45+1))/1</f>
        <v>8.2944</v>
      </c>
      <c r="BJ9" s="96" t="n">
        <f aca="false">Inputs!$E$42*(1+Inputs!$E$44)^(BJ$5-1)*MAX(0,MIN(1,BJ$4*1-Inputs!$E$45+1))/1</f>
        <v>8.2944</v>
      </c>
    </row>
    <row r="10" customFormat="false" ht="15" hidden="false" customHeight="false" outlineLevel="0" collapsed="false">
      <c r="A10" s="6" t="s">
        <v>394</v>
      </c>
      <c r="C10" s="96" t="n">
        <f aca="false">Inputs!$E$46*(1+Inputs!$E$48)^(C$5-1)*MAX(0,MIN(1,C$4*1-Inputs!$E$49+1))/1</f>
        <v>8</v>
      </c>
      <c r="D10" s="96" t="n">
        <f aca="false">Inputs!$E$46*(1+Inputs!$E$48)^(D$5-1)*MAX(0,MIN(1,D$4*1-Inputs!$E$49+1))/1</f>
        <v>8</v>
      </c>
      <c r="E10" s="96" t="n">
        <f aca="false">Inputs!$E$46*(1+Inputs!$E$48)^(E$5-1)*MAX(0,MIN(1,E$4*1-Inputs!$E$49+1))/1</f>
        <v>8</v>
      </c>
      <c r="F10" s="96" t="n">
        <f aca="false">Inputs!$E$46*(1+Inputs!$E$48)^(F$5-1)*MAX(0,MIN(1,F$4*1-Inputs!$E$49+1))/1</f>
        <v>8</v>
      </c>
      <c r="G10" s="96" t="n">
        <f aca="false">Inputs!$E$46*(1+Inputs!$E$48)^(G$5-1)*MAX(0,MIN(1,G$4*1-Inputs!$E$49+1))/1</f>
        <v>8</v>
      </c>
      <c r="H10" s="96" t="n">
        <f aca="false">Inputs!$E$46*(1+Inputs!$E$48)^(H$5-1)*MAX(0,MIN(1,H$4*1-Inputs!$E$49+1))/1</f>
        <v>8</v>
      </c>
      <c r="I10" s="96" t="n">
        <f aca="false">Inputs!$E$46*(1+Inputs!$E$48)^(I$5-1)*MAX(0,MIN(1,I$4*1-Inputs!$E$49+1))/1</f>
        <v>8</v>
      </c>
      <c r="J10" s="96" t="n">
        <f aca="false">Inputs!$E$46*(1+Inputs!$E$48)^(J$5-1)*MAX(0,MIN(1,J$4*1-Inputs!$E$49+1))/1</f>
        <v>8</v>
      </c>
      <c r="K10" s="96" t="n">
        <f aca="false">Inputs!$E$46*(1+Inputs!$E$48)^(K$5-1)*MAX(0,MIN(1,K$4*1-Inputs!$E$49+1))/1</f>
        <v>8</v>
      </c>
      <c r="L10" s="96" t="n">
        <f aca="false">Inputs!$E$46*(1+Inputs!$E$48)^(L$5-1)*MAX(0,MIN(1,L$4*1-Inputs!$E$49+1))/1</f>
        <v>8</v>
      </c>
      <c r="M10" s="96" t="n">
        <f aca="false">Inputs!$E$46*(1+Inputs!$E$48)^(M$5-1)*MAX(0,MIN(1,M$4*1-Inputs!$E$49+1))/1</f>
        <v>8</v>
      </c>
      <c r="N10" s="96" t="n">
        <f aca="false">Inputs!$E$46*(1+Inputs!$E$48)^(N$5-1)*MAX(0,MIN(1,N$4*1-Inputs!$E$49+1))/1</f>
        <v>8</v>
      </c>
      <c r="O10" s="96" t="n">
        <f aca="false">Inputs!$E$46*(1+Inputs!$E$48)^(O$5-1)*MAX(0,MIN(1,O$4*1-Inputs!$E$49+1))/1</f>
        <v>10.4</v>
      </c>
      <c r="P10" s="96" t="n">
        <f aca="false">Inputs!$E$46*(1+Inputs!$E$48)^(P$5-1)*MAX(0,MIN(1,P$4*1-Inputs!$E$49+1))/1</f>
        <v>10.4</v>
      </c>
      <c r="Q10" s="96" t="n">
        <f aca="false">Inputs!$E$46*(1+Inputs!$E$48)^(Q$5-1)*MAX(0,MIN(1,Q$4*1-Inputs!$E$49+1))/1</f>
        <v>10.4</v>
      </c>
      <c r="R10" s="96" t="n">
        <f aca="false">Inputs!$E$46*(1+Inputs!$E$48)^(R$5-1)*MAX(0,MIN(1,R$4*1-Inputs!$E$49+1))/1</f>
        <v>10.4</v>
      </c>
      <c r="S10" s="96" t="n">
        <f aca="false">Inputs!$E$46*(1+Inputs!$E$48)^(S$5-1)*MAX(0,MIN(1,S$4*1-Inputs!$E$49+1))/1</f>
        <v>10.4</v>
      </c>
      <c r="T10" s="96" t="n">
        <f aca="false">Inputs!$E$46*(1+Inputs!$E$48)^(T$5-1)*MAX(0,MIN(1,T$4*1-Inputs!$E$49+1))/1</f>
        <v>10.4</v>
      </c>
      <c r="U10" s="96" t="n">
        <f aca="false">Inputs!$E$46*(1+Inputs!$E$48)^(U$5-1)*MAX(0,MIN(1,U$4*1-Inputs!$E$49+1))/1</f>
        <v>10.4</v>
      </c>
      <c r="V10" s="96" t="n">
        <f aca="false">Inputs!$E$46*(1+Inputs!$E$48)^(V$5-1)*MAX(0,MIN(1,V$4*1-Inputs!$E$49+1))/1</f>
        <v>10.4</v>
      </c>
      <c r="W10" s="96" t="n">
        <f aca="false">Inputs!$E$46*(1+Inputs!$E$48)^(W$5-1)*MAX(0,MIN(1,W$4*1-Inputs!$E$49+1))/1</f>
        <v>10.4</v>
      </c>
      <c r="X10" s="96" t="n">
        <f aca="false">Inputs!$E$46*(1+Inputs!$E$48)^(X$5-1)*MAX(0,MIN(1,X$4*1-Inputs!$E$49+1))/1</f>
        <v>10.4</v>
      </c>
      <c r="Y10" s="96" t="n">
        <f aca="false">Inputs!$E$46*(1+Inputs!$E$48)^(Y$5-1)*MAX(0,MIN(1,Y$4*1-Inputs!$E$49+1))/1</f>
        <v>10.4</v>
      </c>
      <c r="Z10" s="96" t="n">
        <f aca="false">Inputs!$E$46*(1+Inputs!$E$48)^(Z$5-1)*MAX(0,MIN(1,Z$4*1-Inputs!$E$49+1))/1</f>
        <v>10.4</v>
      </c>
      <c r="AA10" s="96" t="n">
        <f aca="false">Inputs!$E$46*(1+Inputs!$E$48)^(AA$5-1)*MAX(0,MIN(1,AA$4*1-Inputs!$E$49+1))/1</f>
        <v>13.52</v>
      </c>
      <c r="AB10" s="96" t="n">
        <f aca="false">Inputs!$E$46*(1+Inputs!$E$48)^(AB$5-1)*MAX(0,MIN(1,AB$4*1-Inputs!$E$49+1))/1</f>
        <v>13.52</v>
      </c>
      <c r="AC10" s="96" t="n">
        <f aca="false">Inputs!$E$46*(1+Inputs!$E$48)^(AC$5-1)*MAX(0,MIN(1,AC$4*1-Inputs!$E$49+1))/1</f>
        <v>13.52</v>
      </c>
      <c r="AD10" s="96" t="n">
        <f aca="false">Inputs!$E$46*(1+Inputs!$E$48)^(AD$5-1)*MAX(0,MIN(1,AD$4*1-Inputs!$E$49+1))/1</f>
        <v>13.52</v>
      </c>
      <c r="AE10" s="96" t="n">
        <f aca="false">Inputs!$E$46*(1+Inputs!$E$48)^(AE$5-1)*MAX(0,MIN(1,AE$4*1-Inputs!$E$49+1))/1</f>
        <v>13.52</v>
      </c>
      <c r="AF10" s="96" t="n">
        <f aca="false">Inputs!$E$46*(1+Inputs!$E$48)^(AF$5-1)*MAX(0,MIN(1,AF$4*1-Inputs!$E$49+1))/1</f>
        <v>13.52</v>
      </c>
      <c r="AG10" s="96" t="n">
        <f aca="false">Inputs!$E$46*(1+Inputs!$E$48)^(AG$5-1)*MAX(0,MIN(1,AG$4*1-Inputs!$E$49+1))/1</f>
        <v>13.52</v>
      </c>
      <c r="AH10" s="96" t="n">
        <f aca="false">Inputs!$E$46*(1+Inputs!$E$48)^(AH$5-1)*MAX(0,MIN(1,AH$4*1-Inputs!$E$49+1))/1</f>
        <v>13.52</v>
      </c>
      <c r="AI10" s="96" t="n">
        <f aca="false">Inputs!$E$46*(1+Inputs!$E$48)^(AI$5-1)*MAX(0,MIN(1,AI$4*1-Inputs!$E$49+1))/1</f>
        <v>13.52</v>
      </c>
      <c r="AJ10" s="96" t="n">
        <f aca="false">Inputs!$E$46*(1+Inputs!$E$48)^(AJ$5-1)*MAX(0,MIN(1,AJ$4*1-Inputs!$E$49+1))/1</f>
        <v>13.52</v>
      </c>
      <c r="AK10" s="96" t="n">
        <f aca="false">Inputs!$E$46*(1+Inputs!$E$48)^(AK$5-1)*MAX(0,MIN(1,AK$4*1-Inputs!$E$49+1))/1</f>
        <v>13.52</v>
      </c>
      <c r="AL10" s="96" t="n">
        <f aca="false">Inputs!$E$46*(1+Inputs!$E$48)^(AL$5-1)*MAX(0,MIN(1,AL$4*1-Inputs!$E$49+1))/1</f>
        <v>13.52</v>
      </c>
      <c r="AM10" s="96" t="n">
        <f aca="false">Inputs!$E$46*(1+Inputs!$E$48)^(AM$5-1)*MAX(0,MIN(1,AM$4*1-Inputs!$E$49+1))/1</f>
        <v>17.576</v>
      </c>
      <c r="AN10" s="96" t="n">
        <f aca="false">Inputs!$E$46*(1+Inputs!$E$48)^(AN$5-1)*MAX(0,MIN(1,AN$4*1-Inputs!$E$49+1))/1</f>
        <v>17.576</v>
      </c>
      <c r="AO10" s="96" t="n">
        <f aca="false">Inputs!$E$46*(1+Inputs!$E$48)^(AO$5-1)*MAX(0,MIN(1,AO$4*1-Inputs!$E$49+1))/1</f>
        <v>17.576</v>
      </c>
      <c r="AP10" s="96" t="n">
        <f aca="false">Inputs!$E$46*(1+Inputs!$E$48)^(AP$5-1)*MAX(0,MIN(1,AP$4*1-Inputs!$E$49+1))/1</f>
        <v>17.576</v>
      </c>
      <c r="AQ10" s="96" t="n">
        <f aca="false">Inputs!$E$46*(1+Inputs!$E$48)^(AQ$5-1)*MAX(0,MIN(1,AQ$4*1-Inputs!$E$49+1))/1</f>
        <v>17.576</v>
      </c>
      <c r="AR10" s="96" t="n">
        <f aca="false">Inputs!$E$46*(1+Inputs!$E$48)^(AR$5-1)*MAX(0,MIN(1,AR$4*1-Inputs!$E$49+1))/1</f>
        <v>17.576</v>
      </c>
      <c r="AS10" s="96" t="n">
        <f aca="false">Inputs!$E$46*(1+Inputs!$E$48)^(AS$5-1)*MAX(0,MIN(1,AS$4*1-Inputs!$E$49+1))/1</f>
        <v>17.576</v>
      </c>
      <c r="AT10" s="96" t="n">
        <f aca="false">Inputs!$E$46*(1+Inputs!$E$48)^(AT$5-1)*MAX(0,MIN(1,AT$4*1-Inputs!$E$49+1))/1</f>
        <v>17.576</v>
      </c>
      <c r="AU10" s="96" t="n">
        <f aca="false">Inputs!$E$46*(1+Inputs!$E$48)^(AU$5-1)*MAX(0,MIN(1,AU$4*1-Inputs!$E$49+1))/1</f>
        <v>17.576</v>
      </c>
      <c r="AV10" s="96" t="n">
        <f aca="false">Inputs!$E$46*(1+Inputs!$E$48)^(AV$5-1)*MAX(0,MIN(1,AV$4*1-Inputs!$E$49+1))/1</f>
        <v>17.576</v>
      </c>
      <c r="AW10" s="96" t="n">
        <f aca="false">Inputs!$E$46*(1+Inputs!$E$48)^(AW$5-1)*MAX(0,MIN(1,AW$4*1-Inputs!$E$49+1))/1</f>
        <v>17.576</v>
      </c>
      <c r="AX10" s="96" t="n">
        <f aca="false">Inputs!$E$46*(1+Inputs!$E$48)^(AX$5-1)*MAX(0,MIN(1,AX$4*1-Inputs!$E$49+1))/1</f>
        <v>17.576</v>
      </c>
      <c r="AY10" s="96" t="n">
        <f aca="false">Inputs!$E$46*(1+Inputs!$E$48)^(AY$5-1)*MAX(0,MIN(1,AY$4*1-Inputs!$E$49+1))/1</f>
        <v>22.8488</v>
      </c>
      <c r="AZ10" s="96" t="n">
        <f aca="false">Inputs!$E$46*(1+Inputs!$E$48)^(AZ$5-1)*MAX(0,MIN(1,AZ$4*1-Inputs!$E$49+1))/1</f>
        <v>22.8488</v>
      </c>
      <c r="BA10" s="96" t="n">
        <f aca="false">Inputs!$E$46*(1+Inputs!$E$48)^(BA$5-1)*MAX(0,MIN(1,BA$4*1-Inputs!$E$49+1))/1</f>
        <v>22.8488</v>
      </c>
      <c r="BB10" s="96" t="n">
        <f aca="false">Inputs!$E$46*(1+Inputs!$E$48)^(BB$5-1)*MAX(0,MIN(1,BB$4*1-Inputs!$E$49+1))/1</f>
        <v>22.8488</v>
      </c>
      <c r="BC10" s="96" t="n">
        <f aca="false">Inputs!$E$46*(1+Inputs!$E$48)^(BC$5-1)*MAX(0,MIN(1,BC$4*1-Inputs!$E$49+1))/1</f>
        <v>22.8488</v>
      </c>
      <c r="BD10" s="96" t="n">
        <f aca="false">Inputs!$E$46*(1+Inputs!$E$48)^(BD$5-1)*MAX(0,MIN(1,BD$4*1-Inputs!$E$49+1))/1</f>
        <v>22.8488</v>
      </c>
      <c r="BE10" s="96" t="n">
        <f aca="false">Inputs!$E$46*(1+Inputs!$E$48)^(BE$5-1)*MAX(0,MIN(1,BE$4*1-Inputs!$E$49+1))/1</f>
        <v>22.8488</v>
      </c>
      <c r="BF10" s="96" t="n">
        <f aca="false">Inputs!$E$46*(1+Inputs!$E$48)^(BF$5-1)*MAX(0,MIN(1,BF$4*1-Inputs!$E$49+1))/1</f>
        <v>22.8488</v>
      </c>
      <c r="BG10" s="96" t="n">
        <f aca="false">Inputs!$E$46*(1+Inputs!$E$48)^(BG$5-1)*MAX(0,MIN(1,BG$4*1-Inputs!$E$49+1))/1</f>
        <v>22.8488</v>
      </c>
      <c r="BH10" s="96" t="n">
        <f aca="false">Inputs!$E$46*(1+Inputs!$E$48)^(BH$5-1)*MAX(0,MIN(1,BH$4*1-Inputs!$E$49+1))/1</f>
        <v>22.8488</v>
      </c>
      <c r="BI10" s="96" t="n">
        <f aca="false">Inputs!$E$46*(1+Inputs!$E$48)^(BI$5-1)*MAX(0,MIN(1,BI$4*1-Inputs!$E$49+1))/1</f>
        <v>22.8488</v>
      </c>
      <c r="BJ10" s="96" t="n">
        <f aca="false">Inputs!$E$46*(1+Inputs!$E$48)^(BJ$5-1)*MAX(0,MIN(1,BJ$4*1-Inputs!$E$49+1))/1</f>
        <v>22.8488</v>
      </c>
    </row>
    <row r="11" customFormat="false" ht="15" hidden="false" customHeight="false" outlineLevel="0" collapsed="false">
      <c r="A11" s="6" t="s">
        <v>395</v>
      </c>
      <c r="C11" s="96" t="n">
        <f aca="false">Inputs!$E$50*(1+Inputs!$E$52)^(C$5-1)*MAX(0,MIN(1,C$4*1-Inputs!$E$53+1))/1</f>
        <v>3</v>
      </c>
      <c r="D11" s="96" t="n">
        <f aca="false">Inputs!$E$50*(1+Inputs!$E$52)^(D$5-1)*MAX(0,MIN(1,D$4*1-Inputs!$E$53+1))/1</f>
        <v>3</v>
      </c>
      <c r="E11" s="96" t="n">
        <f aca="false">Inputs!$E$50*(1+Inputs!$E$52)^(E$5-1)*MAX(0,MIN(1,E$4*1-Inputs!$E$53+1))/1</f>
        <v>3</v>
      </c>
      <c r="F11" s="96" t="n">
        <f aca="false">Inputs!$E$50*(1+Inputs!$E$52)^(F$5-1)*MAX(0,MIN(1,F$4*1-Inputs!$E$53+1))/1</f>
        <v>3</v>
      </c>
      <c r="G11" s="96" t="n">
        <f aca="false">Inputs!$E$50*(1+Inputs!$E$52)^(G$5-1)*MAX(0,MIN(1,G$4*1-Inputs!$E$53+1))/1</f>
        <v>3</v>
      </c>
      <c r="H11" s="96" t="n">
        <f aca="false">Inputs!$E$50*(1+Inputs!$E$52)^(H$5-1)*MAX(0,MIN(1,H$4*1-Inputs!$E$53+1))/1</f>
        <v>3</v>
      </c>
      <c r="I11" s="96" t="n">
        <f aca="false">Inputs!$E$50*(1+Inputs!$E$52)^(I$5-1)*MAX(0,MIN(1,I$4*1-Inputs!$E$53+1))/1</f>
        <v>3</v>
      </c>
      <c r="J11" s="96" t="n">
        <f aca="false">Inputs!$E$50*(1+Inputs!$E$52)^(J$5-1)*MAX(0,MIN(1,J$4*1-Inputs!$E$53+1))/1</f>
        <v>3</v>
      </c>
      <c r="K11" s="96" t="n">
        <f aca="false">Inputs!$E$50*(1+Inputs!$E$52)^(K$5-1)*MAX(0,MIN(1,K$4*1-Inputs!$E$53+1))/1</f>
        <v>3</v>
      </c>
      <c r="L11" s="96" t="n">
        <f aca="false">Inputs!$E$50*(1+Inputs!$E$52)^(L$5-1)*MAX(0,MIN(1,L$4*1-Inputs!$E$53+1))/1</f>
        <v>3</v>
      </c>
      <c r="M11" s="96" t="n">
        <f aca="false">Inputs!$E$50*(1+Inputs!$E$52)^(M$5-1)*MAX(0,MIN(1,M$4*1-Inputs!$E$53+1))/1</f>
        <v>3</v>
      </c>
      <c r="N11" s="96" t="n">
        <f aca="false">Inputs!$E$50*(1+Inputs!$E$52)^(N$5-1)*MAX(0,MIN(1,N$4*1-Inputs!$E$53+1))/1</f>
        <v>3</v>
      </c>
      <c r="O11" s="96" t="n">
        <f aca="false">Inputs!$E$50*(1+Inputs!$E$52)^(O$5-1)*MAX(0,MIN(1,O$4*1-Inputs!$E$53+1))/1</f>
        <v>3.45</v>
      </c>
      <c r="P11" s="96" t="n">
        <f aca="false">Inputs!$E$50*(1+Inputs!$E$52)^(P$5-1)*MAX(0,MIN(1,P$4*1-Inputs!$E$53+1))/1</f>
        <v>3.45</v>
      </c>
      <c r="Q11" s="96" t="n">
        <f aca="false">Inputs!$E$50*(1+Inputs!$E$52)^(Q$5-1)*MAX(0,MIN(1,Q$4*1-Inputs!$E$53+1))/1</f>
        <v>3.45</v>
      </c>
      <c r="R11" s="96" t="n">
        <f aca="false">Inputs!$E$50*(1+Inputs!$E$52)^(R$5-1)*MAX(0,MIN(1,R$4*1-Inputs!$E$53+1))/1</f>
        <v>3.45</v>
      </c>
      <c r="S11" s="96" t="n">
        <f aca="false">Inputs!$E$50*(1+Inputs!$E$52)^(S$5-1)*MAX(0,MIN(1,S$4*1-Inputs!$E$53+1))/1</f>
        <v>3.45</v>
      </c>
      <c r="T11" s="96" t="n">
        <f aca="false">Inputs!$E$50*(1+Inputs!$E$52)^(T$5-1)*MAX(0,MIN(1,T$4*1-Inputs!$E$53+1))/1</f>
        <v>3.45</v>
      </c>
      <c r="U11" s="96" t="n">
        <f aca="false">Inputs!$E$50*(1+Inputs!$E$52)^(U$5-1)*MAX(0,MIN(1,U$4*1-Inputs!$E$53+1))/1</f>
        <v>3.45</v>
      </c>
      <c r="V11" s="96" t="n">
        <f aca="false">Inputs!$E$50*(1+Inputs!$E$52)^(V$5-1)*MAX(0,MIN(1,V$4*1-Inputs!$E$53+1))/1</f>
        <v>3.45</v>
      </c>
      <c r="W11" s="96" t="n">
        <f aca="false">Inputs!$E$50*(1+Inputs!$E$52)^(W$5-1)*MAX(0,MIN(1,W$4*1-Inputs!$E$53+1))/1</f>
        <v>3.45</v>
      </c>
      <c r="X11" s="96" t="n">
        <f aca="false">Inputs!$E$50*(1+Inputs!$E$52)^(X$5-1)*MAX(0,MIN(1,X$4*1-Inputs!$E$53+1))/1</f>
        <v>3.45</v>
      </c>
      <c r="Y11" s="96" t="n">
        <f aca="false">Inputs!$E$50*(1+Inputs!$E$52)^(Y$5-1)*MAX(0,MIN(1,Y$4*1-Inputs!$E$53+1))/1</f>
        <v>3.45</v>
      </c>
      <c r="Z11" s="96" t="n">
        <f aca="false">Inputs!$E$50*(1+Inputs!$E$52)^(Z$5-1)*MAX(0,MIN(1,Z$4*1-Inputs!$E$53+1))/1</f>
        <v>3.45</v>
      </c>
      <c r="AA11" s="96" t="n">
        <f aca="false">Inputs!$E$50*(1+Inputs!$E$52)^(AA$5-1)*MAX(0,MIN(1,AA$4*1-Inputs!$E$53+1))/1</f>
        <v>3.9675</v>
      </c>
      <c r="AB11" s="96" t="n">
        <f aca="false">Inputs!$E$50*(1+Inputs!$E$52)^(AB$5-1)*MAX(0,MIN(1,AB$4*1-Inputs!$E$53+1))/1</f>
        <v>3.9675</v>
      </c>
      <c r="AC11" s="96" t="n">
        <f aca="false">Inputs!$E$50*(1+Inputs!$E$52)^(AC$5-1)*MAX(0,MIN(1,AC$4*1-Inputs!$E$53+1))/1</f>
        <v>3.9675</v>
      </c>
      <c r="AD11" s="96" t="n">
        <f aca="false">Inputs!$E$50*(1+Inputs!$E$52)^(AD$5-1)*MAX(0,MIN(1,AD$4*1-Inputs!$E$53+1))/1</f>
        <v>3.9675</v>
      </c>
      <c r="AE11" s="96" t="n">
        <f aca="false">Inputs!$E$50*(1+Inputs!$E$52)^(AE$5-1)*MAX(0,MIN(1,AE$4*1-Inputs!$E$53+1))/1</f>
        <v>3.9675</v>
      </c>
      <c r="AF11" s="96" t="n">
        <f aca="false">Inputs!$E$50*(1+Inputs!$E$52)^(AF$5-1)*MAX(0,MIN(1,AF$4*1-Inputs!$E$53+1))/1</f>
        <v>3.9675</v>
      </c>
      <c r="AG11" s="96" t="n">
        <f aca="false">Inputs!$E$50*(1+Inputs!$E$52)^(AG$5-1)*MAX(0,MIN(1,AG$4*1-Inputs!$E$53+1))/1</f>
        <v>3.9675</v>
      </c>
      <c r="AH11" s="96" t="n">
        <f aca="false">Inputs!$E$50*(1+Inputs!$E$52)^(AH$5-1)*MAX(0,MIN(1,AH$4*1-Inputs!$E$53+1))/1</f>
        <v>3.9675</v>
      </c>
      <c r="AI11" s="96" t="n">
        <f aca="false">Inputs!$E$50*(1+Inputs!$E$52)^(AI$5-1)*MAX(0,MIN(1,AI$4*1-Inputs!$E$53+1))/1</f>
        <v>3.9675</v>
      </c>
      <c r="AJ11" s="96" t="n">
        <f aca="false">Inputs!$E$50*(1+Inputs!$E$52)^(AJ$5-1)*MAX(0,MIN(1,AJ$4*1-Inputs!$E$53+1))/1</f>
        <v>3.9675</v>
      </c>
      <c r="AK11" s="96" t="n">
        <f aca="false">Inputs!$E$50*(1+Inputs!$E$52)^(AK$5-1)*MAX(0,MIN(1,AK$4*1-Inputs!$E$53+1))/1</f>
        <v>3.9675</v>
      </c>
      <c r="AL11" s="96" t="n">
        <f aca="false">Inputs!$E$50*(1+Inputs!$E$52)^(AL$5-1)*MAX(0,MIN(1,AL$4*1-Inputs!$E$53+1))/1</f>
        <v>3.9675</v>
      </c>
      <c r="AM11" s="96" t="n">
        <f aca="false">Inputs!$E$50*(1+Inputs!$E$52)^(AM$5-1)*MAX(0,MIN(1,AM$4*1-Inputs!$E$53+1))/1</f>
        <v>4.562625</v>
      </c>
      <c r="AN11" s="96" t="n">
        <f aca="false">Inputs!$E$50*(1+Inputs!$E$52)^(AN$5-1)*MAX(0,MIN(1,AN$4*1-Inputs!$E$53+1))/1</f>
        <v>4.562625</v>
      </c>
      <c r="AO11" s="96" t="n">
        <f aca="false">Inputs!$E$50*(1+Inputs!$E$52)^(AO$5-1)*MAX(0,MIN(1,AO$4*1-Inputs!$E$53+1))/1</f>
        <v>4.562625</v>
      </c>
      <c r="AP11" s="96" t="n">
        <f aca="false">Inputs!$E$50*(1+Inputs!$E$52)^(AP$5-1)*MAX(0,MIN(1,AP$4*1-Inputs!$E$53+1))/1</f>
        <v>4.562625</v>
      </c>
      <c r="AQ11" s="96" t="n">
        <f aca="false">Inputs!$E$50*(1+Inputs!$E$52)^(AQ$5-1)*MAX(0,MIN(1,AQ$4*1-Inputs!$E$53+1))/1</f>
        <v>4.562625</v>
      </c>
      <c r="AR11" s="96" t="n">
        <f aca="false">Inputs!$E$50*(1+Inputs!$E$52)^(AR$5-1)*MAX(0,MIN(1,AR$4*1-Inputs!$E$53+1))/1</f>
        <v>4.562625</v>
      </c>
      <c r="AS11" s="96" t="n">
        <f aca="false">Inputs!$E$50*(1+Inputs!$E$52)^(AS$5-1)*MAX(0,MIN(1,AS$4*1-Inputs!$E$53+1))/1</f>
        <v>4.562625</v>
      </c>
      <c r="AT11" s="96" t="n">
        <f aca="false">Inputs!$E$50*(1+Inputs!$E$52)^(AT$5-1)*MAX(0,MIN(1,AT$4*1-Inputs!$E$53+1))/1</f>
        <v>4.562625</v>
      </c>
      <c r="AU11" s="96" t="n">
        <f aca="false">Inputs!$E$50*(1+Inputs!$E$52)^(AU$5-1)*MAX(0,MIN(1,AU$4*1-Inputs!$E$53+1))/1</f>
        <v>4.562625</v>
      </c>
      <c r="AV11" s="96" t="n">
        <f aca="false">Inputs!$E$50*(1+Inputs!$E$52)^(AV$5-1)*MAX(0,MIN(1,AV$4*1-Inputs!$E$53+1))/1</f>
        <v>4.562625</v>
      </c>
      <c r="AW11" s="96" t="n">
        <f aca="false">Inputs!$E$50*(1+Inputs!$E$52)^(AW$5-1)*MAX(0,MIN(1,AW$4*1-Inputs!$E$53+1))/1</f>
        <v>4.562625</v>
      </c>
      <c r="AX11" s="96" t="n">
        <f aca="false">Inputs!$E$50*(1+Inputs!$E$52)^(AX$5-1)*MAX(0,MIN(1,AX$4*1-Inputs!$E$53+1))/1</f>
        <v>4.562625</v>
      </c>
      <c r="AY11" s="96" t="n">
        <f aca="false">Inputs!$E$50*(1+Inputs!$E$52)^(AY$5-1)*MAX(0,MIN(1,AY$4*1-Inputs!$E$53+1))/1</f>
        <v>5.24701875</v>
      </c>
      <c r="AZ11" s="96" t="n">
        <f aca="false">Inputs!$E$50*(1+Inputs!$E$52)^(AZ$5-1)*MAX(0,MIN(1,AZ$4*1-Inputs!$E$53+1))/1</f>
        <v>5.24701875</v>
      </c>
      <c r="BA11" s="96" t="n">
        <f aca="false">Inputs!$E$50*(1+Inputs!$E$52)^(BA$5-1)*MAX(0,MIN(1,BA$4*1-Inputs!$E$53+1))/1</f>
        <v>5.24701875</v>
      </c>
      <c r="BB11" s="96" t="n">
        <f aca="false">Inputs!$E$50*(1+Inputs!$E$52)^(BB$5-1)*MAX(0,MIN(1,BB$4*1-Inputs!$E$53+1))/1</f>
        <v>5.24701875</v>
      </c>
      <c r="BC11" s="96" t="n">
        <f aca="false">Inputs!$E$50*(1+Inputs!$E$52)^(BC$5-1)*MAX(0,MIN(1,BC$4*1-Inputs!$E$53+1))/1</f>
        <v>5.24701875</v>
      </c>
      <c r="BD11" s="96" t="n">
        <f aca="false">Inputs!$E$50*(1+Inputs!$E$52)^(BD$5-1)*MAX(0,MIN(1,BD$4*1-Inputs!$E$53+1))/1</f>
        <v>5.24701875</v>
      </c>
      <c r="BE11" s="96" t="n">
        <f aca="false">Inputs!$E$50*(1+Inputs!$E$52)^(BE$5-1)*MAX(0,MIN(1,BE$4*1-Inputs!$E$53+1))/1</f>
        <v>5.24701875</v>
      </c>
      <c r="BF11" s="96" t="n">
        <f aca="false">Inputs!$E$50*(1+Inputs!$E$52)^(BF$5-1)*MAX(0,MIN(1,BF$4*1-Inputs!$E$53+1))/1</f>
        <v>5.24701875</v>
      </c>
      <c r="BG11" s="96" t="n">
        <f aca="false">Inputs!$E$50*(1+Inputs!$E$52)^(BG$5-1)*MAX(0,MIN(1,BG$4*1-Inputs!$E$53+1))/1</f>
        <v>5.24701875</v>
      </c>
      <c r="BH11" s="96" t="n">
        <f aca="false">Inputs!$E$50*(1+Inputs!$E$52)^(BH$5-1)*MAX(0,MIN(1,BH$4*1-Inputs!$E$53+1))/1</f>
        <v>5.24701875</v>
      </c>
      <c r="BI11" s="96" t="n">
        <f aca="false">Inputs!$E$50*(1+Inputs!$E$52)^(BI$5-1)*MAX(0,MIN(1,BI$4*1-Inputs!$E$53+1))/1</f>
        <v>5.24701875</v>
      </c>
      <c r="BJ11" s="96" t="n">
        <f aca="false">Inputs!$E$50*(1+Inputs!$E$52)^(BJ$5-1)*MAX(0,MIN(1,BJ$4*1-Inputs!$E$53+1))/1</f>
        <v>5.24701875</v>
      </c>
    </row>
    <row r="12" customFormat="false" ht="15" hidden="false" customHeight="false" outlineLevel="0" collapsed="false">
      <c r="A12" s="92" t="s">
        <v>396</v>
      </c>
      <c r="C12" s="100" t="n">
        <f aca="false">C8+C9+C10+C11</f>
        <v>21</v>
      </c>
      <c r="D12" s="100" t="n">
        <f aca="false">D8+D9+D10+D11</f>
        <v>21</v>
      </c>
      <c r="E12" s="100" t="n">
        <f aca="false">E8+E9+E10+E11</f>
        <v>21</v>
      </c>
      <c r="F12" s="100" t="n">
        <f aca="false">F8+F9+F10+F11</f>
        <v>21</v>
      </c>
      <c r="G12" s="100" t="n">
        <f aca="false">G8+G9+G10+G11</f>
        <v>21</v>
      </c>
      <c r="H12" s="100" t="n">
        <f aca="false">H8+H9+H10+H11</f>
        <v>21</v>
      </c>
      <c r="I12" s="100" t="n">
        <f aca="false">I8+I9+I10+I11</f>
        <v>21</v>
      </c>
      <c r="J12" s="100" t="n">
        <f aca="false">J8+J9+J10+J11</f>
        <v>21</v>
      </c>
      <c r="K12" s="100" t="n">
        <f aca="false">K8+K9+K10+K11</f>
        <v>21</v>
      </c>
      <c r="L12" s="100" t="n">
        <f aca="false">L8+L9+L10+L11</f>
        <v>21</v>
      </c>
      <c r="M12" s="100" t="n">
        <f aca="false">M8+M9+M10+M11</f>
        <v>21</v>
      </c>
      <c r="N12" s="100" t="n">
        <f aca="false">N8+N9+N10+N11</f>
        <v>21</v>
      </c>
      <c r="O12" s="100" t="n">
        <f aca="false">O8+O9+O10+O11</f>
        <v>25.85</v>
      </c>
      <c r="P12" s="100" t="n">
        <f aca="false">P8+P9+P10+P11</f>
        <v>25.85</v>
      </c>
      <c r="Q12" s="100" t="n">
        <f aca="false">Q8+Q9+Q10+Q11</f>
        <v>25.85</v>
      </c>
      <c r="R12" s="100" t="n">
        <f aca="false">R8+R9+R10+R11</f>
        <v>25.85</v>
      </c>
      <c r="S12" s="100" t="n">
        <f aca="false">S8+S9+S10+S11</f>
        <v>25.85</v>
      </c>
      <c r="T12" s="100" t="n">
        <f aca="false">T8+T9+T10+T11</f>
        <v>25.85</v>
      </c>
      <c r="U12" s="100" t="n">
        <f aca="false">U8+U9+U10+U11</f>
        <v>25.85</v>
      </c>
      <c r="V12" s="100" t="n">
        <f aca="false">V8+V9+V10+V11</f>
        <v>25.85</v>
      </c>
      <c r="W12" s="100" t="n">
        <f aca="false">W8+W9+W10+W11</f>
        <v>25.85</v>
      </c>
      <c r="X12" s="100" t="n">
        <f aca="false">X8+X9+X10+X11</f>
        <v>25.85</v>
      </c>
      <c r="Y12" s="100" t="n">
        <f aca="false">Y8+Y9+Y10+Y11</f>
        <v>25.85</v>
      </c>
      <c r="Z12" s="100" t="n">
        <f aca="false">Z8+Z9+Z10+Z11</f>
        <v>25.85</v>
      </c>
      <c r="AA12" s="100" t="n">
        <f aca="false">AA8+AA9+AA10+AA11</f>
        <v>31.8875</v>
      </c>
      <c r="AB12" s="100" t="n">
        <f aca="false">AB8+AB9+AB10+AB11</f>
        <v>31.8875</v>
      </c>
      <c r="AC12" s="100" t="n">
        <f aca="false">AC8+AC9+AC10+AC11</f>
        <v>31.8875</v>
      </c>
      <c r="AD12" s="100" t="n">
        <f aca="false">AD8+AD9+AD10+AD11</f>
        <v>31.8875</v>
      </c>
      <c r="AE12" s="100" t="n">
        <f aca="false">AE8+AE9+AE10+AE11</f>
        <v>31.8875</v>
      </c>
      <c r="AF12" s="100" t="n">
        <f aca="false">AF8+AF9+AF10+AF11</f>
        <v>31.8875</v>
      </c>
      <c r="AG12" s="100" t="n">
        <f aca="false">AG8+AG9+AG10+AG11</f>
        <v>31.8875</v>
      </c>
      <c r="AH12" s="100" t="n">
        <f aca="false">AH8+AH9+AH10+AH11</f>
        <v>31.8875</v>
      </c>
      <c r="AI12" s="100" t="n">
        <f aca="false">AI8+AI9+AI10+AI11</f>
        <v>31.8875</v>
      </c>
      <c r="AJ12" s="100" t="n">
        <f aca="false">AJ8+AJ9+AJ10+AJ11</f>
        <v>31.8875</v>
      </c>
      <c r="AK12" s="100" t="n">
        <f aca="false">AK8+AK9+AK10+AK11</f>
        <v>31.8875</v>
      </c>
      <c r="AL12" s="100" t="n">
        <f aca="false">AL8+AL9+AL10+AL11</f>
        <v>31.8875</v>
      </c>
      <c r="AM12" s="100" t="n">
        <f aca="false">AM8+AM9+AM10+AM11</f>
        <v>39.418625</v>
      </c>
      <c r="AN12" s="100" t="n">
        <f aca="false">AN8+AN9+AN10+AN11</f>
        <v>39.418625</v>
      </c>
      <c r="AO12" s="100" t="n">
        <f aca="false">AO8+AO9+AO10+AO11</f>
        <v>39.418625</v>
      </c>
      <c r="AP12" s="100" t="n">
        <f aca="false">AP8+AP9+AP10+AP11</f>
        <v>39.418625</v>
      </c>
      <c r="AQ12" s="100" t="n">
        <f aca="false">AQ8+AQ9+AQ10+AQ11</f>
        <v>39.418625</v>
      </c>
      <c r="AR12" s="100" t="n">
        <f aca="false">AR8+AR9+AR10+AR11</f>
        <v>39.418625</v>
      </c>
      <c r="AS12" s="100" t="n">
        <f aca="false">AS8+AS9+AS10+AS11</f>
        <v>39.418625</v>
      </c>
      <c r="AT12" s="100" t="n">
        <f aca="false">AT8+AT9+AT10+AT11</f>
        <v>39.418625</v>
      </c>
      <c r="AU12" s="100" t="n">
        <f aca="false">AU8+AU9+AU10+AU11</f>
        <v>39.418625</v>
      </c>
      <c r="AV12" s="100" t="n">
        <f aca="false">AV8+AV9+AV10+AV11</f>
        <v>39.418625</v>
      </c>
      <c r="AW12" s="100" t="n">
        <f aca="false">AW8+AW9+AW10+AW11</f>
        <v>39.418625</v>
      </c>
      <c r="AX12" s="100" t="n">
        <f aca="false">AX8+AX9+AX10+AX11</f>
        <v>39.418625</v>
      </c>
      <c r="AY12" s="100" t="n">
        <f aca="false">AY8+AY9+AY10+AY11</f>
        <v>48.83181875</v>
      </c>
      <c r="AZ12" s="100" t="n">
        <f aca="false">AZ8+AZ9+AZ10+AZ11</f>
        <v>48.83181875</v>
      </c>
      <c r="BA12" s="100" t="n">
        <f aca="false">BA8+BA9+BA10+BA11</f>
        <v>48.83181875</v>
      </c>
      <c r="BB12" s="100" t="n">
        <f aca="false">BB8+BB9+BB10+BB11</f>
        <v>48.83181875</v>
      </c>
      <c r="BC12" s="100" t="n">
        <f aca="false">BC8+BC9+BC10+BC11</f>
        <v>48.83181875</v>
      </c>
      <c r="BD12" s="100" t="n">
        <f aca="false">BD8+BD9+BD10+BD11</f>
        <v>48.83181875</v>
      </c>
      <c r="BE12" s="100" t="n">
        <f aca="false">BE8+BE9+BE10+BE11</f>
        <v>48.83181875</v>
      </c>
      <c r="BF12" s="100" t="n">
        <f aca="false">BF8+BF9+BF10+BF11</f>
        <v>48.83181875</v>
      </c>
      <c r="BG12" s="100" t="n">
        <f aca="false">BG8+BG9+BG10+BG11</f>
        <v>48.83181875</v>
      </c>
      <c r="BH12" s="100" t="n">
        <f aca="false">BH8+BH9+BH10+BH11</f>
        <v>48.83181875</v>
      </c>
      <c r="BI12" s="100" t="n">
        <f aca="false">BI8+BI9+BI10+BI11</f>
        <v>48.83181875</v>
      </c>
      <c r="BJ12" s="100" t="n">
        <f aca="false">BJ8+BJ9+BJ10+BJ11</f>
        <v>48.83181875</v>
      </c>
    </row>
    <row r="14" customFormat="false" ht="15.75" hidden="false" customHeight="true" outlineLevel="0" collapsed="false">
      <c r="A14" s="7" t="s">
        <v>397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398</v>
      </c>
      <c r="C15" s="51" t="n">
        <f aca="false">-C8*Inputs!$E$39/12*1*(1+Inputs!$E$54)*(1+Inputs!$E$55)^(C$5-1)</f>
        <v>-28750</v>
      </c>
      <c r="D15" s="51" t="n">
        <f aca="false">-D8*Inputs!$E$39/12*1*(1+Inputs!$E$54)*(1+Inputs!$E$55)^(D$5-1)</f>
        <v>-28750</v>
      </c>
      <c r="E15" s="51" t="n">
        <f aca="false">-E8*Inputs!$E$39/12*1*(1+Inputs!$E$54)*(1+Inputs!$E$55)^(E$5-1)</f>
        <v>-28750</v>
      </c>
      <c r="F15" s="51" t="n">
        <f aca="false">-F8*Inputs!$E$39/12*1*(1+Inputs!$E$54)*(1+Inputs!$E$55)^(F$5-1)</f>
        <v>-28750</v>
      </c>
      <c r="G15" s="51" t="n">
        <f aca="false">-G8*Inputs!$E$39/12*1*(1+Inputs!$E$54)*(1+Inputs!$E$55)^(G$5-1)</f>
        <v>-28750</v>
      </c>
      <c r="H15" s="51" t="n">
        <f aca="false">-H8*Inputs!$E$39/12*1*(1+Inputs!$E$54)*(1+Inputs!$E$55)^(H$5-1)</f>
        <v>-28750</v>
      </c>
      <c r="I15" s="51" t="n">
        <f aca="false">-I8*Inputs!$E$39/12*1*(1+Inputs!$E$54)*(1+Inputs!$E$55)^(I$5-1)</f>
        <v>-28750</v>
      </c>
      <c r="J15" s="51" t="n">
        <f aca="false">-J8*Inputs!$E$39/12*1*(1+Inputs!$E$54)*(1+Inputs!$E$55)^(J$5-1)</f>
        <v>-28750</v>
      </c>
      <c r="K15" s="51" t="n">
        <f aca="false">-K8*Inputs!$E$39/12*1*(1+Inputs!$E$54)*(1+Inputs!$E$55)^(K$5-1)</f>
        <v>-28750</v>
      </c>
      <c r="L15" s="51" t="n">
        <f aca="false">-L8*Inputs!$E$39/12*1*(1+Inputs!$E$54)*(1+Inputs!$E$55)^(L$5-1)</f>
        <v>-28750</v>
      </c>
      <c r="M15" s="51" t="n">
        <f aca="false">-M8*Inputs!$E$39/12*1*(1+Inputs!$E$54)*(1+Inputs!$E$55)^(M$5-1)</f>
        <v>-28750</v>
      </c>
      <c r="N15" s="51" t="n">
        <f aca="false">-N8*Inputs!$E$39/12*1*(1+Inputs!$E$54)*(1+Inputs!$E$55)^(N$5-1)</f>
        <v>-28750</v>
      </c>
      <c r="O15" s="51" t="n">
        <f aca="false">-O8*Inputs!$E$39/12*1*(1+Inputs!$E$54)*(1+Inputs!$E$55)^(O$5-1)</f>
        <v>-35535</v>
      </c>
      <c r="P15" s="51" t="n">
        <f aca="false">-P8*Inputs!$E$39/12*1*(1+Inputs!$E$54)*(1+Inputs!$E$55)^(P$5-1)</f>
        <v>-35535</v>
      </c>
      <c r="Q15" s="51" t="n">
        <f aca="false">-Q8*Inputs!$E$39/12*1*(1+Inputs!$E$54)*(1+Inputs!$E$55)^(Q$5-1)</f>
        <v>-35535</v>
      </c>
      <c r="R15" s="51" t="n">
        <f aca="false">-R8*Inputs!$E$39/12*1*(1+Inputs!$E$54)*(1+Inputs!$E$55)^(R$5-1)</f>
        <v>-35535</v>
      </c>
      <c r="S15" s="51" t="n">
        <f aca="false">-S8*Inputs!$E$39/12*1*(1+Inputs!$E$54)*(1+Inputs!$E$55)^(S$5-1)</f>
        <v>-35535</v>
      </c>
      <c r="T15" s="51" t="n">
        <f aca="false">-T8*Inputs!$E$39/12*1*(1+Inputs!$E$54)*(1+Inputs!$E$55)^(T$5-1)</f>
        <v>-35535</v>
      </c>
      <c r="U15" s="51" t="n">
        <f aca="false">-U8*Inputs!$E$39/12*1*(1+Inputs!$E$54)*(1+Inputs!$E$55)^(U$5-1)</f>
        <v>-35535</v>
      </c>
      <c r="V15" s="51" t="n">
        <f aca="false">-V8*Inputs!$E$39/12*1*(1+Inputs!$E$54)*(1+Inputs!$E$55)^(V$5-1)</f>
        <v>-35535</v>
      </c>
      <c r="W15" s="51" t="n">
        <f aca="false">-W8*Inputs!$E$39/12*1*(1+Inputs!$E$54)*(1+Inputs!$E$55)^(W$5-1)</f>
        <v>-35535</v>
      </c>
      <c r="X15" s="51" t="n">
        <f aca="false">-X8*Inputs!$E$39/12*1*(1+Inputs!$E$54)*(1+Inputs!$E$55)^(X$5-1)</f>
        <v>-35535</v>
      </c>
      <c r="Y15" s="51" t="n">
        <f aca="false">-Y8*Inputs!$E$39/12*1*(1+Inputs!$E$54)*(1+Inputs!$E$55)^(Y$5-1)</f>
        <v>-35535</v>
      </c>
      <c r="Z15" s="51" t="n">
        <f aca="false">-Z8*Inputs!$E$39/12*1*(1+Inputs!$E$54)*(1+Inputs!$E$55)^(Z$5-1)</f>
        <v>-35535</v>
      </c>
      <c r="AA15" s="51" t="n">
        <f aca="false">-AA8*Inputs!$E$39/12*1*(1+Inputs!$E$54)*(1+Inputs!$E$55)^(AA$5-1)</f>
        <v>-43921.26</v>
      </c>
      <c r="AB15" s="51" t="n">
        <f aca="false">-AB8*Inputs!$E$39/12*1*(1+Inputs!$E$54)*(1+Inputs!$E$55)^(AB$5-1)</f>
        <v>-43921.26</v>
      </c>
      <c r="AC15" s="51" t="n">
        <f aca="false">-AC8*Inputs!$E$39/12*1*(1+Inputs!$E$54)*(1+Inputs!$E$55)^(AC$5-1)</f>
        <v>-43921.26</v>
      </c>
      <c r="AD15" s="51" t="n">
        <f aca="false">-AD8*Inputs!$E$39/12*1*(1+Inputs!$E$54)*(1+Inputs!$E$55)^(AD$5-1)</f>
        <v>-43921.26</v>
      </c>
      <c r="AE15" s="51" t="n">
        <f aca="false">-AE8*Inputs!$E$39/12*1*(1+Inputs!$E$54)*(1+Inputs!$E$55)^(AE$5-1)</f>
        <v>-43921.26</v>
      </c>
      <c r="AF15" s="51" t="n">
        <f aca="false">-AF8*Inputs!$E$39/12*1*(1+Inputs!$E$54)*(1+Inputs!$E$55)^(AF$5-1)</f>
        <v>-43921.26</v>
      </c>
      <c r="AG15" s="51" t="n">
        <f aca="false">-AG8*Inputs!$E$39/12*1*(1+Inputs!$E$54)*(1+Inputs!$E$55)^(AG$5-1)</f>
        <v>-43921.26</v>
      </c>
      <c r="AH15" s="51" t="n">
        <f aca="false">-AH8*Inputs!$E$39/12*1*(1+Inputs!$E$54)*(1+Inputs!$E$55)^(AH$5-1)</f>
        <v>-43921.26</v>
      </c>
      <c r="AI15" s="51" t="n">
        <f aca="false">-AI8*Inputs!$E$39/12*1*(1+Inputs!$E$54)*(1+Inputs!$E$55)^(AI$5-1)</f>
        <v>-43921.26</v>
      </c>
      <c r="AJ15" s="51" t="n">
        <f aca="false">-AJ8*Inputs!$E$39/12*1*(1+Inputs!$E$54)*(1+Inputs!$E$55)^(AJ$5-1)</f>
        <v>-43921.26</v>
      </c>
      <c r="AK15" s="51" t="n">
        <f aca="false">-AK8*Inputs!$E$39/12*1*(1+Inputs!$E$54)*(1+Inputs!$E$55)^(AK$5-1)</f>
        <v>-43921.26</v>
      </c>
      <c r="AL15" s="51" t="n">
        <f aca="false">-AL8*Inputs!$E$39/12*1*(1+Inputs!$E$54)*(1+Inputs!$E$55)^(AL$5-1)</f>
        <v>-43921.26</v>
      </c>
      <c r="AM15" s="51" t="n">
        <f aca="false">-AM8*Inputs!$E$39/12*1*(1+Inputs!$E$54)*(1+Inputs!$E$55)^(AM$5-1)</f>
        <v>-54286.67736</v>
      </c>
      <c r="AN15" s="51" t="n">
        <f aca="false">-AN8*Inputs!$E$39/12*1*(1+Inputs!$E$54)*(1+Inputs!$E$55)^(AN$5-1)</f>
        <v>-54286.67736</v>
      </c>
      <c r="AO15" s="51" t="n">
        <f aca="false">-AO8*Inputs!$E$39/12*1*(1+Inputs!$E$54)*(1+Inputs!$E$55)^(AO$5-1)</f>
        <v>-54286.67736</v>
      </c>
      <c r="AP15" s="51" t="n">
        <f aca="false">-AP8*Inputs!$E$39/12*1*(1+Inputs!$E$54)*(1+Inputs!$E$55)^(AP$5-1)</f>
        <v>-54286.67736</v>
      </c>
      <c r="AQ15" s="51" t="n">
        <f aca="false">-AQ8*Inputs!$E$39/12*1*(1+Inputs!$E$54)*(1+Inputs!$E$55)^(AQ$5-1)</f>
        <v>-54286.67736</v>
      </c>
      <c r="AR15" s="51" t="n">
        <f aca="false">-AR8*Inputs!$E$39/12*1*(1+Inputs!$E$54)*(1+Inputs!$E$55)^(AR$5-1)</f>
        <v>-54286.67736</v>
      </c>
      <c r="AS15" s="51" t="n">
        <f aca="false">-AS8*Inputs!$E$39/12*1*(1+Inputs!$E$54)*(1+Inputs!$E$55)^(AS$5-1)</f>
        <v>-54286.67736</v>
      </c>
      <c r="AT15" s="51" t="n">
        <f aca="false">-AT8*Inputs!$E$39/12*1*(1+Inputs!$E$54)*(1+Inputs!$E$55)^(AT$5-1)</f>
        <v>-54286.67736</v>
      </c>
      <c r="AU15" s="51" t="n">
        <f aca="false">-AU8*Inputs!$E$39/12*1*(1+Inputs!$E$54)*(1+Inputs!$E$55)^(AU$5-1)</f>
        <v>-54286.67736</v>
      </c>
      <c r="AV15" s="51" t="n">
        <f aca="false">-AV8*Inputs!$E$39/12*1*(1+Inputs!$E$54)*(1+Inputs!$E$55)^(AV$5-1)</f>
        <v>-54286.67736</v>
      </c>
      <c r="AW15" s="51" t="n">
        <f aca="false">-AW8*Inputs!$E$39/12*1*(1+Inputs!$E$54)*(1+Inputs!$E$55)^(AW$5-1)</f>
        <v>-54286.67736</v>
      </c>
      <c r="AX15" s="51" t="n">
        <f aca="false">-AX8*Inputs!$E$39/12*1*(1+Inputs!$E$54)*(1+Inputs!$E$55)^(AX$5-1)</f>
        <v>-54286.67736</v>
      </c>
      <c r="AY15" s="51" t="n">
        <f aca="false">-AY8*Inputs!$E$39/12*1*(1+Inputs!$E$54)*(1+Inputs!$E$55)^(AY$5-1)</f>
        <v>-67098.33321696</v>
      </c>
      <c r="AZ15" s="51" t="n">
        <f aca="false">-AZ8*Inputs!$E$39/12*1*(1+Inputs!$E$54)*(1+Inputs!$E$55)^(AZ$5-1)</f>
        <v>-67098.33321696</v>
      </c>
      <c r="BA15" s="51" t="n">
        <f aca="false">-BA8*Inputs!$E$39/12*1*(1+Inputs!$E$54)*(1+Inputs!$E$55)^(BA$5-1)</f>
        <v>-67098.33321696</v>
      </c>
      <c r="BB15" s="51" t="n">
        <f aca="false">-BB8*Inputs!$E$39/12*1*(1+Inputs!$E$54)*(1+Inputs!$E$55)^(BB$5-1)</f>
        <v>-67098.33321696</v>
      </c>
      <c r="BC15" s="51" t="n">
        <f aca="false">-BC8*Inputs!$E$39/12*1*(1+Inputs!$E$54)*(1+Inputs!$E$55)^(BC$5-1)</f>
        <v>-67098.33321696</v>
      </c>
      <c r="BD15" s="51" t="n">
        <f aca="false">-BD8*Inputs!$E$39/12*1*(1+Inputs!$E$54)*(1+Inputs!$E$55)^(BD$5-1)</f>
        <v>-67098.33321696</v>
      </c>
      <c r="BE15" s="51" t="n">
        <f aca="false">-BE8*Inputs!$E$39/12*1*(1+Inputs!$E$54)*(1+Inputs!$E$55)^(BE$5-1)</f>
        <v>-67098.33321696</v>
      </c>
      <c r="BF15" s="51" t="n">
        <f aca="false">-BF8*Inputs!$E$39/12*1*(1+Inputs!$E$54)*(1+Inputs!$E$55)^(BF$5-1)</f>
        <v>-67098.33321696</v>
      </c>
      <c r="BG15" s="51" t="n">
        <f aca="false">-BG8*Inputs!$E$39/12*1*(1+Inputs!$E$54)*(1+Inputs!$E$55)^(BG$5-1)</f>
        <v>-67098.33321696</v>
      </c>
      <c r="BH15" s="51" t="n">
        <f aca="false">-BH8*Inputs!$E$39/12*1*(1+Inputs!$E$54)*(1+Inputs!$E$55)^(BH$5-1)</f>
        <v>-67098.33321696</v>
      </c>
      <c r="BI15" s="51" t="n">
        <f aca="false">-BI8*Inputs!$E$39/12*1*(1+Inputs!$E$54)*(1+Inputs!$E$55)^(BI$5-1)</f>
        <v>-67098.33321696</v>
      </c>
      <c r="BJ15" s="51" t="n">
        <f aca="false">-BJ8*Inputs!$E$39/12*1*(1+Inputs!$E$54)*(1+Inputs!$E$55)^(BJ$5-1)</f>
        <v>-67098.33321696</v>
      </c>
    </row>
    <row r="16" customFormat="false" ht="15" hidden="false" customHeight="false" outlineLevel="0" collapsed="false">
      <c r="A16" s="6" t="s">
        <v>399</v>
      </c>
      <c r="C16" s="51" t="n">
        <f aca="false">-C9*Inputs!$E$43/12*1*(1+Inputs!$E$54)*(1+Inputs!$E$55)^(C$5-1)</f>
        <v>-26833.3333333333</v>
      </c>
      <c r="D16" s="51" t="n">
        <f aca="false">-D9*Inputs!$E$43/12*1*(1+Inputs!$E$54)*(1+Inputs!$E$55)^(D$5-1)</f>
        <v>-26833.3333333333</v>
      </c>
      <c r="E16" s="51" t="n">
        <f aca="false">-E9*Inputs!$E$43/12*1*(1+Inputs!$E$54)*(1+Inputs!$E$55)^(E$5-1)</f>
        <v>-26833.3333333333</v>
      </c>
      <c r="F16" s="51" t="n">
        <f aca="false">-F9*Inputs!$E$43/12*1*(1+Inputs!$E$54)*(1+Inputs!$E$55)^(F$5-1)</f>
        <v>-26833.3333333333</v>
      </c>
      <c r="G16" s="51" t="n">
        <f aca="false">-G9*Inputs!$E$43/12*1*(1+Inputs!$E$54)*(1+Inputs!$E$55)^(G$5-1)</f>
        <v>-26833.3333333333</v>
      </c>
      <c r="H16" s="51" t="n">
        <f aca="false">-H9*Inputs!$E$43/12*1*(1+Inputs!$E$54)*(1+Inputs!$E$55)^(H$5-1)</f>
        <v>-26833.3333333333</v>
      </c>
      <c r="I16" s="51" t="n">
        <f aca="false">-I9*Inputs!$E$43/12*1*(1+Inputs!$E$54)*(1+Inputs!$E$55)^(I$5-1)</f>
        <v>-26833.3333333333</v>
      </c>
      <c r="J16" s="51" t="n">
        <f aca="false">-J9*Inputs!$E$43/12*1*(1+Inputs!$E$54)*(1+Inputs!$E$55)^(J$5-1)</f>
        <v>-26833.3333333333</v>
      </c>
      <c r="K16" s="51" t="n">
        <f aca="false">-K9*Inputs!$E$43/12*1*(1+Inputs!$E$54)*(1+Inputs!$E$55)^(K$5-1)</f>
        <v>-26833.3333333333</v>
      </c>
      <c r="L16" s="51" t="n">
        <f aca="false">-L9*Inputs!$E$43/12*1*(1+Inputs!$E$54)*(1+Inputs!$E$55)^(L$5-1)</f>
        <v>-26833.3333333333</v>
      </c>
      <c r="M16" s="51" t="n">
        <f aca="false">-M9*Inputs!$E$43/12*1*(1+Inputs!$E$54)*(1+Inputs!$E$55)^(M$5-1)</f>
        <v>-26833.3333333333</v>
      </c>
      <c r="N16" s="51" t="n">
        <f aca="false">-N9*Inputs!$E$43/12*1*(1+Inputs!$E$54)*(1+Inputs!$E$55)^(N$5-1)</f>
        <v>-26833.3333333333</v>
      </c>
      <c r="O16" s="51" t="n">
        <f aca="false">-O9*Inputs!$E$43/12*1*(1+Inputs!$E$54)*(1+Inputs!$E$55)^(O$5-1)</f>
        <v>-33166</v>
      </c>
      <c r="P16" s="51" t="n">
        <f aca="false">-P9*Inputs!$E$43/12*1*(1+Inputs!$E$54)*(1+Inputs!$E$55)^(P$5-1)</f>
        <v>-33166</v>
      </c>
      <c r="Q16" s="51" t="n">
        <f aca="false">-Q9*Inputs!$E$43/12*1*(1+Inputs!$E$54)*(1+Inputs!$E$55)^(Q$5-1)</f>
        <v>-33166</v>
      </c>
      <c r="R16" s="51" t="n">
        <f aca="false">-R9*Inputs!$E$43/12*1*(1+Inputs!$E$54)*(1+Inputs!$E$55)^(R$5-1)</f>
        <v>-33166</v>
      </c>
      <c r="S16" s="51" t="n">
        <f aca="false">-S9*Inputs!$E$43/12*1*(1+Inputs!$E$54)*(1+Inputs!$E$55)^(S$5-1)</f>
        <v>-33166</v>
      </c>
      <c r="T16" s="51" t="n">
        <f aca="false">-T9*Inputs!$E$43/12*1*(1+Inputs!$E$54)*(1+Inputs!$E$55)^(T$5-1)</f>
        <v>-33166</v>
      </c>
      <c r="U16" s="51" t="n">
        <f aca="false">-U9*Inputs!$E$43/12*1*(1+Inputs!$E$54)*(1+Inputs!$E$55)^(U$5-1)</f>
        <v>-33166</v>
      </c>
      <c r="V16" s="51" t="n">
        <f aca="false">-V9*Inputs!$E$43/12*1*(1+Inputs!$E$54)*(1+Inputs!$E$55)^(V$5-1)</f>
        <v>-33166</v>
      </c>
      <c r="W16" s="51" t="n">
        <f aca="false">-W9*Inputs!$E$43/12*1*(1+Inputs!$E$54)*(1+Inputs!$E$55)^(W$5-1)</f>
        <v>-33166</v>
      </c>
      <c r="X16" s="51" t="n">
        <f aca="false">-X9*Inputs!$E$43/12*1*(1+Inputs!$E$54)*(1+Inputs!$E$55)^(X$5-1)</f>
        <v>-33166</v>
      </c>
      <c r="Y16" s="51" t="n">
        <f aca="false">-Y9*Inputs!$E$43/12*1*(1+Inputs!$E$54)*(1+Inputs!$E$55)^(Y$5-1)</f>
        <v>-33166</v>
      </c>
      <c r="Z16" s="51" t="n">
        <f aca="false">-Z9*Inputs!$E$43/12*1*(1+Inputs!$E$54)*(1+Inputs!$E$55)^(Z$5-1)</f>
        <v>-33166</v>
      </c>
      <c r="AA16" s="51" t="n">
        <f aca="false">-AA9*Inputs!$E$43/12*1*(1+Inputs!$E$54)*(1+Inputs!$E$55)^(AA$5-1)</f>
        <v>-40993.176</v>
      </c>
      <c r="AB16" s="51" t="n">
        <f aca="false">-AB9*Inputs!$E$43/12*1*(1+Inputs!$E$54)*(1+Inputs!$E$55)^(AB$5-1)</f>
        <v>-40993.176</v>
      </c>
      <c r="AC16" s="51" t="n">
        <f aca="false">-AC9*Inputs!$E$43/12*1*(1+Inputs!$E$54)*(1+Inputs!$E$55)^(AC$5-1)</f>
        <v>-40993.176</v>
      </c>
      <c r="AD16" s="51" t="n">
        <f aca="false">-AD9*Inputs!$E$43/12*1*(1+Inputs!$E$54)*(1+Inputs!$E$55)^(AD$5-1)</f>
        <v>-40993.176</v>
      </c>
      <c r="AE16" s="51" t="n">
        <f aca="false">-AE9*Inputs!$E$43/12*1*(1+Inputs!$E$54)*(1+Inputs!$E$55)^(AE$5-1)</f>
        <v>-40993.176</v>
      </c>
      <c r="AF16" s="51" t="n">
        <f aca="false">-AF9*Inputs!$E$43/12*1*(1+Inputs!$E$54)*(1+Inputs!$E$55)^(AF$5-1)</f>
        <v>-40993.176</v>
      </c>
      <c r="AG16" s="51" t="n">
        <f aca="false">-AG9*Inputs!$E$43/12*1*(1+Inputs!$E$54)*(1+Inputs!$E$55)^(AG$5-1)</f>
        <v>-40993.176</v>
      </c>
      <c r="AH16" s="51" t="n">
        <f aca="false">-AH9*Inputs!$E$43/12*1*(1+Inputs!$E$54)*(1+Inputs!$E$55)^(AH$5-1)</f>
        <v>-40993.176</v>
      </c>
      <c r="AI16" s="51" t="n">
        <f aca="false">-AI9*Inputs!$E$43/12*1*(1+Inputs!$E$54)*(1+Inputs!$E$55)^(AI$5-1)</f>
        <v>-40993.176</v>
      </c>
      <c r="AJ16" s="51" t="n">
        <f aca="false">-AJ9*Inputs!$E$43/12*1*(1+Inputs!$E$54)*(1+Inputs!$E$55)^(AJ$5-1)</f>
        <v>-40993.176</v>
      </c>
      <c r="AK16" s="51" t="n">
        <f aca="false">-AK9*Inputs!$E$43/12*1*(1+Inputs!$E$54)*(1+Inputs!$E$55)^(AK$5-1)</f>
        <v>-40993.176</v>
      </c>
      <c r="AL16" s="51" t="n">
        <f aca="false">-AL9*Inputs!$E$43/12*1*(1+Inputs!$E$54)*(1+Inputs!$E$55)^(AL$5-1)</f>
        <v>-40993.176</v>
      </c>
      <c r="AM16" s="51" t="n">
        <f aca="false">-AM9*Inputs!$E$43/12*1*(1+Inputs!$E$54)*(1+Inputs!$E$55)^(AM$5-1)</f>
        <v>-50667.565536</v>
      </c>
      <c r="AN16" s="51" t="n">
        <f aca="false">-AN9*Inputs!$E$43/12*1*(1+Inputs!$E$54)*(1+Inputs!$E$55)^(AN$5-1)</f>
        <v>-50667.565536</v>
      </c>
      <c r="AO16" s="51" t="n">
        <f aca="false">-AO9*Inputs!$E$43/12*1*(1+Inputs!$E$54)*(1+Inputs!$E$55)^(AO$5-1)</f>
        <v>-50667.565536</v>
      </c>
      <c r="AP16" s="51" t="n">
        <f aca="false">-AP9*Inputs!$E$43/12*1*(1+Inputs!$E$54)*(1+Inputs!$E$55)^(AP$5-1)</f>
        <v>-50667.565536</v>
      </c>
      <c r="AQ16" s="51" t="n">
        <f aca="false">-AQ9*Inputs!$E$43/12*1*(1+Inputs!$E$54)*(1+Inputs!$E$55)^(AQ$5-1)</f>
        <v>-50667.565536</v>
      </c>
      <c r="AR16" s="51" t="n">
        <f aca="false">-AR9*Inputs!$E$43/12*1*(1+Inputs!$E$54)*(1+Inputs!$E$55)^(AR$5-1)</f>
        <v>-50667.565536</v>
      </c>
      <c r="AS16" s="51" t="n">
        <f aca="false">-AS9*Inputs!$E$43/12*1*(1+Inputs!$E$54)*(1+Inputs!$E$55)^(AS$5-1)</f>
        <v>-50667.565536</v>
      </c>
      <c r="AT16" s="51" t="n">
        <f aca="false">-AT9*Inputs!$E$43/12*1*(1+Inputs!$E$54)*(1+Inputs!$E$55)^(AT$5-1)</f>
        <v>-50667.565536</v>
      </c>
      <c r="AU16" s="51" t="n">
        <f aca="false">-AU9*Inputs!$E$43/12*1*(1+Inputs!$E$54)*(1+Inputs!$E$55)^(AU$5-1)</f>
        <v>-50667.565536</v>
      </c>
      <c r="AV16" s="51" t="n">
        <f aca="false">-AV9*Inputs!$E$43/12*1*(1+Inputs!$E$54)*(1+Inputs!$E$55)^(AV$5-1)</f>
        <v>-50667.565536</v>
      </c>
      <c r="AW16" s="51" t="n">
        <f aca="false">-AW9*Inputs!$E$43/12*1*(1+Inputs!$E$54)*(1+Inputs!$E$55)^(AW$5-1)</f>
        <v>-50667.565536</v>
      </c>
      <c r="AX16" s="51" t="n">
        <f aca="false">-AX9*Inputs!$E$43/12*1*(1+Inputs!$E$54)*(1+Inputs!$E$55)^(AX$5-1)</f>
        <v>-50667.565536</v>
      </c>
      <c r="AY16" s="51" t="n">
        <f aca="false">-AY9*Inputs!$E$43/12*1*(1+Inputs!$E$54)*(1+Inputs!$E$55)^(AY$5-1)</f>
        <v>-62625.111002496</v>
      </c>
      <c r="AZ16" s="51" t="n">
        <f aca="false">-AZ9*Inputs!$E$43/12*1*(1+Inputs!$E$54)*(1+Inputs!$E$55)^(AZ$5-1)</f>
        <v>-62625.111002496</v>
      </c>
      <c r="BA16" s="51" t="n">
        <f aca="false">-BA9*Inputs!$E$43/12*1*(1+Inputs!$E$54)*(1+Inputs!$E$55)^(BA$5-1)</f>
        <v>-62625.111002496</v>
      </c>
      <c r="BB16" s="51" t="n">
        <f aca="false">-BB9*Inputs!$E$43/12*1*(1+Inputs!$E$54)*(1+Inputs!$E$55)^(BB$5-1)</f>
        <v>-62625.111002496</v>
      </c>
      <c r="BC16" s="51" t="n">
        <f aca="false">-BC9*Inputs!$E$43/12*1*(1+Inputs!$E$54)*(1+Inputs!$E$55)^(BC$5-1)</f>
        <v>-62625.111002496</v>
      </c>
      <c r="BD16" s="51" t="n">
        <f aca="false">-BD9*Inputs!$E$43/12*1*(1+Inputs!$E$54)*(1+Inputs!$E$55)^(BD$5-1)</f>
        <v>-62625.111002496</v>
      </c>
      <c r="BE16" s="51" t="n">
        <f aca="false">-BE9*Inputs!$E$43/12*1*(1+Inputs!$E$54)*(1+Inputs!$E$55)^(BE$5-1)</f>
        <v>-62625.111002496</v>
      </c>
      <c r="BF16" s="51" t="n">
        <f aca="false">-BF9*Inputs!$E$43/12*1*(1+Inputs!$E$54)*(1+Inputs!$E$55)^(BF$5-1)</f>
        <v>-62625.111002496</v>
      </c>
      <c r="BG16" s="51" t="n">
        <f aca="false">-BG9*Inputs!$E$43/12*1*(1+Inputs!$E$54)*(1+Inputs!$E$55)^(BG$5-1)</f>
        <v>-62625.111002496</v>
      </c>
      <c r="BH16" s="51" t="n">
        <f aca="false">-BH9*Inputs!$E$43/12*1*(1+Inputs!$E$54)*(1+Inputs!$E$55)^(BH$5-1)</f>
        <v>-62625.111002496</v>
      </c>
      <c r="BI16" s="51" t="n">
        <f aca="false">-BI9*Inputs!$E$43/12*1*(1+Inputs!$E$54)*(1+Inputs!$E$55)^(BI$5-1)</f>
        <v>-62625.111002496</v>
      </c>
      <c r="BJ16" s="51" t="n">
        <f aca="false">-BJ9*Inputs!$E$43/12*1*(1+Inputs!$E$54)*(1+Inputs!$E$55)^(BJ$5-1)</f>
        <v>-62625.111002496</v>
      </c>
    </row>
    <row r="17" customFormat="false" ht="15" hidden="false" customHeight="false" outlineLevel="0" collapsed="false">
      <c r="A17" s="6" t="s">
        <v>400</v>
      </c>
      <c r="C17" s="51" t="n">
        <f aca="false">-C10*Inputs!$E$47/12*1*(1+Inputs!$E$54)*(1+Inputs!$E$55)^(C$5-1)</f>
        <v>-29133.3333333333</v>
      </c>
      <c r="D17" s="51" t="n">
        <f aca="false">-D10*Inputs!$E$47/12*1*(1+Inputs!$E$54)*(1+Inputs!$E$55)^(D$5-1)</f>
        <v>-29133.3333333333</v>
      </c>
      <c r="E17" s="51" t="n">
        <f aca="false">-E10*Inputs!$E$47/12*1*(1+Inputs!$E$54)*(1+Inputs!$E$55)^(E$5-1)</f>
        <v>-29133.3333333333</v>
      </c>
      <c r="F17" s="51" t="n">
        <f aca="false">-F10*Inputs!$E$47/12*1*(1+Inputs!$E$54)*(1+Inputs!$E$55)^(F$5-1)</f>
        <v>-29133.3333333333</v>
      </c>
      <c r="G17" s="51" t="n">
        <f aca="false">-G10*Inputs!$E$47/12*1*(1+Inputs!$E$54)*(1+Inputs!$E$55)^(G$5-1)</f>
        <v>-29133.3333333333</v>
      </c>
      <c r="H17" s="51" t="n">
        <f aca="false">-H10*Inputs!$E$47/12*1*(1+Inputs!$E$54)*(1+Inputs!$E$55)^(H$5-1)</f>
        <v>-29133.3333333333</v>
      </c>
      <c r="I17" s="51" t="n">
        <f aca="false">-I10*Inputs!$E$47/12*1*(1+Inputs!$E$54)*(1+Inputs!$E$55)^(I$5-1)</f>
        <v>-29133.3333333333</v>
      </c>
      <c r="J17" s="51" t="n">
        <f aca="false">-J10*Inputs!$E$47/12*1*(1+Inputs!$E$54)*(1+Inputs!$E$55)^(J$5-1)</f>
        <v>-29133.3333333333</v>
      </c>
      <c r="K17" s="51" t="n">
        <f aca="false">-K10*Inputs!$E$47/12*1*(1+Inputs!$E$54)*(1+Inputs!$E$55)^(K$5-1)</f>
        <v>-29133.3333333333</v>
      </c>
      <c r="L17" s="51" t="n">
        <f aca="false">-L10*Inputs!$E$47/12*1*(1+Inputs!$E$54)*(1+Inputs!$E$55)^(L$5-1)</f>
        <v>-29133.3333333333</v>
      </c>
      <c r="M17" s="51" t="n">
        <f aca="false">-M10*Inputs!$E$47/12*1*(1+Inputs!$E$54)*(1+Inputs!$E$55)^(M$5-1)</f>
        <v>-29133.3333333333</v>
      </c>
      <c r="N17" s="51" t="n">
        <f aca="false">-N10*Inputs!$E$47/12*1*(1+Inputs!$E$54)*(1+Inputs!$E$55)^(N$5-1)</f>
        <v>-29133.3333333333</v>
      </c>
      <c r="O17" s="51" t="n">
        <f aca="false">-O10*Inputs!$E$47/12*1*(1+Inputs!$E$54)*(1+Inputs!$E$55)^(O$5-1)</f>
        <v>-39009.5333333333</v>
      </c>
      <c r="P17" s="51" t="n">
        <f aca="false">-P10*Inputs!$E$47/12*1*(1+Inputs!$E$54)*(1+Inputs!$E$55)^(P$5-1)</f>
        <v>-39009.5333333333</v>
      </c>
      <c r="Q17" s="51" t="n">
        <f aca="false">-Q10*Inputs!$E$47/12*1*(1+Inputs!$E$54)*(1+Inputs!$E$55)^(Q$5-1)</f>
        <v>-39009.5333333333</v>
      </c>
      <c r="R17" s="51" t="n">
        <f aca="false">-R10*Inputs!$E$47/12*1*(1+Inputs!$E$54)*(1+Inputs!$E$55)^(R$5-1)</f>
        <v>-39009.5333333333</v>
      </c>
      <c r="S17" s="51" t="n">
        <f aca="false">-S10*Inputs!$E$47/12*1*(1+Inputs!$E$54)*(1+Inputs!$E$55)^(S$5-1)</f>
        <v>-39009.5333333333</v>
      </c>
      <c r="T17" s="51" t="n">
        <f aca="false">-T10*Inputs!$E$47/12*1*(1+Inputs!$E$54)*(1+Inputs!$E$55)^(T$5-1)</f>
        <v>-39009.5333333333</v>
      </c>
      <c r="U17" s="51" t="n">
        <f aca="false">-U10*Inputs!$E$47/12*1*(1+Inputs!$E$54)*(1+Inputs!$E$55)^(U$5-1)</f>
        <v>-39009.5333333333</v>
      </c>
      <c r="V17" s="51" t="n">
        <f aca="false">-V10*Inputs!$E$47/12*1*(1+Inputs!$E$54)*(1+Inputs!$E$55)^(V$5-1)</f>
        <v>-39009.5333333333</v>
      </c>
      <c r="W17" s="51" t="n">
        <f aca="false">-W10*Inputs!$E$47/12*1*(1+Inputs!$E$54)*(1+Inputs!$E$55)^(W$5-1)</f>
        <v>-39009.5333333333</v>
      </c>
      <c r="X17" s="51" t="n">
        <f aca="false">-X10*Inputs!$E$47/12*1*(1+Inputs!$E$54)*(1+Inputs!$E$55)^(X$5-1)</f>
        <v>-39009.5333333333</v>
      </c>
      <c r="Y17" s="51" t="n">
        <f aca="false">-Y10*Inputs!$E$47/12*1*(1+Inputs!$E$54)*(1+Inputs!$E$55)^(Y$5-1)</f>
        <v>-39009.5333333333</v>
      </c>
      <c r="Z17" s="51" t="n">
        <f aca="false">-Z10*Inputs!$E$47/12*1*(1+Inputs!$E$54)*(1+Inputs!$E$55)^(Z$5-1)</f>
        <v>-39009.5333333333</v>
      </c>
      <c r="AA17" s="51" t="n">
        <f aca="false">-AA10*Inputs!$E$47/12*1*(1+Inputs!$E$54)*(1+Inputs!$E$55)^(AA$5-1)</f>
        <v>-52233.7651333333</v>
      </c>
      <c r="AB17" s="51" t="n">
        <f aca="false">-AB10*Inputs!$E$47/12*1*(1+Inputs!$E$54)*(1+Inputs!$E$55)^(AB$5-1)</f>
        <v>-52233.7651333333</v>
      </c>
      <c r="AC17" s="51" t="n">
        <f aca="false">-AC10*Inputs!$E$47/12*1*(1+Inputs!$E$54)*(1+Inputs!$E$55)^(AC$5-1)</f>
        <v>-52233.7651333333</v>
      </c>
      <c r="AD17" s="51" t="n">
        <f aca="false">-AD10*Inputs!$E$47/12*1*(1+Inputs!$E$54)*(1+Inputs!$E$55)^(AD$5-1)</f>
        <v>-52233.7651333333</v>
      </c>
      <c r="AE17" s="51" t="n">
        <f aca="false">-AE10*Inputs!$E$47/12*1*(1+Inputs!$E$54)*(1+Inputs!$E$55)^(AE$5-1)</f>
        <v>-52233.7651333333</v>
      </c>
      <c r="AF17" s="51" t="n">
        <f aca="false">-AF10*Inputs!$E$47/12*1*(1+Inputs!$E$54)*(1+Inputs!$E$55)^(AF$5-1)</f>
        <v>-52233.7651333333</v>
      </c>
      <c r="AG17" s="51" t="n">
        <f aca="false">-AG10*Inputs!$E$47/12*1*(1+Inputs!$E$54)*(1+Inputs!$E$55)^(AG$5-1)</f>
        <v>-52233.7651333333</v>
      </c>
      <c r="AH17" s="51" t="n">
        <f aca="false">-AH10*Inputs!$E$47/12*1*(1+Inputs!$E$54)*(1+Inputs!$E$55)^(AH$5-1)</f>
        <v>-52233.7651333333</v>
      </c>
      <c r="AI17" s="51" t="n">
        <f aca="false">-AI10*Inputs!$E$47/12*1*(1+Inputs!$E$54)*(1+Inputs!$E$55)^(AI$5-1)</f>
        <v>-52233.7651333333</v>
      </c>
      <c r="AJ17" s="51" t="n">
        <f aca="false">-AJ10*Inputs!$E$47/12*1*(1+Inputs!$E$54)*(1+Inputs!$E$55)^(AJ$5-1)</f>
        <v>-52233.7651333333</v>
      </c>
      <c r="AK17" s="51" t="n">
        <f aca="false">-AK10*Inputs!$E$47/12*1*(1+Inputs!$E$54)*(1+Inputs!$E$55)^(AK$5-1)</f>
        <v>-52233.7651333333</v>
      </c>
      <c r="AL17" s="51" t="n">
        <f aca="false">-AL10*Inputs!$E$47/12*1*(1+Inputs!$E$54)*(1+Inputs!$E$55)^(AL$5-1)</f>
        <v>-52233.7651333333</v>
      </c>
      <c r="AM17" s="51" t="n">
        <f aca="false">-AM10*Inputs!$E$47/12*1*(1+Inputs!$E$54)*(1+Inputs!$E$55)^(AM$5-1)</f>
        <v>-69941.0115135333</v>
      </c>
      <c r="AN17" s="51" t="n">
        <f aca="false">-AN10*Inputs!$E$47/12*1*(1+Inputs!$E$54)*(1+Inputs!$E$55)^(AN$5-1)</f>
        <v>-69941.0115135333</v>
      </c>
      <c r="AO17" s="51" t="n">
        <f aca="false">-AO10*Inputs!$E$47/12*1*(1+Inputs!$E$54)*(1+Inputs!$E$55)^(AO$5-1)</f>
        <v>-69941.0115135333</v>
      </c>
      <c r="AP17" s="51" t="n">
        <f aca="false">-AP10*Inputs!$E$47/12*1*(1+Inputs!$E$54)*(1+Inputs!$E$55)^(AP$5-1)</f>
        <v>-69941.0115135333</v>
      </c>
      <c r="AQ17" s="51" t="n">
        <f aca="false">-AQ10*Inputs!$E$47/12*1*(1+Inputs!$E$54)*(1+Inputs!$E$55)^(AQ$5-1)</f>
        <v>-69941.0115135333</v>
      </c>
      <c r="AR17" s="51" t="n">
        <f aca="false">-AR10*Inputs!$E$47/12*1*(1+Inputs!$E$54)*(1+Inputs!$E$55)^(AR$5-1)</f>
        <v>-69941.0115135333</v>
      </c>
      <c r="AS17" s="51" t="n">
        <f aca="false">-AS10*Inputs!$E$47/12*1*(1+Inputs!$E$54)*(1+Inputs!$E$55)^(AS$5-1)</f>
        <v>-69941.0115135333</v>
      </c>
      <c r="AT17" s="51" t="n">
        <f aca="false">-AT10*Inputs!$E$47/12*1*(1+Inputs!$E$54)*(1+Inputs!$E$55)^(AT$5-1)</f>
        <v>-69941.0115135333</v>
      </c>
      <c r="AU17" s="51" t="n">
        <f aca="false">-AU10*Inputs!$E$47/12*1*(1+Inputs!$E$54)*(1+Inputs!$E$55)^(AU$5-1)</f>
        <v>-69941.0115135333</v>
      </c>
      <c r="AV17" s="51" t="n">
        <f aca="false">-AV10*Inputs!$E$47/12*1*(1+Inputs!$E$54)*(1+Inputs!$E$55)^(AV$5-1)</f>
        <v>-69941.0115135333</v>
      </c>
      <c r="AW17" s="51" t="n">
        <f aca="false">-AW10*Inputs!$E$47/12*1*(1+Inputs!$E$54)*(1+Inputs!$E$55)^(AW$5-1)</f>
        <v>-69941.0115135333</v>
      </c>
      <c r="AX17" s="51" t="n">
        <f aca="false">-AX10*Inputs!$E$47/12*1*(1+Inputs!$E$54)*(1+Inputs!$E$55)^(AX$5-1)</f>
        <v>-69941.0115135333</v>
      </c>
      <c r="AY17" s="51" t="n">
        <f aca="false">-AY10*Inputs!$E$47/12*1*(1+Inputs!$E$54)*(1+Inputs!$E$55)^(AY$5-1)</f>
        <v>-93651.0144166211</v>
      </c>
      <c r="AZ17" s="51" t="n">
        <f aca="false">-AZ10*Inputs!$E$47/12*1*(1+Inputs!$E$54)*(1+Inputs!$E$55)^(AZ$5-1)</f>
        <v>-93651.0144166211</v>
      </c>
      <c r="BA17" s="51" t="n">
        <f aca="false">-BA10*Inputs!$E$47/12*1*(1+Inputs!$E$54)*(1+Inputs!$E$55)^(BA$5-1)</f>
        <v>-93651.0144166211</v>
      </c>
      <c r="BB17" s="51" t="n">
        <f aca="false">-BB10*Inputs!$E$47/12*1*(1+Inputs!$E$54)*(1+Inputs!$E$55)^(BB$5-1)</f>
        <v>-93651.0144166211</v>
      </c>
      <c r="BC17" s="51" t="n">
        <f aca="false">-BC10*Inputs!$E$47/12*1*(1+Inputs!$E$54)*(1+Inputs!$E$55)^(BC$5-1)</f>
        <v>-93651.0144166211</v>
      </c>
      <c r="BD17" s="51" t="n">
        <f aca="false">-BD10*Inputs!$E$47/12*1*(1+Inputs!$E$54)*(1+Inputs!$E$55)^(BD$5-1)</f>
        <v>-93651.0144166211</v>
      </c>
      <c r="BE17" s="51" t="n">
        <f aca="false">-BE10*Inputs!$E$47/12*1*(1+Inputs!$E$54)*(1+Inputs!$E$55)^(BE$5-1)</f>
        <v>-93651.0144166211</v>
      </c>
      <c r="BF17" s="51" t="n">
        <f aca="false">-BF10*Inputs!$E$47/12*1*(1+Inputs!$E$54)*(1+Inputs!$E$55)^(BF$5-1)</f>
        <v>-93651.0144166211</v>
      </c>
      <c r="BG17" s="51" t="n">
        <f aca="false">-BG10*Inputs!$E$47/12*1*(1+Inputs!$E$54)*(1+Inputs!$E$55)^(BG$5-1)</f>
        <v>-93651.0144166211</v>
      </c>
      <c r="BH17" s="51" t="n">
        <f aca="false">-BH10*Inputs!$E$47/12*1*(1+Inputs!$E$54)*(1+Inputs!$E$55)^(BH$5-1)</f>
        <v>-93651.0144166211</v>
      </c>
      <c r="BI17" s="51" t="n">
        <f aca="false">-BI10*Inputs!$E$47/12*1*(1+Inputs!$E$54)*(1+Inputs!$E$55)^(BI$5-1)</f>
        <v>-93651.0144166211</v>
      </c>
      <c r="BJ17" s="51" t="n">
        <f aca="false">-BJ10*Inputs!$E$47/12*1*(1+Inputs!$E$54)*(1+Inputs!$E$55)^(BJ$5-1)</f>
        <v>-93651.0144166211</v>
      </c>
    </row>
    <row r="18" customFormat="false" ht="15" hidden="false" customHeight="false" outlineLevel="0" collapsed="false">
      <c r="A18" s="6" t="s">
        <v>401</v>
      </c>
      <c r="C18" s="51" t="n">
        <f aca="false">-C11*Inputs!$E$51/12*1*(1+Inputs!$E$54)*(1+Inputs!$E$55)^(C$5-1)</f>
        <v>-20125</v>
      </c>
      <c r="D18" s="51" t="n">
        <f aca="false">-D11*Inputs!$E$51/12*1*(1+Inputs!$E$54)*(1+Inputs!$E$55)^(D$5-1)</f>
        <v>-20125</v>
      </c>
      <c r="E18" s="51" t="n">
        <f aca="false">-E11*Inputs!$E$51/12*1*(1+Inputs!$E$54)*(1+Inputs!$E$55)^(E$5-1)</f>
        <v>-20125</v>
      </c>
      <c r="F18" s="51" t="n">
        <f aca="false">-F11*Inputs!$E$51/12*1*(1+Inputs!$E$54)*(1+Inputs!$E$55)^(F$5-1)</f>
        <v>-20125</v>
      </c>
      <c r="G18" s="51" t="n">
        <f aca="false">-G11*Inputs!$E$51/12*1*(1+Inputs!$E$54)*(1+Inputs!$E$55)^(G$5-1)</f>
        <v>-20125</v>
      </c>
      <c r="H18" s="51" t="n">
        <f aca="false">-H11*Inputs!$E$51/12*1*(1+Inputs!$E$54)*(1+Inputs!$E$55)^(H$5-1)</f>
        <v>-20125</v>
      </c>
      <c r="I18" s="51" t="n">
        <f aca="false">-I11*Inputs!$E$51/12*1*(1+Inputs!$E$54)*(1+Inputs!$E$55)^(I$5-1)</f>
        <v>-20125</v>
      </c>
      <c r="J18" s="51" t="n">
        <f aca="false">-J11*Inputs!$E$51/12*1*(1+Inputs!$E$54)*(1+Inputs!$E$55)^(J$5-1)</f>
        <v>-20125</v>
      </c>
      <c r="K18" s="51" t="n">
        <f aca="false">-K11*Inputs!$E$51/12*1*(1+Inputs!$E$54)*(1+Inputs!$E$55)^(K$5-1)</f>
        <v>-20125</v>
      </c>
      <c r="L18" s="51" t="n">
        <f aca="false">-L11*Inputs!$E$51/12*1*(1+Inputs!$E$54)*(1+Inputs!$E$55)^(L$5-1)</f>
        <v>-20125</v>
      </c>
      <c r="M18" s="51" t="n">
        <f aca="false">-M11*Inputs!$E$51/12*1*(1+Inputs!$E$54)*(1+Inputs!$E$55)^(M$5-1)</f>
        <v>-20125</v>
      </c>
      <c r="N18" s="51" t="n">
        <f aca="false">-N11*Inputs!$E$51/12*1*(1+Inputs!$E$54)*(1+Inputs!$E$55)^(N$5-1)</f>
        <v>-20125</v>
      </c>
      <c r="O18" s="51" t="n">
        <f aca="false">-O11*Inputs!$E$51/12*1*(1+Inputs!$E$54)*(1+Inputs!$E$55)^(O$5-1)</f>
        <v>-23838.0625</v>
      </c>
      <c r="P18" s="51" t="n">
        <f aca="false">-P11*Inputs!$E$51/12*1*(1+Inputs!$E$54)*(1+Inputs!$E$55)^(P$5-1)</f>
        <v>-23838.0625</v>
      </c>
      <c r="Q18" s="51" t="n">
        <f aca="false">-Q11*Inputs!$E$51/12*1*(1+Inputs!$E$54)*(1+Inputs!$E$55)^(Q$5-1)</f>
        <v>-23838.0625</v>
      </c>
      <c r="R18" s="51" t="n">
        <f aca="false">-R11*Inputs!$E$51/12*1*(1+Inputs!$E$54)*(1+Inputs!$E$55)^(R$5-1)</f>
        <v>-23838.0625</v>
      </c>
      <c r="S18" s="51" t="n">
        <f aca="false">-S11*Inputs!$E$51/12*1*(1+Inputs!$E$54)*(1+Inputs!$E$55)^(S$5-1)</f>
        <v>-23838.0625</v>
      </c>
      <c r="T18" s="51" t="n">
        <f aca="false">-T11*Inputs!$E$51/12*1*(1+Inputs!$E$54)*(1+Inputs!$E$55)^(T$5-1)</f>
        <v>-23838.0625</v>
      </c>
      <c r="U18" s="51" t="n">
        <f aca="false">-U11*Inputs!$E$51/12*1*(1+Inputs!$E$54)*(1+Inputs!$E$55)^(U$5-1)</f>
        <v>-23838.0625</v>
      </c>
      <c r="V18" s="51" t="n">
        <f aca="false">-V11*Inputs!$E$51/12*1*(1+Inputs!$E$54)*(1+Inputs!$E$55)^(V$5-1)</f>
        <v>-23838.0625</v>
      </c>
      <c r="W18" s="51" t="n">
        <f aca="false">-W11*Inputs!$E$51/12*1*(1+Inputs!$E$54)*(1+Inputs!$E$55)^(W$5-1)</f>
        <v>-23838.0625</v>
      </c>
      <c r="X18" s="51" t="n">
        <f aca="false">-X11*Inputs!$E$51/12*1*(1+Inputs!$E$54)*(1+Inputs!$E$55)^(X$5-1)</f>
        <v>-23838.0625</v>
      </c>
      <c r="Y18" s="51" t="n">
        <f aca="false">-Y11*Inputs!$E$51/12*1*(1+Inputs!$E$54)*(1+Inputs!$E$55)^(Y$5-1)</f>
        <v>-23838.0625</v>
      </c>
      <c r="Z18" s="51" t="n">
        <f aca="false">-Z11*Inputs!$E$51/12*1*(1+Inputs!$E$54)*(1+Inputs!$E$55)^(Z$5-1)</f>
        <v>-23838.0625</v>
      </c>
      <c r="AA18" s="51" t="n">
        <f aca="false">-AA11*Inputs!$E$51/12*1*(1+Inputs!$E$54)*(1+Inputs!$E$55)^(AA$5-1)</f>
        <v>-28236.18503125</v>
      </c>
      <c r="AB18" s="51" t="n">
        <f aca="false">-AB11*Inputs!$E$51/12*1*(1+Inputs!$E$54)*(1+Inputs!$E$55)^(AB$5-1)</f>
        <v>-28236.18503125</v>
      </c>
      <c r="AC18" s="51" t="n">
        <f aca="false">-AC11*Inputs!$E$51/12*1*(1+Inputs!$E$54)*(1+Inputs!$E$55)^(AC$5-1)</f>
        <v>-28236.18503125</v>
      </c>
      <c r="AD18" s="51" t="n">
        <f aca="false">-AD11*Inputs!$E$51/12*1*(1+Inputs!$E$54)*(1+Inputs!$E$55)^(AD$5-1)</f>
        <v>-28236.18503125</v>
      </c>
      <c r="AE18" s="51" t="n">
        <f aca="false">-AE11*Inputs!$E$51/12*1*(1+Inputs!$E$54)*(1+Inputs!$E$55)^(AE$5-1)</f>
        <v>-28236.18503125</v>
      </c>
      <c r="AF18" s="51" t="n">
        <f aca="false">-AF11*Inputs!$E$51/12*1*(1+Inputs!$E$54)*(1+Inputs!$E$55)^(AF$5-1)</f>
        <v>-28236.18503125</v>
      </c>
      <c r="AG18" s="51" t="n">
        <f aca="false">-AG11*Inputs!$E$51/12*1*(1+Inputs!$E$54)*(1+Inputs!$E$55)^(AG$5-1)</f>
        <v>-28236.18503125</v>
      </c>
      <c r="AH18" s="51" t="n">
        <f aca="false">-AH11*Inputs!$E$51/12*1*(1+Inputs!$E$54)*(1+Inputs!$E$55)^(AH$5-1)</f>
        <v>-28236.18503125</v>
      </c>
      <c r="AI18" s="51" t="n">
        <f aca="false">-AI11*Inputs!$E$51/12*1*(1+Inputs!$E$54)*(1+Inputs!$E$55)^(AI$5-1)</f>
        <v>-28236.18503125</v>
      </c>
      <c r="AJ18" s="51" t="n">
        <f aca="false">-AJ11*Inputs!$E$51/12*1*(1+Inputs!$E$54)*(1+Inputs!$E$55)^(AJ$5-1)</f>
        <v>-28236.18503125</v>
      </c>
      <c r="AK18" s="51" t="n">
        <f aca="false">-AK11*Inputs!$E$51/12*1*(1+Inputs!$E$54)*(1+Inputs!$E$55)^(AK$5-1)</f>
        <v>-28236.18503125</v>
      </c>
      <c r="AL18" s="51" t="n">
        <f aca="false">-AL11*Inputs!$E$51/12*1*(1+Inputs!$E$54)*(1+Inputs!$E$55)^(AL$5-1)</f>
        <v>-28236.18503125</v>
      </c>
      <c r="AM18" s="51" t="n">
        <f aca="false">-AM11*Inputs!$E$51/12*1*(1+Inputs!$E$54)*(1+Inputs!$E$55)^(AM$5-1)</f>
        <v>-33445.7611695156</v>
      </c>
      <c r="AN18" s="51" t="n">
        <f aca="false">-AN11*Inputs!$E$51/12*1*(1+Inputs!$E$54)*(1+Inputs!$E$55)^(AN$5-1)</f>
        <v>-33445.7611695156</v>
      </c>
      <c r="AO18" s="51" t="n">
        <f aca="false">-AO11*Inputs!$E$51/12*1*(1+Inputs!$E$54)*(1+Inputs!$E$55)^(AO$5-1)</f>
        <v>-33445.7611695156</v>
      </c>
      <c r="AP18" s="51" t="n">
        <f aca="false">-AP11*Inputs!$E$51/12*1*(1+Inputs!$E$54)*(1+Inputs!$E$55)^(AP$5-1)</f>
        <v>-33445.7611695156</v>
      </c>
      <c r="AQ18" s="51" t="n">
        <f aca="false">-AQ11*Inputs!$E$51/12*1*(1+Inputs!$E$54)*(1+Inputs!$E$55)^(AQ$5-1)</f>
        <v>-33445.7611695156</v>
      </c>
      <c r="AR18" s="51" t="n">
        <f aca="false">-AR11*Inputs!$E$51/12*1*(1+Inputs!$E$54)*(1+Inputs!$E$55)^(AR$5-1)</f>
        <v>-33445.7611695156</v>
      </c>
      <c r="AS18" s="51" t="n">
        <f aca="false">-AS11*Inputs!$E$51/12*1*(1+Inputs!$E$54)*(1+Inputs!$E$55)^(AS$5-1)</f>
        <v>-33445.7611695156</v>
      </c>
      <c r="AT18" s="51" t="n">
        <f aca="false">-AT11*Inputs!$E$51/12*1*(1+Inputs!$E$54)*(1+Inputs!$E$55)^(AT$5-1)</f>
        <v>-33445.7611695156</v>
      </c>
      <c r="AU18" s="51" t="n">
        <f aca="false">-AU11*Inputs!$E$51/12*1*(1+Inputs!$E$54)*(1+Inputs!$E$55)^(AU$5-1)</f>
        <v>-33445.7611695156</v>
      </c>
      <c r="AV18" s="51" t="n">
        <f aca="false">-AV11*Inputs!$E$51/12*1*(1+Inputs!$E$54)*(1+Inputs!$E$55)^(AV$5-1)</f>
        <v>-33445.7611695156</v>
      </c>
      <c r="AW18" s="51" t="n">
        <f aca="false">-AW11*Inputs!$E$51/12*1*(1+Inputs!$E$54)*(1+Inputs!$E$55)^(AW$5-1)</f>
        <v>-33445.7611695156</v>
      </c>
      <c r="AX18" s="51" t="n">
        <f aca="false">-AX11*Inputs!$E$51/12*1*(1+Inputs!$E$54)*(1+Inputs!$E$55)^(AX$5-1)</f>
        <v>-33445.7611695156</v>
      </c>
      <c r="AY18" s="51" t="n">
        <f aca="false">-AY11*Inputs!$E$51/12*1*(1+Inputs!$E$54)*(1+Inputs!$E$55)^(AY$5-1)</f>
        <v>-39616.5041052912</v>
      </c>
      <c r="AZ18" s="51" t="n">
        <f aca="false">-AZ11*Inputs!$E$51/12*1*(1+Inputs!$E$54)*(1+Inputs!$E$55)^(AZ$5-1)</f>
        <v>-39616.5041052912</v>
      </c>
      <c r="BA18" s="51" t="n">
        <f aca="false">-BA11*Inputs!$E$51/12*1*(1+Inputs!$E$54)*(1+Inputs!$E$55)^(BA$5-1)</f>
        <v>-39616.5041052912</v>
      </c>
      <c r="BB18" s="51" t="n">
        <f aca="false">-BB11*Inputs!$E$51/12*1*(1+Inputs!$E$54)*(1+Inputs!$E$55)^(BB$5-1)</f>
        <v>-39616.5041052912</v>
      </c>
      <c r="BC18" s="51" t="n">
        <f aca="false">-BC11*Inputs!$E$51/12*1*(1+Inputs!$E$54)*(1+Inputs!$E$55)^(BC$5-1)</f>
        <v>-39616.5041052912</v>
      </c>
      <c r="BD18" s="51" t="n">
        <f aca="false">-BD11*Inputs!$E$51/12*1*(1+Inputs!$E$54)*(1+Inputs!$E$55)^(BD$5-1)</f>
        <v>-39616.5041052912</v>
      </c>
      <c r="BE18" s="51" t="n">
        <f aca="false">-BE11*Inputs!$E$51/12*1*(1+Inputs!$E$54)*(1+Inputs!$E$55)^(BE$5-1)</f>
        <v>-39616.5041052912</v>
      </c>
      <c r="BF18" s="51" t="n">
        <f aca="false">-BF11*Inputs!$E$51/12*1*(1+Inputs!$E$54)*(1+Inputs!$E$55)^(BF$5-1)</f>
        <v>-39616.5041052912</v>
      </c>
      <c r="BG18" s="51" t="n">
        <f aca="false">-BG11*Inputs!$E$51/12*1*(1+Inputs!$E$54)*(1+Inputs!$E$55)^(BG$5-1)</f>
        <v>-39616.5041052912</v>
      </c>
      <c r="BH18" s="51" t="n">
        <f aca="false">-BH11*Inputs!$E$51/12*1*(1+Inputs!$E$54)*(1+Inputs!$E$55)^(BH$5-1)</f>
        <v>-39616.5041052912</v>
      </c>
      <c r="BI18" s="51" t="n">
        <f aca="false">-BI11*Inputs!$E$51/12*1*(1+Inputs!$E$54)*(1+Inputs!$E$55)^(BI$5-1)</f>
        <v>-39616.5041052912</v>
      </c>
      <c r="BJ18" s="51" t="n">
        <f aca="false">-BJ11*Inputs!$E$51/12*1*(1+Inputs!$E$54)*(1+Inputs!$E$55)^(BJ$5-1)</f>
        <v>-39616.5041052912</v>
      </c>
    </row>
    <row r="19" customFormat="false" ht="15" hidden="false" customHeight="false" outlineLevel="0" collapsed="false">
      <c r="A19" s="92" t="s">
        <v>402</v>
      </c>
      <c r="C19" s="52" t="n">
        <f aca="false">C15+C16+C17+C18</f>
        <v>-104841.666666667</v>
      </c>
      <c r="D19" s="52" t="n">
        <f aca="false">D15+D16+D17+D18</f>
        <v>-104841.666666667</v>
      </c>
      <c r="E19" s="52" t="n">
        <f aca="false">E15+E16+E17+E18</f>
        <v>-104841.666666667</v>
      </c>
      <c r="F19" s="52" t="n">
        <f aca="false">F15+F16+F17+F18</f>
        <v>-104841.666666667</v>
      </c>
      <c r="G19" s="52" t="n">
        <f aca="false">G15+G16+G17+G18</f>
        <v>-104841.666666667</v>
      </c>
      <c r="H19" s="52" t="n">
        <f aca="false">H15+H16+H17+H18</f>
        <v>-104841.666666667</v>
      </c>
      <c r="I19" s="52" t="n">
        <f aca="false">I15+I16+I17+I18</f>
        <v>-104841.666666667</v>
      </c>
      <c r="J19" s="52" t="n">
        <f aca="false">J15+J16+J17+J18</f>
        <v>-104841.666666667</v>
      </c>
      <c r="K19" s="52" t="n">
        <f aca="false">K15+K16+K17+K18</f>
        <v>-104841.666666667</v>
      </c>
      <c r="L19" s="52" t="n">
        <f aca="false">L15+L16+L17+L18</f>
        <v>-104841.666666667</v>
      </c>
      <c r="M19" s="52" t="n">
        <f aca="false">M15+M16+M17+M18</f>
        <v>-104841.666666667</v>
      </c>
      <c r="N19" s="52" t="n">
        <f aca="false">N15+N16+N17+N18</f>
        <v>-104841.666666667</v>
      </c>
      <c r="O19" s="52" t="n">
        <f aca="false">O15+O16+O17+O18</f>
        <v>-131548.595833333</v>
      </c>
      <c r="P19" s="52" t="n">
        <f aca="false">P15+P16+P17+P18</f>
        <v>-131548.595833333</v>
      </c>
      <c r="Q19" s="52" t="n">
        <f aca="false">Q15+Q16+Q17+Q18</f>
        <v>-131548.595833333</v>
      </c>
      <c r="R19" s="52" t="n">
        <f aca="false">R15+R16+R17+R18</f>
        <v>-131548.595833333</v>
      </c>
      <c r="S19" s="52" t="n">
        <f aca="false">S15+S16+S17+S18</f>
        <v>-131548.595833333</v>
      </c>
      <c r="T19" s="52" t="n">
        <f aca="false">T15+T16+T17+T18</f>
        <v>-131548.595833333</v>
      </c>
      <c r="U19" s="52" t="n">
        <f aca="false">U15+U16+U17+U18</f>
        <v>-131548.595833333</v>
      </c>
      <c r="V19" s="52" t="n">
        <f aca="false">V15+V16+V17+V18</f>
        <v>-131548.595833333</v>
      </c>
      <c r="W19" s="52" t="n">
        <f aca="false">W15+W16+W17+W18</f>
        <v>-131548.595833333</v>
      </c>
      <c r="X19" s="52" t="n">
        <f aca="false">X15+X16+X17+X18</f>
        <v>-131548.595833333</v>
      </c>
      <c r="Y19" s="52" t="n">
        <f aca="false">Y15+Y16+Y17+Y18</f>
        <v>-131548.595833333</v>
      </c>
      <c r="Z19" s="52" t="n">
        <f aca="false">Z15+Z16+Z17+Z18</f>
        <v>-131548.595833333</v>
      </c>
      <c r="AA19" s="52" t="n">
        <f aca="false">AA15+AA16+AA17+AA18</f>
        <v>-165384.386164583</v>
      </c>
      <c r="AB19" s="52" t="n">
        <f aca="false">AB15+AB16+AB17+AB18</f>
        <v>-165384.386164583</v>
      </c>
      <c r="AC19" s="52" t="n">
        <f aca="false">AC15+AC16+AC17+AC18</f>
        <v>-165384.386164583</v>
      </c>
      <c r="AD19" s="52" t="n">
        <f aca="false">AD15+AD16+AD17+AD18</f>
        <v>-165384.386164583</v>
      </c>
      <c r="AE19" s="52" t="n">
        <f aca="false">AE15+AE16+AE17+AE18</f>
        <v>-165384.386164583</v>
      </c>
      <c r="AF19" s="52" t="n">
        <f aca="false">AF15+AF16+AF17+AF18</f>
        <v>-165384.386164583</v>
      </c>
      <c r="AG19" s="52" t="n">
        <f aca="false">AG15+AG16+AG17+AG18</f>
        <v>-165384.386164583</v>
      </c>
      <c r="AH19" s="52" t="n">
        <f aca="false">AH15+AH16+AH17+AH18</f>
        <v>-165384.386164583</v>
      </c>
      <c r="AI19" s="52" t="n">
        <f aca="false">AI15+AI16+AI17+AI18</f>
        <v>-165384.386164583</v>
      </c>
      <c r="AJ19" s="52" t="n">
        <f aca="false">AJ15+AJ16+AJ17+AJ18</f>
        <v>-165384.386164583</v>
      </c>
      <c r="AK19" s="52" t="n">
        <f aca="false">AK15+AK16+AK17+AK18</f>
        <v>-165384.386164583</v>
      </c>
      <c r="AL19" s="52" t="n">
        <f aca="false">AL15+AL16+AL17+AL18</f>
        <v>-165384.386164583</v>
      </c>
      <c r="AM19" s="52" t="n">
        <f aca="false">AM15+AM16+AM17+AM18</f>
        <v>-208341.015579049</v>
      </c>
      <c r="AN19" s="52" t="n">
        <f aca="false">AN15+AN16+AN17+AN18</f>
        <v>-208341.015579049</v>
      </c>
      <c r="AO19" s="52" t="n">
        <f aca="false">AO15+AO16+AO17+AO18</f>
        <v>-208341.015579049</v>
      </c>
      <c r="AP19" s="52" t="n">
        <f aca="false">AP15+AP16+AP17+AP18</f>
        <v>-208341.015579049</v>
      </c>
      <c r="AQ19" s="52" t="n">
        <f aca="false">AQ15+AQ16+AQ17+AQ18</f>
        <v>-208341.015579049</v>
      </c>
      <c r="AR19" s="52" t="n">
        <f aca="false">AR15+AR16+AR17+AR18</f>
        <v>-208341.015579049</v>
      </c>
      <c r="AS19" s="52" t="n">
        <f aca="false">AS15+AS16+AS17+AS18</f>
        <v>-208341.015579049</v>
      </c>
      <c r="AT19" s="52" t="n">
        <f aca="false">AT15+AT16+AT17+AT18</f>
        <v>-208341.015579049</v>
      </c>
      <c r="AU19" s="52" t="n">
        <f aca="false">AU15+AU16+AU17+AU18</f>
        <v>-208341.015579049</v>
      </c>
      <c r="AV19" s="52" t="n">
        <f aca="false">AV15+AV16+AV17+AV18</f>
        <v>-208341.015579049</v>
      </c>
      <c r="AW19" s="52" t="n">
        <f aca="false">AW15+AW16+AW17+AW18</f>
        <v>-208341.015579049</v>
      </c>
      <c r="AX19" s="52" t="n">
        <f aca="false">AX15+AX16+AX17+AX18</f>
        <v>-208341.015579049</v>
      </c>
      <c r="AY19" s="52" t="n">
        <f aca="false">AY15+AY16+AY17+AY18</f>
        <v>-262990.962741368</v>
      </c>
      <c r="AZ19" s="52" t="n">
        <f aca="false">AZ15+AZ16+AZ17+AZ18</f>
        <v>-262990.962741368</v>
      </c>
      <c r="BA19" s="52" t="n">
        <f aca="false">BA15+BA16+BA17+BA18</f>
        <v>-262990.962741368</v>
      </c>
      <c r="BB19" s="52" t="n">
        <f aca="false">BB15+BB16+BB17+BB18</f>
        <v>-262990.962741368</v>
      </c>
      <c r="BC19" s="52" t="n">
        <f aca="false">BC15+BC16+BC17+BC18</f>
        <v>-262990.962741368</v>
      </c>
      <c r="BD19" s="52" t="n">
        <f aca="false">BD15+BD16+BD17+BD18</f>
        <v>-262990.962741368</v>
      </c>
      <c r="BE19" s="52" t="n">
        <f aca="false">BE15+BE16+BE17+BE18</f>
        <v>-262990.962741368</v>
      </c>
      <c r="BF19" s="52" t="n">
        <f aca="false">BF15+BF16+BF17+BF18</f>
        <v>-262990.962741368</v>
      </c>
      <c r="BG19" s="52" t="n">
        <f aca="false">BG15+BG16+BG17+BG18</f>
        <v>-262990.962741368</v>
      </c>
      <c r="BH19" s="52" t="n">
        <f aca="false">BH15+BH16+BH17+BH18</f>
        <v>-262990.962741368</v>
      </c>
      <c r="BI19" s="52" t="n">
        <f aca="false">BI15+BI16+BI17+BI18</f>
        <v>-262990.962741368</v>
      </c>
      <c r="BJ19" s="52" t="n">
        <f aca="false">BJ15+BJ16+BJ17+BJ18</f>
        <v>-262990.962741368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403</v>
      </c>
    </row>
    <row r="3" customFormat="false" ht="15" hidden="false" customHeight="false" outlineLevel="0" collapsed="false">
      <c r="A3" s="33" t="s">
        <v>404</v>
      </c>
      <c r="B3" s="33" t="s">
        <v>405</v>
      </c>
      <c r="C3" s="33" t="s">
        <v>406</v>
      </c>
    </row>
    <row r="4" customFormat="false" ht="15" hidden="false" customHeight="false" outlineLevel="0" collapsed="false">
      <c r="A4" s="6" t="s">
        <v>407</v>
      </c>
      <c r="B4" s="4" t="str">
        <f aca="false">IF(ABS(SUM('P&amp;L'!$B$5:$F$5)-SUM(Monthly!$C$25:$BJ$25))&lt;0.5,"PASS","FAIL")</f>
        <v>PASS</v>
      </c>
      <c r="C4" s="18" t="s">
        <v>408</v>
      </c>
    </row>
    <row r="5" customFormat="false" ht="15" hidden="false" customHeight="false" outlineLevel="0" collapsed="false">
      <c r="A5" s="6" t="s">
        <v>409</v>
      </c>
      <c r="B5" s="4" t="str">
        <f aca="false">IF(ABS(SUM('P&amp;L'!$B$25:$F$25)-SUM(Monthly!$C$48:$BJ$48))&lt;0.5,"PASS","FAIL")</f>
        <v>PASS</v>
      </c>
      <c r="C5" s="18" t="s">
        <v>410</v>
      </c>
    </row>
    <row r="6" customFormat="false" ht="15" hidden="false" customHeight="false" outlineLevel="0" collapsed="false">
      <c r="A6" s="6" t="s">
        <v>411</v>
      </c>
      <c r="B6" s="4" t="str">
        <f aca="false">IF(ABS(SUM(Monthly!$C$39:$BJ$39)-SUM(Monthly!$C$27:$BJ$27)-SUM(Monthly!$C$38:$BJ$38))&lt;0.5,"PASS","FAIL")</f>
        <v>PASS</v>
      </c>
      <c r="C6" s="18" t="s">
        <v>412</v>
      </c>
    </row>
    <row r="7" customFormat="false" ht="15" hidden="false" customHeight="false" outlineLevel="0" collapsed="false">
      <c r="A7" s="6" t="s">
        <v>413</v>
      </c>
      <c r="B7" s="4" t="str">
        <f aca="false">IF(ABS(INDEX(Monthly!$C$78:$BJ$78,60)-SUM(Monthly!$C$76:$BJ$76))&lt;0.5,"PASS","FAIL")</f>
        <v>PASS</v>
      </c>
      <c r="C7" s="18" t="s">
        <v>414</v>
      </c>
    </row>
    <row r="8" customFormat="false" ht="15" hidden="false" customHeight="false" outlineLevel="0" collapsed="false">
      <c r="A8" s="6" t="s">
        <v>415</v>
      </c>
      <c r="B8" s="4" t="str">
        <f aca="false">IF(AND(ISNUMBER(Dashboard!B4),Dashboard!B4&gt;=1,Dashboard!B4&lt;=3,INT(Dashboard!B4)=Dashboard!B4),"PASS","FAIL")</f>
        <v>PASS</v>
      </c>
      <c r="C8" s="18" t="s">
        <v>416</v>
      </c>
    </row>
    <row r="9" customFormat="false" ht="15" hidden="false" customHeight="false" outlineLevel="0" collapsed="false">
      <c r="A9" s="6" t="s">
        <v>417</v>
      </c>
      <c r="B9" s="4" t="str">
        <f aca="false">IF(AND(Inputs!$B$7&lt;=Inputs!$C$7,Inputs!$C$7&lt;=Inputs!$D$7,Inputs!$B$8&lt;=Inputs!$C$8,Inputs!$C$8&lt;=Inputs!$D$8,Inputs!$B$9&lt;=Inputs!$C$9,Inputs!$C$9&lt;=Inputs!$D$9,Inputs!$B$10&lt;=Inputs!$C$10,Inputs!$C$10&lt;=Inputs!$D$10,Inputs!$B$11&lt;=Inputs!$C$11,Inputs!$C$11&lt;=Inputs!$D$11,Inputs!$B$12&lt;=Inputs!$C$12,Inputs!$C$12&lt;=Inputs!$D$12,Inputs!$B$15&gt;=Inputs!$C$15,Inputs!$C$15&gt;=Inputs!$D$15,Inputs!$B$18&lt;=Inputs!$C$18,Inputs!$C$18&lt;=Inputs!$D$18,Inputs!$B$19&lt;=Inputs!$C$19,Inputs!$C$19&lt;=Inputs!$D$19,Inputs!$B$21&lt;=Inputs!$C$21,Inputs!$C$21&lt;=Inputs!$D$21,Inputs!$B$22&lt;=Inputs!$C$22,Inputs!$C$22&lt;=Inputs!$D$22,Inputs!$B$29&gt;=Inputs!$C$29,Inputs!$C$29&gt;=Inputs!$D$29,Inputs!$B$30&gt;=Inputs!$C$30,Inputs!$C$30&gt;=Inputs!$D$30,Inputs!$B$31&gt;=Inputs!$C$31,Inputs!$C$31&gt;=Inputs!$D$31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418</v>
      </c>
    </row>
    <row r="10" customFormat="false" ht="15" hidden="false" customHeight="false" outlineLevel="0" collapsed="false">
      <c r="A10" s="6" t="s">
        <v>419</v>
      </c>
      <c r="B10" s="4" t="str">
        <f aca="false">IF(AND(MIN('P&amp;L'!$B$8:$F$8)&gt;=0,MAX('P&amp;L'!$B$8:$F$8)&lt;=1),"PASS","FAIL")</f>
        <v>PASS</v>
      </c>
      <c r="C10" s="18" t="s">
        <v>420</v>
      </c>
    </row>
    <row r="11" customFormat="false" ht="15" hidden="false" customHeight="false" outlineLevel="0" collapsed="false">
      <c r="A11" s="6" t="s">
        <v>421</v>
      </c>
      <c r="B11" s="4" t="str">
        <f aca="false">IF(MIN(Monthly!$C$61:$BJ$61)&gt;=-0.5,"PASS","FAIL")</f>
        <v>PASS</v>
      </c>
      <c r="C11" s="18" t="s">
        <v>422</v>
      </c>
    </row>
    <row r="12" customFormat="false" ht="15" hidden="false" customHeight="false" outlineLevel="0" collapsed="false">
      <c r="A12" s="6" t="s">
        <v>423</v>
      </c>
      <c r="B12" s="4" t="str">
        <f aca="false">IF(ABS('Break-even'!B18-('Break-even'!B16-'Break-even'!B10))&lt;0.5,"PASS","FAIL")</f>
        <v>PASS</v>
      </c>
      <c r="C12" s="18" t="s">
        <v>424</v>
      </c>
    </row>
    <row r="13" customFormat="false" ht="15" hidden="false" customHeight="false" outlineLevel="0" collapsed="false">
      <c r="A13" s="6" t="s">
        <v>425</v>
      </c>
      <c r="B13" s="4" t="str">
        <f aca="false">IF(ABS(Valuation!B23-NPV(Valuation!B6,Valuation!$B$17:$F$17))&lt;0.5,"PASS","FAIL")</f>
        <v>PASS</v>
      </c>
      <c r="C13" s="18" t="s">
        <v>426</v>
      </c>
    </row>
    <row r="14" customFormat="false" ht="15" hidden="false" customHeight="false" outlineLevel="0" collapsed="false">
      <c r="A14" s="6" t="s">
        <v>427</v>
      </c>
      <c r="B14" s="4" t="str">
        <f aca="false">IF(Valuation!B6&gt;Valuation!B7,"PASS","FAIL")</f>
        <v>PASS</v>
      </c>
      <c r="C14" s="18" t="s">
        <v>428</v>
      </c>
    </row>
    <row r="15" customFormat="false" ht="15" hidden="false" customHeight="false" outlineLevel="0" collapsed="false">
      <c r="A15" s="6" t="s">
        <v>429</v>
      </c>
      <c r="B15" s="4" t="str">
        <f aca="false">IF(ABS(Valuation!D36-Valuation!B27)&lt;0.5,"PASS","FAIL")</f>
        <v>PASS</v>
      </c>
      <c r="C15" s="18" t="s">
        <v>430</v>
      </c>
    </row>
    <row r="16" customFormat="false" ht="15" hidden="false" customHeight="false" outlineLevel="0" collapsed="false">
      <c r="A16" s="6" t="s">
        <v>431</v>
      </c>
      <c r="B16" s="4" t="str">
        <f aca="false">IF(Valuation!$F$17&gt;0,"PASS","WARN")</f>
        <v>PASS</v>
      </c>
      <c r="C16" s="18" t="s">
        <v>432</v>
      </c>
    </row>
    <row r="17" customFormat="false" ht="15" hidden="false" customHeight="false" outlineLevel="0" collapsed="false">
      <c r="A17" s="6" t="s">
        <v>433</v>
      </c>
      <c r="B17" s="4" t="str">
        <f aca="false">IF(SUMPRODUCT(--ISERROR(Monthly!$C$4:$BJ$96))+SUMPRODUCT(--ISERROR(Headcount!$C$4:$BJ$19))+SUMPRODUCT(--ISERROR('P&amp;L'!$B$3:$F$26))+SUMPRODUCT(--ISERROR('Cash Flow'!$B$3:$F$18))+SUMPRODUCT(--ISERROR('Balance Sheet'!$B$3:$F$17))+SUMPRODUCT(--ISERROR(KPIs!$B$27:$F$44))+SUMPRODUCT(--ISERROR('Break-even'!$B$26:$F$33))+SUMPRODUCT(--ISERROR(Valuation!$B$14:$F$19))+SUMPRODUCT(--ISERROR('Break-even'!$B$3:$F$35))+SUMPRODUCT(--ISERROR(Valuation!$A$3:$F$40))+SUMPRODUCT(--ISERROR(Dashboard!$A$6:$W$44))+SUMPRODUCT(--ISERROR(Summary!$A$5:$S$52))+SUMPRODUCT(--ISERROR(KPIs!$A$4:$G$44))=0,"PASS","FAIL")</f>
        <v>PASS</v>
      </c>
      <c r="C17" s="18" t="s">
        <v>434</v>
      </c>
    </row>
    <row r="18" customFormat="false" ht="15" hidden="false" customHeight="false" outlineLevel="0" collapsed="false">
      <c r="A18" s="6" t="s">
        <v>435</v>
      </c>
      <c r="B18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436</v>
      </c>
    </row>
    <row r="19" customFormat="false" ht="15" hidden="false" customHeight="false" outlineLevel="0" collapsed="false">
      <c r="A19" s="6" t="s">
        <v>437</v>
      </c>
      <c r="B19" s="4" t="str">
        <f aca="false">IF(SUMPRODUCT(--(ABS(KPIs!$B$24:$F$24)&gt;0.000000001))&gt;0,"FAIL",IF(SUMPRODUCT(ISNUMBER(KPIs!$B$23:$F$23)*ISNUMBER(KPIs!$B$16:$F$16))=0,"n/a","PASS"))</f>
        <v>PASS</v>
      </c>
      <c r="C19" s="18" t="s">
        <v>438</v>
      </c>
    </row>
    <row r="20" customFormat="false" ht="15" hidden="false" customHeight="false" outlineLevel="0" collapsed="false">
      <c r="A20" s="6" t="s">
        <v>439</v>
      </c>
      <c r="B20" s="4" t="str">
        <f aca="false">IF(SUMPRODUCT(--(ABS(Monthly!$C$96:$BJ$96)&gt;0.5))=0,"PASS","FAIL")</f>
        <v>PASS</v>
      </c>
      <c r="C20" s="18" t="s">
        <v>440</v>
      </c>
    </row>
    <row r="21" customFormat="false" ht="15" hidden="false" customHeight="false" outlineLevel="0" collapsed="false">
      <c r="A21" s="6" t="s">
        <v>441</v>
      </c>
      <c r="B21" s="4" t="str">
        <f aca="false">IF(MIN(Monthly!$C$78:$BJ$78)&gt;=0,"PASS","WARN")</f>
        <v>PASS</v>
      </c>
      <c r="C21" s="18" t="s">
        <v>442</v>
      </c>
    </row>
    <row r="23" customFormat="false" ht="15" hidden="false" customHeight="false" outlineLevel="0" collapsed="false">
      <c r="A23" s="54" t="s">
        <v>443</v>
      </c>
      <c r="B23" s="54" t="str">
        <f aca="false">IF(COUNTIF(B4:B21,"FAIL")&gt;0,"FAIL",IF(COUNTIF(B4:B21,"WARN")&gt;0,"PASS WITH WARNINGS","PASS"))</f>
        <v>PASS</v>
      </c>
      <c r="C23" s="101"/>
    </row>
  </sheetData>
  <conditionalFormatting sqref="B4:B23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2026-10-21T08:15:20Z</dcterms:created>
  <dc:creator/>
  <dc:description/>
  <dc:language>en-US</dc:language>
  <cp:lastModifiedBy/>
  <dcterms:modified xsi:type="dcterms:W3CDTF">2026-10-21T08:15:22Z</dcterms:modified>
  <cp:revision>0</cp:revision>
  <dc:subject/>
  <dc:title>Retail / e-commerce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