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Break-even" sheetId="4" state="visible" r:id="rId6"/>
    <sheet name="Valuation" sheetId="5" state="visible" r:id="rId7"/>
    <sheet name="Sources &amp; Uses" sheetId="6" state="visible" r:id="rId8"/>
    <sheet name="KPIs" sheetId="7" state="visible" r:id="rId9"/>
    <sheet name="Inputs" sheetId="8" state="visible" r:id="rId10"/>
    <sheet name="P&amp;L" sheetId="9" state="visible" r:id="rId11"/>
    <sheet name="Cash Flow" sheetId="10" state="visible" r:id="rId12"/>
    <sheet name="Balance Sheet" sheetId="11" state="visible" r:id="rId13"/>
    <sheet name="Monthly" sheetId="12" state="visible" r:id="rId14"/>
    <sheet name="Headcount" sheetId="13" state="visible" r:id="rId15"/>
    <sheet name="Check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<sst xmlns="http://schemas.openxmlformats.org/spreadsheetml/2006/main" count="775" uniqueCount="467">
  <si>
    <t xml:space="preserve">Hair salon financial model (planning)</t>
  </si>
  <si>
    <t xml:space="preserve">5-year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</si>
  <si>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</si>
  <si>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</si>
  <si>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</si>
  <si>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</si>
  <si>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</si>
  <si>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21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</si>
  <si>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</si>
  <si>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</si>
  <si>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</si>
  <si>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</si>
  <si>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</si>
  <si>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</si>
  <si>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</si>
  <si>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</si>
  <si>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</si>
  <si>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</si>
  <si>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</si>
  <si>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</si>
  <si>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</si>
  <si>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</si>
  <si>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</si>
  <si>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</si>
  <si>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</si>
  <si>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</si>
  <si>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</si>
  <si>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</si>
  <si>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</si>
  <si>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</si>
  <si>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</si>
  <si>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</si>
  <si>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</si>
  <si>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</si>
  <si>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</si>
  <si>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</si>
  <si>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</si>
  <si>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</si>
  <si>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</si>
  <si>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</si>
  <si>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</si>
  <si>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</si>
  <si>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</si>
  <si>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</si>
  <si>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</si>
  <si>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</si>
  <si>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</si>
  <si>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</si>
  <si>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</si>
  <si>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</si>
  <si>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</si>
  <si>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</si>
  <si>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</si>
  <si>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</si>
  <si>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</si>
  <si>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Salon metrics</t>
  </si>
  <si>
    <t xml:space="preserve">Services performed</t>
  </si>
  <si>
    <t xml:space="preserve">Chair utilisation</t>
  </si>
  <si>
    <t xml:space="preserve">Revenue per service (service revenue ÷ services)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</si>
  <si>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</si>
  <si>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</si>
  <si>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</si>
  <si>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</si>
  <si>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</si>
  <si>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</si>
  <si>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</si>
  <si>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</si>
  <si>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</si>
  <si>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</si>
  <si>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</si>
  <si>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</si>
  <si>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</si>
  <si>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</si>
  <si>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</si>
  <si>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</si>
  <si>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</si>
  <si>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</si>
  <si>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</si>
  <si>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</si>
  <si>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</si>
  <si>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</si>
  <si>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</si>
  <si>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</si>
  <si>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</si>
  <si>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</si>
  <si>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</si>
  <si>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</si>
  <si>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</si>
  <si>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</si>
  <si>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</si>
  <si>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</si>
  <si>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</si>
  <si>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</si>
  <si>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</si>
  <si>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</si>
  <si>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</si>
  <si>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</si>
  <si>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</si>
  <si>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</si>
  <si>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</si>
  <si>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</si>
  <si>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</si>
  <si>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Lowest cash point (month #)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</si>
  <si>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</si>
  <si>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</si>
  <si>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</si>
  <si>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</si>
  <si>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</si>
  <si>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</si>
  <si>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</si>
  <si>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</si>
  <si>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</si>
  <si>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</si>
  <si>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</si>
  <si>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</si>
  <si>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</si>
  <si>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</si>
  <si>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</si>
  <si>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</si>
  <si>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</si>
  <si>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</si>
  <si>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</si>
  <si>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</si>
  <si>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</si>
  <si>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</si>
  <si>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</si>
  <si>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</si>
  <si>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</si>
  <si>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</si>
  <si>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</si>
  <si>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</si>
  <si>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</si>
  <si>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</si>
  <si>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</si>
  <si>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</si>
  <si>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</si>
  <si>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</si>
  <si>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</si>
  <si>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</si>
  <si>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</si>
  <si>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</si>
  <si>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</si>
  <si>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</si>
  <si>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</si>
  <si>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</si>
  <si>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</si>
  <si>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</si>
  <si>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</si>
  <si>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</si>
  <si>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</si>
  <si>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</si>
  <si>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</si>
  <si>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</si>
  <si>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</si>
  <si>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</si>
  <si>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</si>
  <si>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</si>
  <si>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</si>
  <si>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</si>
  <si>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</si>
  <si>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</si>
  <si>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</si>
  <si>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</si>
  <si>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</si>
  <si>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</si>
  <si>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</si>
  <si>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</si>
  <si>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</si>
  <si>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</si>
  <si>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</si>
  <si>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60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</si>
  <si>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</si>
  <si>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</si>
  <si>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</si>
  <si>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</si>
  <si>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</si>
  <si>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</si>
  <si>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</si>
  <si>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</si>
  <si>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</si>
  <si>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</si>
  <si>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</si>
  <si>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</si>
  <si>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Hair salon financial model (planning)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</si>
  <si>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</si>
  <si>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</si>
  <si>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</si>
  <si>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</si>
  <si>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</si>
  <si>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</si>
  <si>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</si>
  <si>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</si>
  <si>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</si>
  <si>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</si>
  <si>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</si>
  <si>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</si>
  <si>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</si>
  <si>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</si>
  <si>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</si>
  <si>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Salon metrics ($'000; per-unit rows in $)</t>
  </si>
  <si>
    <t xml:space="preserve">Styling chairs (year end)</t>
  </si>
  <si>
    <t xml:space="preserve">Chairs rented to independent stylists</t>
  </si>
  <si>
    <t xml:space="preserve">Bookable chair hours (employed chairs)</t>
  </si>
  <si>
    <t xml:space="preserve">Booked chair hours</t>
  </si>
  <si>
    <t xml:space="preserve">Chair utilisation (booked ÷ bookable hours)</t>
  </si>
  <si>
    <t xml:space="preserve">Service revenue</t>
  </si>
  <si>
    <t xml:space="preserve">Revenue per service ($)</t>
  </si>
  <si>
    <t xml:space="preserve">Retail product sales</t>
  </si>
  <si>
    <t xml:space="preserve">Retail products, % of service revenue</t>
  </si>
  <si>
    <t xml:space="preserve">Chair rent income</t>
  </si>
  <si>
    <t xml:space="preserve">Service revenue per employed chair (year-end chairs)</t>
  </si>
  <si>
    <t xml:space="preserve">Chair rent per rented chair per month ($)</t>
  </si>
  <si>
    <t xml:space="preserve">Inputs — Low / Base / High</t>
  </si>
  <si>
    <t xml:space="preserve">Illustrative assumptions — replace them with your own numbers.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</si>
  <si>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</si>
  <si>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</si>
  <si>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</si>
  <si>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</si>
  <si>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</si>
  <si>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Unit</t>
  </si>
  <si>
    <t xml:space="preserve">Source / comment</t>
  </si>
  <si>
    <t xml:space="preserve">Chairs &amp; booking</t>
  </si>
  <si>
    <t xml:space="preserve">Styling chairs at start</t>
  </si>
  <si>
    <t xml:space="preserve">#</t>
  </si>
  <si>
    <t xml:space="preserve">Chairs added each year (from year 2)</t>
  </si>
  <si>
    <t xml:space="preserve">Low ≤ Base ≤ High</t>
  </si>
  <si>
    <t xml:space="preserve">Days open per month</t>
  </si>
  <si>
    <t xml:space="preserve">days</t>
  </si>
  <si>
    <t xml:space="preserve">Bookable service hours per chair per day</t>
  </si>
  <si>
    <t xml:space="preserve">hours</t>
  </si>
  <si>
    <t xml:space="preserve">Chair utilisation, booked ÷ bookable hours (year 1)</t>
  </si>
  <si>
    <t xml:space="preserve">%</t>
  </si>
  <si>
    <t xml:space="preserve">Utilisation gain per year (percentage points)</t>
  </si>
  <si>
    <t xml:space="preserve">Utilisation ceiling</t>
  </si>
  <si>
    <t xml:space="preserve">Services per booked hour</t>
  </si>
  <si>
    <t xml:space="preserve">Prices</t>
  </si>
  <si>
    <t xml:space="preserve">Average service price (year 1)</t>
  </si>
  <si>
    <t xml:space="preserve">$</t>
  </si>
  <si>
    <t xml:space="preserve">Price increase per year</t>
  </si>
  <si>
    <t xml:space="preserve">Retail products</t>
  </si>
  <si>
    <t xml:space="preserve">Services with a retail product sale (attach rate)</t>
  </si>
  <si>
    <t xml:space="preserve">Average retail product sale (year 1)</t>
  </si>
  <si>
    <t xml:space="preserve">Chair rent</t>
  </si>
  <si>
    <t xml:space="preserve">Chair rent per rented chair per week (year 1)</t>
  </si>
  <si>
    <t xml:space="preserve">Rented chairs paying rent (occupancy)</t>
  </si>
  <si>
    <t xml:space="preserve">Stylist commission, % of service revenue</t>
  </si>
  <si>
    <t xml:space="preserve">Low ≥ Base ≥ High (lower is better)</t>
  </si>
  <si>
    <t xml:space="preserve">Retail product cost, % of product sales</t>
  </si>
  <si>
    <t xml:space="preserve">Backbar supplies per service (year 1)</t>
  </si>
  <si>
    <t xml:space="preserve">Card fees, % of service &amp; product sales</t>
  </si>
  <si>
    <t xml:space="preserve">Operating costs</t>
  </si>
  <si>
    <t xml:space="preserve">Marketing budget per month (year 1)</t>
  </si>
  <si>
    <t xml:space="preserve">Marketing budget growth per year</t>
  </si>
  <si>
    <t xml:space="preserve">Salon rent per month</t>
  </si>
  <si>
    <t xml:space="preserve">Utilities per month</t>
  </si>
  <si>
    <t xml:space="preserve">Booking software per month</t>
  </si>
  <si>
    <t xml:space="preserve">Insurance &amp; licences per month</t>
  </si>
  <si>
    <t xml:space="preserve">Towels, laundry &amp; cleaning per month</t>
  </si>
  <si>
    <t xml:space="preserve">Other G&amp;A per month (accounting, bank, legal)</t>
  </si>
  <si>
    <t xml:space="preserve">Capex</t>
  </si>
  <si>
    <t xml:space="preserve">Fit-out &amp; refurbishment (month 1)</t>
  </si>
  <si>
    <t xml:space="preserve">Styling station &amp; chair, per chair</t>
  </si>
  <si>
    <t xml:space="preserve">Chairs already equipped at start</t>
  </si>
  <si>
    <t xml:space="preserve">Backwash units to buy at start</t>
  </si>
  <si>
    <t xml:space="preserve">Backwash unit, each</t>
  </si>
  <si>
    <t xml:space="preserve">Headcount</t>
  </si>
  <si>
    <t xml:space="preserve">Salon manager: headcount (FTE)</t>
  </si>
  <si>
    <t xml:space="preserve">FTE</t>
  </si>
  <si>
    <t xml:space="preserve">Salon manager: salary per FTE per year</t>
  </si>
  <si>
    <t xml:space="preserve">Salon manager: headcount growth per year</t>
  </si>
  <si>
    <t xml:space="preserve">Salon manager: first month on payroll</t>
  </si>
  <si>
    <t xml:space="preserve">month #</t>
  </si>
  <si>
    <t xml:space="preserve">Receptionist: headcount (FTE)</t>
  </si>
  <si>
    <t xml:space="preserve">Receptionist: salary per FTE per year</t>
  </si>
  <si>
    <t xml:space="preserve">Receptionist: headcount growth per year</t>
  </si>
  <si>
    <t xml:space="preserve">Receptionist: first month on payroll</t>
  </si>
  <si>
    <t xml:space="preserve">Shampoo &amp; floor assistants: headcount (FTE)</t>
  </si>
  <si>
    <t xml:space="preserve">Shampoo &amp; floor assistants: salary per FTE per year</t>
  </si>
  <si>
    <t xml:space="preserve">Shampoo &amp; floor assistants: headcount growth per year</t>
  </si>
  <si>
    <t xml:space="preserve">Shampoo &amp; floor assistants: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</si>
  <si>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</si>
  <si>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</si>
  <si>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</si>
  <si>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</si>
  <si>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</si>
  <si>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</si>
  <si>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</si>
  <si>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</si>
  <si>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</si>
  <si>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</si>
  <si>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</si>
  <si>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</si>
  <si>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</si>
  <si>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</si>
  <si>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</si>
  <si>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</si>
  <si>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</si>
  <si>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</si>
  <si>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</si>
  <si>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</si>
  <si>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</si>
  <si>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</si>
  <si>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</si>
  <si>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</si>
  <si>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Staff payroll (manager, reception, assistants)</t>
  </si>
  <si>
    <t xml:space="preserve">Marketing</t>
  </si>
  <si>
    <t xml:space="preserve">Salon rent</t>
  </si>
  <si>
    <t xml:space="preserve">Utilities</t>
  </si>
  <si>
    <t xml:space="preserve">Booking software</t>
  </si>
  <si>
    <t xml:space="preserve">Insurance &amp; licences</t>
  </si>
  <si>
    <t xml:space="preserve">Towels, laundry &amp; cleaning</t>
  </si>
  <si>
    <t xml:space="preserve">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</si>
  <si>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</si>
  <si>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</si>
  <si>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</si>
  <si>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</si>
  <si>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</si>
  <si>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</si>
  <si>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</si>
  <si>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</si>
  <si>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</si>
  <si>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</si>
  <si>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</si>
  <si>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</si>
  <si>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</si>
  <si>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</si>
  <si>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</si>
  <si>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</si>
  <si>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</si>
  <si>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</si>
  <si>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</si>
  <si>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</si>
  <si>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</si>
  <si>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</si>
  <si>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</si>
  <si>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</si>
  <si>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</si>
  <si>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</si>
  <si>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</si>
  <si>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</si>
  <si>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</si>
  <si>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</si>
  <si>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</si>
  <si>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</si>
  <si>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</si>
  <si>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</si>
  <si>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</si>
  <si>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</si>
  <si>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</si>
  <si>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</si>
  <si>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</si>
  <si>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</si>
  <si>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</si>
  <si>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</si>
  <si>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</si>
  <si>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</si>
  <si>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</si>
  <si>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</si>
  <si>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</si>
  <si>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</si>
  <si>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</si>
  <si>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</si>
  <si>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</si>
  <si>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</si>
  <si>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</si>
  <si>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</si>
  <si>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</si>
  <si>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</si>
  <si>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</si>
  <si>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</si>
  <si>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</si>
  <si>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</si>
  <si>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</si>
  <si>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</si>
  <si>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</si>
  <si>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</si>
  <si>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</si>
  <si>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</si>
  <si>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</si>
  <si>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</si>
  <si>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</si>
  <si>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</si>
  <si>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Styling chairs</t>
  </si>
  <si>
    <t xml:space="preserve">Chairs worked by employed stylists</t>
  </si>
  <si>
    <t xml:space="preserve">Average service price</t>
  </si>
  <si>
    <t xml:space="preserve">Stylist commission (with payroll taxes)</t>
  </si>
  <si>
    <t xml:space="preserve">Retail product cost</t>
  </si>
  <si>
    <t xml:space="preserve">Backbar supplies</t>
  </si>
  <si>
    <t xml:space="preserve">Card fees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</si>
  <si>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</si>
  <si>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</si>
  <si>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</si>
  <si>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</si>
  <si>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</si>
  <si>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Capital spending (fit-out, stations, wash units; stations for chairs added)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</si>
  <si>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</si>
  <si>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</si>
  <si>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</si>
  <si>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</si>
  <si>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</si>
  <si>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</si>
  <si>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</si>
  <si>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</si>
  <si>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</si>
  <si>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</si>
  <si>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</si>
  <si>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</si>
  <si>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</si>
  <si>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</si>
  <si>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</si>
  <si>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</si>
  <si>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</si>
  <si>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</si>
  <si>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</si>
  <si>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</si>
  <si>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Salon manager — FTE</t>
  </si>
  <si>
    <t xml:space="preserve">Receptionist — FTE</t>
  </si>
  <si>
    <t xml:space="preserve">Shampoo &amp; floor assistants — FTE</t>
  </si>
  <si>
    <t xml:space="preserve">Total FTE</t>
  </si>
  <si>
    <t xml:space="preserve">Payroll cost (salary + taxes &amp; benefits)</t>
  </si>
  <si>
    <t xml:space="preserve">Salon manager — payroll cost</t>
  </si>
  <si>
    <t xml:space="preserve">Receptionist — payroll cost</t>
  </si>
  <si>
    <t xml:space="preserve">Shampoo &amp; floor assistants — payroll cost</t>
  </si>
  <si>
    <t xml:space="preserve">Total payroll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</si>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</sst>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\$#,##0.00;&quot;($&quot;#,##0.00\)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0"/>
    <numFmt numFmtId="184" formatCode="\$#,##0;&quot;($&quot;#,##0\);\-"/>
    <numFmt numFmtId="185" formatCode="0.0%;\(0.0%\);\-"/>
    <numFmt numFmtId="186" formatCode="0.0\x"/>
    <numFmt numFmtId="187" formatCode="0.000"/>
    <numFmt numFmtId="188" formatCode="0.0\x;\(0.0&quot;x)&quot;;\-"/>
    <numFmt numFmtId="189" formatCode="#,##0.0;\(#,##0.0\);\-"/>
    <numFmt numFmtId="190" formatCode="#,##0;\(#,##0\);\-"/>
    <numFmt numFmtId="191" formatCode="\$#,##0.00;&quot;($&quot;#,##0.00\);\-"/>
    <numFmt numFmtId="192" formatCode="[&gt;=1000000]\$#,##0.0,,\M;[&gt;=1000]\$#,##0,\k;\$#,##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8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9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479059.2</c:v>
                </c:pt>
                <c:pt idx="1">
                  <c:v>598797.504</c:v>
                </c:pt>
                <c:pt idx="2">
                  <c:v>725288.95296</c:v>
                </c:pt>
                <c:pt idx="3">
                  <c:v>858830.971104</c:v>
                </c:pt>
                <c:pt idx="4">
                  <c:v>942164.325258048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-30755.4944000001</c:v>
                </c:pt>
                <c:pt idx="1">
                  <c:v>16168.694272</c:v>
                </c:pt>
                <c:pt idx="2">
                  <c:v>65806.9542092801</c:v>
                </c:pt>
                <c:pt idx="3">
                  <c:v>118279.897917952</c:v>
                </c:pt>
                <c:pt idx="4">
                  <c:v>149921.613422923</c:v>
                </c:pt>
              </c:numCache>
            </c:numRef>
          </c:val>
        </c:ser>
        <c:gapWidth val="60"/>
        <c:overlap val="0"/>
        <c:axId val="31749096"/>
        <c:axId val="94109792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-0.0641997782320015</c:v>
                </c:pt>
                <c:pt idx="1">
                  <c:v>0.0270019399947265</c:v>
                </c:pt>
                <c:pt idx="2">
                  <c:v>0.0907320509166908</c:v>
                </c:pt>
                <c:pt idx="3">
                  <c:v>0.137721975449845</c:v>
                </c:pt>
                <c:pt idx="4">
                  <c:v>0.159124697681438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206746"/>
        <c:axId val="64002765"/>
      </c:lineChart>
      <c:catAx>
        <c:axId val="3174909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109792"/>
        <c:crosses val="autoZero"/>
        <c:auto val="1"/>
        <c:lblAlgn val="ctr"/>
        <c:lblOffset val="100"/>
        <c:noMultiLvlLbl val="0"/>
      </c:catAx>
      <c:valAx>
        <c:axId val="9410979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1749096"/>
        <c:crosses val="autoZero"/>
        <c:crossBetween val="between"/>
      </c:valAx>
      <c:catAx>
        <c:axId val="29206746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002765"/>
        <c:crosses val="autoZero"/>
        <c:auto val="1"/>
        <c:lblAlgn val="ctr"/>
        <c:lblOffset val="100"/>
        <c:noMultiLvlLbl val="0"/>
      </c:catAx>
      <c:valAx>
        <c:axId val="64002765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920674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-34795.0636444445</c:v>
                </c:pt>
                <c:pt idx="1">
                  <c:v>12461.3219626667</c:v>
                </c:pt>
                <c:pt idx="2">
                  <c:v>63236.9586737067</c:v>
                </c:pt>
                <c:pt idx="3">
                  <c:v>99441.0188111372</c:v>
                </c:pt>
                <c:pt idx="4">
                  <c:v>121955.062840891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-127400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207166.666666667</c:v>
                </c:pt>
                <c:pt idx="1">
                  <c:v>-14000</c:v>
                </c:pt>
                <c:pt idx="2">
                  <c:v>-14000</c:v>
                </c:pt>
                <c:pt idx="3">
                  <c:v>-14000</c:v>
                </c:pt>
                <c:pt idx="4">
                  <c:v>-14000</c:v>
                </c:pt>
              </c:numCache>
            </c:numRef>
          </c:val>
        </c:ser>
        <c:gapWidth val="60"/>
        <c:overlap val="0"/>
        <c:axId val="13435305"/>
        <c:axId val="22374320"/>
      </c:barChart>
      <c:catAx>
        <c:axId val="1343530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2374320"/>
        <c:crosses val="autoZero"/>
        <c:auto val="1"/>
        <c:lblAlgn val="ctr"/>
        <c:lblOffset val="100"/>
        <c:noMultiLvlLbl val="0"/>
      </c:catAx>
      <c:valAx>
        <c:axId val="2237432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34353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44971.6030222222</c:v>
                </c:pt>
                <c:pt idx="1">
                  <c:v>43432.9249848889</c:v>
                </c:pt>
                <c:pt idx="2">
                  <c:v>92669.8836585956</c:v>
                </c:pt>
                <c:pt idx="3">
                  <c:v>178110.902469733</c:v>
                </c:pt>
                <c:pt idx="4">
                  <c:v>286065.965310624</c:v>
                </c:pt>
              </c:numCache>
            </c:numRef>
          </c:val>
        </c:ser>
        <c:gapWidth val="60"/>
        <c:overlap val="0"/>
        <c:axId val="17180267"/>
        <c:axId val="86676907"/>
      </c:barChart>
      <c:catAx>
        <c:axId val="1718026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6676907"/>
        <c:crosses val="autoZero"/>
        <c:auto val="1"/>
        <c:lblAlgn val="ctr"/>
        <c:lblOffset val="100"/>
        <c:noMultiLvlLbl val="0"/>
      </c:catAx>
      <c:valAx>
        <c:axId val="8667690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71802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Services performed &amp; chair utilisation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Services performed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Dashboard!$B$28:$F$28</c:f>
              <c:numCache>
                <c:formatCode>#,##0;\(#,##0\);\-</c:formatCode>
                <c:ptCount val="5"/>
                <c:pt idx="0">
                  <c:v>6220.8</c:v>
                </c:pt>
                <c:pt idx="1">
                  <c:v>7603.2</c:v>
                </c:pt>
                <c:pt idx="2">
                  <c:v>8985.6</c:v>
                </c:pt>
                <c:pt idx="3">
                  <c:v>10368</c:v>
                </c:pt>
                <c:pt idx="4">
                  <c:v>11059.2</c:v>
                </c:pt>
              </c:numCache>
            </c:numRef>
          </c:val>
        </c:ser>
        <c:gapWidth val="60"/>
        <c:overlap val="0"/>
        <c:axId val="18268481"/>
        <c:axId val="19774811"/>
      </c:barChart>
      <c:lineChart>
        <c:grouping val="standard"/>
        <c:varyColors val="0"/>
        <c:ser>
          <c:idx val="1"/>
          <c:order val="1"/>
          <c:tx>
            <c:strRef>
              <c:f>Dashboard!$A$29</c:f>
              <c:strCache>
                <c:ptCount val="1"/>
                <c:pt idx="0">
                  <c:v>Chair utilisation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Dashboard!$B$29:$F$29</c:f>
              <c:numCache>
                <c:formatCode>0.0%;\(0.0%\);\-</c:formatCode>
                <c:ptCount val="5"/>
                <c:pt idx="0">
                  <c:v>0.45</c:v>
                </c:pt>
                <c:pt idx="1">
                  <c:v>0.55</c:v>
                </c:pt>
                <c:pt idx="2">
                  <c:v>0.65</c:v>
                </c:pt>
                <c:pt idx="3">
                  <c:v>0.75</c:v>
                </c:pt>
                <c:pt idx="4">
                  <c:v>0.8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670270"/>
        <c:axId val="96018831"/>
      </c:lineChart>
      <c:catAx>
        <c:axId val="1826848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9774811"/>
        <c:crosses val="autoZero"/>
        <c:auto val="1"/>
        <c:lblAlgn val="ctr"/>
        <c:lblOffset val="100"/>
        <c:noMultiLvlLbl val="0"/>
      </c:catAx>
      <c:valAx>
        <c:axId val="1977481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268481"/>
        <c:crosses val="autoZero"/>
        <c:crossBetween val="between"/>
      </c:valAx>
      <c:catAx>
        <c:axId val="89670270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6018831"/>
        <c:crosses val="autoZero"/>
        <c:auto val="1"/>
        <c:lblAlgn val="ctr"/>
        <c:lblOffset val="100"/>
        <c:noMultiLvlLbl val="0"/>
      </c:catAx>
      <c:valAx>
        <c:axId val="9601883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967027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39921.6</c:v>
                </c:pt>
                <c:pt idx="1">
                  <c:v>39921.6</c:v>
                </c:pt>
                <c:pt idx="2">
                  <c:v>39921.6</c:v>
                </c:pt>
                <c:pt idx="3">
                  <c:v>39921.6</c:v>
                </c:pt>
                <c:pt idx="4">
                  <c:v>39921.6</c:v>
                </c:pt>
                <c:pt idx="5">
                  <c:v>39921.6</c:v>
                </c:pt>
                <c:pt idx="6">
                  <c:v>39921.6</c:v>
                </c:pt>
                <c:pt idx="7">
                  <c:v>39921.6</c:v>
                </c:pt>
                <c:pt idx="8">
                  <c:v>39921.6</c:v>
                </c:pt>
                <c:pt idx="9">
                  <c:v>39921.6</c:v>
                </c:pt>
                <c:pt idx="10">
                  <c:v>39921.6</c:v>
                </c:pt>
                <c:pt idx="11">
                  <c:v>39921.6</c:v>
                </c:pt>
              </c:numCache>
            </c:numRef>
          </c:val>
        </c:ser>
        <c:gapWidth val="60"/>
        <c:overlap val="0"/>
        <c:axId val="15570672"/>
        <c:axId val="45916738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-2562.95786666667</c:v>
                </c:pt>
                <c:pt idx="1">
                  <c:v>-2562.95786666667</c:v>
                </c:pt>
                <c:pt idx="2">
                  <c:v>-2562.95786666667</c:v>
                </c:pt>
                <c:pt idx="3">
                  <c:v>-2562.95786666667</c:v>
                </c:pt>
                <c:pt idx="4">
                  <c:v>-2562.95786666667</c:v>
                </c:pt>
                <c:pt idx="5">
                  <c:v>-2562.95786666667</c:v>
                </c:pt>
                <c:pt idx="6">
                  <c:v>-2562.95786666667</c:v>
                </c:pt>
                <c:pt idx="7">
                  <c:v>-2562.95786666667</c:v>
                </c:pt>
                <c:pt idx="8">
                  <c:v>-2562.95786666667</c:v>
                </c:pt>
                <c:pt idx="9">
                  <c:v>-2562.95786666667</c:v>
                </c:pt>
                <c:pt idx="10">
                  <c:v>-2562.95786666667</c:v>
                </c:pt>
                <c:pt idx="11">
                  <c:v>-2562.95786666667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-4546.29120000001</c:v>
                </c:pt>
                <c:pt idx="1">
                  <c:v>-4542.40231111112</c:v>
                </c:pt>
                <c:pt idx="2">
                  <c:v>-4534.62453333334</c:v>
                </c:pt>
                <c:pt idx="3">
                  <c:v>-4526.84675555556</c:v>
                </c:pt>
                <c:pt idx="4">
                  <c:v>-4519.06897777778</c:v>
                </c:pt>
                <c:pt idx="5">
                  <c:v>-4511.29120000001</c:v>
                </c:pt>
                <c:pt idx="6">
                  <c:v>-4503.51342222223</c:v>
                </c:pt>
                <c:pt idx="7">
                  <c:v>-4495.73564444445</c:v>
                </c:pt>
                <c:pt idx="8">
                  <c:v>-4487.95786666667</c:v>
                </c:pt>
                <c:pt idx="9">
                  <c:v>-4480.18008888889</c:v>
                </c:pt>
                <c:pt idx="10">
                  <c:v>-4472.40231111112</c:v>
                </c:pt>
                <c:pt idx="11">
                  <c:v>-4464.62453333334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570672"/>
        <c:axId val="45916738"/>
      </c:lineChart>
      <c:catAx>
        <c:axId val="15570672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916738"/>
        <c:crosses val="autoZero"/>
        <c:auto val="1"/>
        <c:lblAlgn val="ctr"/>
        <c:lblOffset val="100"/>
        <c:noMultiLvlLbl val="0"/>
      </c:catAx>
      <c:valAx>
        <c:axId val="4591673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55706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-1939.74933333334</c:v>
                </c:pt>
                <c:pt idx="1">
                  <c:v>-3025.73564444445</c:v>
                </c:pt>
                <c:pt idx="2">
                  <c:v>-3017.95786666667</c:v>
                </c:pt>
                <c:pt idx="3">
                  <c:v>-3010.18008888889</c:v>
                </c:pt>
                <c:pt idx="4">
                  <c:v>-3002.40231111112</c:v>
                </c:pt>
                <c:pt idx="5">
                  <c:v>-2994.62453333334</c:v>
                </c:pt>
                <c:pt idx="6">
                  <c:v>-2986.84675555556</c:v>
                </c:pt>
                <c:pt idx="7">
                  <c:v>-2979.06897777778</c:v>
                </c:pt>
                <c:pt idx="8">
                  <c:v>-2971.2912</c:v>
                </c:pt>
                <c:pt idx="9">
                  <c:v>-2963.51342222223</c:v>
                </c:pt>
                <c:pt idx="10">
                  <c:v>-2955.73564444445</c:v>
                </c:pt>
                <c:pt idx="11">
                  <c:v>-2947.95786666667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-127400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220000</c:v>
                </c:pt>
                <c:pt idx="1">
                  <c:v>-1166.66666666667</c:v>
                </c:pt>
                <c:pt idx="2">
                  <c:v>-1166.66666666667</c:v>
                </c:pt>
                <c:pt idx="3">
                  <c:v>-1166.66666666667</c:v>
                </c:pt>
                <c:pt idx="4">
                  <c:v>-1166.66666666667</c:v>
                </c:pt>
                <c:pt idx="5">
                  <c:v>-1166.66666666667</c:v>
                </c:pt>
                <c:pt idx="6">
                  <c:v>-1166.66666666667</c:v>
                </c:pt>
                <c:pt idx="7">
                  <c:v>-1166.66666666667</c:v>
                </c:pt>
                <c:pt idx="8">
                  <c:v>-1166.66666666667</c:v>
                </c:pt>
                <c:pt idx="9">
                  <c:v>-1166.66666666667</c:v>
                </c:pt>
                <c:pt idx="10">
                  <c:v>-1166.66666666667</c:v>
                </c:pt>
                <c:pt idx="11">
                  <c:v>-1166.66666666667</c:v>
                </c:pt>
              </c:numCache>
            </c:numRef>
          </c:val>
        </c:ser>
        <c:gapWidth val="60"/>
        <c:overlap val="0"/>
        <c:axId val="82720535"/>
        <c:axId val="72124280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90660.2506666667</c:v>
                </c:pt>
                <c:pt idx="1">
                  <c:v>86467.8483555555</c:v>
                </c:pt>
                <c:pt idx="2">
                  <c:v>82283.2238222222</c:v>
                </c:pt>
                <c:pt idx="3">
                  <c:v>78106.3770666667</c:v>
                </c:pt>
                <c:pt idx="4">
                  <c:v>73937.3080888889</c:v>
                </c:pt>
                <c:pt idx="5">
                  <c:v>69776.0168888889</c:v>
                </c:pt>
                <c:pt idx="6">
                  <c:v>65622.5034666666</c:v>
                </c:pt>
                <c:pt idx="7">
                  <c:v>61476.7678222222</c:v>
                </c:pt>
                <c:pt idx="8">
                  <c:v>57338.8099555555</c:v>
                </c:pt>
                <c:pt idx="9">
                  <c:v>53208.6298666666</c:v>
                </c:pt>
                <c:pt idx="10">
                  <c:v>49086.2275555555</c:v>
                </c:pt>
                <c:pt idx="11">
                  <c:v>44971.6030222222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366619"/>
        <c:axId val="43436967"/>
      </c:lineChart>
      <c:catAx>
        <c:axId val="82720535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2124280"/>
        <c:crosses val="autoZero"/>
        <c:auto val="1"/>
        <c:lblAlgn val="ctr"/>
        <c:lblOffset val="100"/>
        <c:noMultiLvlLbl val="0"/>
      </c:catAx>
      <c:valAx>
        <c:axId val="7212428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2720535"/>
        <c:crosses val="autoZero"/>
        <c:crossBetween val="between"/>
      </c:valAx>
      <c:catAx>
        <c:axId val="25366619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436967"/>
        <c:crosses val="autoZero"/>
        <c:auto val="1"/>
        <c:lblAlgn val="ctr"/>
        <c:lblOffset val="100"/>
        <c:noMultiLvlLbl val="0"/>
      </c:catAx>
      <c:valAx>
        <c:axId val="43436967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536661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90660.2506666667</c:v>
                </c:pt>
                <c:pt idx="1">
                  <c:v>86467.8483555555</c:v>
                </c:pt>
                <c:pt idx="2">
                  <c:v>82283.2238222222</c:v>
                </c:pt>
                <c:pt idx="3">
                  <c:v>78106.3770666667</c:v>
                </c:pt>
                <c:pt idx="4">
                  <c:v>73937.3080888889</c:v>
                </c:pt>
                <c:pt idx="5">
                  <c:v>69776.0168888889</c:v>
                </c:pt>
                <c:pt idx="6">
                  <c:v>65622.5034666666</c:v>
                </c:pt>
                <c:pt idx="7">
                  <c:v>61476.7678222222</c:v>
                </c:pt>
                <c:pt idx="8">
                  <c:v>57338.8099555555</c:v>
                </c:pt>
                <c:pt idx="9">
                  <c:v>53208.6298666666</c:v>
                </c:pt>
                <c:pt idx="10">
                  <c:v>49086.2275555555</c:v>
                </c:pt>
                <c:pt idx="11">
                  <c:v>44971.6030222222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2661.44</c:v>
                </c:pt>
                <c:pt idx="1">
                  <c:v>2661.44</c:v>
                </c:pt>
                <c:pt idx="2">
                  <c:v>2661.44</c:v>
                </c:pt>
                <c:pt idx="3">
                  <c:v>2661.44</c:v>
                </c:pt>
                <c:pt idx="4">
                  <c:v>2661.44</c:v>
                </c:pt>
                <c:pt idx="5">
                  <c:v>2661.44</c:v>
                </c:pt>
                <c:pt idx="6">
                  <c:v>2661.44</c:v>
                </c:pt>
                <c:pt idx="7">
                  <c:v>2661.44</c:v>
                </c:pt>
                <c:pt idx="8">
                  <c:v>2661.44</c:v>
                </c:pt>
                <c:pt idx="9">
                  <c:v>2661.44</c:v>
                </c:pt>
                <c:pt idx="10">
                  <c:v>2661.44</c:v>
                </c:pt>
                <c:pt idx="11">
                  <c:v>2661.44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125883.333333333</c:v>
                </c:pt>
                <c:pt idx="1">
                  <c:v>124366.666666667</c:v>
                </c:pt>
                <c:pt idx="2">
                  <c:v>122850</c:v>
                </c:pt>
                <c:pt idx="3">
                  <c:v>121333.333333333</c:v>
                </c:pt>
                <c:pt idx="4">
                  <c:v>119816.666666667</c:v>
                </c:pt>
                <c:pt idx="5">
                  <c:v>118300</c:v>
                </c:pt>
                <c:pt idx="6">
                  <c:v>116783.333333333</c:v>
                </c:pt>
                <c:pt idx="7">
                  <c:v>115266.666666667</c:v>
                </c:pt>
                <c:pt idx="8">
                  <c:v>113750</c:v>
                </c:pt>
                <c:pt idx="9">
                  <c:v>112233.333333333</c:v>
                </c:pt>
                <c:pt idx="10">
                  <c:v>110716.666666667</c:v>
                </c:pt>
                <c:pt idx="11">
                  <c:v>109200</c:v>
                </c:pt>
              </c:numCache>
            </c:numRef>
          </c:val>
        </c:ser>
        <c:gapWidth val="60"/>
        <c:overlap val="100"/>
        <c:axId val="77479167"/>
        <c:axId val="18625179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145453.7088</c:v>
                </c:pt>
                <c:pt idx="1">
                  <c:v>140911.306488889</c:v>
                </c:pt>
                <c:pt idx="2">
                  <c:v>136376.681955556</c:v>
                </c:pt>
                <c:pt idx="3">
                  <c:v>131849.8352</c:v>
                </c:pt>
                <c:pt idx="4">
                  <c:v>127330.766222222</c:v>
                </c:pt>
                <c:pt idx="5">
                  <c:v>122819.475022222</c:v>
                </c:pt>
                <c:pt idx="6">
                  <c:v>118315.9616</c:v>
                </c:pt>
                <c:pt idx="7">
                  <c:v>113820.225955556</c:v>
                </c:pt>
                <c:pt idx="8">
                  <c:v>109332.268088889</c:v>
                </c:pt>
                <c:pt idx="9">
                  <c:v>104852.088</c:v>
                </c:pt>
                <c:pt idx="10">
                  <c:v>100379.685688889</c:v>
                </c:pt>
                <c:pt idx="11">
                  <c:v>95915.0611555555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7479167"/>
        <c:axId val="18625179"/>
      </c:lineChart>
      <c:catAx>
        <c:axId val="77479167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625179"/>
        <c:crosses val="autoZero"/>
        <c:auto val="1"/>
        <c:lblAlgn val="ctr"/>
        <c:lblOffset val="100"/>
        <c:noMultiLvlLbl val="0"/>
      </c:catAx>
      <c:valAx>
        <c:axId val="1862517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74791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150000</c:v>
                </c:pt>
                <c:pt idx="1">
                  <c:v>70000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34795.0636444445</c:v>
                </c:pt>
                <c:pt idx="1">
                  <c:v>127400</c:v>
                </c:pt>
                <c:pt idx="2">
                  <c:v>12833.3333333333</c:v>
                </c:pt>
                <c:pt idx="3">
                  <c:v>44971.6030222222</c:v>
                </c:pt>
              </c:numCache>
            </c:numRef>
          </c:val>
        </c:ser>
        <c:gapWidth val="60"/>
        <c:overlap val="0"/>
        <c:axId val="42243717"/>
        <c:axId val="26465479"/>
      </c:barChart>
      <c:catAx>
        <c:axId val="4224371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6465479"/>
        <c:crosses val="autoZero"/>
        <c:auto val="1"/>
        <c:lblAlgn val="ctr"/>
        <c:lblOffset val="100"/>
        <c:noMultiLvlLbl val="0"/>
      </c:catAx>
      <c:valAx>
        <c:axId val="2646547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2243717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KPIs!$B$7:$F$7</c:f>
              <c:numCache>
                <c:formatCode>0.0%;\(0.0%\);\-</c:formatCode>
                <c:ptCount val="5"/>
                <c:pt idx="0">
                  <c:v>0.436197667428159</c:v>
                </c:pt>
                <c:pt idx="1">
                  <c:v>0.432163281482215</c:v>
                </c:pt>
                <c:pt idx="2">
                  <c:v>0.429336254107339</c:v>
                </c:pt>
                <c:pt idx="3">
                  <c:v>0.427245144741664</c:v>
                </c:pt>
                <c:pt idx="4">
                  <c:v>0.426391247505677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KPIs!$B$8:$F$8</c:f>
              <c:numCache>
                <c:formatCode>0.0%;\(0.0%\);\-</c:formatCode>
                <c:ptCount val="5"/>
                <c:pt idx="0">
                  <c:v>-0.0641997782320015</c:v>
                </c:pt>
                <c:pt idx="1">
                  <c:v>0.0270019399947265</c:v>
                </c:pt>
                <c:pt idx="2">
                  <c:v>0.0907320509166908</c:v>
                </c:pt>
                <c:pt idx="3">
                  <c:v>0.137721975449845</c:v>
                </c:pt>
                <c:pt idx="4">
                  <c:v>0.159124697681438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KPIs!$B$9:$F$9</c:f>
              <c:numCache>
                <c:formatCode>0.0%;\(0.0%\);\-</c:formatCode>
                <c:ptCount val="5"/>
                <c:pt idx="0">
                  <c:v>-0.112898236469406</c:v>
                </c:pt>
                <c:pt idx="1">
                  <c:v>-0.0100946296885922</c:v>
                </c:pt>
                <c:pt idx="2">
                  <c:v>0.0616493891068719</c:v>
                </c:pt>
                <c:pt idx="3">
                  <c:v>0.0941972748073109</c:v>
                </c:pt>
                <c:pt idx="4">
                  <c:v>0.109900086953957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2573337"/>
        <c:axId val="55431285"/>
      </c:lineChart>
      <c:catAx>
        <c:axId val="1257333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5431285"/>
        <c:crosses val="autoZero"/>
        <c:auto val="1"/>
        <c:lblAlgn val="ctr"/>
        <c:lblOffset val="100"/>
        <c:noMultiLvlLbl val="0"/>
      </c:catAx>
      <c:valAx>
        <c:axId val="5543128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257333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KPIs!$B$15:$F$15</c:f>
              <c:numCache>
                <c:formatCode>0.0%;\(0.0%\);\-</c:formatCode>
                <c:ptCount val="5"/>
                <c:pt idx="0">
                  <c:v>-0.321767551954906</c:v>
                </c:pt>
                <c:pt idx="1">
                  <c:v>-0.0397864584743763</c:v>
                </c:pt>
                <c:pt idx="2">
                  <c:v>0.239436856238123</c:v>
                </c:pt>
                <c:pt idx="3">
                  <c:v>0.313590833956013</c:v>
                </c:pt>
                <c:pt idx="4">
                  <c:v>0.295655442435661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KPIs!$B$16:$F$16</c:f>
              <c:numCache>
                <c:formatCode>0.0%;\(0.0%\);\-</c:formatCode>
                <c:ptCount val="5"/>
                <c:pt idx="0">
                  <c:v>-0.563883692434177</c:v>
                </c:pt>
                <c:pt idx="1">
                  <c:v>-0.0672594933959026</c:v>
                </c:pt>
                <c:pt idx="2">
                  <c:v>0.332235678830496</c:v>
                </c:pt>
                <c:pt idx="3">
                  <c:v>0.375432490076604</c:v>
                </c:pt>
                <c:pt idx="4">
                  <c:v>0.32456115656927</c:v>
                </c:pt>
              </c:numCache>
            </c:numRef>
          </c:val>
        </c:ser>
        <c:gapWidth val="60"/>
        <c:overlap val="0"/>
        <c:axId val="3135392"/>
        <c:axId val="42836860"/>
      </c:barChart>
      <c:catAx>
        <c:axId val="313539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2836860"/>
        <c:crosses val="autoZero"/>
        <c:auto val="1"/>
        <c:lblAlgn val="ctr"/>
        <c:lblOffset val="100"/>
        <c:noMultiLvlLbl val="0"/>
      </c:catAx>
      <c:valAx>
        <c:axId val="4283686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1353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Services performed and chair utilisation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KPIs!$A$34</c:f>
              <c:strCache>
                <c:ptCount val="1"/>
                <c:pt idx="0">
                  <c:v>Services performed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KPIs!$B$34:$F$34</c:f>
              <c:numCache>
                <c:formatCode>#,##0;\(#,##0\);\-</c:formatCode>
                <c:ptCount val="5"/>
                <c:pt idx="0">
                  <c:v>6220.8</c:v>
                </c:pt>
                <c:pt idx="1">
                  <c:v>7603.2</c:v>
                </c:pt>
                <c:pt idx="2">
                  <c:v>8985.6</c:v>
                </c:pt>
                <c:pt idx="3">
                  <c:v>10368</c:v>
                </c:pt>
                <c:pt idx="4">
                  <c:v>11059.2</c:v>
                </c:pt>
              </c:numCache>
            </c:numRef>
          </c:val>
        </c:ser>
        <c:gapWidth val="60"/>
        <c:overlap val="0"/>
        <c:axId val="63274180"/>
        <c:axId val="6494407"/>
      </c:barChart>
      <c:lineChart>
        <c:grouping val="standard"/>
        <c:varyColors val="0"/>
        <c:ser>
          <c:idx val="1"/>
          <c:order val="1"/>
          <c:tx>
            <c:strRef>
              <c:f>KPIs!$A$33</c:f>
              <c:strCache>
                <c:ptCount val="1"/>
                <c:pt idx="0">
                  <c:v>Chair utilisation (booked ÷ bookable hours)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KPIs!$B$33:$F$33</c:f>
              <c:numCache>
                <c:formatCode>0.0%;\(0.0%\);\-</c:formatCode>
                <c:ptCount val="5"/>
                <c:pt idx="0">
                  <c:v>0.45</c:v>
                </c:pt>
                <c:pt idx="1">
                  <c:v>0.55</c:v>
                </c:pt>
                <c:pt idx="2">
                  <c:v>0.65</c:v>
                </c:pt>
                <c:pt idx="3">
                  <c:v>0.75</c:v>
                </c:pt>
                <c:pt idx="4">
                  <c:v>0.8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015615"/>
        <c:axId val="94265638"/>
      </c:lineChart>
      <c:catAx>
        <c:axId val="6327418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94407"/>
        <c:crosses val="autoZero"/>
        <c:auto val="1"/>
        <c:lblAlgn val="ctr"/>
        <c:lblOffset val="100"/>
        <c:noMultiLvlLbl val="0"/>
      </c:catAx>
      <c:valAx>
        <c:axId val="649440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3274180"/>
        <c:crosses val="autoZero"/>
        <c:crossBetween val="between"/>
      </c:valAx>
      <c:catAx>
        <c:axId val="98015615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265638"/>
        <c:crosses val="autoZero"/>
        <c:auto val="1"/>
        <c:lblAlgn val="ctr"/>
        <c:lblOffset val="100"/>
        <c:noMultiLvlLbl val="0"/>
      </c:catAx>
      <c:valAx>
        <c:axId val="9426563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01561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KPIs!$A$36</c:f>
              <c:strCache>
                <c:ptCount val="1"/>
                <c:pt idx="0">
                  <c:v>Service 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KPIs!$B$36:$F$36</c:f>
              <c:numCache>
                <c:formatCode>\$#,##0,;"($"#,##0,\);\-</c:formatCode>
                <c:ptCount val="5"/>
                <c:pt idx="0">
                  <c:v>423014.4</c:v>
                </c:pt>
                <c:pt idx="1">
                  <c:v>532528.128</c:v>
                </c:pt>
                <c:pt idx="2">
                  <c:v>648231.96672</c:v>
                </c:pt>
                <c:pt idx="3">
                  <c:v>770398.760448</c:v>
                </c:pt>
                <c:pt idx="4">
                  <c:v>846411.438145536</c:v>
                </c:pt>
              </c:numCache>
            </c:numRef>
          </c:val>
        </c:ser>
        <c:ser>
          <c:idx val="1"/>
          <c:order val="1"/>
          <c:tx>
            <c:strRef>
              <c:f>KPIs!$A$38</c:f>
              <c:strCache>
                <c:ptCount val="1"/>
                <c:pt idx="0">
                  <c:v>Retail product sales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KPIs!$B$38:$F$38</c:f>
              <c:numCache>
                <c:formatCode>\$#,##0,;"($"#,##0,\);\-</c:formatCode>
                <c:ptCount val="5"/>
                <c:pt idx="0">
                  <c:v>37324.8</c:v>
                </c:pt>
                <c:pt idx="1">
                  <c:v>46987.776</c:v>
                </c:pt>
                <c:pt idx="2">
                  <c:v>57196.93824</c:v>
                </c:pt>
                <c:pt idx="3">
                  <c:v>67976.361216</c:v>
                </c:pt>
                <c:pt idx="4">
                  <c:v>74683.362189312</c:v>
                </c:pt>
              </c:numCache>
            </c:numRef>
          </c:val>
        </c:ser>
        <c:ser>
          <c:idx val="2"/>
          <c:order val="2"/>
          <c:tx>
            <c:strRef>
              <c:f>KPIs!$A$40</c:f>
              <c:strCache>
                <c:ptCount val="1"/>
                <c:pt idx="0">
                  <c:v>Chair rent income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KPIs!$B$40:$F$40</c:f>
              <c:numCache>
                <c:formatCode>\$#,##0,;"($"#,##0,\);\-</c:formatCode>
                <c:ptCount val="5"/>
                <c:pt idx="0">
                  <c:v>18720</c:v>
                </c:pt>
                <c:pt idx="1">
                  <c:v>19281.6</c:v>
                </c:pt>
                <c:pt idx="2">
                  <c:v>19860.048</c:v>
                </c:pt>
                <c:pt idx="3">
                  <c:v>20455.84944</c:v>
                </c:pt>
                <c:pt idx="4">
                  <c:v>21069.5249232</c:v>
                </c:pt>
              </c:numCache>
            </c:numRef>
          </c:val>
        </c:ser>
        <c:gapWidth val="60"/>
        <c:overlap val="100"/>
        <c:axId val="80754654"/>
        <c:axId val="85966362"/>
      </c:barChart>
      <c:catAx>
        <c:axId val="8075465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966362"/>
        <c:crosses val="autoZero"/>
        <c:auto val="1"/>
        <c:lblAlgn val="ctr"/>
        <c:lblOffset val="100"/>
        <c:noMultiLvlLbl val="0"/>
      </c:catAx>
      <c:valAx>
        <c:axId val="8596636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07546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36720</xdr:colOff>
      <xdr:row>18</xdr:row>
      <xdr:rowOff>111240</xdr:rowOff>
    </xdr:to>
    <xdr:graphicFrame>
      <xdr:nvGraphicFramePr>
        <xdr:cNvPr id="9" name="Chart 1"/>
        <xdr:cNvGraphicFramePr/>
      </xdr:nvGraphicFramePr>
      <xdr:xfrm>
        <a:off x="82486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24</xdr:col>
      <xdr:colOff>36720</xdr:colOff>
      <xdr:row>18</xdr:row>
      <xdr:rowOff>111240</xdr:rowOff>
    </xdr:to>
    <xdr:graphicFrame>
      <xdr:nvGraphicFramePr>
        <xdr:cNvPr id="10" name="Chart 2"/>
        <xdr:cNvGraphicFramePr/>
      </xdr:nvGraphicFramePr>
      <xdr:xfrm>
        <a:off x="133236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36720</xdr:colOff>
      <xdr:row>35</xdr:row>
      <xdr:rowOff>120600</xdr:rowOff>
    </xdr:to>
    <xdr:graphicFrame>
      <xdr:nvGraphicFramePr>
        <xdr:cNvPr id="11" name="Chart 3"/>
        <xdr:cNvGraphicFramePr/>
      </xdr:nvGraphicFramePr>
      <xdr:xfrm>
        <a:off x="82486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36720</xdr:colOff>
      <xdr:row>35</xdr:row>
      <xdr:rowOff>120600</xdr:rowOff>
    </xdr:to>
    <xdr:graphicFrame>
      <xdr:nvGraphicFramePr>
        <xdr:cNvPr id="12" name="Chart 4"/>
        <xdr:cNvGraphicFramePr/>
      </xdr:nvGraphicFramePr>
      <xdr:xfrm>
        <a:off x="133236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Checks!B24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HYPERLINK("#'Break-even'!A1","Break-even")</f>
        <v>Break-even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HYPERLINK("#Valuation!A1","Valuation")</f>
        <v>Valuation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HYPERLINK("#'Sources &amp; Uses'!A1","Sources &amp; Uses")</f>
        <v>Sources &amp; Uses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HYPERLINK("#KPIs!A1","KPIs")</f>
        <v>KPIs</v>
      </c>
      <c r="D17" s="11" t="s">
        <v>15</v>
      </c>
    </row>
    <row r="18" customFormat="false" ht="15" hidden="false" customHeight="false" outlineLevel="0" collapsed="false">
      <c r="C18" s="8" t="s">
        <v>16</v>
      </c>
    </row>
    <row r="19" customFormat="false" ht="15" hidden="false" customHeight="false" outlineLevel="0" collapsed="false">
      <c r="B19" s="9" t="n">
        <v>7</v>
      </c>
      <c r="C19" s="10" t="str">
        <f aca="false">HYPERLINK("#Inputs!A1","Inputs")</f>
        <v>Inputs</v>
      </c>
      <c r="D19" s="11" t="s">
        <v>17</v>
      </c>
    </row>
    <row r="20" customFormat="false" ht="15" hidden="false" customHeight="false" outlineLevel="0" collapsed="false">
      <c r="C20" s="8" t="s">
        <v>18</v>
      </c>
    </row>
    <row r="21" customFormat="false" ht="15" hidden="false" customHeight="false" outlineLevel="0" collapsed="false">
      <c r="B21" s="9" t="n">
        <v>8</v>
      </c>
      <c r="C21" s="10" t="str">
        <f aca="false">HYPERLINK("#'P&amp;L'!A1","P&amp;L")</f>
        <v>P&amp;L</v>
      </c>
      <c r="D21" s="11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HYPERLINK("#'Cash Flow'!A1","Cash Flow")</f>
        <v>Cash Flow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HYPERLINK("#'Balance Sheet'!A1","Balance Sheet")</f>
        <v>Balance Sheet</v>
      </c>
      <c r="D23" s="11" t="s">
        <v>21</v>
      </c>
    </row>
    <row r="24" customFormat="false" ht="15" hidden="false" customHeight="false" outlineLevel="0" collapsed="false">
      <c r="C24" s="8" t="s">
        <v>22</v>
      </c>
    </row>
    <row r="25" customFormat="false" ht="15" hidden="false" customHeight="false" outlineLevel="0" collapsed="false">
      <c r="B25" s="9" t="n">
        <v>11</v>
      </c>
      <c r="C25" s="10" t="str">
        <f aca="false">HYPERLINK("#Monthly!A1","Monthly")</f>
        <v>Monthly</v>
      </c>
      <c r="D25" s="11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HYPERLINK("#Headcount!A1","Headcount")</f>
        <v>Headcount</v>
      </c>
      <c r="D26" s="11" t="s">
        <v>24</v>
      </c>
    </row>
    <row r="27" customFormat="false" ht="15" hidden="false" customHeight="false" outlineLevel="0" collapsed="false">
      <c r="C27" s="8" t="s">
        <v>25</v>
      </c>
    </row>
    <row r="28" customFormat="false" ht="15" hidden="false" customHeight="false" outlineLevel="0" collapsed="false">
      <c r="B28" s="9" t="n">
        <v>13</v>
      </c>
      <c r="C28" s="10" t="str">
        <f aca="false">HYPERLINK("#Checks!A1","Checks")</f>
        <v>Checks</v>
      </c>
      <c r="D28" s="11" t="s">
        <v>26</v>
      </c>
    </row>
    <row r="30" customFormat="false" ht="15" hidden="false" customHeight="false" outlineLevel="0" collapsed="false">
      <c r="B30" s="3" t="s">
        <v>27</v>
      </c>
    </row>
    <row r="31" customFormat="false" ht="15" hidden="false" customHeight="false" outlineLevel="0" collapsed="false">
      <c r="C31" s="12" t="n">
        <v>1000</v>
      </c>
      <c r="D31" s="6" t="s">
        <v>28</v>
      </c>
    </row>
    <row r="32" customFormat="false" ht="15" hidden="false" customHeight="false" outlineLevel="0" collapsed="false">
      <c r="C32" s="13" t="n">
        <v>1000</v>
      </c>
      <c r="D32" s="6" t="s">
        <v>29</v>
      </c>
    </row>
    <row r="33" customFormat="false" ht="15" hidden="false" customHeight="false" outlineLevel="0" collapsed="false">
      <c r="C33" s="14" t="n">
        <v>1000</v>
      </c>
      <c r="D33" s="6" t="s">
        <v>30</v>
      </c>
    </row>
    <row r="34" customFormat="false" ht="15" hidden="false" customHeight="false" outlineLevel="0" collapsed="false">
      <c r="C34" s="15" t="n">
        <v>1000</v>
      </c>
      <c r="D34" s="6" t="s">
        <v>31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32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33</v>
      </c>
      <c r="S4" s="22" t="s">
        <v>5</v>
      </c>
      <c r="T4" s="23" t="str">
        <f aca="false">Checks!B24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34</v>
      </c>
      <c r="B6" s="24"/>
      <c r="C6" s="24" t="s">
        <v>35</v>
      </c>
      <c r="D6" s="24"/>
      <c r="E6" s="24"/>
      <c r="F6" s="24"/>
      <c r="H6" s="24" t="s">
        <v>36</v>
      </c>
      <c r="I6" s="24"/>
      <c r="J6" s="24"/>
      <c r="K6" s="24"/>
      <c r="L6" s="24" t="s">
        <v>37</v>
      </c>
      <c r="M6" s="24"/>
      <c r="N6" s="24"/>
      <c r="O6" s="24"/>
      <c r="P6" s="24" t="s">
        <v>38</v>
      </c>
      <c r="Q6" s="24"/>
      <c r="R6" s="24"/>
      <c r="S6" s="24"/>
      <c r="T6" s="24" t="s">
        <v>39</v>
      </c>
      <c r="U6" s="24"/>
      <c r="V6" s="24"/>
      <c r="W6" s="24"/>
    </row>
    <row r="7" customFormat="false" ht="30" hidden="false" customHeight="true" outlineLevel="0" collapsed="false">
      <c r="A7" s="25" t="n">
        <f aca="false">F12</f>
        <v>942164.325258048</v>
      </c>
      <c r="B7" s="25"/>
      <c r="C7" s="26" t="n">
        <f aca="false">F17</f>
        <v>0.159124697681438</v>
      </c>
      <c r="D7" s="26"/>
      <c r="E7" s="26"/>
      <c r="F7" s="26"/>
      <c r="H7" s="25" t="n">
        <f aca="false">F18</f>
        <v>103543.941270776</v>
      </c>
      <c r="I7" s="25"/>
      <c r="J7" s="25"/>
      <c r="K7" s="25"/>
      <c r="L7" s="25" t="n">
        <f aca="false">F38</f>
        <v>43432.9249848889</v>
      </c>
      <c r="M7" s="25"/>
      <c r="N7" s="25"/>
      <c r="O7" s="25"/>
      <c r="P7" s="25" t="n">
        <f aca="false">F36</f>
        <v>236567.075015111</v>
      </c>
      <c r="Q7" s="25"/>
      <c r="R7" s="25"/>
      <c r="S7" s="25"/>
      <c r="T7" s="25" t="n">
        <f aca="false">F43</f>
        <v>185713.549564007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IF(AND(B12&gt;0,F12&gt;=0),(F12/B12)^(1/4)-1,"CAGR n/a")</f>
        <v>0.184225388709426</v>
      </c>
      <c r="B8" s="27"/>
      <c r="C8" s="28" t="n">
        <f aca="false">F16</f>
        <v>149921.613422923</v>
      </c>
      <c r="D8" s="28"/>
      <c r="E8" s="28"/>
      <c r="F8" s="28"/>
      <c r="H8" s="29" t="n">
        <f aca="false">F19</f>
        <v>0.109900086953957</v>
      </c>
      <c r="I8" s="29"/>
      <c r="J8" s="29"/>
      <c r="K8" s="29"/>
      <c r="L8" s="30" t="n">
        <f aca="false">'Break-even'!B6</f>
        <v>24</v>
      </c>
      <c r="M8" s="30"/>
      <c r="N8" s="30"/>
      <c r="O8" s="30"/>
      <c r="P8" s="31" t="n">
        <f aca="false">IF(F37&gt;=0,"Covered by funding raised",-F37)</f>
        <v>16567.0750151112</v>
      </c>
      <c r="Q8" s="31"/>
      <c r="R8" s="31"/>
      <c r="S8" s="31"/>
      <c r="T8" s="32" t="s">
        <v>40</v>
      </c>
      <c r="U8" s="32"/>
      <c r="V8" s="32"/>
      <c r="W8" s="32"/>
    </row>
    <row r="10" customFormat="false" ht="15.75" hidden="false" customHeight="true" outlineLevel="0" collapsed="false">
      <c r="A10" s="7" t="s">
        <v>41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4" t="n">
        <v>4</v>
      </c>
      <c r="F11" s="34" t="n">
        <v>5</v>
      </c>
    </row>
    <row r="12" customFormat="false" ht="15" hidden="false" customHeight="false" outlineLevel="0" collapsed="false">
      <c r="A12" s="6" t="s">
        <v>42</v>
      </c>
      <c r="B12" s="35" t="n">
        <f aca="false">SUMIF(Monthly!$C$5:$BJ$5,B$11,Monthly!$C$21:$BJ$21)</f>
        <v>479059.2</v>
      </c>
      <c r="C12" s="35" t="n">
        <f aca="false">SUMIF(Monthly!$C$5:$BJ$5,C$11,Monthly!$C$21:$BJ$21)</f>
        <v>598797.504</v>
      </c>
      <c r="D12" s="35" t="n">
        <f aca="false">SUMIF(Monthly!$C$5:$BJ$5,D$11,Monthly!$C$21:$BJ$21)</f>
        <v>725288.95296</v>
      </c>
      <c r="E12" s="35" t="n">
        <f aca="false">SUMIF(Monthly!$C$5:$BJ$5,E$11,Monthly!$C$21:$BJ$21)</f>
        <v>858830.971104</v>
      </c>
      <c r="F12" s="35" t="n">
        <f aca="false">SUMIF(Monthly!$C$5:$BJ$5,F$11,Monthly!$C$21:$BJ$21)</f>
        <v>942164.325258048</v>
      </c>
    </row>
    <row r="13" customFormat="false" ht="15" hidden="false" customHeight="false" outlineLevel="0" collapsed="false">
      <c r="A13" s="36" t="s">
        <v>43</v>
      </c>
      <c r="B13" s="37" t="n">
        <f aca="false">SUMIF(Monthly!$C$5:$BJ$5,B$11,Monthly!$C$29:$BJ$29)</f>
        <v>208964.5056</v>
      </c>
      <c r="C13" s="37" t="n">
        <f aca="false">SUMIF(Monthly!$C$5:$BJ$5,C$11,Monthly!$C$29:$BJ$29)</f>
        <v>258778.294272</v>
      </c>
      <c r="D13" s="37" t="n">
        <f aca="false">SUMIF(Monthly!$C$5:$BJ$5,D$11,Monthly!$C$29:$BJ$29)</f>
        <v>311392.84220928</v>
      </c>
      <c r="E13" s="37" t="n">
        <f aca="false">SUMIF(Monthly!$C$5:$BJ$5,E$11,Monthly!$C$29:$BJ$29)</f>
        <v>366931.362557952</v>
      </c>
      <c r="F13" s="37" t="n">
        <f aca="false">SUMIF(Monthly!$C$5:$BJ$5,F$11,Monthly!$C$29:$BJ$29)</f>
        <v>401730.622002123</v>
      </c>
    </row>
    <row r="14" customFormat="false" ht="15" hidden="false" customHeight="false" outlineLevel="0" collapsed="false">
      <c r="A14" s="38" t="s">
        <v>44</v>
      </c>
      <c r="B14" s="39" t="n">
        <f aca="false">IF(B12=0,0,B13/B12)</f>
        <v>0.436197667428159</v>
      </c>
      <c r="C14" s="39" t="n">
        <f aca="false">IF(C12=0,0,C13/C12)</f>
        <v>0.432163281482215</v>
      </c>
      <c r="D14" s="39" t="n">
        <f aca="false">IF(D12=0,0,D13/D12)</f>
        <v>0.429336254107339</v>
      </c>
      <c r="E14" s="39" t="n">
        <f aca="false">IF(E12=0,0,E13/E12)</f>
        <v>0.427245144741664</v>
      </c>
      <c r="F14" s="39" t="n">
        <f aca="false">IF(F12=0,0,F13/F12)</f>
        <v>0.426391247505677</v>
      </c>
    </row>
    <row r="15" customFormat="false" ht="15" hidden="false" customHeight="false" outlineLevel="0" collapsed="false">
      <c r="A15" s="6" t="s">
        <v>45</v>
      </c>
      <c r="B15" s="35" t="n">
        <f aca="false">SUMIF(Monthly!$C$5:$BJ$5,B$11,Monthly!$C$40:$BJ$40)</f>
        <v>-239720</v>
      </c>
      <c r="C15" s="35" t="n">
        <f aca="false">SUMIF(Monthly!$C$5:$BJ$5,C$11,Monthly!$C$40:$BJ$40)</f>
        <v>-242609.6</v>
      </c>
      <c r="D15" s="35" t="n">
        <f aca="false">SUMIF(Monthly!$C$5:$BJ$5,D$11,Monthly!$C$40:$BJ$40)</f>
        <v>-245585.888</v>
      </c>
      <c r="E15" s="35" t="n">
        <f aca="false">SUMIF(Monthly!$C$5:$BJ$5,E$11,Monthly!$C$40:$BJ$40)</f>
        <v>-248651.46464</v>
      </c>
      <c r="F15" s="35" t="n">
        <f aca="false">SUMIF(Monthly!$C$5:$BJ$5,F$11,Monthly!$C$40:$BJ$40)</f>
        <v>-251809.0085792</v>
      </c>
    </row>
    <row r="16" customFormat="false" ht="15" hidden="false" customHeight="false" outlineLevel="0" collapsed="false">
      <c r="A16" s="36" t="s">
        <v>46</v>
      </c>
      <c r="B16" s="37" t="n">
        <f aca="false">SUMIF(Monthly!$C$5:$BJ$5,B$11,Monthly!$C$41:$BJ$41)</f>
        <v>-30755.4944000001</v>
      </c>
      <c r="C16" s="37" t="n">
        <f aca="false">SUMIF(Monthly!$C$5:$BJ$5,C$11,Monthly!$C$41:$BJ$41)</f>
        <v>16168.694272</v>
      </c>
      <c r="D16" s="37" t="n">
        <f aca="false">SUMIF(Monthly!$C$5:$BJ$5,D$11,Monthly!$C$41:$BJ$41)</f>
        <v>65806.9542092801</v>
      </c>
      <c r="E16" s="37" t="n">
        <f aca="false">SUMIF(Monthly!$C$5:$BJ$5,E$11,Monthly!$C$41:$BJ$41)</f>
        <v>118279.897917952</v>
      </c>
      <c r="F16" s="37" t="n">
        <f aca="false">SUMIF(Monthly!$C$5:$BJ$5,F$11,Monthly!$C$41:$BJ$41)</f>
        <v>149921.613422923</v>
      </c>
    </row>
    <row r="17" customFormat="false" ht="15" hidden="false" customHeight="false" outlineLevel="0" collapsed="false">
      <c r="A17" s="38" t="s">
        <v>47</v>
      </c>
      <c r="B17" s="39" t="n">
        <f aca="false">IF(B12=0,0,B16/B12)</f>
        <v>-0.0641997782320015</v>
      </c>
      <c r="C17" s="39" t="n">
        <f aca="false">IF(C12=0,0,C16/C12)</f>
        <v>0.0270019399947265</v>
      </c>
      <c r="D17" s="39" t="n">
        <f aca="false">IF(D12=0,0,D16/D12)</f>
        <v>0.0907320509166908</v>
      </c>
      <c r="E17" s="39" t="n">
        <f aca="false">IF(E12=0,0,E16/E12)</f>
        <v>0.137721975449845</v>
      </c>
      <c r="F17" s="39" t="n">
        <f aca="false">IF(F12=0,0,F16/F12)</f>
        <v>0.159124697681438</v>
      </c>
    </row>
    <row r="18" customFormat="false" ht="15" hidden="false" customHeight="false" outlineLevel="0" collapsed="false">
      <c r="A18" s="40" t="s">
        <v>48</v>
      </c>
      <c r="B18" s="41" t="n">
        <f aca="false">SUMIF(Monthly!$C$5:$BJ$5,B$11,Monthly!$C$50:$BJ$50)</f>
        <v>-54084.9388444445</v>
      </c>
      <c r="C18" s="41" t="n">
        <f aca="false">SUMIF(Monthly!$C$5:$BJ$5,C$11,Monthly!$C$50:$BJ$50)</f>
        <v>-6044.63906133331</v>
      </c>
      <c r="D18" s="41" t="n">
        <f aca="false">SUMIF(Monthly!$C$5:$BJ$5,D$11,Monthly!$C$50:$BJ$50)</f>
        <v>44713.6208759467</v>
      </c>
      <c r="E18" s="41" t="n">
        <f aca="false">SUMIF(Monthly!$C$5:$BJ$5,E$11,Monthly!$C$50:$BJ$50)</f>
        <v>80899.5369981132</v>
      </c>
      <c r="F18" s="41" t="n">
        <f aca="false">SUMIF(Monthly!$C$5:$BJ$5,F$11,Monthly!$C$50:$BJ$50)</f>
        <v>103543.941270776</v>
      </c>
    </row>
    <row r="19" customFormat="false" ht="15" hidden="false" customHeight="false" outlineLevel="0" collapsed="false">
      <c r="A19" s="38" t="s">
        <v>49</v>
      </c>
      <c r="B19" s="39" t="n">
        <f aca="false">IF(B12=0,0,B18/B12)</f>
        <v>-0.112898236469406</v>
      </c>
      <c r="C19" s="39" t="n">
        <f aca="false">IF(C12=0,0,C18/C12)</f>
        <v>-0.0100946296885922</v>
      </c>
      <c r="D19" s="39" t="n">
        <f aca="false">IF(D12=0,0,D18/D12)</f>
        <v>0.0616493891068719</v>
      </c>
      <c r="E19" s="39" t="n">
        <f aca="false">IF(E12=0,0,E18/E12)</f>
        <v>0.0941972748073109</v>
      </c>
      <c r="F19" s="39" t="n">
        <f aca="false">IF(F12=0,0,F18/F12)</f>
        <v>0.109900086953957</v>
      </c>
    </row>
    <row r="20" customFormat="false" ht="15" hidden="false" customHeight="false" outlineLevel="0" collapsed="false">
      <c r="A20" s="6" t="s">
        <v>50</v>
      </c>
      <c r="B20" s="35" t="n">
        <f aca="false">SUMIF(Monthly!$C$5:$BJ$5,B$11,Monthly!$C$74:$BJ$74)</f>
        <v>-34795.0636444445</v>
      </c>
      <c r="C20" s="35" t="n">
        <f aca="false">SUMIF(Monthly!$C$5:$BJ$5,C$11,Monthly!$C$74:$BJ$74)</f>
        <v>12461.3219626667</v>
      </c>
      <c r="D20" s="35" t="n">
        <f aca="false">SUMIF(Monthly!$C$5:$BJ$5,D$11,Monthly!$C$74:$BJ$74)</f>
        <v>63236.9586737067</v>
      </c>
      <c r="E20" s="35" t="n">
        <f aca="false">SUMIF(Monthly!$C$5:$BJ$5,E$11,Monthly!$C$74:$BJ$74)</f>
        <v>99441.0188111372</v>
      </c>
      <c r="F20" s="35" t="n">
        <f aca="false">SUMIF(Monthly!$C$5:$BJ$5,F$11,Monthly!$C$74:$BJ$74)</f>
        <v>121955.062840891</v>
      </c>
    </row>
    <row r="21" customFormat="false" ht="15" hidden="false" customHeight="false" outlineLevel="0" collapsed="false">
      <c r="A21" s="6" t="s">
        <v>51</v>
      </c>
      <c r="B21" s="35" t="n">
        <f aca="false">SUMIF(Monthly!$C$5:$BJ$5,B$11,Monthly!$C$75:$BJ$75)</f>
        <v>-127400</v>
      </c>
      <c r="C21" s="35" t="n">
        <f aca="false">SUMIF(Monthly!$C$5:$BJ$5,C$11,Monthly!$C$75:$BJ$75)</f>
        <v>0</v>
      </c>
      <c r="D21" s="35" t="n">
        <f aca="false">SUMIF(Monthly!$C$5:$BJ$5,D$11,Monthly!$C$75:$BJ$75)</f>
        <v>0</v>
      </c>
      <c r="E21" s="35" t="n">
        <f aca="false">SUMIF(Monthly!$C$5:$BJ$5,E$11,Monthly!$C$75:$BJ$75)</f>
        <v>0</v>
      </c>
      <c r="F21" s="35" t="n">
        <f aca="false">SUMIF(Monthly!$C$5:$BJ$5,F$11,Monthly!$C$75:$BJ$75)</f>
        <v>0</v>
      </c>
    </row>
    <row r="22" customFormat="false" ht="15" hidden="false" customHeight="false" outlineLevel="0" collapsed="false">
      <c r="A22" s="6" t="s">
        <v>52</v>
      </c>
      <c r="B22" s="35" t="n">
        <f aca="false">SUMIF(Monthly!$C$5:$BJ$5,B$11,Monthly!$C$77:$BJ$77)</f>
        <v>207166.666666667</v>
      </c>
      <c r="C22" s="35" t="n">
        <f aca="false">SUMIF(Monthly!$C$5:$BJ$5,C$11,Monthly!$C$77:$BJ$77)</f>
        <v>-14000</v>
      </c>
      <c r="D22" s="35" t="n">
        <f aca="false">SUMIF(Monthly!$C$5:$BJ$5,D$11,Monthly!$C$77:$BJ$77)</f>
        <v>-14000</v>
      </c>
      <c r="E22" s="35" t="n">
        <f aca="false">SUMIF(Monthly!$C$5:$BJ$5,E$11,Monthly!$C$77:$BJ$77)</f>
        <v>-14000</v>
      </c>
      <c r="F22" s="35" t="n">
        <f aca="false">SUMIF(Monthly!$C$5:$BJ$5,F$11,Monthly!$C$77:$BJ$77)</f>
        <v>-14000</v>
      </c>
    </row>
    <row r="23" customFormat="false" ht="15" hidden="false" customHeight="false" outlineLevel="0" collapsed="false">
      <c r="A23" s="36" t="s">
        <v>53</v>
      </c>
      <c r="B23" s="37" t="n">
        <f aca="false">SUMIF(Monthly!$C$5:$BJ$5,B$11,Monthly!$C$78:$BJ$78)</f>
        <v>44971.6030222222</v>
      </c>
      <c r="C23" s="37" t="n">
        <f aca="false">SUMIF(Monthly!$C$5:$BJ$5,C$11,Monthly!$C$78:$BJ$78)</f>
        <v>-1538.67803733331</v>
      </c>
      <c r="D23" s="37" t="n">
        <f aca="false">SUMIF(Monthly!$C$5:$BJ$5,D$11,Monthly!$C$78:$BJ$78)</f>
        <v>49236.9586737067</v>
      </c>
      <c r="E23" s="37" t="n">
        <f aca="false">SUMIF(Monthly!$C$5:$BJ$5,E$11,Monthly!$C$78:$BJ$78)</f>
        <v>85441.0188111372</v>
      </c>
      <c r="F23" s="37" t="n">
        <f aca="false">SUMIF(Monthly!$C$5:$BJ$5,F$11,Monthly!$C$78:$BJ$78)</f>
        <v>107955.062840891</v>
      </c>
    </row>
    <row r="24" customFormat="false" ht="15" hidden="false" customHeight="false" outlineLevel="0" collapsed="false">
      <c r="A24" s="40" t="s">
        <v>54</v>
      </c>
      <c r="B24" s="41" t="n">
        <f aca="false">INDEX(Monthly!$C$80:$BJ$80,B$11*12)</f>
        <v>44971.6030222222</v>
      </c>
      <c r="C24" s="41" t="n">
        <f aca="false">INDEX(Monthly!$C$80:$BJ$80,C$11*12)</f>
        <v>43432.9249848889</v>
      </c>
      <c r="D24" s="41" t="n">
        <f aca="false">INDEX(Monthly!$C$80:$BJ$80,D$11*12)</f>
        <v>92669.8836585956</v>
      </c>
      <c r="E24" s="41" t="n">
        <f aca="false">INDEX(Monthly!$C$80:$BJ$80,E$11*12)</f>
        <v>178110.902469733</v>
      </c>
      <c r="F24" s="41" t="n">
        <f aca="false">INDEX(Monthly!$C$80:$BJ$80,F$11*12)</f>
        <v>286065.965310624</v>
      </c>
    </row>
    <row r="26" customFormat="false" ht="15.75" hidden="false" customHeight="true" outlineLevel="0" collapsed="false">
      <c r="A26" s="7" t="s">
        <v>55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4" t="n">
        <v>4</v>
      </c>
      <c r="F27" s="34" t="n">
        <v>5</v>
      </c>
    </row>
    <row r="28" customFormat="false" ht="15" hidden="false" customHeight="false" outlineLevel="0" collapsed="false">
      <c r="A28" s="6" t="s">
        <v>56</v>
      </c>
      <c r="B28" s="42" t="n">
        <f aca="false">KPIs!B34</f>
        <v>6220.8</v>
      </c>
      <c r="C28" s="42" t="n">
        <f aca="false">KPIs!C34</f>
        <v>7603.2</v>
      </c>
      <c r="D28" s="42" t="n">
        <f aca="false">KPIs!D34</f>
        <v>8985.6</v>
      </c>
      <c r="E28" s="42" t="n">
        <f aca="false">KPIs!E34</f>
        <v>10368</v>
      </c>
      <c r="F28" s="42" t="n">
        <f aca="false">KPIs!F34</f>
        <v>11059.2</v>
      </c>
    </row>
    <row r="29" customFormat="false" ht="15" hidden="false" customHeight="false" outlineLevel="0" collapsed="false">
      <c r="A29" s="6" t="s">
        <v>57</v>
      </c>
      <c r="B29" s="43" t="n">
        <f aca="false">KPIs!B33</f>
        <v>0.45</v>
      </c>
      <c r="C29" s="43" t="n">
        <f aca="false">KPIs!C33</f>
        <v>0.55</v>
      </c>
      <c r="D29" s="43" t="n">
        <f aca="false">KPIs!D33</f>
        <v>0.65</v>
      </c>
      <c r="E29" s="43" t="n">
        <f aca="false">KPIs!E33</f>
        <v>0.75</v>
      </c>
      <c r="F29" s="43" t="n">
        <f aca="false">KPIs!F33</f>
        <v>0.8</v>
      </c>
    </row>
    <row r="30" customFormat="false" ht="15" hidden="false" customHeight="false" outlineLevel="0" collapsed="false">
      <c r="A30" s="6" t="s">
        <v>58</v>
      </c>
      <c r="B30" s="44" t="n">
        <f aca="false">KPIs!B37</f>
        <v>68</v>
      </c>
      <c r="C30" s="44" t="n">
        <f aca="false">KPIs!C37</f>
        <v>70.04</v>
      </c>
      <c r="D30" s="44" t="n">
        <f aca="false">KPIs!D37</f>
        <v>72.1412</v>
      </c>
      <c r="E30" s="44" t="n">
        <f aca="false">KPIs!E37</f>
        <v>74.305436</v>
      </c>
      <c r="F30" s="44" t="n">
        <f aca="false">KPIs!F37</f>
        <v>76.53459908</v>
      </c>
    </row>
    <row r="31" customFormat="false" ht="15" hidden="false" customHeight="false" outlineLevel="0" collapsed="false">
      <c r="A31" s="6" t="s">
        <v>59</v>
      </c>
      <c r="B31" s="45" t="n">
        <f aca="false">INDEX(Headcount!$C$11:$BJ$11,B$27*12)</f>
        <v>2.5</v>
      </c>
      <c r="C31" s="45" t="n">
        <f aca="false">INDEX(Headcount!$C$11:$BJ$11,C$27*12)</f>
        <v>2.5</v>
      </c>
      <c r="D31" s="45" t="n">
        <f aca="false">INDEX(Headcount!$C$11:$BJ$11,D$27*12)</f>
        <v>2.5</v>
      </c>
      <c r="E31" s="45" t="n">
        <f aca="false">INDEX(Headcount!$C$11:$BJ$11,E$27*12)</f>
        <v>2.5</v>
      </c>
      <c r="F31" s="45" t="n">
        <f aca="false">INDEX(Headcount!$C$11:$BJ$11,F$27*12)</f>
        <v>2.5</v>
      </c>
    </row>
    <row r="33" customFormat="false" ht="15.75" hidden="false" customHeight="true" outlineLevel="0" collapsed="false">
      <c r="A33" s="7" t="s">
        <v>60</v>
      </c>
      <c r="B33" s="7"/>
      <c r="C33" s="7"/>
      <c r="D33" s="7"/>
      <c r="E33" s="7"/>
      <c r="F33" s="7"/>
    </row>
    <row r="34" customFormat="false" ht="15" hidden="false" customHeight="false" outlineLevel="0" collapsed="false">
      <c r="A34" s="6" t="s">
        <v>61</v>
      </c>
      <c r="B34" s="46"/>
      <c r="C34" s="46"/>
      <c r="D34" s="46"/>
      <c r="E34" s="46"/>
      <c r="F34" s="47" t="n">
        <f aca="false">Inputs!$E$69</f>
        <v>150000</v>
      </c>
    </row>
    <row r="35" customFormat="false" ht="15" hidden="false" customHeight="false" outlineLevel="0" collapsed="false">
      <c r="A35" s="6" t="s">
        <v>62</v>
      </c>
      <c r="B35" s="46"/>
      <c r="C35" s="46"/>
      <c r="D35" s="46"/>
      <c r="E35" s="46"/>
      <c r="F35" s="47" t="n">
        <f aca="false">Inputs!$E$70</f>
        <v>70000</v>
      </c>
    </row>
    <row r="36" customFormat="false" ht="15" hidden="false" customHeight="false" outlineLevel="0" collapsed="false">
      <c r="A36" s="6" t="s">
        <v>63</v>
      </c>
      <c r="B36" s="46"/>
      <c r="C36" s="46"/>
      <c r="D36" s="46"/>
      <c r="E36" s="46"/>
      <c r="F36" s="47" t="n">
        <f aca="false">'Break-even'!B12</f>
        <v>236567.075015111</v>
      </c>
    </row>
    <row r="37" customFormat="false" ht="15" hidden="false" customHeight="false" outlineLevel="0" collapsed="false">
      <c r="A37" s="36" t="s">
        <v>64</v>
      </c>
      <c r="B37" s="36"/>
      <c r="C37" s="36"/>
      <c r="D37" s="36"/>
      <c r="E37" s="36"/>
      <c r="F37" s="37" t="n">
        <f aca="false">'Break-even'!B17</f>
        <v>-16567.0750151112</v>
      </c>
    </row>
    <row r="38" customFormat="false" ht="15" hidden="false" customHeight="false" outlineLevel="0" collapsed="false">
      <c r="A38" s="6" t="str">
        <f aca="false">"Lowest cash balance (month "&amp;'Break-even'!B6&amp;")"</f>
        <v>Lowest cash balance (month 24)</v>
      </c>
      <c r="B38" s="46"/>
      <c r="C38" s="46"/>
      <c r="D38" s="46"/>
      <c r="E38" s="46"/>
      <c r="F38" s="47" t="n">
        <f aca="false">'Break-even'!B18</f>
        <v>43432.9249848889</v>
      </c>
    </row>
    <row r="39" customFormat="false" ht="15" hidden="false" customHeight="false" outlineLevel="0" collapsed="false">
      <c r="A39" s="6" t="s">
        <v>65</v>
      </c>
      <c r="B39" s="46"/>
      <c r="C39" s="46"/>
      <c r="D39" s="46"/>
      <c r="E39" s="46"/>
      <c r="F39" s="48" t="n">
        <f aca="false">'Break-even'!B21</f>
        <v>13</v>
      </c>
    </row>
    <row r="40" customFormat="false" ht="15" hidden="false" customHeight="false" outlineLevel="0" collapsed="false">
      <c r="A40" s="6" t="s">
        <v>66</v>
      </c>
      <c r="B40" s="46"/>
      <c r="C40" s="46"/>
      <c r="D40" s="46"/>
      <c r="E40" s="46"/>
      <c r="F40" s="48" t="n">
        <f aca="false">'Break-even'!B23</f>
        <v>47</v>
      </c>
    </row>
    <row r="41" customFormat="false" ht="15" hidden="false" customHeight="false" outlineLevel="0" collapsed="false">
      <c r="A41" s="6" t="s">
        <v>67</v>
      </c>
      <c r="B41" s="46"/>
      <c r="C41" s="46"/>
      <c r="D41" s="46"/>
      <c r="E41" s="46"/>
      <c r="F41" s="47" t="n">
        <f aca="false">Valuation!B27</f>
        <v>176447.853151197</v>
      </c>
    </row>
    <row r="42" customFormat="false" ht="15" hidden="false" customHeight="false" outlineLevel="0" collapsed="false">
      <c r="A42" s="6" t="s">
        <v>68</v>
      </c>
      <c r="B42" s="46"/>
      <c r="C42" s="46"/>
      <c r="D42" s="46"/>
      <c r="E42" s="46"/>
      <c r="F42" s="47" t="n">
        <f aca="false">Valuation!C27</f>
        <v>194979.245976817</v>
      </c>
    </row>
    <row r="43" customFormat="false" ht="15" hidden="false" customHeight="false" outlineLevel="0" collapsed="false">
      <c r="A43" s="40" t="s">
        <v>69</v>
      </c>
      <c r="B43" s="40"/>
      <c r="C43" s="40"/>
      <c r="D43" s="40"/>
      <c r="E43" s="40"/>
      <c r="F43" s="41" t="n">
        <f aca="false">Valuation!B30</f>
        <v>185713.549564007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70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71</v>
      </c>
      <c r="R2" s="49" t="n">
        <v>1</v>
      </c>
      <c r="S2" s="49"/>
    </row>
    <row r="5" customFormat="false" ht="15.75" hidden="false" customHeight="true" outlineLevel="0" collapsed="false">
      <c r="A5" s="7" t="s">
        <v>72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4" t="n">
        <v>4</v>
      </c>
      <c r="F6" s="34" t="n">
        <v>5</v>
      </c>
      <c r="H6" s="50" t="n">
        <f aca="false">INDEX(Monthly!$C$4:$BJ$4,($R$2-1)*12+1)</f>
        <v>1</v>
      </c>
      <c r="I6" s="50" t="n">
        <f aca="false">INDEX(Monthly!$C$4:$BJ$4,($R$2-1)*12+2)</f>
        <v>2</v>
      </c>
      <c r="J6" s="50" t="n">
        <f aca="false">INDEX(Monthly!$C$4:$BJ$4,($R$2-1)*12+3)</f>
        <v>3</v>
      </c>
      <c r="K6" s="50" t="n">
        <f aca="false">INDEX(Monthly!$C$4:$BJ$4,($R$2-1)*12+4)</f>
        <v>4</v>
      </c>
      <c r="L6" s="50" t="n">
        <f aca="false">INDEX(Monthly!$C$4:$BJ$4,($R$2-1)*12+5)</f>
        <v>5</v>
      </c>
      <c r="M6" s="50" t="n">
        <f aca="false">INDEX(Monthly!$C$4:$BJ$4,($R$2-1)*12+6)</f>
        <v>6</v>
      </c>
      <c r="N6" s="50" t="n">
        <f aca="false">INDEX(Monthly!$C$4:$BJ$4,($R$2-1)*12+7)</f>
        <v>7</v>
      </c>
      <c r="O6" s="50" t="n">
        <f aca="false">INDEX(Monthly!$C$4:$BJ$4,($R$2-1)*12+8)</f>
        <v>8</v>
      </c>
      <c r="P6" s="50" t="n">
        <f aca="false">INDEX(Monthly!$C$4:$BJ$4,($R$2-1)*12+9)</f>
        <v>9</v>
      </c>
      <c r="Q6" s="50" t="n">
        <f aca="false">INDEX(Monthly!$C$4:$BJ$4,($R$2-1)*12+10)</f>
        <v>10</v>
      </c>
      <c r="R6" s="50" t="n">
        <f aca="false">INDEX(Monthly!$C$4:$BJ$4,($R$2-1)*12+11)</f>
        <v>11</v>
      </c>
      <c r="S6" s="50" t="n">
        <f aca="false">INDEX(Monthly!$C$4:$BJ$4,($R$2-1)*12+12)</f>
        <v>12</v>
      </c>
    </row>
    <row r="7" customFormat="false" ht="15" hidden="false" customHeight="false" outlineLevel="0" collapsed="false">
      <c r="A7" s="51" t="s">
        <v>42</v>
      </c>
      <c r="B7" s="35" t="n">
        <f aca="false">'P&amp;L'!B5</f>
        <v>479059.2</v>
      </c>
      <c r="C7" s="35" t="n">
        <f aca="false">'P&amp;L'!C5</f>
        <v>598797.504</v>
      </c>
      <c r="D7" s="35" t="n">
        <f aca="false">'P&amp;L'!D5</f>
        <v>725288.95296</v>
      </c>
      <c r="E7" s="35" t="n">
        <f aca="false">'P&amp;L'!E5</f>
        <v>858830.971104</v>
      </c>
      <c r="F7" s="35" t="n">
        <f aca="false">'P&amp;L'!F5</f>
        <v>942164.325258048</v>
      </c>
      <c r="H7" s="35" t="n">
        <f aca="false">INDEX(Monthly!$C$21:$BJ$21,($R$2-1)*12+1)</f>
        <v>39921.6</v>
      </c>
      <c r="I7" s="35" t="n">
        <f aca="false">INDEX(Monthly!$C$21:$BJ$21,($R$2-1)*12+2)</f>
        <v>39921.6</v>
      </c>
      <c r="J7" s="35" t="n">
        <f aca="false">INDEX(Monthly!$C$21:$BJ$21,($R$2-1)*12+3)</f>
        <v>39921.6</v>
      </c>
      <c r="K7" s="35" t="n">
        <f aca="false">INDEX(Monthly!$C$21:$BJ$21,($R$2-1)*12+4)</f>
        <v>39921.6</v>
      </c>
      <c r="L7" s="35" t="n">
        <f aca="false">INDEX(Monthly!$C$21:$BJ$21,($R$2-1)*12+5)</f>
        <v>39921.6</v>
      </c>
      <c r="M7" s="35" t="n">
        <f aca="false">INDEX(Monthly!$C$21:$BJ$21,($R$2-1)*12+6)</f>
        <v>39921.6</v>
      </c>
      <c r="N7" s="35" t="n">
        <f aca="false">INDEX(Monthly!$C$21:$BJ$21,($R$2-1)*12+7)</f>
        <v>39921.6</v>
      </c>
      <c r="O7" s="35" t="n">
        <f aca="false">INDEX(Monthly!$C$21:$BJ$21,($R$2-1)*12+8)</f>
        <v>39921.6</v>
      </c>
      <c r="P7" s="35" t="n">
        <f aca="false">INDEX(Monthly!$C$21:$BJ$21,($R$2-1)*12+9)</f>
        <v>39921.6</v>
      </c>
      <c r="Q7" s="35" t="n">
        <f aca="false">INDEX(Monthly!$C$21:$BJ$21,($R$2-1)*12+10)</f>
        <v>39921.6</v>
      </c>
      <c r="R7" s="35" t="n">
        <f aca="false">INDEX(Monthly!$C$21:$BJ$21,($R$2-1)*12+11)</f>
        <v>39921.6</v>
      </c>
      <c r="S7" s="35" t="n">
        <f aca="false">INDEX(Monthly!$C$21:$BJ$21,($R$2-1)*12+12)</f>
        <v>39921.6</v>
      </c>
    </row>
    <row r="8" customFormat="false" ht="15" hidden="false" customHeight="false" outlineLevel="0" collapsed="false">
      <c r="A8" s="51" t="s">
        <v>73</v>
      </c>
      <c r="B8" s="35" t="n">
        <f aca="false">'P&amp;L'!B6</f>
        <v>-270094.6944</v>
      </c>
      <c r="C8" s="35" t="n">
        <f aca="false">'P&amp;L'!C6</f>
        <v>-340019.209728</v>
      </c>
      <c r="D8" s="35" t="n">
        <f aca="false">'P&amp;L'!D6</f>
        <v>-413896.11075072</v>
      </c>
      <c r="E8" s="35" t="n">
        <f aca="false">'P&amp;L'!E6</f>
        <v>-491899.608546048</v>
      </c>
      <c r="F8" s="35" t="n">
        <f aca="false">'P&amp;L'!F6</f>
        <v>-540433.703255925</v>
      </c>
      <c r="H8" s="35" t="n">
        <f aca="false">INDEX(Monthly!$C$28:$BJ$28,($R$2-1)*12+1)</f>
        <v>-22507.8912</v>
      </c>
      <c r="I8" s="35" t="n">
        <f aca="false">INDEX(Monthly!$C$28:$BJ$28,($R$2-1)*12+2)</f>
        <v>-22507.8912</v>
      </c>
      <c r="J8" s="35" t="n">
        <f aca="false">INDEX(Monthly!$C$28:$BJ$28,($R$2-1)*12+3)</f>
        <v>-22507.8912</v>
      </c>
      <c r="K8" s="35" t="n">
        <f aca="false">INDEX(Monthly!$C$28:$BJ$28,($R$2-1)*12+4)</f>
        <v>-22507.8912</v>
      </c>
      <c r="L8" s="35" t="n">
        <f aca="false">INDEX(Monthly!$C$28:$BJ$28,($R$2-1)*12+5)</f>
        <v>-22507.8912</v>
      </c>
      <c r="M8" s="35" t="n">
        <f aca="false">INDEX(Monthly!$C$28:$BJ$28,($R$2-1)*12+6)</f>
        <v>-22507.8912</v>
      </c>
      <c r="N8" s="35" t="n">
        <f aca="false">INDEX(Monthly!$C$28:$BJ$28,($R$2-1)*12+7)</f>
        <v>-22507.8912</v>
      </c>
      <c r="O8" s="35" t="n">
        <f aca="false">INDEX(Monthly!$C$28:$BJ$28,($R$2-1)*12+8)</f>
        <v>-22507.8912</v>
      </c>
      <c r="P8" s="35" t="n">
        <f aca="false">INDEX(Monthly!$C$28:$BJ$28,($R$2-1)*12+9)</f>
        <v>-22507.8912</v>
      </c>
      <c r="Q8" s="35" t="n">
        <f aca="false">INDEX(Monthly!$C$28:$BJ$28,($R$2-1)*12+10)</f>
        <v>-22507.8912</v>
      </c>
      <c r="R8" s="35" t="n">
        <f aca="false">INDEX(Monthly!$C$28:$BJ$28,($R$2-1)*12+11)</f>
        <v>-22507.8912</v>
      </c>
      <c r="S8" s="35" t="n">
        <f aca="false">INDEX(Monthly!$C$28:$BJ$28,($R$2-1)*12+12)</f>
        <v>-22507.8912</v>
      </c>
    </row>
    <row r="9" customFormat="false" ht="15" hidden="false" customHeight="false" outlineLevel="0" collapsed="false">
      <c r="A9" s="36" t="s">
        <v>43</v>
      </c>
      <c r="B9" s="37" t="n">
        <f aca="false">'P&amp;L'!B7</f>
        <v>208964.5056</v>
      </c>
      <c r="C9" s="37" t="n">
        <f aca="false">'P&amp;L'!C7</f>
        <v>258778.294272</v>
      </c>
      <c r="D9" s="37" t="n">
        <f aca="false">'P&amp;L'!D7</f>
        <v>311392.84220928</v>
      </c>
      <c r="E9" s="37" t="n">
        <f aca="false">'P&amp;L'!E7</f>
        <v>366931.362557952</v>
      </c>
      <c r="F9" s="37" t="n">
        <f aca="false">'P&amp;L'!F7</f>
        <v>401730.622002123</v>
      </c>
      <c r="H9" s="37" t="n">
        <f aca="false">INDEX(Monthly!$C$29:$BJ$29,($R$2-1)*12+1)</f>
        <v>17413.7088</v>
      </c>
      <c r="I9" s="37" t="n">
        <f aca="false">INDEX(Monthly!$C$29:$BJ$29,($R$2-1)*12+2)</f>
        <v>17413.7088</v>
      </c>
      <c r="J9" s="37" t="n">
        <f aca="false">INDEX(Monthly!$C$29:$BJ$29,($R$2-1)*12+3)</f>
        <v>17413.7088</v>
      </c>
      <c r="K9" s="37" t="n">
        <f aca="false">INDEX(Monthly!$C$29:$BJ$29,($R$2-1)*12+4)</f>
        <v>17413.7088</v>
      </c>
      <c r="L9" s="37" t="n">
        <f aca="false">INDEX(Monthly!$C$29:$BJ$29,($R$2-1)*12+5)</f>
        <v>17413.7088</v>
      </c>
      <c r="M9" s="37" t="n">
        <f aca="false">INDEX(Monthly!$C$29:$BJ$29,($R$2-1)*12+6)</f>
        <v>17413.7088</v>
      </c>
      <c r="N9" s="37" t="n">
        <f aca="false">INDEX(Monthly!$C$29:$BJ$29,($R$2-1)*12+7)</f>
        <v>17413.7088</v>
      </c>
      <c r="O9" s="37" t="n">
        <f aca="false">INDEX(Monthly!$C$29:$BJ$29,($R$2-1)*12+8)</f>
        <v>17413.7088</v>
      </c>
      <c r="P9" s="37" t="n">
        <f aca="false">INDEX(Monthly!$C$29:$BJ$29,($R$2-1)*12+9)</f>
        <v>17413.7088</v>
      </c>
      <c r="Q9" s="37" t="n">
        <f aca="false">INDEX(Monthly!$C$29:$BJ$29,($R$2-1)*12+10)</f>
        <v>17413.7088</v>
      </c>
      <c r="R9" s="37" t="n">
        <f aca="false">INDEX(Monthly!$C$29:$BJ$29,($R$2-1)*12+11)</f>
        <v>17413.7088</v>
      </c>
      <c r="S9" s="37" t="n">
        <f aca="false">INDEX(Monthly!$C$29:$BJ$29,($R$2-1)*12+12)</f>
        <v>17413.7088</v>
      </c>
    </row>
    <row r="10" customFormat="false" ht="15" hidden="false" customHeight="false" outlineLevel="0" collapsed="false">
      <c r="A10" s="38" t="s">
        <v>44</v>
      </c>
      <c r="B10" s="39" t="n">
        <f aca="false">'P&amp;L'!B8</f>
        <v>0.436197667428159</v>
      </c>
      <c r="C10" s="39" t="n">
        <f aca="false">'P&amp;L'!C8</f>
        <v>0.432163281482215</v>
      </c>
      <c r="D10" s="39" t="n">
        <f aca="false">'P&amp;L'!D8</f>
        <v>0.429336254107339</v>
      </c>
      <c r="E10" s="39" t="n">
        <f aca="false">'P&amp;L'!E8</f>
        <v>0.427245144741664</v>
      </c>
      <c r="F10" s="39" t="n">
        <f aca="false">'P&amp;L'!F8</f>
        <v>0.426391247505677</v>
      </c>
      <c r="H10" s="39" t="n">
        <f aca="false">IF(H7=0,0,H9/H7)</f>
        <v>0.436197667428159</v>
      </c>
      <c r="I10" s="39" t="n">
        <f aca="false">IF(I7=0,0,I9/I7)</f>
        <v>0.436197667428159</v>
      </c>
      <c r="J10" s="39" t="n">
        <f aca="false">IF(J7=0,0,J9/J7)</f>
        <v>0.436197667428159</v>
      </c>
      <c r="K10" s="39" t="n">
        <f aca="false">IF(K7=0,0,K9/K7)</f>
        <v>0.436197667428159</v>
      </c>
      <c r="L10" s="39" t="n">
        <f aca="false">IF(L7=0,0,L9/L7)</f>
        <v>0.436197667428159</v>
      </c>
      <c r="M10" s="39" t="n">
        <f aca="false">IF(M7=0,0,M9/M7)</f>
        <v>0.436197667428159</v>
      </c>
      <c r="N10" s="39" t="n">
        <f aca="false">IF(N7=0,0,N9/N7)</f>
        <v>0.436197667428159</v>
      </c>
      <c r="O10" s="39" t="n">
        <f aca="false">IF(O7=0,0,O9/O7)</f>
        <v>0.436197667428159</v>
      </c>
      <c r="P10" s="39" t="n">
        <f aca="false">IF(P7=0,0,P9/P7)</f>
        <v>0.436197667428159</v>
      </c>
      <c r="Q10" s="39" t="n">
        <f aca="false">IF(Q7=0,0,Q9/Q7)</f>
        <v>0.436197667428159</v>
      </c>
      <c r="R10" s="39" t="n">
        <f aca="false">IF(R7=0,0,R9/R7)</f>
        <v>0.436197667428159</v>
      </c>
      <c r="S10" s="39" t="n">
        <f aca="false">IF(S7=0,0,S9/S7)</f>
        <v>0.436197667428159</v>
      </c>
    </row>
    <row r="11" customFormat="false" ht="15" hidden="false" customHeight="false" outlineLevel="0" collapsed="false">
      <c r="A11" s="51" t="s">
        <v>74</v>
      </c>
      <c r="B11" s="35" t="n">
        <f aca="false">'P&amp;L'!B17</f>
        <v>-239720</v>
      </c>
      <c r="C11" s="35" t="n">
        <f aca="false">'P&amp;L'!C17</f>
        <v>-242609.6</v>
      </c>
      <c r="D11" s="35" t="n">
        <f aca="false">'P&amp;L'!D17</f>
        <v>-245585.888</v>
      </c>
      <c r="E11" s="35" t="n">
        <f aca="false">'P&amp;L'!E17</f>
        <v>-248651.46464</v>
      </c>
      <c r="F11" s="35" t="n">
        <f aca="false">'P&amp;L'!F17</f>
        <v>-251809.0085792</v>
      </c>
      <c r="H11" s="35" t="n">
        <f aca="false">INDEX(Monthly!$C$40:$BJ$40,($R$2-1)*12+1)</f>
        <v>-19976.6666666667</v>
      </c>
      <c r="I11" s="35" t="n">
        <f aca="false">INDEX(Monthly!$C$40:$BJ$40,($R$2-1)*12+2)</f>
        <v>-19976.6666666667</v>
      </c>
      <c r="J11" s="35" t="n">
        <f aca="false">INDEX(Monthly!$C$40:$BJ$40,($R$2-1)*12+3)</f>
        <v>-19976.6666666667</v>
      </c>
      <c r="K11" s="35" t="n">
        <f aca="false">INDEX(Monthly!$C$40:$BJ$40,($R$2-1)*12+4)</f>
        <v>-19976.6666666667</v>
      </c>
      <c r="L11" s="35" t="n">
        <f aca="false">INDEX(Monthly!$C$40:$BJ$40,($R$2-1)*12+5)</f>
        <v>-19976.6666666667</v>
      </c>
      <c r="M11" s="35" t="n">
        <f aca="false">INDEX(Monthly!$C$40:$BJ$40,($R$2-1)*12+6)</f>
        <v>-19976.6666666667</v>
      </c>
      <c r="N11" s="35" t="n">
        <f aca="false">INDEX(Monthly!$C$40:$BJ$40,($R$2-1)*12+7)</f>
        <v>-19976.6666666667</v>
      </c>
      <c r="O11" s="35" t="n">
        <f aca="false">INDEX(Monthly!$C$40:$BJ$40,($R$2-1)*12+8)</f>
        <v>-19976.6666666667</v>
      </c>
      <c r="P11" s="35" t="n">
        <f aca="false">INDEX(Monthly!$C$40:$BJ$40,($R$2-1)*12+9)</f>
        <v>-19976.6666666667</v>
      </c>
      <c r="Q11" s="35" t="n">
        <f aca="false">INDEX(Monthly!$C$40:$BJ$40,($R$2-1)*12+10)</f>
        <v>-19976.6666666667</v>
      </c>
      <c r="R11" s="35" t="n">
        <f aca="false">INDEX(Monthly!$C$40:$BJ$40,($R$2-1)*12+11)</f>
        <v>-19976.6666666667</v>
      </c>
      <c r="S11" s="35" t="n">
        <f aca="false">INDEX(Monthly!$C$40:$BJ$40,($R$2-1)*12+12)</f>
        <v>-19976.6666666667</v>
      </c>
    </row>
    <row r="12" customFormat="false" ht="15" hidden="false" customHeight="false" outlineLevel="0" collapsed="false">
      <c r="A12" s="36" t="s">
        <v>46</v>
      </c>
      <c r="B12" s="37" t="n">
        <f aca="false">'P&amp;L'!B18</f>
        <v>-30755.4944000001</v>
      </c>
      <c r="C12" s="37" t="n">
        <f aca="false">'P&amp;L'!C18</f>
        <v>16168.694272</v>
      </c>
      <c r="D12" s="37" t="n">
        <f aca="false">'P&amp;L'!D18</f>
        <v>65806.9542092801</v>
      </c>
      <c r="E12" s="37" t="n">
        <f aca="false">'P&amp;L'!E18</f>
        <v>118279.897917952</v>
      </c>
      <c r="F12" s="37" t="n">
        <f aca="false">'P&amp;L'!F18</f>
        <v>149921.613422923</v>
      </c>
      <c r="H12" s="37" t="n">
        <f aca="false">INDEX(Monthly!$C$41:$BJ$41,($R$2-1)*12+1)</f>
        <v>-2562.95786666667</v>
      </c>
      <c r="I12" s="37" t="n">
        <f aca="false">INDEX(Monthly!$C$41:$BJ$41,($R$2-1)*12+2)</f>
        <v>-2562.95786666667</v>
      </c>
      <c r="J12" s="37" t="n">
        <f aca="false">INDEX(Monthly!$C$41:$BJ$41,($R$2-1)*12+3)</f>
        <v>-2562.95786666667</v>
      </c>
      <c r="K12" s="37" t="n">
        <f aca="false">INDEX(Monthly!$C$41:$BJ$41,($R$2-1)*12+4)</f>
        <v>-2562.95786666667</v>
      </c>
      <c r="L12" s="37" t="n">
        <f aca="false">INDEX(Monthly!$C$41:$BJ$41,($R$2-1)*12+5)</f>
        <v>-2562.95786666667</v>
      </c>
      <c r="M12" s="37" t="n">
        <f aca="false">INDEX(Monthly!$C$41:$BJ$41,($R$2-1)*12+6)</f>
        <v>-2562.95786666667</v>
      </c>
      <c r="N12" s="37" t="n">
        <f aca="false">INDEX(Monthly!$C$41:$BJ$41,($R$2-1)*12+7)</f>
        <v>-2562.95786666667</v>
      </c>
      <c r="O12" s="37" t="n">
        <f aca="false">INDEX(Monthly!$C$41:$BJ$41,($R$2-1)*12+8)</f>
        <v>-2562.95786666667</v>
      </c>
      <c r="P12" s="37" t="n">
        <f aca="false">INDEX(Monthly!$C$41:$BJ$41,($R$2-1)*12+9)</f>
        <v>-2562.95786666667</v>
      </c>
      <c r="Q12" s="37" t="n">
        <f aca="false">INDEX(Monthly!$C$41:$BJ$41,($R$2-1)*12+10)</f>
        <v>-2562.95786666667</v>
      </c>
      <c r="R12" s="37" t="n">
        <f aca="false">INDEX(Monthly!$C$41:$BJ$41,($R$2-1)*12+11)</f>
        <v>-2562.95786666667</v>
      </c>
      <c r="S12" s="37" t="n">
        <f aca="false">INDEX(Monthly!$C$41:$BJ$41,($R$2-1)*12+12)</f>
        <v>-2562.95786666667</v>
      </c>
    </row>
    <row r="13" customFormat="false" ht="15" hidden="false" customHeight="false" outlineLevel="0" collapsed="false">
      <c r="A13" s="38" t="s">
        <v>47</v>
      </c>
      <c r="B13" s="39" t="n">
        <f aca="false">'P&amp;L'!B19</f>
        <v>-0.0641997782320015</v>
      </c>
      <c r="C13" s="39" t="n">
        <f aca="false">'P&amp;L'!C19</f>
        <v>0.0270019399947265</v>
      </c>
      <c r="D13" s="39" t="n">
        <f aca="false">'P&amp;L'!D19</f>
        <v>0.0907320509166908</v>
      </c>
      <c r="E13" s="39" t="n">
        <f aca="false">'P&amp;L'!E19</f>
        <v>0.137721975449845</v>
      </c>
      <c r="F13" s="39" t="n">
        <f aca="false">'P&amp;L'!F19</f>
        <v>0.159124697681438</v>
      </c>
      <c r="H13" s="39" t="n">
        <f aca="false">IF(H7=0,0,H12/H7)</f>
        <v>-0.0641997782320015</v>
      </c>
      <c r="I13" s="39" t="n">
        <f aca="false">IF(I7=0,0,I12/I7)</f>
        <v>-0.0641997782320015</v>
      </c>
      <c r="J13" s="39" t="n">
        <f aca="false">IF(J7=0,0,J12/J7)</f>
        <v>-0.0641997782320015</v>
      </c>
      <c r="K13" s="39" t="n">
        <f aca="false">IF(K7=0,0,K12/K7)</f>
        <v>-0.0641997782320015</v>
      </c>
      <c r="L13" s="39" t="n">
        <f aca="false">IF(L7=0,0,L12/L7)</f>
        <v>-0.0641997782320015</v>
      </c>
      <c r="M13" s="39" t="n">
        <f aca="false">IF(M7=0,0,M12/M7)</f>
        <v>-0.0641997782320015</v>
      </c>
      <c r="N13" s="39" t="n">
        <f aca="false">IF(N7=0,0,N12/N7)</f>
        <v>-0.0641997782320015</v>
      </c>
      <c r="O13" s="39" t="n">
        <f aca="false">IF(O7=0,0,O12/O7)</f>
        <v>-0.0641997782320015</v>
      </c>
      <c r="P13" s="39" t="n">
        <f aca="false">IF(P7=0,0,P12/P7)</f>
        <v>-0.0641997782320015</v>
      </c>
      <c r="Q13" s="39" t="n">
        <f aca="false">IF(Q7=0,0,Q12/Q7)</f>
        <v>-0.0641997782320015</v>
      </c>
      <c r="R13" s="39" t="n">
        <f aca="false">IF(R7=0,0,R12/R7)</f>
        <v>-0.0641997782320015</v>
      </c>
      <c r="S13" s="39" t="n">
        <f aca="false">IF(S7=0,0,S12/S7)</f>
        <v>-0.0641997782320015</v>
      </c>
    </row>
    <row r="14" customFormat="false" ht="15" hidden="false" customHeight="false" outlineLevel="0" collapsed="false">
      <c r="A14" s="51" t="s">
        <v>75</v>
      </c>
      <c r="B14" s="35" t="n">
        <f aca="false">'P&amp;L'!B20</f>
        <v>-18200</v>
      </c>
      <c r="C14" s="35" t="n">
        <f aca="false">'P&amp;L'!C20</f>
        <v>-18200</v>
      </c>
      <c r="D14" s="35" t="n">
        <f aca="false">'P&amp;L'!D20</f>
        <v>-18200</v>
      </c>
      <c r="E14" s="35" t="n">
        <f aca="false">'P&amp;L'!E20</f>
        <v>-18200</v>
      </c>
      <c r="F14" s="35" t="n">
        <f aca="false">'P&amp;L'!F20</f>
        <v>-18200</v>
      </c>
      <c r="H14" s="35" t="n">
        <f aca="false">INDEX(Monthly!$C$55:$BJ$55,($R$2-1)*12+1)</f>
        <v>-1516.66666666667</v>
      </c>
      <c r="I14" s="35" t="n">
        <f aca="false">INDEX(Monthly!$C$55:$BJ$55,($R$2-1)*12+2)</f>
        <v>-1516.66666666667</v>
      </c>
      <c r="J14" s="35" t="n">
        <f aca="false">INDEX(Monthly!$C$55:$BJ$55,($R$2-1)*12+3)</f>
        <v>-1516.66666666667</v>
      </c>
      <c r="K14" s="35" t="n">
        <f aca="false">INDEX(Monthly!$C$55:$BJ$55,($R$2-1)*12+4)</f>
        <v>-1516.66666666667</v>
      </c>
      <c r="L14" s="35" t="n">
        <f aca="false">INDEX(Monthly!$C$55:$BJ$55,($R$2-1)*12+5)</f>
        <v>-1516.66666666667</v>
      </c>
      <c r="M14" s="35" t="n">
        <f aca="false">INDEX(Monthly!$C$55:$BJ$55,($R$2-1)*12+6)</f>
        <v>-1516.66666666667</v>
      </c>
      <c r="N14" s="35" t="n">
        <f aca="false">INDEX(Monthly!$C$55:$BJ$55,($R$2-1)*12+7)</f>
        <v>-1516.66666666667</v>
      </c>
      <c r="O14" s="35" t="n">
        <f aca="false">INDEX(Monthly!$C$55:$BJ$55,($R$2-1)*12+8)</f>
        <v>-1516.66666666667</v>
      </c>
      <c r="P14" s="35" t="n">
        <f aca="false">INDEX(Monthly!$C$55:$BJ$55,($R$2-1)*12+9)</f>
        <v>-1516.66666666667</v>
      </c>
      <c r="Q14" s="35" t="n">
        <f aca="false">INDEX(Monthly!$C$55:$BJ$55,($R$2-1)*12+10)</f>
        <v>-1516.66666666667</v>
      </c>
      <c r="R14" s="35" t="n">
        <f aca="false">INDEX(Monthly!$C$55:$BJ$55,($R$2-1)*12+11)</f>
        <v>-1516.66666666667</v>
      </c>
      <c r="S14" s="35" t="n">
        <f aca="false">INDEX(Monthly!$C$55:$BJ$55,($R$2-1)*12+12)</f>
        <v>-1516.66666666667</v>
      </c>
    </row>
    <row r="15" customFormat="false" ht="15" hidden="false" customHeight="false" outlineLevel="0" collapsed="false">
      <c r="A15" s="36" t="s">
        <v>76</v>
      </c>
      <c r="B15" s="37" t="n">
        <f aca="false">'P&amp;L'!B21</f>
        <v>-48955.4944000001</v>
      </c>
      <c r="C15" s="37" t="n">
        <f aca="false">'P&amp;L'!C21</f>
        <v>-2031.30572799998</v>
      </c>
      <c r="D15" s="37" t="n">
        <f aca="false">'P&amp;L'!D21</f>
        <v>47606.9542092801</v>
      </c>
      <c r="E15" s="37" t="n">
        <f aca="false">'P&amp;L'!E21</f>
        <v>100079.897917952</v>
      </c>
      <c r="F15" s="37" t="n">
        <f aca="false">'P&amp;L'!F21</f>
        <v>131721.613422923</v>
      </c>
      <c r="H15" s="37" t="n">
        <f aca="false">INDEX(Monthly!$C$44:$BJ$44,($R$2-1)*12+1)</f>
        <v>-4079.62453333334</v>
      </c>
      <c r="I15" s="37" t="n">
        <f aca="false">INDEX(Monthly!$C$44:$BJ$44,($R$2-1)*12+2)</f>
        <v>-4079.62453333334</v>
      </c>
      <c r="J15" s="37" t="n">
        <f aca="false">INDEX(Monthly!$C$44:$BJ$44,($R$2-1)*12+3)</f>
        <v>-4079.62453333334</v>
      </c>
      <c r="K15" s="37" t="n">
        <f aca="false">INDEX(Monthly!$C$44:$BJ$44,($R$2-1)*12+4)</f>
        <v>-4079.62453333334</v>
      </c>
      <c r="L15" s="37" t="n">
        <f aca="false">INDEX(Monthly!$C$44:$BJ$44,($R$2-1)*12+5)</f>
        <v>-4079.62453333334</v>
      </c>
      <c r="M15" s="37" t="n">
        <f aca="false">INDEX(Monthly!$C$44:$BJ$44,($R$2-1)*12+6)</f>
        <v>-4079.62453333334</v>
      </c>
      <c r="N15" s="37" t="n">
        <f aca="false">INDEX(Monthly!$C$44:$BJ$44,($R$2-1)*12+7)</f>
        <v>-4079.62453333334</v>
      </c>
      <c r="O15" s="37" t="n">
        <f aca="false">INDEX(Monthly!$C$44:$BJ$44,($R$2-1)*12+8)</f>
        <v>-4079.62453333334</v>
      </c>
      <c r="P15" s="37" t="n">
        <f aca="false">INDEX(Monthly!$C$44:$BJ$44,($R$2-1)*12+9)</f>
        <v>-4079.62453333334</v>
      </c>
      <c r="Q15" s="37" t="n">
        <f aca="false">INDEX(Monthly!$C$44:$BJ$44,($R$2-1)*12+10)</f>
        <v>-4079.62453333334</v>
      </c>
      <c r="R15" s="37" t="n">
        <f aca="false">INDEX(Monthly!$C$44:$BJ$44,($R$2-1)*12+11)</f>
        <v>-4079.62453333334</v>
      </c>
      <c r="S15" s="37" t="n">
        <f aca="false">INDEX(Monthly!$C$44:$BJ$44,($R$2-1)*12+12)</f>
        <v>-4079.62453333334</v>
      </c>
    </row>
    <row r="16" customFormat="false" ht="15" hidden="false" customHeight="false" outlineLevel="0" collapsed="false">
      <c r="A16" s="51" t="s">
        <v>77</v>
      </c>
      <c r="B16" s="35" t="n">
        <f aca="false">'P&amp;L'!B22</f>
        <v>-5129.44444444444</v>
      </c>
      <c r="C16" s="35" t="n">
        <f aca="false">'P&amp;L'!C22</f>
        <v>-4013.33333333334</v>
      </c>
      <c r="D16" s="35" t="n">
        <f aca="false">'P&amp;L'!D22</f>
        <v>-2893.33333333334</v>
      </c>
      <c r="E16" s="35" t="n">
        <f aca="false">'P&amp;L'!E22</f>
        <v>-1773.33333333334</v>
      </c>
      <c r="F16" s="35" t="n">
        <f aca="false">'P&amp;L'!F22</f>
        <v>-653.333333333336</v>
      </c>
      <c r="H16" s="35" t="n">
        <f aca="false">INDEX(Monthly!$C$45:$BJ$45,($R$2-1)*12+1)</f>
        <v>-466.666666666667</v>
      </c>
      <c r="I16" s="35" t="n">
        <f aca="false">INDEX(Monthly!$C$45:$BJ$45,($R$2-1)*12+2)</f>
        <v>-462.777777777778</v>
      </c>
      <c r="J16" s="35" t="n">
        <f aca="false">INDEX(Monthly!$C$45:$BJ$45,($R$2-1)*12+3)</f>
        <v>-455</v>
      </c>
      <c r="K16" s="35" t="n">
        <f aca="false">INDEX(Monthly!$C$45:$BJ$45,($R$2-1)*12+4)</f>
        <v>-447.222222222222</v>
      </c>
      <c r="L16" s="35" t="n">
        <f aca="false">INDEX(Monthly!$C$45:$BJ$45,($R$2-1)*12+5)</f>
        <v>-439.444444444444</v>
      </c>
      <c r="M16" s="35" t="n">
        <f aca="false">INDEX(Monthly!$C$45:$BJ$45,($R$2-1)*12+6)</f>
        <v>-431.666666666667</v>
      </c>
      <c r="N16" s="35" t="n">
        <f aca="false">INDEX(Monthly!$C$45:$BJ$45,($R$2-1)*12+7)</f>
        <v>-423.888888888889</v>
      </c>
      <c r="O16" s="35" t="n">
        <f aca="false">INDEX(Monthly!$C$45:$BJ$45,($R$2-1)*12+8)</f>
        <v>-416.111111111111</v>
      </c>
      <c r="P16" s="35" t="n">
        <f aca="false">INDEX(Monthly!$C$45:$BJ$45,($R$2-1)*12+9)</f>
        <v>-408.333333333333</v>
      </c>
      <c r="Q16" s="35" t="n">
        <f aca="false">INDEX(Monthly!$C$45:$BJ$45,($R$2-1)*12+10)</f>
        <v>-400.555555555556</v>
      </c>
      <c r="R16" s="35" t="n">
        <f aca="false">INDEX(Monthly!$C$45:$BJ$45,($R$2-1)*12+11)</f>
        <v>-392.777777777778</v>
      </c>
      <c r="S16" s="35" t="n">
        <f aca="false">INDEX(Monthly!$C$45:$BJ$45,($R$2-1)*12+12)</f>
        <v>-385</v>
      </c>
    </row>
    <row r="17" customFormat="false" ht="15" hidden="false" customHeight="false" outlineLevel="0" collapsed="false">
      <c r="A17" s="51" t="s">
        <v>78</v>
      </c>
      <c r="B17" s="35" t="n">
        <f aca="false">'P&amp;L'!B23</f>
        <v>-54084.9388444445</v>
      </c>
      <c r="C17" s="35" t="n">
        <f aca="false">'P&amp;L'!C23</f>
        <v>-6044.63906133331</v>
      </c>
      <c r="D17" s="35" t="n">
        <f aca="false">'P&amp;L'!D23</f>
        <v>44713.6208759467</v>
      </c>
      <c r="E17" s="35" t="n">
        <f aca="false">'P&amp;L'!E23</f>
        <v>98306.5645846186</v>
      </c>
      <c r="F17" s="35" t="n">
        <f aca="false">'P&amp;L'!F23</f>
        <v>131068.28008959</v>
      </c>
      <c r="H17" s="35" t="n">
        <f aca="false">INDEX(Monthly!$C$46:$BJ$46,($R$2-1)*12+1)</f>
        <v>-4546.29120000001</v>
      </c>
      <c r="I17" s="35" t="n">
        <f aca="false">INDEX(Monthly!$C$46:$BJ$46,($R$2-1)*12+2)</f>
        <v>-4542.40231111112</v>
      </c>
      <c r="J17" s="35" t="n">
        <f aca="false">INDEX(Monthly!$C$46:$BJ$46,($R$2-1)*12+3)</f>
        <v>-4534.62453333334</v>
      </c>
      <c r="K17" s="35" t="n">
        <f aca="false">INDEX(Monthly!$C$46:$BJ$46,($R$2-1)*12+4)</f>
        <v>-4526.84675555556</v>
      </c>
      <c r="L17" s="35" t="n">
        <f aca="false">INDEX(Monthly!$C$46:$BJ$46,($R$2-1)*12+5)</f>
        <v>-4519.06897777778</v>
      </c>
      <c r="M17" s="35" t="n">
        <f aca="false">INDEX(Monthly!$C$46:$BJ$46,($R$2-1)*12+6)</f>
        <v>-4511.29120000001</v>
      </c>
      <c r="N17" s="35" t="n">
        <f aca="false">INDEX(Monthly!$C$46:$BJ$46,($R$2-1)*12+7)</f>
        <v>-4503.51342222223</v>
      </c>
      <c r="O17" s="35" t="n">
        <f aca="false">INDEX(Monthly!$C$46:$BJ$46,($R$2-1)*12+8)</f>
        <v>-4495.73564444445</v>
      </c>
      <c r="P17" s="35" t="n">
        <f aca="false">INDEX(Monthly!$C$46:$BJ$46,($R$2-1)*12+9)</f>
        <v>-4487.95786666667</v>
      </c>
      <c r="Q17" s="35" t="n">
        <f aca="false">INDEX(Monthly!$C$46:$BJ$46,($R$2-1)*12+10)</f>
        <v>-4480.18008888889</v>
      </c>
      <c r="R17" s="35" t="n">
        <f aca="false">INDEX(Monthly!$C$46:$BJ$46,($R$2-1)*12+11)</f>
        <v>-4472.40231111112</v>
      </c>
      <c r="S17" s="35" t="n">
        <f aca="false">INDEX(Monthly!$C$46:$BJ$46,($R$2-1)*12+12)</f>
        <v>-4464.62453333334</v>
      </c>
    </row>
    <row r="18" customFormat="false" ht="15" hidden="false" customHeight="false" outlineLevel="0" collapsed="false">
      <c r="A18" s="51" t="s">
        <v>79</v>
      </c>
      <c r="B18" s="35" t="n">
        <f aca="false">'P&amp;L'!B24</f>
        <v>0</v>
      </c>
      <c r="C18" s="35" t="n">
        <f aca="false">'P&amp;L'!C24</f>
        <v>0</v>
      </c>
      <c r="D18" s="35" t="n">
        <f aca="false">'P&amp;L'!D24</f>
        <v>0</v>
      </c>
      <c r="E18" s="35" t="n">
        <f aca="false">'P&amp;L'!E24</f>
        <v>-17407.0275865054</v>
      </c>
      <c r="F18" s="35" t="n">
        <f aca="false">'P&amp;L'!F24</f>
        <v>-27524.3388188139</v>
      </c>
      <c r="H18" s="35" t="n">
        <f aca="false">INDEX(Monthly!$C$49:$BJ$49,($R$2-1)*12+1)</f>
        <v>-0</v>
      </c>
      <c r="I18" s="35" t="n">
        <f aca="false">INDEX(Monthly!$C$49:$BJ$49,($R$2-1)*12+2)</f>
        <v>-0</v>
      </c>
      <c r="J18" s="35" t="n">
        <f aca="false">INDEX(Monthly!$C$49:$BJ$49,($R$2-1)*12+3)</f>
        <v>-0</v>
      </c>
      <c r="K18" s="35" t="n">
        <f aca="false">INDEX(Monthly!$C$49:$BJ$49,($R$2-1)*12+4)</f>
        <v>-0</v>
      </c>
      <c r="L18" s="35" t="n">
        <f aca="false">INDEX(Monthly!$C$49:$BJ$49,($R$2-1)*12+5)</f>
        <v>-0</v>
      </c>
      <c r="M18" s="35" t="n">
        <f aca="false">INDEX(Monthly!$C$49:$BJ$49,($R$2-1)*12+6)</f>
        <v>-0</v>
      </c>
      <c r="N18" s="35" t="n">
        <f aca="false">INDEX(Monthly!$C$49:$BJ$49,($R$2-1)*12+7)</f>
        <v>-0</v>
      </c>
      <c r="O18" s="35" t="n">
        <f aca="false">INDEX(Monthly!$C$49:$BJ$49,($R$2-1)*12+8)</f>
        <v>-0</v>
      </c>
      <c r="P18" s="35" t="n">
        <f aca="false">INDEX(Monthly!$C$49:$BJ$49,($R$2-1)*12+9)</f>
        <v>-0</v>
      </c>
      <c r="Q18" s="35" t="n">
        <f aca="false">INDEX(Monthly!$C$49:$BJ$49,($R$2-1)*12+10)</f>
        <v>-0</v>
      </c>
      <c r="R18" s="35" t="n">
        <f aca="false">INDEX(Monthly!$C$49:$BJ$49,($R$2-1)*12+11)</f>
        <v>-0</v>
      </c>
      <c r="S18" s="35" t="n">
        <f aca="false">INDEX(Monthly!$C$49:$BJ$49,($R$2-1)*12+12)</f>
        <v>-0</v>
      </c>
    </row>
    <row r="19" customFormat="false" ht="15" hidden="false" customHeight="false" outlineLevel="0" collapsed="false">
      <c r="A19" s="40" t="s">
        <v>48</v>
      </c>
      <c r="B19" s="41" t="n">
        <f aca="false">'P&amp;L'!B25</f>
        <v>-54084.9388444445</v>
      </c>
      <c r="C19" s="41" t="n">
        <f aca="false">'P&amp;L'!C25</f>
        <v>-6044.63906133331</v>
      </c>
      <c r="D19" s="41" t="n">
        <f aca="false">'P&amp;L'!D25</f>
        <v>44713.6208759467</v>
      </c>
      <c r="E19" s="41" t="n">
        <f aca="false">'P&amp;L'!E25</f>
        <v>80899.5369981132</v>
      </c>
      <c r="F19" s="41" t="n">
        <f aca="false">'P&amp;L'!F25</f>
        <v>103543.941270776</v>
      </c>
      <c r="H19" s="41" t="n">
        <f aca="false">INDEX(Monthly!$C$50:$BJ$50,($R$2-1)*12+1)</f>
        <v>-4546.29120000001</v>
      </c>
      <c r="I19" s="41" t="n">
        <f aca="false">INDEX(Monthly!$C$50:$BJ$50,($R$2-1)*12+2)</f>
        <v>-4542.40231111112</v>
      </c>
      <c r="J19" s="41" t="n">
        <f aca="false">INDEX(Monthly!$C$50:$BJ$50,($R$2-1)*12+3)</f>
        <v>-4534.62453333334</v>
      </c>
      <c r="K19" s="41" t="n">
        <f aca="false">INDEX(Monthly!$C$50:$BJ$50,($R$2-1)*12+4)</f>
        <v>-4526.84675555556</v>
      </c>
      <c r="L19" s="41" t="n">
        <f aca="false">INDEX(Monthly!$C$50:$BJ$50,($R$2-1)*12+5)</f>
        <v>-4519.06897777778</v>
      </c>
      <c r="M19" s="41" t="n">
        <f aca="false">INDEX(Monthly!$C$50:$BJ$50,($R$2-1)*12+6)</f>
        <v>-4511.29120000001</v>
      </c>
      <c r="N19" s="41" t="n">
        <f aca="false">INDEX(Monthly!$C$50:$BJ$50,($R$2-1)*12+7)</f>
        <v>-4503.51342222223</v>
      </c>
      <c r="O19" s="41" t="n">
        <f aca="false">INDEX(Monthly!$C$50:$BJ$50,($R$2-1)*12+8)</f>
        <v>-4495.73564444445</v>
      </c>
      <c r="P19" s="41" t="n">
        <f aca="false">INDEX(Monthly!$C$50:$BJ$50,($R$2-1)*12+9)</f>
        <v>-4487.95786666667</v>
      </c>
      <c r="Q19" s="41" t="n">
        <f aca="false">INDEX(Monthly!$C$50:$BJ$50,($R$2-1)*12+10)</f>
        <v>-4480.18008888889</v>
      </c>
      <c r="R19" s="41" t="n">
        <f aca="false">INDEX(Monthly!$C$50:$BJ$50,($R$2-1)*12+11)</f>
        <v>-4472.40231111112</v>
      </c>
      <c r="S19" s="41" t="n">
        <f aca="false">INDEX(Monthly!$C$50:$BJ$50,($R$2-1)*12+12)</f>
        <v>-4464.62453333334</v>
      </c>
    </row>
    <row r="20" customFormat="false" ht="15" hidden="false" customHeight="false" outlineLevel="0" collapsed="false">
      <c r="A20" s="38" t="s">
        <v>49</v>
      </c>
      <c r="B20" s="39" t="n">
        <f aca="false">'P&amp;L'!B26</f>
        <v>-0.112898236469406</v>
      </c>
      <c r="C20" s="39" t="n">
        <f aca="false">'P&amp;L'!C26</f>
        <v>-0.0100946296885922</v>
      </c>
      <c r="D20" s="39" t="n">
        <f aca="false">'P&amp;L'!D26</f>
        <v>0.0616493891068719</v>
      </c>
      <c r="E20" s="39" t="n">
        <f aca="false">'P&amp;L'!E26</f>
        <v>0.0941972748073109</v>
      </c>
      <c r="F20" s="39" t="n">
        <f aca="false">'P&amp;L'!F26</f>
        <v>0.109900086953957</v>
      </c>
      <c r="H20" s="39" t="n">
        <f aca="false">IF(H7=0,0,H19/H7)</f>
        <v>-0.113880485752074</v>
      </c>
      <c r="I20" s="39" t="n">
        <f aca="false">IF(I7=0,0,I19/I7)</f>
        <v>-0.113783072600074</v>
      </c>
      <c r="J20" s="39" t="n">
        <f aca="false">IF(J7=0,0,J19/J7)</f>
        <v>-0.113588246296074</v>
      </c>
      <c r="K20" s="39" t="n">
        <f aca="false">IF(K7=0,0,K19/K7)</f>
        <v>-0.113393419992073</v>
      </c>
      <c r="L20" s="39" t="n">
        <f aca="false">IF(L7=0,0,L19/L7)</f>
        <v>-0.113198593688073</v>
      </c>
      <c r="M20" s="39" t="n">
        <f aca="false">IF(M7=0,0,M19/M7)</f>
        <v>-0.113003767384073</v>
      </c>
      <c r="N20" s="39" t="n">
        <f aca="false">IF(N7=0,0,N19/N7)</f>
        <v>-0.112808941080073</v>
      </c>
      <c r="O20" s="39" t="n">
        <f aca="false">IF(O7=0,0,O19/O7)</f>
        <v>-0.112614114776072</v>
      </c>
      <c r="P20" s="39" t="n">
        <f aca="false">IF(P7=0,0,P19/P7)</f>
        <v>-0.112419288472072</v>
      </c>
      <c r="Q20" s="39" t="n">
        <f aca="false">IF(Q7=0,0,Q19/Q7)</f>
        <v>-0.112224462168072</v>
      </c>
      <c r="R20" s="39" t="n">
        <f aca="false">IF(R7=0,0,R19/R7)</f>
        <v>-0.112029635864072</v>
      </c>
      <c r="S20" s="39" t="n">
        <f aca="false">IF(S7=0,0,S19/S7)</f>
        <v>-0.111834809560071</v>
      </c>
    </row>
    <row r="22" customFormat="false" ht="15.75" hidden="false" customHeight="true" outlineLevel="0" collapsed="false">
      <c r="A22" s="7" t="s">
        <v>80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4" t="n">
        <v>4</v>
      </c>
      <c r="F23" s="34" t="n">
        <v>5</v>
      </c>
      <c r="H23" s="50" t="n">
        <f aca="false">INDEX(Monthly!$C$4:$BJ$4,($R$2-1)*12+1)</f>
        <v>1</v>
      </c>
      <c r="I23" s="50" t="n">
        <f aca="false">INDEX(Monthly!$C$4:$BJ$4,($R$2-1)*12+2)</f>
        <v>2</v>
      </c>
      <c r="J23" s="50" t="n">
        <f aca="false">INDEX(Monthly!$C$4:$BJ$4,($R$2-1)*12+3)</f>
        <v>3</v>
      </c>
      <c r="K23" s="50" t="n">
        <f aca="false">INDEX(Monthly!$C$4:$BJ$4,($R$2-1)*12+4)</f>
        <v>4</v>
      </c>
      <c r="L23" s="50" t="n">
        <f aca="false">INDEX(Monthly!$C$4:$BJ$4,($R$2-1)*12+5)</f>
        <v>5</v>
      </c>
      <c r="M23" s="50" t="n">
        <f aca="false">INDEX(Monthly!$C$4:$BJ$4,($R$2-1)*12+6)</f>
        <v>6</v>
      </c>
      <c r="N23" s="50" t="n">
        <f aca="false">INDEX(Monthly!$C$4:$BJ$4,($R$2-1)*12+7)</f>
        <v>7</v>
      </c>
      <c r="O23" s="50" t="n">
        <f aca="false">INDEX(Monthly!$C$4:$BJ$4,($R$2-1)*12+8)</f>
        <v>8</v>
      </c>
      <c r="P23" s="50" t="n">
        <f aca="false">INDEX(Monthly!$C$4:$BJ$4,($R$2-1)*12+9)</f>
        <v>9</v>
      </c>
      <c r="Q23" s="50" t="n">
        <f aca="false">INDEX(Monthly!$C$4:$BJ$4,($R$2-1)*12+10)</f>
        <v>10</v>
      </c>
      <c r="R23" s="50" t="n">
        <f aca="false">INDEX(Monthly!$C$4:$BJ$4,($R$2-1)*12+11)</f>
        <v>11</v>
      </c>
      <c r="S23" s="50" t="n">
        <f aca="false">INDEX(Monthly!$C$4:$BJ$4,($R$2-1)*12+12)</f>
        <v>12</v>
      </c>
    </row>
    <row r="24" customFormat="false" ht="15" hidden="false" customHeight="false" outlineLevel="0" collapsed="false">
      <c r="A24" s="36" t="s">
        <v>50</v>
      </c>
      <c r="B24" s="37" t="n">
        <f aca="false">'Cash Flow'!B10</f>
        <v>-34795.0636444445</v>
      </c>
      <c r="C24" s="37" t="n">
        <f aca="false">'Cash Flow'!C10</f>
        <v>12461.3219626667</v>
      </c>
      <c r="D24" s="37" t="n">
        <f aca="false">'Cash Flow'!D10</f>
        <v>63236.9586737067</v>
      </c>
      <c r="E24" s="37" t="n">
        <f aca="false">'Cash Flow'!E10</f>
        <v>99441.0188111372</v>
      </c>
      <c r="F24" s="37" t="n">
        <f aca="false">'Cash Flow'!F10</f>
        <v>121955.062840891</v>
      </c>
      <c r="H24" s="37" t="n">
        <f aca="false">INDEX(Monthly!$C$74:$BJ$74,($R$2-1)*12+1)</f>
        <v>-1939.74933333334</v>
      </c>
      <c r="I24" s="37" t="n">
        <f aca="false">INDEX(Monthly!$C$74:$BJ$74,($R$2-1)*12+2)</f>
        <v>-3025.73564444445</v>
      </c>
      <c r="J24" s="37" t="n">
        <f aca="false">INDEX(Monthly!$C$74:$BJ$74,($R$2-1)*12+3)</f>
        <v>-3017.95786666667</v>
      </c>
      <c r="K24" s="37" t="n">
        <f aca="false">INDEX(Monthly!$C$74:$BJ$74,($R$2-1)*12+4)</f>
        <v>-3010.18008888889</v>
      </c>
      <c r="L24" s="37" t="n">
        <f aca="false">INDEX(Monthly!$C$74:$BJ$74,($R$2-1)*12+5)</f>
        <v>-3002.40231111112</v>
      </c>
      <c r="M24" s="37" t="n">
        <f aca="false">INDEX(Monthly!$C$74:$BJ$74,($R$2-1)*12+6)</f>
        <v>-2994.62453333334</v>
      </c>
      <c r="N24" s="37" t="n">
        <f aca="false">INDEX(Monthly!$C$74:$BJ$74,($R$2-1)*12+7)</f>
        <v>-2986.84675555556</v>
      </c>
      <c r="O24" s="37" t="n">
        <f aca="false">INDEX(Monthly!$C$74:$BJ$74,($R$2-1)*12+8)</f>
        <v>-2979.06897777778</v>
      </c>
      <c r="P24" s="37" t="n">
        <f aca="false">INDEX(Monthly!$C$74:$BJ$74,($R$2-1)*12+9)</f>
        <v>-2971.2912</v>
      </c>
      <c r="Q24" s="37" t="n">
        <f aca="false">INDEX(Monthly!$C$74:$BJ$74,($R$2-1)*12+10)</f>
        <v>-2963.51342222223</v>
      </c>
      <c r="R24" s="37" t="n">
        <f aca="false">INDEX(Monthly!$C$74:$BJ$74,($R$2-1)*12+11)</f>
        <v>-2955.73564444445</v>
      </c>
      <c r="S24" s="37" t="n">
        <f aca="false">INDEX(Monthly!$C$74:$BJ$74,($R$2-1)*12+12)</f>
        <v>-2947.95786666667</v>
      </c>
    </row>
    <row r="25" customFormat="false" ht="15" hidden="false" customHeight="false" outlineLevel="0" collapsed="false">
      <c r="A25" s="51" t="s">
        <v>81</v>
      </c>
      <c r="B25" s="35" t="n">
        <f aca="false">'Cash Flow'!B11</f>
        <v>-127400</v>
      </c>
      <c r="C25" s="35" t="n">
        <f aca="false">'Cash Flow'!C11</f>
        <v>0</v>
      </c>
      <c r="D25" s="35" t="n">
        <f aca="false">'Cash Flow'!D11</f>
        <v>0</v>
      </c>
      <c r="E25" s="35" t="n">
        <f aca="false">'Cash Flow'!E11</f>
        <v>0</v>
      </c>
      <c r="F25" s="35" t="n">
        <f aca="false">'Cash Flow'!F11</f>
        <v>0</v>
      </c>
      <c r="H25" s="35" t="n">
        <f aca="false">INDEX(Monthly!$C$75:$BJ$75,($R$2-1)*12+1)</f>
        <v>-127400</v>
      </c>
      <c r="I25" s="35" t="n">
        <f aca="false">INDEX(Monthly!$C$75:$BJ$75,($R$2-1)*12+2)</f>
        <v>-0</v>
      </c>
      <c r="J25" s="35" t="n">
        <f aca="false">INDEX(Monthly!$C$75:$BJ$75,($R$2-1)*12+3)</f>
        <v>-0</v>
      </c>
      <c r="K25" s="35" t="n">
        <f aca="false">INDEX(Monthly!$C$75:$BJ$75,($R$2-1)*12+4)</f>
        <v>-0</v>
      </c>
      <c r="L25" s="35" t="n">
        <f aca="false">INDEX(Monthly!$C$75:$BJ$75,($R$2-1)*12+5)</f>
        <v>-0</v>
      </c>
      <c r="M25" s="35" t="n">
        <f aca="false">INDEX(Monthly!$C$75:$BJ$75,($R$2-1)*12+6)</f>
        <v>-0</v>
      </c>
      <c r="N25" s="35" t="n">
        <f aca="false">INDEX(Monthly!$C$75:$BJ$75,($R$2-1)*12+7)</f>
        <v>-0</v>
      </c>
      <c r="O25" s="35" t="n">
        <f aca="false">INDEX(Monthly!$C$75:$BJ$75,($R$2-1)*12+8)</f>
        <v>-0</v>
      </c>
      <c r="P25" s="35" t="n">
        <f aca="false">INDEX(Monthly!$C$75:$BJ$75,($R$2-1)*12+9)</f>
        <v>-0</v>
      </c>
      <c r="Q25" s="35" t="n">
        <f aca="false">INDEX(Monthly!$C$75:$BJ$75,($R$2-1)*12+10)</f>
        <v>-0</v>
      </c>
      <c r="R25" s="35" t="n">
        <f aca="false">INDEX(Monthly!$C$75:$BJ$75,($R$2-1)*12+11)</f>
        <v>-0</v>
      </c>
      <c r="S25" s="35" t="n">
        <f aca="false">INDEX(Monthly!$C$75:$BJ$75,($R$2-1)*12+12)</f>
        <v>-0</v>
      </c>
    </row>
    <row r="26" customFormat="false" ht="15" hidden="false" customHeight="false" outlineLevel="0" collapsed="false">
      <c r="A26" s="51" t="s">
        <v>61</v>
      </c>
      <c r="B26" s="35" t="n">
        <f aca="false">'Cash Flow'!B12</f>
        <v>150000</v>
      </c>
      <c r="C26" s="35" t="n">
        <f aca="false">'Cash Flow'!C12</f>
        <v>0</v>
      </c>
      <c r="D26" s="35" t="n">
        <f aca="false">'Cash Flow'!D12</f>
        <v>0</v>
      </c>
      <c r="E26" s="35" t="n">
        <f aca="false">'Cash Flow'!E12</f>
        <v>0</v>
      </c>
      <c r="F26" s="35" t="n">
        <f aca="false">'Cash Flow'!F12</f>
        <v>0</v>
      </c>
      <c r="H26" s="35" t="n">
        <f aca="false">INDEX(Monthly!$C$76:$BJ$76,($R$2-1)*12+1)</f>
        <v>150000</v>
      </c>
      <c r="I26" s="35" t="n">
        <f aca="false">INDEX(Monthly!$C$76:$BJ$76,($R$2-1)*12+2)</f>
        <v>0</v>
      </c>
      <c r="J26" s="35" t="n">
        <f aca="false">INDEX(Monthly!$C$76:$BJ$76,($R$2-1)*12+3)</f>
        <v>0</v>
      </c>
      <c r="K26" s="35" t="n">
        <f aca="false">INDEX(Monthly!$C$76:$BJ$76,($R$2-1)*12+4)</f>
        <v>0</v>
      </c>
      <c r="L26" s="35" t="n">
        <f aca="false">INDEX(Monthly!$C$76:$BJ$76,($R$2-1)*12+5)</f>
        <v>0</v>
      </c>
      <c r="M26" s="35" t="n">
        <f aca="false">INDEX(Monthly!$C$76:$BJ$76,($R$2-1)*12+6)</f>
        <v>0</v>
      </c>
      <c r="N26" s="35" t="n">
        <f aca="false">INDEX(Monthly!$C$76:$BJ$76,($R$2-1)*12+7)</f>
        <v>0</v>
      </c>
      <c r="O26" s="35" t="n">
        <f aca="false">INDEX(Monthly!$C$76:$BJ$76,($R$2-1)*12+8)</f>
        <v>0</v>
      </c>
      <c r="P26" s="35" t="n">
        <f aca="false">INDEX(Monthly!$C$76:$BJ$76,($R$2-1)*12+9)</f>
        <v>0</v>
      </c>
      <c r="Q26" s="35" t="n">
        <f aca="false">INDEX(Monthly!$C$76:$BJ$76,($R$2-1)*12+10)</f>
        <v>0</v>
      </c>
      <c r="R26" s="35" t="n">
        <f aca="false">INDEX(Monthly!$C$76:$BJ$76,($R$2-1)*12+11)</f>
        <v>0</v>
      </c>
      <c r="S26" s="35" t="n">
        <f aca="false">INDEX(Monthly!$C$76:$BJ$76,($R$2-1)*12+12)</f>
        <v>0</v>
      </c>
    </row>
    <row r="27" customFormat="false" ht="15" hidden="false" customHeight="false" outlineLevel="0" collapsed="false">
      <c r="A27" s="51" t="s">
        <v>82</v>
      </c>
      <c r="B27" s="35" t="n">
        <f aca="false">'Cash Flow'!B13</f>
        <v>70000</v>
      </c>
      <c r="C27" s="35" t="n">
        <f aca="false">'Cash Flow'!C13</f>
        <v>0</v>
      </c>
      <c r="D27" s="35" t="n">
        <f aca="false">'Cash Flow'!D13</f>
        <v>0</v>
      </c>
      <c r="E27" s="35" t="n">
        <f aca="false">'Cash Flow'!E13</f>
        <v>0</v>
      </c>
      <c r="F27" s="35" t="n">
        <f aca="false">'Cash Flow'!F13</f>
        <v>0</v>
      </c>
      <c r="H27" s="35" t="n">
        <f aca="false">INDEX(Monthly!$C$61:$BJ$61,($R$2-1)*12+1)</f>
        <v>70000</v>
      </c>
      <c r="I27" s="35" t="n">
        <f aca="false">INDEX(Monthly!$C$61:$BJ$61,($R$2-1)*12+2)</f>
        <v>0</v>
      </c>
      <c r="J27" s="35" t="n">
        <f aca="false">INDEX(Monthly!$C$61:$BJ$61,($R$2-1)*12+3)</f>
        <v>0</v>
      </c>
      <c r="K27" s="35" t="n">
        <f aca="false">INDEX(Monthly!$C$61:$BJ$61,($R$2-1)*12+4)</f>
        <v>0</v>
      </c>
      <c r="L27" s="35" t="n">
        <f aca="false">INDEX(Monthly!$C$61:$BJ$61,($R$2-1)*12+5)</f>
        <v>0</v>
      </c>
      <c r="M27" s="35" t="n">
        <f aca="false">INDEX(Monthly!$C$61:$BJ$61,($R$2-1)*12+6)</f>
        <v>0</v>
      </c>
      <c r="N27" s="35" t="n">
        <f aca="false">INDEX(Monthly!$C$61:$BJ$61,($R$2-1)*12+7)</f>
        <v>0</v>
      </c>
      <c r="O27" s="35" t="n">
        <f aca="false">INDEX(Monthly!$C$61:$BJ$61,($R$2-1)*12+8)</f>
        <v>0</v>
      </c>
      <c r="P27" s="35" t="n">
        <f aca="false">INDEX(Monthly!$C$61:$BJ$61,($R$2-1)*12+9)</f>
        <v>0</v>
      </c>
      <c r="Q27" s="35" t="n">
        <f aca="false">INDEX(Monthly!$C$61:$BJ$61,($R$2-1)*12+10)</f>
        <v>0</v>
      </c>
      <c r="R27" s="35" t="n">
        <f aca="false">INDEX(Monthly!$C$61:$BJ$61,($R$2-1)*12+11)</f>
        <v>0</v>
      </c>
      <c r="S27" s="35" t="n">
        <f aca="false">INDEX(Monthly!$C$61:$BJ$61,($R$2-1)*12+12)</f>
        <v>0</v>
      </c>
    </row>
    <row r="28" customFormat="false" ht="15" hidden="false" customHeight="false" outlineLevel="0" collapsed="false">
      <c r="A28" s="51" t="s">
        <v>83</v>
      </c>
      <c r="B28" s="35" t="n">
        <f aca="false">'Cash Flow'!B14</f>
        <v>-12833.3333333333</v>
      </c>
      <c r="C28" s="35" t="n">
        <f aca="false">'Cash Flow'!C14</f>
        <v>-14000</v>
      </c>
      <c r="D28" s="35" t="n">
        <f aca="false">'Cash Flow'!D14</f>
        <v>-14000</v>
      </c>
      <c r="E28" s="35" t="n">
        <f aca="false">'Cash Flow'!E14</f>
        <v>-14000</v>
      </c>
      <c r="F28" s="35" t="n">
        <f aca="false">'Cash Flow'!F14</f>
        <v>-14000</v>
      </c>
      <c r="H28" s="35" t="n">
        <f aca="false">INDEX(Monthly!$C$62:$BJ$62,($R$2-1)*12+1)</f>
        <v>-0</v>
      </c>
      <c r="I28" s="35" t="n">
        <f aca="false">INDEX(Monthly!$C$62:$BJ$62,($R$2-1)*12+2)</f>
        <v>-1166.66666666667</v>
      </c>
      <c r="J28" s="35" t="n">
        <f aca="false">INDEX(Monthly!$C$62:$BJ$62,($R$2-1)*12+3)</f>
        <v>-1166.66666666667</v>
      </c>
      <c r="K28" s="35" t="n">
        <f aca="false">INDEX(Monthly!$C$62:$BJ$62,($R$2-1)*12+4)</f>
        <v>-1166.66666666667</v>
      </c>
      <c r="L28" s="35" t="n">
        <f aca="false">INDEX(Monthly!$C$62:$BJ$62,($R$2-1)*12+5)</f>
        <v>-1166.66666666667</v>
      </c>
      <c r="M28" s="35" t="n">
        <f aca="false">INDEX(Monthly!$C$62:$BJ$62,($R$2-1)*12+6)</f>
        <v>-1166.66666666667</v>
      </c>
      <c r="N28" s="35" t="n">
        <f aca="false">INDEX(Monthly!$C$62:$BJ$62,($R$2-1)*12+7)</f>
        <v>-1166.66666666667</v>
      </c>
      <c r="O28" s="35" t="n">
        <f aca="false">INDEX(Monthly!$C$62:$BJ$62,($R$2-1)*12+8)</f>
        <v>-1166.66666666667</v>
      </c>
      <c r="P28" s="35" t="n">
        <f aca="false">INDEX(Monthly!$C$62:$BJ$62,($R$2-1)*12+9)</f>
        <v>-1166.66666666667</v>
      </c>
      <c r="Q28" s="35" t="n">
        <f aca="false">INDEX(Monthly!$C$62:$BJ$62,($R$2-1)*12+10)</f>
        <v>-1166.66666666667</v>
      </c>
      <c r="R28" s="35" t="n">
        <f aca="false">INDEX(Monthly!$C$62:$BJ$62,($R$2-1)*12+11)</f>
        <v>-1166.66666666667</v>
      </c>
      <c r="S28" s="35" t="n">
        <f aca="false">INDEX(Monthly!$C$62:$BJ$62,($R$2-1)*12+12)</f>
        <v>-1166.66666666667</v>
      </c>
    </row>
    <row r="29" customFormat="false" ht="15" hidden="false" customHeight="false" outlineLevel="0" collapsed="false">
      <c r="A29" s="36" t="s">
        <v>52</v>
      </c>
      <c r="B29" s="37" t="n">
        <f aca="false">'Cash Flow'!B15</f>
        <v>207166.666666667</v>
      </c>
      <c r="C29" s="37" t="n">
        <f aca="false">'Cash Flow'!C15</f>
        <v>-14000</v>
      </c>
      <c r="D29" s="37" t="n">
        <f aca="false">'Cash Flow'!D15</f>
        <v>-14000</v>
      </c>
      <c r="E29" s="37" t="n">
        <f aca="false">'Cash Flow'!E15</f>
        <v>-14000</v>
      </c>
      <c r="F29" s="37" t="n">
        <f aca="false">'Cash Flow'!F15</f>
        <v>-14000</v>
      </c>
      <c r="H29" s="37" t="n">
        <f aca="false">INDEX(Monthly!$C$77:$BJ$77,($R$2-1)*12+1)</f>
        <v>220000</v>
      </c>
      <c r="I29" s="37" t="n">
        <f aca="false">INDEX(Monthly!$C$77:$BJ$77,($R$2-1)*12+2)</f>
        <v>-1166.66666666667</v>
      </c>
      <c r="J29" s="37" t="n">
        <f aca="false">INDEX(Monthly!$C$77:$BJ$77,($R$2-1)*12+3)</f>
        <v>-1166.66666666667</v>
      </c>
      <c r="K29" s="37" t="n">
        <f aca="false">INDEX(Monthly!$C$77:$BJ$77,($R$2-1)*12+4)</f>
        <v>-1166.66666666667</v>
      </c>
      <c r="L29" s="37" t="n">
        <f aca="false">INDEX(Monthly!$C$77:$BJ$77,($R$2-1)*12+5)</f>
        <v>-1166.66666666667</v>
      </c>
      <c r="M29" s="37" t="n">
        <f aca="false">INDEX(Monthly!$C$77:$BJ$77,($R$2-1)*12+6)</f>
        <v>-1166.66666666667</v>
      </c>
      <c r="N29" s="37" t="n">
        <f aca="false">INDEX(Monthly!$C$77:$BJ$77,($R$2-1)*12+7)</f>
        <v>-1166.66666666667</v>
      </c>
      <c r="O29" s="37" t="n">
        <f aca="false">INDEX(Monthly!$C$77:$BJ$77,($R$2-1)*12+8)</f>
        <v>-1166.66666666667</v>
      </c>
      <c r="P29" s="37" t="n">
        <f aca="false">INDEX(Monthly!$C$77:$BJ$77,($R$2-1)*12+9)</f>
        <v>-1166.66666666667</v>
      </c>
      <c r="Q29" s="37" t="n">
        <f aca="false">INDEX(Monthly!$C$77:$BJ$77,($R$2-1)*12+10)</f>
        <v>-1166.66666666667</v>
      </c>
      <c r="R29" s="37" t="n">
        <f aca="false">INDEX(Monthly!$C$77:$BJ$77,($R$2-1)*12+11)</f>
        <v>-1166.66666666667</v>
      </c>
      <c r="S29" s="37" t="n">
        <f aca="false">INDEX(Monthly!$C$77:$BJ$77,($R$2-1)*12+12)</f>
        <v>-1166.66666666667</v>
      </c>
    </row>
    <row r="30" customFormat="false" ht="15" hidden="false" customHeight="false" outlineLevel="0" collapsed="false">
      <c r="A30" s="36" t="s">
        <v>53</v>
      </c>
      <c r="B30" s="37" t="n">
        <f aca="false">'Cash Flow'!B16</f>
        <v>44971.6030222222</v>
      </c>
      <c r="C30" s="37" t="n">
        <f aca="false">'Cash Flow'!C16</f>
        <v>-1538.67803733331</v>
      </c>
      <c r="D30" s="37" t="n">
        <f aca="false">'Cash Flow'!D16</f>
        <v>49236.9586737067</v>
      </c>
      <c r="E30" s="37" t="n">
        <f aca="false">'Cash Flow'!E16</f>
        <v>85441.0188111372</v>
      </c>
      <c r="F30" s="37" t="n">
        <f aca="false">'Cash Flow'!F16</f>
        <v>107955.062840891</v>
      </c>
      <c r="H30" s="37" t="n">
        <f aca="false">INDEX(Monthly!$C$78:$BJ$78,($R$2-1)*12+1)</f>
        <v>90660.2506666667</v>
      </c>
      <c r="I30" s="37" t="n">
        <f aca="false">INDEX(Monthly!$C$78:$BJ$78,($R$2-1)*12+2)</f>
        <v>-4192.40231111112</v>
      </c>
      <c r="J30" s="37" t="n">
        <f aca="false">INDEX(Monthly!$C$78:$BJ$78,($R$2-1)*12+3)</f>
        <v>-4184.62453333334</v>
      </c>
      <c r="K30" s="37" t="n">
        <f aca="false">INDEX(Monthly!$C$78:$BJ$78,($R$2-1)*12+4)</f>
        <v>-4176.84675555556</v>
      </c>
      <c r="L30" s="37" t="n">
        <f aca="false">INDEX(Monthly!$C$78:$BJ$78,($R$2-1)*12+5)</f>
        <v>-4169.06897777778</v>
      </c>
      <c r="M30" s="37" t="n">
        <f aca="false">INDEX(Monthly!$C$78:$BJ$78,($R$2-1)*12+6)</f>
        <v>-4161.29120000001</v>
      </c>
      <c r="N30" s="37" t="n">
        <f aca="false">INDEX(Monthly!$C$78:$BJ$78,($R$2-1)*12+7)</f>
        <v>-4153.51342222223</v>
      </c>
      <c r="O30" s="37" t="n">
        <f aca="false">INDEX(Monthly!$C$78:$BJ$78,($R$2-1)*12+8)</f>
        <v>-4145.73564444445</v>
      </c>
      <c r="P30" s="37" t="n">
        <f aca="false">INDEX(Monthly!$C$78:$BJ$78,($R$2-1)*12+9)</f>
        <v>-4137.95786666667</v>
      </c>
      <c r="Q30" s="37" t="n">
        <f aca="false">INDEX(Monthly!$C$78:$BJ$78,($R$2-1)*12+10)</f>
        <v>-4130.18008888889</v>
      </c>
      <c r="R30" s="37" t="n">
        <f aca="false">INDEX(Monthly!$C$78:$BJ$78,($R$2-1)*12+11)</f>
        <v>-4122.40231111112</v>
      </c>
      <c r="S30" s="37" t="n">
        <f aca="false">INDEX(Monthly!$C$78:$BJ$78,($R$2-1)*12+12)</f>
        <v>-4114.62453333334</v>
      </c>
    </row>
    <row r="31" customFormat="false" ht="15" hidden="false" customHeight="false" outlineLevel="0" collapsed="false">
      <c r="A31" s="40" t="s">
        <v>84</v>
      </c>
      <c r="B31" s="41" t="n">
        <f aca="false">'Cash Flow'!B18</f>
        <v>44971.6030222222</v>
      </c>
      <c r="C31" s="41" t="n">
        <f aca="false">'Cash Flow'!C18</f>
        <v>43432.9249848889</v>
      </c>
      <c r="D31" s="41" t="n">
        <f aca="false">'Cash Flow'!D18</f>
        <v>92669.8836585956</v>
      </c>
      <c r="E31" s="41" t="n">
        <f aca="false">'Cash Flow'!E18</f>
        <v>178110.902469733</v>
      </c>
      <c r="F31" s="41" t="n">
        <f aca="false">'Cash Flow'!F18</f>
        <v>286065.965310624</v>
      </c>
      <c r="H31" s="41" t="n">
        <f aca="false">INDEX(Monthly!$C$80:$BJ$80,($R$2-1)*12+1)</f>
        <v>90660.2506666667</v>
      </c>
      <c r="I31" s="41" t="n">
        <f aca="false">INDEX(Monthly!$C$80:$BJ$80,($R$2-1)*12+2)</f>
        <v>86467.8483555555</v>
      </c>
      <c r="J31" s="41" t="n">
        <f aca="false">INDEX(Monthly!$C$80:$BJ$80,($R$2-1)*12+3)</f>
        <v>82283.2238222222</v>
      </c>
      <c r="K31" s="41" t="n">
        <f aca="false">INDEX(Monthly!$C$80:$BJ$80,($R$2-1)*12+4)</f>
        <v>78106.3770666667</v>
      </c>
      <c r="L31" s="41" t="n">
        <f aca="false">INDEX(Monthly!$C$80:$BJ$80,($R$2-1)*12+5)</f>
        <v>73937.3080888889</v>
      </c>
      <c r="M31" s="41" t="n">
        <f aca="false">INDEX(Monthly!$C$80:$BJ$80,($R$2-1)*12+6)</f>
        <v>69776.0168888889</v>
      </c>
      <c r="N31" s="41" t="n">
        <f aca="false">INDEX(Monthly!$C$80:$BJ$80,($R$2-1)*12+7)</f>
        <v>65622.5034666666</v>
      </c>
      <c r="O31" s="41" t="n">
        <f aca="false">INDEX(Monthly!$C$80:$BJ$80,($R$2-1)*12+8)</f>
        <v>61476.7678222222</v>
      </c>
      <c r="P31" s="41" t="n">
        <f aca="false">INDEX(Monthly!$C$80:$BJ$80,($R$2-1)*12+9)</f>
        <v>57338.8099555555</v>
      </c>
      <c r="Q31" s="41" t="n">
        <f aca="false">INDEX(Monthly!$C$80:$BJ$80,($R$2-1)*12+10)</f>
        <v>53208.6298666666</v>
      </c>
      <c r="R31" s="41" t="n">
        <f aca="false">INDEX(Monthly!$C$80:$BJ$80,($R$2-1)*12+11)</f>
        <v>49086.2275555555</v>
      </c>
      <c r="S31" s="41" t="n">
        <f aca="false">INDEX(Monthly!$C$80:$BJ$80,($R$2-1)*12+12)</f>
        <v>44971.6030222222</v>
      </c>
    </row>
    <row r="39" customFormat="false" ht="15.75" hidden="false" customHeight="true" outlineLevel="0" collapsed="false">
      <c r="A39" s="7" t="s">
        <v>85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4" t="n">
        <v>4</v>
      </c>
      <c r="F40" s="34" t="n">
        <v>5</v>
      </c>
      <c r="H40" s="50" t="n">
        <f aca="false">INDEX(Monthly!$C$4:$BJ$4,($R$2-1)*12+1)</f>
        <v>1</v>
      </c>
      <c r="I40" s="50" t="n">
        <f aca="false">INDEX(Monthly!$C$4:$BJ$4,($R$2-1)*12+2)</f>
        <v>2</v>
      </c>
      <c r="J40" s="50" t="n">
        <f aca="false">INDEX(Monthly!$C$4:$BJ$4,($R$2-1)*12+3)</f>
        <v>3</v>
      </c>
      <c r="K40" s="50" t="n">
        <f aca="false">INDEX(Monthly!$C$4:$BJ$4,($R$2-1)*12+4)</f>
        <v>4</v>
      </c>
      <c r="L40" s="50" t="n">
        <f aca="false">INDEX(Monthly!$C$4:$BJ$4,($R$2-1)*12+5)</f>
        <v>5</v>
      </c>
      <c r="M40" s="50" t="n">
        <f aca="false">INDEX(Monthly!$C$4:$BJ$4,($R$2-1)*12+6)</f>
        <v>6</v>
      </c>
      <c r="N40" s="50" t="n">
        <f aca="false">INDEX(Monthly!$C$4:$BJ$4,($R$2-1)*12+7)</f>
        <v>7</v>
      </c>
      <c r="O40" s="50" t="n">
        <f aca="false">INDEX(Monthly!$C$4:$BJ$4,($R$2-1)*12+8)</f>
        <v>8</v>
      </c>
      <c r="P40" s="50" t="n">
        <f aca="false">INDEX(Monthly!$C$4:$BJ$4,($R$2-1)*12+9)</f>
        <v>9</v>
      </c>
      <c r="Q40" s="50" t="n">
        <f aca="false">INDEX(Monthly!$C$4:$BJ$4,($R$2-1)*12+10)</f>
        <v>10</v>
      </c>
      <c r="R40" s="50" t="n">
        <f aca="false">INDEX(Monthly!$C$4:$BJ$4,($R$2-1)*12+11)</f>
        <v>11</v>
      </c>
      <c r="S40" s="50" t="n">
        <f aca="false">INDEX(Monthly!$C$4:$BJ$4,($R$2-1)*12+12)</f>
        <v>12</v>
      </c>
    </row>
    <row r="41" customFormat="false" ht="15" hidden="false" customHeight="false" outlineLevel="0" collapsed="false">
      <c r="A41" s="51" t="s">
        <v>86</v>
      </c>
      <c r="B41" s="35" t="n">
        <f aca="false">'Balance Sheet'!B5</f>
        <v>44971.6030222222</v>
      </c>
      <c r="C41" s="35" t="n">
        <f aca="false">'Balance Sheet'!C5</f>
        <v>43432.9249848889</v>
      </c>
      <c r="D41" s="35" t="n">
        <f aca="false">'Balance Sheet'!D5</f>
        <v>92669.8836585956</v>
      </c>
      <c r="E41" s="35" t="n">
        <f aca="false">'Balance Sheet'!E5</f>
        <v>178110.902469733</v>
      </c>
      <c r="F41" s="35" t="n">
        <f aca="false">'Balance Sheet'!F5</f>
        <v>286065.965310624</v>
      </c>
      <c r="H41" s="35" t="n">
        <f aca="false">INDEX(Monthly!$C$80:$BJ$80,($R$2-1)*12+1)</f>
        <v>90660.2506666667</v>
      </c>
      <c r="I41" s="35" t="n">
        <f aca="false">INDEX(Monthly!$C$80:$BJ$80,($R$2-1)*12+2)</f>
        <v>86467.8483555555</v>
      </c>
      <c r="J41" s="35" t="n">
        <f aca="false">INDEX(Monthly!$C$80:$BJ$80,($R$2-1)*12+3)</f>
        <v>82283.2238222222</v>
      </c>
      <c r="K41" s="35" t="n">
        <f aca="false">INDEX(Monthly!$C$80:$BJ$80,($R$2-1)*12+4)</f>
        <v>78106.3770666667</v>
      </c>
      <c r="L41" s="35" t="n">
        <f aca="false">INDEX(Monthly!$C$80:$BJ$80,($R$2-1)*12+5)</f>
        <v>73937.3080888889</v>
      </c>
      <c r="M41" s="35" t="n">
        <f aca="false">INDEX(Monthly!$C$80:$BJ$80,($R$2-1)*12+6)</f>
        <v>69776.0168888889</v>
      </c>
      <c r="N41" s="35" t="n">
        <f aca="false">INDEX(Monthly!$C$80:$BJ$80,($R$2-1)*12+7)</f>
        <v>65622.5034666666</v>
      </c>
      <c r="O41" s="35" t="n">
        <f aca="false">INDEX(Monthly!$C$80:$BJ$80,($R$2-1)*12+8)</f>
        <v>61476.7678222222</v>
      </c>
      <c r="P41" s="35" t="n">
        <f aca="false">INDEX(Monthly!$C$80:$BJ$80,($R$2-1)*12+9)</f>
        <v>57338.8099555555</v>
      </c>
      <c r="Q41" s="35" t="n">
        <f aca="false">INDEX(Monthly!$C$80:$BJ$80,($R$2-1)*12+10)</f>
        <v>53208.6298666666</v>
      </c>
      <c r="R41" s="35" t="n">
        <f aca="false">INDEX(Monthly!$C$80:$BJ$80,($R$2-1)*12+11)</f>
        <v>49086.2275555555</v>
      </c>
      <c r="S41" s="35" t="n">
        <f aca="false">INDEX(Monthly!$C$80:$BJ$80,($R$2-1)*12+12)</f>
        <v>44971.6030222222</v>
      </c>
    </row>
    <row r="42" customFormat="false" ht="15" hidden="false" customHeight="false" outlineLevel="0" collapsed="false">
      <c r="A42" s="51" t="s">
        <v>87</v>
      </c>
      <c r="B42" s="35" t="n">
        <f aca="false">'Balance Sheet'!B6</f>
        <v>2661.44</v>
      </c>
      <c r="C42" s="35" t="n">
        <f aca="false">'Balance Sheet'!C6</f>
        <v>3326.6528</v>
      </c>
      <c r="D42" s="35" t="n">
        <f aca="false">'Balance Sheet'!D6</f>
        <v>4029.383072</v>
      </c>
      <c r="E42" s="35" t="n">
        <f aca="false">'Balance Sheet'!E6</f>
        <v>4771.2831728</v>
      </c>
      <c r="F42" s="35" t="n">
        <f aca="false">'Balance Sheet'!F6</f>
        <v>5234.2462514336</v>
      </c>
      <c r="H42" s="35" t="n">
        <f aca="false">INDEX(Monthly!$C$66:$BJ$66,($R$2-1)*12+1)</f>
        <v>2661.44</v>
      </c>
      <c r="I42" s="35" t="n">
        <f aca="false">INDEX(Monthly!$C$66:$BJ$66,($R$2-1)*12+2)</f>
        <v>2661.44</v>
      </c>
      <c r="J42" s="35" t="n">
        <f aca="false">INDEX(Monthly!$C$66:$BJ$66,($R$2-1)*12+3)</f>
        <v>2661.44</v>
      </c>
      <c r="K42" s="35" t="n">
        <f aca="false">INDEX(Monthly!$C$66:$BJ$66,($R$2-1)*12+4)</f>
        <v>2661.44</v>
      </c>
      <c r="L42" s="35" t="n">
        <f aca="false">INDEX(Monthly!$C$66:$BJ$66,($R$2-1)*12+5)</f>
        <v>2661.44</v>
      </c>
      <c r="M42" s="35" t="n">
        <f aca="false">INDEX(Monthly!$C$66:$BJ$66,($R$2-1)*12+6)</f>
        <v>2661.44</v>
      </c>
      <c r="N42" s="35" t="n">
        <f aca="false">INDEX(Monthly!$C$66:$BJ$66,($R$2-1)*12+7)</f>
        <v>2661.44</v>
      </c>
      <c r="O42" s="35" t="n">
        <f aca="false">INDEX(Monthly!$C$66:$BJ$66,($R$2-1)*12+8)</f>
        <v>2661.44</v>
      </c>
      <c r="P42" s="35" t="n">
        <f aca="false">INDEX(Monthly!$C$66:$BJ$66,($R$2-1)*12+9)</f>
        <v>2661.44</v>
      </c>
      <c r="Q42" s="35" t="n">
        <f aca="false">INDEX(Monthly!$C$66:$BJ$66,($R$2-1)*12+10)</f>
        <v>2661.44</v>
      </c>
      <c r="R42" s="35" t="n">
        <f aca="false">INDEX(Monthly!$C$66:$BJ$66,($R$2-1)*12+11)</f>
        <v>2661.44</v>
      </c>
      <c r="S42" s="35" t="n">
        <f aca="false">INDEX(Monthly!$C$66:$BJ$66,($R$2-1)*12+12)</f>
        <v>2661.44</v>
      </c>
    </row>
    <row r="43" customFormat="false" ht="15" hidden="false" customHeight="false" outlineLevel="0" collapsed="false">
      <c r="A43" s="51" t="s">
        <v>88</v>
      </c>
      <c r="B43" s="35" t="n">
        <f aca="false">'Balance Sheet'!B7</f>
        <v>11253.9456</v>
      </c>
      <c r="C43" s="35" t="n">
        <f aca="false">'Balance Sheet'!C7</f>
        <v>14167.467072</v>
      </c>
      <c r="D43" s="35" t="n">
        <f aca="false">'Balance Sheet'!D7</f>
        <v>17245.67128128</v>
      </c>
      <c r="E43" s="35" t="n">
        <f aca="false">'Balance Sheet'!E7</f>
        <v>20495.817022752</v>
      </c>
      <c r="F43" s="35" t="n">
        <f aca="false">'Balance Sheet'!F7</f>
        <v>22518.0709689969</v>
      </c>
      <c r="H43" s="35" t="n">
        <f aca="false">INDEX(Monthly!$C$67:$BJ$67,($R$2-1)*12+1)</f>
        <v>11253.9456</v>
      </c>
      <c r="I43" s="35" t="n">
        <f aca="false">INDEX(Monthly!$C$67:$BJ$67,($R$2-1)*12+2)</f>
        <v>11253.9456</v>
      </c>
      <c r="J43" s="35" t="n">
        <f aca="false">INDEX(Monthly!$C$67:$BJ$67,($R$2-1)*12+3)</f>
        <v>11253.9456</v>
      </c>
      <c r="K43" s="35" t="n">
        <f aca="false">INDEX(Monthly!$C$67:$BJ$67,($R$2-1)*12+4)</f>
        <v>11253.9456</v>
      </c>
      <c r="L43" s="35" t="n">
        <f aca="false">INDEX(Monthly!$C$67:$BJ$67,($R$2-1)*12+5)</f>
        <v>11253.9456</v>
      </c>
      <c r="M43" s="35" t="n">
        <f aca="false">INDEX(Monthly!$C$67:$BJ$67,($R$2-1)*12+6)</f>
        <v>11253.9456</v>
      </c>
      <c r="N43" s="35" t="n">
        <f aca="false">INDEX(Monthly!$C$67:$BJ$67,($R$2-1)*12+7)</f>
        <v>11253.9456</v>
      </c>
      <c r="O43" s="35" t="n">
        <f aca="false">INDEX(Monthly!$C$67:$BJ$67,($R$2-1)*12+8)</f>
        <v>11253.9456</v>
      </c>
      <c r="P43" s="35" t="n">
        <f aca="false">INDEX(Monthly!$C$67:$BJ$67,($R$2-1)*12+9)</f>
        <v>11253.9456</v>
      </c>
      <c r="Q43" s="35" t="n">
        <f aca="false">INDEX(Monthly!$C$67:$BJ$67,($R$2-1)*12+10)</f>
        <v>11253.9456</v>
      </c>
      <c r="R43" s="35" t="n">
        <f aca="false">INDEX(Monthly!$C$67:$BJ$67,($R$2-1)*12+11)</f>
        <v>11253.9456</v>
      </c>
      <c r="S43" s="35" t="n">
        <f aca="false">INDEX(Monthly!$C$67:$BJ$67,($R$2-1)*12+12)</f>
        <v>11253.9456</v>
      </c>
    </row>
    <row r="44" customFormat="false" ht="15" hidden="false" customHeight="false" outlineLevel="0" collapsed="false">
      <c r="A44" s="51" t="s">
        <v>89</v>
      </c>
      <c r="B44" s="35" t="n">
        <f aca="false">'Balance Sheet'!B8</f>
        <v>109200</v>
      </c>
      <c r="C44" s="35" t="n">
        <f aca="false">'Balance Sheet'!C8</f>
        <v>91000</v>
      </c>
      <c r="D44" s="35" t="n">
        <f aca="false">'Balance Sheet'!D8</f>
        <v>72800</v>
      </c>
      <c r="E44" s="35" t="n">
        <f aca="false">'Balance Sheet'!E8</f>
        <v>54600</v>
      </c>
      <c r="F44" s="35" t="n">
        <f aca="false">'Balance Sheet'!F8</f>
        <v>36400</v>
      </c>
      <c r="H44" s="35" t="n">
        <f aca="false">INDEX(Monthly!$C$57:$BJ$57,($R$2-1)*12+1)</f>
        <v>125883.333333333</v>
      </c>
      <c r="I44" s="35" t="n">
        <f aca="false">INDEX(Monthly!$C$57:$BJ$57,($R$2-1)*12+2)</f>
        <v>124366.666666667</v>
      </c>
      <c r="J44" s="35" t="n">
        <f aca="false">INDEX(Monthly!$C$57:$BJ$57,($R$2-1)*12+3)</f>
        <v>122850</v>
      </c>
      <c r="K44" s="35" t="n">
        <f aca="false">INDEX(Monthly!$C$57:$BJ$57,($R$2-1)*12+4)</f>
        <v>121333.333333333</v>
      </c>
      <c r="L44" s="35" t="n">
        <f aca="false">INDEX(Monthly!$C$57:$BJ$57,($R$2-1)*12+5)</f>
        <v>119816.666666667</v>
      </c>
      <c r="M44" s="35" t="n">
        <f aca="false">INDEX(Monthly!$C$57:$BJ$57,($R$2-1)*12+6)</f>
        <v>118300</v>
      </c>
      <c r="N44" s="35" t="n">
        <f aca="false">INDEX(Monthly!$C$57:$BJ$57,($R$2-1)*12+7)</f>
        <v>116783.333333333</v>
      </c>
      <c r="O44" s="35" t="n">
        <f aca="false">INDEX(Monthly!$C$57:$BJ$57,($R$2-1)*12+8)</f>
        <v>115266.666666667</v>
      </c>
      <c r="P44" s="35" t="n">
        <f aca="false">INDEX(Monthly!$C$57:$BJ$57,($R$2-1)*12+9)</f>
        <v>113750</v>
      </c>
      <c r="Q44" s="35" t="n">
        <f aca="false">INDEX(Monthly!$C$57:$BJ$57,($R$2-1)*12+10)</f>
        <v>112233.333333333</v>
      </c>
      <c r="R44" s="35" t="n">
        <f aca="false">INDEX(Monthly!$C$57:$BJ$57,($R$2-1)*12+11)</f>
        <v>110716.666666667</v>
      </c>
      <c r="S44" s="35" t="n">
        <f aca="false">INDEX(Monthly!$C$57:$BJ$57,($R$2-1)*12+12)</f>
        <v>109200</v>
      </c>
    </row>
    <row r="45" customFormat="false" ht="15" hidden="false" customHeight="false" outlineLevel="0" collapsed="false">
      <c r="A45" s="36" t="s">
        <v>90</v>
      </c>
      <c r="B45" s="37" t="n">
        <f aca="false">'Balance Sheet'!B9</f>
        <v>168086.988622222</v>
      </c>
      <c r="C45" s="37" t="n">
        <f aca="false">'Balance Sheet'!C9</f>
        <v>151927.044856889</v>
      </c>
      <c r="D45" s="37" t="n">
        <f aca="false">'Balance Sheet'!D9</f>
        <v>186744.938011876</v>
      </c>
      <c r="E45" s="37" t="n">
        <f aca="false">'Balance Sheet'!E9</f>
        <v>257978.002665285</v>
      </c>
      <c r="F45" s="37" t="n">
        <f aca="false">'Balance Sheet'!F9</f>
        <v>350218.282531054</v>
      </c>
      <c r="H45" s="37" t="n">
        <f aca="false">INDEX(Monthly!$C$94:$BJ$94,($R$2-1)*12+1)</f>
        <v>230458.9696</v>
      </c>
      <c r="I45" s="37" t="n">
        <f aca="false">INDEX(Monthly!$C$94:$BJ$94,($R$2-1)*12+2)</f>
        <v>224749.900622222</v>
      </c>
      <c r="J45" s="37" t="n">
        <f aca="false">INDEX(Monthly!$C$94:$BJ$94,($R$2-1)*12+3)</f>
        <v>219048.609422222</v>
      </c>
      <c r="K45" s="37" t="n">
        <f aca="false">INDEX(Monthly!$C$94:$BJ$94,($R$2-1)*12+4)</f>
        <v>213355.096</v>
      </c>
      <c r="L45" s="37" t="n">
        <f aca="false">INDEX(Monthly!$C$94:$BJ$94,($R$2-1)*12+5)</f>
        <v>207669.360355556</v>
      </c>
      <c r="M45" s="37" t="n">
        <f aca="false">INDEX(Monthly!$C$94:$BJ$94,($R$2-1)*12+6)</f>
        <v>201991.402488889</v>
      </c>
      <c r="N45" s="37" t="n">
        <f aca="false">INDEX(Monthly!$C$94:$BJ$94,($R$2-1)*12+7)</f>
        <v>196321.2224</v>
      </c>
      <c r="O45" s="37" t="n">
        <f aca="false">INDEX(Monthly!$C$94:$BJ$94,($R$2-1)*12+8)</f>
        <v>190658.820088889</v>
      </c>
      <c r="P45" s="37" t="n">
        <f aca="false">INDEX(Monthly!$C$94:$BJ$94,($R$2-1)*12+9)</f>
        <v>185004.195555556</v>
      </c>
      <c r="Q45" s="37" t="n">
        <f aca="false">INDEX(Monthly!$C$94:$BJ$94,($R$2-1)*12+10)</f>
        <v>179357.3488</v>
      </c>
      <c r="R45" s="37" t="n">
        <f aca="false">INDEX(Monthly!$C$94:$BJ$94,($R$2-1)*12+11)</f>
        <v>173718.279822222</v>
      </c>
      <c r="S45" s="37" t="n">
        <f aca="false">INDEX(Monthly!$C$94:$BJ$94,($R$2-1)*12+12)</f>
        <v>168086.988622222</v>
      </c>
    </row>
    <row r="46" customFormat="false" ht="15" hidden="false" customHeight="false" outlineLevel="0" collapsed="false">
      <c r="A46" s="51" t="s">
        <v>91</v>
      </c>
      <c r="B46" s="35" t="n">
        <f aca="false">'Balance Sheet'!B10</f>
        <v>15005.2608</v>
      </c>
      <c r="C46" s="35" t="n">
        <f aca="false">'Balance Sheet'!C10</f>
        <v>18889.956096</v>
      </c>
      <c r="D46" s="35" t="n">
        <f aca="false">'Balance Sheet'!D10</f>
        <v>22994.22837504</v>
      </c>
      <c r="E46" s="35" t="n">
        <f aca="false">'Balance Sheet'!E10</f>
        <v>27327.756030336</v>
      </c>
      <c r="F46" s="35" t="n">
        <f aca="false">'Balance Sheet'!F10</f>
        <v>30024.0946253292</v>
      </c>
      <c r="H46" s="35" t="n">
        <f aca="false">INDEX(Monthly!$C$68:$BJ$68,($R$2-1)*12+1)</f>
        <v>15005.2608</v>
      </c>
      <c r="I46" s="35" t="n">
        <f aca="false">INDEX(Monthly!$C$68:$BJ$68,($R$2-1)*12+2)</f>
        <v>15005.2608</v>
      </c>
      <c r="J46" s="35" t="n">
        <f aca="false">INDEX(Monthly!$C$68:$BJ$68,($R$2-1)*12+3)</f>
        <v>15005.2608</v>
      </c>
      <c r="K46" s="35" t="n">
        <f aca="false">INDEX(Monthly!$C$68:$BJ$68,($R$2-1)*12+4)</f>
        <v>15005.2608</v>
      </c>
      <c r="L46" s="35" t="n">
        <f aca="false">INDEX(Monthly!$C$68:$BJ$68,($R$2-1)*12+5)</f>
        <v>15005.2608</v>
      </c>
      <c r="M46" s="35" t="n">
        <f aca="false">INDEX(Monthly!$C$68:$BJ$68,($R$2-1)*12+6)</f>
        <v>15005.2608</v>
      </c>
      <c r="N46" s="35" t="n">
        <f aca="false">INDEX(Monthly!$C$68:$BJ$68,($R$2-1)*12+7)</f>
        <v>15005.2608</v>
      </c>
      <c r="O46" s="35" t="n">
        <f aca="false">INDEX(Monthly!$C$68:$BJ$68,($R$2-1)*12+8)</f>
        <v>15005.2608</v>
      </c>
      <c r="P46" s="35" t="n">
        <f aca="false">INDEX(Monthly!$C$68:$BJ$68,($R$2-1)*12+9)</f>
        <v>15005.2608</v>
      </c>
      <c r="Q46" s="35" t="n">
        <f aca="false">INDEX(Monthly!$C$68:$BJ$68,($R$2-1)*12+10)</f>
        <v>15005.2608</v>
      </c>
      <c r="R46" s="35" t="n">
        <f aca="false">INDEX(Monthly!$C$68:$BJ$68,($R$2-1)*12+11)</f>
        <v>15005.2608</v>
      </c>
      <c r="S46" s="35" t="n">
        <f aca="false">INDEX(Monthly!$C$68:$BJ$68,($R$2-1)*12+12)</f>
        <v>15005.2608</v>
      </c>
    </row>
    <row r="47" customFormat="false" ht="15" hidden="false" customHeight="false" outlineLevel="0" collapsed="false">
      <c r="A47" s="51" t="s">
        <v>92</v>
      </c>
      <c r="B47" s="35" t="n">
        <f aca="false">'Balance Sheet'!B11</f>
        <v>57166.6666666667</v>
      </c>
      <c r="C47" s="35" t="n">
        <f aca="false">'Balance Sheet'!C11</f>
        <v>43166.6666666667</v>
      </c>
      <c r="D47" s="35" t="n">
        <f aca="false">'Balance Sheet'!D11</f>
        <v>29166.6666666667</v>
      </c>
      <c r="E47" s="35" t="n">
        <f aca="false">'Balance Sheet'!E11</f>
        <v>15166.6666666667</v>
      </c>
      <c r="F47" s="35" t="n">
        <f aca="false">'Balance Sheet'!F11</f>
        <v>1166.66666666671</v>
      </c>
      <c r="H47" s="35" t="n">
        <f aca="false">INDEX(Monthly!$C$63:$BJ$63,($R$2-1)*12+1)</f>
        <v>70000</v>
      </c>
      <c r="I47" s="35" t="n">
        <f aca="false">INDEX(Monthly!$C$63:$BJ$63,($R$2-1)*12+2)</f>
        <v>68833.3333333333</v>
      </c>
      <c r="J47" s="35" t="n">
        <f aca="false">INDEX(Monthly!$C$63:$BJ$63,($R$2-1)*12+3)</f>
        <v>67666.6666666667</v>
      </c>
      <c r="K47" s="35" t="n">
        <f aca="false">INDEX(Monthly!$C$63:$BJ$63,($R$2-1)*12+4)</f>
        <v>66500</v>
      </c>
      <c r="L47" s="35" t="n">
        <f aca="false">INDEX(Monthly!$C$63:$BJ$63,($R$2-1)*12+5)</f>
        <v>65333.3333333333</v>
      </c>
      <c r="M47" s="35" t="n">
        <f aca="false">INDEX(Monthly!$C$63:$BJ$63,($R$2-1)*12+6)</f>
        <v>64166.6666666667</v>
      </c>
      <c r="N47" s="35" t="n">
        <f aca="false">INDEX(Monthly!$C$63:$BJ$63,($R$2-1)*12+7)</f>
        <v>63000</v>
      </c>
      <c r="O47" s="35" t="n">
        <f aca="false">INDEX(Monthly!$C$63:$BJ$63,($R$2-1)*12+8)</f>
        <v>61833.3333333333</v>
      </c>
      <c r="P47" s="35" t="n">
        <f aca="false">INDEX(Monthly!$C$63:$BJ$63,($R$2-1)*12+9)</f>
        <v>60666.6666666667</v>
      </c>
      <c r="Q47" s="35" t="n">
        <f aca="false">INDEX(Monthly!$C$63:$BJ$63,($R$2-1)*12+10)</f>
        <v>59500</v>
      </c>
      <c r="R47" s="35" t="n">
        <f aca="false">INDEX(Monthly!$C$63:$BJ$63,($R$2-1)*12+11)</f>
        <v>58333.3333333333</v>
      </c>
      <c r="S47" s="35" t="n">
        <f aca="false">INDEX(Monthly!$C$63:$BJ$63,($R$2-1)*12+12)</f>
        <v>57166.6666666667</v>
      </c>
    </row>
    <row r="48" customFormat="false" ht="15" hidden="false" customHeight="false" outlineLevel="0" collapsed="false">
      <c r="A48" s="36" t="s">
        <v>93</v>
      </c>
      <c r="B48" s="37" t="n">
        <f aca="false">'Balance Sheet'!B12</f>
        <v>72171.9274666667</v>
      </c>
      <c r="C48" s="37" t="n">
        <f aca="false">'Balance Sheet'!C12</f>
        <v>62056.6227626667</v>
      </c>
      <c r="D48" s="37" t="n">
        <f aca="false">'Balance Sheet'!D12</f>
        <v>52160.8950417067</v>
      </c>
      <c r="E48" s="37" t="n">
        <f aca="false">'Balance Sheet'!E12</f>
        <v>42494.4226970027</v>
      </c>
      <c r="F48" s="37" t="n">
        <f aca="false">'Balance Sheet'!F12</f>
        <v>31190.7612919959</v>
      </c>
      <c r="H48" s="37" t="n">
        <f aca="false">INDEX(Monthly!$C$95:$BJ$95,($R$2-1)*12+1)</f>
        <v>85005.2608</v>
      </c>
      <c r="I48" s="37" t="n">
        <f aca="false">INDEX(Monthly!$C$95:$BJ$95,($R$2-1)*12+2)</f>
        <v>83838.5941333333</v>
      </c>
      <c r="J48" s="37" t="n">
        <f aca="false">INDEX(Monthly!$C$95:$BJ$95,($R$2-1)*12+3)</f>
        <v>82671.9274666667</v>
      </c>
      <c r="K48" s="37" t="n">
        <f aca="false">INDEX(Monthly!$C$95:$BJ$95,($R$2-1)*12+4)</f>
        <v>81505.2608</v>
      </c>
      <c r="L48" s="37" t="n">
        <f aca="false">INDEX(Monthly!$C$95:$BJ$95,($R$2-1)*12+5)</f>
        <v>80338.5941333333</v>
      </c>
      <c r="M48" s="37" t="n">
        <f aca="false">INDEX(Monthly!$C$95:$BJ$95,($R$2-1)*12+6)</f>
        <v>79171.9274666667</v>
      </c>
      <c r="N48" s="37" t="n">
        <f aca="false">INDEX(Monthly!$C$95:$BJ$95,($R$2-1)*12+7)</f>
        <v>78005.2608</v>
      </c>
      <c r="O48" s="37" t="n">
        <f aca="false">INDEX(Monthly!$C$95:$BJ$95,($R$2-1)*12+8)</f>
        <v>76838.5941333333</v>
      </c>
      <c r="P48" s="37" t="n">
        <f aca="false">INDEX(Monthly!$C$95:$BJ$95,($R$2-1)*12+9)</f>
        <v>75671.9274666667</v>
      </c>
      <c r="Q48" s="37" t="n">
        <f aca="false">INDEX(Monthly!$C$95:$BJ$95,($R$2-1)*12+10)</f>
        <v>74505.2608</v>
      </c>
      <c r="R48" s="37" t="n">
        <f aca="false">INDEX(Monthly!$C$95:$BJ$95,($R$2-1)*12+11)</f>
        <v>73338.5941333333</v>
      </c>
      <c r="S48" s="37" t="n">
        <f aca="false">INDEX(Monthly!$C$95:$BJ$95,($R$2-1)*12+12)</f>
        <v>72171.9274666667</v>
      </c>
    </row>
    <row r="49" customFormat="false" ht="15" hidden="false" customHeight="false" outlineLevel="0" collapsed="false">
      <c r="A49" s="51" t="s">
        <v>94</v>
      </c>
      <c r="B49" s="35" t="n">
        <f aca="false">'Balance Sheet'!B13</f>
        <v>150000</v>
      </c>
      <c r="C49" s="35" t="n">
        <f aca="false">'Balance Sheet'!C13</f>
        <v>150000</v>
      </c>
      <c r="D49" s="35" t="n">
        <f aca="false">'Balance Sheet'!D13</f>
        <v>150000</v>
      </c>
      <c r="E49" s="35" t="n">
        <f aca="false">'Balance Sheet'!E13</f>
        <v>150000</v>
      </c>
      <c r="F49" s="35" t="n">
        <f aca="false">'Balance Sheet'!F13</f>
        <v>150000</v>
      </c>
      <c r="H49" s="35" t="n">
        <f aca="false">INDEX(Monthly!$C$92:$BJ$92,($R$2-1)*12+1)</f>
        <v>150000</v>
      </c>
      <c r="I49" s="35" t="n">
        <f aca="false">INDEX(Monthly!$C$92:$BJ$92,($R$2-1)*12+2)</f>
        <v>150000</v>
      </c>
      <c r="J49" s="35" t="n">
        <f aca="false">INDEX(Monthly!$C$92:$BJ$92,($R$2-1)*12+3)</f>
        <v>150000</v>
      </c>
      <c r="K49" s="35" t="n">
        <f aca="false">INDEX(Monthly!$C$92:$BJ$92,($R$2-1)*12+4)</f>
        <v>150000</v>
      </c>
      <c r="L49" s="35" t="n">
        <f aca="false">INDEX(Monthly!$C$92:$BJ$92,($R$2-1)*12+5)</f>
        <v>150000</v>
      </c>
      <c r="M49" s="35" t="n">
        <f aca="false">INDEX(Monthly!$C$92:$BJ$92,($R$2-1)*12+6)</f>
        <v>150000</v>
      </c>
      <c r="N49" s="35" t="n">
        <f aca="false">INDEX(Monthly!$C$92:$BJ$92,($R$2-1)*12+7)</f>
        <v>150000</v>
      </c>
      <c r="O49" s="35" t="n">
        <f aca="false">INDEX(Monthly!$C$92:$BJ$92,($R$2-1)*12+8)</f>
        <v>150000</v>
      </c>
      <c r="P49" s="35" t="n">
        <f aca="false">INDEX(Monthly!$C$92:$BJ$92,($R$2-1)*12+9)</f>
        <v>150000</v>
      </c>
      <c r="Q49" s="35" t="n">
        <f aca="false">INDEX(Monthly!$C$92:$BJ$92,($R$2-1)*12+10)</f>
        <v>150000</v>
      </c>
      <c r="R49" s="35" t="n">
        <f aca="false">INDEX(Monthly!$C$92:$BJ$92,($R$2-1)*12+11)</f>
        <v>150000</v>
      </c>
      <c r="S49" s="35" t="n">
        <f aca="false">INDEX(Monthly!$C$92:$BJ$92,($R$2-1)*12+12)</f>
        <v>150000</v>
      </c>
    </row>
    <row r="50" customFormat="false" ht="15" hidden="false" customHeight="false" outlineLevel="0" collapsed="false">
      <c r="A50" s="51" t="s">
        <v>95</v>
      </c>
      <c r="B50" s="35" t="n">
        <f aca="false">'Balance Sheet'!B14</f>
        <v>-54084.9388444445</v>
      </c>
      <c r="C50" s="35" t="n">
        <f aca="false">'Balance Sheet'!C14</f>
        <v>-60129.5779057778</v>
      </c>
      <c r="D50" s="35" t="n">
        <f aca="false">'Balance Sheet'!D14</f>
        <v>-15415.9570298311</v>
      </c>
      <c r="E50" s="35" t="n">
        <f aca="false">'Balance Sheet'!E14</f>
        <v>65483.5799682821</v>
      </c>
      <c r="F50" s="35" t="n">
        <f aca="false">'Balance Sheet'!F14</f>
        <v>169027.521239058</v>
      </c>
      <c r="H50" s="35" t="n">
        <f aca="false">INDEX(Monthly!$C$93:$BJ$93,($R$2-1)*12+1)</f>
        <v>-4546.29120000001</v>
      </c>
      <c r="I50" s="35" t="n">
        <f aca="false">INDEX(Monthly!$C$93:$BJ$93,($R$2-1)*12+2)</f>
        <v>-9088.69351111112</v>
      </c>
      <c r="J50" s="35" t="n">
        <f aca="false">INDEX(Monthly!$C$93:$BJ$93,($R$2-1)*12+3)</f>
        <v>-13623.3180444445</v>
      </c>
      <c r="K50" s="35" t="n">
        <f aca="false">INDEX(Monthly!$C$93:$BJ$93,($R$2-1)*12+4)</f>
        <v>-18150.1648</v>
      </c>
      <c r="L50" s="35" t="n">
        <f aca="false">INDEX(Monthly!$C$93:$BJ$93,($R$2-1)*12+5)</f>
        <v>-22669.2337777778</v>
      </c>
      <c r="M50" s="35" t="n">
        <f aca="false">INDEX(Monthly!$C$93:$BJ$93,($R$2-1)*12+6)</f>
        <v>-27180.5249777778</v>
      </c>
      <c r="N50" s="35" t="n">
        <f aca="false">INDEX(Monthly!$C$93:$BJ$93,($R$2-1)*12+7)</f>
        <v>-31684.0384</v>
      </c>
      <c r="O50" s="35" t="n">
        <f aca="false">INDEX(Monthly!$C$93:$BJ$93,($R$2-1)*12+8)</f>
        <v>-36179.7740444445</v>
      </c>
      <c r="P50" s="35" t="n">
        <f aca="false">INDEX(Monthly!$C$93:$BJ$93,($R$2-1)*12+9)</f>
        <v>-40667.7319111112</v>
      </c>
      <c r="Q50" s="35" t="n">
        <f aca="false">INDEX(Monthly!$C$93:$BJ$93,($R$2-1)*12+10)</f>
        <v>-45147.9120000001</v>
      </c>
      <c r="R50" s="35" t="n">
        <f aca="false">INDEX(Monthly!$C$93:$BJ$93,($R$2-1)*12+11)</f>
        <v>-49620.3143111112</v>
      </c>
      <c r="S50" s="35" t="n">
        <f aca="false">INDEX(Monthly!$C$93:$BJ$93,($R$2-1)*12+12)</f>
        <v>-54084.9388444445</v>
      </c>
    </row>
    <row r="51" customFormat="false" ht="15" hidden="false" customHeight="false" outlineLevel="0" collapsed="false">
      <c r="A51" s="36" t="s">
        <v>96</v>
      </c>
      <c r="B51" s="37" t="n">
        <f aca="false">'Balance Sheet'!B15</f>
        <v>95915.0611555555</v>
      </c>
      <c r="C51" s="37" t="n">
        <f aca="false">'Balance Sheet'!C15</f>
        <v>89870.4220942222</v>
      </c>
      <c r="D51" s="37" t="n">
        <f aca="false">'Balance Sheet'!D15</f>
        <v>134584.042970169</v>
      </c>
      <c r="E51" s="37" t="n">
        <f aca="false">'Balance Sheet'!E15</f>
        <v>215483.579968282</v>
      </c>
      <c r="F51" s="37" t="n">
        <f aca="false">'Balance Sheet'!F15</f>
        <v>319027.521239058</v>
      </c>
      <c r="H51" s="37" t="n">
        <f aca="false">INDEX(Monthly!$C$96:$BJ$96,($R$2-1)*12+1)</f>
        <v>145453.7088</v>
      </c>
      <c r="I51" s="37" t="n">
        <f aca="false">INDEX(Monthly!$C$96:$BJ$96,($R$2-1)*12+2)</f>
        <v>140911.306488889</v>
      </c>
      <c r="J51" s="37" t="n">
        <f aca="false">INDEX(Monthly!$C$96:$BJ$96,($R$2-1)*12+3)</f>
        <v>136376.681955556</v>
      </c>
      <c r="K51" s="37" t="n">
        <f aca="false">INDEX(Monthly!$C$96:$BJ$96,($R$2-1)*12+4)</f>
        <v>131849.8352</v>
      </c>
      <c r="L51" s="37" t="n">
        <f aca="false">INDEX(Monthly!$C$96:$BJ$96,($R$2-1)*12+5)</f>
        <v>127330.766222222</v>
      </c>
      <c r="M51" s="37" t="n">
        <f aca="false">INDEX(Monthly!$C$96:$BJ$96,($R$2-1)*12+6)</f>
        <v>122819.475022222</v>
      </c>
      <c r="N51" s="37" t="n">
        <f aca="false">INDEX(Monthly!$C$96:$BJ$96,($R$2-1)*12+7)</f>
        <v>118315.9616</v>
      </c>
      <c r="O51" s="37" t="n">
        <f aca="false">INDEX(Monthly!$C$96:$BJ$96,($R$2-1)*12+8)</f>
        <v>113820.225955556</v>
      </c>
      <c r="P51" s="37" t="n">
        <f aca="false">INDEX(Monthly!$C$96:$BJ$96,($R$2-1)*12+9)</f>
        <v>109332.268088889</v>
      </c>
      <c r="Q51" s="37" t="n">
        <f aca="false">INDEX(Monthly!$C$96:$BJ$96,($R$2-1)*12+10)</f>
        <v>104852.088</v>
      </c>
      <c r="R51" s="37" t="n">
        <f aca="false">INDEX(Monthly!$C$96:$BJ$96,($R$2-1)*12+11)</f>
        <v>100379.685688889</v>
      </c>
      <c r="S51" s="37" t="n">
        <f aca="false">INDEX(Monthly!$C$96:$BJ$96,($R$2-1)*12+12)</f>
        <v>95915.0611555555</v>
      </c>
    </row>
    <row r="52" customFormat="false" ht="15" hidden="false" customHeight="false" outlineLevel="0" collapsed="false">
      <c r="A52" s="40" t="s">
        <v>97</v>
      </c>
      <c r="B52" s="41" t="n">
        <f aca="false">'Balance Sheet'!B16</f>
        <v>168086.988622222</v>
      </c>
      <c r="C52" s="41" t="n">
        <f aca="false">'Balance Sheet'!C16</f>
        <v>151927.044856889</v>
      </c>
      <c r="D52" s="41" t="n">
        <f aca="false">'Balance Sheet'!D16</f>
        <v>186744.938011876</v>
      </c>
      <c r="E52" s="41" t="n">
        <f aca="false">'Balance Sheet'!E16</f>
        <v>257978.002665285</v>
      </c>
      <c r="F52" s="41" t="n">
        <f aca="false">'Balance Sheet'!F16</f>
        <v>350218.282531054</v>
      </c>
      <c r="H52" s="41" t="n">
        <f aca="false">INDEX(Monthly!$C$97:$BJ$97,($R$2-1)*12+1)</f>
        <v>230458.9696</v>
      </c>
      <c r="I52" s="41" t="n">
        <f aca="false">INDEX(Monthly!$C$97:$BJ$97,($R$2-1)*12+2)</f>
        <v>224749.900622222</v>
      </c>
      <c r="J52" s="41" t="n">
        <f aca="false">INDEX(Monthly!$C$97:$BJ$97,($R$2-1)*12+3)</f>
        <v>219048.609422222</v>
      </c>
      <c r="K52" s="41" t="n">
        <f aca="false">INDEX(Monthly!$C$97:$BJ$97,($R$2-1)*12+4)</f>
        <v>213355.096</v>
      </c>
      <c r="L52" s="41" t="n">
        <f aca="false">INDEX(Monthly!$C$97:$BJ$97,($R$2-1)*12+5)</f>
        <v>207669.360355556</v>
      </c>
      <c r="M52" s="41" t="n">
        <f aca="false">INDEX(Monthly!$C$97:$BJ$97,($R$2-1)*12+6)</f>
        <v>201991.402488889</v>
      </c>
      <c r="N52" s="41" t="n">
        <f aca="false">INDEX(Monthly!$C$97:$BJ$97,($R$2-1)*12+7)</f>
        <v>196321.2224</v>
      </c>
      <c r="O52" s="41" t="n">
        <f aca="false">INDEX(Monthly!$C$97:$BJ$97,($R$2-1)*12+8)</f>
        <v>190658.820088889</v>
      </c>
      <c r="P52" s="41" t="n">
        <f aca="false">INDEX(Monthly!$C$97:$BJ$97,($R$2-1)*12+9)</f>
        <v>185004.195555556</v>
      </c>
      <c r="Q52" s="41" t="n">
        <f aca="false">INDEX(Monthly!$C$97:$BJ$97,($R$2-1)*12+10)</f>
        <v>179357.3488</v>
      </c>
      <c r="R52" s="41" t="n">
        <f aca="false">INDEX(Monthly!$C$97:$BJ$97,($R$2-1)*12+11)</f>
        <v>173718.279822222</v>
      </c>
      <c r="S52" s="41" t="n">
        <f aca="false">INDEX(Monthly!$C$97:$BJ$97,($R$2-1)*12+12)</f>
        <v>168086.988622222</v>
      </c>
    </row>
  </sheetData>
  <mergeCells count="1">
    <mergeCell ref="R2:S2"/>
  </mergeCells>
  <dataValidations count="1">
    <dataValidation allowBlank="false" error="Enter a year from 1 to 5" errorStyle="stop" errorTitle="Detailed year" operator="between" prompt="Pick the year shown month by month on the right" promptTitle="Detailed year" showDropDown="false" showErrorMessage="tru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98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99</v>
      </c>
    </row>
    <row r="3" customFormat="false" ht="15" hidden="false" customHeight="false" outlineLevel="0" collapsed="false">
      <c r="A3" s="4" t="s">
        <v>100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101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102</v>
      </c>
      <c r="B6" s="52" t="n">
        <f aca="false">MATCH(MIN(Monthly!$C$80:$BJ$80),Monthly!$C$80:$BJ$80,0)</f>
        <v>24</v>
      </c>
    </row>
    <row r="7" customFormat="false" ht="15" hidden="false" customHeight="false" outlineLevel="0" collapsed="false">
      <c r="A7" s="6" t="s">
        <v>103</v>
      </c>
      <c r="B7" s="53" t="n">
        <f aca="false">SUMPRODUCT(--(Monthly!$C$4:$BJ$4&lt;=$B$6),Monthly!$C$53:$BJ$53)</f>
        <v>127400</v>
      </c>
    </row>
    <row r="8" customFormat="false" ht="15" hidden="false" customHeight="false" outlineLevel="0" collapsed="false">
      <c r="A8" s="6" t="s">
        <v>104</v>
      </c>
      <c r="B8" s="53" t="n">
        <f aca="false">-SUMPRODUCT(--(Monthly!$C$4:$BJ$4&lt;=$B$6),Monthly!$C$74:$BJ$74)</f>
        <v>22333.7416817778</v>
      </c>
      <c r="D8" s="18" t="s">
        <v>105</v>
      </c>
    </row>
    <row r="9" customFormat="false" ht="15" hidden="false" customHeight="false" outlineLevel="0" collapsed="false">
      <c r="A9" s="6" t="s">
        <v>106</v>
      </c>
      <c r="B9" s="53" t="n">
        <f aca="false">-SUMPRODUCT(--(Monthly!$C$4:$BJ$4&lt;=$B$6),Monthly!$C$62:$BJ$62)</f>
        <v>26833.3333333333</v>
      </c>
    </row>
    <row r="10" customFormat="false" ht="15" hidden="false" customHeight="false" outlineLevel="0" collapsed="false">
      <c r="A10" s="4" t="s">
        <v>107</v>
      </c>
      <c r="B10" s="54" t="n">
        <f aca="false">B7+B8+B9</f>
        <v>176567.075015111</v>
      </c>
    </row>
    <row r="11" customFormat="false" ht="15" hidden="false" customHeight="false" outlineLevel="0" collapsed="false">
      <c r="A11" s="6" t="s">
        <v>108</v>
      </c>
      <c r="B11" s="55" t="n">
        <f aca="false">Inputs!$E$84</f>
        <v>60000</v>
      </c>
      <c r="D11" s="18" t="s">
        <v>109</v>
      </c>
    </row>
    <row r="12" customFormat="false" ht="15" hidden="false" customHeight="false" outlineLevel="0" collapsed="false">
      <c r="A12" s="4" t="s">
        <v>110</v>
      </c>
      <c r="B12" s="54" t="n">
        <f aca="false">B10+B11</f>
        <v>236567.075015111</v>
      </c>
    </row>
    <row r="14" customFormat="false" ht="15" hidden="false" customHeight="false" outlineLevel="0" collapsed="false">
      <c r="A14" s="6" t="s">
        <v>61</v>
      </c>
      <c r="B14" s="55" t="n">
        <f aca="false">Inputs!$E$69</f>
        <v>150000</v>
      </c>
    </row>
    <row r="15" customFormat="false" ht="15" hidden="false" customHeight="false" outlineLevel="0" collapsed="false">
      <c r="A15" s="6" t="s">
        <v>62</v>
      </c>
      <c r="B15" s="55" t="n">
        <f aca="false">Inputs!$E$70</f>
        <v>70000</v>
      </c>
    </row>
    <row r="16" customFormat="false" ht="15" hidden="false" customHeight="false" outlineLevel="0" collapsed="false">
      <c r="A16" s="4" t="s">
        <v>111</v>
      </c>
      <c r="B16" s="54" t="n">
        <f aca="false">B14+B15</f>
        <v>220000</v>
      </c>
    </row>
    <row r="17" customFormat="false" ht="15" hidden="false" customHeight="false" outlineLevel="0" collapsed="false">
      <c r="A17" s="56" t="s">
        <v>64</v>
      </c>
      <c r="B17" s="57" t="n">
        <f aca="false">B16-B12</f>
        <v>-16567.0750151112</v>
      </c>
      <c r="D17" s="18" t="s">
        <v>112</v>
      </c>
    </row>
    <row r="18" customFormat="false" ht="15" hidden="false" customHeight="false" outlineLevel="0" collapsed="false">
      <c r="A18" s="6" t="s">
        <v>113</v>
      </c>
      <c r="B18" s="53" t="n">
        <f aca="false">MIN(Monthly!$C$80:$BJ$80)</f>
        <v>43432.9249848889</v>
      </c>
      <c r="D18" s="18" t="s">
        <v>114</v>
      </c>
    </row>
    <row r="20" customFormat="false" ht="15.75" hidden="false" customHeight="true" outlineLevel="0" collapsed="false">
      <c r="A20" s="7" t="s">
        <v>115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6" t="s">
        <v>116</v>
      </c>
      <c r="B21" s="52" t="n">
        <f aca="false">IFERROR(MATCH(1,Monthly!$C$81:$BJ$81,0),"Not within horizon")</f>
        <v>13</v>
      </c>
    </row>
    <row r="22" customFormat="false" ht="15" hidden="false" customHeight="false" outlineLevel="0" collapsed="false">
      <c r="A22" s="6" t="s">
        <v>117</v>
      </c>
      <c r="B22" s="52" t="n">
        <f aca="false">IFERROR(MATCH(1,Monthly!$C$84:$BJ$84,0),"Not within horizon")</f>
        <v>25</v>
      </c>
    </row>
    <row r="23" customFormat="false" ht="15" hidden="false" customHeight="false" outlineLevel="0" collapsed="false">
      <c r="A23" s="6" t="s">
        <v>118</v>
      </c>
      <c r="B23" s="52" t="n">
        <f aca="false">IF(MIN(Monthly!$C$86:$BJ$86)&gt;=0,"No investment to pay back",IFERROR(MATCH(1,Monthly!$C$88:$BJ$88,0),"Not within horizon"))</f>
        <v>47</v>
      </c>
      <c r="D23" s="18" t="s">
        <v>119</v>
      </c>
    </row>
    <row r="25" customFormat="false" ht="15.75" hidden="false" customHeight="true" outlineLevel="0" collapsed="false">
      <c r="A25" s="7" t="s">
        <v>120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58" t="s">
        <v>121</v>
      </c>
      <c r="B26" s="58" t="n">
        <v>1</v>
      </c>
      <c r="C26" s="58" t="n">
        <v>2</v>
      </c>
      <c r="D26" s="58" t="n">
        <v>3</v>
      </c>
      <c r="E26" s="58" t="n">
        <v>4</v>
      </c>
      <c r="F26" s="58" t="n">
        <v>5</v>
      </c>
    </row>
    <row r="27" customFormat="false" ht="15" hidden="false" customHeight="false" outlineLevel="0" collapsed="false">
      <c r="A27" s="33"/>
      <c r="B27" s="59" t="s">
        <v>122</v>
      </c>
      <c r="C27" s="59" t="s">
        <v>123</v>
      </c>
      <c r="D27" s="59" t="s">
        <v>124</v>
      </c>
      <c r="E27" s="59" t="s">
        <v>125</v>
      </c>
      <c r="F27" s="59" t="s">
        <v>126</v>
      </c>
    </row>
    <row r="28" customFormat="false" ht="15" hidden="false" customHeight="false" outlineLevel="0" collapsed="false">
      <c r="A28" s="4" t="s">
        <v>42</v>
      </c>
      <c r="B28" s="60" t="n">
        <f aca="false">SUMIF(Monthly!$C$5:$BJ$5,B$26,Monthly!$C$21:$BJ$21)</f>
        <v>479059.2</v>
      </c>
      <c r="C28" s="60" t="n">
        <f aca="false">SUMIF(Monthly!$C$5:$BJ$5,C$26,Monthly!$C$21:$BJ$21)</f>
        <v>598797.504</v>
      </c>
      <c r="D28" s="60" t="n">
        <f aca="false">SUMIF(Monthly!$C$5:$BJ$5,D$26,Monthly!$C$21:$BJ$21)</f>
        <v>725288.95296</v>
      </c>
      <c r="E28" s="60" t="n">
        <f aca="false">SUMIF(Monthly!$C$5:$BJ$5,E$26,Monthly!$C$21:$BJ$21)</f>
        <v>858830.971104</v>
      </c>
      <c r="F28" s="60" t="n">
        <f aca="false">SUMIF(Monthly!$C$5:$BJ$5,F$26,Monthly!$C$21:$BJ$21)</f>
        <v>942164.325258048</v>
      </c>
    </row>
    <row r="29" customFormat="false" ht="15" hidden="false" customHeight="false" outlineLevel="0" collapsed="false">
      <c r="A29" s="6" t="s">
        <v>43</v>
      </c>
      <c r="B29" s="53" t="n">
        <f aca="false">SUMIF(Monthly!$C$5:$BJ$5,B$26,Monthly!$C$29:$BJ$29)</f>
        <v>208964.5056</v>
      </c>
      <c r="C29" s="53" t="n">
        <f aca="false">SUMIF(Monthly!$C$5:$BJ$5,C$26,Monthly!$C$29:$BJ$29)</f>
        <v>258778.294272</v>
      </c>
      <c r="D29" s="53" t="n">
        <f aca="false">SUMIF(Monthly!$C$5:$BJ$5,D$26,Monthly!$C$29:$BJ$29)</f>
        <v>311392.84220928</v>
      </c>
      <c r="E29" s="53" t="n">
        <f aca="false">SUMIF(Monthly!$C$5:$BJ$5,E$26,Monthly!$C$29:$BJ$29)</f>
        <v>366931.362557952</v>
      </c>
      <c r="F29" s="53" t="n">
        <f aca="false">SUMIF(Monthly!$C$5:$BJ$5,F$26,Monthly!$C$29:$BJ$29)</f>
        <v>401730.622002123</v>
      </c>
    </row>
    <row r="30" customFormat="false" ht="15" hidden="false" customHeight="false" outlineLevel="0" collapsed="false">
      <c r="A30" s="38" t="s">
        <v>127</v>
      </c>
      <c r="B30" s="61" t="n">
        <f aca="false">IF(B28=0,0,B29/B28)</f>
        <v>0.436197667428159</v>
      </c>
      <c r="C30" s="61" t="n">
        <f aca="false">IF(C28=0,0,C29/C28)</f>
        <v>0.432163281482215</v>
      </c>
      <c r="D30" s="61" t="n">
        <f aca="false">IF(D28=0,0,D29/D28)</f>
        <v>0.429336254107339</v>
      </c>
      <c r="E30" s="61" t="n">
        <f aca="false">IF(E28=0,0,E29/E28)</f>
        <v>0.427245144741664</v>
      </c>
      <c r="F30" s="61" t="n">
        <f aca="false">IF(F28=0,0,F29/F28)</f>
        <v>0.426391247505677</v>
      </c>
    </row>
    <row r="31" customFormat="false" ht="15" hidden="false" customHeight="false" outlineLevel="0" collapsed="false">
      <c r="A31" s="6" t="s">
        <v>128</v>
      </c>
      <c r="B31" s="53" t="n">
        <f aca="false">-SUMIF(Monthly!$C$5:$BJ$5,B$26,Monthly!$C$40:$BJ$40)</f>
        <v>239720</v>
      </c>
      <c r="C31" s="53" t="n">
        <f aca="false">-SUMIF(Monthly!$C$5:$BJ$5,C$26,Monthly!$C$40:$BJ$40)</f>
        <v>242609.6</v>
      </c>
      <c r="D31" s="53" t="n">
        <f aca="false">-SUMIF(Monthly!$C$5:$BJ$5,D$26,Monthly!$C$40:$BJ$40)</f>
        <v>245585.888</v>
      </c>
      <c r="E31" s="53" t="n">
        <f aca="false">-SUMIF(Monthly!$C$5:$BJ$5,E$26,Monthly!$C$40:$BJ$40)</f>
        <v>248651.46464</v>
      </c>
      <c r="F31" s="53" t="n">
        <f aca="false">-SUMIF(Monthly!$C$5:$BJ$5,F$26,Monthly!$C$40:$BJ$40)</f>
        <v>251809.0085792</v>
      </c>
    </row>
    <row r="32" customFormat="false" ht="15" hidden="false" customHeight="false" outlineLevel="0" collapsed="false">
      <c r="A32" s="4" t="s">
        <v>129</v>
      </c>
      <c r="B32" s="60" t="n">
        <f aca="false">IF(B30&gt;0,B31/B30,"n/a")</f>
        <v>549567.358792631</v>
      </c>
      <c r="C32" s="60" t="n">
        <f aca="false">IF(C30&gt;0,C31/C30,"n/a")</f>
        <v>561384.111967837</v>
      </c>
      <c r="D32" s="60" t="n">
        <f aca="false">IF(D30&gt;0,D31/D30,"n/a")</f>
        <v>572012.928446059</v>
      </c>
      <c r="E32" s="60" t="n">
        <f aca="false">IF(E30&gt;0,E31/E30,"n/a")</f>
        <v>581987.806532825</v>
      </c>
      <c r="F32" s="60" t="n">
        <f aca="false">IF(F30&gt;0,F31/F30,"n/a")</f>
        <v>590558.577485453</v>
      </c>
    </row>
    <row r="33" customFormat="false" ht="15" hidden="false" customHeight="false" outlineLevel="0" collapsed="false">
      <c r="A33" s="38" t="s">
        <v>130</v>
      </c>
      <c r="B33" s="61" t="n">
        <f aca="false">IF(AND(ISNUMBER(B32),B28&gt;0),(B28-B32)/B28,"n/a")</f>
        <v>-0.147180471208217</v>
      </c>
      <c r="C33" s="61" t="n">
        <f aca="false">IF(AND(ISNUMBER(C32),C28&gt;0),(C28-C32)/C28,"n/a")</f>
        <v>0.0624808750574931</v>
      </c>
      <c r="D33" s="61" t="n">
        <f aca="false">IF(AND(ISNUMBER(D32),D28&gt;0),(D28-D32)/D28,"n/a")</f>
        <v>0.211330979037253</v>
      </c>
      <c r="E33" s="61" t="n">
        <f aca="false">IF(AND(ISNUMBER(E32),E28&gt;0),(E28-E32)/E28,"n/a")</f>
        <v>0.322348836832587</v>
      </c>
      <c r="F33" s="61" t="n">
        <f aca="false">IF(AND(ISNUMBER(F32),F28&gt;0),(F28-F32)/F28,"n/a")</f>
        <v>0.373189409051648</v>
      </c>
    </row>
    <row r="35" customFormat="false" ht="15" hidden="false" customHeight="false" outlineLevel="0" collapsed="false">
      <c r="A35" s="38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132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133</v>
      </c>
    </row>
    <row r="3" customFormat="false" ht="15" hidden="false" customHeight="false" outlineLevel="0" collapsed="false">
      <c r="A3" s="4" t="s">
        <v>100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134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8" t="s">
        <v>135</v>
      </c>
      <c r="B6" s="62" t="n">
        <f aca="false">Inputs!$E$87</f>
        <v>0.25</v>
      </c>
    </row>
    <row r="7" customFormat="false" ht="15" hidden="false" customHeight="false" outlineLevel="0" collapsed="false">
      <c r="A7" s="38" t="s">
        <v>136</v>
      </c>
      <c r="B7" s="62" t="n">
        <f aca="false">Inputs!$E$88</f>
        <v>0.02</v>
      </c>
    </row>
    <row r="8" customFormat="false" ht="15" hidden="false" customHeight="false" outlineLevel="0" collapsed="false">
      <c r="A8" s="6" t="s">
        <v>137</v>
      </c>
      <c r="B8" s="63" t="n">
        <f aca="false">Inputs!$E$89</f>
        <v>4</v>
      </c>
    </row>
    <row r="9" customFormat="false" ht="15" hidden="false" customHeight="false" outlineLevel="0" collapsed="false">
      <c r="A9" s="38" t="s">
        <v>138</v>
      </c>
      <c r="B9" s="62" t="n">
        <f aca="false">Inputs!$E$81</f>
        <v>0.21</v>
      </c>
    </row>
    <row r="10" customFormat="false" ht="15" hidden="false" customHeight="false" outlineLevel="0" collapsed="false">
      <c r="A10" s="38" t="s">
        <v>139</v>
      </c>
      <c r="B10" s="62" t="n">
        <f aca="false">Inputs!$E$90</f>
        <v>0.01</v>
      </c>
    </row>
    <row r="11" customFormat="false" ht="15" hidden="false" customHeight="false" outlineLevel="0" collapsed="false">
      <c r="A11" s="38" t="s">
        <v>140</v>
      </c>
      <c r="B11" s="62" t="n">
        <f aca="false">Inputs!$E$91</f>
        <v>0.005</v>
      </c>
    </row>
    <row r="13" customFormat="false" ht="15.75" hidden="false" customHeight="true" outlineLevel="0" collapsed="false">
      <c r="A13" s="7" t="s">
        <v>141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58" t="s">
        <v>121</v>
      </c>
      <c r="B14" s="58" t="n">
        <v>1</v>
      </c>
      <c r="C14" s="58" t="n">
        <v>2</v>
      </c>
      <c r="D14" s="58" t="n">
        <v>3</v>
      </c>
      <c r="E14" s="58" t="n">
        <v>4</v>
      </c>
      <c r="F14" s="58" t="n">
        <v>5</v>
      </c>
    </row>
    <row r="15" customFormat="false" ht="15" hidden="false" customHeight="false" outlineLevel="0" collapsed="false">
      <c r="A15" s="33"/>
      <c r="B15" s="59" t="s">
        <v>122</v>
      </c>
      <c r="C15" s="59" t="s">
        <v>123</v>
      </c>
      <c r="D15" s="59" t="s">
        <v>124</v>
      </c>
      <c r="E15" s="59" t="s">
        <v>125</v>
      </c>
      <c r="F15" s="59" t="s">
        <v>126</v>
      </c>
    </row>
    <row r="16" customFormat="false" ht="15" hidden="false" customHeight="false" outlineLevel="0" collapsed="false">
      <c r="A16" s="6" t="s">
        <v>46</v>
      </c>
      <c r="B16" s="53" t="n">
        <f aca="false">SUMIF(Monthly!$C$5:$BJ$5,B$14,Monthly!$C$41:$BJ$41)</f>
        <v>-30755.4944000001</v>
      </c>
      <c r="C16" s="53" t="n">
        <f aca="false">SUMIF(Monthly!$C$5:$BJ$5,C$14,Monthly!$C$41:$BJ$41)</f>
        <v>16168.694272</v>
      </c>
      <c r="D16" s="53" t="n">
        <f aca="false">SUMIF(Monthly!$C$5:$BJ$5,D$14,Monthly!$C$41:$BJ$41)</f>
        <v>65806.9542092801</v>
      </c>
      <c r="E16" s="53" t="n">
        <f aca="false">SUMIF(Monthly!$C$5:$BJ$5,E$14,Monthly!$C$41:$BJ$41)</f>
        <v>118279.897917952</v>
      </c>
      <c r="F16" s="53" t="n">
        <f aca="false">SUMIF(Monthly!$C$5:$BJ$5,F$14,Monthly!$C$41:$BJ$41)</f>
        <v>149921.613422923</v>
      </c>
    </row>
    <row r="17" customFormat="false" ht="15" hidden="false" customHeight="false" outlineLevel="0" collapsed="false">
      <c r="A17" s="4" t="s">
        <v>142</v>
      </c>
      <c r="B17" s="60" t="n">
        <f aca="false">SUMIF(Monthly!$C$5:$BJ$5,B$14,Monthly!$C$89:$BJ$89)</f>
        <v>-158142.802533333</v>
      </c>
      <c r="C17" s="60" t="n">
        <f aca="false">SUMIF(Monthly!$C$5:$BJ$5,C$14,Monthly!$C$89:$BJ$89)</f>
        <v>15631.855296</v>
      </c>
      <c r="D17" s="60" t="n">
        <f aca="false">SUMIF(Monthly!$C$5:$BJ$5,D$14,Monthly!$C$89:$BJ$89)</f>
        <v>65522.6920070401</v>
      </c>
      <c r="E17" s="60" t="n">
        <f aca="false">SUMIF(Monthly!$C$5:$BJ$5,E$14,Monthly!$C$89:$BJ$89)</f>
        <v>100841.952144471</v>
      </c>
      <c r="F17" s="60" t="n">
        <f aca="false">SUMIF(Monthly!$C$5:$BJ$5,F$14,Monthly!$C$89:$BJ$89)</f>
        <v>122471.196174224</v>
      </c>
    </row>
    <row r="18" customFormat="false" ht="15" hidden="false" customHeight="false" outlineLevel="0" collapsed="false">
      <c r="A18" s="6" t="s">
        <v>143</v>
      </c>
      <c r="B18" s="64" t="n">
        <f aca="false">1/(1+Inputs!$E$87)^B$14</f>
        <v>0.8</v>
      </c>
      <c r="C18" s="64" t="n">
        <f aca="false">1/(1+Inputs!$E$87)^C$14</f>
        <v>0.64</v>
      </c>
      <c r="D18" s="64" t="n">
        <f aca="false">1/(1+Inputs!$E$87)^D$14</f>
        <v>0.512</v>
      </c>
      <c r="E18" s="64" t="n">
        <f aca="false">1/(1+Inputs!$E$87)^E$14</f>
        <v>0.4096</v>
      </c>
      <c r="F18" s="64" t="n">
        <f aca="false">1/(1+Inputs!$E$87)^F$14</f>
        <v>0.32768</v>
      </c>
    </row>
    <row r="19" customFormat="false" ht="15" hidden="false" customHeight="false" outlineLevel="0" collapsed="false">
      <c r="A19" s="6" t="s">
        <v>144</v>
      </c>
      <c r="B19" s="53" t="n">
        <f aca="false">B17*B18</f>
        <v>-126514.242026667</v>
      </c>
      <c r="C19" s="53" t="n">
        <f aca="false">C17*C18</f>
        <v>10004.38738944</v>
      </c>
      <c r="D19" s="53" t="n">
        <f aca="false">D17*D18</f>
        <v>33547.6183076045</v>
      </c>
      <c r="E19" s="53" t="n">
        <f aca="false">E17*E18</f>
        <v>41304.8635983751</v>
      </c>
      <c r="F19" s="53" t="n">
        <f aca="false">F17*F18</f>
        <v>40131.3615623698</v>
      </c>
    </row>
    <row r="21" customFormat="false" ht="15.75" hidden="false" customHeight="true" outlineLevel="0" collapsed="false">
      <c r="A21" s="7" t="s">
        <v>145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59" t="s">
        <v>146</v>
      </c>
      <c r="C22" s="59" t="s">
        <v>147</v>
      </c>
    </row>
    <row r="23" customFormat="false" ht="15" hidden="false" customHeight="false" outlineLevel="0" collapsed="false">
      <c r="A23" s="6" t="s">
        <v>148</v>
      </c>
      <c r="B23" s="53" t="n">
        <f aca="false">SUM($B$19:$F$19)</f>
        <v>-1526.01116887729</v>
      </c>
      <c r="C23" s="53" t="n">
        <f aca="false">B23</f>
        <v>-1526.01116887729</v>
      </c>
    </row>
    <row r="24" customFormat="false" ht="15" hidden="false" customHeight="false" outlineLevel="0" collapsed="false">
      <c r="A24" s="6" t="s">
        <v>149</v>
      </c>
      <c r="B24" s="53" t="n">
        <f aca="false">$F$17</f>
        <v>122471.196174224</v>
      </c>
      <c r="C24" s="53" t="n">
        <f aca="false">$F$16</f>
        <v>149921.613422923</v>
      </c>
    </row>
    <row r="25" customFormat="false" ht="15" hidden="false" customHeight="false" outlineLevel="0" collapsed="false">
      <c r="A25" s="6" t="s">
        <v>150</v>
      </c>
      <c r="B25" s="53" t="n">
        <f aca="false">IF($B$6&gt;$B$7,B24*(1+$B$7)/($B$6-$B$7),0)</f>
        <v>543133.130859603</v>
      </c>
      <c r="C25" s="53" t="n">
        <f aca="false">C24*$B$8</f>
        <v>599686.453691693</v>
      </c>
    </row>
    <row r="26" customFormat="false" ht="15" hidden="false" customHeight="false" outlineLevel="0" collapsed="false">
      <c r="A26" s="6" t="s">
        <v>151</v>
      </c>
      <c r="B26" s="53" t="n">
        <f aca="false">B25/(1+$B$6)^$F$14</f>
        <v>177973.864320075</v>
      </c>
      <c r="C26" s="53" t="n">
        <f aca="false">C25/(1+$B$6)^$F$14</f>
        <v>196505.257145694</v>
      </c>
    </row>
    <row r="27" customFormat="false" ht="15" hidden="false" customHeight="false" outlineLevel="0" collapsed="false">
      <c r="A27" s="4" t="s">
        <v>145</v>
      </c>
      <c r="B27" s="54" t="n">
        <f aca="false">B23+B26</f>
        <v>176447.853151197</v>
      </c>
      <c r="C27" s="54" t="n">
        <f aca="false">C23+C26</f>
        <v>194979.245976817</v>
      </c>
    </row>
    <row r="28" customFormat="false" ht="15" hidden="false" customHeight="false" outlineLevel="0" collapsed="false">
      <c r="A28" s="38" t="s">
        <v>152</v>
      </c>
      <c r="B28" s="61" t="n">
        <f aca="false">IF(B27&lt;&gt;0,B26/B27,0)</f>
        <v>1.00864851082982</v>
      </c>
      <c r="C28" s="61" t="n">
        <f aca="false">IF(C27&lt;&gt;0,C26/C27,0)</f>
        <v>1.00782653128661</v>
      </c>
    </row>
    <row r="29" customFormat="false" ht="15" hidden="false" customHeight="false" outlineLevel="0" collapsed="false">
      <c r="A29" s="6" t="s">
        <v>153</v>
      </c>
      <c r="B29" s="65" t="n">
        <f aca="false">IF(C24&gt;0,B25/C24,"n/a")</f>
        <v>3.62278072159912</v>
      </c>
      <c r="C29" s="61" t="n">
        <f aca="false">IF(C25+B24&lt;&gt;0,(C25*$B$6-B24)/(C25+B24),"n/a")</f>
        <v>0.0380116685792859</v>
      </c>
    </row>
    <row r="30" customFormat="false" ht="15" hidden="false" customHeight="false" outlineLevel="0" collapsed="false">
      <c r="A30" s="56" t="s">
        <v>154</v>
      </c>
      <c r="B30" s="57" t="n">
        <f aca="false">AVERAGE(B27,C27)</f>
        <v>185713.549564007</v>
      </c>
    </row>
    <row r="32" customFormat="false" ht="15.75" hidden="false" customHeight="true" outlineLevel="0" collapsed="false">
      <c r="A32" s="7" t="s">
        <v>155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156</v>
      </c>
      <c r="B33" s="66" t="n">
        <f aca="false">$B$7+(-2)*$B$11</f>
        <v>0.01</v>
      </c>
      <c r="C33" s="66" t="n">
        <f aca="false">$B$7+(-1)*$B$11</f>
        <v>0.015</v>
      </c>
      <c r="D33" s="66" t="n">
        <f aca="false">$B$7+(0)*$B$11</f>
        <v>0.02</v>
      </c>
      <c r="E33" s="66" t="n">
        <f aca="false">$B$7+(1)*$B$11</f>
        <v>0.025</v>
      </c>
      <c r="F33" s="66" t="n">
        <f aca="false">$B$7+(2)*$B$11</f>
        <v>0.03</v>
      </c>
    </row>
    <row r="34" customFormat="false" ht="15" hidden="false" customHeight="false" outlineLevel="0" collapsed="false">
      <c r="A34" s="61" t="n">
        <f aca="false">$B$6+(-2)*$B$10</f>
        <v>0.23</v>
      </c>
      <c r="B34" s="53" t="n">
        <f aca="false">IF($A34&gt;B$33,SUMPRODUCT($B$17:$F$17/(1+$A34)^$B$14:$F$14)+$F$17*(1+B$33)/($A34-B$33)/(1+$A34)^$F$14,"n/a")</f>
        <v>204244.698582489</v>
      </c>
      <c r="C34" s="53" t="n">
        <f aca="false">IF($A34&gt;C$33,SUMPRODUCT($B$17:$F$17/(1+$A34)^$B$14:$F$14)+$F$17*(1+C$33)/($A34-C$33)/(1+$A34)^$F$14,"n/a")</f>
        <v>209900.867585557</v>
      </c>
      <c r="D34" s="53" t="n">
        <f aca="false">IF($A34&gt;D$33,SUMPRODUCT($B$17:$F$17/(1+$A34)^$B$14:$F$14)+$F$17*(1+D$33)/($A34-D$33)/(1+$A34)^$F$14,"n/a")</f>
        <v>215826.377969723</v>
      </c>
      <c r="E34" s="53" t="n">
        <f aca="false">IF($A34&gt;E$33,SUMPRODUCT($B$17:$F$17/(1+$A34)^$B$14:$F$14)+$F$17*(1+E$33)/($A34-E$33)/(1+$A34)^$F$14,"n/a")</f>
        <v>222040.937640921</v>
      </c>
      <c r="F34" s="53" t="n">
        <f aca="false">IF($A34&gt;F$33,SUMPRODUCT($B$17:$F$17/(1+$A34)^$B$14:$F$14)+$F$17*(1+F$33)/($A34-F$33)/(1+$A34)^$F$14,"n/a")</f>
        <v>228566.225295679</v>
      </c>
    </row>
    <row r="35" customFormat="false" ht="15" hidden="false" customHeight="false" outlineLevel="0" collapsed="false">
      <c r="A35" s="61" t="n">
        <f aca="false">$B$6+(-1)*$B$10</f>
        <v>0.24</v>
      </c>
      <c r="B35" s="53" t="n">
        <f aca="false">IF($A35&gt;B$33,SUMPRODUCT($B$17:$F$17/(1+$A35)^$B$14:$F$14)+$F$17*(1+B$33)/($A35-B$33)/(1+$A35)^$F$14,"n/a")</f>
        <v>184877.627066208</v>
      </c>
      <c r="C35" s="53" t="n">
        <f aca="false">IF($A35&gt;C$33,SUMPRODUCT($B$17:$F$17/(1+$A35)^$B$14:$F$14)+$F$17*(1+C$33)/($A35-C$33)/(1+$A35)^$F$14,"n/a")</f>
        <v>189882.659188995</v>
      </c>
      <c r="D35" s="53" t="n">
        <f aca="false">IF($A35&gt;D$33,SUMPRODUCT($B$17:$F$17/(1+$A35)^$B$14:$F$14)+$F$17*(1+D$33)/($A35-D$33)/(1+$A35)^$F$14,"n/a")</f>
        <v>195115.192771908</v>
      </c>
      <c r="E35" s="53" t="n">
        <f aca="false">IF($A35&gt;E$33,SUMPRODUCT($B$17:$F$17/(1+$A35)^$B$14:$F$14)+$F$17*(1+E$33)/($A35-E$33)/(1+$A35)^$F$14,"n/a")</f>
        <v>200591.100009841</v>
      </c>
      <c r="F35" s="53" t="n">
        <f aca="false">IF($A35&gt;F$33,SUMPRODUCT($B$17:$F$17/(1+$A35)^$B$14:$F$14)+$F$17*(1+F$33)/($A35-F$33)/(1+$A35)^$F$14,"n/a")</f>
        <v>206327.764735294</v>
      </c>
    </row>
    <row r="36" customFormat="false" ht="15" hidden="false" customHeight="false" outlineLevel="0" collapsed="false">
      <c r="A36" s="61" t="n">
        <f aca="false">$B$6+(0)*$B$10</f>
        <v>0.25</v>
      </c>
      <c r="B36" s="53" t="n">
        <f aca="false">IF($A36&gt;B$33,SUMPRODUCT($B$17:$F$17/(1+$A36)^$B$14:$F$14)+$F$17*(1+B$33)/($A36-B$33)/(1+$A36)^$F$14,"n/a")</f>
        <v>167360.135406095</v>
      </c>
      <c r="C36" s="53" t="n">
        <f aca="false">IF($A36&gt;C$33,SUMPRODUCT($B$17:$F$17/(1+$A36)^$B$14:$F$14)+$F$17*(1+C$33)/($A36-C$33)/(1+$A36)^$F$14,"n/a")</f>
        <v>171807.316430294</v>
      </c>
      <c r="D36" s="53" t="n">
        <f aca="false">IF($A36&gt;D$33,SUMPRODUCT($B$17:$F$17/(1+$A36)^$B$14:$F$14)+$F$17*(1+D$33)/($A36-D$33)/(1+$A36)^$F$14,"n/a")</f>
        <v>176447.853151197</v>
      </c>
      <c r="E36" s="53" t="n">
        <f aca="false">IF($A36&gt;E$33,SUMPRODUCT($B$17:$F$17/(1+$A36)^$B$14:$F$14)+$F$17*(1+E$33)/($A36-E$33)/(1+$A36)^$F$14,"n/a")</f>
        <v>181294.635948585</v>
      </c>
      <c r="F36" s="53" t="n">
        <f aca="false">IF($A36&gt;F$33,SUMPRODUCT($B$17:$F$17/(1+$A36)^$B$14:$F$14)+$F$17*(1+F$33)/($A36-F$33)/(1+$A36)^$F$14,"n/a")</f>
        <v>186361.727054945</v>
      </c>
    </row>
    <row r="37" customFormat="false" ht="15" hidden="false" customHeight="false" outlineLevel="0" collapsed="false">
      <c r="A37" s="61" t="n">
        <f aca="false">$B$6+(1)*$B$10</f>
        <v>0.26</v>
      </c>
      <c r="B37" s="53" t="n">
        <f aca="false">IF($A37&gt;B$33,SUMPRODUCT($B$17:$F$17/(1+$A37)^$B$14:$F$14)+$F$17*(1+B$33)/($A37-B$33)/(1+$A37)^$F$14,"n/a")</f>
        <v>151462.554991149</v>
      </c>
      <c r="C37" s="53" t="n">
        <f aca="false">IF($A37&gt;C$33,SUMPRODUCT($B$17:$F$17/(1+$A37)^$B$14:$F$14)+$F$17*(1+C$33)/($A37-C$33)/(1+$A37)^$F$14,"n/a")</f>
        <v>155429.13017473</v>
      </c>
      <c r="D37" s="53" t="n">
        <f aca="false">IF($A37&gt;D$33,SUMPRODUCT($B$17:$F$17/(1+$A37)^$B$14:$F$14)+$F$17*(1+D$33)/($A37-D$33)/(1+$A37)^$F$14,"n/a")</f>
        <v>159560.979324294</v>
      </c>
      <c r="E37" s="53" t="n">
        <f aca="false">IF($A37&gt;E$33,SUMPRODUCT($B$17:$F$17/(1+$A37)^$B$14:$F$14)+$F$17*(1+E$33)/($A37-E$33)/(1+$A37)^$F$14,"n/a")</f>
        <v>163868.651841924</v>
      </c>
      <c r="F37" s="53" t="n">
        <f aca="false">IF($A37&gt;F$33,SUMPRODUCT($B$17:$F$17/(1+$A37)^$B$14:$F$14)+$F$17*(1+F$33)/($A37-F$33)/(1+$A37)^$F$14,"n/a")</f>
        <v>168363.614469017</v>
      </c>
    </row>
    <row r="38" customFormat="false" ht="15" hidden="false" customHeight="false" outlineLevel="0" collapsed="false">
      <c r="A38" s="61" t="n">
        <f aca="false">$B$6+(2)*$B$10</f>
        <v>0.27</v>
      </c>
      <c r="B38" s="53" t="n">
        <f aca="false">IF($A38&gt;B$33,SUMPRODUCT($B$17:$F$17/(1+$A38)^$B$14:$F$14)+$F$17*(1+B$33)/($A38-B$33)/(1+$A38)^$F$14,"n/a")</f>
        <v>136990.876674352</v>
      </c>
      <c r="C38" s="53" t="n">
        <f aca="false">IF($A38&gt;C$33,SUMPRODUCT($B$17:$F$17/(1+$A38)^$B$14:$F$14)+$F$17*(1+C$33)/($A38-C$33)/(1+$A38)^$F$14,"n/a")</f>
        <v>140541.262505548</v>
      </c>
      <c r="D38" s="53" t="n">
        <f aca="false">IF($A38&gt;D$33,SUMPRODUCT($B$17:$F$17/(1+$A38)^$B$14:$F$14)+$F$17*(1+D$33)/($A38-D$33)/(1+$A38)^$F$14,"n/a")</f>
        <v>144233.663769991</v>
      </c>
      <c r="E38" s="53" t="n">
        <f aca="false">IF($A38&gt;E$33,SUMPRODUCT($B$17:$F$17/(1+$A38)^$B$14:$F$14)+$F$17*(1+E$33)/($A38-E$33)/(1+$A38)^$F$14,"n/a")</f>
        <v>148076.775290125</v>
      </c>
      <c r="F38" s="53" t="n">
        <f aca="false">IF($A38&gt;F$33,SUMPRODUCT($B$17:$F$17/(1+$A38)^$B$14:$F$14)+$F$17*(1+F$33)/($A38-F$33)/(1+$A38)^$F$14,"n/a")</f>
        <v>152080.016456932</v>
      </c>
    </row>
    <row r="40" customFormat="false" ht="15" hidden="false" customHeight="false" outlineLevel="0" collapsed="false">
      <c r="A40" s="38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158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159</v>
      </c>
    </row>
    <row r="3" customFormat="false" ht="15" hidden="false" customHeight="false" outlineLevel="0" collapsed="false">
      <c r="A3" s="4" t="s">
        <v>100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160</v>
      </c>
      <c r="B5" s="7"/>
      <c r="C5" s="7"/>
    </row>
    <row r="6" customFormat="false" ht="15" hidden="false" customHeight="false" outlineLevel="0" collapsed="false">
      <c r="B6" s="59" t="s">
        <v>161</v>
      </c>
      <c r="C6" s="59" t="s">
        <v>162</v>
      </c>
    </row>
    <row r="7" customFormat="false" ht="15" hidden="false" customHeight="false" outlineLevel="0" collapsed="false">
      <c r="A7" s="6" t="s">
        <v>163</v>
      </c>
      <c r="B7" s="67" t="n">
        <f aca="false">Inputs!$E$69</f>
        <v>150000</v>
      </c>
      <c r="C7" s="61" t="n">
        <f aca="false">IF($B$9=0,0,B7/$B$9)</f>
        <v>0.681818181818182</v>
      </c>
    </row>
    <row r="8" customFormat="false" ht="15" hidden="false" customHeight="false" outlineLevel="0" collapsed="false">
      <c r="A8" s="6" t="s">
        <v>164</v>
      </c>
      <c r="B8" s="67" t="n">
        <f aca="false">Inputs!$E$70</f>
        <v>70000</v>
      </c>
      <c r="C8" s="61" t="n">
        <f aca="false">IF($B$9=0,0,B8/$B$9)</f>
        <v>0.318181818181818</v>
      </c>
    </row>
    <row r="9" customFormat="false" ht="15" hidden="false" customHeight="false" outlineLevel="0" collapsed="false">
      <c r="A9" s="4" t="s">
        <v>165</v>
      </c>
      <c r="B9" s="68" t="n">
        <f aca="false">B7+B8</f>
        <v>220000</v>
      </c>
      <c r="C9" s="69" t="n">
        <f aca="false">IF(B9=0,0,1)</f>
        <v>1</v>
      </c>
    </row>
    <row r="10" customFormat="false" ht="15" hidden="false" customHeight="false" outlineLevel="0" collapsed="false">
      <c r="A10" s="6" t="s">
        <v>166</v>
      </c>
      <c r="B10" s="65" t="n">
        <f aca="false">IF(B7&lt;=0,IF(B8&gt;0,"n/a",0),B8/B7)</f>
        <v>0.466666666666667</v>
      </c>
      <c r="D10" s="18" t="s">
        <v>167</v>
      </c>
    </row>
    <row r="11" customFormat="false" ht="15" hidden="false" customHeight="false" outlineLevel="0" collapsed="false">
      <c r="A11" s="6" t="s">
        <v>168</v>
      </c>
      <c r="B11" s="67" t="n">
        <f aca="false">'Break-even'!B12</f>
        <v>236567.075015111</v>
      </c>
    </row>
    <row r="12" customFormat="false" ht="15" hidden="false" customHeight="false" outlineLevel="0" collapsed="false">
      <c r="A12" s="56" t="s">
        <v>64</v>
      </c>
      <c r="B12" s="70" t="n">
        <f aca="false">'Break-even'!B17</f>
        <v>-16567.0750151112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169</v>
      </c>
      <c r="B15" s="71" t="n">
        <v>12</v>
      </c>
      <c r="D15" s="18" t="s">
        <v>170</v>
      </c>
    </row>
    <row r="16" customFormat="false" ht="15" hidden="false" customHeight="false" outlineLevel="0" collapsed="false">
      <c r="A16" s="6" t="s">
        <v>171</v>
      </c>
      <c r="B16" s="52" t="n">
        <f aca="false">MIN(60,MAX(1,ROUND(B15,0)))</f>
        <v>12</v>
      </c>
    </row>
    <row r="17" customFormat="false" ht="15" hidden="false" customHeight="false" outlineLevel="0" collapsed="false">
      <c r="A17" s="33" t="s">
        <v>172</v>
      </c>
      <c r="B17" s="59" t="s">
        <v>161</v>
      </c>
      <c r="C17" s="59" t="s">
        <v>162</v>
      </c>
    </row>
    <row r="18" customFormat="false" ht="15" hidden="false" customHeight="false" outlineLevel="0" collapsed="false">
      <c r="A18" s="6" t="s">
        <v>61</v>
      </c>
      <c r="B18" s="72" t="n">
        <f aca="false">SUMPRODUCT(--(Monthly!$C$4:$BJ$4&lt;=$B$16),Monthly!$C$76:$BJ$76)</f>
        <v>150000</v>
      </c>
      <c r="C18" s="61" t="n">
        <f aca="false">IF($B$21=0,0,B18/$B$21)</f>
        <v>0.681818181818182</v>
      </c>
    </row>
    <row r="19" customFormat="false" ht="15" hidden="false" customHeight="false" outlineLevel="0" collapsed="false">
      <c r="A19" s="6" t="s">
        <v>173</v>
      </c>
      <c r="B19" s="72" t="n">
        <f aca="false">SUMPRODUCT(--(Monthly!$C$4:$BJ$4&lt;=$B$16),Monthly!$C$61:$BJ$61)</f>
        <v>70000</v>
      </c>
      <c r="C19" s="61" t="n">
        <f aca="false">IF($B$21=0,0,B19/$B$21)</f>
        <v>0.318181818181818</v>
      </c>
    </row>
    <row r="20" customFormat="false" ht="15" hidden="false" customHeight="false" outlineLevel="0" collapsed="false">
      <c r="A20" s="6" t="s">
        <v>174</v>
      </c>
      <c r="B20" s="72" t="n">
        <f aca="false">MAX(0,SUMPRODUCT(--(Monthly!$C$4:$BJ$4&lt;=$B$16),Monthly!$C$74:$BJ$74))</f>
        <v>0</v>
      </c>
      <c r="C20" s="61" t="n">
        <f aca="false">IF($B$21=0,0,B20/$B$21)</f>
        <v>0</v>
      </c>
    </row>
    <row r="21" customFormat="false" ht="15" hidden="false" customHeight="false" outlineLevel="0" collapsed="false">
      <c r="A21" s="4" t="s">
        <v>175</v>
      </c>
      <c r="B21" s="68" t="n">
        <f aca="false">SUM(B18:B20)</f>
        <v>220000</v>
      </c>
      <c r="C21" s="69" t="n">
        <f aca="false">IF(B21=0,0,1)</f>
        <v>1</v>
      </c>
    </row>
    <row r="23" customFormat="false" ht="15" hidden="false" customHeight="false" outlineLevel="0" collapsed="false">
      <c r="A23" s="33" t="s">
        <v>176</v>
      </c>
      <c r="B23" s="59" t="s">
        <v>161</v>
      </c>
      <c r="C23" s="59" t="s">
        <v>162</v>
      </c>
    </row>
    <row r="24" customFormat="false" ht="15" hidden="false" customHeight="false" outlineLevel="0" collapsed="false">
      <c r="A24" s="6" t="s">
        <v>177</v>
      </c>
      <c r="B24" s="72" t="n">
        <f aca="false">MAX(0,-SUMPRODUCT(--(Monthly!$C$4:$BJ$4&lt;=$B$16),Monthly!$C$74:$BJ$74))</f>
        <v>34795.0636444445</v>
      </c>
      <c r="C24" s="61" t="n">
        <f aca="false">IF($B$28=0,0,B24/$B$28)</f>
        <v>0.15815938020202</v>
      </c>
    </row>
    <row r="25" customFormat="false" ht="15" hidden="false" customHeight="false" outlineLevel="0" collapsed="false">
      <c r="A25" s="6" t="s">
        <v>81</v>
      </c>
      <c r="B25" s="72" t="n">
        <f aca="false">-SUMPRODUCT(--(Monthly!$C$4:$BJ$4&lt;=$B$16),Monthly!$C$75:$BJ$75)</f>
        <v>127400</v>
      </c>
      <c r="C25" s="61" t="n">
        <f aca="false">IF($B$28=0,0,B25/$B$28)</f>
        <v>0.579090909090909</v>
      </c>
    </row>
    <row r="26" customFormat="false" ht="15" hidden="false" customHeight="false" outlineLevel="0" collapsed="false">
      <c r="A26" s="6" t="s">
        <v>178</v>
      </c>
      <c r="B26" s="72" t="n">
        <f aca="false">-SUMPRODUCT(--(Monthly!$C$4:$BJ$4&lt;=$B$16),Monthly!$C$62:$BJ$62)</f>
        <v>12833.3333333333</v>
      </c>
      <c r="C26" s="61" t="n">
        <f aca="false">IF($B$28=0,0,B26/$B$28)</f>
        <v>0.0583333333333333</v>
      </c>
    </row>
    <row r="27" customFormat="false" ht="15" hidden="false" customHeight="false" outlineLevel="0" collapsed="false">
      <c r="A27" s="6" t="s">
        <v>179</v>
      </c>
      <c r="B27" s="72" t="n">
        <f aca="false">INDEX(Monthly!$C$80:$BJ$80,$B$16)</f>
        <v>44971.6030222222</v>
      </c>
      <c r="C27" s="61" t="n">
        <f aca="false">IF($B$28=0,0,B27/$B$28)</f>
        <v>0.204416377373737</v>
      </c>
    </row>
    <row r="28" customFormat="false" ht="15" hidden="false" customHeight="false" outlineLevel="0" collapsed="false">
      <c r="A28" s="4" t="s">
        <v>180</v>
      </c>
      <c r="B28" s="68" t="n">
        <f aca="false">SUM(B24:B27)</f>
        <v>220000</v>
      </c>
      <c r="C28" s="69" t="n">
        <f aca="false">IF(B28=0,0,1)</f>
        <v>1</v>
      </c>
    </row>
    <row r="29" customFormat="false" ht="15" hidden="false" customHeight="false" outlineLevel="0" collapsed="false">
      <c r="A29" s="6" t="s">
        <v>181</v>
      </c>
      <c r="B29" s="72" t="n">
        <f aca="false">B21-B28</f>
        <v>0</v>
      </c>
    </row>
  </sheetData>
  <dataValidations count="1">
    <dataValidation allowBlank="false" errorStyle="stop" operator="between" prompt="A whole number from 1 to 60" promptTitle="Period" showDropDown="false" showErrorMessage="false" showInputMessage="true" sqref="B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.5"/>
    <col collapsed="false" customWidth="true" hidden="false" outlineLevel="0" max="8" min="8" style="0" width="2"/>
    <col collapsed="false" customWidth="true" hidden="false" outlineLevel="0" max="24" min="9" style="0" width="9"/>
  </cols>
  <sheetData>
    <row r="1" customFormat="false" ht="21.75" hidden="false" customHeight="true" outlineLevel="0" collapsed="false">
      <c r="A1" s="16" t="s">
        <v>182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183</v>
      </c>
    </row>
    <row r="4" customFormat="false" ht="15.75" hidden="false" customHeight="true" outlineLevel="0" collapsed="false">
      <c r="A4" s="7" t="s">
        <v>184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4" t="n">
        <v>4</v>
      </c>
      <c r="F5" s="34" t="n">
        <v>5</v>
      </c>
      <c r="G5" s="59" t="s">
        <v>185</v>
      </c>
    </row>
    <row r="6" customFormat="false" ht="15" hidden="false" customHeight="false" outlineLevel="0" collapsed="false">
      <c r="A6" s="38" t="s">
        <v>186</v>
      </c>
      <c r="B6" s="39" t="str">
        <f aca="false">IF(N('P&amp;L'!A5)&lt;=0,"n/a",'P&amp;L'!B5/'P&amp;L'!A5-1)</f>
        <v>n/a</v>
      </c>
      <c r="C6" s="39" t="n">
        <f aca="false">IF(N('P&amp;L'!B5)&lt;=0,"n/a",'P&amp;L'!C5/'P&amp;L'!B5-1)</f>
        <v>0.249944691595527</v>
      </c>
      <c r="D6" s="39" t="n">
        <f aca="false">IF(N('P&amp;L'!C5)&lt;=0,"n/a",'P&amp;L'!D5/'P&amp;L'!C5-1)</f>
        <v>0.21124244525909</v>
      </c>
      <c r="E6" s="39" t="n">
        <f aca="false">IF(N('P&amp;L'!D5)&lt;=0,"n/a",'P&amp;L'!E5/'P&amp;L'!D5-1)</f>
        <v>0.184122504002022</v>
      </c>
      <c r="F6" s="39" t="n">
        <f aca="false">IF(N('P&amp;L'!E5)&lt;=0,"n/a",'P&amp;L'!F5/'P&amp;L'!E5-1)</f>
        <v>0.0970311469402714</v>
      </c>
      <c r="G6" s="73"/>
    </row>
    <row r="7" customFormat="false" ht="15" hidden="false" customHeight="false" outlineLevel="0" collapsed="false">
      <c r="A7" s="38" t="s">
        <v>44</v>
      </c>
      <c r="B7" s="39" t="n">
        <f aca="false">IF('P&amp;L'!B5&lt;=0,"n/a",'P&amp;L'!B7/'P&amp;L'!B5)</f>
        <v>0.436197667428159</v>
      </c>
      <c r="C7" s="39" t="n">
        <f aca="false">IF('P&amp;L'!C5&lt;=0,"n/a",'P&amp;L'!C7/'P&amp;L'!C5)</f>
        <v>0.432163281482215</v>
      </c>
      <c r="D7" s="39" t="n">
        <f aca="false">IF('P&amp;L'!D5&lt;=0,"n/a",'P&amp;L'!D7/'P&amp;L'!D5)</f>
        <v>0.429336254107339</v>
      </c>
      <c r="E7" s="39" t="n">
        <f aca="false">IF('P&amp;L'!E5&lt;=0,"n/a",'P&amp;L'!E7/'P&amp;L'!E5)</f>
        <v>0.427245144741664</v>
      </c>
      <c r="F7" s="39" t="n">
        <f aca="false">IF('P&amp;L'!F5&lt;=0,"n/a",'P&amp;L'!F7/'P&amp;L'!F5)</f>
        <v>0.426391247505677</v>
      </c>
      <c r="G7" s="73"/>
    </row>
    <row r="8" customFormat="false" ht="15" hidden="false" customHeight="false" outlineLevel="0" collapsed="false">
      <c r="A8" s="38" t="s">
        <v>47</v>
      </c>
      <c r="B8" s="39" t="n">
        <f aca="false">IF('P&amp;L'!B5&lt;=0,"n/a",'P&amp;L'!B18/'P&amp;L'!B5)</f>
        <v>-0.0641997782320015</v>
      </c>
      <c r="C8" s="39" t="n">
        <f aca="false">IF('P&amp;L'!C5&lt;=0,"n/a",'P&amp;L'!C18/'P&amp;L'!C5)</f>
        <v>0.0270019399947265</v>
      </c>
      <c r="D8" s="39" t="n">
        <f aca="false">IF('P&amp;L'!D5&lt;=0,"n/a",'P&amp;L'!D18/'P&amp;L'!D5)</f>
        <v>0.0907320509166908</v>
      </c>
      <c r="E8" s="39" t="n">
        <f aca="false">IF('P&amp;L'!E5&lt;=0,"n/a",'P&amp;L'!E18/'P&amp;L'!E5)</f>
        <v>0.137721975449845</v>
      </c>
      <c r="F8" s="39" t="n">
        <f aca="false">IF('P&amp;L'!F5&lt;=0,"n/a",'P&amp;L'!F18/'P&amp;L'!F5)</f>
        <v>0.159124697681438</v>
      </c>
      <c r="G8" s="73"/>
    </row>
    <row r="9" customFormat="false" ht="15" hidden="false" customHeight="false" outlineLevel="0" collapsed="false">
      <c r="A9" s="38" t="s">
        <v>49</v>
      </c>
      <c r="B9" s="39" t="n">
        <f aca="false">IF('P&amp;L'!B5&lt;=0,"n/a",'P&amp;L'!B25/'P&amp;L'!B5)</f>
        <v>-0.112898236469406</v>
      </c>
      <c r="C9" s="39" t="n">
        <f aca="false">IF('P&amp;L'!C5&lt;=0,"n/a",'P&amp;L'!C25/'P&amp;L'!C5)</f>
        <v>-0.0100946296885922</v>
      </c>
      <c r="D9" s="39" t="n">
        <f aca="false">IF('P&amp;L'!D5&lt;=0,"n/a",'P&amp;L'!D25/'P&amp;L'!D5)</f>
        <v>0.0616493891068719</v>
      </c>
      <c r="E9" s="39" t="n">
        <f aca="false">IF('P&amp;L'!E5&lt;=0,"n/a",'P&amp;L'!E25/'P&amp;L'!E5)</f>
        <v>0.0941972748073109</v>
      </c>
      <c r="F9" s="39" t="n">
        <f aca="false">IF('P&amp;L'!F5&lt;=0,"n/a",'P&amp;L'!F25/'P&amp;L'!F5)</f>
        <v>0.109900086953957</v>
      </c>
      <c r="G9" s="73"/>
    </row>
    <row r="10" customFormat="false" ht="15" hidden="false" customHeight="false" outlineLevel="0" collapsed="false">
      <c r="A10" s="38" t="s">
        <v>187</v>
      </c>
      <c r="B10" s="39" t="n">
        <f aca="false">IF('P&amp;L'!B5&lt;=0,"n/a",-SUMIF(Headcount!$C$5:$BJ$5,B$5,Headcount!$C$17:$BJ$17)/'P&amp;L'!B5)</f>
        <v>0.201060745728294</v>
      </c>
      <c r="C10" s="39" t="n">
        <f aca="false">IF('P&amp;L'!C5&lt;=0,"n/a",-SUMIF(Headcount!$C$5:$BJ$5,C$5,Headcount!$C$17:$BJ$17)/'P&amp;L'!C5)</f>
        <v>0.165681385338574</v>
      </c>
      <c r="D10" s="39" t="n">
        <f aca="false">IF('P&amp;L'!D5&lt;=0,"n/a",-SUMIF(Headcount!$C$5:$BJ$5,D$5,Headcount!$C$17:$BJ$17)/'P&amp;L'!D5)</f>
        <v>0.140889899926045</v>
      </c>
      <c r="E10" s="39" t="n">
        <f aca="false">IF('P&amp;L'!E5&lt;=0,"n/a",-SUMIF(Headcount!$C$5:$BJ$5,E$5,Headcount!$C$17:$BJ$17)/'P&amp;L'!E5)</f>
        <v>0.122552013354505</v>
      </c>
      <c r="F10" s="39" t="n">
        <f aca="false">IF('P&amp;L'!F5&lt;=0,"n/a",-SUMIF(Headcount!$C$5:$BJ$5,F$5,Headcount!$C$17:$BJ$17)/'P&amp;L'!F5)</f>
        <v>0.115063801157519</v>
      </c>
      <c r="G10" s="73"/>
    </row>
    <row r="11" customFormat="false" ht="15" hidden="false" customHeight="false" outlineLevel="0" collapsed="false">
      <c r="A11" s="38" t="s">
        <v>188</v>
      </c>
      <c r="B11" s="39" t="n">
        <f aca="false">IF('P&amp;L'!B5&lt;=0,"n/a",-'P&amp;L'!B10/'P&amp;L'!B5)</f>
        <v>0.0626227405715202</v>
      </c>
      <c r="C11" s="39" t="n">
        <f aca="false">IF('P&amp;L'!C5&lt;=0,"n/a",-'P&amp;L'!C10/'P&amp;L'!C5)</f>
        <v>0.0501004092361748</v>
      </c>
      <c r="D11" s="39" t="n">
        <f aca="false">IF('P&amp;L'!D5&lt;=0,"n/a",-'P&amp;L'!D10/'P&amp;L'!D5)</f>
        <v>0.0413628249507538</v>
      </c>
      <c r="E11" s="39" t="n">
        <f aca="false">IF('P&amp;L'!E5&lt;=0,"n/a",-'P&amp;L'!E10/'P&amp;L'!E5)</f>
        <v>0.034931204170986</v>
      </c>
      <c r="F11" s="39" t="n">
        <f aca="false">IF('P&amp;L'!F5&lt;=0,"n/a",-'P&amp;L'!F10/'P&amp;L'!F5)</f>
        <v>0.031841579218979</v>
      </c>
      <c r="G11" s="73"/>
    </row>
    <row r="12" customFormat="false" ht="15" hidden="false" customHeight="false" outlineLevel="0" collapsed="false">
      <c r="A12" s="38" t="s">
        <v>189</v>
      </c>
      <c r="B12" s="39" t="n">
        <f aca="false">IF('P&amp;L'!B5&lt;=0,"n/a",-'P&amp;L'!B17/'P&amp;L'!B5)</f>
        <v>0.500397445660161</v>
      </c>
      <c r="C12" s="39" t="n">
        <f aca="false">IF('P&amp;L'!C5&lt;=0,"n/a",-'P&amp;L'!C17/'P&amp;L'!C5)</f>
        <v>0.405161341487489</v>
      </c>
      <c r="D12" s="39" t="n">
        <f aca="false">IF('P&amp;L'!D5&lt;=0,"n/a",-'P&amp;L'!D17/'P&amp;L'!D5)</f>
        <v>0.338604203190648</v>
      </c>
      <c r="E12" s="39" t="n">
        <f aca="false">IF('P&amp;L'!E5&lt;=0,"n/a",-'P&amp;L'!E17/'P&amp;L'!E5)</f>
        <v>0.289523169291818</v>
      </c>
      <c r="F12" s="39" t="n">
        <f aca="false">IF('P&amp;L'!F5&lt;=0,"n/a",-'P&amp;L'!F17/'P&amp;L'!F5)</f>
        <v>0.267266549824238</v>
      </c>
      <c r="G12" s="73"/>
    </row>
    <row r="13" customFormat="false" ht="15" hidden="false" customHeight="false" outlineLevel="0" collapsed="false">
      <c r="A13" s="6" t="s">
        <v>190</v>
      </c>
      <c r="B13" s="74" t="n">
        <f aca="false">IF(('Balance Sheet'!B12-'Balance Sheet'!B11)&lt;=0,"n/a",('Balance Sheet'!B5+'Balance Sheet'!B6+'Balance Sheet'!B7)/('Balance Sheet'!B12-'Balance Sheet'!B11))</f>
        <v>3.92442286789325</v>
      </c>
      <c r="C13" s="74" t="n">
        <f aca="false">IF(('Balance Sheet'!C12-'Balance Sheet'!C11)&lt;=0,"n/a",('Balance Sheet'!C5+'Balance Sheet'!C6+'Balance Sheet'!C7)/('Balance Sheet'!C12-'Balance Sheet'!C11))</f>
        <v>3.22536720293333</v>
      </c>
      <c r="D13" s="74" t="n">
        <f aca="false">IF(('Balance Sheet'!D12-'Balance Sheet'!D11)&lt;=0,"n/a",('Balance Sheet'!D5+'Balance Sheet'!D6+'Balance Sheet'!D7)/('Balance Sheet'!D12-'Balance Sheet'!D11))</f>
        <v>4.95537124157476</v>
      </c>
      <c r="E13" s="74" t="n">
        <f aca="false">IF(('Balance Sheet'!E12-'Balance Sheet'!E11)&lt;=0,"n/a",('Balance Sheet'!E5+'Balance Sheet'!E6+'Balance Sheet'!E7)/('Balance Sheet'!E12-'Balance Sheet'!E11))</f>
        <v>7.44217719301647</v>
      </c>
      <c r="F13" s="74" t="n">
        <f aca="false">IF(('Balance Sheet'!F12-'Balance Sheet'!F11)&lt;=0,"n/a",('Balance Sheet'!F5+'Balance Sheet'!F6+'Balance Sheet'!F7)/('Balance Sheet'!F12-'Balance Sheet'!F11))</f>
        <v>10.4522146778177</v>
      </c>
      <c r="G13" s="75"/>
    </row>
    <row r="14" customFormat="false" ht="15" hidden="false" customHeight="false" outlineLevel="0" collapsed="false">
      <c r="A14" s="6" t="s">
        <v>191</v>
      </c>
      <c r="B14" s="74" t="n">
        <f aca="false">IF('Balance Sheet'!B15&lt;=0,"n/a",'Balance Sheet'!B11/'Balance Sheet'!B15)</f>
        <v>0.596013451672136</v>
      </c>
      <c r="C14" s="74" t="n">
        <f aca="false">IF('Balance Sheet'!C15&lt;=0,"n/a",'Balance Sheet'!C11/'Balance Sheet'!C15)</f>
        <v>0.480321174205789</v>
      </c>
      <c r="D14" s="74" t="n">
        <f aca="false">IF('Balance Sheet'!D15&lt;=0,"n/a",'Balance Sheet'!D11/'Balance Sheet'!D15)</f>
        <v>0.216717123538424</v>
      </c>
      <c r="E14" s="74" t="n">
        <f aca="false">IF('Balance Sheet'!E15&lt;=0,"n/a",'Balance Sheet'!E11/'Balance Sheet'!E15)</f>
        <v>0.0703843265872005</v>
      </c>
      <c r="F14" s="74" t="n">
        <f aca="false">IF('Balance Sheet'!F15&lt;=0,"n/a",'Balance Sheet'!F11/'Balance Sheet'!F15)</f>
        <v>0.0036569467804393</v>
      </c>
      <c r="G14" s="75"/>
    </row>
    <row r="15" customFormat="false" ht="15" hidden="false" customHeight="false" outlineLevel="0" collapsed="false">
      <c r="A15" s="38" t="s">
        <v>192</v>
      </c>
      <c r="B15" s="39" t="n">
        <f aca="false">IF('Balance Sheet'!B9&lt;=0,"n/a",'P&amp;L'!B25/'Balance Sheet'!B9)</f>
        <v>-0.321767551954906</v>
      </c>
      <c r="C15" s="39" t="n">
        <f aca="false">IF('Balance Sheet'!C9&lt;=0,"n/a",'P&amp;L'!C25/'Balance Sheet'!C9)</f>
        <v>-0.0397864584743763</v>
      </c>
      <c r="D15" s="39" t="n">
        <f aca="false">IF('Balance Sheet'!D9&lt;=0,"n/a",'P&amp;L'!D25/'Balance Sheet'!D9)</f>
        <v>0.239436856238123</v>
      </c>
      <c r="E15" s="39" t="n">
        <f aca="false">IF('Balance Sheet'!E9&lt;=0,"n/a",'P&amp;L'!E25/'Balance Sheet'!E9)</f>
        <v>0.313590833956013</v>
      </c>
      <c r="F15" s="39" t="n">
        <f aca="false">IF('Balance Sheet'!F9&lt;=0,"n/a",'P&amp;L'!F25/'Balance Sheet'!F9)</f>
        <v>0.295655442435661</v>
      </c>
      <c r="G15" s="73"/>
    </row>
    <row r="16" customFormat="false" ht="15" hidden="false" customHeight="false" outlineLevel="0" collapsed="false">
      <c r="A16" s="38" t="s">
        <v>193</v>
      </c>
      <c r="B16" s="39" t="n">
        <f aca="false">IF('Balance Sheet'!B15&lt;=0,"n/a",'P&amp;L'!B25/'Balance Sheet'!B15)</f>
        <v>-0.563883692434177</v>
      </c>
      <c r="C16" s="39" t="n">
        <f aca="false">IF('Balance Sheet'!C15&lt;=0,"n/a",'P&amp;L'!C25/'Balance Sheet'!C15)</f>
        <v>-0.0672594933959026</v>
      </c>
      <c r="D16" s="39" t="n">
        <f aca="false">IF('Balance Sheet'!D15&lt;=0,"n/a",'P&amp;L'!D25/'Balance Sheet'!D15)</f>
        <v>0.332235678830496</v>
      </c>
      <c r="E16" s="39" t="n">
        <f aca="false">IF('Balance Sheet'!E15&lt;=0,"n/a",'P&amp;L'!E25/'Balance Sheet'!E15)</f>
        <v>0.375432490076604</v>
      </c>
      <c r="F16" s="39" t="n">
        <f aca="false">IF('Balance Sheet'!F15&lt;=0,"n/a",'P&amp;L'!F25/'Balance Sheet'!F15)</f>
        <v>0.32456115656927</v>
      </c>
      <c r="G16" s="73"/>
    </row>
    <row r="18" customFormat="false" ht="15.75" hidden="false" customHeight="true" outlineLevel="0" collapsed="false">
      <c r="A18" s="7" t="s">
        <v>194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  <c r="E19" s="34" t="n">
        <v>4</v>
      </c>
      <c r="F19" s="34" t="n">
        <v>5</v>
      </c>
    </row>
    <row r="20" customFormat="false" ht="15" hidden="false" customHeight="false" outlineLevel="0" collapsed="false">
      <c r="A20" s="51" t="s">
        <v>49</v>
      </c>
      <c r="B20" s="39" t="n">
        <f aca="false">IF('P&amp;L'!B5&lt;=0,"n/a",'P&amp;L'!B25/'P&amp;L'!B5)</f>
        <v>-0.112898236469406</v>
      </c>
      <c r="C20" s="39" t="n">
        <f aca="false">IF('P&amp;L'!C5&lt;=0,"n/a",'P&amp;L'!C25/'P&amp;L'!C5)</f>
        <v>-0.0100946296885922</v>
      </c>
      <c r="D20" s="39" t="n">
        <f aca="false">IF('P&amp;L'!D5&lt;=0,"n/a",'P&amp;L'!D25/'P&amp;L'!D5)</f>
        <v>0.0616493891068719</v>
      </c>
      <c r="E20" s="39" t="n">
        <f aca="false">IF('P&amp;L'!E5&lt;=0,"n/a",'P&amp;L'!E25/'P&amp;L'!E5)</f>
        <v>0.0941972748073109</v>
      </c>
      <c r="F20" s="39" t="n">
        <f aca="false">IF('P&amp;L'!F5&lt;=0,"n/a",'P&amp;L'!F25/'P&amp;L'!F5)</f>
        <v>0.109900086953957</v>
      </c>
    </row>
    <row r="21" customFormat="false" ht="15" hidden="false" customHeight="false" outlineLevel="0" collapsed="false">
      <c r="A21" s="51" t="s">
        <v>195</v>
      </c>
      <c r="B21" s="74" t="n">
        <f aca="false">IF('Balance Sheet'!B9&lt;=0,"n/a",'P&amp;L'!B5/'Balance Sheet'!B9)</f>
        <v>2.85006712254624</v>
      </c>
      <c r="C21" s="74" t="n">
        <f aca="false">IF('Balance Sheet'!C9&lt;=0,"n/a",'P&amp;L'!C5/'Balance Sheet'!C9)</f>
        <v>3.94134898473179</v>
      </c>
      <c r="D21" s="74" t="n">
        <f aca="false">IF('Balance Sheet'!D9&lt;=0,"n/a",'P&amp;L'!D5/'Balance Sheet'!D9)</f>
        <v>3.88384799439049</v>
      </c>
      <c r="E21" s="74" t="n">
        <f aca="false">IF('Balance Sheet'!E9&lt;=0,"n/a",'P&amp;L'!E5/'Balance Sheet'!E9)</f>
        <v>3.32908605474512</v>
      </c>
      <c r="F21" s="74" t="n">
        <f aca="false">IF('Balance Sheet'!F9&lt;=0,"n/a",'P&amp;L'!F5/'Balance Sheet'!F9)</f>
        <v>2.69022027761931</v>
      </c>
    </row>
    <row r="22" customFormat="false" ht="15" hidden="false" customHeight="false" outlineLevel="0" collapsed="false">
      <c r="A22" s="51" t="s">
        <v>196</v>
      </c>
      <c r="B22" s="74" t="n">
        <f aca="false">IF('Balance Sheet'!B15&lt;=0,"n/a",'Balance Sheet'!B9/'Balance Sheet'!B15)</f>
        <v>1.75245666944441</v>
      </c>
      <c r="C22" s="74" t="n">
        <f aca="false">IF('Balance Sheet'!C15&lt;=0,"n/a",'Balance Sheet'!C9/'Balance Sheet'!C15)</f>
        <v>1.69051219874772</v>
      </c>
      <c r="D22" s="74" t="n">
        <f aca="false">IF('Balance Sheet'!D15&lt;=0,"n/a",'Balance Sheet'!D9/'Balance Sheet'!D15)</f>
        <v>1.38757117033011</v>
      </c>
      <c r="E22" s="74" t="n">
        <f aca="false">IF('Balance Sheet'!E15&lt;=0,"n/a",'Balance Sheet'!E9/'Balance Sheet'!E15)</f>
        <v>1.19720492254332</v>
      </c>
      <c r="F22" s="74" t="n">
        <f aca="false">IF('Balance Sheet'!F15&lt;=0,"n/a",'Balance Sheet'!F9/'Balance Sheet'!F15)</f>
        <v>1.09776824635961</v>
      </c>
    </row>
    <row r="23" customFormat="false" ht="15" hidden="false" customHeight="false" outlineLevel="0" collapsed="false">
      <c r="A23" s="40" t="s">
        <v>197</v>
      </c>
      <c r="B23" s="76" t="n">
        <f aca="false">IF(AND(ISNUMBER(B20),ISNUMBER(B21),ISNUMBER(B22)),B20*B21*B22,"n/a")</f>
        <v>-0.563883692434177</v>
      </c>
      <c r="C23" s="76" t="n">
        <f aca="false">IF(AND(ISNUMBER(C20),ISNUMBER(C21),ISNUMBER(C22)),C20*C21*C22,"n/a")</f>
        <v>-0.0672594933959026</v>
      </c>
      <c r="D23" s="76" t="n">
        <f aca="false">IF(AND(ISNUMBER(D20),ISNUMBER(D21),ISNUMBER(D22)),D20*D21*D22,"n/a")</f>
        <v>0.332235678830496</v>
      </c>
      <c r="E23" s="76" t="n">
        <f aca="false">IF(AND(ISNUMBER(E20),ISNUMBER(E21),ISNUMBER(E22)),E20*E21*E22,"n/a")</f>
        <v>0.375432490076604</v>
      </c>
      <c r="F23" s="76" t="n">
        <f aca="false">IF(AND(ISNUMBER(F20),ISNUMBER(F21),ISNUMBER(F22)),F20*F21*F22,"n/a")</f>
        <v>0.32456115656927</v>
      </c>
    </row>
    <row r="24" customFormat="false" ht="15" hidden="false" customHeight="false" outlineLevel="0" collapsed="false">
      <c r="A24" s="21" t="s">
        <v>198</v>
      </c>
      <c r="B24" s="39" t="n">
        <f aca="false">IF(AND(ISNUMBER(B23),ISNUMBER(B16)),B23-B16,IF(ISNUMBER(B23),1,IF(AND(ISNUMBER(B16),ISNUMBER(B20),ISNUMBER(B21)),1,0)))</f>
        <v>0</v>
      </c>
      <c r="C24" s="39" t="n">
        <f aca="false">IF(AND(ISNUMBER(C23),ISNUMBER(C16)),C23-C16,IF(ISNUMBER(C23),1,IF(AND(ISNUMBER(C16),ISNUMBER(C20),ISNUMBER(C21)),1,0)))</f>
        <v>0</v>
      </c>
      <c r="D24" s="39" t="n">
        <f aca="false">IF(AND(ISNUMBER(D23),ISNUMBER(D16)),D23-D16,IF(ISNUMBER(D23),1,IF(AND(ISNUMBER(D16),ISNUMBER(D20),ISNUMBER(D21)),1,0)))</f>
        <v>0</v>
      </c>
      <c r="E24" s="39" t="n">
        <f aca="false">IF(AND(ISNUMBER(E23),ISNUMBER(E16)),E23-E16,IF(ISNUMBER(E23),1,IF(AND(ISNUMBER(E16),ISNUMBER(E20),ISNUMBER(E21)),1,0)))</f>
        <v>0</v>
      </c>
      <c r="F24" s="39" t="n">
        <f aca="false">IF(AND(ISNUMBER(F23),ISNUMBER(F16)),F23-F16,IF(ISNUMBER(F23),1,IF(AND(ISNUMBER(F16),ISNUMBER(F20),ISNUMBER(F21)),1,0)))</f>
        <v>0</v>
      </c>
    </row>
    <row r="26" customFormat="false" ht="15.75" hidden="false" customHeight="true" outlineLevel="0" collapsed="false">
      <c r="A26" s="7" t="s">
        <v>199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58" t="s">
        <v>121</v>
      </c>
      <c r="B27" s="58" t="n">
        <v>1</v>
      </c>
      <c r="C27" s="58" t="n">
        <v>2</v>
      </c>
      <c r="D27" s="58" t="n">
        <v>3</v>
      </c>
      <c r="E27" s="58" t="n">
        <v>4</v>
      </c>
      <c r="F27" s="58" t="n">
        <v>5</v>
      </c>
    </row>
    <row r="28" customFormat="false" ht="15" hidden="false" customHeight="false" outlineLevel="0" collapsed="false">
      <c r="A28" s="33"/>
      <c r="B28" s="59" t="s">
        <v>122</v>
      </c>
      <c r="C28" s="59" t="s">
        <v>123</v>
      </c>
      <c r="D28" s="59" t="s">
        <v>124</v>
      </c>
      <c r="E28" s="59" t="s">
        <v>125</v>
      </c>
      <c r="F28" s="59" t="s">
        <v>126</v>
      </c>
      <c r="G28" s="59" t="s">
        <v>185</v>
      </c>
    </row>
    <row r="29" customFormat="false" ht="15" hidden="false" customHeight="false" outlineLevel="0" collapsed="false">
      <c r="A29" s="4" t="s">
        <v>200</v>
      </c>
      <c r="B29" s="77" t="n">
        <f aca="false">INDEX(Monthly!$C$8:$BJ$8,B$27*12)</f>
        <v>8</v>
      </c>
      <c r="C29" s="77" t="n">
        <f aca="false">INDEX(Monthly!$C$8:$BJ$8,C$27*12)</f>
        <v>8</v>
      </c>
      <c r="D29" s="77" t="n">
        <f aca="false">INDEX(Monthly!$C$8:$BJ$8,D$27*12)</f>
        <v>8</v>
      </c>
      <c r="E29" s="77" t="n">
        <f aca="false">INDEX(Monthly!$C$8:$BJ$8,E$27*12)</f>
        <v>8</v>
      </c>
      <c r="F29" s="77" t="n">
        <f aca="false">INDEX(Monthly!$C$8:$BJ$8,F$27*12)</f>
        <v>8</v>
      </c>
      <c r="G29" s="78"/>
    </row>
    <row r="30" customFormat="false" ht="15" hidden="false" customHeight="false" outlineLevel="0" collapsed="false">
      <c r="A30" s="6" t="s">
        <v>201</v>
      </c>
      <c r="B30" s="79" t="n">
        <f aca="false">INDEX(Monthly!$C$9:$BJ$9,B$27*12)</f>
        <v>2</v>
      </c>
      <c r="C30" s="79" t="n">
        <f aca="false">INDEX(Monthly!$C$9:$BJ$9,C$27*12)</f>
        <v>2</v>
      </c>
      <c r="D30" s="79" t="n">
        <f aca="false">INDEX(Monthly!$C$9:$BJ$9,D$27*12)</f>
        <v>2</v>
      </c>
      <c r="E30" s="79" t="n">
        <f aca="false">INDEX(Monthly!$C$9:$BJ$9,E$27*12)</f>
        <v>2</v>
      </c>
      <c r="F30" s="79" t="n">
        <f aca="false">INDEX(Monthly!$C$9:$BJ$9,F$27*12)</f>
        <v>2</v>
      </c>
      <c r="G30" s="78"/>
    </row>
    <row r="31" customFormat="false" ht="15" hidden="false" customHeight="false" outlineLevel="0" collapsed="false">
      <c r="A31" s="6" t="s">
        <v>202</v>
      </c>
      <c r="B31" s="80" t="n">
        <f aca="false">SUMIF(Monthly!$C$5:$BJ$5,B$27,Monthly!$C$11:$BJ$11)</f>
        <v>13824</v>
      </c>
      <c r="C31" s="80" t="n">
        <f aca="false">SUMIF(Monthly!$C$5:$BJ$5,C$27,Monthly!$C$11:$BJ$11)</f>
        <v>13824</v>
      </c>
      <c r="D31" s="80" t="n">
        <f aca="false">SUMIF(Monthly!$C$5:$BJ$5,D$27,Monthly!$C$11:$BJ$11)</f>
        <v>13824</v>
      </c>
      <c r="E31" s="80" t="n">
        <f aca="false">SUMIF(Monthly!$C$5:$BJ$5,E$27,Monthly!$C$11:$BJ$11)</f>
        <v>13824</v>
      </c>
      <c r="F31" s="80" t="n">
        <f aca="false">SUMIF(Monthly!$C$5:$BJ$5,F$27,Monthly!$C$11:$BJ$11)</f>
        <v>13824</v>
      </c>
      <c r="G31" s="81"/>
    </row>
    <row r="32" customFormat="false" ht="15" hidden="false" customHeight="false" outlineLevel="0" collapsed="false">
      <c r="A32" s="6" t="s">
        <v>203</v>
      </c>
      <c r="B32" s="80" t="n">
        <f aca="false">SUMIF(Monthly!$C$5:$BJ$5,B$27,Monthly!$C$13:$BJ$13)</f>
        <v>6220.8</v>
      </c>
      <c r="C32" s="80" t="n">
        <f aca="false">SUMIF(Monthly!$C$5:$BJ$5,C$27,Monthly!$C$13:$BJ$13)</f>
        <v>7603.2</v>
      </c>
      <c r="D32" s="80" t="n">
        <f aca="false">SUMIF(Monthly!$C$5:$BJ$5,D$27,Monthly!$C$13:$BJ$13)</f>
        <v>8985.6</v>
      </c>
      <c r="E32" s="80" t="n">
        <f aca="false">SUMIF(Monthly!$C$5:$BJ$5,E$27,Monthly!$C$13:$BJ$13)</f>
        <v>10368</v>
      </c>
      <c r="F32" s="80" t="n">
        <f aca="false">SUMIF(Monthly!$C$5:$BJ$5,F$27,Monthly!$C$13:$BJ$13)</f>
        <v>11059.2</v>
      </c>
      <c r="G32" s="81"/>
    </row>
    <row r="33" customFormat="false" ht="15" hidden="false" customHeight="false" outlineLevel="0" collapsed="false">
      <c r="A33" s="38" t="s">
        <v>204</v>
      </c>
      <c r="B33" s="82" t="n">
        <f aca="false">IF(B31=0,0,B32/B31)</f>
        <v>0.45</v>
      </c>
      <c r="C33" s="82" t="n">
        <f aca="false">IF(C31=0,0,C32/C31)</f>
        <v>0.55</v>
      </c>
      <c r="D33" s="82" t="n">
        <f aca="false">IF(D31=0,0,D32/D31)</f>
        <v>0.65</v>
      </c>
      <c r="E33" s="82" t="n">
        <f aca="false">IF(E31=0,0,E32/E31)</f>
        <v>0.75</v>
      </c>
      <c r="F33" s="82" t="n">
        <f aca="false">IF(F31=0,0,F32/F31)</f>
        <v>0.8</v>
      </c>
      <c r="G33" s="83"/>
    </row>
    <row r="34" customFormat="false" ht="15" hidden="false" customHeight="false" outlineLevel="0" collapsed="false">
      <c r="A34" s="4" t="s">
        <v>56</v>
      </c>
      <c r="B34" s="84" t="n">
        <f aca="false">SUMIF(Monthly!$C$5:$BJ$5,B$27,Monthly!$C$14:$BJ$14)</f>
        <v>6220.8</v>
      </c>
      <c r="C34" s="84" t="n">
        <f aca="false">SUMIF(Monthly!$C$5:$BJ$5,C$27,Monthly!$C$14:$BJ$14)</f>
        <v>7603.2</v>
      </c>
      <c r="D34" s="84" t="n">
        <f aca="false">SUMIF(Monthly!$C$5:$BJ$5,D$27,Monthly!$C$14:$BJ$14)</f>
        <v>8985.6</v>
      </c>
      <c r="E34" s="84" t="n">
        <f aca="false">SUMIF(Monthly!$C$5:$BJ$5,E$27,Monthly!$C$14:$BJ$14)</f>
        <v>10368</v>
      </c>
      <c r="F34" s="84" t="n">
        <f aca="false">SUMIF(Monthly!$C$5:$BJ$5,F$27,Monthly!$C$14:$BJ$14)</f>
        <v>11059.2</v>
      </c>
      <c r="G34" s="81"/>
    </row>
    <row r="35" customFormat="false" ht="15" hidden="false" customHeight="false" outlineLevel="0" collapsed="false">
      <c r="A35" s="4" t="s">
        <v>42</v>
      </c>
      <c r="B35" s="85" t="n">
        <f aca="false">SUMIF(Monthly!$C$5:$BJ$5,B$27,Monthly!$C$21:$BJ$21)</f>
        <v>479059.2</v>
      </c>
      <c r="C35" s="85" t="n">
        <f aca="false">SUMIF(Monthly!$C$5:$BJ$5,C$27,Monthly!$C$21:$BJ$21)</f>
        <v>598797.504</v>
      </c>
      <c r="D35" s="85" t="n">
        <f aca="false">SUMIF(Monthly!$C$5:$BJ$5,D$27,Monthly!$C$21:$BJ$21)</f>
        <v>725288.95296</v>
      </c>
      <c r="E35" s="85" t="n">
        <f aca="false">SUMIF(Monthly!$C$5:$BJ$5,E$27,Monthly!$C$21:$BJ$21)</f>
        <v>858830.971104</v>
      </c>
      <c r="F35" s="85" t="n">
        <f aca="false">SUMIF(Monthly!$C$5:$BJ$5,F$27,Monthly!$C$21:$BJ$21)</f>
        <v>942164.325258048</v>
      </c>
      <c r="G35" s="86"/>
    </row>
    <row r="36" customFormat="false" ht="15" hidden="false" customHeight="false" outlineLevel="0" collapsed="false">
      <c r="A36" s="6" t="s">
        <v>205</v>
      </c>
      <c r="B36" s="35" t="n">
        <f aca="false">SUMIF(Monthly!$C$5:$BJ$5,B$27,Monthly!$C$18:$BJ$18)</f>
        <v>423014.4</v>
      </c>
      <c r="C36" s="35" t="n">
        <f aca="false">SUMIF(Monthly!$C$5:$BJ$5,C$27,Monthly!$C$18:$BJ$18)</f>
        <v>532528.128</v>
      </c>
      <c r="D36" s="35" t="n">
        <f aca="false">SUMIF(Monthly!$C$5:$BJ$5,D$27,Monthly!$C$18:$BJ$18)</f>
        <v>648231.96672</v>
      </c>
      <c r="E36" s="35" t="n">
        <f aca="false">SUMIF(Monthly!$C$5:$BJ$5,E$27,Monthly!$C$18:$BJ$18)</f>
        <v>770398.760448</v>
      </c>
      <c r="F36" s="35" t="n">
        <f aca="false">SUMIF(Monthly!$C$5:$BJ$5,F$27,Monthly!$C$18:$BJ$18)</f>
        <v>846411.438145536</v>
      </c>
      <c r="G36" s="86"/>
    </row>
    <row r="37" customFormat="false" ht="15" hidden="false" customHeight="false" outlineLevel="0" collapsed="false">
      <c r="A37" s="6" t="s">
        <v>206</v>
      </c>
      <c r="B37" s="87" t="n">
        <f aca="false">IF(B34=0,0,B36/B34)</f>
        <v>68</v>
      </c>
      <c r="C37" s="87" t="n">
        <f aca="false">IF(C34=0,0,C36/C34)</f>
        <v>70.04</v>
      </c>
      <c r="D37" s="87" t="n">
        <f aca="false">IF(D34=0,0,D36/D34)</f>
        <v>72.1412</v>
      </c>
      <c r="E37" s="87" t="n">
        <f aca="false">IF(E34=0,0,E36/E34)</f>
        <v>74.305436</v>
      </c>
      <c r="F37" s="87" t="n">
        <f aca="false">IF(F34=0,0,F36/F34)</f>
        <v>76.53459908</v>
      </c>
      <c r="G37" s="88"/>
    </row>
    <row r="38" customFormat="false" ht="15" hidden="false" customHeight="false" outlineLevel="0" collapsed="false">
      <c r="A38" s="6" t="s">
        <v>207</v>
      </c>
      <c r="B38" s="35" t="n">
        <f aca="false">SUMIF(Monthly!$C$5:$BJ$5,B$27,Monthly!$C$19:$BJ$19)</f>
        <v>37324.8</v>
      </c>
      <c r="C38" s="35" t="n">
        <f aca="false">SUMIF(Monthly!$C$5:$BJ$5,C$27,Monthly!$C$19:$BJ$19)</f>
        <v>46987.776</v>
      </c>
      <c r="D38" s="35" t="n">
        <f aca="false">SUMIF(Monthly!$C$5:$BJ$5,D$27,Monthly!$C$19:$BJ$19)</f>
        <v>57196.93824</v>
      </c>
      <c r="E38" s="35" t="n">
        <f aca="false">SUMIF(Monthly!$C$5:$BJ$5,E$27,Monthly!$C$19:$BJ$19)</f>
        <v>67976.361216</v>
      </c>
      <c r="F38" s="35" t="n">
        <f aca="false">SUMIF(Monthly!$C$5:$BJ$5,F$27,Monthly!$C$19:$BJ$19)</f>
        <v>74683.362189312</v>
      </c>
      <c r="G38" s="86"/>
    </row>
    <row r="39" customFormat="false" ht="15" hidden="false" customHeight="false" outlineLevel="0" collapsed="false">
      <c r="A39" s="38" t="s">
        <v>208</v>
      </c>
      <c r="B39" s="82" t="n">
        <f aca="false">IF(B36=0,0,B38/B36)</f>
        <v>0.0882352941176471</v>
      </c>
      <c r="C39" s="82" t="n">
        <f aca="false">IF(C36=0,0,C38/C36)</f>
        <v>0.0882352941176471</v>
      </c>
      <c r="D39" s="82" t="n">
        <f aca="false">IF(D36=0,0,D38/D36)</f>
        <v>0.0882352941176471</v>
      </c>
      <c r="E39" s="82" t="n">
        <f aca="false">IF(E36=0,0,E38/E36)</f>
        <v>0.0882352941176471</v>
      </c>
      <c r="F39" s="82" t="n">
        <f aca="false">IF(F36=0,0,F38/F36)</f>
        <v>0.0882352941176471</v>
      </c>
      <c r="G39" s="83"/>
    </row>
    <row r="40" customFormat="false" ht="15" hidden="false" customHeight="false" outlineLevel="0" collapsed="false">
      <c r="A40" s="6" t="s">
        <v>209</v>
      </c>
      <c r="B40" s="35" t="n">
        <f aca="false">SUMIF(Monthly!$C$5:$BJ$5,B$27,Monthly!$C$20:$BJ$20)</f>
        <v>18720</v>
      </c>
      <c r="C40" s="35" t="n">
        <f aca="false">SUMIF(Monthly!$C$5:$BJ$5,C$27,Monthly!$C$20:$BJ$20)</f>
        <v>19281.6</v>
      </c>
      <c r="D40" s="35" t="n">
        <f aca="false">SUMIF(Monthly!$C$5:$BJ$5,D$27,Monthly!$C$20:$BJ$20)</f>
        <v>19860.048</v>
      </c>
      <c r="E40" s="35" t="n">
        <f aca="false">SUMIF(Monthly!$C$5:$BJ$5,E$27,Monthly!$C$20:$BJ$20)</f>
        <v>20455.84944</v>
      </c>
      <c r="F40" s="35" t="n">
        <f aca="false">SUMIF(Monthly!$C$5:$BJ$5,F$27,Monthly!$C$20:$BJ$20)</f>
        <v>21069.5249232</v>
      </c>
      <c r="G40" s="86"/>
    </row>
    <row r="41" customFormat="false" ht="15" hidden="false" customHeight="false" outlineLevel="0" collapsed="false">
      <c r="A41" s="6" t="s">
        <v>210</v>
      </c>
      <c r="B41" s="35" t="n">
        <f aca="false">IF(B29-B30=0,0,B36/(B29-B30))</f>
        <v>70502.4</v>
      </c>
      <c r="C41" s="35" t="n">
        <f aca="false">IF(C29-C30=0,0,C36/(C29-C30))</f>
        <v>88754.688</v>
      </c>
      <c r="D41" s="35" t="n">
        <f aca="false">IF(D29-D30=0,0,D36/(D29-D30))</f>
        <v>108038.66112</v>
      </c>
      <c r="E41" s="35" t="n">
        <f aca="false">IF(E29-E30=0,0,E36/(E29-E30))</f>
        <v>128399.793408</v>
      </c>
      <c r="F41" s="35" t="n">
        <f aca="false">IF(F29-F30=0,0,F36/(F29-F30))</f>
        <v>141068.573024256</v>
      </c>
      <c r="G41" s="86"/>
    </row>
    <row r="42" customFormat="false" ht="15" hidden="false" customHeight="false" outlineLevel="0" collapsed="false">
      <c r="A42" s="6" t="s">
        <v>211</v>
      </c>
      <c r="B42" s="87" t="n">
        <f aca="false">IF(B30=0,0,B40/B30/12)</f>
        <v>780</v>
      </c>
      <c r="C42" s="87" t="n">
        <f aca="false">IF(C30=0,0,C40/C30/12)</f>
        <v>803.4</v>
      </c>
      <c r="D42" s="87" t="n">
        <f aca="false">IF(D30=0,0,D40/D30/12)</f>
        <v>827.502</v>
      </c>
      <c r="E42" s="87" t="n">
        <f aca="false">IF(E30=0,0,E40/E30/12)</f>
        <v>852.32706</v>
      </c>
      <c r="F42" s="87" t="n">
        <f aca="false">IF(F30=0,0,F40/F30/12)</f>
        <v>877.8968718</v>
      </c>
      <c r="G42" s="88"/>
    </row>
    <row r="43" customFormat="false" ht="15" hidden="false" customHeight="false" outlineLevel="0" collapsed="false">
      <c r="A43" s="6" t="s">
        <v>43</v>
      </c>
      <c r="B43" s="35" t="n">
        <f aca="false">SUMIF(Monthly!$C$5:$BJ$5,B$27,Monthly!$C$29:$BJ$29)</f>
        <v>208964.5056</v>
      </c>
      <c r="C43" s="35" t="n">
        <f aca="false">SUMIF(Monthly!$C$5:$BJ$5,C$27,Monthly!$C$29:$BJ$29)</f>
        <v>258778.294272</v>
      </c>
      <c r="D43" s="35" t="n">
        <f aca="false">SUMIF(Monthly!$C$5:$BJ$5,D$27,Monthly!$C$29:$BJ$29)</f>
        <v>311392.84220928</v>
      </c>
      <c r="E43" s="35" t="n">
        <f aca="false">SUMIF(Monthly!$C$5:$BJ$5,E$27,Monthly!$C$29:$BJ$29)</f>
        <v>366931.362557952</v>
      </c>
      <c r="F43" s="35" t="n">
        <f aca="false">SUMIF(Monthly!$C$5:$BJ$5,F$27,Monthly!$C$29:$BJ$29)</f>
        <v>401730.622002123</v>
      </c>
      <c r="G43" s="86"/>
    </row>
    <row r="44" customFormat="false" ht="15" hidden="false" customHeight="false" outlineLevel="0" collapsed="false">
      <c r="A44" s="38" t="s">
        <v>44</v>
      </c>
      <c r="B44" s="82" t="n">
        <f aca="false">IF(B35=0,0,B43/B35)</f>
        <v>0.436197667428159</v>
      </c>
      <c r="C44" s="82" t="n">
        <f aca="false">IF(C35=0,0,C43/C35)</f>
        <v>0.432163281482215</v>
      </c>
      <c r="D44" s="82" t="n">
        <f aca="false">IF(D35=0,0,D43/D35)</f>
        <v>0.429336254107339</v>
      </c>
      <c r="E44" s="82" t="n">
        <f aca="false">IF(E35=0,0,E43/E35)</f>
        <v>0.427245144741664</v>
      </c>
      <c r="F44" s="82" t="n">
        <f aca="false">IF(F35=0,0,F43/F35)</f>
        <v>0.426391247505677</v>
      </c>
      <c r="G44" s="83"/>
    </row>
    <row r="45" customFormat="false" ht="15" hidden="false" customHeight="false" outlineLevel="0" collapsed="false">
      <c r="A45" s="6" t="s">
        <v>46</v>
      </c>
      <c r="B45" s="35" t="n">
        <f aca="false">SUMIF(Monthly!$C$5:$BJ$5,B$27,Monthly!$C$41:$BJ$41)</f>
        <v>-30755.4944000001</v>
      </c>
      <c r="C45" s="35" t="n">
        <f aca="false">SUMIF(Monthly!$C$5:$BJ$5,C$27,Monthly!$C$41:$BJ$41)</f>
        <v>16168.694272</v>
      </c>
      <c r="D45" s="35" t="n">
        <f aca="false">SUMIF(Monthly!$C$5:$BJ$5,D$27,Monthly!$C$41:$BJ$41)</f>
        <v>65806.9542092801</v>
      </c>
      <c r="E45" s="35" t="n">
        <f aca="false">SUMIF(Monthly!$C$5:$BJ$5,E$27,Monthly!$C$41:$BJ$41)</f>
        <v>118279.897917952</v>
      </c>
      <c r="F45" s="35" t="n">
        <f aca="false">SUMIF(Monthly!$C$5:$BJ$5,F$27,Monthly!$C$41:$BJ$41)</f>
        <v>149921.613422923</v>
      </c>
      <c r="G45" s="86"/>
    </row>
    <row r="46" customFormat="false" ht="15" hidden="false" customHeight="false" outlineLevel="0" collapsed="false">
      <c r="A46" s="38" t="s">
        <v>47</v>
      </c>
      <c r="B46" s="82" t="n">
        <f aca="false">IF(B35=0,0,B45/B35)</f>
        <v>-0.0641997782320015</v>
      </c>
      <c r="C46" s="82" t="n">
        <f aca="false">IF(C35=0,0,C45/C35)</f>
        <v>0.0270019399947265</v>
      </c>
      <c r="D46" s="82" t="n">
        <f aca="false">IF(D35=0,0,D45/D35)</f>
        <v>0.0907320509166908</v>
      </c>
      <c r="E46" s="82" t="n">
        <f aca="false">IF(E35=0,0,E45/E35)</f>
        <v>0.137721975449845</v>
      </c>
      <c r="F46" s="82" t="n">
        <f aca="false">IF(F35=0,0,F45/F35)</f>
        <v>0.159124697681438</v>
      </c>
      <c r="G46" s="83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212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213</v>
      </c>
    </row>
    <row r="5" customFormat="false" ht="15" hidden="false" customHeight="false" outlineLevel="0" collapsed="false">
      <c r="A5" s="33" t="s">
        <v>214</v>
      </c>
      <c r="B5" s="59" t="s">
        <v>215</v>
      </c>
      <c r="C5" s="59" t="s">
        <v>216</v>
      </c>
      <c r="D5" s="59" t="s">
        <v>217</v>
      </c>
      <c r="E5" s="59" t="s">
        <v>218</v>
      </c>
      <c r="F5" s="33" t="s">
        <v>219</v>
      </c>
      <c r="G5" s="33" t="s">
        <v>220</v>
      </c>
    </row>
    <row r="6" customFormat="false" ht="15.75" hidden="false" customHeight="true" outlineLevel="0" collapsed="false">
      <c r="A6" s="7" t="s">
        <v>221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222</v>
      </c>
      <c r="B7" s="89" t="n">
        <v>8</v>
      </c>
      <c r="C7" s="89" t="n">
        <v>8</v>
      </c>
      <c r="D7" s="89" t="n">
        <v>8</v>
      </c>
      <c r="E7" s="90" t="n">
        <f aca="false">CHOOSE(Dashboard!$B$4,B7,C7,D7)</f>
        <v>8</v>
      </c>
      <c r="F7" s="38" t="s">
        <v>223</v>
      </c>
      <c r="G7" s="91"/>
    </row>
    <row r="8" customFormat="false" ht="15" hidden="false" customHeight="false" outlineLevel="0" collapsed="false">
      <c r="A8" s="6" t="s">
        <v>224</v>
      </c>
      <c r="B8" s="89" t="n">
        <v>0</v>
      </c>
      <c r="C8" s="89" t="n">
        <v>0</v>
      </c>
      <c r="D8" s="89" t="n">
        <v>0</v>
      </c>
      <c r="E8" s="90" t="n">
        <f aca="false">CHOOSE(Dashboard!$B$4,B8,C8,D8)</f>
        <v>0</v>
      </c>
      <c r="F8" s="38" t="s">
        <v>223</v>
      </c>
      <c r="G8" s="91" t="s">
        <v>225</v>
      </c>
    </row>
    <row r="9" customFormat="false" ht="15" hidden="false" customHeight="false" outlineLevel="0" collapsed="false">
      <c r="A9" s="6" t="s">
        <v>226</v>
      </c>
      <c r="B9" s="89" t="n">
        <v>24</v>
      </c>
      <c r="C9" s="89" t="n">
        <v>24</v>
      </c>
      <c r="D9" s="89" t="n">
        <v>24</v>
      </c>
      <c r="E9" s="90" t="n">
        <f aca="false">CHOOSE(Dashboard!$B$4,B9,C9,D9)</f>
        <v>24</v>
      </c>
      <c r="F9" s="38" t="s">
        <v>227</v>
      </c>
      <c r="G9" s="91"/>
    </row>
    <row r="10" customFormat="false" ht="15" hidden="false" customHeight="false" outlineLevel="0" collapsed="false">
      <c r="A10" s="6" t="s">
        <v>228</v>
      </c>
      <c r="B10" s="92" t="n">
        <v>8</v>
      </c>
      <c r="C10" s="92" t="n">
        <v>8</v>
      </c>
      <c r="D10" s="92" t="n">
        <v>8</v>
      </c>
      <c r="E10" s="93" t="n">
        <f aca="false">CHOOSE(Dashboard!$B$4,B10,C10,D10)</f>
        <v>8</v>
      </c>
      <c r="F10" s="38" t="s">
        <v>229</v>
      </c>
      <c r="G10" s="91"/>
    </row>
    <row r="11" customFormat="false" ht="15" hidden="false" customHeight="false" outlineLevel="0" collapsed="false">
      <c r="A11" s="6" t="s">
        <v>230</v>
      </c>
      <c r="B11" s="94" t="n">
        <v>0.38</v>
      </c>
      <c r="C11" s="94" t="n">
        <v>0.45</v>
      </c>
      <c r="D11" s="94" t="n">
        <v>0.52</v>
      </c>
      <c r="E11" s="95" t="n">
        <f aca="false">CHOOSE(Dashboard!$B$4,B11,C11,D11)</f>
        <v>0.45</v>
      </c>
      <c r="F11" s="38" t="s">
        <v>231</v>
      </c>
      <c r="G11" s="91" t="s">
        <v>225</v>
      </c>
    </row>
    <row r="12" customFormat="false" ht="15" hidden="false" customHeight="false" outlineLevel="0" collapsed="false">
      <c r="A12" s="6" t="s">
        <v>232</v>
      </c>
      <c r="B12" s="94" t="n">
        <v>0.08</v>
      </c>
      <c r="C12" s="94" t="n">
        <v>0.1</v>
      </c>
      <c r="D12" s="94" t="n">
        <v>0.12</v>
      </c>
      <c r="E12" s="95" t="n">
        <f aca="false">CHOOSE(Dashboard!$B$4,B12,C12,D12)</f>
        <v>0.1</v>
      </c>
      <c r="F12" s="38" t="s">
        <v>231</v>
      </c>
      <c r="G12" s="91" t="s">
        <v>225</v>
      </c>
    </row>
    <row r="13" customFormat="false" ht="15" hidden="false" customHeight="false" outlineLevel="0" collapsed="false">
      <c r="A13" s="6" t="s">
        <v>233</v>
      </c>
      <c r="B13" s="94" t="n">
        <v>0.8</v>
      </c>
      <c r="C13" s="94" t="n">
        <v>0.8</v>
      </c>
      <c r="D13" s="94" t="n">
        <v>0.8</v>
      </c>
      <c r="E13" s="95" t="n">
        <f aca="false">CHOOSE(Dashboard!$B$4,B13,C13,D13)</f>
        <v>0.8</v>
      </c>
      <c r="F13" s="38" t="s">
        <v>231</v>
      </c>
      <c r="G13" s="91"/>
    </row>
    <row r="14" customFormat="false" ht="15" hidden="false" customHeight="false" outlineLevel="0" collapsed="false">
      <c r="A14" s="6" t="s">
        <v>234</v>
      </c>
      <c r="B14" s="92" t="n">
        <v>0.9</v>
      </c>
      <c r="C14" s="92" t="n">
        <v>1</v>
      </c>
      <c r="D14" s="92" t="n">
        <v>1.1</v>
      </c>
      <c r="E14" s="93" t="n">
        <f aca="false">CHOOSE(Dashboard!$B$4,B14,C14,D14)</f>
        <v>1</v>
      </c>
      <c r="F14" s="38" t="s">
        <v>223</v>
      </c>
      <c r="G14" s="91" t="s">
        <v>225</v>
      </c>
    </row>
    <row r="16" customFormat="false" ht="15.75" hidden="false" customHeight="true" outlineLevel="0" collapsed="false">
      <c r="A16" s="7" t="s">
        <v>235</v>
      </c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6" t="s">
        <v>236</v>
      </c>
      <c r="B17" s="96" t="n">
        <v>62</v>
      </c>
      <c r="C17" s="96" t="n">
        <v>68</v>
      </c>
      <c r="D17" s="96" t="n">
        <v>74</v>
      </c>
      <c r="E17" s="97" t="n">
        <f aca="false">CHOOSE(Dashboard!$B$4,B17,C17,D17)</f>
        <v>68</v>
      </c>
      <c r="F17" s="38" t="s">
        <v>237</v>
      </c>
      <c r="G17" s="91" t="s">
        <v>225</v>
      </c>
    </row>
    <row r="18" customFormat="false" ht="15" hidden="false" customHeight="false" outlineLevel="0" collapsed="false">
      <c r="A18" s="6" t="s">
        <v>238</v>
      </c>
      <c r="B18" s="94" t="n">
        <v>0.02</v>
      </c>
      <c r="C18" s="94" t="n">
        <v>0.03</v>
      </c>
      <c r="D18" s="94" t="n">
        <v>0.04</v>
      </c>
      <c r="E18" s="95" t="n">
        <f aca="false">CHOOSE(Dashboard!$B$4,B18,C18,D18)</f>
        <v>0.03</v>
      </c>
      <c r="F18" s="38" t="s">
        <v>231</v>
      </c>
      <c r="G18" s="91" t="s">
        <v>225</v>
      </c>
    </row>
    <row r="20" customFormat="false" ht="15.75" hidden="false" customHeight="true" outlineLevel="0" collapsed="false">
      <c r="A20" s="7" t="s">
        <v>239</v>
      </c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A21" s="6" t="s">
        <v>240</v>
      </c>
      <c r="B21" s="94" t="n">
        <v>0.15</v>
      </c>
      <c r="C21" s="94" t="n">
        <v>0.2</v>
      </c>
      <c r="D21" s="94" t="n">
        <v>0.25</v>
      </c>
      <c r="E21" s="95" t="n">
        <f aca="false">CHOOSE(Dashboard!$B$4,B21,C21,D21)</f>
        <v>0.2</v>
      </c>
      <c r="F21" s="38" t="s">
        <v>231</v>
      </c>
      <c r="G21" s="91" t="s">
        <v>225</v>
      </c>
    </row>
    <row r="22" customFormat="false" ht="15" hidden="false" customHeight="false" outlineLevel="0" collapsed="false">
      <c r="A22" s="6" t="s">
        <v>241</v>
      </c>
      <c r="B22" s="96" t="n">
        <v>26</v>
      </c>
      <c r="C22" s="96" t="n">
        <v>30</v>
      </c>
      <c r="D22" s="96" t="n">
        <v>34</v>
      </c>
      <c r="E22" s="97" t="n">
        <f aca="false">CHOOSE(Dashboard!$B$4,B22,C22,D22)</f>
        <v>30</v>
      </c>
      <c r="F22" s="38" t="s">
        <v>237</v>
      </c>
      <c r="G22" s="91" t="s">
        <v>225</v>
      </c>
    </row>
    <row r="24" customFormat="false" ht="15.75" hidden="false" customHeight="true" outlineLevel="0" collapsed="false">
      <c r="A24" s="7" t="s">
        <v>242</v>
      </c>
      <c r="B24" s="7"/>
      <c r="C24" s="7"/>
      <c r="D24" s="7"/>
      <c r="E24" s="7"/>
      <c r="F24" s="7"/>
      <c r="G24" s="7"/>
    </row>
    <row r="25" customFormat="false" ht="15" hidden="false" customHeight="false" outlineLevel="0" collapsed="false">
      <c r="A25" s="6" t="s">
        <v>201</v>
      </c>
      <c r="B25" s="94" t="n">
        <v>0.25</v>
      </c>
      <c r="C25" s="94" t="n">
        <v>0.25</v>
      </c>
      <c r="D25" s="94" t="n">
        <v>0.25</v>
      </c>
      <c r="E25" s="95" t="n">
        <f aca="false">CHOOSE(Dashboard!$B$4,B25,C25,D25)</f>
        <v>0.25</v>
      </c>
      <c r="F25" s="38" t="s">
        <v>231</v>
      </c>
      <c r="G25" s="91"/>
    </row>
    <row r="26" customFormat="false" ht="15" hidden="false" customHeight="false" outlineLevel="0" collapsed="false">
      <c r="A26" s="6" t="s">
        <v>243</v>
      </c>
      <c r="B26" s="96" t="n">
        <v>180</v>
      </c>
      <c r="C26" s="96" t="n">
        <v>200</v>
      </c>
      <c r="D26" s="96" t="n">
        <v>220</v>
      </c>
      <c r="E26" s="97" t="n">
        <f aca="false">CHOOSE(Dashboard!$B$4,B26,C26,D26)</f>
        <v>200</v>
      </c>
      <c r="F26" s="38" t="s">
        <v>237</v>
      </c>
      <c r="G26" s="91" t="s">
        <v>225</v>
      </c>
    </row>
    <row r="27" customFormat="false" ht="15" hidden="false" customHeight="false" outlineLevel="0" collapsed="false">
      <c r="A27" s="6" t="s">
        <v>244</v>
      </c>
      <c r="B27" s="94" t="n">
        <v>0.85</v>
      </c>
      <c r="C27" s="94" t="n">
        <v>0.9</v>
      </c>
      <c r="D27" s="94" t="n">
        <v>0.95</v>
      </c>
      <c r="E27" s="95" t="n">
        <f aca="false">CHOOSE(Dashboard!$B$4,B27,C27,D27)</f>
        <v>0.9</v>
      </c>
      <c r="F27" s="38" t="s">
        <v>231</v>
      </c>
      <c r="G27" s="91" t="s">
        <v>225</v>
      </c>
    </row>
    <row r="29" customFormat="false" ht="15.75" hidden="false" customHeight="true" outlineLevel="0" collapsed="false">
      <c r="A29" s="7" t="s">
        <v>73</v>
      </c>
      <c r="B29" s="7"/>
      <c r="C29" s="7"/>
      <c r="D29" s="7"/>
      <c r="E29" s="7"/>
      <c r="F29" s="7"/>
      <c r="G29" s="7"/>
    </row>
    <row r="30" customFormat="false" ht="15" hidden="false" customHeight="false" outlineLevel="0" collapsed="false">
      <c r="A30" s="6" t="s">
        <v>245</v>
      </c>
      <c r="B30" s="94" t="n">
        <v>0.48</v>
      </c>
      <c r="C30" s="94" t="n">
        <v>0.45</v>
      </c>
      <c r="D30" s="94" t="n">
        <v>0.42</v>
      </c>
      <c r="E30" s="95" t="n">
        <f aca="false">CHOOSE(Dashboard!$B$4,B30,C30,D30)</f>
        <v>0.45</v>
      </c>
      <c r="F30" s="38" t="s">
        <v>231</v>
      </c>
      <c r="G30" s="91" t="s">
        <v>246</v>
      </c>
    </row>
    <row r="31" customFormat="false" ht="15" hidden="false" customHeight="false" outlineLevel="0" collapsed="false">
      <c r="A31" s="6" t="s">
        <v>247</v>
      </c>
      <c r="B31" s="94" t="n">
        <v>0.55</v>
      </c>
      <c r="C31" s="94" t="n">
        <v>0.5</v>
      </c>
      <c r="D31" s="94" t="n">
        <v>0.45</v>
      </c>
      <c r="E31" s="95" t="n">
        <f aca="false">CHOOSE(Dashboard!$B$4,B31,C31,D31)</f>
        <v>0.5</v>
      </c>
      <c r="F31" s="38" t="s">
        <v>231</v>
      </c>
      <c r="G31" s="91" t="s">
        <v>246</v>
      </c>
    </row>
    <row r="32" customFormat="false" ht="15" hidden="false" customHeight="false" outlineLevel="0" collapsed="false">
      <c r="A32" s="6" t="s">
        <v>248</v>
      </c>
      <c r="B32" s="96" t="n">
        <v>4.5</v>
      </c>
      <c r="C32" s="96" t="n">
        <v>4</v>
      </c>
      <c r="D32" s="96" t="n">
        <v>3.5</v>
      </c>
      <c r="E32" s="97" t="n">
        <f aca="false">CHOOSE(Dashboard!$B$4,B32,C32,D32)</f>
        <v>4</v>
      </c>
      <c r="F32" s="38" t="s">
        <v>237</v>
      </c>
      <c r="G32" s="91" t="s">
        <v>246</v>
      </c>
    </row>
    <row r="33" customFormat="false" ht="15" hidden="false" customHeight="false" outlineLevel="0" collapsed="false">
      <c r="A33" s="6" t="s">
        <v>249</v>
      </c>
      <c r="B33" s="94" t="n">
        <v>0.031</v>
      </c>
      <c r="C33" s="94" t="n">
        <v>0.029</v>
      </c>
      <c r="D33" s="94" t="n">
        <v>0.027</v>
      </c>
      <c r="E33" s="95" t="n">
        <f aca="false">CHOOSE(Dashboard!$B$4,B33,C33,D33)</f>
        <v>0.029</v>
      </c>
      <c r="F33" s="38" t="s">
        <v>231</v>
      </c>
      <c r="G33" s="91" t="s">
        <v>246</v>
      </c>
    </row>
    <row r="35" customFormat="false" ht="15.75" hidden="false" customHeight="true" outlineLevel="0" collapsed="false">
      <c r="A35" s="7" t="s">
        <v>250</v>
      </c>
      <c r="B35" s="7"/>
      <c r="C35" s="7"/>
      <c r="D35" s="7"/>
      <c r="E35" s="7"/>
      <c r="F35" s="7"/>
      <c r="G35" s="7"/>
    </row>
    <row r="36" customFormat="false" ht="15" hidden="false" customHeight="false" outlineLevel="0" collapsed="false">
      <c r="A36" s="6" t="s">
        <v>251</v>
      </c>
      <c r="B36" s="98" t="n">
        <v>2500</v>
      </c>
      <c r="C36" s="98" t="n">
        <v>2500</v>
      </c>
      <c r="D36" s="98" t="n">
        <v>2500</v>
      </c>
      <c r="E36" s="99" t="n">
        <f aca="false">CHOOSE(Dashboard!$B$4,B36,C36,D36)</f>
        <v>2500</v>
      </c>
      <c r="F36" s="38" t="s">
        <v>237</v>
      </c>
      <c r="G36" s="91"/>
    </row>
    <row r="37" customFormat="false" ht="15" hidden="false" customHeight="false" outlineLevel="0" collapsed="false">
      <c r="A37" s="6" t="s">
        <v>252</v>
      </c>
      <c r="B37" s="94" t="n">
        <v>-0.1</v>
      </c>
      <c r="C37" s="94" t="n">
        <v>0</v>
      </c>
      <c r="D37" s="94" t="n">
        <v>0.1</v>
      </c>
      <c r="E37" s="95" t="n">
        <f aca="false">CHOOSE(Dashboard!$B$4,B37,C37,D37)</f>
        <v>0</v>
      </c>
      <c r="F37" s="38" t="s">
        <v>231</v>
      </c>
      <c r="G37" s="91" t="s">
        <v>225</v>
      </c>
    </row>
    <row r="38" customFormat="false" ht="15" hidden="false" customHeight="false" outlineLevel="0" collapsed="false">
      <c r="A38" s="6" t="s">
        <v>253</v>
      </c>
      <c r="B38" s="98" t="n">
        <v>6500</v>
      </c>
      <c r="C38" s="98" t="n">
        <v>6500</v>
      </c>
      <c r="D38" s="98" t="n">
        <v>6500</v>
      </c>
      <c r="E38" s="99" t="n">
        <f aca="false">CHOOSE(Dashboard!$B$4,B38,C38,D38)</f>
        <v>6500</v>
      </c>
      <c r="F38" s="38" t="s">
        <v>237</v>
      </c>
      <c r="G38" s="91"/>
    </row>
    <row r="39" customFormat="false" ht="15" hidden="false" customHeight="false" outlineLevel="0" collapsed="false">
      <c r="A39" s="6" t="s">
        <v>254</v>
      </c>
      <c r="B39" s="98" t="n">
        <v>900</v>
      </c>
      <c r="C39" s="98" t="n">
        <v>900</v>
      </c>
      <c r="D39" s="98" t="n">
        <v>900</v>
      </c>
      <c r="E39" s="99" t="n">
        <f aca="false">CHOOSE(Dashboard!$B$4,B39,C39,D39)</f>
        <v>900</v>
      </c>
      <c r="F39" s="38" t="s">
        <v>237</v>
      </c>
      <c r="G39" s="91"/>
    </row>
    <row r="40" customFormat="false" ht="15" hidden="false" customHeight="false" outlineLevel="0" collapsed="false">
      <c r="A40" s="6" t="s">
        <v>255</v>
      </c>
      <c r="B40" s="98" t="n">
        <v>250</v>
      </c>
      <c r="C40" s="98" t="n">
        <v>250</v>
      </c>
      <c r="D40" s="98" t="n">
        <v>250</v>
      </c>
      <c r="E40" s="99" t="n">
        <f aca="false">CHOOSE(Dashboard!$B$4,B40,C40,D40)</f>
        <v>250</v>
      </c>
      <c r="F40" s="38" t="s">
        <v>237</v>
      </c>
      <c r="G40" s="91"/>
    </row>
    <row r="41" customFormat="false" ht="15" hidden="false" customHeight="false" outlineLevel="0" collapsed="false">
      <c r="A41" s="6" t="s">
        <v>256</v>
      </c>
      <c r="B41" s="98" t="n">
        <v>650</v>
      </c>
      <c r="C41" s="98" t="n">
        <v>650</v>
      </c>
      <c r="D41" s="98" t="n">
        <v>650</v>
      </c>
      <c r="E41" s="99" t="n">
        <f aca="false">CHOOSE(Dashboard!$B$4,B41,C41,D41)</f>
        <v>650</v>
      </c>
      <c r="F41" s="38" t="s">
        <v>237</v>
      </c>
      <c r="G41" s="91"/>
    </row>
    <row r="42" customFormat="false" ht="15" hidden="false" customHeight="false" outlineLevel="0" collapsed="false">
      <c r="A42" s="6" t="s">
        <v>257</v>
      </c>
      <c r="B42" s="98" t="n">
        <v>450</v>
      </c>
      <c r="C42" s="98" t="n">
        <v>450</v>
      </c>
      <c r="D42" s="98" t="n">
        <v>450</v>
      </c>
      <c r="E42" s="99" t="n">
        <f aca="false">CHOOSE(Dashboard!$B$4,B42,C42,D42)</f>
        <v>450</v>
      </c>
      <c r="F42" s="38" t="s">
        <v>237</v>
      </c>
      <c r="G42" s="91"/>
    </row>
    <row r="43" customFormat="false" ht="15" hidden="false" customHeight="false" outlineLevel="0" collapsed="false">
      <c r="A43" s="6" t="s">
        <v>258</v>
      </c>
      <c r="B43" s="98" t="n">
        <v>700</v>
      </c>
      <c r="C43" s="98" t="n">
        <v>700</v>
      </c>
      <c r="D43" s="98" t="n">
        <v>700</v>
      </c>
      <c r="E43" s="99" t="n">
        <f aca="false">CHOOSE(Dashboard!$B$4,B43,C43,D43)</f>
        <v>700</v>
      </c>
      <c r="F43" s="38" t="s">
        <v>237</v>
      </c>
      <c r="G43" s="91"/>
    </row>
    <row r="45" customFormat="false" ht="15.75" hidden="false" customHeight="true" outlineLevel="0" collapsed="false">
      <c r="A45" s="7" t="s">
        <v>259</v>
      </c>
      <c r="B45" s="7"/>
      <c r="C45" s="7"/>
      <c r="D45" s="7"/>
      <c r="E45" s="7"/>
      <c r="F45" s="7"/>
      <c r="G45" s="7"/>
    </row>
    <row r="46" customFormat="false" ht="15" hidden="false" customHeight="false" outlineLevel="0" collapsed="false">
      <c r="A46" s="6" t="s">
        <v>260</v>
      </c>
      <c r="B46" s="98" t="n">
        <v>95000</v>
      </c>
      <c r="C46" s="98" t="n">
        <v>95000</v>
      </c>
      <c r="D46" s="98" t="n">
        <v>95000</v>
      </c>
      <c r="E46" s="99" t="n">
        <f aca="false">CHOOSE(Dashboard!$B$4,B46,C46,D46)</f>
        <v>95000</v>
      </c>
      <c r="F46" s="38" t="s">
        <v>237</v>
      </c>
      <c r="G46" s="91"/>
    </row>
    <row r="47" customFormat="false" ht="15" hidden="false" customHeight="false" outlineLevel="0" collapsed="false">
      <c r="A47" s="6" t="s">
        <v>261</v>
      </c>
      <c r="B47" s="98" t="n">
        <v>3200</v>
      </c>
      <c r="C47" s="98" t="n">
        <v>3200</v>
      </c>
      <c r="D47" s="98" t="n">
        <v>3200</v>
      </c>
      <c r="E47" s="99" t="n">
        <f aca="false">CHOOSE(Dashboard!$B$4,B47,C47,D47)</f>
        <v>3200</v>
      </c>
      <c r="F47" s="38" t="s">
        <v>237</v>
      </c>
      <c r="G47" s="91"/>
    </row>
    <row r="48" customFormat="false" ht="15" hidden="false" customHeight="false" outlineLevel="0" collapsed="false">
      <c r="A48" s="6" t="s">
        <v>262</v>
      </c>
      <c r="B48" s="89" t="n">
        <v>0</v>
      </c>
      <c r="C48" s="89" t="n">
        <v>0</v>
      </c>
      <c r="D48" s="89" t="n">
        <v>0</v>
      </c>
      <c r="E48" s="90" t="n">
        <f aca="false">CHOOSE(Dashboard!$B$4,B48,C48,D48)</f>
        <v>0</v>
      </c>
      <c r="F48" s="38" t="s">
        <v>223</v>
      </c>
      <c r="G48" s="91"/>
    </row>
    <row r="49" customFormat="false" ht="15" hidden="false" customHeight="false" outlineLevel="0" collapsed="false">
      <c r="A49" s="6" t="s">
        <v>263</v>
      </c>
      <c r="B49" s="89" t="n">
        <v>2</v>
      </c>
      <c r="C49" s="89" t="n">
        <v>2</v>
      </c>
      <c r="D49" s="89" t="n">
        <v>2</v>
      </c>
      <c r="E49" s="90" t="n">
        <f aca="false">CHOOSE(Dashboard!$B$4,B49,C49,D49)</f>
        <v>2</v>
      </c>
      <c r="F49" s="38" t="s">
        <v>223</v>
      </c>
      <c r="G49" s="91"/>
    </row>
    <row r="50" customFormat="false" ht="15" hidden="false" customHeight="false" outlineLevel="0" collapsed="false">
      <c r="A50" s="6" t="s">
        <v>264</v>
      </c>
      <c r="B50" s="98" t="n">
        <v>3400</v>
      </c>
      <c r="C50" s="98" t="n">
        <v>3400</v>
      </c>
      <c r="D50" s="98" t="n">
        <v>3400</v>
      </c>
      <c r="E50" s="99" t="n">
        <f aca="false">CHOOSE(Dashboard!$B$4,B50,C50,D50)</f>
        <v>3400</v>
      </c>
      <c r="F50" s="38" t="s">
        <v>237</v>
      </c>
      <c r="G50" s="91"/>
    </row>
    <row r="52" customFormat="false" ht="15.75" hidden="false" customHeight="true" outlineLevel="0" collapsed="false">
      <c r="A52" s="7" t="s">
        <v>265</v>
      </c>
      <c r="B52" s="7"/>
      <c r="C52" s="7"/>
      <c r="D52" s="7"/>
      <c r="E52" s="7"/>
      <c r="F52" s="7"/>
      <c r="G52" s="7"/>
    </row>
    <row r="53" customFormat="false" ht="15" hidden="false" customHeight="false" outlineLevel="0" collapsed="false">
      <c r="A53" s="6" t="s">
        <v>266</v>
      </c>
      <c r="B53" s="92" t="n">
        <v>0.5</v>
      </c>
      <c r="C53" s="92" t="n">
        <v>0.5</v>
      </c>
      <c r="D53" s="92" t="n">
        <v>0.5</v>
      </c>
      <c r="E53" s="93" t="n">
        <f aca="false">CHOOSE(Dashboard!$B$4,B53,C53,D53)</f>
        <v>0.5</v>
      </c>
      <c r="F53" s="38" t="s">
        <v>267</v>
      </c>
      <c r="G53" s="91" t="s">
        <v>225</v>
      </c>
    </row>
    <row r="54" customFormat="false" ht="15" hidden="false" customHeight="false" outlineLevel="0" collapsed="false">
      <c r="A54" s="6" t="s">
        <v>268</v>
      </c>
      <c r="B54" s="98" t="n">
        <v>48000</v>
      </c>
      <c r="C54" s="98" t="n">
        <v>48000</v>
      </c>
      <c r="D54" s="98" t="n">
        <v>48000</v>
      </c>
      <c r="E54" s="99" t="n">
        <f aca="false">CHOOSE(Dashboard!$B$4,B54,C54,D54)</f>
        <v>48000</v>
      </c>
      <c r="F54" s="38" t="s">
        <v>237</v>
      </c>
      <c r="G54" s="91"/>
    </row>
    <row r="55" customFormat="false" ht="15" hidden="false" customHeight="false" outlineLevel="0" collapsed="false">
      <c r="A55" s="6" t="s">
        <v>269</v>
      </c>
      <c r="B55" s="94" t="n">
        <v>0</v>
      </c>
      <c r="C55" s="94" t="n">
        <v>0</v>
      </c>
      <c r="D55" s="94" t="n">
        <v>0</v>
      </c>
      <c r="E55" s="95" t="n">
        <f aca="false">CHOOSE(Dashboard!$B$4,B55,C55,D55)</f>
        <v>0</v>
      </c>
      <c r="F55" s="38" t="s">
        <v>231</v>
      </c>
      <c r="G55" s="91" t="s">
        <v>225</v>
      </c>
    </row>
    <row r="56" customFormat="false" ht="15" hidden="false" customHeight="false" outlineLevel="0" collapsed="false">
      <c r="A56" s="6" t="s">
        <v>270</v>
      </c>
      <c r="B56" s="89" t="n">
        <v>1</v>
      </c>
      <c r="C56" s="89" t="n">
        <v>1</v>
      </c>
      <c r="D56" s="89" t="n">
        <v>1</v>
      </c>
      <c r="E56" s="90" t="n">
        <f aca="false">CHOOSE(Dashboard!$B$4,B56,C56,D56)</f>
        <v>1</v>
      </c>
      <c r="F56" s="38" t="s">
        <v>271</v>
      </c>
      <c r="G56" s="91"/>
    </row>
    <row r="57" customFormat="false" ht="15" hidden="false" customHeight="false" outlineLevel="0" collapsed="false">
      <c r="A57" s="6" t="s">
        <v>272</v>
      </c>
      <c r="B57" s="92" t="n">
        <v>1</v>
      </c>
      <c r="C57" s="92" t="n">
        <v>1</v>
      </c>
      <c r="D57" s="92" t="n">
        <v>1</v>
      </c>
      <c r="E57" s="93" t="n">
        <f aca="false">CHOOSE(Dashboard!$B$4,B57,C57,D57)</f>
        <v>1</v>
      </c>
      <c r="F57" s="38" t="s">
        <v>267</v>
      </c>
      <c r="G57" s="91" t="s">
        <v>225</v>
      </c>
    </row>
    <row r="58" customFormat="false" ht="15" hidden="false" customHeight="false" outlineLevel="0" collapsed="false">
      <c r="A58" s="6" t="s">
        <v>273</v>
      </c>
      <c r="B58" s="98" t="n">
        <v>33000</v>
      </c>
      <c r="C58" s="98" t="n">
        <v>33000</v>
      </c>
      <c r="D58" s="98" t="n">
        <v>33000</v>
      </c>
      <c r="E58" s="99" t="n">
        <f aca="false">CHOOSE(Dashboard!$B$4,B58,C58,D58)</f>
        <v>33000</v>
      </c>
      <c r="F58" s="38" t="s">
        <v>237</v>
      </c>
      <c r="G58" s="91"/>
    </row>
    <row r="59" customFormat="false" ht="15" hidden="false" customHeight="false" outlineLevel="0" collapsed="false">
      <c r="A59" s="6" t="s">
        <v>274</v>
      </c>
      <c r="B59" s="94" t="n">
        <v>0</v>
      </c>
      <c r="C59" s="94" t="n">
        <v>0</v>
      </c>
      <c r="D59" s="94" t="n">
        <v>0</v>
      </c>
      <c r="E59" s="95" t="n">
        <f aca="false">CHOOSE(Dashboard!$B$4,B59,C59,D59)</f>
        <v>0</v>
      </c>
      <c r="F59" s="38" t="s">
        <v>231</v>
      </c>
      <c r="G59" s="91" t="s">
        <v>225</v>
      </c>
    </row>
    <row r="60" customFormat="false" ht="15" hidden="false" customHeight="false" outlineLevel="0" collapsed="false">
      <c r="A60" s="6" t="s">
        <v>275</v>
      </c>
      <c r="B60" s="89" t="n">
        <v>1</v>
      </c>
      <c r="C60" s="89" t="n">
        <v>1</v>
      </c>
      <c r="D60" s="89" t="n">
        <v>1</v>
      </c>
      <c r="E60" s="90" t="n">
        <f aca="false">CHOOSE(Dashboard!$B$4,B60,C60,D60)</f>
        <v>1</v>
      </c>
      <c r="F60" s="38" t="s">
        <v>271</v>
      </c>
      <c r="G60" s="91"/>
    </row>
    <row r="61" customFormat="false" ht="15" hidden="false" customHeight="false" outlineLevel="0" collapsed="false">
      <c r="A61" s="6" t="s">
        <v>276</v>
      </c>
      <c r="B61" s="92" t="n">
        <v>1</v>
      </c>
      <c r="C61" s="92" t="n">
        <v>1</v>
      </c>
      <c r="D61" s="92" t="n">
        <v>1</v>
      </c>
      <c r="E61" s="93" t="n">
        <f aca="false">CHOOSE(Dashboard!$B$4,B61,C61,D61)</f>
        <v>1</v>
      </c>
      <c r="F61" s="38" t="s">
        <v>267</v>
      </c>
      <c r="G61" s="91" t="s">
        <v>225</v>
      </c>
    </row>
    <row r="62" customFormat="false" ht="15" hidden="false" customHeight="false" outlineLevel="0" collapsed="false">
      <c r="A62" s="6" t="s">
        <v>277</v>
      </c>
      <c r="B62" s="98" t="n">
        <v>29000</v>
      </c>
      <c r="C62" s="98" t="n">
        <v>29000</v>
      </c>
      <c r="D62" s="98" t="n">
        <v>29000</v>
      </c>
      <c r="E62" s="99" t="n">
        <f aca="false">CHOOSE(Dashboard!$B$4,B62,C62,D62)</f>
        <v>29000</v>
      </c>
      <c r="F62" s="38" t="s">
        <v>237</v>
      </c>
      <c r="G62" s="91"/>
    </row>
    <row r="63" customFormat="false" ht="15" hidden="false" customHeight="false" outlineLevel="0" collapsed="false">
      <c r="A63" s="6" t="s">
        <v>278</v>
      </c>
      <c r="B63" s="94" t="n">
        <v>0</v>
      </c>
      <c r="C63" s="94" t="n">
        <v>0</v>
      </c>
      <c r="D63" s="94" t="n">
        <v>0</v>
      </c>
      <c r="E63" s="95" t="n">
        <f aca="false">CHOOSE(Dashboard!$B$4,B63,C63,D63)</f>
        <v>0</v>
      </c>
      <c r="F63" s="38" t="s">
        <v>231</v>
      </c>
      <c r="G63" s="91" t="s">
        <v>225</v>
      </c>
    </row>
    <row r="64" customFormat="false" ht="15" hidden="false" customHeight="false" outlineLevel="0" collapsed="false">
      <c r="A64" s="6" t="s">
        <v>279</v>
      </c>
      <c r="B64" s="89" t="n">
        <v>1</v>
      </c>
      <c r="C64" s="89" t="n">
        <v>1</v>
      </c>
      <c r="D64" s="89" t="n">
        <v>1</v>
      </c>
      <c r="E64" s="90" t="n">
        <f aca="false">CHOOSE(Dashboard!$B$4,B64,C64,D64)</f>
        <v>1</v>
      </c>
      <c r="F64" s="38" t="s">
        <v>271</v>
      </c>
      <c r="G64" s="91"/>
    </row>
    <row r="65" customFormat="false" ht="15" hidden="false" customHeight="false" outlineLevel="0" collapsed="false">
      <c r="A65" s="6" t="s">
        <v>280</v>
      </c>
      <c r="B65" s="94" t="n">
        <v>0.12</v>
      </c>
      <c r="C65" s="94" t="n">
        <v>0.12</v>
      </c>
      <c r="D65" s="94" t="n">
        <v>0.12</v>
      </c>
      <c r="E65" s="95" t="n">
        <f aca="false">CHOOSE(Dashboard!$B$4,B65,C65,D65)</f>
        <v>0.12</v>
      </c>
      <c r="F65" s="38" t="s">
        <v>231</v>
      </c>
      <c r="G65" s="91"/>
    </row>
    <row r="66" customFormat="false" ht="15" hidden="false" customHeight="false" outlineLevel="0" collapsed="false">
      <c r="A66" s="6" t="s">
        <v>281</v>
      </c>
      <c r="B66" s="94" t="n">
        <v>0.03</v>
      </c>
      <c r="C66" s="94" t="n">
        <v>0.03</v>
      </c>
      <c r="D66" s="94" t="n">
        <v>0.03</v>
      </c>
      <c r="E66" s="95" t="n">
        <f aca="false">CHOOSE(Dashboard!$B$4,B66,C66,D66)</f>
        <v>0.03</v>
      </c>
      <c r="F66" s="38" t="s">
        <v>231</v>
      </c>
      <c r="G66" s="91"/>
    </row>
    <row r="68" customFormat="false" ht="15.75" hidden="false" customHeight="true" outlineLevel="0" collapsed="false">
      <c r="A68" s="7" t="s">
        <v>282</v>
      </c>
      <c r="B68" s="7"/>
      <c r="C68" s="7"/>
      <c r="D68" s="7"/>
      <c r="E68" s="7"/>
      <c r="F68" s="7"/>
      <c r="G68" s="7"/>
    </row>
    <row r="69" customFormat="false" ht="15" hidden="false" customHeight="false" outlineLevel="0" collapsed="false">
      <c r="A69" s="6" t="s">
        <v>283</v>
      </c>
      <c r="B69" s="98" t="n">
        <v>150000</v>
      </c>
      <c r="C69" s="98" t="n">
        <v>150000</v>
      </c>
      <c r="D69" s="98" t="n">
        <v>150000</v>
      </c>
      <c r="E69" s="99" t="n">
        <f aca="false">CHOOSE(Dashboard!$B$4,B69,C69,D69)</f>
        <v>150000</v>
      </c>
      <c r="F69" s="38" t="s">
        <v>237</v>
      </c>
      <c r="G69" s="91"/>
    </row>
    <row r="70" customFormat="false" ht="15" hidden="false" customHeight="false" outlineLevel="0" collapsed="false">
      <c r="A70" s="6" t="s">
        <v>284</v>
      </c>
      <c r="B70" s="98" t="n">
        <v>70000</v>
      </c>
      <c r="C70" s="98" t="n">
        <v>70000</v>
      </c>
      <c r="D70" s="98" t="n">
        <v>70000</v>
      </c>
      <c r="E70" s="99" t="n">
        <f aca="false">CHOOSE(Dashboard!$B$4,B70,C70,D70)</f>
        <v>70000</v>
      </c>
      <c r="F70" s="38" t="s">
        <v>237</v>
      </c>
      <c r="G70" s="91"/>
    </row>
    <row r="71" customFormat="false" ht="15" hidden="false" customHeight="false" outlineLevel="0" collapsed="false">
      <c r="A71" s="6" t="s">
        <v>285</v>
      </c>
      <c r="B71" s="94" t="n">
        <v>0.08</v>
      </c>
      <c r="C71" s="94" t="n">
        <v>0.08</v>
      </c>
      <c r="D71" s="94" t="n">
        <v>0.08</v>
      </c>
      <c r="E71" s="95" t="n">
        <f aca="false">CHOOSE(Dashboard!$B$4,B71,C71,D71)</f>
        <v>0.08</v>
      </c>
      <c r="F71" s="38" t="s">
        <v>231</v>
      </c>
      <c r="G71" s="91"/>
    </row>
    <row r="72" customFormat="false" ht="15" hidden="false" customHeight="false" outlineLevel="0" collapsed="false">
      <c r="A72" s="6" t="s">
        <v>286</v>
      </c>
      <c r="B72" s="89" t="n">
        <v>5</v>
      </c>
      <c r="C72" s="89" t="n">
        <v>5</v>
      </c>
      <c r="D72" s="89" t="n">
        <v>5</v>
      </c>
      <c r="E72" s="90" t="n">
        <f aca="false">CHOOSE(Dashboard!$B$4,B72,C72,D72)</f>
        <v>5</v>
      </c>
      <c r="F72" s="38" t="s">
        <v>287</v>
      </c>
      <c r="G72" s="91"/>
    </row>
    <row r="74" customFormat="false" ht="15.75" hidden="false" customHeight="true" outlineLevel="0" collapsed="false">
      <c r="A74" s="7" t="s">
        <v>288</v>
      </c>
      <c r="B74" s="7"/>
      <c r="C74" s="7"/>
      <c r="D74" s="7"/>
      <c r="E74" s="7"/>
      <c r="F74" s="7"/>
      <c r="G74" s="7"/>
    </row>
    <row r="75" customFormat="false" ht="15" hidden="false" customHeight="false" outlineLevel="0" collapsed="false">
      <c r="A75" s="6" t="s">
        <v>289</v>
      </c>
      <c r="B75" s="89" t="n">
        <v>2</v>
      </c>
      <c r="C75" s="89" t="n">
        <v>2</v>
      </c>
      <c r="D75" s="89" t="n">
        <v>2</v>
      </c>
      <c r="E75" s="90" t="n">
        <f aca="false">CHOOSE(Dashboard!$B$4,B75,C75,D75)</f>
        <v>2</v>
      </c>
      <c r="F75" s="38" t="s">
        <v>227</v>
      </c>
      <c r="G75" s="91"/>
    </row>
    <row r="76" customFormat="false" ht="15" hidden="false" customHeight="false" outlineLevel="0" collapsed="false">
      <c r="A76" s="6" t="s">
        <v>290</v>
      </c>
      <c r="B76" s="89" t="n">
        <v>15</v>
      </c>
      <c r="C76" s="89" t="n">
        <v>15</v>
      </c>
      <c r="D76" s="89" t="n">
        <v>15</v>
      </c>
      <c r="E76" s="90" t="n">
        <f aca="false">CHOOSE(Dashboard!$B$4,B76,C76,D76)</f>
        <v>15</v>
      </c>
      <c r="F76" s="38" t="s">
        <v>227</v>
      </c>
      <c r="G76" s="91"/>
    </row>
    <row r="77" customFormat="false" ht="15" hidden="false" customHeight="false" outlineLevel="0" collapsed="false">
      <c r="A77" s="6" t="s">
        <v>291</v>
      </c>
      <c r="B77" s="89" t="n">
        <v>20</v>
      </c>
      <c r="C77" s="89" t="n">
        <v>20</v>
      </c>
      <c r="D77" s="89" t="n">
        <v>20</v>
      </c>
      <c r="E77" s="90" t="n">
        <f aca="false">CHOOSE(Dashboard!$B$4,B77,C77,D77)</f>
        <v>20</v>
      </c>
      <c r="F77" s="38" t="s">
        <v>227</v>
      </c>
      <c r="G77" s="91"/>
    </row>
    <row r="79" customFormat="false" ht="15.75" hidden="false" customHeight="true" outlineLevel="0" collapsed="false">
      <c r="A79" s="7" t="s">
        <v>292</v>
      </c>
      <c r="B79" s="7"/>
      <c r="C79" s="7"/>
      <c r="D79" s="7"/>
      <c r="E79" s="7"/>
      <c r="F79" s="7"/>
      <c r="G79" s="7"/>
    </row>
    <row r="80" customFormat="false" ht="15" hidden="false" customHeight="false" outlineLevel="0" collapsed="false">
      <c r="A80" s="6" t="s">
        <v>293</v>
      </c>
      <c r="B80" s="89" t="n">
        <v>7</v>
      </c>
      <c r="C80" s="89" t="n">
        <v>7</v>
      </c>
      <c r="D80" s="89" t="n">
        <v>7</v>
      </c>
      <c r="E80" s="90" t="n">
        <f aca="false">CHOOSE(Dashboard!$B$4,B80,C80,D80)</f>
        <v>7</v>
      </c>
      <c r="F80" s="38" t="s">
        <v>287</v>
      </c>
      <c r="G80" s="91"/>
    </row>
    <row r="81" customFormat="false" ht="15" hidden="false" customHeight="false" outlineLevel="0" collapsed="false">
      <c r="A81" s="6" t="s">
        <v>294</v>
      </c>
      <c r="B81" s="94" t="n">
        <v>0.21</v>
      </c>
      <c r="C81" s="94" t="n">
        <v>0.21</v>
      </c>
      <c r="D81" s="94" t="n">
        <v>0.21</v>
      </c>
      <c r="E81" s="95" t="n">
        <f aca="false">CHOOSE(Dashboard!$B$4,B81,C81,D81)</f>
        <v>0.21</v>
      </c>
      <c r="F81" s="38" t="s">
        <v>231</v>
      </c>
      <c r="G81" s="91"/>
    </row>
    <row r="83" customFormat="false" ht="15.75" hidden="false" customHeight="true" outlineLevel="0" collapsed="false">
      <c r="A83" s="7" t="s">
        <v>295</v>
      </c>
      <c r="B83" s="7"/>
      <c r="C83" s="7"/>
      <c r="D83" s="7"/>
      <c r="E83" s="7"/>
      <c r="F83" s="7"/>
      <c r="G83" s="7"/>
    </row>
    <row r="84" customFormat="false" ht="15" hidden="false" customHeight="false" outlineLevel="0" collapsed="false">
      <c r="A84" s="6" t="s">
        <v>108</v>
      </c>
      <c r="B84" s="98" t="n">
        <v>60000</v>
      </c>
      <c r="C84" s="98" t="n">
        <v>60000</v>
      </c>
      <c r="D84" s="98" t="n">
        <v>60000</v>
      </c>
      <c r="E84" s="99" t="n">
        <f aca="false">CHOOSE(Dashboard!$B$4,B84,C84,D84)</f>
        <v>60000</v>
      </c>
      <c r="F84" s="38" t="s">
        <v>237</v>
      </c>
      <c r="G84" s="91" t="s">
        <v>296</v>
      </c>
    </row>
    <row r="86" customFormat="false" ht="15.75" hidden="false" customHeight="true" outlineLevel="0" collapsed="false">
      <c r="A86" s="7" t="s">
        <v>297</v>
      </c>
      <c r="B86" s="7"/>
      <c r="C86" s="7"/>
      <c r="D86" s="7"/>
      <c r="E86" s="7"/>
      <c r="F86" s="7"/>
      <c r="G86" s="7"/>
    </row>
    <row r="87" customFormat="false" ht="15" hidden="false" customHeight="false" outlineLevel="0" collapsed="false">
      <c r="A87" s="6" t="s">
        <v>135</v>
      </c>
      <c r="B87" s="94" t="n">
        <v>0.3</v>
      </c>
      <c r="C87" s="94" t="n">
        <v>0.25</v>
      </c>
      <c r="D87" s="94" t="n">
        <v>0.2</v>
      </c>
      <c r="E87" s="95" t="n">
        <f aca="false">CHOOSE(Dashboard!$B$4,B87,C87,D87)</f>
        <v>0.25</v>
      </c>
      <c r="F87" s="38" t="s">
        <v>231</v>
      </c>
      <c r="G87" s="91" t="s">
        <v>246</v>
      </c>
    </row>
    <row r="88" customFormat="false" ht="15" hidden="false" customHeight="false" outlineLevel="0" collapsed="false">
      <c r="A88" s="6" t="s">
        <v>298</v>
      </c>
      <c r="B88" s="94" t="n">
        <v>0.01</v>
      </c>
      <c r="C88" s="94" t="n">
        <v>0.02</v>
      </c>
      <c r="D88" s="94" t="n">
        <v>0.03</v>
      </c>
      <c r="E88" s="95" t="n">
        <f aca="false">CHOOSE(Dashboard!$B$4,B88,C88,D88)</f>
        <v>0.02</v>
      </c>
      <c r="F88" s="38" t="s">
        <v>231</v>
      </c>
      <c r="G88" s="91" t="s">
        <v>225</v>
      </c>
    </row>
    <row r="89" customFormat="false" ht="15" hidden="false" customHeight="false" outlineLevel="0" collapsed="false">
      <c r="A89" s="6" t="s">
        <v>137</v>
      </c>
      <c r="B89" s="100" t="n">
        <v>3</v>
      </c>
      <c r="C89" s="100" t="n">
        <v>4</v>
      </c>
      <c r="D89" s="100" t="n">
        <v>5</v>
      </c>
      <c r="E89" s="101" t="n">
        <f aca="false">CHOOSE(Dashboard!$B$4,B89,C89,D89)</f>
        <v>4</v>
      </c>
      <c r="F89" s="38" t="s">
        <v>299</v>
      </c>
      <c r="G89" s="91" t="s">
        <v>225</v>
      </c>
    </row>
    <row r="90" customFormat="false" ht="15" hidden="false" customHeight="false" outlineLevel="0" collapsed="false">
      <c r="A90" s="6" t="s">
        <v>300</v>
      </c>
      <c r="B90" s="94" t="n">
        <v>0.01</v>
      </c>
      <c r="C90" s="94" t="n">
        <v>0.01</v>
      </c>
      <c r="D90" s="94" t="n">
        <v>0.01</v>
      </c>
      <c r="E90" s="95" t="n">
        <f aca="false">CHOOSE(Dashboard!$B$4,B90,C90,D90)</f>
        <v>0.01</v>
      </c>
      <c r="F90" s="38" t="s">
        <v>231</v>
      </c>
      <c r="G90" s="91"/>
    </row>
    <row r="91" customFormat="false" ht="15" hidden="false" customHeight="false" outlineLevel="0" collapsed="false">
      <c r="A91" s="6" t="s">
        <v>301</v>
      </c>
      <c r="B91" s="94" t="n">
        <v>0.005</v>
      </c>
      <c r="C91" s="94" t="n">
        <v>0.005</v>
      </c>
      <c r="D91" s="94" t="n">
        <v>0.005</v>
      </c>
      <c r="E91" s="95" t="n">
        <f aca="false">CHOOSE(Dashboard!$B$4,B91,C91,D91)</f>
        <v>0.005</v>
      </c>
      <c r="F91" s="38" t="s">
        <v>231</v>
      </c>
      <c r="G91" s="91"/>
    </row>
    <row r="93" customFormat="false" ht="15" hidden="false" customHeight="false" outlineLevel="0" collapsed="false">
      <c r="A93" s="21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19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303</v>
      </c>
    </row>
    <row r="3" customFormat="false" ht="15" hidden="false" customHeight="false" outlineLevel="0" collapsed="false">
      <c r="A3" s="58" t="s">
        <v>121</v>
      </c>
      <c r="B3" s="58" t="n">
        <v>1</v>
      </c>
      <c r="C3" s="58" t="n">
        <v>2</v>
      </c>
      <c r="D3" s="58" t="n">
        <v>3</v>
      </c>
      <c r="E3" s="58" t="n">
        <v>4</v>
      </c>
      <c r="F3" s="58" t="n">
        <v>5</v>
      </c>
    </row>
    <row r="4" customFormat="false" ht="15" hidden="false" customHeight="false" outlineLevel="0" collapsed="false">
      <c r="A4" s="33"/>
      <c r="B4" s="59" t="s">
        <v>122</v>
      </c>
      <c r="C4" s="59" t="s">
        <v>123</v>
      </c>
      <c r="D4" s="59" t="s">
        <v>124</v>
      </c>
      <c r="E4" s="59" t="s">
        <v>125</v>
      </c>
      <c r="F4" s="59" t="s">
        <v>126</v>
      </c>
    </row>
    <row r="5" customFormat="false" ht="15" hidden="false" customHeight="false" outlineLevel="0" collapsed="false">
      <c r="A5" s="4" t="s">
        <v>42</v>
      </c>
      <c r="B5" s="60" t="n">
        <f aca="false">SUMIF(Monthly!$C$5:$BJ$5,B$3,Monthly!$C$21:$BJ$21)</f>
        <v>479059.2</v>
      </c>
      <c r="C5" s="60" t="n">
        <f aca="false">SUMIF(Monthly!$C$5:$BJ$5,C$3,Monthly!$C$21:$BJ$21)</f>
        <v>598797.504</v>
      </c>
      <c r="D5" s="60" t="n">
        <f aca="false">SUMIF(Monthly!$C$5:$BJ$5,D$3,Monthly!$C$21:$BJ$21)</f>
        <v>725288.95296</v>
      </c>
      <c r="E5" s="60" t="n">
        <f aca="false">SUMIF(Monthly!$C$5:$BJ$5,E$3,Monthly!$C$21:$BJ$21)</f>
        <v>858830.971104</v>
      </c>
      <c r="F5" s="60" t="n">
        <f aca="false">SUMIF(Monthly!$C$5:$BJ$5,F$3,Monthly!$C$21:$BJ$21)</f>
        <v>942164.325258048</v>
      </c>
    </row>
    <row r="6" customFormat="false" ht="15" hidden="false" customHeight="false" outlineLevel="0" collapsed="false">
      <c r="A6" s="6" t="s">
        <v>73</v>
      </c>
      <c r="B6" s="53" t="n">
        <f aca="false">SUMIF(Monthly!$C$5:$BJ$5,B$3,Monthly!$C$28:$BJ$28)</f>
        <v>-270094.6944</v>
      </c>
      <c r="C6" s="53" t="n">
        <f aca="false">SUMIF(Monthly!$C$5:$BJ$5,C$3,Monthly!$C$28:$BJ$28)</f>
        <v>-340019.209728</v>
      </c>
      <c r="D6" s="53" t="n">
        <f aca="false">SUMIF(Monthly!$C$5:$BJ$5,D$3,Monthly!$C$28:$BJ$28)</f>
        <v>-413896.11075072</v>
      </c>
      <c r="E6" s="53" t="n">
        <f aca="false">SUMIF(Monthly!$C$5:$BJ$5,E$3,Monthly!$C$28:$BJ$28)</f>
        <v>-491899.608546048</v>
      </c>
      <c r="F6" s="53" t="n">
        <f aca="false">SUMIF(Monthly!$C$5:$BJ$5,F$3,Monthly!$C$28:$BJ$28)</f>
        <v>-540433.703255925</v>
      </c>
    </row>
    <row r="7" customFormat="false" ht="15" hidden="false" customHeight="false" outlineLevel="0" collapsed="false">
      <c r="A7" s="102" t="s">
        <v>43</v>
      </c>
      <c r="B7" s="54" t="n">
        <f aca="false">SUMIF(Monthly!$C$5:$BJ$5,B$3,Monthly!$C$29:$BJ$29)</f>
        <v>208964.5056</v>
      </c>
      <c r="C7" s="54" t="n">
        <f aca="false">SUMIF(Monthly!$C$5:$BJ$5,C$3,Monthly!$C$29:$BJ$29)</f>
        <v>258778.294272</v>
      </c>
      <c r="D7" s="54" t="n">
        <f aca="false">SUMIF(Monthly!$C$5:$BJ$5,D$3,Monthly!$C$29:$BJ$29)</f>
        <v>311392.84220928</v>
      </c>
      <c r="E7" s="54" t="n">
        <f aca="false">SUMIF(Monthly!$C$5:$BJ$5,E$3,Monthly!$C$29:$BJ$29)</f>
        <v>366931.362557952</v>
      </c>
      <c r="F7" s="54" t="n">
        <f aca="false">SUMIF(Monthly!$C$5:$BJ$5,F$3,Monthly!$C$29:$BJ$29)</f>
        <v>401730.622002123</v>
      </c>
    </row>
    <row r="8" customFormat="false" ht="15" hidden="false" customHeight="false" outlineLevel="0" collapsed="false">
      <c r="A8" s="38" t="s">
        <v>44</v>
      </c>
      <c r="B8" s="61" t="n">
        <f aca="false">IF(B5=0,0,B7/B5)</f>
        <v>0.436197667428159</v>
      </c>
      <c r="C8" s="61" t="n">
        <f aca="false">IF(C5=0,0,C7/C5)</f>
        <v>0.432163281482215</v>
      </c>
      <c r="D8" s="61" t="n">
        <f aca="false">IF(D5=0,0,D7/D5)</f>
        <v>0.429336254107339</v>
      </c>
      <c r="E8" s="61" t="n">
        <f aca="false">IF(E5=0,0,E7/E5)</f>
        <v>0.427245144741664</v>
      </c>
      <c r="F8" s="61" t="n">
        <f aca="false">IF(F5=0,0,F7/F5)</f>
        <v>0.426391247505677</v>
      </c>
    </row>
    <row r="9" customFormat="false" ht="15" hidden="false" customHeight="false" outlineLevel="0" collapsed="false">
      <c r="A9" s="6" t="s">
        <v>304</v>
      </c>
      <c r="B9" s="53" t="n">
        <f aca="false">SUMIF(Monthly!$C$5:$BJ$5,B$3,Monthly!$C$32:$BJ$32)</f>
        <v>-96320</v>
      </c>
      <c r="C9" s="53" t="n">
        <f aca="false">SUMIF(Monthly!$C$5:$BJ$5,C$3,Monthly!$C$32:$BJ$32)</f>
        <v>-99209.6</v>
      </c>
      <c r="D9" s="53" t="n">
        <f aca="false">SUMIF(Monthly!$C$5:$BJ$5,D$3,Monthly!$C$32:$BJ$32)</f>
        <v>-102185.888</v>
      </c>
      <c r="E9" s="53" t="n">
        <f aca="false">SUMIF(Monthly!$C$5:$BJ$5,E$3,Monthly!$C$32:$BJ$32)</f>
        <v>-105251.46464</v>
      </c>
      <c r="F9" s="53" t="n">
        <f aca="false">SUMIF(Monthly!$C$5:$BJ$5,F$3,Monthly!$C$32:$BJ$32)</f>
        <v>-108409.0085792</v>
      </c>
    </row>
    <row r="10" customFormat="false" ht="15" hidden="false" customHeight="false" outlineLevel="0" collapsed="false">
      <c r="A10" s="6" t="s">
        <v>305</v>
      </c>
      <c r="B10" s="53" t="n">
        <f aca="false">SUMIF(Monthly!$C$5:$BJ$5,B$3,Monthly!$C$33:$BJ$33)</f>
        <v>-30000</v>
      </c>
      <c r="C10" s="53" t="n">
        <f aca="false">SUMIF(Monthly!$C$5:$BJ$5,C$3,Monthly!$C$33:$BJ$33)</f>
        <v>-30000</v>
      </c>
      <c r="D10" s="53" t="n">
        <f aca="false">SUMIF(Monthly!$C$5:$BJ$5,D$3,Monthly!$C$33:$BJ$33)</f>
        <v>-30000</v>
      </c>
      <c r="E10" s="53" t="n">
        <f aca="false">SUMIF(Monthly!$C$5:$BJ$5,E$3,Monthly!$C$33:$BJ$33)</f>
        <v>-30000</v>
      </c>
      <c r="F10" s="53" t="n">
        <f aca="false">SUMIF(Monthly!$C$5:$BJ$5,F$3,Monthly!$C$33:$BJ$33)</f>
        <v>-30000</v>
      </c>
    </row>
    <row r="11" customFormat="false" ht="15" hidden="false" customHeight="false" outlineLevel="0" collapsed="false">
      <c r="A11" s="6" t="s">
        <v>306</v>
      </c>
      <c r="B11" s="53" t="n">
        <f aca="false">SUMIF(Monthly!$C$5:$BJ$5,B$3,Monthly!$C$34:$BJ$34)</f>
        <v>-78000</v>
      </c>
      <c r="C11" s="53" t="n">
        <f aca="false">SUMIF(Monthly!$C$5:$BJ$5,C$3,Monthly!$C$34:$BJ$34)</f>
        <v>-78000</v>
      </c>
      <c r="D11" s="53" t="n">
        <f aca="false">SUMIF(Monthly!$C$5:$BJ$5,D$3,Monthly!$C$34:$BJ$34)</f>
        <v>-78000</v>
      </c>
      <c r="E11" s="53" t="n">
        <f aca="false">SUMIF(Monthly!$C$5:$BJ$5,E$3,Monthly!$C$34:$BJ$34)</f>
        <v>-78000</v>
      </c>
      <c r="F11" s="53" t="n">
        <f aca="false">SUMIF(Monthly!$C$5:$BJ$5,F$3,Monthly!$C$34:$BJ$34)</f>
        <v>-78000</v>
      </c>
    </row>
    <row r="12" customFormat="false" ht="15" hidden="false" customHeight="false" outlineLevel="0" collapsed="false">
      <c r="A12" s="6" t="s">
        <v>307</v>
      </c>
      <c r="B12" s="53" t="n">
        <f aca="false">SUMIF(Monthly!$C$5:$BJ$5,B$3,Monthly!$C$35:$BJ$35)</f>
        <v>-10800</v>
      </c>
      <c r="C12" s="53" t="n">
        <f aca="false">SUMIF(Monthly!$C$5:$BJ$5,C$3,Monthly!$C$35:$BJ$35)</f>
        <v>-10800</v>
      </c>
      <c r="D12" s="53" t="n">
        <f aca="false">SUMIF(Monthly!$C$5:$BJ$5,D$3,Monthly!$C$35:$BJ$35)</f>
        <v>-10800</v>
      </c>
      <c r="E12" s="53" t="n">
        <f aca="false">SUMIF(Monthly!$C$5:$BJ$5,E$3,Monthly!$C$35:$BJ$35)</f>
        <v>-10800</v>
      </c>
      <c r="F12" s="53" t="n">
        <f aca="false">SUMIF(Monthly!$C$5:$BJ$5,F$3,Monthly!$C$35:$BJ$35)</f>
        <v>-10800</v>
      </c>
    </row>
    <row r="13" customFormat="false" ht="15" hidden="false" customHeight="false" outlineLevel="0" collapsed="false">
      <c r="A13" s="6" t="s">
        <v>308</v>
      </c>
      <c r="B13" s="53" t="n">
        <f aca="false">SUMIF(Monthly!$C$5:$BJ$5,B$3,Monthly!$C$36:$BJ$36)</f>
        <v>-3000</v>
      </c>
      <c r="C13" s="53" t="n">
        <f aca="false">SUMIF(Monthly!$C$5:$BJ$5,C$3,Monthly!$C$36:$BJ$36)</f>
        <v>-3000</v>
      </c>
      <c r="D13" s="53" t="n">
        <f aca="false">SUMIF(Monthly!$C$5:$BJ$5,D$3,Monthly!$C$36:$BJ$36)</f>
        <v>-3000</v>
      </c>
      <c r="E13" s="53" t="n">
        <f aca="false">SUMIF(Monthly!$C$5:$BJ$5,E$3,Monthly!$C$36:$BJ$36)</f>
        <v>-3000</v>
      </c>
      <c r="F13" s="53" t="n">
        <f aca="false">SUMIF(Monthly!$C$5:$BJ$5,F$3,Monthly!$C$36:$BJ$36)</f>
        <v>-3000</v>
      </c>
    </row>
    <row r="14" customFormat="false" ht="15" hidden="false" customHeight="false" outlineLevel="0" collapsed="false">
      <c r="A14" s="6" t="s">
        <v>309</v>
      </c>
      <c r="B14" s="53" t="n">
        <f aca="false">SUMIF(Monthly!$C$5:$BJ$5,B$3,Monthly!$C$37:$BJ$37)</f>
        <v>-7800</v>
      </c>
      <c r="C14" s="53" t="n">
        <f aca="false">SUMIF(Monthly!$C$5:$BJ$5,C$3,Monthly!$C$37:$BJ$37)</f>
        <v>-7800</v>
      </c>
      <c r="D14" s="53" t="n">
        <f aca="false">SUMIF(Monthly!$C$5:$BJ$5,D$3,Monthly!$C$37:$BJ$37)</f>
        <v>-7800</v>
      </c>
      <c r="E14" s="53" t="n">
        <f aca="false">SUMIF(Monthly!$C$5:$BJ$5,E$3,Monthly!$C$37:$BJ$37)</f>
        <v>-7800</v>
      </c>
      <c r="F14" s="53" t="n">
        <f aca="false">SUMIF(Monthly!$C$5:$BJ$5,F$3,Monthly!$C$37:$BJ$37)</f>
        <v>-7800</v>
      </c>
    </row>
    <row r="15" customFormat="false" ht="15" hidden="false" customHeight="false" outlineLevel="0" collapsed="false">
      <c r="A15" s="6" t="s">
        <v>310</v>
      </c>
      <c r="B15" s="53" t="n">
        <f aca="false">SUMIF(Monthly!$C$5:$BJ$5,B$3,Monthly!$C$38:$BJ$38)</f>
        <v>-5400</v>
      </c>
      <c r="C15" s="53" t="n">
        <f aca="false">SUMIF(Monthly!$C$5:$BJ$5,C$3,Monthly!$C$38:$BJ$38)</f>
        <v>-5400</v>
      </c>
      <c r="D15" s="53" t="n">
        <f aca="false">SUMIF(Monthly!$C$5:$BJ$5,D$3,Monthly!$C$38:$BJ$38)</f>
        <v>-5400</v>
      </c>
      <c r="E15" s="53" t="n">
        <f aca="false">SUMIF(Monthly!$C$5:$BJ$5,E$3,Monthly!$C$38:$BJ$38)</f>
        <v>-5400</v>
      </c>
      <c r="F15" s="53" t="n">
        <f aca="false">SUMIF(Monthly!$C$5:$BJ$5,F$3,Monthly!$C$38:$BJ$38)</f>
        <v>-5400</v>
      </c>
    </row>
    <row r="16" customFormat="false" ht="15" hidden="false" customHeight="false" outlineLevel="0" collapsed="false">
      <c r="A16" s="6" t="s">
        <v>311</v>
      </c>
      <c r="B16" s="53" t="n">
        <f aca="false">SUMIF(Monthly!$C$5:$BJ$5,B$3,Monthly!$C$39:$BJ$39)</f>
        <v>-8400</v>
      </c>
      <c r="C16" s="53" t="n">
        <f aca="false">SUMIF(Monthly!$C$5:$BJ$5,C$3,Monthly!$C$39:$BJ$39)</f>
        <v>-8400</v>
      </c>
      <c r="D16" s="53" t="n">
        <f aca="false">SUMIF(Monthly!$C$5:$BJ$5,D$3,Monthly!$C$39:$BJ$39)</f>
        <v>-8400</v>
      </c>
      <c r="E16" s="53" t="n">
        <f aca="false">SUMIF(Monthly!$C$5:$BJ$5,E$3,Monthly!$C$39:$BJ$39)</f>
        <v>-8400</v>
      </c>
      <c r="F16" s="53" t="n">
        <f aca="false">SUMIF(Monthly!$C$5:$BJ$5,F$3,Monthly!$C$39:$BJ$39)</f>
        <v>-8400</v>
      </c>
    </row>
    <row r="17" customFormat="false" ht="15" hidden="false" customHeight="false" outlineLevel="0" collapsed="false">
      <c r="A17" s="102" t="s">
        <v>74</v>
      </c>
      <c r="B17" s="54" t="n">
        <f aca="false">SUMIF(Monthly!$C$5:$BJ$5,B$3,Monthly!$C$40:$BJ$40)</f>
        <v>-239720</v>
      </c>
      <c r="C17" s="54" t="n">
        <f aca="false">SUMIF(Monthly!$C$5:$BJ$5,C$3,Monthly!$C$40:$BJ$40)</f>
        <v>-242609.6</v>
      </c>
      <c r="D17" s="54" t="n">
        <f aca="false">SUMIF(Monthly!$C$5:$BJ$5,D$3,Monthly!$C$40:$BJ$40)</f>
        <v>-245585.888</v>
      </c>
      <c r="E17" s="54" t="n">
        <f aca="false">SUMIF(Monthly!$C$5:$BJ$5,E$3,Monthly!$C$40:$BJ$40)</f>
        <v>-248651.46464</v>
      </c>
      <c r="F17" s="54" t="n">
        <f aca="false">SUMIF(Monthly!$C$5:$BJ$5,F$3,Monthly!$C$40:$BJ$40)</f>
        <v>-251809.0085792</v>
      </c>
    </row>
    <row r="18" customFormat="false" ht="15" hidden="false" customHeight="false" outlineLevel="0" collapsed="false">
      <c r="A18" s="102" t="s">
        <v>46</v>
      </c>
      <c r="B18" s="54" t="n">
        <f aca="false">SUMIF(Monthly!$C$5:$BJ$5,B$3,Monthly!$C$41:$BJ$41)</f>
        <v>-30755.4944000001</v>
      </c>
      <c r="C18" s="54" t="n">
        <f aca="false">SUMIF(Monthly!$C$5:$BJ$5,C$3,Monthly!$C$41:$BJ$41)</f>
        <v>16168.694272</v>
      </c>
      <c r="D18" s="54" t="n">
        <f aca="false">SUMIF(Monthly!$C$5:$BJ$5,D$3,Monthly!$C$41:$BJ$41)</f>
        <v>65806.9542092801</v>
      </c>
      <c r="E18" s="54" t="n">
        <f aca="false">SUMIF(Monthly!$C$5:$BJ$5,E$3,Monthly!$C$41:$BJ$41)</f>
        <v>118279.897917952</v>
      </c>
      <c r="F18" s="54" t="n">
        <f aca="false">SUMIF(Monthly!$C$5:$BJ$5,F$3,Monthly!$C$41:$BJ$41)</f>
        <v>149921.613422923</v>
      </c>
    </row>
    <row r="19" customFormat="false" ht="15" hidden="false" customHeight="false" outlineLevel="0" collapsed="false">
      <c r="A19" s="38" t="s">
        <v>47</v>
      </c>
      <c r="B19" s="61" t="n">
        <f aca="false">IF(B5=0,0,B18/B5)</f>
        <v>-0.0641997782320015</v>
      </c>
      <c r="C19" s="61" t="n">
        <f aca="false">IF(C5=0,0,C18/C5)</f>
        <v>0.0270019399947265</v>
      </c>
      <c r="D19" s="61" t="n">
        <f aca="false">IF(D5=0,0,D18/D5)</f>
        <v>0.0907320509166908</v>
      </c>
      <c r="E19" s="61" t="n">
        <f aca="false">IF(E5=0,0,E18/E5)</f>
        <v>0.137721975449845</v>
      </c>
      <c r="F19" s="61" t="n">
        <f aca="false">IF(F5=0,0,F18/F5)</f>
        <v>0.159124697681438</v>
      </c>
    </row>
    <row r="20" customFormat="false" ht="15" hidden="false" customHeight="false" outlineLevel="0" collapsed="false">
      <c r="A20" s="6" t="s">
        <v>75</v>
      </c>
      <c r="B20" s="53" t="n">
        <f aca="false">SUMIF(Monthly!$C$5:$BJ$5,B$3,Monthly!$C$55:$BJ$55)</f>
        <v>-18200</v>
      </c>
      <c r="C20" s="53" t="n">
        <f aca="false">SUMIF(Monthly!$C$5:$BJ$5,C$3,Monthly!$C$55:$BJ$55)</f>
        <v>-18200</v>
      </c>
      <c r="D20" s="53" t="n">
        <f aca="false">SUMIF(Monthly!$C$5:$BJ$5,D$3,Monthly!$C$55:$BJ$55)</f>
        <v>-18200</v>
      </c>
      <c r="E20" s="53" t="n">
        <f aca="false">SUMIF(Monthly!$C$5:$BJ$5,E$3,Monthly!$C$55:$BJ$55)</f>
        <v>-18200</v>
      </c>
      <c r="F20" s="53" t="n">
        <f aca="false">SUMIF(Monthly!$C$5:$BJ$5,F$3,Monthly!$C$55:$BJ$55)</f>
        <v>-18200</v>
      </c>
    </row>
    <row r="21" customFormat="false" ht="15" hidden="false" customHeight="false" outlineLevel="0" collapsed="false">
      <c r="A21" s="4" t="s">
        <v>76</v>
      </c>
      <c r="B21" s="60" t="n">
        <f aca="false">SUMIF(Monthly!$C$5:$BJ$5,B$3,Monthly!$C$44:$BJ$44)</f>
        <v>-48955.4944000001</v>
      </c>
      <c r="C21" s="60" t="n">
        <f aca="false">SUMIF(Monthly!$C$5:$BJ$5,C$3,Monthly!$C$44:$BJ$44)</f>
        <v>-2031.30572799998</v>
      </c>
      <c r="D21" s="60" t="n">
        <f aca="false">SUMIF(Monthly!$C$5:$BJ$5,D$3,Monthly!$C$44:$BJ$44)</f>
        <v>47606.9542092801</v>
      </c>
      <c r="E21" s="60" t="n">
        <f aca="false">SUMIF(Monthly!$C$5:$BJ$5,E$3,Monthly!$C$44:$BJ$44)</f>
        <v>100079.897917952</v>
      </c>
      <c r="F21" s="60" t="n">
        <f aca="false">SUMIF(Monthly!$C$5:$BJ$5,F$3,Monthly!$C$44:$BJ$44)</f>
        <v>131721.613422923</v>
      </c>
    </row>
    <row r="22" customFormat="false" ht="15" hidden="false" customHeight="false" outlineLevel="0" collapsed="false">
      <c r="A22" s="6" t="s">
        <v>77</v>
      </c>
      <c r="B22" s="53" t="n">
        <f aca="false">SUMIF(Monthly!$C$5:$BJ$5,B$3,Monthly!$C$45:$BJ$45)</f>
        <v>-5129.44444444444</v>
      </c>
      <c r="C22" s="53" t="n">
        <f aca="false">SUMIF(Monthly!$C$5:$BJ$5,C$3,Monthly!$C$45:$BJ$45)</f>
        <v>-4013.33333333334</v>
      </c>
      <c r="D22" s="53" t="n">
        <f aca="false">SUMIF(Monthly!$C$5:$BJ$5,D$3,Monthly!$C$45:$BJ$45)</f>
        <v>-2893.33333333334</v>
      </c>
      <c r="E22" s="53" t="n">
        <f aca="false">SUMIF(Monthly!$C$5:$BJ$5,E$3,Monthly!$C$45:$BJ$45)</f>
        <v>-1773.33333333334</v>
      </c>
      <c r="F22" s="53" t="n">
        <f aca="false">SUMIF(Monthly!$C$5:$BJ$5,F$3,Monthly!$C$45:$BJ$45)</f>
        <v>-653.333333333336</v>
      </c>
    </row>
    <row r="23" customFormat="false" ht="15" hidden="false" customHeight="false" outlineLevel="0" collapsed="false">
      <c r="A23" s="103" t="s">
        <v>78</v>
      </c>
      <c r="B23" s="104" t="n">
        <f aca="false">SUMIF(Monthly!$C$5:$BJ$5,B$3,Monthly!$C$46:$BJ$46)</f>
        <v>-54084.9388444445</v>
      </c>
      <c r="C23" s="104" t="n">
        <f aca="false">SUMIF(Monthly!$C$5:$BJ$5,C$3,Monthly!$C$46:$BJ$46)</f>
        <v>-6044.63906133331</v>
      </c>
      <c r="D23" s="104" t="n">
        <f aca="false">SUMIF(Monthly!$C$5:$BJ$5,D$3,Monthly!$C$46:$BJ$46)</f>
        <v>44713.6208759467</v>
      </c>
      <c r="E23" s="104" t="n">
        <f aca="false">SUMIF(Monthly!$C$5:$BJ$5,E$3,Monthly!$C$46:$BJ$46)</f>
        <v>98306.5645846186</v>
      </c>
      <c r="F23" s="104" t="n">
        <f aca="false">SUMIF(Monthly!$C$5:$BJ$5,F$3,Monthly!$C$46:$BJ$46)</f>
        <v>131068.28008959</v>
      </c>
    </row>
    <row r="24" customFormat="false" ht="15" hidden="false" customHeight="false" outlineLevel="0" collapsed="false">
      <c r="A24" s="6" t="s">
        <v>79</v>
      </c>
      <c r="B24" s="53" t="n">
        <f aca="false">SUMIF(Monthly!$C$5:$BJ$5,B$3,Monthly!$C$49:$BJ$49)</f>
        <v>0</v>
      </c>
      <c r="C24" s="53" t="n">
        <f aca="false">SUMIF(Monthly!$C$5:$BJ$5,C$3,Monthly!$C$49:$BJ$49)</f>
        <v>0</v>
      </c>
      <c r="D24" s="53" t="n">
        <f aca="false">SUMIF(Monthly!$C$5:$BJ$5,D$3,Monthly!$C$49:$BJ$49)</f>
        <v>0</v>
      </c>
      <c r="E24" s="53" t="n">
        <f aca="false">SUMIF(Monthly!$C$5:$BJ$5,E$3,Monthly!$C$49:$BJ$49)</f>
        <v>-17407.0275865054</v>
      </c>
      <c r="F24" s="53" t="n">
        <f aca="false">SUMIF(Monthly!$C$5:$BJ$5,F$3,Monthly!$C$49:$BJ$49)</f>
        <v>-27524.3388188139</v>
      </c>
    </row>
    <row r="25" customFormat="false" ht="15" hidden="false" customHeight="false" outlineLevel="0" collapsed="false">
      <c r="A25" s="56" t="s">
        <v>48</v>
      </c>
      <c r="B25" s="57" t="n">
        <f aca="false">SUMIF(Monthly!$C$5:$BJ$5,B$3,Monthly!$C$50:$BJ$50)</f>
        <v>-54084.9388444445</v>
      </c>
      <c r="C25" s="57" t="n">
        <f aca="false">SUMIF(Monthly!$C$5:$BJ$5,C$3,Monthly!$C$50:$BJ$50)</f>
        <v>-6044.63906133331</v>
      </c>
      <c r="D25" s="57" t="n">
        <f aca="false">SUMIF(Monthly!$C$5:$BJ$5,D$3,Monthly!$C$50:$BJ$50)</f>
        <v>44713.6208759467</v>
      </c>
      <c r="E25" s="57" t="n">
        <f aca="false">SUMIF(Monthly!$C$5:$BJ$5,E$3,Monthly!$C$50:$BJ$50)</f>
        <v>80899.5369981132</v>
      </c>
      <c r="F25" s="57" t="n">
        <f aca="false">SUMIF(Monthly!$C$5:$BJ$5,F$3,Monthly!$C$50:$BJ$50)</f>
        <v>103543.941270776</v>
      </c>
    </row>
    <row r="26" customFormat="false" ht="15" hidden="false" customHeight="false" outlineLevel="0" collapsed="false">
      <c r="A26" s="38" t="s">
        <v>49</v>
      </c>
      <c r="B26" s="61" t="n">
        <f aca="false">IF(B5=0,0,B25/B5)</f>
        <v>-0.112898236469406</v>
      </c>
      <c r="C26" s="61" t="n">
        <f aca="false">IF(C5=0,0,C25/C5)</f>
        <v>-0.0100946296885922</v>
      </c>
      <c r="D26" s="61" t="n">
        <f aca="false">IF(D5=0,0,D25/D5)</f>
        <v>0.0616493891068719</v>
      </c>
      <c r="E26" s="61" t="n">
        <f aca="false">IF(E5=0,0,E25/E5)</f>
        <v>0.0941972748073109</v>
      </c>
      <c r="F26" s="61" t="n">
        <f aca="false">IF(F5=0,0,F25/F5)</f>
        <v>0.109900086953957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303</v>
      </c>
    </row>
    <row r="3" customFormat="false" ht="15" hidden="false" customHeight="false" outlineLevel="0" collapsed="false">
      <c r="A3" s="58" t="s">
        <v>121</v>
      </c>
      <c r="B3" s="58" t="n">
        <v>1</v>
      </c>
      <c r="C3" s="58" t="n">
        <v>2</v>
      </c>
      <c r="D3" s="58" t="n">
        <v>3</v>
      </c>
      <c r="E3" s="58" t="n">
        <v>4</v>
      </c>
      <c r="F3" s="58" t="n">
        <v>5</v>
      </c>
    </row>
    <row r="4" customFormat="false" ht="15" hidden="false" customHeight="false" outlineLevel="0" collapsed="false">
      <c r="A4" s="33"/>
      <c r="B4" s="59" t="s">
        <v>122</v>
      </c>
      <c r="C4" s="59" t="s">
        <v>123</v>
      </c>
      <c r="D4" s="59" t="s">
        <v>124</v>
      </c>
      <c r="E4" s="59" t="s">
        <v>125</v>
      </c>
      <c r="F4" s="59" t="s">
        <v>126</v>
      </c>
    </row>
    <row r="5" customFormat="false" ht="15" hidden="false" customHeight="false" outlineLevel="0" collapsed="false">
      <c r="A5" s="6" t="s">
        <v>48</v>
      </c>
      <c r="B5" s="53" t="n">
        <f aca="false">SUMIF(Monthly!$C$5:$BJ$5,B$3,Monthly!$C$50:$BJ$50)</f>
        <v>-54084.9388444445</v>
      </c>
      <c r="C5" s="53" t="n">
        <f aca="false">SUMIF(Monthly!$C$5:$BJ$5,C$3,Monthly!$C$50:$BJ$50)</f>
        <v>-6044.63906133331</v>
      </c>
      <c r="D5" s="53" t="n">
        <f aca="false">SUMIF(Monthly!$C$5:$BJ$5,D$3,Monthly!$C$50:$BJ$50)</f>
        <v>44713.6208759467</v>
      </c>
      <c r="E5" s="53" t="n">
        <f aca="false">SUMIF(Monthly!$C$5:$BJ$5,E$3,Monthly!$C$50:$BJ$50)</f>
        <v>80899.5369981132</v>
      </c>
      <c r="F5" s="53" t="n">
        <f aca="false">SUMIF(Monthly!$C$5:$BJ$5,F$3,Monthly!$C$50:$BJ$50)</f>
        <v>103543.941270776</v>
      </c>
    </row>
    <row r="6" customFormat="false" ht="15" hidden="false" customHeight="false" outlineLevel="0" collapsed="false">
      <c r="A6" s="6" t="s">
        <v>312</v>
      </c>
      <c r="B6" s="53" t="n">
        <f aca="false">-SUMIF(Monthly!$C$5:$BJ$5,B$3,Monthly!$C$55:$BJ$55)</f>
        <v>18200</v>
      </c>
      <c r="C6" s="53" t="n">
        <f aca="false">-SUMIF(Monthly!$C$5:$BJ$5,C$3,Monthly!$C$55:$BJ$55)</f>
        <v>18200</v>
      </c>
      <c r="D6" s="53" t="n">
        <f aca="false">-SUMIF(Monthly!$C$5:$BJ$5,D$3,Monthly!$C$55:$BJ$55)</f>
        <v>18200</v>
      </c>
      <c r="E6" s="53" t="n">
        <f aca="false">-SUMIF(Monthly!$C$5:$BJ$5,E$3,Monthly!$C$55:$BJ$55)</f>
        <v>18200</v>
      </c>
      <c r="F6" s="53" t="n">
        <f aca="false">-SUMIF(Monthly!$C$5:$BJ$5,F$3,Monthly!$C$55:$BJ$55)</f>
        <v>18200</v>
      </c>
    </row>
    <row r="7" customFormat="false" ht="15" hidden="false" customHeight="false" outlineLevel="0" collapsed="false">
      <c r="A7" s="6" t="s">
        <v>313</v>
      </c>
      <c r="B7" s="53" t="n">
        <f aca="false">SUMIF(Monthly!$C$5:$BJ$5,B$3,Monthly!$C$69:$BJ$69)</f>
        <v>-2661.44</v>
      </c>
      <c r="C7" s="53" t="n">
        <f aca="false">SUMIF(Monthly!$C$5:$BJ$5,C$3,Monthly!$C$69:$BJ$69)</f>
        <v>-665.212800000001</v>
      </c>
      <c r="D7" s="53" t="n">
        <f aca="false">SUMIF(Monthly!$C$5:$BJ$5,D$3,Monthly!$C$69:$BJ$69)</f>
        <v>-702.730271999999</v>
      </c>
      <c r="E7" s="53" t="n">
        <f aca="false">SUMIF(Monthly!$C$5:$BJ$5,E$3,Monthly!$C$69:$BJ$69)</f>
        <v>-741.9001008</v>
      </c>
      <c r="F7" s="53" t="n">
        <f aca="false">SUMIF(Monthly!$C$5:$BJ$5,F$3,Monthly!$C$69:$BJ$69)</f>
        <v>-462.963078633601</v>
      </c>
    </row>
    <row r="8" customFormat="false" ht="15" hidden="false" customHeight="false" outlineLevel="0" collapsed="false">
      <c r="A8" s="6" t="s">
        <v>314</v>
      </c>
      <c r="B8" s="53" t="n">
        <f aca="false">SUMIF(Monthly!$C$5:$BJ$5,B$3,Monthly!$C$70:$BJ$70)</f>
        <v>-11253.9456</v>
      </c>
      <c r="C8" s="53" t="n">
        <f aca="false">SUMIF(Monthly!$C$5:$BJ$5,C$3,Monthly!$C$70:$BJ$70)</f>
        <v>-2913.521472</v>
      </c>
      <c r="D8" s="53" t="n">
        <f aca="false">SUMIF(Monthly!$C$5:$BJ$5,D$3,Monthly!$C$70:$BJ$70)</f>
        <v>-3078.20420928</v>
      </c>
      <c r="E8" s="53" t="n">
        <f aca="false">SUMIF(Monthly!$C$5:$BJ$5,E$3,Monthly!$C$70:$BJ$70)</f>
        <v>-3250.145741472</v>
      </c>
      <c r="F8" s="53" t="n">
        <f aca="false">SUMIF(Monthly!$C$5:$BJ$5,F$3,Monthly!$C$70:$BJ$70)</f>
        <v>-2022.25394624487</v>
      </c>
    </row>
    <row r="9" customFormat="false" ht="15" hidden="false" customHeight="false" outlineLevel="0" collapsed="false">
      <c r="A9" s="6" t="s">
        <v>315</v>
      </c>
      <c r="B9" s="53" t="n">
        <f aca="false">SUMIF(Monthly!$C$5:$BJ$5,B$3,Monthly!$C$71:$BJ$71)</f>
        <v>15005.2608</v>
      </c>
      <c r="C9" s="53" t="n">
        <f aca="false">SUMIF(Monthly!$C$5:$BJ$5,C$3,Monthly!$C$71:$BJ$71)</f>
        <v>3884.695296</v>
      </c>
      <c r="D9" s="53" t="n">
        <f aca="false">SUMIF(Monthly!$C$5:$BJ$5,D$3,Monthly!$C$71:$BJ$71)</f>
        <v>4104.27227904</v>
      </c>
      <c r="E9" s="53" t="n">
        <f aca="false">SUMIF(Monthly!$C$5:$BJ$5,E$3,Monthly!$C$71:$BJ$71)</f>
        <v>4333.52765529601</v>
      </c>
      <c r="F9" s="53" t="n">
        <f aca="false">SUMIF(Monthly!$C$5:$BJ$5,F$3,Monthly!$C$71:$BJ$71)</f>
        <v>2696.33859499315</v>
      </c>
    </row>
    <row r="10" customFormat="false" ht="15" hidden="false" customHeight="false" outlineLevel="0" collapsed="false">
      <c r="A10" s="102" t="s">
        <v>50</v>
      </c>
      <c r="B10" s="54" t="n">
        <f aca="false">SUMIF(Monthly!$C$5:$BJ$5,B$3,Monthly!$C$74:$BJ$74)</f>
        <v>-34795.0636444445</v>
      </c>
      <c r="C10" s="54" t="n">
        <f aca="false">SUMIF(Monthly!$C$5:$BJ$5,C$3,Monthly!$C$74:$BJ$74)</f>
        <v>12461.3219626667</v>
      </c>
      <c r="D10" s="54" t="n">
        <f aca="false">SUMIF(Monthly!$C$5:$BJ$5,D$3,Monthly!$C$74:$BJ$74)</f>
        <v>63236.9586737067</v>
      </c>
      <c r="E10" s="54" t="n">
        <f aca="false">SUMIF(Monthly!$C$5:$BJ$5,E$3,Monthly!$C$74:$BJ$74)</f>
        <v>99441.0188111372</v>
      </c>
      <c r="F10" s="54" t="n">
        <f aca="false">SUMIF(Monthly!$C$5:$BJ$5,F$3,Monthly!$C$74:$BJ$74)</f>
        <v>121955.062840891</v>
      </c>
    </row>
    <row r="11" customFormat="false" ht="15" hidden="false" customHeight="false" outlineLevel="0" collapsed="false">
      <c r="A11" s="6" t="s">
        <v>81</v>
      </c>
      <c r="B11" s="53" t="n">
        <f aca="false">SUMIF(Monthly!$C$5:$BJ$5,B$3,Monthly!$C$75:$BJ$75)</f>
        <v>-127400</v>
      </c>
      <c r="C11" s="53" t="n">
        <f aca="false">SUMIF(Monthly!$C$5:$BJ$5,C$3,Monthly!$C$75:$BJ$75)</f>
        <v>0</v>
      </c>
      <c r="D11" s="53" t="n">
        <f aca="false">SUMIF(Monthly!$C$5:$BJ$5,D$3,Monthly!$C$75:$BJ$75)</f>
        <v>0</v>
      </c>
      <c r="E11" s="53" t="n">
        <f aca="false">SUMIF(Monthly!$C$5:$BJ$5,E$3,Monthly!$C$75:$BJ$75)</f>
        <v>0</v>
      </c>
      <c r="F11" s="53" t="n">
        <f aca="false">SUMIF(Monthly!$C$5:$BJ$5,F$3,Monthly!$C$75:$BJ$75)</f>
        <v>0</v>
      </c>
    </row>
    <row r="12" customFormat="false" ht="15" hidden="false" customHeight="false" outlineLevel="0" collapsed="false">
      <c r="A12" s="6" t="s">
        <v>61</v>
      </c>
      <c r="B12" s="53" t="n">
        <f aca="false">SUMIF(Monthly!$C$5:$BJ$5,B$3,Monthly!$C$76:$BJ$76)</f>
        <v>150000</v>
      </c>
      <c r="C12" s="53" t="n">
        <f aca="false">SUMIF(Monthly!$C$5:$BJ$5,C$3,Monthly!$C$76:$BJ$76)</f>
        <v>0</v>
      </c>
      <c r="D12" s="53" t="n">
        <f aca="false">SUMIF(Monthly!$C$5:$BJ$5,D$3,Monthly!$C$76:$BJ$76)</f>
        <v>0</v>
      </c>
      <c r="E12" s="53" t="n">
        <f aca="false">SUMIF(Monthly!$C$5:$BJ$5,E$3,Monthly!$C$76:$BJ$76)</f>
        <v>0</v>
      </c>
      <c r="F12" s="53" t="n">
        <f aca="false">SUMIF(Monthly!$C$5:$BJ$5,F$3,Monthly!$C$76:$BJ$76)</f>
        <v>0</v>
      </c>
    </row>
    <row r="13" customFormat="false" ht="15" hidden="false" customHeight="false" outlineLevel="0" collapsed="false">
      <c r="A13" s="6" t="s">
        <v>82</v>
      </c>
      <c r="B13" s="53" t="n">
        <f aca="false">SUMIF(Monthly!$C$5:$BJ$5,B$3,Monthly!$C$61:$BJ$61)</f>
        <v>70000</v>
      </c>
      <c r="C13" s="53" t="n">
        <f aca="false">SUMIF(Monthly!$C$5:$BJ$5,C$3,Monthly!$C$61:$BJ$61)</f>
        <v>0</v>
      </c>
      <c r="D13" s="53" t="n">
        <f aca="false">SUMIF(Monthly!$C$5:$BJ$5,D$3,Monthly!$C$61:$BJ$61)</f>
        <v>0</v>
      </c>
      <c r="E13" s="53" t="n">
        <f aca="false">SUMIF(Monthly!$C$5:$BJ$5,E$3,Monthly!$C$61:$BJ$61)</f>
        <v>0</v>
      </c>
      <c r="F13" s="53" t="n">
        <f aca="false">SUMIF(Monthly!$C$5:$BJ$5,F$3,Monthly!$C$61:$BJ$61)</f>
        <v>0</v>
      </c>
    </row>
    <row r="14" customFormat="false" ht="15" hidden="false" customHeight="false" outlineLevel="0" collapsed="false">
      <c r="A14" s="6" t="s">
        <v>83</v>
      </c>
      <c r="B14" s="53" t="n">
        <f aca="false">SUMIF(Monthly!$C$5:$BJ$5,B$3,Monthly!$C$62:$BJ$62)</f>
        <v>-12833.3333333333</v>
      </c>
      <c r="C14" s="53" t="n">
        <f aca="false">SUMIF(Monthly!$C$5:$BJ$5,C$3,Monthly!$C$62:$BJ$62)</f>
        <v>-14000</v>
      </c>
      <c r="D14" s="53" t="n">
        <f aca="false">SUMIF(Monthly!$C$5:$BJ$5,D$3,Monthly!$C$62:$BJ$62)</f>
        <v>-14000</v>
      </c>
      <c r="E14" s="53" t="n">
        <f aca="false">SUMIF(Monthly!$C$5:$BJ$5,E$3,Monthly!$C$62:$BJ$62)</f>
        <v>-14000</v>
      </c>
      <c r="F14" s="53" t="n">
        <f aca="false">SUMIF(Monthly!$C$5:$BJ$5,F$3,Monthly!$C$62:$BJ$62)</f>
        <v>-14000</v>
      </c>
    </row>
    <row r="15" customFormat="false" ht="15" hidden="false" customHeight="false" outlineLevel="0" collapsed="false">
      <c r="A15" s="102" t="s">
        <v>52</v>
      </c>
      <c r="B15" s="54" t="n">
        <f aca="false">SUMIF(Monthly!$C$5:$BJ$5,B$3,Monthly!$C$77:$BJ$77)</f>
        <v>207166.666666667</v>
      </c>
      <c r="C15" s="54" t="n">
        <f aca="false">SUMIF(Monthly!$C$5:$BJ$5,C$3,Monthly!$C$77:$BJ$77)</f>
        <v>-14000</v>
      </c>
      <c r="D15" s="54" t="n">
        <f aca="false">SUMIF(Monthly!$C$5:$BJ$5,D$3,Monthly!$C$77:$BJ$77)</f>
        <v>-14000</v>
      </c>
      <c r="E15" s="54" t="n">
        <f aca="false">SUMIF(Monthly!$C$5:$BJ$5,E$3,Monthly!$C$77:$BJ$77)</f>
        <v>-14000</v>
      </c>
      <c r="F15" s="54" t="n">
        <f aca="false">SUMIF(Monthly!$C$5:$BJ$5,F$3,Monthly!$C$77:$BJ$77)</f>
        <v>-14000</v>
      </c>
    </row>
    <row r="16" customFormat="false" ht="15" hidden="false" customHeight="false" outlineLevel="0" collapsed="false">
      <c r="A16" s="4" t="s">
        <v>53</v>
      </c>
      <c r="B16" s="60" t="n">
        <f aca="false">SUMIF(Monthly!$C$5:$BJ$5,B$3,Monthly!$C$78:$BJ$78)</f>
        <v>44971.6030222222</v>
      </c>
      <c r="C16" s="60" t="n">
        <f aca="false">SUMIF(Monthly!$C$5:$BJ$5,C$3,Monthly!$C$78:$BJ$78)</f>
        <v>-1538.67803733331</v>
      </c>
      <c r="D16" s="60" t="n">
        <f aca="false">SUMIF(Monthly!$C$5:$BJ$5,D$3,Monthly!$C$78:$BJ$78)</f>
        <v>49236.9586737067</v>
      </c>
      <c r="E16" s="60" t="n">
        <f aca="false">SUMIF(Monthly!$C$5:$BJ$5,E$3,Monthly!$C$78:$BJ$78)</f>
        <v>85441.0188111372</v>
      </c>
      <c r="F16" s="60" t="n">
        <f aca="false">SUMIF(Monthly!$C$5:$BJ$5,F$3,Monthly!$C$78:$BJ$78)</f>
        <v>107955.062840891</v>
      </c>
    </row>
    <row r="17" customFormat="false" ht="15" hidden="false" customHeight="false" outlineLevel="0" collapsed="false">
      <c r="A17" s="6" t="s">
        <v>316</v>
      </c>
      <c r="B17" s="53" t="n">
        <f aca="false">INDEX(Monthly!$C$79:$BJ$79,(B$3-1)*12+1)</f>
        <v>0</v>
      </c>
      <c r="C17" s="53" t="n">
        <f aca="false">INDEX(Monthly!$C$79:$BJ$79,(C$3-1)*12+1)</f>
        <v>44971.6030222222</v>
      </c>
      <c r="D17" s="53" t="n">
        <f aca="false">INDEX(Monthly!$C$79:$BJ$79,(D$3-1)*12+1)</f>
        <v>43432.9249848889</v>
      </c>
      <c r="E17" s="53" t="n">
        <f aca="false">INDEX(Monthly!$C$79:$BJ$79,(E$3-1)*12+1)</f>
        <v>92669.8836585956</v>
      </c>
      <c r="F17" s="53" t="n">
        <f aca="false">INDEX(Monthly!$C$79:$BJ$79,(F$3-1)*12+1)</f>
        <v>178110.902469733</v>
      </c>
    </row>
    <row r="18" customFormat="false" ht="15" hidden="false" customHeight="false" outlineLevel="0" collapsed="false">
      <c r="A18" s="56" t="s">
        <v>84</v>
      </c>
      <c r="B18" s="57" t="n">
        <f aca="false">INDEX(Monthly!$C$80:$BJ$80,B$3*12)</f>
        <v>44971.6030222222</v>
      </c>
      <c r="C18" s="57" t="n">
        <f aca="false">INDEX(Monthly!$C$80:$BJ$80,C$3*12)</f>
        <v>43432.9249848889</v>
      </c>
      <c r="D18" s="57" t="n">
        <f aca="false">INDEX(Monthly!$C$80:$BJ$80,D$3*12)</f>
        <v>92669.8836585956</v>
      </c>
      <c r="E18" s="57" t="n">
        <f aca="false">INDEX(Monthly!$C$80:$BJ$80,E$3*12)</f>
        <v>178110.902469733</v>
      </c>
      <c r="F18" s="57" t="n">
        <f aca="false">INDEX(Monthly!$C$80:$BJ$80,F$3*12)</f>
        <v>286065.965310624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303</v>
      </c>
    </row>
    <row r="3" customFormat="false" ht="15" hidden="false" customHeight="false" outlineLevel="0" collapsed="false">
      <c r="A3" s="58" t="s">
        <v>121</v>
      </c>
      <c r="B3" s="58" t="n">
        <v>1</v>
      </c>
      <c r="C3" s="58" t="n">
        <v>2</v>
      </c>
      <c r="D3" s="58" t="n">
        <v>3</v>
      </c>
      <c r="E3" s="58" t="n">
        <v>4</v>
      </c>
      <c r="F3" s="58" t="n">
        <v>5</v>
      </c>
    </row>
    <row r="4" customFormat="false" ht="15" hidden="false" customHeight="false" outlineLevel="0" collapsed="false">
      <c r="A4" s="33"/>
      <c r="B4" s="59" t="s">
        <v>122</v>
      </c>
      <c r="C4" s="59" t="s">
        <v>123</v>
      </c>
      <c r="D4" s="59" t="s">
        <v>124</v>
      </c>
      <c r="E4" s="59" t="s">
        <v>125</v>
      </c>
      <c r="F4" s="59" t="s">
        <v>126</v>
      </c>
    </row>
    <row r="5" customFormat="false" ht="15" hidden="false" customHeight="false" outlineLevel="0" collapsed="false">
      <c r="A5" s="6" t="s">
        <v>86</v>
      </c>
      <c r="B5" s="53" t="n">
        <f aca="false">INDEX(Monthly!$C$80:$BJ$80,B$3*12)</f>
        <v>44971.6030222222</v>
      </c>
      <c r="C5" s="53" t="n">
        <f aca="false">INDEX(Monthly!$C$80:$BJ$80,C$3*12)</f>
        <v>43432.9249848889</v>
      </c>
      <c r="D5" s="53" t="n">
        <f aca="false">INDEX(Monthly!$C$80:$BJ$80,D$3*12)</f>
        <v>92669.8836585956</v>
      </c>
      <c r="E5" s="53" t="n">
        <f aca="false">INDEX(Monthly!$C$80:$BJ$80,E$3*12)</f>
        <v>178110.902469733</v>
      </c>
      <c r="F5" s="53" t="n">
        <f aca="false">INDEX(Monthly!$C$80:$BJ$80,F$3*12)</f>
        <v>286065.965310624</v>
      </c>
    </row>
    <row r="6" customFormat="false" ht="15" hidden="false" customHeight="false" outlineLevel="0" collapsed="false">
      <c r="A6" s="6" t="s">
        <v>87</v>
      </c>
      <c r="B6" s="53" t="n">
        <f aca="false">INDEX(Monthly!$C$66:$BJ$66,B$3*12)</f>
        <v>2661.44</v>
      </c>
      <c r="C6" s="53" t="n">
        <f aca="false">INDEX(Monthly!$C$66:$BJ$66,C$3*12)</f>
        <v>3326.6528</v>
      </c>
      <c r="D6" s="53" t="n">
        <f aca="false">INDEX(Monthly!$C$66:$BJ$66,D$3*12)</f>
        <v>4029.383072</v>
      </c>
      <c r="E6" s="53" t="n">
        <f aca="false">INDEX(Monthly!$C$66:$BJ$66,E$3*12)</f>
        <v>4771.2831728</v>
      </c>
      <c r="F6" s="53" t="n">
        <f aca="false">INDEX(Monthly!$C$66:$BJ$66,F$3*12)</f>
        <v>5234.2462514336</v>
      </c>
    </row>
    <row r="7" customFormat="false" ht="15" hidden="false" customHeight="false" outlineLevel="0" collapsed="false">
      <c r="A7" s="6" t="s">
        <v>88</v>
      </c>
      <c r="B7" s="53" t="n">
        <f aca="false">INDEX(Monthly!$C$67:$BJ$67,B$3*12)</f>
        <v>11253.9456</v>
      </c>
      <c r="C7" s="53" t="n">
        <f aca="false">INDEX(Monthly!$C$67:$BJ$67,C$3*12)</f>
        <v>14167.467072</v>
      </c>
      <c r="D7" s="53" t="n">
        <f aca="false">INDEX(Monthly!$C$67:$BJ$67,D$3*12)</f>
        <v>17245.67128128</v>
      </c>
      <c r="E7" s="53" t="n">
        <f aca="false">INDEX(Monthly!$C$67:$BJ$67,E$3*12)</f>
        <v>20495.817022752</v>
      </c>
      <c r="F7" s="53" t="n">
        <f aca="false">INDEX(Monthly!$C$67:$BJ$67,F$3*12)</f>
        <v>22518.0709689969</v>
      </c>
    </row>
    <row r="8" customFormat="false" ht="15" hidden="false" customHeight="false" outlineLevel="0" collapsed="false">
      <c r="A8" s="6" t="s">
        <v>89</v>
      </c>
      <c r="B8" s="53" t="n">
        <f aca="false">INDEX(Monthly!$C$57:$BJ$57,B$3*12)</f>
        <v>109200</v>
      </c>
      <c r="C8" s="53" t="n">
        <f aca="false">INDEX(Monthly!$C$57:$BJ$57,C$3*12)</f>
        <v>91000</v>
      </c>
      <c r="D8" s="53" t="n">
        <f aca="false">INDEX(Monthly!$C$57:$BJ$57,D$3*12)</f>
        <v>72800</v>
      </c>
      <c r="E8" s="53" t="n">
        <f aca="false">INDEX(Monthly!$C$57:$BJ$57,E$3*12)</f>
        <v>54600</v>
      </c>
      <c r="F8" s="53" t="n">
        <f aca="false">INDEX(Monthly!$C$57:$BJ$57,F$3*12)</f>
        <v>36400</v>
      </c>
    </row>
    <row r="9" customFormat="false" ht="15" hidden="false" customHeight="false" outlineLevel="0" collapsed="false">
      <c r="A9" s="102" t="s">
        <v>90</v>
      </c>
      <c r="B9" s="54" t="n">
        <f aca="false">INDEX(Monthly!$C$94:$BJ$94,B$3*12)</f>
        <v>168086.988622222</v>
      </c>
      <c r="C9" s="54" t="n">
        <f aca="false">INDEX(Monthly!$C$94:$BJ$94,C$3*12)</f>
        <v>151927.044856889</v>
      </c>
      <c r="D9" s="54" t="n">
        <f aca="false">INDEX(Monthly!$C$94:$BJ$94,D$3*12)</f>
        <v>186744.938011876</v>
      </c>
      <c r="E9" s="54" t="n">
        <f aca="false">INDEX(Monthly!$C$94:$BJ$94,E$3*12)</f>
        <v>257978.002665285</v>
      </c>
      <c r="F9" s="54" t="n">
        <f aca="false">INDEX(Monthly!$C$94:$BJ$94,F$3*12)</f>
        <v>350218.282531054</v>
      </c>
    </row>
    <row r="10" customFormat="false" ht="15" hidden="false" customHeight="false" outlineLevel="0" collapsed="false">
      <c r="A10" s="6" t="s">
        <v>91</v>
      </c>
      <c r="B10" s="53" t="n">
        <f aca="false">INDEX(Monthly!$C$68:$BJ$68,B$3*12)</f>
        <v>15005.2608</v>
      </c>
      <c r="C10" s="53" t="n">
        <f aca="false">INDEX(Monthly!$C$68:$BJ$68,C$3*12)</f>
        <v>18889.956096</v>
      </c>
      <c r="D10" s="53" t="n">
        <f aca="false">INDEX(Monthly!$C$68:$BJ$68,D$3*12)</f>
        <v>22994.22837504</v>
      </c>
      <c r="E10" s="53" t="n">
        <f aca="false">INDEX(Monthly!$C$68:$BJ$68,E$3*12)</f>
        <v>27327.756030336</v>
      </c>
      <c r="F10" s="53" t="n">
        <f aca="false">INDEX(Monthly!$C$68:$BJ$68,F$3*12)</f>
        <v>30024.0946253292</v>
      </c>
    </row>
    <row r="11" customFormat="false" ht="15" hidden="false" customHeight="false" outlineLevel="0" collapsed="false">
      <c r="A11" s="6" t="s">
        <v>92</v>
      </c>
      <c r="B11" s="53" t="n">
        <f aca="false">INDEX(Monthly!$C$63:$BJ$63,B$3*12)</f>
        <v>57166.6666666667</v>
      </c>
      <c r="C11" s="53" t="n">
        <f aca="false">INDEX(Monthly!$C$63:$BJ$63,C$3*12)</f>
        <v>43166.6666666667</v>
      </c>
      <c r="D11" s="53" t="n">
        <f aca="false">INDEX(Monthly!$C$63:$BJ$63,D$3*12)</f>
        <v>29166.6666666667</v>
      </c>
      <c r="E11" s="53" t="n">
        <f aca="false">INDEX(Monthly!$C$63:$BJ$63,E$3*12)</f>
        <v>15166.6666666667</v>
      </c>
      <c r="F11" s="53" t="n">
        <f aca="false">INDEX(Monthly!$C$63:$BJ$63,F$3*12)</f>
        <v>1166.66666666671</v>
      </c>
    </row>
    <row r="12" customFormat="false" ht="15" hidden="false" customHeight="false" outlineLevel="0" collapsed="false">
      <c r="A12" s="103" t="s">
        <v>93</v>
      </c>
      <c r="B12" s="104" t="n">
        <f aca="false">INDEX(Monthly!$C$95:$BJ$95,B$3*12)</f>
        <v>72171.9274666667</v>
      </c>
      <c r="C12" s="104" t="n">
        <f aca="false">INDEX(Monthly!$C$95:$BJ$95,C$3*12)</f>
        <v>62056.6227626667</v>
      </c>
      <c r="D12" s="104" t="n">
        <f aca="false">INDEX(Monthly!$C$95:$BJ$95,D$3*12)</f>
        <v>52160.8950417067</v>
      </c>
      <c r="E12" s="104" t="n">
        <f aca="false">INDEX(Monthly!$C$95:$BJ$95,E$3*12)</f>
        <v>42494.4226970027</v>
      </c>
      <c r="F12" s="104" t="n">
        <f aca="false">INDEX(Monthly!$C$95:$BJ$95,F$3*12)</f>
        <v>31190.7612919959</v>
      </c>
    </row>
    <row r="13" customFormat="false" ht="15" hidden="false" customHeight="false" outlineLevel="0" collapsed="false">
      <c r="A13" s="6" t="s">
        <v>94</v>
      </c>
      <c r="B13" s="53" t="n">
        <f aca="false">INDEX(Monthly!$C$92:$BJ$92,B$3*12)</f>
        <v>150000</v>
      </c>
      <c r="C13" s="53" t="n">
        <f aca="false">INDEX(Monthly!$C$92:$BJ$92,C$3*12)</f>
        <v>150000</v>
      </c>
      <c r="D13" s="53" t="n">
        <f aca="false">INDEX(Monthly!$C$92:$BJ$92,D$3*12)</f>
        <v>150000</v>
      </c>
      <c r="E13" s="53" t="n">
        <f aca="false">INDEX(Monthly!$C$92:$BJ$92,E$3*12)</f>
        <v>150000</v>
      </c>
      <c r="F13" s="53" t="n">
        <f aca="false">INDEX(Monthly!$C$92:$BJ$92,F$3*12)</f>
        <v>150000</v>
      </c>
    </row>
    <row r="14" customFormat="false" ht="15" hidden="false" customHeight="false" outlineLevel="0" collapsed="false">
      <c r="A14" s="6" t="s">
        <v>95</v>
      </c>
      <c r="B14" s="53" t="n">
        <f aca="false">INDEX(Monthly!$C$93:$BJ$93,B$3*12)</f>
        <v>-54084.9388444445</v>
      </c>
      <c r="C14" s="53" t="n">
        <f aca="false">INDEX(Monthly!$C$93:$BJ$93,C$3*12)</f>
        <v>-60129.5779057778</v>
      </c>
      <c r="D14" s="53" t="n">
        <f aca="false">INDEX(Monthly!$C$93:$BJ$93,D$3*12)</f>
        <v>-15415.9570298311</v>
      </c>
      <c r="E14" s="53" t="n">
        <f aca="false">INDEX(Monthly!$C$93:$BJ$93,E$3*12)</f>
        <v>65483.5799682821</v>
      </c>
      <c r="F14" s="53" t="n">
        <f aca="false">INDEX(Monthly!$C$93:$BJ$93,F$3*12)</f>
        <v>169027.521239058</v>
      </c>
    </row>
    <row r="15" customFormat="false" ht="15" hidden="false" customHeight="false" outlineLevel="0" collapsed="false">
      <c r="A15" s="103" t="s">
        <v>96</v>
      </c>
      <c r="B15" s="104" t="n">
        <f aca="false">INDEX(Monthly!$C$96:$BJ$96,B$3*12)</f>
        <v>95915.0611555555</v>
      </c>
      <c r="C15" s="104" t="n">
        <f aca="false">INDEX(Monthly!$C$96:$BJ$96,C$3*12)</f>
        <v>89870.4220942222</v>
      </c>
      <c r="D15" s="104" t="n">
        <f aca="false">INDEX(Monthly!$C$96:$BJ$96,D$3*12)</f>
        <v>134584.042970169</v>
      </c>
      <c r="E15" s="104" t="n">
        <f aca="false">INDEX(Monthly!$C$96:$BJ$96,E$3*12)</f>
        <v>215483.579968282</v>
      </c>
      <c r="F15" s="104" t="n">
        <f aca="false">INDEX(Monthly!$C$96:$BJ$96,F$3*12)</f>
        <v>319027.521239058</v>
      </c>
    </row>
    <row r="16" customFormat="false" ht="15" hidden="false" customHeight="false" outlineLevel="0" collapsed="false">
      <c r="A16" s="56" t="s">
        <v>97</v>
      </c>
      <c r="B16" s="57" t="n">
        <f aca="false">INDEX(Monthly!$C$97:$BJ$97,B$3*12)</f>
        <v>168086.988622222</v>
      </c>
      <c r="C16" s="57" t="n">
        <f aca="false">INDEX(Monthly!$C$97:$BJ$97,C$3*12)</f>
        <v>151927.044856889</v>
      </c>
      <c r="D16" s="57" t="n">
        <f aca="false">INDEX(Monthly!$C$97:$BJ$97,D$3*12)</f>
        <v>186744.938011876</v>
      </c>
      <c r="E16" s="57" t="n">
        <f aca="false">INDEX(Monthly!$C$97:$BJ$97,E$3*12)</f>
        <v>257978.002665285</v>
      </c>
      <c r="F16" s="57" t="n">
        <f aca="false">INDEX(Monthly!$C$97:$BJ$97,F$3*12)</f>
        <v>350218.282531054</v>
      </c>
    </row>
    <row r="17" customFormat="false" ht="15" hidden="false" customHeight="false" outlineLevel="0" collapsed="false">
      <c r="A17" s="6" t="s">
        <v>317</v>
      </c>
      <c r="B17" s="53" t="n">
        <f aca="false">INDEX(Monthly!$C$98:$BJ$98,B$3*12)</f>
        <v>0</v>
      </c>
      <c r="C17" s="53" t="n">
        <f aca="false">INDEX(Monthly!$C$98:$BJ$98,C$3*12)</f>
        <v>0</v>
      </c>
      <c r="D17" s="53" t="n">
        <f aca="false">INDEX(Monthly!$C$98:$BJ$98,D$3*12)</f>
        <v>0</v>
      </c>
      <c r="E17" s="53" t="n">
        <f aca="false">INDEX(Monthly!$C$98:$BJ$98,E$3*12)</f>
        <v>0</v>
      </c>
      <c r="F17" s="53" t="n">
        <f aca="false">INDEX(Monthly!$C$98:$BJ$98,F$3*12)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9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318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319</v>
      </c>
    </row>
    <row r="3" customFormat="false" ht="15" hidden="false" customHeight="false" outlineLevel="0" collapsed="false">
      <c r="A3" s="33" t="s">
        <v>320</v>
      </c>
      <c r="C3" s="59" t="s">
        <v>321</v>
      </c>
      <c r="D3" s="59" t="s">
        <v>322</v>
      </c>
      <c r="E3" s="59" t="s">
        <v>323</v>
      </c>
      <c r="F3" s="59" t="s">
        <v>324</v>
      </c>
      <c r="G3" s="59" t="s">
        <v>325</v>
      </c>
      <c r="H3" s="59" t="s">
        <v>326</v>
      </c>
      <c r="I3" s="59" t="s">
        <v>327</v>
      </c>
      <c r="J3" s="59" t="s">
        <v>328</v>
      </c>
      <c r="K3" s="59" t="s">
        <v>329</v>
      </c>
      <c r="L3" s="59" t="s">
        <v>330</v>
      </c>
      <c r="M3" s="59" t="s">
        <v>331</v>
      </c>
      <c r="N3" s="59" t="s">
        <v>332</v>
      </c>
      <c r="O3" s="59" t="s">
        <v>333</v>
      </c>
      <c r="P3" s="59" t="s">
        <v>334</v>
      </c>
      <c r="Q3" s="59" t="s">
        <v>335</v>
      </c>
      <c r="R3" s="59" t="s">
        <v>336</v>
      </c>
      <c r="S3" s="59" t="s">
        <v>337</v>
      </c>
      <c r="T3" s="59" t="s">
        <v>338</v>
      </c>
      <c r="U3" s="59" t="s">
        <v>339</v>
      </c>
      <c r="V3" s="59" t="s">
        <v>340</v>
      </c>
      <c r="W3" s="59" t="s">
        <v>341</v>
      </c>
      <c r="X3" s="59" t="s">
        <v>342</v>
      </c>
      <c r="Y3" s="59" t="s">
        <v>343</v>
      </c>
      <c r="Z3" s="59" t="s">
        <v>344</v>
      </c>
      <c r="AA3" s="59" t="s">
        <v>345</v>
      </c>
      <c r="AB3" s="59" t="s">
        <v>346</v>
      </c>
      <c r="AC3" s="59" t="s">
        <v>347</v>
      </c>
      <c r="AD3" s="59" t="s">
        <v>348</v>
      </c>
      <c r="AE3" s="59" t="s">
        <v>349</v>
      </c>
      <c r="AF3" s="59" t="s">
        <v>350</v>
      </c>
      <c r="AG3" s="59" t="s">
        <v>351</v>
      </c>
      <c r="AH3" s="59" t="s">
        <v>352</v>
      </c>
      <c r="AI3" s="59" t="s">
        <v>353</v>
      </c>
      <c r="AJ3" s="59" t="s">
        <v>354</v>
      </c>
      <c r="AK3" s="59" t="s">
        <v>355</v>
      </c>
      <c r="AL3" s="59" t="s">
        <v>356</v>
      </c>
      <c r="AM3" s="59" t="s">
        <v>357</v>
      </c>
      <c r="AN3" s="59" t="s">
        <v>358</v>
      </c>
      <c r="AO3" s="59" t="s">
        <v>359</v>
      </c>
      <c r="AP3" s="59" t="s">
        <v>360</v>
      </c>
      <c r="AQ3" s="59" t="s">
        <v>361</v>
      </c>
      <c r="AR3" s="59" t="s">
        <v>362</v>
      </c>
      <c r="AS3" s="59" t="s">
        <v>363</v>
      </c>
      <c r="AT3" s="59" t="s">
        <v>364</v>
      </c>
      <c r="AU3" s="59" t="s">
        <v>365</v>
      </c>
      <c r="AV3" s="59" t="s">
        <v>366</v>
      </c>
      <c r="AW3" s="59" t="s">
        <v>367</v>
      </c>
      <c r="AX3" s="59" t="s">
        <v>368</v>
      </c>
      <c r="AY3" s="59" t="s">
        <v>369</v>
      </c>
      <c r="AZ3" s="59" t="s">
        <v>370</v>
      </c>
      <c r="BA3" s="59" t="s">
        <v>371</v>
      </c>
      <c r="BB3" s="59" t="s">
        <v>372</v>
      </c>
      <c r="BC3" s="59" t="s">
        <v>373</v>
      </c>
      <c r="BD3" s="59" t="s">
        <v>374</v>
      </c>
      <c r="BE3" s="59" t="s">
        <v>375</v>
      </c>
      <c r="BF3" s="59" t="s">
        <v>376</v>
      </c>
      <c r="BG3" s="59" t="s">
        <v>377</v>
      </c>
      <c r="BH3" s="59" t="s">
        <v>378</v>
      </c>
      <c r="BI3" s="59" t="s">
        <v>379</v>
      </c>
      <c r="BJ3" s="59" t="s">
        <v>380</v>
      </c>
    </row>
    <row r="4" customFormat="false" ht="15" hidden="false" customHeight="false" outlineLevel="0" collapsed="false">
      <c r="A4" s="58" t="s">
        <v>381</v>
      </c>
      <c r="C4" s="58" t="n">
        <v>1</v>
      </c>
      <c r="D4" s="58" t="n">
        <v>2</v>
      </c>
      <c r="E4" s="58" t="n">
        <v>3</v>
      </c>
      <c r="F4" s="58" t="n">
        <v>4</v>
      </c>
      <c r="G4" s="58" t="n">
        <v>5</v>
      </c>
      <c r="H4" s="58" t="n">
        <v>6</v>
      </c>
      <c r="I4" s="58" t="n">
        <v>7</v>
      </c>
      <c r="J4" s="58" t="n">
        <v>8</v>
      </c>
      <c r="K4" s="58" t="n">
        <v>9</v>
      </c>
      <c r="L4" s="58" t="n">
        <v>10</v>
      </c>
      <c r="M4" s="58" t="n">
        <v>11</v>
      </c>
      <c r="N4" s="58" t="n">
        <v>12</v>
      </c>
      <c r="O4" s="58" t="n">
        <v>13</v>
      </c>
      <c r="P4" s="58" t="n">
        <v>14</v>
      </c>
      <c r="Q4" s="58" t="n">
        <v>15</v>
      </c>
      <c r="R4" s="58" t="n">
        <v>16</v>
      </c>
      <c r="S4" s="58" t="n">
        <v>17</v>
      </c>
      <c r="T4" s="58" t="n">
        <v>18</v>
      </c>
      <c r="U4" s="58" t="n">
        <v>19</v>
      </c>
      <c r="V4" s="58" t="n">
        <v>20</v>
      </c>
      <c r="W4" s="58" t="n">
        <v>21</v>
      </c>
      <c r="X4" s="58" t="n">
        <v>22</v>
      </c>
      <c r="Y4" s="58" t="n">
        <v>23</v>
      </c>
      <c r="Z4" s="58" t="n">
        <v>24</v>
      </c>
      <c r="AA4" s="58" t="n">
        <v>25</v>
      </c>
      <c r="AB4" s="58" t="n">
        <v>26</v>
      </c>
      <c r="AC4" s="58" t="n">
        <v>27</v>
      </c>
      <c r="AD4" s="58" t="n">
        <v>28</v>
      </c>
      <c r="AE4" s="58" t="n">
        <v>29</v>
      </c>
      <c r="AF4" s="58" t="n">
        <v>30</v>
      </c>
      <c r="AG4" s="58" t="n">
        <v>31</v>
      </c>
      <c r="AH4" s="58" t="n">
        <v>32</v>
      </c>
      <c r="AI4" s="58" t="n">
        <v>33</v>
      </c>
      <c r="AJ4" s="58" t="n">
        <v>34</v>
      </c>
      <c r="AK4" s="58" t="n">
        <v>35</v>
      </c>
      <c r="AL4" s="58" t="n">
        <v>36</v>
      </c>
      <c r="AM4" s="58" t="n">
        <v>37</v>
      </c>
      <c r="AN4" s="58" t="n">
        <v>38</v>
      </c>
      <c r="AO4" s="58" t="n">
        <v>39</v>
      </c>
      <c r="AP4" s="58" t="n">
        <v>40</v>
      </c>
      <c r="AQ4" s="58" t="n">
        <v>41</v>
      </c>
      <c r="AR4" s="58" t="n">
        <v>42</v>
      </c>
      <c r="AS4" s="58" t="n">
        <v>43</v>
      </c>
      <c r="AT4" s="58" t="n">
        <v>44</v>
      </c>
      <c r="AU4" s="58" t="n">
        <v>45</v>
      </c>
      <c r="AV4" s="58" t="n">
        <v>46</v>
      </c>
      <c r="AW4" s="58" t="n">
        <v>47</v>
      </c>
      <c r="AX4" s="58" t="n">
        <v>48</v>
      </c>
      <c r="AY4" s="58" t="n">
        <v>49</v>
      </c>
      <c r="AZ4" s="58" t="n">
        <v>50</v>
      </c>
      <c r="BA4" s="58" t="n">
        <v>51</v>
      </c>
      <c r="BB4" s="58" t="n">
        <v>52</v>
      </c>
      <c r="BC4" s="58" t="n">
        <v>53</v>
      </c>
      <c r="BD4" s="58" t="n">
        <v>54</v>
      </c>
      <c r="BE4" s="58" t="n">
        <v>55</v>
      </c>
      <c r="BF4" s="58" t="n">
        <v>56</v>
      </c>
      <c r="BG4" s="58" t="n">
        <v>57</v>
      </c>
      <c r="BH4" s="58" t="n">
        <v>58</v>
      </c>
      <c r="BI4" s="58" t="n">
        <v>59</v>
      </c>
      <c r="BJ4" s="58" t="n">
        <v>60</v>
      </c>
    </row>
    <row r="5" customFormat="false" ht="15" hidden="false" customHeight="false" outlineLevel="0" collapsed="false">
      <c r="A5" s="58" t="s">
        <v>121</v>
      </c>
      <c r="C5" s="58" t="n">
        <f aca="false">ROUNDUP(C4*1/12,0)</f>
        <v>1</v>
      </c>
      <c r="D5" s="58" t="n">
        <f aca="false">ROUNDUP(D4*1/12,0)</f>
        <v>1</v>
      </c>
      <c r="E5" s="58" t="n">
        <f aca="false">ROUNDUP(E4*1/12,0)</f>
        <v>1</v>
      </c>
      <c r="F5" s="58" t="n">
        <f aca="false">ROUNDUP(F4*1/12,0)</f>
        <v>1</v>
      </c>
      <c r="G5" s="58" t="n">
        <f aca="false">ROUNDUP(G4*1/12,0)</f>
        <v>1</v>
      </c>
      <c r="H5" s="58" t="n">
        <f aca="false">ROUNDUP(H4*1/12,0)</f>
        <v>1</v>
      </c>
      <c r="I5" s="58" t="n">
        <f aca="false">ROUNDUP(I4*1/12,0)</f>
        <v>1</v>
      </c>
      <c r="J5" s="58" t="n">
        <f aca="false">ROUNDUP(J4*1/12,0)</f>
        <v>1</v>
      </c>
      <c r="K5" s="58" t="n">
        <f aca="false">ROUNDUP(K4*1/12,0)</f>
        <v>1</v>
      </c>
      <c r="L5" s="58" t="n">
        <f aca="false">ROUNDUP(L4*1/12,0)</f>
        <v>1</v>
      </c>
      <c r="M5" s="58" t="n">
        <f aca="false">ROUNDUP(M4*1/12,0)</f>
        <v>1</v>
      </c>
      <c r="N5" s="58" t="n">
        <f aca="false">ROUNDUP(N4*1/12,0)</f>
        <v>1</v>
      </c>
      <c r="O5" s="58" t="n">
        <f aca="false">ROUNDUP(O4*1/12,0)</f>
        <v>2</v>
      </c>
      <c r="P5" s="58" t="n">
        <f aca="false">ROUNDUP(P4*1/12,0)</f>
        <v>2</v>
      </c>
      <c r="Q5" s="58" t="n">
        <f aca="false">ROUNDUP(Q4*1/12,0)</f>
        <v>2</v>
      </c>
      <c r="R5" s="58" t="n">
        <f aca="false">ROUNDUP(R4*1/12,0)</f>
        <v>2</v>
      </c>
      <c r="S5" s="58" t="n">
        <f aca="false">ROUNDUP(S4*1/12,0)</f>
        <v>2</v>
      </c>
      <c r="T5" s="58" t="n">
        <f aca="false">ROUNDUP(T4*1/12,0)</f>
        <v>2</v>
      </c>
      <c r="U5" s="58" t="n">
        <f aca="false">ROUNDUP(U4*1/12,0)</f>
        <v>2</v>
      </c>
      <c r="V5" s="58" t="n">
        <f aca="false">ROUNDUP(V4*1/12,0)</f>
        <v>2</v>
      </c>
      <c r="W5" s="58" t="n">
        <f aca="false">ROUNDUP(W4*1/12,0)</f>
        <v>2</v>
      </c>
      <c r="X5" s="58" t="n">
        <f aca="false">ROUNDUP(X4*1/12,0)</f>
        <v>2</v>
      </c>
      <c r="Y5" s="58" t="n">
        <f aca="false">ROUNDUP(Y4*1/12,0)</f>
        <v>2</v>
      </c>
      <c r="Z5" s="58" t="n">
        <f aca="false">ROUNDUP(Z4*1/12,0)</f>
        <v>2</v>
      </c>
      <c r="AA5" s="58" t="n">
        <f aca="false">ROUNDUP(AA4*1/12,0)</f>
        <v>3</v>
      </c>
      <c r="AB5" s="58" t="n">
        <f aca="false">ROUNDUP(AB4*1/12,0)</f>
        <v>3</v>
      </c>
      <c r="AC5" s="58" t="n">
        <f aca="false">ROUNDUP(AC4*1/12,0)</f>
        <v>3</v>
      </c>
      <c r="AD5" s="58" t="n">
        <f aca="false">ROUNDUP(AD4*1/12,0)</f>
        <v>3</v>
      </c>
      <c r="AE5" s="58" t="n">
        <f aca="false">ROUNDUP(AE4*1/12,0)</f>
        <v>3</v>
      </c>
      <c r="AF5" s="58" t="n">
        <f aca="false">ROUNDUP(AF4*1/12,0)</f>
        <v>3</v>
      </c>
      <c r="AG5" s="58" t="n">
        <f aca="false">ROUNDUP(AG4*1/12,0)</f>
        <v>3</v>
      </c>
      <c r="AH5" s="58" t="n">
        <f aca="false">ROUNDUP(AH4*1/12,0)</f>
        <v>3</v>
      </c>
      <c r="AI5" s="58" t="n">
        <f aca="false">ROUNDUP(AI4*1/12,0)</f>
        <v>3</v>
      </c>
      <c r="AJ5" s="58" t="n">
        <f aca="false">ROUNDUP(AJ4*1/12,0)</f>
        <v>3</v>
      </c>
      <c r="AK5" s="58" t="n">
        <f aca="false">ROUNDUP(AK4*1/12,0)</f>
        <v>3</v>
      </c>
      <c r="AL5" s="58" t="n">
        <f aca="false">ROUNDUP(AL4*1/12,0)</f>
        <v>3</v>
      </c>
      <c r="AM5" s="58" t="n">
        <f aca="false">ROUNDUP(AM4*1/12,0)</f>
        <v>4</v>
      </c>
      <c r="AN5" s="58" t="n">
        <f aca="false">ROUNDUP(AN4*1/12,0)</f>
        <v>4</v>
      </c>
      <c r="AO5" s="58" t="n">
        <f aca="false">ROUNDUP(AO4*1/12,0)</f>
        <v>4</v>
      </c>
      <c r="AP5" s="58" t="n">
        <f aca="false">ROUNDUP(AP4*1/12,0)</f>
        <v>4</v>
      </c>
      <c r="AQ5" s="58" t="n">
        <f aca="false">ROUNDUP(AQ4*1/12,0)</f>
        <v>4</v>
      </c>
      <c r="AR5" s="58" t="n">
        <f aca="false">ROUNDUP(AR4*1/12,0)</f>
        <v>4</v>
      </c>
      <c r="AS5" s="58" t="n">
        <f aca="false">ROUNDUP(AS4*1/12,0)</f>
        <v>4</v>
      </c>
      <c r="AT5" s="58" t="n">
        <f aca="false">ROUNDUP(AT4*1/12,0)</f>
        <v>4</v>
      </c>
      <c r="AU5" s="58" t="n">
        <f aca="false">ROUNDUP(AU4*1/12,0)</f>
        <v>4</v>
      </c>
      <c r="AV5" s="58" t="n">
        <f aca="false">ROUNDUP(AV4*1/12,0)</f>
        <v>4</v>
      </c>
      <c r="AW5" s="58" t="n">
        <f aca="false">ROUNDUP(AW4*1/12,0)</f>
        <v>4</v>
      </c>
      <c r="AX5" s="58" t="n">
        <f aca="false">ROUNDUP(AX4*1/12,0)</f>
        <v>4</v>
      </c>
      <c r="AY5" s="58" t="n">
        <f aca="false">ROUNDUP(AY4*1/12,0)</f>
        <v>5</v>
      </c>
      <c r="AZ5" s="58" t="n">
        <f aca="false">ROUNDUP(AZ4*1/12,0)</f>
        <v>5</v>
      </c>
      <c r="BA5" s="58" t="n">
        <f aca="false">ROUNDUP(BA4*1/12,0)</f>
        <v>5</v>
      </c>
      <c r="BB5" s="58" t="n">
        <f aca="false">ROUNDUP(BB4*1/12,0)</f>
        <v>5</v>
      </c>
      <c r="BC5" s="58" t="n">
        <f aca="false">ROUNDUP(BC4*1/12,0)</f>
        <v>5</v>
      </c>
      <c r="BD5" s="58" t="n">
        <f aca="false">ROUNDUP(BD4*1/12,0)</f>
        <v>5</v>
      </c>
      <c r="BE5" s="58" t="n">
        <f aca="false">ROUNDUP(BE4*1/12,0)</f>
        <v>5</v>
      </c>
      <c r="BF5" s="58" t="n">
        <f aca="false">ROUNDUP(BF4*1/12,0)</f>
        <v>5</v>
      </c>
      <c r="BG5" s="58" t="n">
        <f aca="false">ROUNDUP(BG4*1/12,0)</f>
        <v>5</v>
      </c>
      <c r="BH5" s="58" t="n">
        <f aca="false">ROUNDUP(BH4*1/12,0)</f>
        <v>5</v>
      </c>
      <c r="BI5" s="58" t="n">
        <f aca="false">ROUNDUP(BI4*1/12,0)</f>
        <v>5</v>
      </c>
      <c r="BJ5" s="58" t="n">
        <f aca="false">ROUNDUP(BJ4*1/12,0)</f>
        <v>5</v>
      </c>
    </row>
    <row r="7" customFormat="false" ht="15.75" hidden="false" customHeight="true" outlineLevel="0" collapsed="false">
      <c r="A7" s="7" t="s">
        <v>221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382</v>
      </c>
      <c r="C8" s="105" t="n">
        <f aca="false">Inputs!$E$7+Inputs!$E$8*(C$5-1)</f>
        <v>8</v>
      </c>
      <c r="D8" s="105" t="n">
        <f aca="false">Inputs!$E$7+Inputs!$E$8*(D$5-1)</f>
        <v>8</v>
      </c>
      <c r="E8" s="105" t="n">
        <f aca="false">Inputs!$E$7+Inputs!$E$8*(E$5-1)</f>
        <v>8</v>
      </c>
      <c r="F8" s="105" t="n">
        <f aca="false">Inputs!$E$7+Inputs!$E$8*(F$5-1)</f>
        <v>8</v>
      </c>
      <c r="G8" s="105" t="n">
        <f aca="false">Inputs!$E$7+Inputs!$E$8*(G$5-1)</f>
        <v>8</v>
      </c>
      <c r="H8" s="105" t="n">
        <f aca="false">Inputs!$E$7+Inputs!$E$8*(H$5-1)</f>
        <v>8</v>
      </c>
      <c r="I8" s="105" t="n">
        <f aca="false">Inputs!$E$7+Inputs!$E$8*(I$5-1)</f>
        <v>8</v>
      </c>
      <c r="J8" s="105" t="n">
        <f aca="false">Inputs!$E$7+Inputs!$E$8*(J$5-1)</f>
        <v>8</v>
      </c>
      <c r="K8" s="105" t="n">
        <f aca="false">Inputs!$E$7+Inputs!$E$8*(K$5-1)</f>
        <v>8</v>
      </c>
      <c r="L8" s="105" t="n">
        <f aca="false">Inputs!$E$7+Inputs!$E$8*(L$5-1)</f>
        <v>8</v>
      </c>
      <c r="M8" s="105" t="n">
        <f aca="false">Inputs!$E$7+Inputs!$E$8*(M$5-1)</f>
        <v>8</v>
      </c>
      <c r="N8" s="105" t="n">
        <f aca="false">Inputs!$E$7+Inputs!$E$8*(N$5-1)</f>
        <v>8</v>
      </c>
      <c r="O8" s="105" t="n">
        <f aca="false">Inputs!$E$7+Inputs!$E$8*(O$5-1)</f>
        <v>8</v>
      </c>
      <c r="P8" s="105" t="n">
        <f aca="false">Inputs!$E$7+Inputs!$E$8*(P$5-1)</f>
        <v>8</v>
      </c>
      <c r="Q8" s="105" t="n">
        <f aca="false">Inputs!$E$7+Inputs!$E$8*(Q$5-1)</f>
        <v>8</v>
      </c>
      <c r="R8" s="105" t="n">
        <f aca="false">Inputs!$E$7+Inputs!$E$8*(R$5-1)</f>
        <v>8</v>
      </c>
      <c r="S8" s="105" t="n">
        <f aca="false">Inputs!$E$7+Inputs!$E$8*(S$5-1)</f>
        <v>8</v>
      </c>
      <c r="T8" s="105" t="n">
        <f aca="false">Inputs!$E$7+Inputs!$E$8*(T$5-1)</f>
        <v>8</v>
      </c>
      <c r="U8" s="105" t="n">
        <f aca="false">Inputs!$E$7+Inputs!$E$8*(U$5-1)</f>
        <v>8</v>
      </c>
      <c r="V8" s="105" t="n">
        <f aca="false">Inputs!$E$7+Inputs!$E$8*(V$5-1)</f>
        <v>8</v>
      </c>
      <c r="W8" s="105" t="n">
        <f aca="false">Inputs!$E$7+Inputs!$E$8*(W$5-1)</f>
        <v>8</v>
      </c>
      <c r="X8" s="105" t="n">
        <f aca="false">Inputs!$E$7+Inputs!$E$8*(X$5-1)</f>
        <v>8</v>
      </c>
      <c r="Y8" s="105" t="n">
        <f aca="false">Inputs!$E$7+Inputs!$E$8*(Y$5-1)</f>
        <v>8</v>
      </c>
      <c r="Z8" s="105" t="n">
        <f aca="false">Inputs!$E$7+Inputs!$E$8*(Z$5-1)</f>
        <v>8</v>
      </c>
      <c r="AA8" s="105" t="n">
        <f aca="false">Inputs!$E$7+Inputs!$E$8*(AA$5-1)</f>
        <v>8</v>
      </c>
      <c r="AB8" s="105" t="n">
        <f aca="false">Inputs!$E$7+Inputs!$E$8*(AB$5-1)</f>
        <v>8</v>
      </c>
      <c r="AC8" s="105" t="n">
        <f aca="false">Inputs!$E$7+Inputs!$E$8*(AC$5-1)</f>
        <v>8</v>
      </c>
      <c r="AD8" s="105" t="n">
        <f aca="false">Inputs!$E$7+Inputs!$E$8*(AD$5-1)</f>
        <v>8</v>
      </c>
      <c r="AE8" s="105" t="n">
        <f aca="false">Inputs!$E$7+Inputs!$E$8*(AE$5-1)</f>
        <v>8</v>
      </c>
      <c r="AF8" s="105" t="n">
        <f aca="false">Inputs!$E$7+Inputs!$E$8*(AF$5-1)</f>
        <v>8</v>
      </c>
      <c r="AG8" s="105" t="n">
        <f aca="false">Inputs!$E$7+Inputs!$E$8*(AG$5-1)</f>
        <v>8</v>
      </c>
      <c r="AH8" s="105" t="n">
        <f aca="false">Inputs!$E$7+Inputs!$E$8*(AH$5-1)</f>
        <v>8</v>
      </c>
      <c r="AI8" s="105" t="n">
        <f aca="false">Inputs!$E$7+Inputs!$E$8*(AI$5-1)</f>
        <v>8</v>
      </c>
      <c r="AJ8" s="105" t="n">
        <f aca="false">Inputs!$E$7+Inputs!$E$8*(AJ$5-1)</f>
        <v>8</v>
      </c>
      <c r="AK8" s="105" t="n">
        <f aca="false">Inputs!$E$7+Inputs!$E$8*(AK$5-1)</f>
        <v>8</v>
      </c>
      <c r="AL8" s="105" t="n">
        <f aca="false">Inputs!$E$7+Inputs!$E$8*(AL$5-1)</f>
        <v>8</v>
      </c>
      <c r="AM8" s="105" t="n">
        <f aca="false">Inputs!$E$7+Inputs!$E$8*(AM$5-1)</f>
        <v>8</v>
      </c>
      <c r="AN8" s="105" t="n">
        <f aca="false">Inputs!$E$7+Inputs!$E$8*(AN$5-1)</f>
        <v>8</v>
      </c>
      <c r="AO8" s="105" t="n">
        <f aca="false">Inputs!$E$7+Inputs!$E$8*(AO$5-1)</f>
        <v>8</v>
      </c>
      <c r="AP8" s="105" t="n">
        <f aca="false">Inputs!$E$7+Inputs!$E$8*(AP$5-1)</f>
        <v>8</v>
      </c>
      <c r="AQ8" s="105" t="n">
        <f aca="false">Inputs!$E$7+Inputs!$E$8*(AQ$5-1)</f>
        <v>8</v>
      </c>
      <c r="AR8" s="105" t="n">
        <f aca="false">Inputs!$E$7+Inputs!$E$8*(AR$5-1)</f>
        <v>8</v>
      </c>
      <c r="AS8" s="105" t="n">
        <f aca="false">Inputs!$E$7+Inputs!$E$8*(AS$5-1)</f>
        <v>8</v>
      </c>
      <c r="AT8" s="105" t="n">
        <f aca="false">Inputs!$E$7+Inputs!$E$8*(AT$5-1)</f>
        <v>8</v>
      </c>
      <c r="AU8" s="105" t="n">
        <f aca="false">Inputs!$E$7+Inputs!$E$8*(AU$5-1)</f>
        <v>8</v>
      </c>
      <c r="AV8" s="105" t="n">
        <f aca="false">Inputs!$E$7+Inputs!$E$8*(AV$5-1)</f>
        <v>8</v>
      </c>
      <c r="AW8" s="105" t="n">
        <f aca="false">Inputs!$E$7+Inputs!$E$8*(AW$5-1)</f>
        <v>8</v>
      </c>
      <c r="AX8" s="105" t="n">
        <f aca="false">Inputs!$E$7+Inputs!$E$8*(AX$5-1)</f>
        <v>8</v>
      </c>
      <c r="AY8" s="105" t="n">
        <f aca="false">Inputs!$E$7+Inputs!$E$8*(AY$5-1)</f>
        <v>8</v>
      </c>
      <c r="AZ8" s="105" t="n">
        <f aca="false">Inputs!$E$7+Inputs!$E$8*(AZ$5-1)</f>
        <v>8</v>
      </c>
      <c r="BA8" s="105" t="n">
        <f aca="false">Inputs!$E$7+Inputs!$E$8*(BA$5-1)</f>
        <v>8</v>
      </c>
      <c r="BB8" s="105" t="n">
        <f aca="false">Inputs!$E$7+Inputs!$E$8*(BB$5-1)</f>
        <v>8</v>
      </c>
      <c r="BC8" s="105" t="n">
        <f aca="false">Inputs!$E$7+Inputs!$E$8*(BC$5-1)</f>
        <v>8</v>
      </c>
      <c r="BD8" s="105" t="n">
        <f aca="false">Inputs!$E$7+Inputs!$E$8*(BD$5-1)</f>
        <v>8</v>
      </c>
      <c r="BE8" s="105" t="n">
        <f aca="false">Inputs!$E$7+Inputs!$E$8*(BE$5-1)</f>
        <v>8</v>
      </c>
      <c r="BF8" s="105" t="n">
        <f aca="false">Inputs!$E$7+Inputs!$E$8*(BF$5-1)</f>
        <v>8</v>
      </c>
      <c r="BG8" s="105" t="n">
        <f aca="false">Inputs!$E$7+Inputs!$E$8*(BG$5-1)</f>
        <v>8</v>
      </c>
      <c r="BH8" s="105" t="n">
        <f aca="false">Inputs!$E$7+Inputs!$E$8*(BH$5-1)</f>
        <v>8</v>
      </c>
      <c r="BI8" s="105" t="n">
        <f aca="false">Inputs!$E$7+Inputs!$E$8*(BI$5-1)</f>
        <v>8</v>
      </c>
      <c r="BJ8" s="105" t="n">
        <f aca="false">Inputs!$E$7+Inputs!$E$8*(BJ$5-1)</f>
        <v>8</v>
      </c>
    </row>
    <row r="9" customFormat="false" ht="15" hidden="false" customHeight="false" outlineLevel="0" collapsed="false">
      <c r="A9" s="6" t="s">
        <v>201</v>
      </c>
      <c r="C9" s="105" t="n">
        <f aca="false">C8*Inputs!$E$25</f>
        <v>2</v>
      </c>
      <c r="D9" s="105" t="n">
        <f aca="false">D8*Inputs!$E$25</f>
        <v>2</v>
      </c>
      <c r="E9" s="105" t="n">
        <f aca="false">E8*Inputs!$E$25</f>
        <v>2</v>
      </c>
      <c r="F9" s="105" t="n">
        <f aca="false">F8*Inputs!$E$25</f>
        <v>2</v>
      </c>
      <c r="G9" s="105" t="n">
        <f aca="false">G8*Inputs!$E$25</f>
        <v>2</v>
      </c>
      <c r="H9" s="105" t="n">
        <f aca="false">H8*Inputs!$E$25</f>
        <v>2</v>
      </c>
      <c r="I9" s="105" t="n">
        <f aca="false">I8*Inputs!$E$25</f>
        <v>2</v>
      </c>
      <c r="J9" s="105" t="n">
        <f aca="false">J8*Inputs!$E$25</f>
        <v>2</v>
      </c>
      <c r="K9" s="105" t="n">
        <f aca="false">K8*Inputs!$E$25</f>
        <v>2</v>
      </c>
      <c r="L9" s="105" t="n">
        <f aca="false">L8*Inputs!$E$25</f>
        <v>2</v>
      </c>
      <c r="M9" s="105" t="n">
        <f aca="false">M8*Inputs!$E$25</f>
        <v>2</v>
      </c>
      <c r="N9" s="105" t="n">
        <f aca="false">N8*Inputs!$E$25</f>
        <v>2</v>
      </c>
      <c r="O9" s="105" t="n">
        <f aca="false">O8*Inputs!$E$25</f>
        <v>2</v>
      </c>
      <c r="P9" s="105" t="n">
        <f aca="false">P8*Inputs!$E$25</f>
        <v>2</v>
      </c>
      <c r="Q9" s="105" t="n">
        <f aca="false">Q8*Inputs!$E$25</f>
        <v>2</v>
      </c>
      <c r="R9" s="105" t="n">
        <f aca="false">R8*Inputs!$E$25</f>
        <v>2</v>
      </c>
      <c r="S9" s="105" t="n">
        <f aca="false">S8*Inputs!$E$25</f>
        <v>2</v>
      </c>
      <c r="T9" s="105" t="n">
        <f aca="false">T8*Inputs!$E$25</f>
        <v>2</v>
      </c>
      <c r="U9" s="105" t="n">
        <f aca="false">U8*Inputs!$E$25</f>
        <v>2</v>
      </c>
      <c r="V9" s="105" t="n">
        <f aca="false">V8*Inputs!$E$25</f>
        <v>2</v>
      </c>
      <c r="W9" s="105" t="n">
        <f aca="false">W8*Inputs!$E$25</f>
        <v>2</v>
      </c>
      <c r="X9" s="105" t="n">
        <f aca="false">X8*Inputs!$E$25</f>
        <v>2</v>
      </c>
      <c r="Y9" s="105" t="n">
        <f aca="false">Y8*Inputs!$E$25</f>
        <v>2</v>
      </c>
      <c r="Z9" s="105" t="n">
        <f aca="false">Z8*Inputs!$E$25</f>
        <v>2</v>
      </c>
      <c r="AA9" s="105" t="n">
        <f aca="false">AA8*Inputs!$E$25</f>
        <v>2</v>
      </c>
      <c r="AB9" s="105" t="n">
        <f aca="false">AB8*Inputs!$E$25</f>
        <v>2</v>
      </c>
      <c r="AC9" s="105" t="n">
        <f aca="false">AC8*Inputs!$E$25</f>
        <v>2</v>
      </c>
      <c r="AD9" s="105" t="n">
        <f aca="false">AD8*Inputs!$E$25</f>
        <v>2</v>
      </c>
      <c r="AE9" s="105" t="n">
        <f aca="false">AE8*Inputs!$E$25</f>
        <v>2</v>
      </c>
      <c r="AF9" s="105" t="n">
        <f aca="false">AF8*Inputs!$E$25</f>
        <v>2</v>
      </c>
      <c r="AG9" s="105" t="n">
        <f aca="false">AG8*Inputs!$E$25</f>
        <v>2</v>
      </c>
      <c r="AH9" s="105" t="n">
        <f aca="false">AH8*Inputs!$E$25</f>
        <v>2</v>
      </c>
      <c r="AI9" s="105" t="n">
        <f aca="false">AI8*Inputs!$E$25</f>
        <v>2</v>
      </c>
      <c r="AJ9" s="105" t="n">
        <f aca="false">AJ8*Inputs!$E$25</f>
        <v>2</v>
      </c>
      <c r="AK9" s="105" t="n">
        <f aca="false">AK8*Inputs!$E$25</f>
        <v>2</v>
      </c>
      <c r="AL9" s="105" t="n">
        <f aca="false">AL8*Inputs!$E$25</f>
        <v>2</v>
      </c>
      <c r="AM9" s="105" t="n">
        <f aca="false">AM8*Inputs!$E$25</f>
        <v>2</v>
      </c>
      <c r="AN9" s="105" t="n">
        <f aca="false">AN8*Inputs!$E$25</f>
        <v>2</v>
      </c>
      <c r="AO9" s="105" t="n">
        <f aca="false">AO8*Inputs!$E$25</f>
        <v>2</v>
      </c>
      <c r="AP9" s="105" t="n">
        <f aca="false">AP8*Inputs!$E$25</f>
        <v>2</v>
      </c>
      <c r="AQ9" s="105" t="n">
        <f aca="false">AQ8*Inputs!$E$25</f>
        <v>2</v>
      </c>
      <c r="AR9" s="105" t="n">
        <f aca="false">AR8*Inputs!$E$25</f>
        <v>2</v>
      </c>
      <c r="AS9" s="105" t="n">
        <f aca="false">AS8*Inputs!$E$25</f>
        <v>2</v>
      </c>
      <c r="AT9" s="105" t="n">
        <f aca="false">AT8*Inputs!$E$25</f>
        <v>2</v>
      </c>
      <c r="AU9" s="105" t="n">
        <f aca="false">AU8*Inputs!$E$25</f>
        <v>2</v>
      </c>
      <c r="AV9" s="105" t="n">
        <f aca="false">AV8*Inputs!$E$25</f>
        <v>2</v>
      </c>
      <c r="AW9" s="105" t="n">
        <f aca="false">AW8*Inputs!$E$25</f>
        <v>2</v>
      </c>
      <c r="AX9" s="105" t="n">
        <f aca="false">AX8*Inputs!$E$25</f>
        <v>2</v>
      </c>
      <c r="AY9" s="105" t="n">
        <f aca="false">AY8*Inputs!$E$25</f>
        <v>2</v>
      </c>
      <c r="AZ9" s="105" t="n">
        <f aca="false">AZ8*Inputs!$E$25</f>
        <v>2</v>
      </c>
      <c r="BA9" s="105" t="n">
        <f aca="false">BA8*Inputs!$E$25</f>
        <v>2</v>
      </c>
      <c r="BB9" s="105" t="n">
        <f aca="false">BB8*Inputs!$E$25</f>
        <v>2</v>
      </c>
      <c r="BC9" s="105" t="n">
        <f aca="false">BC8*Inputs!$E$25</f>
        <v>2</v>
      </c>
      <c r="BD9" s="105" t="n">
        <f aca="false">BD8*Inputs!$E$25</f>
        <v>2</v>
      </c>
      <c r="BE9" s="105" t="n">
        <f aca="false">BE8*Inputs!$E$25</f>
        <v>2</v>
      </c>
      <c r="BF9" s="105" t="n">
        <f aca="false">BF8*Inputs!$E$25</f>
        <v>2</v>
      </c>
      <c r="BG9" s="105" t="n">
        <f aca="false">BG8*Inputs!$E$25</f>
        <v>2</v>
      </c>
      <c r="BH9" s="105" t="n">
        <f aca="false">BH8*Inputs!$E$25</f>
        <v>2</v>
      </c>
      <c r="BI9" s="105" t="n">
        <f aca="false">BI8*Inputs!$E$25</f>
        <v>2</v>
      </c>
      <c r="BJ9" s="105" t="n">
        <f aca="false">BJ8*Inputs!$E$25</f>
        <v>2</v>
      </c>
    </row>
    <row r="10" customFormat="false" ht="15" hidden="false" customHeight="false" outlineLevel="0" collapsed="false">
      <c r="A10" s="6" t="s">
        <v>383</v>
      </c>
      <c r="C10" s="105" t="n">
        <f aca="false">C8-C9</f>
        <v>6</v>
      </c>
      <c r="D10" s="105" t="n">
        <f aca="false">D8-D9</f>
        <v>6</v>
      </c>
      <c r="E10" s="105" t="n">
        <f aca="false">E8-E9</f>
        <v>6</v>
      </c>
      <c r="F10" s="105" t="n">
        <f aca="false">F8-F9</f>
        <v>6</v>
      </c>
      <c r="G10" s="105" t="n">
        <f aca="false">G8-G9</f>
        <v>6</v>
      </c>
      <c r="H10" s="105" t="n">
        <f aca="false">H8-H9</f>
        <v>6</v>
      </c>
      <c r="I10" s="105" t="n">
        <f aca="false">I8-I9</f>
        <v>6</v>
      </c>
      <c r="J10" s="105" t="n">
        <f aca="false">J8-J9</f>
        <v>6</v>
      </c>
      <c r="K10" s="105" t="n">
        <f aca="false">K8-K9</f>
        <v>6</v>
      </c>
      <c r="L10" s="105" t="n">
        <f aca="false">L8-L9</f>
        <v>6</v>
      </c>
      <c r="M10" s="105" t="n">
        <f aca="false">M8-M9</f>
        <v>6</v>
      </c>
      <c r="N10" s="105" t="n">
        <f aca="false">N8-N9</f>
        <v>6</v>
      </c>
      <c r="O10" s="105" t="n">
        <f aca="false">O8-O9</f>
        <v>6</v>
      </c>
      <c r="P10" s="105" t="n">
        <f aca="false">P8-P9</f>
        <v>6</v>
      </c>
      <c r="Q10" s="105" t="n">
        <f aca="false">Q8-Q9</f>
        <v>6</v>
      </c>
      <c r="R10" s="105" t="n">
        <f aca="false">R8-R9</f>
        <v>6</v>
      </c>
      <c r="S10" s="105" t="n">
        <f aca="false">S8-S9</f>
        <v>6</v>
      </c>
      <c r="T10" s="105" t="n">
        <f aca="false">T8-T9</f>
        <v>6</v>
      </c>
      <c r="U10" s="105" t="n">
        <f aca="false">U8-U9</f>
        <v>6</v>
      </c>
      <c r="V10" s="105" t="n">
        <f aca="false">V8-V9</f>
        <v>6</v>
      </c>
      <c r="W10" s="105" t="n">
        <f aca="false">W8-W9</f>
        <v>6</v>
      </c>
      <c r="X10" s="105" t="n">
        <f aca="false">X8-X9</f>
        <v>6</v>
      </c>
      <c r="Y10" s="105" t="n">
        <f aca="false">Y8-Y9</f>
        <v>6</v>
      </c>
      <c r="Z10" s="105" t="n">
        <f aca="false">Z8-Z9</f>
        <v>6</v>
      </c>
      <c r="AA10" s="105" t="n">
        <f aca="false">AA8-AA9</f>
        <v>6</v>
      </c>
      <c r="AB10" s="105" t="n">
        <f aca="false">AB8-AB9</f>
        <v>6</v>
      </c>
      <c r="AC10" s="105" t="n">
        <f aca="false">AC8-AC9</f>
        <v>6</v>
      </c>
      <c r="AD10" s="105" t="n">
        <f aca="false">AD8-AD9</f>
        <v>6</v>
      </c>
      <c r="AE10" s="105" t="n">
        <f aca="false">AE8-AE9</f>
        <v>6</v>
      </c>
      <c r="AF10" s="105" t="n">
        <f aca="false">AF8-AF9</f>
        <v>6</v>
      </c>
      <c r="AG10" s="105" t="n">
        <f aca="false">AG8-AG9</f>
        <v>6</v>
      </c>
      <c r="AH10" s="105" t="n">
        <f aca="false">AH8-AH9</f>
        <v>6</v>
      </c>
      <c r="AI10" s="105" t="n">
        <f aca="false">AI8-AI9</f>
        <v>6</v>
      </c>
      <c r="AJ10" s="105" t="n">
        <f aca="false">AJ8-AJ9</f>
        <v>6</v>
      </c>
      <c r="AK10" s="105" t="n">
        <f aca="false">AK8-AK9</f>
        <v>6</v>
      </c>
      <c r="AL10" s="105" t="n">
        <f aca="false">AL8-AL9</f>
        <v>6</v>
      </c>
      <c r="AM10" s="105" t="n">
        <f aca="false">AM8-AM9</f>
        <v>6</v>
      </c>
      <c r="AN10" s="105" t="n">
        <f aca="false">AN8-AN9</f>
        <v>6</v>
      </c>
      <c r="AO10" s="105" t="n">
        <f aca="false">AO8-AO9</f>
        <v>6</v>
      </c>
      <c r="AP10" s="105" t="n">
        <f aca="false">AP8-AP9</f>
        <v>6</v>
      </c>
      <c r="AQ10" s="105" t="n">
        <f aca="false">AQ8-AQ9</f>
        <v>6</v>
      </c>
      <c r="AR10" s="105" t="n">
        <f aca="false">AR8-AR9</f>
        <v>6</v>
      </c>
      <c r="AS10" s="105" t="n">
        <f aca="false">AS8-AS9</f>
        <v>6</v>
      </c>
      <c r="AT10" s="105" t="n">
        <f aca="false">AT8-AT9</f>
        <v>6</v>
      </c>
      <c r="AU10" s="105" t="n">
        <f aca="false">AU8-AU9</f>
        <v>6</v>
      </c>
      <c r="AV10" s="105" t="n">
        <f aca="false">AV8-AV9</f>
        <v>6</v>
      </c>
      <c r="AW10" s="105" t="n">
        <f aca="false">AW8-AW9</f>
        <v>6</v>
      </c>
      <c r="AX10" s="105" t="n">
        <f aca="false">AX8-AX9</f>
        <v>6</v>
      </c>
      <c r="AY10" s="105" t="n">
        <f aca="false">AY8-AY9</f>
        <v>6</v>
      </c>
      <c r="AZ10" s="105" t="n">
        <f aca="false">AZ8-AZ9</f>
        <v>6</v>
      </c>
      <c r="BA10" s="105" t="n">
        <f aca="false">BA8-BA9</f>
        <v>6</v>
      </c>
      <c r="BB10" s="105" t="n">
        <f aca="false">BB8-BB9</f>
        <v>6</v>
      </c>
      <c r="BC10" s="105" t="n">
        <f aca="false">BC8-BC9</f>
        <v>6</v>
      </c>
      <c r="BD10" s="105" t="n">
        <f aca="false">BD8-BD9</f>
        <v>6</v>
      </c>
      <c r="BE10" s="105" t="n">
        <f aca="false">BE8-BE9</f>
        <v>6</v>
      </c>
      <c r="BF10" s="105" t="n">
        <f aca="false">BF8-BF9</f>
        <v>6</v>
      </c>
      <c r="BG10" s="105" t="n">
        <f aca="false">BG8-BG9</f>
        <v>6</v>
      </c>
      <c r="BH10" s="105" t="n">
        <f aca="false">BH8-BH9</f>
        <v>6</v>
      </c>
      <c r="BI10" s="105" t="n">
        <f aca="false">BI8-BI9</f>
        <v>6</v>
      </c>
      <c r="BJ10" s="105" t="n">
        <f aca="false">BJ8-BJ9</f>
        <v>6</v>
      </c>
    </row>
    <row r="11" customFormat="false" ht="15" hidden="false" customHeight="false" outlineLevel="0" collapsed="false">
      <c r="A11" s="6" t="s">
        <v>202</v>
      </c>
      <c r="C11" s="106" t="n">
        <f aca="false">C10*Inputs!$E$9*Inputs!$E$10*1</f>
        <v>1152</v>
      </c>
      <c r="D11" s="106" t="n">
        <f aca="false">D10*Inputs!$E$9*Inputs!$E$10*1</f>
        <v>1152</v>
      </c>
      <c r="E11" s="106" t="n">
        <f aca="false">E10*Inputs!$E$9*Inputs!$E$10*1</f>
        <v>1152</v>
      </c>
      <c r="F11" s="106" t="n">
        <f aca="false">F10*Inputs!$E$9*Inputs!$E$10*1</f>
        <v>1152</v>
      </c>
      <c r="G11" s="106" t="n">
        <f aca="false">G10*Inputs!$E$9*Inputs!$E$10*1</f>
        <v>1152</v>
      </c>
      <c r="H11" s="106" t="n">
        <f aca="false">H10*Inputs!$E$9*Inputs!$E$10*1</f>
        <v>1152</v>
      </c>
      <c r="I11" s="106" t="n">
        <f aca="false">I10*Inputs!$E$9*Inputs!$E$10*1</f>
        <v>1152</v>
      </c>
      <c r="J11" s="106" t="n">
        <f aca="false">J10*Inputs!$E$9*Inputs!$E$10*1</f>
        <v>1152</v>
      </c>
      <c r="K11" s="106" t="n">
        <f aca="false">K10*Inputs!$E$9*Inputs!$E$10*1</f>
        <v>1152</v>
      </c>
      <c r="L11" s="106" t="n">
        <f aca="false">L10*Inputs!$E$9*Inputs!$E$10*1</f>
        <v>1152</v>
      </c>
      <c r="M11" s="106" t="n">
        <f aca="false">M10*Inputs!$E$9*Inputs!$E$10*1</f>
        <v>1152</v>
      </c>
      <c r="N11" s="106" t="n">
        <f aca="false">N10*Inputs!$E$9*Inputs!$E$10*1</f>
        <v>1152</v>
      </c>
      <c r="O11" s="106" t="n">
        <f aca="false">O10*Inputs!$E$9*Inputs!$E$10*1</f>
        <v>1152</v>
      </c>
      <c r="P11" s="106" t="n">
        <f aca="false">P10*Inputs!$E$9*Inputs!$E$10*1</f>
        <v>1152</v>
      </c>
      <c r="Q11" s="106" t="n">
        <f aca="false">Q10*Inputs!$E$9*Inputs!$E$10*1</f>
        <v>1152</v>
      </c>
      <c r="R11" s="106" t="n">
        <f aca="false">R10*Inputs!$E$9*Inputs!$E$10*1</f>
        <v>1152</v>
      </c>
      <c r="S11" s="106" t="n">
        <f aca="false">S10*Inputs!$E$9*Inputs!$E$10*1</f>
        <v>1152</v>
      </c>
      <c r="T11" s="106" t="n">
        <f aca="false">T10*Inputs!$E$9*Inputs!$E$10*1</f>
        <v>1152</v>
      </c>
      <c r="U11" s="106" t="n">
        <f aca="false">U10*Inputs!$E$9*Inputs!$E$10*1</f>
        <v>1152</v>
      </c>
      <c r="V11" s="106" t="n">
        <f aca="false">V10*Inputs!$E$9*Inputs!$E$10*1</f>
        <v>1152</v>
      </c>
      <c r="W11" s="106" t="n">
        <f aca="false">W10*Inputs!$E$9*Inputs!$E$10*1</f>
        <v>1152</v>
      </c>
      <c r="X11" s="106" t="n">
        <f aca="false">X10*Inputs!$E$9*Inputs!$E$10*1</f>
        <v>1152</v>
      </c>
      <c r="Y11" s="106" t="n">
        <f aca="false">Y10*Inputs!$E$9*Inputs!$E$10*1</f>
        <v>1152</v>
      </c>
      <c r="Z11" s="106" t="n">
        <f aca="false">Z10*Inputs!$E$9*Inputs!$E$10*1</f>
        <v>1152</v>
      </c>
      <c r="AA11" s="106" t="n">
        <f aca="false">AA10*Inputs!$E$9*Inputs!$E$10*1</f>
        <v>1152</v>
      </c>
      <c r="AB11" s="106" t="n">
        <f aca="false">AB10*Inputs!$E$9*Inputs!$E$10*1</f>
        <v>1152</v>
      </c>
      <c r="AC11" s="106" t="n">
        <f aca="false">AC10*Inputs!$E$9*Inputs!$E$10*1</f>
        <v>1152</v>
      </c>
      <c r="AD11" s="106" t="n">
        <f aca="false">AD10*Inputs!$E$9*Inputs!$E$10*1</f>
        <v>1152</v>
      </c>
      <c r="AE11" s="106" t="n">
        <f aca="false">AE10*Inputs!$E$9*Inputs!$E$10*1</f>
        <v>1152</v>
      </c>
      <c r="AF11" s="106" t="n">
        <f aca="false">AF10*Inputs!$E$9*Inputs!$E$10*1</f>
        <v>1152</v>
      </c>
      <c r="AG11" s="106" t="n">
        <f aca="false">AG10*Inputs!$E$9*Inputs!$E$10*1</f>
        <v>1152</v>
      </c>
      <c r="AH11" s="106" t="n">
        <f aca="false">AH10*Inputs!$E$9*Inputs!$E$10*1</f>
        <v>1152</v>
      </c>
      <c r="AI11" s="106" t="n">
        <f aca="false">AI10*Inputs!$E$9*Inputs!$E$10*1</f>
        <v>1152</v>
      </c>
      <c r="AJ11" s="106" t="n">
        <f aca="false">AJ10*Inputs!$E$9*Inputs!$E$10*1</f>
        <v>1152</v>
      </c>
      <c r="AK11" s="106" t="n">
        <f aca="false">AK10*Inputs!$E$9*Inputs!$E$10*1</f>
        <v>1152</v>
      </c>
      <c r="AL11" s="106" t="n">
        <f aca="false">AL10*Inputs!$E$9*Inputs!$E$10*1</f>
        <v>1152</v>
      </c>
      <c r="AM11" s="106" t="n">
        <f aca="false">AM10*Inputs!$E$9*Inputs!$E$10*1</f>
        <v>1152</v>
      </c>
      <c r="AN11" s="106" t="n">
        <f aca="false">AN10*Inputs!$E$9*Inputs!$E$10*1</f>
        <v>1152</v>
      </c>
      <c r="AO11" s="106" t="n">
        <f aca="false">AO10*Inputs!$E$9*Inputs!$E$10*1</f>
        <v>1152</v>
      </c>
      <c r="AP11" s="106" t="n">
        <f aca="false">AP10*Inputs!$E$9*Inputs!$E$10*1</f>
        <v>1152</v>
      </c>
      <c r="AQ11" s="106" t="n">
        <f aca="false">AQ10*Inputs!$E$9*Inputs!$E$10*1</f>
        <v>1152</v>
      </c>
      <c r="AR11" s="106" t="n">
        <f aca="false">AR10*Inputs!$E$9*Inputs!$E$10*1</f>
        <v>1152</v>
      </c>
      <c r="AS11" s="106" t="n">
        <f aca="false">AS10*Inputs!$E$9*Inputs!$E$10*1</f>
        <v>1152</v>
      </c>
      <c r="AT11" s="106" t="n">
        <f aca="false">AT10*Inputs!$E$9*Inputs!$E$10*1</f>
        <v>1152</v>
      </c>
      <c r="AU11" s="106" t="n">
        <f aca="false">AU10*Inputs!$E$9*Inputs!$E$10*1</f>
        <v>1152</v>
      </c>
      <c r="AV11" s="106" t="n">
        <f aca="false">AV10*Inputs!$E$9*Inputs!$E$10*1</f>
        <v>1152</v>
      </c>
      <c r="AW11" s="106" t="n">
        <f aca="false">AW10*Inputs!$E$9*Inputs!$E$10*1</f>
        <v>1152</v>
      </c>
      <c r="AX11" s="106" t="n">
        <f aca="false">AX10*Inputs!$E$9*Inputs!$E$10*1</f>
        <v>1152</v>
      </c>
      <c r="AY11" s="106" t="n">
        <f aca="false">AY10*Inputs!$E$9*Inputs!$E$10*1</f>
        <v>1152</v>
      </c>
      <c r="AZ11" s="106" t="n">
        <f aca="false">AZ10*Inputs!$E$9*Inputs!$E$10*1</f>
        <v>1152</v>
      </c>
      <c r="BA11" s="106" t="n">
        <f aca="false">BA10*Inputs!$E$9*Inputs!$E$10*1</f>
        <v>1152</v>
      </c>
      <c r="BB11" s="106" t="n">
        <f aca="false">BB10*Inputs!$E$9*Inputs!$E$10*1</f>
        <v>1152</v>
      </c>
      <c r="BC11" s="106" t="n">
        <f aca="false">BC10*Inputs!$E$9*Inputs!$E$10*1</f>
        <v>1152</v>
      </c>
      <c r="BD11" s="106" t="n">
        <f aca="false">BD10*Inputs!$E$9*Inputs!$E$10*1</f>
        <v>1152</v>
      </c>
      <c r="BE11" s="106" t="n">
        <f aca="false">BE10*Inputs!$E$9*Inputs!$E$10*1</f>
        <v>1152</v>
      </c>
      <c r="BF11" s="106" t="n">
        <f aca="false">BF10*Inputs!$E$9*Inputs!$E$10*1</f>
        <v>1152</v>
      </c>
      <c r="BG11" s="106" t="n">
        <f aca="false">BG10*Inputs!$E$9*Inputs!$E$10*1</f>
        <v>1152</v>
      </c>
      <c r="BH11" s="106" t="n">
        <f aca="false">BH10*Inputs!$E$9*Inputs!$E$10*1</f>
        <v>1152</v>
      </c>
      <c r="BI11" s="106" t="n">
        <f aca="false">BI10*Inputs!$E$9*Inputs!$E$10*1</f>
        <v>1152</v>
      </c>
      <c r="BJ11" s="106" t="n">
        <f aca="false">BJ10*Inputs!$E$9*Inputs!$E$10*1</f>
        <v>1152</v>
      </c>
    </row>
    <row r="12" customFormat="false" ht="15" hidden="false" customHeight="false" outlineLevel="0" collapsed="false">
      <c r="A12" s="38" t="s">
        <v>57</v>
      </c>
      <c r="C12" s="61" t="n">
        <f aca="false">MIN(Inputs!$E$13,Inputs!$E$11+Inputs!$E$12*(C$5-1))</f>
        <v>0.45</v>
      </c>
      <c r="D12" s="61" t="n">
        <f aca="false">MIN(Inputs!$E$13,Inputs!$E$11+Inputs!$E$12*(D$5-1))</f>
        <v>0.45</v>
      </c>
      <c r="E12" s="61" t="n">
        <f aca="false">MIN(Inputs!$E$13,Inputs!$E$11+Inputs!$E$12*(E$5-1))</f>
        <v>0.45</v>
      </c>
      <c r="F12" s="61" t="n">
        <f aca="false">MIN(Inputs!$E$13,Inputs!$E$11+Inputs!$E$12*(F$5-1))</f>
        <v>0.45</v>
      </c>
      <c r="G12" s="61" t="n">
        <f aca="false">MIN(Inputs!$E$13,Inputs!$E$11+Inputs!$E$12*(G$5-1))</f>
        <v>0.45</v>
      </c>
      <c r="H12" s="61" t="n">
        <f aca="false">MIN(Inputs!$E$13,Inputs!$E$11+Inputs!$E$12*(H$5-1))</f>
        <v>0.45</v>
      </c>
      <c r="I12" s="61" t="n">
        <f aca="false">MIN(Inputs!$E$13,Inputs!$E$11+Inputs!$E$12*(I$5-1))</f>
        <v>0.45</v>
      </c>
      <c r="J12" s="61" t="n">
        <f aca="false">MIN(Inputs!$E$13,Inputs!$E$11+Inputs!$E$12*(J$5-1))</f>
        <v>0.45</v>
      </c>
      <c r="K12" s="61" t="n">
        <f aca="false">MIN(Inputs!$E$13,Inputs!$E$11+Inputs!$E$12*(K$5-1))</f>
        <v>0.45</v>
      </c>
      <c r="L12" s="61" t="n">
        <f aca="false">MIN(Inputs!$E$13,Inputs!$E$11+Inputs!$E$12*(L$5-1))</f>
        <v>0.45</v>
      </c>
      <c r="M12" s="61" t="n">
        <f aca="false">MIN(Inputs!$E$13,Inputs!$E$11+Inputs!$E$12*(M$5-1))</f>
        <v>0.45</v>
      </c>
      <c r="N12" s="61" t="n">
        <f aca="false">MIN(Inputs!$E$13,Inputs!$E$11+Inputs!$E$12*(N$5-1))</f>
        <v>0.45</v>
      </c>
      <c r="O12" s="61" t="n">
        <f aca="false">MIN(Inputs!$E$13,Inputs!$E$11+Inputs!$E$12*(O$5-1))</f>
        <v>0.55</v>
      </c>
      <c r="P12" s="61" t="n">
        <f aca="false">MIN(Inputs!$E$13,Inputs!$E$11+Inputs!$E$12*(P$5-1))</f>
        <v>0.55</v>
      </c>
      <c r="Q12" s="61" t="n">
        <f aca="false">MIN(Inputs!$E$13,Inputs!$E$11+Inputs!$E$12*(Q$5-1))</f>
        <v>0.55</v>
      </c>
      <c r="R12" s="61" t="n">
        <f aca="false">MIN(Inputs!$E$13,Inputs!$E$11+Inputs!$E$12*(R$5-1))</f>
        <v>0.55</v>
      </c>
      <c r="S12" s="61" t="n">
        <f aca="false">MIN(Inputs!$E$13,Inputs!$E$11+Inputs!$E$12*(S$5-1))</f>
        <v>0.55</v>
      </c>
      <c r="T12" s="61" t="n">
        <f aca="false">MIN(Inputs!$E$13,Inputs!$E$11+Inputs!$E$12*(T$5-1))</f>
        <v>0.55</v>
      </c>
      <c r="U12" s="61" t="n">
        <f aca="false">MIN(Inputs!$E$13,Inputs!$E$11+Inputs!$E$12*(U$5-1))</f>
        <v>0.55</v>
      </c>
      <c r="V12" s="61" t="n">
        <f aca="false">MIN(Inputs!$E$13,Inputs!$E$11+Inputs!$E$12*(V$5-1))</f>
        <v>0.55</v>
      </c>
      <c r="W12" s="61" t="n">
        <f aca="false">MIN(Inputs!$E$13,Inputs!$E$11+Inputs!$E$12*(W$5-1))</f>
        <v>0.55</v>
      </c>
      <c r="X12" s="61" t="n">
        <f aca="false">MIN(Inputs!$E$13,Inputs!$E$11+Inputs!$E$12*(X$5-1))</f>
        <v>0.55</v>
      </c>
      <c r="Y12" s="61" t="n">
        <f aca="false">MIN(Inputs!$E$13,Inputs!$E$11+Inputs!$E$12*(Y$5-1))</f>
        <v>0.55</v>
      </c>
      <c r="Z12" s="61" t="n">
        <f aca="false">MIN(Inputs!$E$13,Inputs!$E$11+Inputs!$E$12*(Z$5-1))</f>
        <v>0.55</v>
      </c>
      <c r="AA12" s="61" t="n">
        <f aca="false">MIN(Inputs!$E$13,Inputs!$E$11+Inputs!$E$12*(AA$5-1))</f>
        <v>0.65</v>
      </c>
      <c r="AB12" s="61" t="n">
        <f aca="false">MIN(Inputs!$E$13,Inputs!$E$11+Inputs!$E$12*(AB$5-1))</f>
        <v>0.65</v>
      </c>
      <c r="AC12" s="61" t="n">
        <f aca="false">MIN(Inputs!$E$13,Inputs!$E$11+Inputs!$E$12*(AC$5-1))</f>
        <v>0.65</v>
      </c>
      <c r="AD12" s="61" t="n">
        <f aca="false">MIN(Inputs!$E$13,Inputs!$E$11+Inputs!$E$12*(AD$5-1))</f>
        <v>0.65</v>
      </c>
      <c r="AE12" s="61" t="n">
        <f aca="false">MIN(Inputs!$E$13,Inputs!$E$11+Inputs!$E$12*(AE$5-1))</f>
        <v>0.65</v>
      </c>
      <c r="AF12" s="61" t="n">
        <f aca="false">MIN(Inputs!$E$13,Inputs!$E$11+Inputs!$E$12*(AF$5-1))</f>
        <v>0.65</v>
      </c>
      <c r="AG12" s="61" t="n">
        <f aca="false">MIN(Inputs!$E$13,Inputs!$E$11+Inputs!$E$12*(AG$5-1))</f>
        <v>0.65</v>
      </c>
      <c r="AH12" s="61" t="n">
        <f aca="false">MIN(Inputs!$E$13,Inputs!$E$11+Inputs!$E$12*(AH$5-1))</f>
        <v>0.65</v>
      </c>
      <c r="AI12" s="61" t="n">
        <f aca="false">MIN(Inputs!$E$13,Inputs!$E$11+Inputs!$E$12*(AI$5-1))</f>
        <v>0.65</v>
      </c>
      <c r="AJ12" s="61" t="n">
        <f aca="false">MIN(Inputs!$E$13,Inputs!$E$11+Inputs!$E$12*(AJ$5-1))</f>
        <v>0.65</v>
      </c>
      <c r="AK12" s="61" t="n">
        <f aca="false">MIN(Inputs!$E$13,Inputs!$E$11+Inputs!$E$12*(AK$5-1))</f>
        <v>0.65</v>
      </c>
      <c r="AL12" s="61" t="n">
        <f aca="false">MIN(Inputs!$E$13,Inputs!$E$11+Inputs!$E$12*(AL$5-1))</f>
        <v>0.65</v>
      </c>
      <c r="AM12" s="61" t="n">
        <f aca="false">MIN(Inputs!$E$13,Inputs!$E$11+Inputs!$E$12*(AM$5-1))</f>
        <v>0.75</v>
      </c>
      <c r="AN12" s="61" t="n">
        <f aca="false">MIN(Inputs!$E$13,Inputs!$E$11+Inputs!$E$12*(AN$5-1))</f>
        <v>0.75</v>
      </c>
      <c r="AO12" s="61" t="n">
        <f aca="false">MIN(Inputs!$E$13,Inputs!$E$11+Inputs!$E$12*(AO$5-1))</f>
        <v>0.75</v>
      </c>
      <c r="AP12" s="61" t="n">
        <f aca="false">MIN(Inputs!$E$13,Inputs!$E$11+Inputs!$E$12*(AP$5-1))</f>
        <v>0.75</v>
      </c>
      <c r="AQ12" s="61" t="n">
        <f aca="false">MIN(Inputs!$E$13,Inputs!$E$11+Inputs!$E$12*(AQ$5-1))</f>
        <v>0.75</v>
      </c>
      <c r="AR12" s="61" t="n">
        <f aca="false">MIN(Inputs!$E$13,Inputs!$E$11+Inputs!$E$12*(AR$5-1))</f>
        <v>0.75</v>
      </c>
      <c r="AS12" s="61" t="n">
        <f aca="false">MIN(Inputs!$E$13,Inputs!$E$11+Inputs!$E$12*(AS$5-1))</f>
        <v>0.75</v>
      </c>
      <c r="AT12" s="61" t="n">
        <f aca="false">MIN(Inputs!$E$13,Inputs!$E$11+Inputs!$E$12*(AT$5-1))</f>
        <v>0.75</v>
      </c>
      <c r="AU12" s="61" t="n">
        <f aca="false">MIN(Inputs!$E$13,Inputs!$E$11+Inputs!$E$12*(AU$5-1))</f>
        <v>0.75</v>
      </c>
      <c r="AV12" s="61" t="n">
        <f aca="false">MIN(Inputs!$E$13,Inputs!$E$11+Inputs!$E$12*(AV$5-1))</f>
        <v>0.75</v>
      </c>
      <c r="AW12" s="61" t="n">
        <f aca="false">MIN(Inputs!$E$13,Inputs!$E$11+Inputs!$E$12*(AW$5-1))</f>
        <v>0.75</v>
      </c>
      <c r="AX12" s="61" t="n">
        <f aca="false">MIN(Inputs!$E$13,Inputs!$E$11+Inputs!$E$12*(AX$5-1))</f>
        <v>0.75</v>
      </c>
      <c r="AY12" s="61" t="n">
        <f aca="false">MIN(Inputs!$E$13,Inputs!$E$11+Inputs!$E$12*(AY$5-1))</f>
        <v>0.8</v>
      </c>
      <c r="AZ12" s="61" t="n">
        <f aca="false">MIN(Inputs!$E$13,Inputs!$E$11+Inputs!$E$12*(AZ$5-1))</f>
        <v>0.8</v>
      </c>
      <c r="BA12" s="61" t="n">
        <f aca="false">MIN(Inputs!$E$13,Inputs!$E$11+Inputs!$E$12*(BA$5-1))</f>
        <v>0.8</v>
      </c>
      <c r="BB12" s="61" t="n">
        <f aca="false">MIN(Inputs!$E$13,Inputs!$E$11+Inputs!$E$12*(BB$5-1))</f>
        <v>0.8</v>
      </c>
      <c r="BC12" s="61" t="n">
        <f aca="false">MIN(Inputs!$E$13,Inputs!$E$11+Inputs!$E$12*(BC$5-1))</f>
        <v>0.8</v>
      </c>
      <c r="BD12" s="61" t="n">
        <f aca="false">MIN(Inputs!$E$13,Inputs!$E$11+Inputs!$E$12*(BD$5-1))</f>
        <v>0.8</v>
      </c>
      <c r="BE12" s="61" t="n">
        <f aca="false">MIN(Inputs!$E$13,Inputs!$E$11+Inputs!$E$12*(BE$5-1))</f>
        <v>0.8</v>
      </c>
      <c r="BF12" s="61" t="n">
        <f aca="false">MIN(Inputs!$E$13,Inputs!$E$11+Inputs!$E$12*(BF$5-1))</f>
        <v>0.8</v>
      </c>
      <c r="BG12" s="61" t="n">
        <f aca="false">MIN(Inputs!$E$13,Inputs!$E$11+Inputs!$E$12*(BG$5-1))</f>
        <v>0.8</v>
      </c>
      <c r="BH12" s="61" t="n">
        <f aca="false">MIN(Inputs!$E$13,Inputs!$E$11+Inputs!$E$12*(BH$5-1))</f>
        <v>0.8</v>
      </c>
      <c r="BI12" s="61" t="n">
        <f aca="false">MIN(Inputs!$E$13,Inputs!$E$11+Inputs!$E$12*(BI$5-1))</f>
        <v>0.8</v>
      </c>
      <c r="BJ12" s="61" t="n">
        <f aca="false">MIN(Inputs!$E$13,Inputs!$E$11+Inputs!$E$12*(BJ$5-1))</f>
        <v>0.8</v>
      </c>
    </row>
    <row r="13" customFormat="false" ht="15" hidden="false" customHeight="false" outlineLevel="0" collapsed="false">
      <c r="A13" s="6" t="s">
        <v>203</v>
      </c>
      <c r="C13" s="106" t="n">
        <f aca="false">C11*C12</f>
        <v>518.4</v>
      </c>
      <c r="D13" s="106" t="n">
        <f aca="false">D11*D12</f>
        <v>518.4</v>
      </c>
      <c r="E13" s="106" t="n">
        <f aca="false">E11*E12</f>
        <v>518.4</v>
      </c>
      <c r="F13" s="106" t="n">
        <f aca="false">F11*F12</f>
        <v>518.4</v>
      </c>
      <c r="G13" s="106" t="n">
        <f aca="false">G11*G12</f>
        <v>518.4</v>
      </c>
      <c r="H13" s="106" t="n">
        <f aca="false">H11*H12</f>
        <v>518.4</v>
      </c>
      <c r="I13" s="106" t="n">
        <f aca="false">I11*I12</f>
        <v>518.4</v>
      </c>
      <c r="J13" s="106" t="n">
        <f aca="false">J11*J12</f>
        <v>518.4</v>
      </c>
      <c r="K13" s="106" t="n">
        <f aca="false">K11*K12</f>
        <v>518.4</v>
      </c>
      <c r="L13" s="106" t="n">
        <f aca="false">L11*L12</f>
        <v>518.4</v>
      </c>
      <c r="M13" s="106" t="n">
        <f aca="false">M11*M12</f>
        <v>518.4</v>
      </c>
      <c r="N13" s="106" t="n">
        <f aca="false">N11*N12</f>
        <v>518.4</v>
      </c>
      <c r="O13" s="106" t="n">
        <f aca="false">O11*O12</f>
        <v>633.6</v>
      </c>
      <c r="P13" s="106" t="n">
        <f aca="false">P11*P12</f>
        <v>633.6</v>
      </c>
      <c r="Q13" s="106" t="n">
        <f aca="false">Q11*Q12</f>
        <v>633.6</v>
      </c>
      <c r="R13" s="106" t="n">
        <f aca="false">R11*R12</f>
        <v>633.6</v>
      </c>
      <c r="S13" s="106" t="n">
        <f aca="false">S11*S12</f>
        <v>633.6</v>
      </c>
      <c r="T13" s="106" t="n">
        <f aca="false">T11*T12</f>
        <v>633.6</v>
      </c>
      <c r="U13" s="106" t="n">
        <f aca="false">U11*U12</f>
        <v>633.6</v>
      </c>
      <c r="V13" s="106" t="n">
        <f aca="false">V11*V12</f>
        <v>633.6</v>
      </c>
      <c r="W13" s="106" t="n">
        <f aca="false">W11*W12</f>
        <v>633.6</v>
      </c>
      <c r="X13" s="106" t="n">
        <f aca="false">X11*X12</f>
        <v>633.6</v>
      </c>
      <c r="Y13" s="106" t="n">
        <f aca="false">Y11*Y12</f>
        <v>633.6</v>
      </c>
      <c r="Z13" s="106" t="n">
        <f aca="false">Z11*Z12</f>
        <v>633.6</v>
      </c>
      <c r="AA13" s="106" t="n">
        <f aca="false">AA11*AA12</f>
        <v>748.8</v>
      </c>
      <c r="AB13" s="106" t="n">
        <f aca="false">AB11*AB12</f>
        <v>748.8</v>
      </c>
      <c r="AC13" s="106" t="n">
        <f aca="false">AC11*AC12</f>
        <v>748.8</v>
      </c>
      <c r="AD13" s="106" t="n">
        <f aca="false">AD11*AD12</f>
        <v>748.8</v>
      </c>
      <c r="AE13" s="106" t="n">
        <f aca="false">AE11*AE12</f>
        <v>748.8</v>
      </c>
      <c r="AF13" s="106" t="n">
        <f aca="false">AF11*AF12</f>
        <v>748.8</v>
      </c>
      <c r="AG13" s="106" t="n">
        <f aca="false">AG11*AG12</f>
        <v>748.8</v>
      </c>
      <c r="AH13" s="106" t="n">
        <f aca="false">AH11*AH12</f>
        <v>748.8</v>
      </c>
      <c r="AI13" s="106" t="n">
        <f aca="false">AI11*AI12</f>
        <v>748.8</v>
      </c>
      <c r="AJ13" s="106" t="n">
        <f aca="false">AJ11*AJ12</f>
        <v>748.8</v>
      </c>
      <c r="AK13" s="106" t="n">
        <f aca="false">AK11*AK12</f>
        <v>748.8</v>
      </c>
      <c r="AL13" s="106" t="n">
        <f aca="false">AL11*AL12</f>
        <v>748.8</v>
      </c>
      <c r="AM13" s="106" t="n">
        <f aca="false">AM11*AM12</f>
        <v>864</v>
      </c>
      <c r="AN13" s="106" t="n">
        <f aca="false">AN11*AN12</f>
        <v>864</v>
      </c>
      <c r="AO13" s="106" t="n">
        <f aca="false">AO11*AO12</f>
        <v>864</v>
      </c>
      <c r="AP13" s="106" t="n">
        <f aca="false">AP11*AP12</f>
        <v>864</v>
      </c>
      <c r="AQ13" s="106" t="n">
        <f aca="false">AQ11*AQ12</f>
        <v>864</v>
      </c>
      <c r="AR13" s="106" t="n">
        <f aca="false">AR11*AR12</f>
        <v>864</v>
      </c>
      <c r="AS13" s="106" t="n">
        <f aca="false">AS11*AS12</f>
        <v>864</v>
      </c>
      <c r="AT13" s="106" t="n">
        <f aca="false">AT11*AT12</f>
        <v>864</v>
      </c>
      <c r="AU13" s="106" t="n">
        <f aca="false">AU11*AU12</f>
        <v>864</v>
      </c>
      <c r="AV13" s="106" t="n">
        <f aca="false">AV11*AV12</f>
        <v>864</v>
      </c>
      <c r="AW13" s="106" t="n">
        <f aca="false">AW11*AW12</f>
        <v>864</v>
      </c>
      <c r="AX13" s="106" t="n">
        <f aca="false">AX11*AX12</f>
        <v>864</v>
      </c>
      <c r="AY13" s="106" t="n">
        <f aca="false">AY11*AY12</f>
        <v>921.6</v>
      </c>
      <c r="AZ13" s="106" t="n">
        <f aca="false">AZ11*AZ12</f>
        <v>921.6</v>
      </c>
      <c r="BA13" s="106" t="n">
        <f aca="false">BA11*BA12</f>
        <v>921.6</v>
      </c>
      <c r="BB13" s="106" t="n">
        <f aca="false">BB11*BB12</f>
        <v>921.6</v>
      </c>
      <c r="BC13" s="106" t="n">
        <f aca="false">BC11*BC12</f>
        <v>921.6</v>
      </c>
      <c r="BD13" s="106" t="n">
        <f aca="false">BD11*BD12</f>
        <v>921.6</v>
      </c>
      <c r="BE13" s="106" t="n">
        <f aca="false">BE11*BE12</f>
        <v>921.6</v>
      </c>
      <c r="BF13" s="106" t="n">
        <f aca="false">BF11*BF12</f>
        <v>921.6</v>
      </c>
      <c r="BG13" s="106" t="n">
        <f aca="false">BG11*BG12</f>
        <v>921.6</v>
      </c>
      <c r="BH13" s="106" t="n">
        <f aca="false">BH11*BH12</f>
        <v>921.6</v>
      </c>
      <c r="BI13" s="106" t="n">
        <f aca="false">BI11*BI12</f>
        <v>921.6</v>
      </c>
      <c r="BJ13" s="106" t="n">
        <f aca="false">BJ11*BJ12</f>
        <v>921.6</v>
      </c>
    </row>
    <row r="14" customFormat="false" ht="15" hidden="false" customHeight="false" outlineLevel="0" collapsed="false">
      <c r="A14" s="4" t="s">
        <v>56</v>
      </c>
      <c r="C14" s="107" t="n">
        <f aca="false">C13*Inputs!$E$14</f>
        <v>518.4</v>
      </c>
      <c r="D14" s="107" t="n">
        <f aca="false">D13*Inputs!$E$14</f>
        <v>518.4</v>
      </c>
      <c r="E14" s="107" t="n">
        <f aca="false">E13*Inputs!$E$14</f>
        <v>518.4</v>
      </c>
      <c r="F14" s="107" t="n">
        <f aca="false">F13*Inputs!$E$14</f>
        <v>518.4</v>
      </c>
      <c r="G14" s="107" t="n">
        <f aca="false">G13*Inputs!$E$14</f>
        <v>518.4</v>
      </c>
      <c r="H14" s="107" t="n">
        <f aca="false">H13*Inputs!$E$14</f>
        <v>518.4</v>
      </c>
      <c r="I14" s="107" t="n">
        <f aca="false">I13*Inputs!$E$14</f>
        <v>518.4</v>
      </c>
      <c r="J14" s="107" t="n">
        <f aca="false">J13*Inputs!$E$14</f>
        <v>518.4</v>
      </c>
      <c r="K14" s="107" t="n">
        <f aca="false">K13*Inputs!$E$14</f>
        <v>518.4</v>
      </c>
      <c r="L14" s="107" t="n">
        <f aca="false">L13*Inputs!$E$14</f>
        <v>518.4</v>
      </c>
      <c r="M14" s="107" t="n">
        <f aca="false">M13*Inputs!$E$14</f>
        <v>518.4</v>
      </c>
      <c r="N14" s="107" t="n">
        <f aca="false">N13*Inputs!$E$14</f>
        <v>518.4</v>
      </c>
      <c r="O14" s="107" t="n">
        <f aca="false">O13*Inputs!$E$14</f>
        <v>633.6</v>
      </c>
      <c r="P14" s="107" t="n">
        <f aca="false">P13*Inputs!$E$14</f>
        <v>633.6</v>
      </c>
      <c r="Q14" s="107" t="n">
        <f aca="false">Q13*Inputs!$E$14</f>
        <v>633.6</v>
      </c>
      <c r="R14" s="107" t="n">
        <f aca="false">R13*Inputs!$E$14</f>
        <v>633.6</v>
      </c>
      <c r="S14" s="107" t="n">
        <f aca="false">S13*Inputs!$E$14</f>
        <v>633.6</v>
      </c>
      <c r="T14" s="107" t="n">
        <f aca="false">T13*Inputs!$E$14</f>
        <v>633.6</v>
      </c>
      <c r="U14" s="107" t="n">
        <f aca="false">U13*Inputs!$E$14</f>
        <v>633.6</v>
      </c>
      <c r="V14" s="107" t="n">
        <f aca="false">V13*Inputs!$E$14</f>
        <v>633.6</v>
      </c>
      <c r="W14" s="107" t="n">
        <f aca="false">W13*Inputs!$E$14</f>
        <v>633.6</v>
      </c>
      <c r="X14" s="107" t="n">
        <f aca="false">X13*Inputs!$E$14</f>
        <v>633.6</v>
      </c>
      <c r="Y14" s="107" t="n">
        <f aca="false">Y13*Inputs!$E$14</f>
        <v>633.6</v>
      </c>
      <c r="Z14" s="107" t="n">
        <f aca="false">Z13*Inputs!$E$14</f>
        <v>633.6</v>
      </c>
      <c r="AA14" s="107" t="n">
        <f aca="false">AA13*Inputs!$E$14</f>
        <v>748.8</v>
      </c>
      <c r="AB14" s="107" t="n">
        <f aca="false">AB13*Inputs!$E$14</f>
        <v>748.8</v>
      </c>
      <c r="AC14" s="107" t="n">
        <f aca="false">AC13*Inputs!$E$14</f>
        <v>748.8</v>
      </c>
      <c r="AD14" s="107" t="n">
        <f aca="false">AD13*Inputs!$E$14</f>
        <v>748.8</v>
      </c>
      <c r="AE14" s="107" t="n">
        <f aca="false">AE13*Inputs!$E$14</f>
        <v>748.8</v>
      </c>
      <c r="AF14" s="107" t="n">
        <f aca="false">AF13*Inputs!$E$14</f>
        <v>748.8</v>
      </c>
      <c r="AG14" s="107" t="n">
        <f aca="false">AG13*Inputs!$E$14</f>
        <v>748.8</v>
      </c>
      <c r="AH14" s="107" t="n">
        <f aca="false">AH13*Inputs!$E$14</f>
        <v>748.8</v>
      </c>
      <c r="AI14" s="107" t="n">
        <f aca="false">AI13*Inputs!$E$14</f>
        <v>748.8</v>
      </c>
      <c r="AJ14" s="107" t="n">
        <f aca="false">AJ13*Inputs!$E$14</f>
        <v>748.8</v>
      </c>
      <c r="AK14" s="107" t="n">
        <f aca="false">AK13*Inputs!$E$14</f>
        <v>748.8</v>
      </c>
      <c r="AL14" s="107" t="n">
        <f aca="false">AL13*Inputs!$E$14</f>
        <v>748.8</v>
      </c>
      <c r="AM14" s="107" t="n">
        <f aca="false">AM13*Inputs!$E$14</f>
        <v>864</v>
      </c>
      <c r="AN14" s="107" t="n">
        <f aca="false">AN13*Inputs!$E$14</f>
        <v>864</v>
      </c>
      <c r="AO14" s="107" t="n">
        <f aca="false">AO13*Inputs!$E$14</f>
        <v>864</v>
      </c>
      <c r="AP14" s="107" t="n">
        <f aca="false">AP13*Inputs!$E$14</f>
        <v>864</v>
      </c>
      <c r="AQ14" s="107" t="n">
        <f aca="false">AQ13*Inputs!$E$14</f>
        <v>864</v>
      </c>
      <c r="AR14" s="107" t="n">
        <f aca="false">AR13*Inputs!$E$14</f>
        <v>864</v>
      </c>
      <c r="AS14" s="107" t="n">
        <f aca="false">AS13*Inputs!$E$14</f>
        <v>864</v>
      </c>
      <c r="AT14" s="107" t="n">
        <f aca="false">AT13*Inputs!$E$14</f>
        <v>864</v>
      </c>
      <c r="AU14" s="107" t="n">
        <f aca="false">AU13*Inputs!$E$14</f>
        <v>864</v>
      </c>
      <c r="AV14" s="107" t="n">
        <f aca="false">AV13*Inputs!$E$14</f>
        <v>864</v>
      </c>
      <c r="AW14" s="107" t="n">
        <f aca="false">AW13*Inputs!$E$14</f>
        <v>864</v>
      </c>
      <c r="AX14" s="107" t="n">
        <f aca="false">AX13*Inputs!$E$14</f>
        <v>864</v>
      </c>
      <c r="AY14" s="107" t="n">
        <f aca="false">AY13*Inputs!$E$14</f>
        <v>921.6</v>
      </c>
      <c r="AZ14" s="107" t="n">
        <f aca="false">AZ13*Inputs!$E$14</f>
        <v>921.6</v>
      </c>
      <c r="BA14" s="107" t="n">
        <f aca="false">BA13*Inputs!$E$14</f>
        <v>921.6</v>
      </c>
      <c r="BB14" s="107" t="n">
        <f aca="false">BB13*Inputs!$E$14</f>
        <v>921.6</v>
      </c>
      <c r="BC14" s="107" t="n">
        <f aca="false">BC13*Inputs!$E$14</f>
        <v>921.6</v>
      </c>
      <c r="BD14" s="107" t="n">
        <f aca="false">BD13*Inputs!$E$14</f>
        <v>921.6</v>
      </c>
      <c r="BE14" s="107" t="n">
        <f aca="false">BE13*Inputs!$E$14</f>
        <v>921.6</v>
      </c>
      <c r="BF14" s="107" t="n">
        <f aca="false">BF13*Inputs!$E$14</f>
        <v>921.6</v>
      </c>
      <c r="BG14" s="107" t="n">
        <f aca="false">BG13*Inputs!$E$14</f>
        <v>921.6</v>
      </c>
      <c r="BH14" s="107" t="n">
        <f aca="false">BH13*Inputs!$E$14</f>
        <v>921.6</v>
      </c>
      <c r="BI14" s="107" t="n">
        <f aca="false">BI13*Inputs!$E$14</f>
        <v>921.6</v>
      </c>
      <c r="BJ14" s="107" t="n">
        <f aca="false">BJ13*Inputs!$E$14</f>
        <v>921.6</v>
      </c>
    </row>
    <row r="16" customFormat="false" ht="15.75" hidden="false" customHeight="true" outlineLevel="0" collapsed="false">
      <c r="A16" s="7" t="s">
        <v>42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6" t="s">
        <v>384</v>
      </c>
      <c r="C17" s="108" t="n">
        <f aca="false">Inputs!$E$17*(1+Inputs!$E$18)^(C$5-1)</f>
        <v>68</v>
      </c>
      <c r="D17" s="108" t="n">
        <f aca="false">Inputs!$E$17*(1+Inputs!$E$18)^(D$5-1)</f>
        <v>68</v>
      </c>
      <c r="E17" s="108" t="n">
        <f aca="false">Inputs!$E$17*(1+Inputs!$E$18)^(E$5-1)</f>
        <v>68</v>
      </c>
      <c r="F17" s="108" t="n">
        <f aca="false">Inputs!$E$17*(1+Inputs!$E$18)^(F$5-1)</f>
        <v>68</v>
      </c>
      <c r="G17" s="108" t="n">
        <f aca="false">Inputs!$E$17*(1+Inputs!$E$18)^(G$5-1)</f>
        <v>68</v>
      </c>
      <c r="H17" s="108" t="n">
        <f aca="false">Inputs!$E$17*(1+Inputs!$E$18)^(H$5-1)</f>
        <v>68</v>
      </c>
      <c r="I17" s="108" t="n">
        <f aca="false">Inputs!$E$17*(1+Inputs!$E$18)^(I$5-1)</f>
        <v>68</v>
      </c>
      <c r="J17" s="108" t="n">
        <f aca="false">Inputs!$E$17*(1+Inputs!$E$18)^(J$5-1)</f>
        <v>68</v>
      </c>
      <c r="K17" s="108" t="n">
        <f aca="false">Inputs!$E$17*(1+Inputs!$E$18)^(K$5-1)</f>
        <v>68</v>
      </c>
      <c r="L17" s="108" t="n">
        <f aca="false">Inputs!$E$17*(1+Inputs!$E$18)^(L$5-1)</f>
        <v>68</v>
      </c>
      <c r="M17" s="108" t="n">
        <f aca="false">Inputs!$E$17*(1+Inputs!$E$18)^(M$5-1)</f>
        <v>68</v>
      </c>
      <c r="N17" s="108" t="n">
        <f aca="false">Inputs!$E$17*(1+Inputs!$E$18)^(N$5-1)</f>
        <v>68</v>
      </c>
      <c r="O17" s="108" t="n">
        <f aca="false">Inputs!$E$17*(1+Inputs!$E$18)^(O$5-1)</f>
        <v>70.04</v>
      </c>
      <c r="P17" s="108" t="n">
        <f aca="false">Inputs!$E$17*(1+Inputs!$E$18)^(P$5-1)</f>
        <v>70.04</v>
      </c>
      <c r="Q17" s="108" t="n">
        <f aca="false">Inputs!$E$17*(1+Inputs!$E$18)^(Q$5-1)</f>
        <v>70.04</v>
      </c>
      <c r="R17" s="108" t="n">
        <f aca="false">Inputs!$E$17*(1+Inputs!$E$18)^(R$5-1)</f>
        <v>70.04</v>
      </c>
      <c r="S17" s="108" t="n">
        <f aca="false">Inputs!$E$17*(1+Inputs!$E$18)^(S$5-1)</f>
        <v>70.04</v>
      </c>
      <c r="T17" s="108" t="n">
        <f aca="false">Inputs!$E$17*(1+Inputs!$E$18)^(T$5-1)</f>
        <v>70.04</v>
      </c>
      <c r="U17" s="108" t="n">
        <f aca="false">Inputs!$E$17*(1+Inputs!$E$18)^(U$5-1)</f>
        <v>70.04</v>
      </c>
      <c r="V17" s="108" t="n">
        <f aca="false">Inputs!$E$17*(1+Inputs!$E$18)^(V$5-1)</f>
        <v>70.04</v>
      </c>
      <c r="W17" s="108" t="n">
        <f aca="false">Inputs!$E$17*(1+Inputs!$E$18)^(W$5-1)</f>
        <v>70.04</v>
      </c>
      <c r="X17" s="108" t="n">
        <f aca="false">Inputs!$E$17*(1+Inputs!$E$18)^(X$5-1)</f>
        <v>70.04</v>
      </c>
      <c r="Y17" s="108" t="n">
        <f aca="false">Inputs!$E$17*(1+Inputs!$E$18)^(Y$5-1)</f>
        <v>70.04</v>
      </c>
      <c r="Z17" s="108" t="n">
        <f aca="false">Inputs!$E$17*(1+Inputs!$E$18)^(Z$5-1)</f>
        <v>70.04</v>
      </c>
      <c r="AA17" s="108" t="n">
        <f aca="false">Inputs!$E$17*(1+Inputs!$E$18)^(AA$5-1)</f>
        <v>72.1412</v>
      </c>
      <c r="AB17" s="108" t="n">
        <f aca="false">Inputs!$E$17*(1+Inputs!$E$18)^(AB$5-1)</f>
        <v>72.1412</v>
      </c>
      <c r="AC17" s="108" t="n">
        <f aca="false">Inputs!$E$17*(1+Inputs!$E$18)^(AC$5-1)</f>
        <v>72.1412</v>
      </c>
      <c r="AD17" s="108" t="n">
        <f aca="false">Inputs!$E$17*(1+Inputs!$E$18)^(AD$5-1)</f>
        <v>72.1412</v>
      </c>
      <c r="AE17" s="108" t="n">
        <f aca="false">Inputs!$E$17*(1+Inputs!$E$18)^(AE$5-1)</f>
        <v>72.1412</v>
      </c>
      <c r="AF17" s="108" t="n">
        <f aca="false">Inputs!$E$17*(1+Inputs!$E$18)^(AF$5-1)</f>
        <v>72.1412</v>
      </c>
      <c r="AG17" s="108" t="n">
        <f aca="false">Inputs!$E$17*(1+Inputs!$E$18)^(AG$5-1)</f>
        <v>72.1412</v>
      </c>
      <c r="AH17" s="108" t="n">
        <f aca="false">Inputs!$E$17*(1+Inputs!$E$18)^(AH$5-1)</f>
        <v>72.1412</v>
      </c>
      <c r="AI17" s="108" t="n">
        <f aca="false">Inputs!$E$17*(1+Inputs!$E$18)^(AI$5-1)</f>
        <v>72.1412</v>
      </c>
      <c r="AJ17" s="108" t="n">
        <f aca="false">Inputs!$E$17*(1+Inputs!$E$18)^(AJ$5-1)</f>
        <v>72.1412</v>
      </c>
      <c r="AK17" s="108" t="n">
        <f aca="false">Inputs!$E$17*(1+Inputs!$E$18)^(AK$5-1)</f>
        <v>72.1412</v>
      </c>
      <c r="AL17" s="108" t="n">
        <f aca="false">Inputs!$E$17*(1+Inputs!$E$18)^(AL$5-1)</f>
        <v>72.1412</v>
      </c>
      <c r="AM17" s="108" t="n">
        <f aca="false">Inputs!$E$17*(1+Inputs!$E$18)^(AM$5-1)</f>
        <v>74.305436</v>
      </c>
      <c r="AN17" s="108" t="n">
        <f aca="false">Inputs!$E$17*(1+Inputs!$E$18)^(AN$5-1)</f>
        <v>74.305436</v>
      </c>
      <c r="AO17" s="108" t="n">
        <f aca="false">Inputs!$E$17*(1+Inputs!$E$18)^(AO$5-1)</f>
        <v>74.305436</v>
      </c>
      <c r="AP17" s="108" t="n">
        <f aca="false">Inputs!$E$17*(1+Inputs!$E$18)^(AP$5-1)</f>
        <v>74.305436</v>
      </c>
      <c r="AQ17" s="108" t="n">
        <f aca="false">Inputs!$E$17*(1+Inputs!$E$18)^(AQ$5-1)</f>
        <v>74.305436</v>
      </c>
      <c r="AR17" s="108" t="n">
        <f aca="false">Inputs!$E$17*(1+Inputs!$E$18)^(AR$5-1)</f>
        <v>74.305436</v>
      </c>
      <c r="AS17" s="108" t="n">
        <f aca="false">Inputs!$E$17*(1+Inputs!$E$18)^(AS$5-1)</f>
        <v>74.305436</v>
      </c>
      <c r="AT17" s="108" t="n">
        <f aca="false">Inputs!$E$17*(1+Inputs!$E$18)^(AT$5-1)</f>
        <v>74.305436</v>
      </c>
      <c r="AU17" s="108" t="n">
        <f aca="false">Inputs!$E$17*(1+Inputs!$E$18)^(AU$5-1)</f>
        <v>74.305436</v>
      </c>
      <c r="AV17" s="108" t="n">
        <f aca="false">Inputs!$E$17*(1+Inputs!$E$18)^(AV$5-1)</f>
        <v>74.305436</v>
      </c>
      <c r="AW17" s="108" t="n">
        <f aca="false">Inputs!$E$17*(1+Inputs!$E$18)^(AW$5-1)</f>
        <v>74.305436</v>
      </c>
      <c r="AX17" s="108" t="n">
        <f aca="false">Inputs!$E$17*(1+Inputs!$E$18)^(AX$5-1)</f>
        <v>74.305436</v>
      </c>
      <c r="AY17" s="108" t="n">
        <f aca="false">Inputs!$E$17*(1+Inputs!$E$18)^(AY$5-1)</f>
        <v>76.53459908</v>
      </c>
      <c r="AZ17" s="108" t="n">
        <f aca="false">Inputs!$E$17*(1+Inputs!$E$18)^(AZ$5-1)</f>
        <v>76.53459908</v>
      </c>
      <c r="BA17" s="108" t="n">
        <f aca="false">Inputs!$E$17*(1+Inputs!$E$18)^(BA$5-1)</f>
        <v>76.53459908</v>
      </c>
      <c r="BB17" s="108" t="n">
        <f aca="false">Inputs!$E$17*(1+Inputs!$E$18)^(BB$5-1)</f>
        <v>76.53459908</v>
      </c>
      <c r="BC17" s="108" t="n">
        <f aca="false">Inputs!$E$17*(1+Inputs!$E$18)^(BC$5-1)</f>
        <v>76.53459908</v>
      </c>
      <c r="BD17" s="108" t="n">
        <f aca="false">Inputs!$E$17*(1+Inputs!$E$18)^(BD$5-1)</f>
        <v>76.53459908</v>
      </c>
      <c r="BE17" s="108" t="n">
        <f aca="false">Inputs!$E$17*(1+Inputs!$E$18)^(BE$5-1)</f>
        <v>76.53459908</v>
      </c>
      <c r="BF17" s="108" t="n">
        <f aca="false">Inputs!$E$17*(1+Inputs!$E$18)^(BF$5-1)</f>
        <v>76.53459908</v>
      </c>
      <c r="BG17" s="108" t="n">
        <f aca="false">Inputs!$E$17*(1+Inputs!$E$18)^(BG$5-1)</f>
        <v>76.53459908</v>
      </c>
      <c r="BH17" s="108" t="n">
        <f aca="false">Inputs!$E$17*(1+Inputs!$E$18)^(BH$5-1)</f>
        <v>76.53459908</v>
      </c>
      <c r="BI17" s="108" t="n">
        <f aca="false">Inputs!$E$17*(1+Inputs!$E$18)^(BI$5-1)</f>
        <v>76.53459908</v>
      </c>
      <c r="BJ17" s="108" t="n">
        <f aca="false">Inputs!$E$17*(1+Inputs!$E$18)^(BJ$5-1)</f>
        <v>76.53459908</v>
      </c>
    </row>
    <row r="18" customFormat="false" ht="15" hidden="false" customHeight="false" outlineLevel="0" collapsed="false">
      <c r="A18" s="6" t="s">
        <v>205</v>
      </c>
      <c r="C18" s="53" t="n">
        <f aca="false">C14*C17</f>
        <v>35251.2</v>
      </c>
      <c r="D18" s="53" t="n">
        <f aca="false">D14*D17</f>
        <v>35251.2</v>
      </c>
      <c r="E18" s="53" t="n">
        <f aca="false">E14*E17</f>
        <v>35251.2</v>
      </c>
      <c r="F18" s="53" t="n">
        <f aca="false">F14*F17</f>
        <v>35251.2</v>
      </c>
      <c r="G18" s="53" t="n">
        <f aca="false">G14*G17</f>
        <v>35251.2</v>
      </c>
      <c r="H18" s="53" t="n">
        <f aca="false">H14*H17</f>
        <v>35251.2</v>
      </c>
      <c r="I18" s="53" t="n">
        <f aca="false">I14*I17</f>
        <v>35251.2</v>
      </c>
      <c r="J18" s="53" t="n">
        <f aca="false">J14*J17</f>
        <v>35251.2</v>
      </c>
      <c r="K18" s="53" t="n">
        <f aca="false">K14*K17</f>
        <v>35251.2</v>
      </c>
      <c r="L18" s="53" t="n">
        <f aca="false">L14*L17</f>
        <v>35251.2</v>
      </c>
      <c r="M18" s="53" t="n">
        <f aca="false">M14*M17</f>
        <v>35251.2</v>
      </c>
      <c r="N18" s="53" t="n">
        <f aca="false">N14*N17</f>
        <v>35251.2</v>
      </c>
      <c r="O18" s="53" t="n">
        <f aca="false">O14*O17</f>
        <v>44377.344</v>
      </c>
      <c r="P18" s="53" t="n">
        <f aca="false">P14*P17</f>
        <v>44377.344</v>
      </c>
      <c r="Q18" s="53" t="n">
        <f aca="false">Q14*Q17</f>
        <v>44377.344</v>
      </c>
      <c r="R18" s="53" t="n">
        <f aca="false">R14*R17</f>
        <v>44377.344</v>
      </c>
      <c r="S18" s="53" t="n">
        <f aca="false">S14*S17</f>
        <v>44377.344</v>
      </c>
      <c r="T18" s="53" t="n">
        <f aca="false">T14*T17</f>
        <v>44377.344</v>
      </c>
      <c r="U18" s="53" t="n">
        <f aca="false">U14*U17</f>
        <v>44377.344</v>
      </c>
      <c r="V18" s="53" t="n">
        <f aca="false">V14*V17</f>
        <v>44377.344</v>
      </c>
      <c r="W18" s="53" t="n">
        <f aca="false">W14*W17</f>
        <v>44377.344</v>
      </c>
      <c r="X18" s="53" t="n">
        <f aca="false">X14*X17</f>
        <v>44377.344</v>
      </c>
      <c r="Y18" s="53" t="n">
        <f aca="false">Y14*Y17</f>
        <v>44377.344</v>
      </c>
      <c r="Z18" s="53" t="n">
        <f aca="false">Z14*Z17</f>
        <v>44377.344</v>
      </c>
      <c r="AA18" s="53" t="n">
        <f aca="false">AA14*AA17</f>
        <v>54019.33056</v>
      </c>
      <c r="AB18" s="53" t="n">
        <f aca="false">AB14*AB17</f>
        <v>54019.33056</v>
      </c>
      <c r="AC18" s="53" t="n">
        <f aca="false">AC14*AC17</f>
        <v>54019.33056</v>
      </c>
      <c r="AD18" s="53" t="n">
        <f aca="false">AD14*AD17</f>
        <v>54019.33056</v>
      </c>
      <c r="AE18" s="53" t="n">
        <f aca="false">AE14*AE17</f>
        <v>54019.33056</v>
      </c>
      <c r="AF18" s="53" t="n">
        <f aca="false">AF14*AF17</f>
        <v>54019.33056</v>
      </c>
      <c r="AG18" s="53" t="n">
        <f aca="false">AG14*AG17</f>
        <v>54019.33056</v>
      </c>
      <c r="AH18" s="53" t="n">
        <f aca="false">AH14*AH17</f>
        <v>54019.33056</v>
      </c>
      <c r="AI18" s="53" t="n">
        <f aca="false">AI14*AI17</f>
        <v>54019.33056</v>
      </c>
      <c r="AJ18" s="53" t="n">
        <f aca="false">AJ14*AJ17</f>
        <v>54019.33056</v>
      </c>
      <c r="AK18" s="53" t="n">
        <f aca="false">AK14*AK17</f>
        <v>54019.33056</v>
      </c>
      <c r="AL18" s="53" t="n">
        <f aca="false">AL14*AL17</f>
        <v>54019.33056</v>
      </c>
      <c r="AM18" s="53" t="n">
        <f aca="false">AM14*AM17</f>
        <v>64199.896704</v>
      </c>
      <c r="AN18" s="53" t="n">
        <f aca="false">AN14*AN17</f>
        <v>64199.896704</v>
      </c>
      <c r="AO18" s="53" t="n">
        <f aca="false">AO14*AO17</f>
        <v>64199.896704</v>
      </c>
      <c r="AP18" s="53" t="n">
        <f aca="false">AP14*AP17</f>
        <v>64199.896704</v>
      </c>
      <c r="AQ18" s="53" t="n">
        <f aca="false">AQ14*AQ17</f>
        <v>64199.896704</v>
      </c>
      <c r="AR18" s="53" t="n">
        <f aca="false">AR14*AR17</f>
        <v>64199.896704</v>
      </c>
      <c r="AS18" s="53" t="n">
        <f aca="false">AS14*AS17</f>
        <v>64199.896704</v>
      </c>
      <c r="AT18" s="53" t="n">
        <f aca="false">AT14*AT17</f>
        <v>64199.896704</v>
      </c>
      <c r="AU18" s="53" t="n">
        <f aca="false">AU14*AU17</f>
        <v>64199.896704</v>
      </c>
      <c r="AV18" s="53" t="n">
        <f aca="false">AV14*AV17</f>
        <v>64199.896704</v>
      </c>
      <c r="AW18" s="53" t="n">
        <f aca="false">AW14*AW17</f>
        <v>64199.896704</v>
      </c>
      <c r="AX18" s="53" t="n">
        <f aca="false">AX14*AX17</f>
        <v>64199.896704</v>
      </c>
      <c r="AY18" s="53" t="n">
        <f aca="false">AY14*AY17</f>
        <v>70534.286512128</v>
      </c>
      <c r="AZ18" s="53" t="n">
        <f aca="false">AZ14*AZ17</f>
        <v>70534.286512128</v>
      </c>
      <c r="BA18" s="53" t="n">
        <f aca="false">BA14*BA17</f>
        <v>70534.286512128</v>
      </c>
      <c r="BB18" s="53" t="n">
        <f aca="false">BB14*BB17</f>
        <v>70534.286512128</v>
      </c>
      <c r="BC18" s="53" t="n">
        <f aca="false">BC14*BC17</f>
        <v>70534.286512128</v>
      </c>
      <c r="BD18" s="53" t="n">
        <f aca="false">BD14*BD17</f>
        <v>70534.286512128</v>
      </c>
      <c r="BE18" s="53" t="n">
        <f aca="false">BE14*BE17</f>
        <v>70534.286512128</v>
      </c>
      <c r="BF18" s="53" t="n">
        <f aca="false">BF14*BF17</f>
        <v>70534.286512128</v>
      </c>
      <c r="BG18" s="53" t="n">
        <f aca="false">BG14*BG17</f>
        <v>70534.286512128</v>
      </c>
      <c r="BH18" s="53" t="n">
        <f aca="false">BH14*BH17</f>
        <v>70534.286512128</v>
      </c>
      <c r="BI18" s="53" t="n">
        <f aca="false">BI14*BI17</f>
        <v>70534.286512128</v>
      </c>
      <c r="BJ18" s="53" t="n">
        <f aca="false">BJ14*BJ17</f>
        <v>70534.286512128</v>
      </c>
    </row>
    <row r="19" customFormat="false" ht="15" hidden="false" customHeight="false" outlineLevel="0" collapsed="false">
      <c r="A19" s="6" t="s">
        <v>207</v>
      </c>
      <c r="C19" s="53" t="n">
        <f aca="false">C14*Inputs!$E$21*Inputs!$E$22*(1+Inputs!$E$18)^(C$5-1)</f>
        <v>3110.4</v>
      </c>
      <c r="D19" s="53" t="n">
        <f aca="false">D14*Inputs!$E$21*Inputs!$E$22*(1+Inputs!$E$18)^(D$5-1)</f>
        <v>3110.4</v>
      </c>
      <c r="E19" s="53" t="n">
        <f aca="false">E14*Inputs!$E$21*Inputs!$E$22*(1+Inputs!$E$18)^(E$5-1)</f>
        <v>3110.4</v>
      </c>
      <c r="F19" s="53" t="n">
        <f aca="false">F14*Inputs!$E$21*Inputs!$E$22*(1+Inputs!$E$18)^(F$5-1)</f>
        <v>3110.4</v>
      </c>
      <c r="G19" s="53" t="n">
        <f aca="false">G14*Inputs!$E$21*Inputs!$E$22*(1+Inputs!$E$18)^(G$5-1)</f>
        <v>3110.4</v>
      </c>
      <c r="H19" s="53" t="n">
        <f aca="false">H14*Inputs!$E$21*Inputs!$E$22*(1+Inputs!$E$18)^(H$5-1)</f>
        <v>3110.4</v>
      </c>
      <c r="I19" s="53" t="n">
        <f aca="false">I14*Inputs!$E$21*Inputs!$E$22*(1+Inputs!$E$18)^(I$5-1)</f>
        <v>3110.4</v>
      </c>
      <c r="J19" s="53" t="n">
        <f aca="false">J14*Inputs!$E$21*Inputs!$E$22*(1+Inputs!$E$18)^(J$5-1)</f>
        <v>3110.4</v>
      </c>
      <c r="K19" s="53" t="n">
        <f aca="false">K14*Inputs!$E$21*Inputs!$E$22*(1+Inputs!$E$18)^(K$5-1)</f>
        <v>3110.4</v>
      </c>
      <c r="L19" s="53" t="n">
        <f aca="false">L14*Inputs!$E$21*Inputs!$E$22*(1+Inputs!$E$18)^(L$5-1)</f>
        <v>3110.4</v>
      </c>
      <c r="M19" s="53" t="n">
        <f aca="false">M14*Inputs!$E$21*Inputs!$E$22*(1+Inputs!$E$18)^(M$5-1)</f>
        <v>3110.4</v>
      </c>
      <c r="N19" s="53" t="n">
        <f aca="false">N14*Inputs!$E$21*Inputs!$E$22*(1+Inputs!$E$18)^(N$5-1)</f>
        <v>3110.4</v>
      </c>
      <c r="O19" s="53" t="n">
        <f aca="false">O14*Inputs!$E$21*Inputs!$E$22*(1+Inputs!$E$18)^(O$5-1)</f>
        <v>3915.648</v>
      </c>
      <c r="P19" s="53" t="n">
        <f aca="false">P14*Inputs!$E$21*Inputs!$E$22*(1+Inputs!$E$18)^(P$5-1)</f>
        <v>3915.648</v>
      </c>
      <c r="Q19" s="53" t="n">
        <f aca="false">Q14*Inputs!$E$21*Inputs!$E$22*(1+Inputs!$E$18)^(Q$5-1)</f>
        <v>3915.648</v>
      </c>
      <c r="R19" s="53" t="n">
        <f aca="false">R14*Inputs!$E$21*Inputs!$E$22*(1+Inputs!$E$18)^(R$5-1)</f>
        <v>3915.648</v>
      </c>
      <c r="S19" s="53" t="n">
        <f aca="false">S14*Inputs!$E$21*Inputs!$E$22*(1+Inputs!$E$18)^(S$5-1)</f>
        <v>3915.648</v>
      </c>
      <c r="T19" s="53" t="n">
        <f aca="false">T14*Inputs!$E$21*Inputs!$E$22*(1+Inputs!$E$18)^(T$5-1)</f>
        <v>3915.648</v>
      </c>
      <c r="U19" s="53" t="n">
        <f aca="false">U14*Inputs!$E$21*Inputs!$E$22*(1+Inputs!$E$18)^(U$5-1)</f>
        <v>3915.648</v>
      </c>
      <c r="V19" s="53" t="n">
        <f aca="false">V14*Inputs!$E$21*Inputs!$E$22*(1+Inputs!$E$18)^(V$5-1)</f>
        <v>3915.648</v>
      </c>
      <c r="W19" s="53" t="n">
        <f aca="false">W14*Inputs!$E$21*Inputs!$E$22*(1+Inputs!$E$18)^(W$5-1)</f>
        <v>3915.648</v>
      </c>
      <c r="X19" s="53" t="n">
        <f aca="false">X14*Inputs!$E$21*Inputs!$E$22*(1+Inputs!$E$18)^(X$5-1)</f>
        <v>3915.648</v>
      </c>
      <c r="Y19" s="53" t="n">
        <f aca="false">Y14*Inputs!$E$21*Inputs!$E$22*(1+Inputs!$E$18)^(Y$5-1)</f>
        <v>3915.648</v>
      </c>
      <c r="Z19" s="53" t="n">
        <f aca="false">Z14*Inputs!$E$21*Inputs!$E$22*(1+Inputs!$E$18)^(Z$5-1)</f>
        <v>3915.648</v>
      </c>
      <c r="AA19" s="53" t="n">
        <f aca="false">AA14*Inputs!$E$21*Inputs!$E$22*(1+Inputs!$E$18)^(AA$5-1)</f>
        <v>4766.41152</v>
      </c>
      <c r="AB19" s="53" t="n">
        <f aca="false">AB14*Inputs!$E$21*Inputs!$E$22*(1+Inputs!$E$18)^(AB$5-1)</f>
        <v>4766.41152</v>
      </c>
      <c r="AC19" s="53" t="n">
        <f aca="false">AC14*Inputs!$E$21*Inputs!$E$22*(1+Inputs!$E$18)^(AC$5-1)</f>
        <v>4766.41152</v>
      </c>
      <c r="AD19" s="53" t="n">
        <f aca="false">AD14*Inputs!$E$21*Inputs!$E$22*(1+Inputs!$E$18)^(AD$5-1)</f>
        <v>4766.41152</v>
      </c>
      <c r="AE19" s="53" t="n">
        <f aca="false">AE14*Inputs!$E$21*Inputs!$E$22*(1+Inputs!$E$18)^(AE$5-1)</f>
        <v>4766.41152</v>
      </c>
      <c r="AF19" s="53" t="n">
        <f aca="false">AF14*Inputs!$E$21*Inputs!$E$22*(1+Inputs!$E$18)^(AF$5-1)</f>
        <v>4766.41152</v>
      </c>
      <c r="AG19" s="53" t="n">
        <f aca="false">AG14*Inputs!$E$21*Inputs!$E$22*(1+Inputs!$E$18)^(AG$5-1)</f>
        <v>4766.41152</v>
      </c>
      <c r="AH19" s="53" t="n">
        <f aca="false">AH14*Inputs!$E$21*Inputs!$E$22*(1+Inputs!$E$18)^(AH$5-1)</f>
        <v>4766.41152</v>
      </c>
      <c r="AI19" s="53" t="n">
        <f aca="false">AI14*Inputs!$E$21*Inputs!$E$22*(1+Inputs!$E$18)^(AI$5-1)</f>
        <v>4766.41152</v>
      </c>
      <c r="AJ19" s="53" t="n">
        <f aca="false">AJ14*Inputs!$E$21*Inputs!$E$22*(1+Inputs!$E$18)^(AJ$5-1)</f>
        <v>4766.41152</v>
      </c>
      <c r="AK19" s="53" t="n">
        <f aca="false">AK14*Inputs!$E$21*Inputs!$E$22*(1+Inputs!$E$18)^(AK$5-1)</f>
        <v>4766.41152</v>
      </c>
      <c r="AL19" s="53" t="n">
        <f aca="false">AL14*Inputs!$E$21*Inputs!$E$22*(1+Inputs!$E$18)^(AL$5-1)</f>
        <v>4766.41152</v>
      </c>
      <c r="AM19" s="53" t="n">
        <f aca="false">AM14*Inputs!$E$21*Inputs!$E$22*(1+Inputs!$E$18)^(AM$5-1)</f>
        <v>5664.696768</v>
      </c>
      <c r="AN19" s="53" t="n">
        <f aca="false">AN14*Inputs!$E$21*Inputs!$E$22*(1+Inputs!$E$18)^(AN$5-1)</f>
        <v>5664.696768</v>
      </c>
      <c r="AO19" s="53" t="n">
        <f aca="false">AO14*Inputs!$E$21*Inputs!$E$22*(1+Inputs!$E$18)^(AO$5-1)</f>
        <v>5664.696768</v>
      </c>
      <c r="AP19" s="53" t="n">
        <f aca="false">AP14*Inputs!$E$21*Inputs!$E$22*(1+Inputs!$E$18)^(AP$5-1)</f>
        <v>5664.696768</v>
      </c>
      <c r="AQ19" s="53" t="n">
        <f aca="false">AQ14*Inputs!$E$21*Inputs!$E$22*(1+Inputs!$E$18)^(AQ$5-1)</f>
        <v>5664.696768</v>
      </c>
      <c r="AR19" s="53" t="n">
        <f aca="false">AR14*Inputs!$E$21*Inputs!$E$22*(1+Inputs!$E$18)^(AR$5-1)</f>
        <v>5664.696768</v>
      </c>
      <c r="AS19" s="53" t="n">
        <f aca="false">AS14*Inputs!$E$21*Inputs!$E$22*(1+Inputs!$E$18)^(AS$5-1)</f>
        <v>5664.696768</v>
      </c>
      <c r="AT19" s="53" t="n">
        <f aca="false">AT14*Inputs!$E$21*Inputs!$E$22*(1+Inputs!$E$18)^(AT$5-1)</f>
        <v>5664.696768</v>
      </c>
      <c r="AU19" s="53" t="n">
        <f aca="false">AU14*Inputs!$E$21*Inputs!$E$22*(1+Inputs!$E$18)^(AU$5-1)</f>
        <v>5664.696768</v>
      </c>
      <c r="AV19" s="53" t="n">
        <f aca="false">AV14*Inputs!$E$21*Inputs!$E$22*(1+Inputs!$E$18)^(AV$5-1)</f>
        <v>5664.696768</v>
      </c>
      <c r="AW19" s="53" t="n">
        <f aca="false">AW14*Inputs!$E$21*Inputs!$E$22*(1+Inputs!$E$18)^(AW$5-1)</f>
        <v>5664.696768</v>
      </c>
      <c r="AX19" s="53" t="n">
        <f aca="false">AX14*Inputs!$E$21*Inputs!$E$22*(1+Inputs!$E$18)^(AX$5-1)</f>
        <v>5664.696768</v>
      </c>
      <c r="AY19" s="53" t="n">
        <f aca="false">AY14*Inputs!$E$21*Inputs!$E$22*(1+Inputs!$E$18)^(AY$5-1)</f>
        <v>6223.613515776</v>
      </c>
      <c r="AZ19" s="53" t="n">
        <f aca="false">AZ14*Inputs!$E$21*Inputs!$E$22*(1+Inputs!$E$18)^(AZ$5-1)</f>
        <v>6223.613515776</v>
      </c>
      <c r="BA19" s="53" t="n">
        <f aca="false">BA14*Inputs!$E$21*Inputs!$E$22*(1+Inputs!$E$18)^(BA$5-1)</f>
        <v>6223.613515776</v>
      </c>
      <c r="BB19" s="53" t="n">
        <f aca="false">BB14*Inputs!$E$21*Inputs!$E$22*(1+Inputs!$E$18)^(BB$5-1)</f>
        <v>6223.613515776</v>
      </c>
      <c r="BC19" s="53" t="n">
        <f aca="false">BC14*Inputs!$E$21*Inputs!$E$22*(1+Inputs!$E$18)^(BC$5-1)</f>
        <v>6223.613515776</v>
      </c>
      <c r="BD19" s="53" t="n">
        <f aca="false">BD14*Inputs!$E$21*Inputs!$E$22*(1+Inputs!$E$18)^(BD$5-1)</f>
        <v>6223.613515776</v>
      </c>
      <c r="BE19" s="53" t="n">
        <f aca="false">BE14*Inputs!$E$21*Inputs!$E$22*(1+Inputs!$E$18)^(BE$5-1)</f>
        <v>6223.613515776</v>
      </c>
      <c r="BF19" s="53" t="n">
        <f aca="false">BF14*Inputs!$E$21*Inputs!$E$22*(1+Inputs!$E$18)^(BF$5-1)</f>
        <v>6223.613515776</v>
      </c>
      <c r="BG19" s="53" t="n">
        <f aca="false">BG14*Inputs!$E$21*Inputs!$E$22*(1+Inputs!$E$18)^(BG$5-1)</f>
        <v>6223.613515776</v>
      </c>
      <c r="BH19" s="53" t="n">
        <f aca="false">BH14*Inputs!$E$21*Inputs!$E$22*(1+Inputs!$E$18)^(BH$5-1)</f>
        <v>6223.613515776</v>
      </c>
      <c r="BI19" s="53" t="n">
        <f aca="false">BI14*Inputs!$E$21*Inputs!$E$22*(1+Inputs!$E$18)^(BI$5-1)</f>
        <v>6223.613515776</v>
      </c>
      <c r="BJ19" s="53" t="n">
        <f aca="false">BJ14*Inputs!$E$21*Inputs!$E$22*(1+Inputs!$E$18)^(BJ$5-1)</f>
        <v>6223.613515776</v>
      </c>
    </row>
    <row r="20" customFormat="false" ht="15" hidden="false" customHeight="false" outlineLevel="0" collapsed="false">
      <c r="A20" s="6" t="s">
        <v>209</v>
      </c>
      <c r="C20" s="53" t="n">
        <f aca="false">C9*Inputs!$E$26*52/12*1*Inputs!$E$27*(1+Inputs!$E$18)^(C$5-1)</f>
        <v>1560</v>
      </c>
      <c r="D20" s="53" t="n">
        <f aca="false">D9*Inputs!$E$26*52/12*1*Inputs!$E$27*(1+Inputs!$E$18)^(D$5-1)</f>
        <v>1560</v>
      </c>
      <c r="E20" s="53" t="n">
        <f aca="false">E9*Inputs!$E$26*52/12*1*Inputs!$E$27*(1+Inputs!$E$18)^(E$5-1)</f>
        <v>1560</v>
      </c>
      <c r="F20" s="53" t="n">
        <f aca="false">F9*Inputs!$E$26*52/12*1*Inputs!$E$27*(1+Inputs!$E$18)^(F$5-1)</f>
        <v>1560</v>
      </c>
      <c r="G20" s="53" t="n">
        <f aca="false">G9*Inputs!$E$26*52/12*1*Inputs!$E$27*(1+Inputs!$E$18)^(G$5-1)</f>
        <v>1560</v>
      </c>
      <c r="H20" s="53" t="n">
        <f aca="false">H9*Inputs!$E$26*52/12*1*Inputs!$E$27*(1+Inputs!$E$18)^(H$5-1)</f>
        <v>1560</v>
      </c>
      <c r="I20" s="53" t="n">
        <f aca="false">I9*Inputs!$E$26*52/12*1*Inputs!$E$27*(1+Inputs!$E$18)^(I$5-1)</f>
        <v>1560</v>
      </c>
      <c r="J20" s="53" t="n">
        <f aca="false">J9*Inputs!$E$26*52/12*1*Inputs!$E$27*(1+Inputs!$E$18)^(J$5-1)</f>
        <v>1560</v>
      </c>
      <c r="K20" s="53" t="n">
        <f aca="false">K9*Inputs!$E$26*52/12*1*Inputs!$E$27*(1+Inputs!$E$18)^(K$5-1)</f>
        <v>1560</v>
      </c>
      <c r="L20" s="53" t="n">
        <f aca="false">L9*Inputs!$E$26*52/12*1*Inputs!$E$27*(1+Inputs!$E$18)^(L$5-1)</f>
        <v>1560</v>
      </c>
      <c r="M20" s="53" t="n">
        <f aca="false">M9*Inputs!$E$26*52/12*1*Inputs!$E$27*(1+Inputs!$E$18)^(M$5-1)</f>
        <v>1560</v>
      </c>
      <c r="N20" s="53" t="n">
        <f aca="false">N9*Inputs!$E$26*52/12*1*Inputs!$E$27*(1+Inputs!$E$18)^(N$5-1)</f>
        <v>1560</v>
      </c>
      <c r="O20" s="53" t="n">
        <f aca="false">O9*Inputs!$E$26*52/12*1*Inputs!$E$27*(1+Inputs!$E$18)^(O$5-1)</f>
        <v>1606.8</v>
      </c>
      <c r="P20" s="53" t="n">
        <f aca="false">P9*Inputs!$E$26*52/12*1*Inputs!$E$27*(1+Inputs!$E$18)^(P$5-1)</f>
        <v>1606.8</v>
      </c>
      <c r="Q20" s="53" t="n">
        <f aca="false">Q9*Inputs!$E$26*52/12*1*Inputs!$E$27*(1+Inputs!$E$18)^(Q$5-1)</f>
        <v>1606.8</v>
      </c>
      <c r="R20" s="53" t="n">
        <f aca="false">R9*Inputs!$E$26*52/12*1*Inputs!$E$27*(1+Inputs!$E$18)^(R$5-1)</f>
        <v>1606.8</v>
      </c>
      <c r="S20" s="53" t="n">
        <f aca="false">S9*Inputs!$E$26*52/12*1*Inputs!$E$27*(1+Inputs!$E$18)^(S$5-1)</f>
        <v>1606.8</v>
      </c>
      <c r="T20" s="53" t="n">
        <f aca="false">T9*Inputs!$E$26*52/12*1*Inputs!$E$27*(1+Inputs!$E$18)^(T$5-1)</f>
        <v>1606.8</v>
      </c>
      <c r="U20" s="53" t="n">
        <f aca="false">U9*Inputs!$E$26*52/12*1*Inputs!$E$27*(1+Inputs!$E$18)^(U$5-1)</f>
        <v>1606.8</v>
      </c>
      <c r="V20" s="53" t="n">
        <f aca="false">V9*Inputs!$E$26*52/12*1*Inputs!$E$27*(1+Inputs!$E$18)^(V$5-1)</f>
        <v>1606.8</v>
      </c>
      <c r="W20" s="53" t="n">
        <f aca="false">W9*Inputs!$E$26*52/12*1*Inputs!$E$27*(1+Inputs!$E$18)^(W$5-1)</f>
        <v>1606.8</v>
      </c>
      <c r="X20" s="53" t="n">
        <f aca="false">X9*Inputs!$E$26*52/12*1*Inputs!$E$27*(1+Inputs!$E$18)^(X$5-1)</f>
        <v>1606.8</v>
      </c>
      <c r="Y20" s="53" t="n">
        <f aca="false">Y9*Inputs!$E$26*52/12*1*Inputs!$E$27*(1+Inputs!$E$18)^(Y$5-1)</f>
        <v>1606.8</v>
      </c>
      <c r="Z20" s="53" t="n">
        <f aca="false">Z9*Inputs!$E$26*52/12*1*Inputs!$E$27*(1+Inputs!$E$18)^(Z$5-1)</f>
        <v>1606.8</v>
      </c>
      <c r="AA20" s="53" t="n">
        <f aca="false">AA9*Inputs!$E$26*52/12*1*Inputs!$E$27*(1+Inputs!$E$18)^(AA$5-1)</f>
        <v>1655.004</v>
      </c>
      <c r="AB20" s="53" t="n">
        <f aca="false">AB9*Inputs!$E$26*52/12*1*Inputs!$E$27*(1+Inputs!$E$18)^(AB$5-1)</f>
        <v>1655.004</v>
      </c>
      <c r="AC20" s="53" t="n">
        <f aca="false">AC9*Inputs!$E$26*52/12*1*Inputs!$E$27*(1+Inputs!$E$18)^(AC$5-1)</f>
        <v>1655.004</v>
      </c>
      <c r="AD20" s="53" t="n">
        <f aca="false">AD9*Inputs!$E$26*52/12*1*Inputs!$E$27*(1+Inputs!$E$18)^(AD$5-1)</f>
        <v>1655.004</v>
      </c>
      <c r="AE20" s="53" t="n">
        <f aca="false">AE9*Inputs!$E$26*52/12*1*Inputs!$E$27*(1+Inputs!$E$18)^(AE$5-1)</f>
        <v>1655.004</v>
      </c>
      <c r="AF20" s="53" t="n">
        <f aca="false">AF9*Inputs!$E$26*52/12*1*Inputs!$E$27*(1+Inputs!$E$18)^(AF$5-1)</f>
        <v>1655.004</v>
      </c>
      <c r="AG20" s="53" t="n">
        <f aca="false">AG9*Inputs!$E$26*52/12*1*Inputs!$E$27*(1+Inputs!$E$18)^(AG$5-1)</f>
        <v>1655.004</v>
      </c>
      <c r="AH20" s="53" t="n">
        <f aca="false">AH9*Inputs!$E$26*52/12*1*Inputs!$E$27*(1+Inputs!$E$18)^(AH$5-1)</f>
        <v>1655.004</v>
      </c>
      <c r="AI20" s="53" t="n">
        <f aca="false">AI9*Inputs!$E$26*52/12*1*Inputs!$E$27*(1+Inputs!$E$18)^(AI$5-1)</f>
        <v>1655.004</v>
      </c>
      <c r="AJ20" s="53" t="n">
        <f aca="false">AJ9*Inputs!$E$26*52/12*1*Inputs!$E$27*(1+Inputs!$E$18)^(AJ$5-1)</f>
        <v>1655.004</v>
      </c>
      <c r="AK20" s="53" t="n">
        <f aca="false">AK9*Inputs!$E$26*52/12*1*Inputs!$E$27*(1+Inputs!$E$18)^(AK$5-1)</f>
        <v>1655.004</v>
      </c>
      <c r="AL20" s="53" t="n">
        <f aca="false">AL9*Inputs!$E$26*52/12*1*Inputs!$E$27*(1+Inputs!$E$18)^(AL$5-1)</f>
        <v>1655.004</v>
      </c>
      <c r="AM20" s="53" t="n">
        <f aca="false">AM9*Inputs!$E$26*52/12*1*Inputs!$E$27*(1+Inputs!$E$18)^(AM$5-1)</f>
        <v>1704.65412</v>
      </c>
      <c r="AN20" s="53" t="n">
        <f aca="false">AN9*Inputs!$E$26*52/12*1*Inputs!$E$27*(1+Inputs!$E$18)^(AN$5-1)</f>
        <v>1704.65412</v>
      </c>
      <c r="AO20" s="53" t="n">
        <f aca="false">AO9*Inputs!$E$26*52/12*1*Inputs!$E$27*(1+Inputs!$E$18)^(AO$5-1)</f>
        <v>1704.65412</v>
      </c>
      <c r="AP20" s="53" t="n">
        <f aca="false">AP9*Inputs!$E$26*52/12*1*Inputs!$E$27*(1+Inputs!$E$18)^(AP$5-1)</f>
        <v>1704.65412</v>
      </c>
      <c r="AQ20" s="53" t="n">
        <f aca="false">AQ9*Inputs!$E$26*52/12*1*Inputs!$E$27*(1+Inputs!$E$18)^(AQ$5-1)</f>
        <v>1704.65412</v>
      </c>
      <c r="AR20" s="53" t="n">
        <f aca="false">AR9*Inputs!$E$26*52/12*1*Inputs!$E$27*(1+Inputs!$E$18)^(AR$5-1)</f>
        <v>1704.65412</v>
      </c>
      <c r="AS20" s="53" t="n">
        <f aca="false">AS9*Inputs!$E$26*52/12*1*Inputs!$E$27*(1+Inputs!$E$18)^(AS$5-1)</f>
        <v>1704.65412</v>
      </c>
      <c r="AT20" s="53" t="n">
        <f aca="false">AT9*Inputs!$E$26*52/12*1*Inputs!$E$27*(1+Inputs!$E$18)^(AT$5-1)</f>
        <v>1704.65412</v>
      </c>
      <c r="AU20" s="53" t="n">
        <f aca="false">AU9*Inputs!$E$26*52/12*1*Inputs!$E$27*(1+Inputs!$E$18)^(AU$5-1)</f>
        <v>1704.65412</v>
      </c>
      <c r="AV20" s="53" t="n">
        <f aca="false">AV9*Inputs!$E$26*52/12*1*Inputs!$E$27*(1+Inputs!$E$18)^(AV$5-1)</f>
        <v>1704.65412</v>
      </c>
      <c r="AW20" s="53" t="n">
        <f aca="false">AW9*Inputs!$E$26*52/12*1*Inputs!$E$27*(1+Inputs!$E$18)^(AW$5-1)</f>
        <v>1704.65412</v>
      </c>
      <c r="AX20" s="53" t="n">
        <f aca="false">AX9*Inputs!$E$26*52/12*1*Inputs!$E$27*(1+Inputs!$E$18)^(AX$5-1)</f>
        <v>1704.65412</v>
      </c>
      <c r="AY20" s="53" t="n">
        <f aca="false">AY9*Inputs!$E$26*52/12*1*Inputs!$E$27*(1+Inputs!$E$18)^(AY$5-1)</f>
        <v>1755.7937436</v>
      </c>
      <c r="AZ20" s="53" t="n">
        <f aca="false">AZ9*Inputs!$E$26*52/12*1*Inputs!$E$27*(1+Inputs!$E$18)^(AZ$5-1)</f>
        <v>1755.7937436</v>
      </c>
      <c r="BA20" s="53" t="n">
        <f aca="false">BA9*Inputs!$E$26*52/12*1*Inputs!$E$27*(1+Inputs!$E$18)^(BA$5-1)</f>
        <v>1755.7937436</v>
      </c>
      <c r="BB20" s="53" t="n">
        <f aca="false">BB9*Inputs!$E$26*52/12*1*Inputs!$E$27*(1+Inputs!$E$18)^(BB$5-1)</f>
        <v>1755.7937436</v>
      </c>
      <c r="BC20" s="53" t="n">
        <f aca="false">BC9*Inputs!$E$26*52/12*1*Inputs!$E$27*(1+Inputs!$E$18)^(BC$5-1)</f>
        <v>1755.7937436</v>
      </c>
      <c r="BD20" s="53" t="n">
        <f aca="false">BD9*Inputs!$E$26*52/12*1*Inputs!$E$27*(1+Inputs!$E$18)^(BD$5-1)</f>
        <v>1755.7937436</v>
      </c>
      <c r="BE20" s="53" t="n">
        <f aca="false">BE9*Inputs!$E$26*52/12*1*Inputs!$E$27*(1+Inputs!$E$18)^(BE$5-1)</f>
        <v>1755.7937436</v>
      </c>
      <c r="BF20" s="53" t="n">
        <f aca="false">BF9*Inputs!$E$26*52/12*1*Inputs!$E$27*(1+Inputs!$E$18)^(BF$5-1)</f>
        <v>1755.7937436</v>
      </c>
      <c r="BG20" s="53" t="n">
        <f aca="false">BG9*Inputs!$E$26*52/12*1*Inputs!$E$27*(1+Inputs!$E$18)^(BG$5-1)</f>
        <v>1755.7937436</v>
      </c>
      <c r="BH20" s="53" t="n">
        <f aca="false">BH9*Inputs!$E$26*52/12*1*Inputs!$E$27*(1+Inputs!$E$18)^(BH$5-1)</f>
        <v>1755.7937436</v>
      </c>
      <c r="BI20" s="53" t="n">
        <f aca="false">BI9*Inputs!$E$26*52/12*1*Inputs!$E$27*(1+Inputs!$E$18)^(BI$5-1)</f>
        <v>1755.7937436</v>
      </c>
      <c r="BJ20" s="53" t="n">
        <f aca="false">BJ9*Inputs!$E$26*52/12*1*Inputs!$E$27*(1+Inputs!$E$18)^(BJ$5-1)</f>
        <v>1755.7937436</v>
      </c>
    </row>
    <row r="21" customFormat="false" ht="15" hidden="false" customHeight="false" outlineLevel="0" collapsed="false">
      <c r="A21" s="102" t="s">
        <v>42</v>
      </c>
      <c r="C21" s="54" t="n">
        <f aca="false">C18+C19+C20</f>
        <v>39921.6</v>
      </c>
      <c r="D21" s="54" t="n">
        <f aca="false">D18+D19+D20</f>
        <v>39921.6</v>
      </c>
      <c r="E21" s="54" t="n">
        <f aca="false">E18+E19+E20</f>
        <v>39921.6</v>
      </c>
      <c r="F21" s="54" t="n">
        <f aca="false">F18+F19+F20</f>
        <v>39921.6</v>
      </c>
      <c r="G21" s="54" t="n">
        <f aca="false">G18+G19+G20</f>
        <v>39921.6</v>
      </c>
      <c r="H21" s="54" t="n">
        <f aca="false">H18+H19+H20</f>
        <v>39921.6</v>
      </c>
      <c r="I21" s="54" t="n">
        <f aca="false">I18+I19+I20</f>
        <v>39921.6</v>
      </c>
      <c r="J21" s="54" t="n">
        <f aca="false">J18+J19+J20</f>
        <v>39921.6</v>
      </c>
      <c r="K21" s="54" t="n">
        <f aca="false">K18+K19+K20</f>
        <v>39921.6</v>
      </c>
      <c r="L21" s="54" t="n">
        <f aca="false">L18+L19+L20</f>
        <v>39921.6</v>
      </c>
      <c r="M21" s="54" t="n">
        <f aca="false">M18+M19+M20</f>
        <v>39921.6</v>
      </c>
      <c r="N21" s="54" t="n">
        <f aca="false">N18+N19+N20</f>
        <v>39921.6</v>
      </c>
      <c r="O21" s="54" t="n">
        <f aca="false">O18+O19+O20</f>
        <v>49899.792</v>
      </c>
      <c r="P21" s="54" t="n">
        <f aca="false">P18+P19+P20</f>
        <v>49899.792</v>
      </c>
      <c r="Q21" s="54" t="n">
        <f aca="false">Q18+Q19+Q20</f>
        <v>49899.792</v>
      </c>
      <c r="R21" s="54" t="n">
        <f aca="false">R18+R19+R20</f>
        <v>49899.792</v>
      </c>
      <c r="S21" s="54" t="n">
        <f aca="false">S18+S19+S20</f>
        <v>49899.792</v>
      </c>
      <c r="T21" s="54" t="n">
        <f aca="false">T18+T19+T20</f>
        <v>49899.792</v>
      </c>
      <c r="U21" s="54" t="n">
        <f aca="false">U18+U19+U20</f>
        <v>49899.792</v>
      </c>
      <c r="V21" s="54" t="n">
        <f aca="false">V18+V19+V20</f>
        <v>49899.792</v>
      </c>
      <c r="W21" s="54" t="n">
        <f aca="false">W18+W19+W20</f>
        <v>49899.792</v>
      </c>
      <c r="X21" s="54" t="n">
        <f aca="false">X18+X19+X20</f>
        <v>49899.792</v>
      </c>
      <c r="Y21" s="54" t="n">
        <f aca="false">Y18+Y19+Y20</f>
        <v>49899.792</v>
      </c>
      <c r="Z21" s="54" t="n">
        <f aca="false">Z18+Z19+Z20</f>
        <v>49899.792</v>
      </c>
      <c r="AA21" s="54" t="n">
        <f aca="false">AA18+AA19+AA20</f>
        <v>60440.74608</v>
      </c>
      <c r="AB21" s="54" t="n">
        <f aca="false">AB18+AB19+AB20</f>
        <v>60440.74608</v>
      </c>
      <c r="AC21" s="54" t="n">
        <f aca="false">AC18+AC19+AC20</f>
        <v>60440.74608</v>
      </c>
      <c r="AD21" s="54" t="n">
        <f aca="false">AD18+AD19+AD20</f>
        <v>60440.74608</v>
      </c>
      <c r="AE21" s="54" t="n">
        <f aca="false">AE18+AE19+AE20</f>
        <v>60440.74608</v>
      </c>
      <c r="AF21" s="54" t="n">
        <f aca="false">AF18+AF19+AF20</f>
        <v>60440.74608</v>
      </c>
      <c r="AG21" s="54" t="n">
        <f aca="false">AG18+AG19+AG20</f>
        <v>60440.74608</v>
      </c>
      <c r="AH21" s="54" t="n">
        <f aca="false">AH18+AH19+AH20</f>
        <v>60440.74608</v>
      </c>
      <c r="AI21" s="54" t="n">
        <f aca="false">AI18+AI19+AI20</f>
        <v>60440.74608</v>
      </c>
      <c r="AJ21" s="54" t="n">
        <f aca="false">AJ18+AJ19+AJ20</f>
        <v>60440.74608</v>
      </c>
      <c r="AK21" s="54" t="n">
        <f aca="false">AK18+AK19+AK20</f>
        <v>60440.74608</v>
      </c>
      <c r="AL21" s="54" t="n">
        <f aca="false">AL18+AL19+AL20</f>
        <v>60440.74608</v>
      </c>
      <c r="AM21" s="54" t="n">
        <f aca="false">AM18+AM19+AM20</f>
        <v>71569.247592</v>
      </c>
      <c r="AN21" s="54" t="n">
        <f aca="false">AN18+AN19+AN20</f>
        <v>71569.247592</v>
      </c>
      <c r="AO21" s="54" t="n">
        <f aca="false">AO18+AO19+AO20</f>
        <v>71569.247592</v>
      </c>
      <c r="AP21" s="54" t="n">
        <f aca="false">AP18+AP19+AP20</f>
        <v>71569.247592</v>
      </c>
      <c r="AQ21" s="54" t="n">
        <f aca="false">AQ18+AQ19+AQ20</f>
        <v>71569.247592</v>
      </c>
      <c r="AR21" s="54" t="n">
        <f aca="false">AR18+AR19+AR20</f>
        <v>71569.247592</v>
      </c>
      <c r="AS21" s="54" t="n">
        <f aca="false">AS18+AS19+AS20</f>
        <v>71569.247592</v>
      </c>
      <c r="AT21" s="54" t="n">
        <f aca="false">AT18+AT19+AT20</f>
        <v>71569.247592</v>
      </c>
      <c r="AU21" s="54" t="n">
        <f aca="false">AU18+AU19+AU20</f>
        <v>71569.247592</v>
      </c>
      <c r="AV21" s="54" t="n">
        <f aca="false">AV18+AV19+AV20</f>
        <v>71569.247592</v>
      </c>
      <c r="AW21" s="54" t="n">
        <f aca="false">AW18+AW19+AW20</f>
        <v>71569.247592</v>
      </c>
      <c r="AX21" s="54" t="n">
        <f aca="false">AX18+AX19+AX20</f>
        <v>71569.247592</v>
      </c>
      <c r="AY21" s="54" t="n">
        <f aca="false">AY18+AY19+AY20</f>
        <v>78513.693771504</v>
      </c>
      <c r="AZ21" s="54" t="n">
        <f aca="false">AZ18+AZ19+AZ20</f>
        <v>78513.693771504</v>
      </c>
      <c r="BA21" s="54" t="n">
        <f aca="false">BA18+BA19+BA20</f>
        <v>78513.693771504</v>
      </c>
      <c r="BB21" s="54" t="n">
        <f aca="false">BB18+BB19+BB20</f>
        <v>78513.693771504</v>
      </c>
      <c r="BC21" s="54" t="n">
        <f aca="false">BC18+BC19+BC20</f>
        <v>78513.693771504</v>
      </c>
      <c r="BD21" s="54" t="n">
        <f aca="false">BD18+BD19+BD20</f>
        <v>78513.693771504</v>
      </c>
      <c r="BE21" s="54" t="n">
        <f aca="false">BE18+BE19+BE20</f>
        <v>78513.693771504</v>
      </c>
      <c r="BF21" s="54" t="n">
        <f aca="false">BF18+BF19+BF20</f>
        <v>78513.693771504</v>
      </c>
      <c r="BG21" s="54" t="n">
        <f aca="false">BG18+BG19+BG20</f>
        <v>78513.693771504</v>
      </c>
      <c r="BH21" s="54" t="n">
        <f aca="false">BH18+BH19+BH20</f>
        <v>78513.693771504</v>
      </c>
      <c r="BI21" s="54" t="n">
        <f aca="false">BI18+BI19+BI20</f>
        <v>78513.693771504</v>
      </c>
      <c r="BJ21" s="54" t="n">
        <f aca="false">BJ18+BJ19+BJ20</f>
        <v>78513.693771504</v>
      </c>
    </row>
    <row r="23" customFormat="false" ht="15.75" hidden="false" customHeight="true" outlineLevel="0" collapsed="false">
      <c r="A23" s="7" t="s">
        <v>73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customFormat="false" ht="15" hidden="false" customHeight="false" outlineLevel="0" collapsed="false">
      <c r="A24" s="6" t="s">
        <v>385</v>
      </c>
      <c r="C24" s="53" t="n">
        <f aca="false">-C18*Inputs!$E$30*(1+Inputs!$E$65)</f>
        <v>-17766.6048</v>
      </c>
      <c r="D24" s="53" t="n">
        <f aca="false">-D18*Inputs!$E$30*(1+Inputs!$E$65)</f>
        <v>-17766.6048</v>
      </c>
      <c r="E24" s="53" t="n">
        <f aca="false">-E18*Inputs!$E$30*(1+Inputs!$E$65)</f>
        <v>-17766.6048</v>
      </c>
      <c r="F24" s="53" t="n">
        <f aca="false">-F18*Inputs!$E$30*(1+Inputs!$E$65)</f>
        <v>-17766.6048</v>
      </c>
      <c r="G24" s="53" t="n">
        <f aca="false">-G18*Inputs!$E$30*(1+Inputs!$E$65)</f>
        <v>-17766.6048</v>
      </c>
      <c r="H24" s="53" t="n">
        <f aca="false">-H18*Inputs!$E$30*(1+Inputs!$E$65)</f>
        <v>-17766.6048</v>
      </c>
      <c r="I24" s="53" t="n">
        <f aca="false">-I18*Inputs!$E$30*(1+Inputs!$E$65)</f>
        <v>-17766.6048</v>
      </c>
      <c r="J24" s="53" t="n">
        <f aca="false">-J18*Inputs!$E$30*(1+Inputs!$E$65)</f>
        <v>-17766.6048</v>
      </c>
      <c r="K24" s="53" t="n">
        <f aca="false">-K18*Inputs!$E$30*(1+Inputs!$E$65)</f>
        <v>-17766.6048</v>
      </c>
      <c r="L24" s="53" t="n">
        <f aca="false">-L18*Inputs!$E$30*(1+Inputs!$E$65)</f>
        <v>-17766.6048</v>
      </c>
      <c r="M24" s="53" t="n">
        <f aca="false">-M18*Inputs!$E$30*(1+Inputs!$E$65)</f>
        <v>-17766.6048</v>
      </c>
      <c r="N24" s="53" t="n">
        <f aca="false">-N18*Inputs!$E$30*(1+Inputs!$E$65)</f>
        <v>-17766.6048</v>
      </c>
      <c r="O24" s="53" t="n">
        <f aca="false">-O18*Inputs!$E$30*(1+Inputs!$E$65)</f>
        <v>-22366.181376</v>
      </c>
      <c r="P24" s="53" t="n">
        <f aca="false">-P18*Inputs!$E$30*(1+Inputs!$E$65)</f>
        <v>-22366.181376</v>
      </c>
      <c r="Q24" s="53" t="n">
        <f aca="false">-Q18*Inputs!$E$30*(1+Inputs!$E$65)</f>
        <v>-22366.181376</v>
      </c>
      <c r="R24" s="53" t="n">
        <f aca="false">-R18*Inputs!$E$30*(1+Inputs!$E$65)</f>
        <v>-22366.181376</v>
      </c>
      <c r="S24" s="53" t="n">
        <f aca="false">-S18*Inputs!$E$30*(1+Inputs!$E$65)</f>
        <v>-22366.181376</v>
      </c>
      <c r="T24" s="53" t="n">
        <f aca="false">-T18*Inputs!$E$30*(1+Inputs!$E$65)</f>
        <v>-22366.181376</v>
      </c>
      <c r="U24" s="53" t="n">
        <f aca="false">-U18*Inputs!$E$30*(1+Inputs!$E$65)</f>
        <v>-22366.181376</v>
      </c>
      <c r="V24" s="53" t="n">
        <f aca="false">-V18*Inputs!$E$30*(1+Inputs!$E$65)</f>
        <v>-22366.181376</v>
      </c>
      <c r="W24" s="53" t="n">
        <f aca="false">-W18*Inputs!$E$30*(1+Inputs!$E$65)</f>
        <v>-22366.181376</v>
      </c>
      <c r="X24" s="53" t="n">
        <f aca="false">-X18*Inputs!$E$30*(1+Inputs!$E$65)</f>
        <v>-22366.181376</v>
      </c>
      <c r="Y24" s="53" t="n">
        <f aca="false">-Y18*Inputs!$E$30*(1+Inputs!$E$65)</f>
        <v>-22366.181376</v>
      </c>
      <c r="Z24" s="53" t="n">
        <f aca="false">-Z18*Inputs!$E$30*(1+Inputs!$E$65)</f>
        <v>-22366.181376</v>
      </c>
      <c r="AA24" s="53" t="n">
        <f aca="false">-AA18*Inputs!$E$30*(1+Inputs!$E$65)</f>
        <v>-27225.74260224</v>
      </c>
      <c r="AB24" s="53" t="n">
        <f aca="false">-AB18*Inputs!$E$30*(1+Inputs!$E$65)</f>
        <v>-27225.74260224</v>
      </c>
      <c r="AC24" s="53" t="n">
        <f aca="false">-AC18*Inputs!$E$30*(1+Inputs!$E$65)</f>
        <v>-27225.74260224</v>
      </c>
      <c r="AD24" s="53" t="n">
        <f aca="false">-AD18*Inputs!$E$30*(1+Inputs!$E$65)</f>
        <v>-27225.74260224</v>
      </c>
      <c r="AE24" s="53" t="n">
        <f aca="false">-AE18*Inputs!$E$30*(1+Inputs!$E$65)</f>
        <v>-27225.74260224</v>
      </c>
      <c r="AF24" s="53" t="n">
        <f aca="false">-AF18*Inputs!$E$30*(1+Inputs!$E$65)</f>
        <v>-27225.74260224</v>
      </c>
      <c r="AG24" s="53" t="n">
        <f aca="false">-AG18*Inputs!$E$30*(1+Inputs!$E$65)</f>
        <v>-27225.74260224</v>
      </c>
      <c r="AH24" s="53" t="n">
        <f aca="false">-AH18*Inputs!$E$30*(1+Inputs!$E$65)</f>
        <v>-27225.74260224</v>
      </c>
      <c r="AI24" s="53" t="n">
        <f aca="false">-AI18*Inputs!$E$30*(1+Inputs!$E$65)</f>
        <v>-27225.74260224</v>
      </c>
      <c r="AJ24" s="53" t="n">
        <f aca="false">-AJ18*Inputs!$E$30*(1+Inputs!$E$65)</f>
        <v>-27225.74260224</v>
      </c>
      <c r="AK24" s="53" t="n">
        <f aca="false">-AK18*Inputs!$E$30*(1+Inputs!$E$65)</f>
        <v>-27225.74260224</v>
      </c>
      <c r="AL24" s="53" t="n">
        <f aca="false">-AL18*Inputs!$E$30*(1+Inputs!$E$65)</f>
        <v>-27225.74260224</v>
      </c>
      <c r="AM24" s="53" t="n">
        <f aca="false">-AM18*Inputs!$E$30*(1+Inputs!$E$65)</f>
        <v>-32356.747938816</v>
      </c>
      <c r="AN24" s="53" t="n">
        <f aca="false">-AN18*Inputs!$E$30*(1+Inputs!$E$65)</f>
        <v>-32356.747938816</v>
      </c>
      <c r="AO24" s="53" t="n">
        <f aca="false">-AO18*Inputs!$E$30*(1+Inputs!$E$65)</f>
        <v>-32356.747938816</v>
      </c>
      <c r="AP24" s="53" t="n">
        <f aca="false">-AP18*Inputs!$E$30*(1+Inputs!$E$65)</f>
        <v>-32356.747938816</v>
      </c>
      <c r="AQ24" s="53" t="n">
        <f aca="false">-AQ18*Inputs!$E$30*(1+Inputs!$E$65)</f>
        <v>-32356.747938816</v>
      </c>
      <c r="AR24" s="53" t="n">
        <f aca="false">-AR18*Inputs!$E$30*(1+Inputs!$E$65)</f>
        <v>-32356.747938816</v>
      </c>
      <c r="AS24" s="53" t="n">
        <f aca="false">-AS18*Inputs!$E$30*(1+Inputs!$E$65)</f>
        <v>-32356.747938816</v>
      </c>
      <c r="AT24" s="53" t="n">
        <f aca="false">-AT18*Inputs!$E$30*(1+Inputs!$E$65)</f>
        <v>-32356.747938816</v>
      </c>
      <c r="AU24" s="53" t="n">
        <f aca="false">-AU18*Inputs!$E$30*(1+Inputs!$E$65)</f>
        <v>-32356.747938816</v>
      </c>
      <c r="AV24" s="53" t="n">
        <f aca="false">-AV18*Inputs!$E$30*(1+Inputs!$E$65)</f>
        <v>-32356.747938816</v>
      </c>
      <c r="AW24" s="53" t="n">
        <f aca="false">-AW18*Inputs!$E$30*(1+Inputs!$E$65)</f>
        <v>-32356.747938816</v>
      </c>
      <c r="AX24" s="53" t="n">
        <f aca="false">-AX18*Inputs!$E$30*(1+Inputs!$E$65)</f>
        <v>-32356.747938816</v>
      </c>
      <c r="AY24" s="53" t="n">
        <f aca="false">-AY18*Inputs!$E$30*(1+Inputs!$E$65)</f>
        <v>-35549.2804021125</v>
      </c>
      <c r="AZ24" s="53" t="n">
        <f aca="false">-AZ18*Inputs!$E$30*(1+Inputs!$E$65)</f>
        <v>-35549.2804021125</v>
      </c>
      <c r="BA24" s="53" t="n">
        <f aca="false">-BA18*Inputs!$E$30*(1+Inputs!$E$65)</f>
        <v>-35549.2804021125</v>
      </c>
      <c r="BB24" s="53" t="n">
        <f aca="false">-BB18*Inputs!$E$30*(1+Inputs!$E$65)</f>
        <v>-35549.2804021125</v>
      </c>
      <c r="BC24" s="53" t="n">
        <f aca="false">-BC18*Inputs!$E$30*(1+Inputs!$E$65)</f>
        <v>-35549.2804021125</v>
      </c>
      <c r="BD24" s="53" t="n">
        <f aca="false">-BD18*Inputs!$E$30*(1+Inputs!$E$65)</f>
        <v>-35549.2804021125</v>
      </c>
      <c r="BE24" s="53" t="n">
        <f aca="false">-BE18*Inputs!$E$30*(1+Inputs!$E$65)</f>
        <v>-35549.2804021125</v>
      </c>
      <c r="BF24" s="53" t="n">
        <f aca="false">-BF18*Inputs!$E$30*(1+Inputs!$E$65)</f>
        <v>-35549.2804021125</v>
      </c>
      <c r="BG24" s="53" t="n">
        <f aca="false">-BG18*Inputs!$E$30*(1+Inputs!$E$65)</f>
        <v>-35549.2804021125</v>
      </c>
      <c r="BH24" s="53" t="n">
        <f aca="false">-BH18*Inputs!$E$30*(1+Inputs!$E$65)</f>
        <v>-35549.2804021125</v>
      </c>
      <c r="BI24" s="53" t="n">
        <f aca="false">-BI18*Inputs!$E$30*(1+Inputs!$E$65)</f>
        <v>-35549.2804021125</v>
      </c>
      <c r="BJ24" s="53" t="n">
        <f aca="false">-BJ18*Inputs!$E$30*(1+Inputs!$E$65)</f>
        <v>-35549.2804021125</v>
      </c>
    </row>
    <row r="25" customFormat="false" ht="15" hidden="false" customHeight="false" outlineLevel="0" collapsed="false">
      <c r="A25" s="6" t="s">
        <v>386</v>
      </c>
      <c r="C25" s="53" t="n">
        <f aca="false">-C19*Inputs!$E$31</f>
        <v>-1555.2</v>
      </c>
      <c r="D25" s="53" t="n">
        <f aca="false">-D19*Inputs!$E$31</f>
        <v>-1555.2</v>
      </c>
      <c r="E25" s="53" t="n">
        <f aca="false">-E19*Inputs!$E$31</f>
        <v>-1555.2</v>
      </c>
      <c r="F25" s="53" t="n">
        <f aca="false">-F19*Inputs!$E$31</f>
        <v>-1555.2</v>
      </c>
      <c r="G25" s="53" t="n">
        <f aca="false">-G19*Inputs!$E$31</f>
        <v>-1555.2</v>
      </c>
      <c r="H25" s="53" t="n">
        <f aca="false">-H19*Inputs!$E$31</f>
        <v>-1555.2</v>
      </c>
      <c r="I25" s="53" t="n">
        <f aca="false">-I19*Inputs!$E$31</f>
        <v>-1555.2</v>
      </c>
      <c r="J25" s="53" t="n">
        <f aca="false">-J19*Inputs!$E$31</f>
        <v>-1555.2</v>
      </c>
      <c r="K25" s="53" t="n">
        <f aca="false">-K19*Inputs!$E$31</f>
        <v>-1555.2</v>
      </c>
      <c r="L25" s="53" t="n">
        <f aca="false">-L19*Inputs!$E$31</f>
        <v>-1555.2</v>
      </c>
      <c r="M25" s="53" t="n">
        <f aca="false">-M19*Inputs!$E$31</f>
        <v>-1555.2</v>
      </c>
      <c r="N25" s="53" t="n">
        <f aca="false">-N19*Inputs!$E$31</f>
        <v>-1555.2</v>
      </c>
      <c r="O25" s="53" t="n">
        <f aca="false">-O19*Inputs!$E$31</f>
        <v>-1957.824</v>
      </c>
      <c r="P25" s="53" t="n">
        <f aca="false">-P19*Inputs!$E$31</f>
        <v>-1957.824</v>
      </c>
      <c r="Q25" s="53" t="n">
        <f aca="false">-Q19*Inputs!$E$31</f>
        <v>-1957.824</v>
      </c>
      <c r="R25" s="53" t="n">
        <f aca="false">-R19*Inputs!$E$31</f>
        <v>-1957.824</v>
      </c>
      <c r="S25" s="53" t="n">
        <f aca="false">-S19*Inputs!$E$31</f>
        <v>-1957.824</v>
      </c>
      <c r="T25" s="53" t="n">
        <f aca="false">-T19*Inputs!$E$31</f>
        <v>-1957.824</v>
      </c>
      <c r="U25" s="53" t="n">
        <f aca="false">-U19*Inputs!$E$31</f>
        <v>-1957.824</v>
      </c>
      <c r="V25" s="53" t="n">
        <f aca="false">-V19*Inputs!$E$31</f>
        <v>-1957.824</v>
      </c>
      <c r="W25" s="53" t="n">
        <f aca="false">-W19*Inputs!$E$31</f>
        <v>-1957.824</v>
      </c>
      <c r="X25" s="53" t="n">
        <f aca="false">-X19*Inputs!$E$31</f>
        <v>-1957.824</v>
      </c>
      <c r="Y25" s="53" t="n">
        <f aca="false">-Y19*Inputs!$E$31</f>
        <v>-1957.824</v>
      </c>
      <c r="Z25" s="53" t="n">
        <f aca="false">-Z19*Inputs!$E$31</f>
        <v>-1957.824</v>
      </c>
      <c r="AA25" s="53" t="n">
        <f aca="false">-AA19*Inputs!$E$31</f>
        <v>-2383.20576</v>
      </c>
      <c r="AB25" s="53" t="n">
        <f aca="false">-AB19*Inputs!$E$31</f>
        <v>-2383.20576</v>
      </c>
      <c r="AC25" s="53" t="n">
        <f aca="false">-AC19*Inputs!$E$31</f>
        <v>-2383.20576</v>
      </c>
      <c r="AD25" s="53" t="n">
        <f aca="false">-AD19*Inputs!$E$31</f>
        <v>-2383.20576</v>
      </c>
      <c r="AE25" s="53" t="n">
        <f aca="false">-AE19*Inputs!$E$31</f>
        <v>-2383.20576</v>
      </c>
      <c r="AF25" s="53" t="n">
        <f aca="false">-AF19*Inputs!$E$31</f>
        <v>-2383.20576</v>
      </c>
      <c r="AG25" s="53" t="n">
        <f aca="false">-AG19*Inputs!$E$31</f>
        <v>-2383.20576</v>
      </c>
      <c r="AH25" s="53" t="n">
        <f aca="false">-AH19*Inputs!$E$31</f>
        <v>-2383.20576</v>
      </c>
      <c r="AI25" s="53" t="n">
        <f aca="false">-AI19*Inputs!$E$31</f>
        <v>-2383.20576</v>
      </c>
      <c r="AJ25" s="53" t="n">
        <f aca="false">-AJ19*Inputs!$E$31</f>
        <v>-2383.20576</v>
      </c>
      <c r="AK25" s="53" t="n">
        <f aca="false">-AK19*Inputs!$E$31</f>
        <v>-2383.20576</v>
      </c>
      <c r="AL25" s="53" t="n">
        <f aca="false">-AL19*Inputs!$E$31</f>
        <v>-2383.20576</v>
      </c>
      <c r="AM25" s="53" t="n">
        <f aca="false">-AM19*Inputs!$E$31</f>
        <v>-2832.348384</v>
      </c>
      <c r="AN25" s="53" t="n">
        <f aca="false">-AN19*Inputs!$E$31</f>
        <v>-2832.348384</v>
      </c>
      <c r="AO25" s="53" t="n">
        <f aca="false">-AO19*Inputs!$E$31</f>
        <v>-2832.348384</v>
      </c>
      <c r="AP25" s="53" t="n">
        <f aca="false">-AP19*Inputs!$E$31</f>
        <v>-2832.348384</v>
      </c>
      <c r="AQ25" s="53" t="n">
        <f aca="false">-AQ19*Inputs!$E$31</f>
        <v>-2832.348384</v>
      </c>
      <c r="AR25" s="53" t="n">
        <f aca="false">-AR19*Inputs!$E$31</f>
        <v>-2832.348384</v>
      </c>
      <c r="AS25" s="53" t="n">
        <f aca="false">-AS19*Inputs!$E$31</f>
        <v>-2832.348384</v>
      </c>
      <c r="AT25" s="53" t="n">
        <f aca="false">-AT19*Inputs!$E$31</f>
        <v>-2832.348384</v>
      </c>
      <c r="AU25" s="53" t="n">
        <f aca="false">-AU19*Inputs!$E$31</f>
        <v>-2832.348384</v>
      </c>
      <c r="AV25" s="53" t="n">
        <f aca="false">-AV19*Inputs!$E$31</f>
        <v>-2832.348384</v>
      </c>
      <c r="AW25" s="53" t="n">
        <f aca="false">-AW19*Inputs!$E$31</f>
        <v>-2832.348384</v>
      </c>
      <c r="AX25" s="53" t="n">
        <f aca="false">-AX19*Inputs!$E$31</f>
        <v>-2832.348384</v>
      </c>
      <c r="AY25" s="53" t="n">
        <f aca="false">-AY19*Inputs!$E$31</f>
        <v>-3111.806757888</v>
      </c>
      <c r="AZ25" s="53" t="n">
        <f aca="false">-AZ19*Inputs!$E$31</f>
        <v>-3111.806757888</v>
      </c>
      <c r="BA25" s="53" t="n">
        <f aca="false">-BA19*Inputs!$E$31</f>
        <v>-3111.806757888</v>
      </c>
      <c r="BB25" s="53" t="n">
        <f aca="false">-BB19*Inputs!$E$31</f>
        <v>-3111.806757888</v>
      </c>
      <c r="BC25" s="53" t="n">
        <f aca="false">-BC19*Inputs!$E$31</f>
        <v>-3111.806757888</v>
      </c>
      <c r="BD25" s="53" t="n">
        <f aca="false">-BD19*Inputs!$E$31</f>
        <v>-3111.806757888</v>
      </c>
      <c r="BE25" s="53" t="n">
        <f aca="false">-BE19*Inputs!$E$31</f>
        <v>-3111.806757888</v>
      </c>
      <c r="BF25" s="53" t="n">
        <f aca="false">-BF19*Inputs!$E$31</f>
        <v>-3111.806757888</v>
      </c>
      <c r="BG25" s="53" t="n">
        <f aca="false">-BG19*Inputs!$E$31</f>
        <v>-3111.806757888</v>
      </c>
      <c r="BH25" s="53" t="n">
        <f aca="false">-BH19*Inputs!$E$31</f>
        <v>-3111.806757888</v>
      </c>
      <c r="BI25" s="53" t="n">
        <f aca="false">-BI19*Inputs!$E$31</f>
        <v>-3111.806757888</v>
      </c>
      <c r="BJ25" s="53" t="n">
        <f aca="false">-BJ19*Inputs!$E$31</f>
        <v>-3111.806757888</v>
      </c>
    </row>
    <row r="26" customFormat="false" ht="15" hidden="false" customHeight="false" outlineLevel="0" collapsed="false">
      <c r="A26" s="6" t="s">
        <v>387</v>
      </c>
      <c r="C26" s="53" t="n">
        <f aca="false">-C14*Inputs!$E$32*(1+Inputs!$E$18)^(C$5-1)</f>
        <v>-2073.6</v>
      </c>
      <c r="D26" s="53" t="n">
        <f aca="false">-D14*Inputs!$E$32*(1+Inputs!$E$18)^(D$5-1)</f>
        <v>-2073.6</v>
      </c>
      <c r="E26" s="53" t="n">
        <f aca="false">-E14*Inputs!$E$32*(1+Inputs!$E$18)^(E$5-1)</f>
        <v>-2073.6</v>
      </c>
      <c r="F26" s="53" t="n">
        <f aca="false">-F14*Inputs!$E$32*(1+Inputs!$E$18)^(F$5-1)</f>
        <v>-2073.6</v>
      </c>
      <c r="G26" s="53" t="n">
        <f aca="false">-G14*Inputs!$E$32*(1+Inputs!$E$18)^(G$5-1)</f>
        <v>-2073.6</v>
      </c>
      <c r="H26" s="53" t="n">
        <f aca="false">-H14*Inputs!$E$32*(1+Inputs!$E$18)^(H$5-1)</f>
        <v>-2073.6</v>
      </c>
      <c r="I26" s="53" t="n">
        <f aca="false">-I14*Inputs!$E$32*(1+Inputs!$E$18)^(I$5-1)</f>
        <v>-2073.6</v>
      </c>
      <c r="J26" s="53" t="n">
        <f aca="false">-J14*Inputs!$E$32*(1+Inputs!$E$18)^(J$5-1)</f>
        <v>-2073.6</v>
      </c>
      <c r="K26" s="53" t="n">
        <f aca="false">-K14*Inputs!$E$32*(1+Inputs!$E$18)^(K$5-1)</f>
        <v>-2073.6</v>
      </c>
      <c r="L26" s="53" t="n">
        <f aca="false">-L14*Inputs!$E$32*(1+Inputs!$E$18)^(L$5-1)</f>
        <v>-2073.6</v>
      </c>
      <c r="M26" s="53" t="n">
        <f aca="false">-M14*Inputs!$E$32*(1+Inputs!$E$18)^(M$5-1)</f>
        <v>-2073.6</v>
      </c>
      <c r="N26" s="53" t="n">
        <f aca="false">-N14*Inputs!$E$32*(1+Inputs!$E$18)^(N$5-1)</f>
        <v>-2073.6</v>
      </c>
      <c r="O26" s="53" t="n">
        <f aca="false">-O14*Inputs!$E$32*(1+Inputs!$E$18)^(O$5-1)</f>
        <v>-2610.432</v>
      </c>
      <c r="P26" s="53" t="n">
        <f aca="false">-P14*Inputs!$E$32*(1+Inputs!$E$18)^(P$5-1)</f>
        <v>-2610.432</v>
      </c>
      <c r="Q26" s="53" t="n">
        <f aca="false">-Q14*Inputs!$E$32*(1+Inputs!$E$18)^(Q$5-1)</f>
        <v>-2610.432</v>
      </c>
      <c r="R26" s="53" t="n">
        <f aca="false">-R14*Inputs!$E$32*(1+Inputs!$E$18)^(R$5-1)</f>
        <v>-2610.432</v>
      </c>
      <c r="S26" s="53" t="n">
        <f aca="false">-S14*Inputs!$E$32*(1+Inputs!$E$18)^(S$5-1)</f>
        <v>-2610.432</v>
      </c>
      <c r="T26" s="53" t="n">
        <f aca="false">-T14*Inputs!$E$32*(1+Inputs!$E$18)^(T$5-1)</f>
        <v>-2610.432</v>
      </c>
      <c r="U26" s="53" t="n">
        <f aca="false">-U14*Inputs!$E$32*(1+Inputs!$E$18)^(U$5-1)</f>
        <v>-2610.432</v>
      </c>
      <c r="V26" s="53" t="n">
        <f aca="false">-V14*Inputs!$E$32*(1+Inputs!$E$18)^(V$5-1)</f>
        <v>-2610.432</v>
      </c>
      <c r="W26" s="53" t="n">
        <f aca="false">-W14*Inputs!$E$32*(1+Inputs!$E$18)^(W$5-1)</f>
        <v>-2610.432</v>
      </c>
      <c r="X26" s="53" t="n">
        <f aca="false">-X14*Inputs!$E$32*(1+Inputs!$E$18)^(X$5-1)</f>
        <v>-2610.432</v>
      </c>
      <c r="Y26" s="53" t="n">
        <f aca="false">-Y14*Inputs!$E$32*(1+Inputs!$E$18)^(Y$5-1)</f>
        <v>-2610.432</v>
      </c>
      <c r="Z26" s="53" t="n">
        <f aca="false">-Z14*Inputs!$E$32*(1+Inputs!$E$18)^(Z$5-1)</f>
        <v>-2610.432</v>
      </c>
      <c r="AA26" s="53" t="n">
        <f aca="false">-AA14*Inputs!$E$32*(1+Inputs!$E$18)^(AA$5-1)</f>
        <v>-3177.60768</v>
      </c>
      <c r="AB26" s="53" t="n">
        <f aca="false">-AB14*Inputs!$E$32*(1+Inputs!$E$18)^(AB$5-1)</f>
        <v>-3177.60768</v>
      </c>
      <c r="AC26" s="53" t="n">
        <f aca="false">-AC14*Inputs!$E$32*(1+Inputs!$E$18)^(AC$5-1)</f>
        <v>-3177.60768</v>
      </c>
      <c r="AD26" s="53" t="n">
        <f aca="false">-AD14*Inputs!$E$32*(1+Inputs!$E$18)^(AD$5-1)</f>
        <v>-3177.60768</v>
      </c>
      <c r="AE26" s="53" t="n">
        <f aca="false">-AE14*Inputs!$E$32*(1+Inputs!$E$18)^(AE$5-1)</f>
        <v>-3177.60768</v>
      </c>
      <c r="AF26" s="53" t="n">
        <f aca="false">-AF14*Inputs!$E$32*(1+Inputs!$E$18)^(AF$5-1)</f>
        <v>-3177.60768</v>
      </c>
      <c r="AG26" s="53" t="n">
        <f aca="false">-AG14*Inputs!$E$32*(1+Inputs!$E$18)^(AG$5-1)</f>
        <v>-3177.60768</v>
      </c>
      <c r="AH26" s="53" t="n">
        <f aca="false">-AH14*Inputs!$E$32*(1+Inputs!$E$18)^(AH$5-1)</f>
        <v>-3177.60768</v>
      </c>
      <c r="AI26" s="53" t="n">
        <f aca="false">-AI14*Inputs!$E$32*(1+Inputs!$E$18)^(AI$5-1)</f>
        <v>-3177.60768</v>
      </c>
      <c r="AJ26" s="53" t="n">
        <f aca="false">-AJ14*Inputs!$E$32*(1+Inputs!$E$18)^(AJ$5-1)</f>
        <v>-3177.60768</v>
      </c>
      <c r="AK26" s="53" t="n">
        <f aca="false">-AK14*Inputs!$E$32*(1+Inputs!$E$18)^(AK$5-1)</f>
        <v>-3177.60768</v>
      </c>
      <c r="AL26" s="53" t="n">
        <f aca="false">-AL14*Inputs!$E$32*(1+Inputs!$E$18)^(AL$5-1)</f>
        <v>-3177.60768</v>
      </c>
      <c r="AM26" s="53" t="n">
        <f aca="false">-AM14*Inputs!$E$32*(1+Inputs!$E$18)^(AM$5-1)</f>
        <v>-3776.464512</v>
      </c>
      <c r="AN26" s="53" t="n">
        <f aca="false">-AN14*Inputs!$E$32*(1+Inputs!$E$18)^(AN$5-1)</f>
        <v>-3776.464512</v>
      </c>
      <c r="AO26" s="53" t="n">
        <f aca="false">-AO14*Inputs!$E$32*(1+Inputs!$E$18)^(AO$5-1)</f>
        <v>-3776.464512</v>
      </c>
      <c r="AP26" s="53" t="n">
        <f aca="false">-AP14*Inputs!$E$32*(1+Inputs!$E$18)^(AP$5-1)</f>
        <v>-3776.464512</v>
      </c>
      <c r="AQ26" s="53" t="n">
        <f aca="false">-AQ14*Inputs!$E$32*(1+Inputs!$E$18)^(AQ$5-1)</f>
        <v>-3776.464512</v>
      </c>
      <c r="AR26" s="53" t="n">
        <f aca="false">-AR14*Inputs!$E$32*(1+Inputs!$E$18)^(AR$5-1)</f>
        <v>-3776.464512</v>
      </c>
      <c r="AS26" s="53" t="n">
        <f aca="false">-AS14*Inputs!$E$32*(1+Inputs!$E$18)^(AS$5-1)</f>
        <v>-3776.464512</v>
      </c>
      <c r="AT26" s="53" t="n">
        <f aca="false">-AT14*Inputs!$E$32*(1+Inputs!$E$18)^(AT$5-1)</f>
        <v>-3776.464512</v>
      </c>
      <c r="AU26" s="53" t="n">
        <f aca="false">-AU14*Inputs!$E$32*(1+Inputs!$E$18)^(AU$5-1)</f>
        <v>-3776.464512</v>
      </c>
      <c r="AV26" s="53" t="n">
        <f aca="false">-AV14*Inputs!$E$32*(1+Inputs!$E$18)^(AV$5-1)</f>
        <v>-3776.464512</v>
      </c>
      <c r="AW26" s="53" t="n">
        <f aca="false">-AW14*Inputs!$E$32*(1+Inputs!$E$18)^(AW$5-1)</f>
        <v>-3776.464512</v>
      </c>
      <c r="AX26" s="53" t="n">
        <f aca="false">-AX14*Inputs!$E$32*(1+Inputs!$E$18)^(AX$5-1)</f>
        <v>-3776.464512</v>
      </c>
      <c r="AY26" s="53" t="n">
        <f aca="false">-AY14*Inputs!$E$32*(1+Inputs!$E$18)^(AY$5-1)</f>
        <v>-4149.075677184</v>
      </c>
      <c r="AZ26" s="53" t="n">
        <f aca="false">-AZ14*Inputs!$E$32*(1+Inputs!$E$18)^(AZ$5-1)</f>
        <v>-4149.075677184</v>
      </c>
      <c r="BA26" s="53" t="n">
        <f aca="false">-BA14*Inputs!$E$32*(1+Inputs!$E$18)^(BA$5-1)</f>
        <v>-4149.075677184</v>
      </c>
      <c r="BB26" s="53" t="n">
        <f aca="false">-BB14*Inputs!$E$32*(1+Inputs!$E$18)^(BB$5-1)</f>
        <v>-4149.075677184</v>
      </c>
      <c r="BC26" s="53" t="n">
        <f aca="false">-BC14*Inputs!$E$32*(1+Inputs!$E$18)^(BC$5-1)</f>
        <v>-4149.075677184</v>
      </c>
      <c r="BD26" s="53" t="n">
        <f aca="false">-BD14*Inputs!$E$32*(1+Inputs!$E$18)^(BD$5-1)</f>
        <v>-4149.075677184</v>
      </c>
      <c r="BE26" s="53" t="n">
        <f aca="false">-BE14*Inputs!$E$32*(1+Inputs!$E$18)^(BE$5-1)</f>
        <v>-4149.075677184</v>
      </c>
      <c r="BF26" s="53" t="n">
        <f aca="false">-BF14*Inputs!$E$32*(1+Inputs!$E$18)^(BF$5-1)</f>
        <v>-4149.075677184</v>
      </c>
      <c r="BG26" s="53" t="n">
        <f aca="false">-BG14*Inputs!$E$32*(1+Inputs!$E$18)^(BG$5-1)</f>
        <v>-4149.075677184</v>
      </c>
      <c r="BH26" s="53" t="n">
        <f aca="false">-BH14*Inputs!$E$32*(1+Inputs!$E$18)^(BH$5-1)</f>
        <v>-4149.075677184</v>
      </c>
      <c r="BI26" s="53" t="n">
        <f aca="false">-BI14*Inputs!$E$32*(1+Inputs!$E$18)^(BI$5-1)</f>
        <v>-4149.075677184</v>
      </c>
      <c r="BJ26" s="53" t="n">
        <f aca="false">-BJ14*Inputs!$E$32*(1+Inputs!$E$18)^(BJ$5-1)</f>
        <v>-4149.075677184</v>
      </c>
    </row>
    <row r="27" customFormat="false" ht="15" hidden="false" customHeight="false" outlineLevel="0" collapsed="false">
      <c r="A27" s="6" t="s">
        <v>388</v>
      </c>
      <c r="C27" s="53" t="n">
        <f aca="false">-(C18+C19)*Inputs!$E$33</f>
        <v>-1112.4864</v>
      </c>
      <c r="D27" s="53" t="n">
        <f aca="false">-(D18+D19)*Inputs!$E$33</f>
        <v>-1112.4864</v>
      </c>
      <c r="E27" s="53" t="n">
        <f aca="false">-(E18+E19)*Inputs!$E$33</f>
        <v>-1112.4864</v>
      </c>
      <c r="F27" s="53" t="n">
        <f aca="false">-(F18+F19)*Inputs!$E$33</f>
        <v>-1112.4864</v>
      </c>
      <c r="G27" s="53" t="n">
        <f aca="false">-(G18+G19)*Inputs!$E$33</f>
        <v>-1112.4864</v>
      </c>
      <c r="H27" s="53" t="n">
        <f aca="false">-(H18+H19)*Inputs!$E$33</f>
        <v>-1112.4864</v>
      </c>
      <c r="I27" s="53" t="n">
        <f aca="false">-(I18+I19)*Inputs!$E$33</f>
        <v>-1112.4864</v>
      </c>
      <c r="J27" s="53" t="n">
        <f aca="false">-(J18+J19)*Inputs!$E$33</f>
        <v>-1112.4864</v>
      </c>
      <c r="K27" s="53" t="n">
        <f aca="false">-(K18+K19)*Inputs!$E$33</f>
        <v>-1112.4864</v>
      </c>
      <c r="L27" s="53" t="n">
        <f aca="false">-(L18+L19)*Inputs!$E$33</f>
        <v>-1112.4864</v>
      </c>
      <c r="M27" s="53" t="n">
        <f aca="false">-(M18+M19)*Inputs!$E$33</f>
        <v>-1112.4864</v>
      </c>
      <c r="N27" s="53" t="n">
        <f aca="false">-(N18+N19)*Inputs!$E$33</f>
        <v>-1112.4864</v>
      </c>
      <c r="O27" s="53" t="n">
        <f aca="false">-(O18+O19)*Inputs!$E$33</f>
        <v>-1400.496768</v>
      </c>
      <c r="P27" s="53" t="n">
        <f aca="false">-(P18+P19)*Inputs!$E$33</f>
        <v>-1400.496768</v>
      </c>
      <c r="Q27" s="53" t="n">
        <f aca="false">-(Q18+Q19)*Inputs!$E$33</f>
        <v>-1400.496768</v>
      </c>
      <c r="R27" s="53" t="n">
        <f aca="false">-(R18+R19)*Inputs!$E$33</f>
        <v>-1400.496768</v>
      </c>
      <c r="S27" s="53" t="n">
        <f aca="false">-(S18+S19)*Inputs!$E$33</f>
        <v>-1400.496768</v>
      </c>
      <c r="T27" s="53" t="n">
        <f aca="false">-(T18+T19)*Inputs!$E$33</f>
        <v>-1400.496768</v>
      </c>
      <c r="U27" s="53" t="n">
        <f aca="false">-(U18+U19)*Inputs!$E$33</f>
        <v>-1400.496768</v>
      </c>
      <c r="V27" s="53" t="n">
        <f aca="false">-(V18+V19)*Inputs!$E$33</f>
        <v>-1400.496768</v>
      </c>
      <c r="W27" s="53" t="n">
        <f aca="false">-(W18+W19)*Inputs!$E$33</f>
        <v>-1400.496768</v>
      </c>
      <c r="X27" s="53" t="n">
        <f aca="false">-(X18+X19)*Inputs!$E$33</f>
        <v>-1400.496768</v>
      </c>
      <c r="Y27" s="53" t="n">
        <f aca="false">-(Y18+Y19)*Inputs!$E$33</f>
        <v>-1400.496768</v>
      </c>
      <c r="Z27" s="53" t="n">
        <f aca="false">-(Z18+Z19)*Inputs!$E$33</f>
        <v>-1400.496768</v>
      </c>
      <c r="AA27" s="53" t="n">
        <f aca="false">-(AA18+AA19)*Inputs!$E$33</f>
        <v>-1704.78652032</v>
      </c>
      <c r="AB27" s="53" t="n">
        <f aca="false">-(AB18+AB19)*Inputs!$E$33</f>
        <v>-1704.78652032</v>
      </c>
      <c r="AC27" s="53" t="n">
        <f aca="false">-(AC18+AC19)*Inputs!$E$33</f>
        <v>-1704.78652032</v>
      </c>
      <c r="AD27" s="53" t="n">
        <f aca="false">-(AD18+AD19)*Inputs!$E$33</f>
        <v>-1704.78652032</v>
      </c>
      <c r="AE27" s="53" t="n">
        <f aca="false">-(AE18+AE19)*Inputs!$E$33</f>
        <v>-1704.78652032</v>
      </c>
      <c r="AF27" s="53" t="n">
        <f aca="false">-(AF18+AF19)*Inputs!$E$33</f>
        <v>-1704.78652032</v>
      </c>
      <c r="AG27" s="53" t="n">
        <f aca="false">-(AG18+AG19)*Inputs!$E$33</f>
        <v>-1704.78652032</v>
      </c>
      <c r="AH27" s="53" t="n">
        <f aca="false">-(AH18+AH19)*Inputs!$E$33</f>
        <v>-1704.78652032</v>
      </c>
      <c r="AI27" s="53" t="n">
        <f aca="false">-(AI18+AI19)*Inputs!$E$33</f>
        <v>-1704.78652032</v>
      </c>
      <c r="AJ27" s="53" t="n">
        <f aca="false">-(AJ18+AJ19)*Inputs!$E$33</f>
        <v>-1704.78652032</v>
      </c>
      <c r="AK27" s="53" t="n">
        <f aca="false">-(AK18+AK19)*Inputs!$E$33</f>
        <v>-1704.78652032</v>
      </c>
      <c r="AL27" s="53" t="n">
        <f aca="false">-(AL18+AL19)*Inputs!$E$33</f>
        <v>-1704.78652032</v>
      </c>
      <c r="AM27" s="53" t="n">
        <f aca="false">-(AM18+AM19)*Inputs!$E$33</f>
        <v>-2026.073210688</v>
      </c>
      <c r="AN27" s="53" t="n">
        <f aca="false">-(AN18+AN19)*Inputs!$E$33</f>
        <v>-2026.073210688</v>
      </c>
      <c r="AO27" s="53" t="n">
        <f aca="false">-(AO18+AO19)*Inputs!$E$33</f>
        <v>-2026.073210688</v>
      </c>
      <c r="AP27" s="53" t="n">
        <f aca="false">-(AP18+AP19)*Inputs!$E$33</f>
        <v>-2026.073210688</v>
      </c>
      <c r="AQ27" s="53" t="n">
        <f aca="false">-(AQ18+AQ19)*Inputs!$E$33</f>
        <v>-2026.073210688</v>
      </c>
      <c r="AR27" s="53" t="n">
        <f aca="false">-(AR18+AR19)*Inputs!$E$33</f>
        <v>-2026.073210688</v>
      </c>
      <c r="AS27" s="53" t="n">
        <f aca="false">-(AS18+AS19)*Inputs!$E$33</f>
        <v>-2026.073210688</v>
      </c>
      <c r="AT27" s="53" t="n">
        <f aca="false">-(AT18+AT19)*Inputs!$E$33</f>
        <v>-2026.073210688</v>
      </c>
      <c r="AU27" s="53" t="n">
        <f aca="false">-(AU18+AU19)*Inputs!$E$33</f>
        <v>-2026.073210688</v>
      </c>
      <c r="AV27" s="53" t="n">
        <f aca="false">-(AV18+AV19)*Inputs!$E$33</f>
        <v>-2026.073210688</v>
      </c>
      <c r="AW27" s="53" t="n">
        <f aca="false">-(AW18+AW19)*Inputs!$E$33</f>
        <v>-2026.073210688</v>
      </c>
      <c r="AX27" s="53" t="n">
        <f aca="false">-(AX18+AX19)*Inputs!$E$33</f>
        <v>-2026.073210688</v>
      </c>
      <c r="AY27" s="53" t="n">
        <f aca="false">-(AY18+AY19)*Inputs!$E$33</f>
        <v>-2225.97910080922</v>
      </c>
      <c r="AZ27" s="53" t="n">
        <f aca="false">-(AZ18+AZ19)*Inputs!$E$33</f>
        <v>-2225.97910080922</v>
      </c>
      <c r="BA27" s="53" t="n">
        <f aca="false">-(BA18+BA19)*Inputs!$E$33</f>
        <v>-2225.97910080922</v>
      </c>
      <c r="BB27" s="53" t="n">
        <f aca="false">-(BB18+BB19)*Inputs!$E$33</f>
        <v>-2225.97910080922</v>
      </c>
      <c r="BC27" s="53" t="n">
        <f aca="false">-(BC18+BC19)*Inputs!$E$33</f>
        <v>-2225.97910080922</v>
      </c>
      <c r="BD27" s="53" t="n">
        <f aca="false">-(BD18+BD19)*Inputs!$E$33</f>
        <v>-2225.97910080922</v>
      </c>
      <c r="BE27" s="53" t="n">
        <f aca="false">-(BE18+BE19)*Inputs!$E$33</f>
        <v>-2225.97910080922</v>
      </c>
      <c r="BF27" s="53" t="n">
        <f aca="false">-(BF18+BF19)*Inputs!$E$33</f>
        <v>-2225.97910080922</v>
      </c>
      <c r="BG27" s="53" t="n">
        <f aca="false">-(BG18+BG19)*Inputs!$E$33</f>
        <v>-2225.97910080922</v>
      </c>
      <c r="BH27" s="53" t="n">
        <f aca="false">-(BH18+BH19)*Inputs!$E$33</f>
        <v>-2225.97910080922</v>
      </c>
      <c r="BI27" s="53" t="n">
        <f aca="false">-(BI18+BI19)*Inputs!$E$33</f>
        <v>-2225.97910080922</v>
      </c>
      <c r="BJ27" s="53" t="n">
        <f aca="false">-(BJ18+BJ19)*Inputs!$E$33</f>
        <v>-2225.97910080922</v>
      </c>
    </row>
    <row r="28" customFormat="false" ht="15" hidden="false" customHeight="false" outlineLevel="0" collapsed="false">
      <c r="A28" s="4" t="s">
        <v>73</v>
      </c>
      <c r="C28" s="60" t="n">
        <f aca="false">C24+C25+C26+C27</f>
        <v>-22507.8912</v>
      </c>
      <c r="D28" s="60" t="n">
        <f aca="false">D24+D25+D26+D27</f>
        <v>-22507.8912</v>
      </c>
      <c r="E28" s="60" t="n">
        <f aca="false">E24+E25+E26+E27</f>
        <v>-22507.8912</v>
      </c>
      <c r="F28" s="60" t="n">
        <f aca="false">F24+F25+F26+F27</f>
        <v>-22507.8912</v>
      </c>
      <c r="G28" s="60" t="n">
        <f aca="false">G24+G25+G26+G27</f>
        <v>-22507.8912</v>
      </c>
      <c r="H28" s="60" t="n">
        <f aca="false">H24+H25+H26+H27</f>
        <v>-22507.8912</v>
      </c>
      <c r="I28" s="60" t="n">
        <f aca="false">I24+I25+I26+I27</f>
        <v>-22507.8912</v>
      </c>
      <c r="J28" s="60" t="n">
        <f aca="false">J24+J25+J26+J27</f>
        <v>-22507.8912</v>
      </c>
      <c r="K28" s="60" t="n">
        <f aca="false">K24+K25+K26+K27</f>
        <v>-22507.8912</v>
      </c>
      <c r="L28" s="60" t="n">
        <f aca="false">L24+L25+L26+L27</f>
        <v>-22507.8912</v>
      </c>
      <c r="M28" s="60" t="n">
        <f aca="false">M24+M25+M26+M27</f>
        <v>-22507.8912</v>
      </c>
      <c r="N28" s="60" t="n">
        <f aca="false">N24+N25+N26+N27</f>
        <v>-22507.8912</v>
      </c>
      <c r="O28" s="60" t="n">
        <f aca="false">O24+O25+O26+O27</f>
        <v>-28334.934144</v>
      </c>
      <c r="P28" s="60" t="n">
        <f aca="false">P24+P25+P26+P27</f>
        <v>-28334.934144</v>
      </c>
      <c r="Q28" s="60" t="n">
        <f aca="false">Q24+Q25+Q26+Q27</f>
        <v>-28334.934144</v>
      </c>
      <c r="R28" s="60" t="n">
        <f aca="false">R24+R25+R26+R27</f>
        <v>-28334.934144</v>
      </c>
      <c r="S28" s="60" t="n">
        <f aca="false">S24+S25+S26+S27</f>
        <v>-28334.934144</v>
      </c>
      <c r="T28" s="60" t="n">
        <f aca="false">T24+T25+T26+T27</f>
        <v>-28334.934144</v>
      </c>
      <c r="U28" s="60" t="n">
        <f aca="false">U24+U25+U26+U27</f>
        <v>-28334.934144</v>
      </c>
      <c r="V28" s="60" t="n">
        <f aca="false">V24+V25+V26+V27</f>
        <v>-28334.934144</v>
      </c>
      <c r="W28" s="60" t="n">
        <f aca="false">W24+W25+W26+W27</f>
        <v>-28334.934144</v>
      </c>
      <c r="X28" s="60" t="n">
        <f aca="false">X24+X25+X26+X27</f>
        <v>-28334.934144</v>
      </c>
      <c r="Y28" s="60" t="n">
        <f aca="false">Y24+Y25+Y26+Y27</f>
        <v>-28334.934144</v>
      </c>
      <c r="Z28" s="60" t="n">
        <f aca="false">Z24+Z25+Z26+Z27</f>
        <v>-28334.934144</v>
      </c>
      <c r="AA28" s="60" t="n">
        <f aca="false">AA24+AA25+AA26+AA27</f>
        <v>-34491.34256256</v>
      </c>
      <c r="AB28" s="60" t="n">
        <f aca="false">AB24+AB25+AB26+AB27</f>
        <v>-34491.34256256</v>
      </c>
      <c r="AC28" s="60" t="n">
        <f aca="false">AC24+AC25+AC26+AC27</f>
        <v>-34491.34256256</v>
      </c>
      <c r="AD28" s="60" t="n">
        <f aca="false">AD24+AD25+AD26+AD27</f>
        <v>-34491.34256256</v>
      </c>
      <c r="AE28" s="60" t="n">
        <f aca="false">AE24+AE25+AE26+AE27</f>
        <v>-34491.34256256</v>
      </c>
      <c r="AF28" s="60" t="n">
        <f aca="false">AF24+AF25+AF26+AF27</f>
        <v>-34491.34256256</v>
      </c>
      <c r="AG28" s="60" t="n">
        <f aca="false">AG24+AG25+AG26+AG27</f>
        <v>-34491.34256256</v>
      </c>
      <c r="AH28" s="60" t="n">
        <f aca="false">AH24+AH25+AH26+AH27</f>
        <v>-34491.34256256</v>
      </c>
      <c r="AI28" s="60" t="n">
        <f aca="false">AI24+AI25+AI26+AI27</f>
        <v>-34491.34256256</v>
      </c>
      <c r="AJ28" s="60" t="n">
        <f aca="false">AJ24+AJ25+AJ26+AJ27</f>
        <v>-34491.34256256</v>
      </c>
      <c r="AK28" s="60" t="n">
        <f aca="false">AK24+AK25+AK26+AK27</f>
        <v>-34491.34256256</v>
      </c>
      <c r="AL28" s="60" t="n">
        <f aca="false">AL24+AL25+AL26+AL27</f>
        <v>-34491.34256256</v>
      </c>
      <c r="AM28" s="60" t="n">
        <f aca="false">AM24+AM25+AM26+AM27</f>
        <v>-40991.634045504</v>
      </c>
      <c r="AN28" s="60" t="n">
        <f aca="false">AN24+AN25+AN26+AN27</f>
        <v>-40991.634045504</v>
      </c>
      <c r="AO28" s="60" t="n">
        <f aca="false">AO24+AO25+AO26+AO27</f>
        <v>-40991.634045504</v>
      </c>
      <c r="AP28" s="60" t="n">
        <f aca="false">AP24+AP25+AP26+AP27</f>
        <v>-40991.634045504</v>
      </c>
      <c r="AQ28" s="60" t="n">
        <f aca="false">AQ24+AQ25+AQ26+AQ27</f>
        <v>-40991.634045504</v>
      </c>
      <c r="AR28" s="60" t="n">
        <f aca="false">AR24+AR25+AR26+AR27</f>
        <v>-40991.634045504</v>
      </c>
      <c r="AS28" s="60" t="n">
        <f aca="false">AS24+AS25+AS26+AS27</f>
        <v>-40991.634045504</v>
      </c>
      <c r="AT28" s="60" t="n">
        <f aca="false">AT24+AT25+AT26+AT27</f>
        <v>-40991.634045504</v>
      </c>
      <c r="AU28" s="60" t="n">
        <f aca="false">AU24+AU25+AU26+AU27</f>
        <v>-40991.634045504</v>
      </c>
      <c r="AV28" s="60" t="n">
        <f aca="false">AV24+AV25+AV26+AV27</f>
        <v>-40991.634045504</v>
      </c>
      <c r="AW28" s="60" t="n">
        <f aca="false">AW24+AW25+AW26+AW27</f>
        <v>-40991.634045504</v>
      </c>
      <c r="AX28" s="60" t="n">
        <f aca="false">AX24+AX25+AX26+AX27</f>
        <v>-40991.634045504</v>
      </c>
      <c r="AY28" s="60" t="n">
        <f aca="false">AY24+AY25+AY26+AY27</f>
        <v>-45036.1419379937</v>
      </c>
      <c r="AZ28" s="60" t="n">
        <f aca="false">AZ24+AZ25+AZ26+AZ27</f>
        <v>-45036.1419379937</v>
      </c>
      <c r="BA28" s="60" t="n">
        <f aca="false">BA24+BA25+BA26+BA27</f>
        <v>-45036.1419379937</v>
      </c>
      <c r="BB28" s="60" t="n">
        <f aca="false">BB24+BB25+BB26+BB27</f>
        <v>-45036.1419379937</v>
      </c>
      <c r="BC28" s="60" t="n">
        <f aca="false">BC24+BC25+BC26+BC27</f>
        <v>-45036.1419379937</v>
      </c>
      <c r="BD28" s="60" t="n">
        <f aca="false">BD24+BD25+BD26+BD27</f>
        <v>-45036.1419379937</v>
      </c>
      <c r="BE28" s="60" t="n">
        <f aca="false">BE24+BE25+BE26+BE27</f>
        <v>-45036.1419379937</v>
      </c>
      <c r="BF28" s="60" t="n">
        <f aca="false">BF24+BF25+BF26+BF27</f>
        <v>-45036.1419379937</v>
      </c>
      <c r="BG28" s="60" t="n">
        <f aca="false">BG24+BG25+BG26+BG27</f>
        <v>-45036.1419379937</v>
      </c>
      <c r="BH28" s="60" t="n">
        <f aca="false">BH24+BH25+BH26+BH27</f>
        <v>-45036.1419379937</v>
      </c>
      <c r="BI28" s="60" t="n">
        <f aca="false">BI24+BI25+BI26+BI27</f>
        <v>-45036.1419379937</v>
      </c>
      <c r="BJ28" s="60" t="n">
        <f aca="false">BJ24+BJ25+BJ26+BJ27</f>
        <v>-45036.1419379937</v>
      </c>
    </row>
    <row r="29" customFormat="false" ht="15" hidden="false" customHeight="false" outlineLevel="0" collapsed="false">
      <c r="A29" s="102" t="s">
        <v>43</v>
      </c>
      <c r="C29" s="54" t="n">
        <f aca="false">C21+C28</f>
        <v>17413.7088</v>
      </c>
      <c r="D29" s="54" t="n">
        <f aca="false">D21+D28</f>
        <v>17413.7088</v>
      </c>
      <c r="E29" s="54" t="n">
        <f aca="false">E21+E28</f>
        <v>17413.7088</v>
      </c>
      <c r="F29" s="54" t="n">
        <f aca="false">F21+F28</f>
        <v>17413.7088</v>
      </c>
      <c r="G29" s="54" t="n">
        <f aca="false">G21+G28</f>
        <v>17413.7088</v>
      </c>
      <c r="H29" s="54" t="n">
        <f aca="false">H21+H28</f>
        <v>17413.7088</v>
      </c>
      <c r="I29" s="54" t="n">
        <f aca="false">I21+I28</f>
        <v>17413.7088</v>
      </c>
      <c r="J29" s="54" t="n">
        <f aca="false">J21+J28</f>
        <v>17413.7088</v>
      </c>
      <c r="K29" s="54" t="n">
        <f aca="false">K21+K28</f>
        <v>17413.7088</v>
      </c>
      <c r="L29" s="54" t="n">
        <f aca="false">L21+L28</f>
        <v>17413.7088</v>
      </c>
      <c r="M29" s="54" t="n">
        <f aca="false">M21+M28</f>
        <v>17413.7088</v>
      </c>
      <c r="N29" s="54" t="n">
        <f aca="false">N21+N28</f>
        <v>17413.7088</v>
      </c>
      <c r="O29" s="54" t="n">
        <f aca="false">O21+O28</f>
        <v>21564.857856</v>
      </c>
      <c r="P29" s="54" t="n">
        <f aca="false">P21+P28</f>
        <v>21564.857856</v>
      </c>
      <c r="Q29" s="54" t="n">
        <f aca="false">Q21+Q28</f>
        <v>21564.857856</v>
      </c>
      <c r="R29" s="54" t="n">
        <f aca="false">R21+R28</f>
        <v>21564.857856</v>
      </c>
      <c r="S29" s="54" t="n">
        <f aca="false">S21+S28</f>
        <v>21564.857856</v>
      </c>
      <c r="T29" s="54" t="n">
        <f aca="false">T21+T28</f>
        <v>21564.857856</v>
      </c>
      <c r="U29" s="54" t="n">
        <f aca="false">U21+U28</f>
        <v>21564.857856</v>
      </c>
      <c r="V29" s="54" t="n">
        <f aca="false">V21+V28</f>
        <v>21564.857856</v>
      </c>
      <c r="W29" s="54" t="n">
        <f aca="false">W21+W28</f>
        <v>21564.857856</v>
      </c>
      <c r="X29" s="54" t="n">
        <f aca="false">X21+X28</f>
        <v>21564.857856</v>
      </c>
      <c r="Y29" s="54" t="n">
        <f aca="false">Y21+Y28</f>
        <v>21564.857856</v>
      </c>
      <c r="Z29" s="54" t="n">
        <f aca="false">Z21+Z28</f>
        <v>21564.857856</v>
      </c>
      <c r="AA29" s="54" t="n">
        <f aca="false">AA21+AA28</f>
        <v>25949.40351744</v>
      </c>
      <c r="AB29" s="54" t="n">
        <f aca="false">AB21+AB28</f>
        <v>25949.40351744</v>
      </c>
      <c r="AC29" s="54" t="n">
        <f aca="false">AC21+AC28</f>
        <v>25949.40351744</v>
      </c>
      <c r="AD29" s="54" t="n">
        <f aca="false">AD21+AD28</f>
        <v>25949.40351744</v>
      </c>
      <c r="AE29" s="54" t="n">
        <f aca="false">AE21+AE28</f>
        <v>25949.40351744</v>
      </c>
      <c r="AF29" s="54" t="n">
        <f aca="false">AF21+AF28</f>
        <v>25949.40351744</v>
      </c>
      <c r="AG29" s="54" t="n">
        <f aca="false">AG21+AG28</f>
        <v>25949.40351744</v>
      </c>
      <c r="AH29" s="54" t="n">
        <f aca="false">AH21+AH28</f>
        <v>25949.40351744</v>
      </c>
      <c r="AI29" s="54" t="n">
        <f aca="false">AI21+AI28</f>
        <v>25949.40351744</v>
      </c>
      <c r="AJ29" s="54" t="n">
        <f aca="false">AJ21+AJ28</f>
        <v>25949.40351744</v>
      </c>
      <c r="AK29" s="54" t="n">
        <f aca="false">AK21+AK28</f>
        <v>25949.40351744</v>
      </c>
      <c r="AL29" s="54" t="n">
        <f aca="false">AL21+AL28</f>
        <v>25949.40351744</v>
      </c>
      <c r="AM29" s="54" t="n">
        <f aca="false">AM21+AM28</f>
        <v>30577.613546496</v>
      </c>
      <c r="AN29" s="54" t="n">
        <f aca="false">AN21+AN28</f>
        <v>30577.613546496</v>
      </c>
      <c r="AO29" s="54" t="n">
        <f aca="false">AO21+AO28</f>
        <v>30577.613546496</v>
      </c>
      <c r="AP29" s="54" t="n">
        <f aca="false">AP21+AP28</f>
        <v>30577.613546496</v>
      </c>
      <c r="AQ29" s="54" t="n">
        <f aca="false">AQ21+AQ28</f>
        <v>30577.613546496</v>
      </c>
      <c r="AR29" s="54" t="n">
        <f aca="false">AR21+AR28</f>
        <v>30577.613546496</v>
      </c>
      <c r="AS29" s="54" t="n">
        <f aca="false">AS21+AS28</f>
        <v>30577.613546496</v>
      </c>
      <c r="AT29" s="54" t="n">
        <f aca="false">AT21+AT28</f>
        <v>30577.613546496</v>
      </c>
      <c r="AU29" s="54" t="n">
        <f aca="false">AU21+AU28</f>
        <v>30577.613546496</v>
      </c>
      <c r="AV29" s="54" t="n">
        <f aca="false">AV21+AV28</f>
        <v>30577.613546496</v>
      </c>
      <c r="AW29" s="54" t="n">
        <f aca="false">AW21+AW28</f>
        <v>30577.613546496</v>
      </c>
      <c r="AX29" s="54" t="n">
        <f aca="false">AX21+AX28</f>
        <v>30577.613546496</v>
      </c>
      <c r="AY29" s="54" t="n">
        <f aca="false">AY21+AY28</f>
        <v>33477.5518335103</v>
      </c>
      <c r="AZ29" s="54" t="n">
        <f aca="false">AZ21+AZ28</f>
        <v>33477.5518335103</v>
      </c>
      <c r="BA29" s="54" t="n">
        <f aca="false">BA21+BA28</f>
        <v>33477.5518335103</v>
      </c>
      <c r="BB29" s="54" t="n">
        <f aca="false">BB21+BB28</f>
        <v>33477.5518335103</v>
      </c>
      <c r="BC29" s="54" t="n">
        <f aca="false">BC21+BC28</f>
        <v>33477.5518335103</v>
      </c>
      <c r="BD29" s="54" t="n">
        <f aca="false">BD21+BD28</f>
        <v>33477.5518335103</v>
      </c>
      <c r="BE29" s="54" t="n">
        <f aca="false">BE21+BE28</f>
        <v>33477.5518335103</v>
      </c>
      <c r="BF29" s="54" t="n">
        <f aca="false">BF21+BF28</f>
        <v>33477.5518335103</v>
      </c>
      <c r="BG29" s="54" t="n">
        <f aca="false">BG21+BG28</f>
        <v>33477.5518335103</v>
      </c>
      <c r="BH29" s="54" t="n">
        <f aca="false">BH21+BH28</f>
        <v>33477.5518335103</v>
      </c>
      <c r="BI29" s="54" t="n">
        <f aca="false">BI21+BI28</f>
        <v>33477.5518335103</v>
      </c>
      <c r="BJ29" s="54" t="n">
        <f aca="false">BJ21+BJ28</f>
        <v>33477.5518335103</v>
      </c>
    </row>
    <row r="31" customFormat="false" ht="15.75" hidden="false" customHeight="true" outlineLevel="0" collapsed="false">
      <c r="A31" s="7" t="s">
        <v>45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customFormat="false" ht="15" hidden="false" customHeight="false" outlineLevel="0" collapsed="false">
      <c r="A32" s="6" t="s">
        <v>304</v>
      </c>
      <c r="C32" s="55" t="n">
        <f aca="false">Headcount!C17</f>
        <v>-8026.66666666667</v>
      </c>
      <c r="D32" s="55" t="n">
        <f aca="false">Headcount!D17</f>
        <v>-8026.66666666667</v>
      </c>
      <c r="E32" s="55" t="n">
        <f aca="false">Headcount!E17</f>
        <v>-8026.66666666667</v>
      </c>
      <c r="F32" s="55" t="n">
        <f aca="false">Headcount!F17</f>
        <v>-8026.66666666667</v>
      </c>
      <c r="G32" s="55" t="n">
        <f aca="false">Headcount!G17</f>
        <v>-8026.66666666667</v>
      </c>
      <c r="H32" s="55" t="n">
        <f aca="false">Headcount!H17</f>
        <v>-8026.66666666667</v>
      </c>
      <c r="I32" s="55" t="n">
        <f aca="false">Headcount!I17</f>
        <v>-8026.66666666667</v>
      </c>
      <c r="J32" s="55" t="n">
        <f aca="false">Headcount!J17</f>
        <v>-8026.66666666667</v>
      </c>
      <c r="K32" s="55" t="n">
        <f aca="false">Headcount!K17</f>
        <v>-8026.66666666667</v>
      </c>
      <c r="L32" s="55" t="n">
        <f aca="false">Headcount!L17</f>
        <v>-8026.66666666667</v>
      </c>
      <c r="M32" s="55" t="n">
        <f aca="false">Headcount!M17</f>
        <v>-8026.66666666667</v>
      </c>
      <c r="N32" s="55" t="n">
        <f aca="false">Headcount!N17</f>
        <v>-8026.66666666667</v>
      </c>
      <c r="O32" s="55" t="n">
        <f aca="false">Headcount!O17</f>
        <v>-8267.46666666667</v>
      </c>
      <c r="P32" s="55" t="n">
        <f aca="false">Headcount!P17</f>
        <v>-8267.46666666667</v>
      </c>
      <c r="Q32" s="55" t="n">
        <f aca="false">Headcount!Q17</f>
        <v>-8267.46666666667</v>
      </c>
      <c r="R32" s="55" t="n">
        <f aca="false">Headcount!R17</f>
        <v>-8267.46666666667</v>
      </c>
      <c r="S32" s="55" t="n">
        <f aca="false">Headcount!S17</f>
        <v>-8267.46666666667</v>
      </c>
      <c r="T32" s="55" t="n">
        <f aca="false">Headcount!T17</f>
        <v>-8267.46666666667</v>
      </c>
      <c r="U32" s="55" t="n">
        <f aca="false">Headcount!U17</f>
        <v>-8267.46666666667</v>
      </c>
      <c r="V32" s="55" t="n">
        <f aca="false">Headcount!V17</f>
        <v>-8267.46666666667</v>
      </c>
      <c r="W32" s="55" t="n">
        <f aca="false">Headcount!W17</f>
        <v>-8267.46666666667</v>
      </c>
      <c r="X32" s="55" t="n">
        <f aca="false">Headcount!X17</f>
        <v>-8267.46666666667</v>
      </c>
      <c r="Y32" s="55" t="n">
        <f aca="false">Headcount!Y17</f>
        <v>-8267.46666666667</v>
      </c>
      <c r="Z32" s="55" t="n">
        <f aca="false">Headcount!Z17</f>
        <v>-8267.46666666667</v>
      </c>
      <c r="AA32" s="55" t="n">
        <f aca="false">Headcount!AA17</f>
        <v>-8515.49066666667</v>
      </c>
      <c r="AB32" s="55" t="n">
        <f aca="false">Headcount!AB17</f>
        <v>-8515.49066666667</v>
      </c>
      <c r="AC32" s="55" t="n">
        <f aca="false">Headcount!AC17</f>
        <v>-8515.49066666667</v>
      </c>
      <c r="AD32" s="55" t="n">
        <f aca="false">Headcount!AD17</f>
        <v>-8515.49066666667</v>
      </c>
      <c r="AE32" s="55" t="n">
        <f aca="false">Headcount!AE17</f>
        <v>-8515.49066666667</v>
      </c>
      <c r="AF32" s="55" t="n">
        <f aca="false">Headcount!AF17</f>
        <v>-8515.49066666667</v>
      </c>
      <c r="AG32" s="55" t="n">
        <f aca="false">Headcount!AG17</f>
        <v>-8515.49066666667</v>
      </c>
      <c r="AH32" s="55" t="n">
        <f aca="false">Headcount!AH17</f>
        <v>-8515.49066666667</v>
      </c>
      <c r="AI32" s="55" t="n">
        <f aca="false">Headcount!AI17</f>
        <v>-8515.49066666667</v>
      </c>
      <c r="AJ32" s="55" t="n">
        <f aca="false">Headcount!AJ17</f>
        <v>-8515.49066666667</v>
      </c>
      <c r="AK32" s="55" t="n">
        <f aca="false">Headcount!AK17</f>
        <v>-8515.49066666667</v>
      </c>
      <c r="AL32" s="55" t="n">
        <f aca="false">Headcount!AL17</f>
        <v>-8515.49066666667</v>
      </c>
      <c r="AM32" s="55" t="n">
        <f aca="false">Headcount!AM17</f>
        <v>-8770.95538666667</v>
      </c>
      <c r="AN32" s="55" t="n">
        <f aca="false">Headcount!AN17</f>
        <v>-8770.95538666667</v>
      </c>
      <c r="AO32" s="55" t="n">
        <f aca="false">Headcount!AO17</f>
        <v>-8770.95538666667</v>
      </c>
      <c r="AP32" s="55" t="n">
        <f aca="false">Headcount!AP17</f>
        <v>-8770.95538666667</v>
      </c>
      <c r="AQ32" s="55" t="n">
        <f aca="false">Headcount!AQ17</f>
        <v>-8770.95538666667</v>
      </c>
      <c r="AR32" s="55" t="n">
        <f aca="false">Headcount!AR17</f>
        <v>-8770.95538666667</v>
      </c>
      <c r="AS32" s="55" t="n">
        <f aca="false">Headcount!AS17</f>
        <v>-8770.95538666667</v>
      </c>
      <c r="AT32" s="55" t="n">
        <f aca="false">Headcount!AT17</f>
        <v>-8770.95538666667</v>
      </c>
      <c r="AU32" s="55" t="n">
        <f aca="false">Headcount!AU17</f>
        <v>-8770.95538666667</v>
      </c>
      <c r="AV32" s="55" t="n">
        <f aca="false">Headcount!AV17</f>
        <v>-8770.95538666667</v>
      </c>
      <c r="AW32" s="55" t="n">
        <f aca="false">Headcount!AW17</f>
        <v>-8770.95538666667</v>
      </c>
      <c r="AX32" s="55" t="n">
        <f aca="false">Headcount!AX17</f>
        <v>-8770.95538666667</v>
      </c>
      <c r="AY32" s="55" t="n">
        <f aca="false">Headcount!AY17</f>
        <v>-9034.08404826667</v>
      </c>
      <c r="AZ32" s="55" t="n">
        <f aca="false">Headcount!AZ17</f>
        <v>-9034.08404826667</v>
      </c>
      <c r="BA32" s="55" t="n">
        <f aca="false">Headcount!BA17</f>
        <v>-9034.08404826667</v>
      </c>
      <c r="BB32" s="55" t="n">
        <f aca="false">Headcount!BB17</f>
        <v>-9034.08404826667</v>
      </c>
      <c r="BC32" s="55" t="n">
        <f aca="false">Headcount!BC17</f>
        <v>-9034.08404826667</v>
      </c>
      <c r="BD32" s="55" t="n">
        <f aca="false">Headcount!BD17</f>
        <v>-9034.08404826667</v>
      </c>
      <c r="BE32" s="55" t="n">
        <f aca="false">Headcount!BE17</f>
        <v>-9034.08404826667</v>
      </c>
      <c r="BF32" s="55" t="n">
        <f aca="false">Headcount!BF17</f>
        <v>-9034.08404826667</v>
      </c>
      <c r="BG32" s="55" t="n">
        <f aca="false">Headcount!BG17</f>
        <v>-9034.08404826667</v>
      </c>
      <c r="BH32" s="55" t="n">
        <f aca="false">Headcount!BH17</f>
        <v>-9034.08404826667</v>
      </c>
      <c r="BI32" s="55" t="n">
        <f aca="false">Headcount!BI17</f>
        <v>-9034.08404826667</v>
      </c>
      <c r="BJ32" s="55" t="n">
        <f aca="false">Headcount!BJ17</f>
        <v>-9034.08404826667</v>
      </c>
    </row>
    <row r="33" customFormat="false" ht="15" hidden="false" customHeight="false" outlineLevel="0" collapsed="false">
      <c r="A33" s="6" t="s">
        <v>305</v>
      </c>
      <c r="C33" s="53" t="n">
        <f aca="false">-Inputs!$E$36*(1+Inputs!$E$37)^(C$5-1)*1</f>
        <v>-2500</v>
      </c>
      <c r="D33" s="53" t="n">
        <f aca="false">-Inputs!$E$36*(1+Inputs!$E$37)^(D$5-1)*1</f>
        <v>-2500</v>
      </c>
      <c r="E33" s="53" t="n">
        <f aca="false">-Inputs!$E$36*(1+Inputs!$E$37)^(E$5-1)*1</f>
        <v>-2500</v>
      </c>
      <c r="F33" s="53" t="n">
        <f aca="false">-Inputs!$E$36*(1+Inputs!$E$37)^(F$5-1)*1</f>
        <v>-2500</v>
      </c>
      <c r="G33" s="53" t="n">
        <f aca="false">-Inputs!$E$36*(1+Inputs!$E$37)^(G$5-1)*1</f>
        <v>-2500</v>
      </c>
      <c r="H33" s="53" t="n">
        <f aca="false">-Inputs!$E$36*(1+Inputs!$E$37)^(H$5-1)*1</f>
        <v>-2500</v>
      </c>
      <c r="I33" s="53" t="n">
        <f aca="false">-Inputs!$E$36*(1+Inputs!$E$37)^(I$5-1)*1</f>
        <v>-2500</v>
      </c>
      <c r="J33" s="53" t="n">
        <f aca="false">-Inputs!$E$36*(1+Inputs!$E$37)^(J$5-1)*1</f>
        <v>-2500</v>
      </c>
      <c r="K33" s="53" t="n">
        <f aca="false">-Inputs!$E$36*(1+Inputs!$E$37)^(K$5-1)*1</f>
        <v>-2500</v>
      </c>
      <c r="L33" s="53" t="n">
        <f aca="false">-Inputs!$E$36*(1+Inputs!$E$37)^(L$5-1)*1</f>
        <v>-2500</v>
      </c>
      <c r="M33" s="53" t="n">
        <f aca="false">-Inputs!$E$36*(1+Inputs!$E$37)^(M$5-1)*1</f>
        <v>-2500</v>
      </c>
      <c r="N33" s="53" t="n">
        <f aca="false">-Inputs!$E$36*(1+Inputs!$E$37)^(N$5-1)*1</f>
        <v>-2500</v>
      </c>
      <c r="O33" s="53" t="n">
        <f aca="false">-Inputs!$E$36*(1+Inputs!$E$37)^(O$5-1)*1</f>
        <v>-2500</v>
      </c>
      <c r="P33" s="53" t="n">
        <f aca="false">-Inputs!$E$36*(1+Inputs!$E$37)^(P$5-1)*1</f>
        <v>-2500</v>
      </c>
      <c r="Q33" s="53" t="n">
        <f aca="false">-Inputs!$E$36*(1+Inputs!$E$37)^(Q$5-1)*1</f>
        <v>-2500</v>
      </c>
      <c r="R33" s="53" t="n">
        <f aca="false">-Inputs!$E$36*(1+Inputs!$E$37)^(R$5-1)*1</f>
        <v>-2500</v>
      </c>
      <c r="S33" s="53" t="n">
        <f aca="false">-Inputs!$E$36*(1+Inputs!$E$37)^(S$5-1)*1</f>
        <v>-2500</v>
      </c>
      <c r="T33" s="53" t="n">
        <f aca="false">-Inputs!$E$36*(1+Inputs!$E$37)^(T$5-1)*1</f>
        <v>-2500</v>
      </c>
      <c r="U33" s="53" t="n">
        <f aca="false">-Inputs!$E$36*(1+Inputs!$E$37)^(U$5-1)*1</f>
        <v>-2500</v>
      </c>
      <c r="V33" s="53" t="n">
        <f aca="false">-Inputs!$E$36*(1+Inputs!$E$37)^(V$5-1)*1</f>
        <v>-2500</v>
      </c>
      <c r="W33" s="53" t="n">
        <f aca="false">-Inputs!$E$36*(1+Inputs!$E$37)^(W$5-1)*1</f>
        <v>-2500</v>
      </c>
      <c r="X33" s="53" t="n">
        <f aca="false">-Inputs!$E$36*(1+Inputs!$E$37)^(X$5-1)*1</f>
        <v>-2500</v>
      </c>
      <c r="Y33" s="53" t="n">
        <f aca="false">-Inputs!$E$36*(1+Inputs!$E$37)^(Y$5-1)*1</f>
        <v>-2500</v>
      </c>
      <c r="Z33" s="53" t="n">
        <f aca="false">-Inputs!$E$36*(1+Inputs!$E$37)^(Z$5-1)*1</f>
        <v>-2500</v>
      </c>
      <c r="AA33" s="53" t="n">
        <f aca="false">-Inputs!$E$36*(1+Inputs!$E$37)^(AA$5-1)*1</f>
        <v>-2500</v>
      </c>
      <c r="AB33" s="53" t="n">
        <f aca="false">-Inputs!$E$36*(1+Inputs!$E$37)^(AB$5-1)*1</f>
        <v>-2500</v>
      </c>
      <c r="AC33" s="53" t="n">
        <f aca="false">-Inputs!$E$36*(1+Inputs!$E$37)^(AC$5-1)*1</f>
        <v>-2500</v>
      </c>
      <c r="AD33" s="53" t="n">
        <f aca="false">-Inputs!$E$36*(1+Inputs!$E$37)^(AD$5-1)*1</f>
        <v>-2500</v>
      </c>
      <c r="AE33" s="53" t="n">
        <f aca="false">-Inputs!$E$36*(1+Inputs!$E$37)^(AE$5-1)*1</f>
        <v>-2500</v>
      </c>
      <c r="AF33" s="53" t="n">
        <f aca="false">-Inputs!$E$36*(1+Inputs!$E$37)^(AF$5-1)*1</f>
        <v>-2500</v>
      </c>
      <c r="AG33" s="53" t="n">
        <f aca="false">-Inputs!$E$36*(1+Inputs!$E$37)^(AG$5-1)*1</f>
        <v>-2500</v>
      </c>
      <c r="AH33" s="53" t="n">
        <f aca="false">-Inputs!$E$36*(1+Inputs!$E$37)^(AH$5-1)*1</f>
        <v>-2500</v>
      </c>
      <c r="AI33" s="53" t="n">
        <f aca="false">-Inputs!$E$36*(1+Inputs!$E$37)^(AI$5-1)*1</f>
        <v>-2500</v>
      </c>
      <c r="AJ33" s="53" t="n">
        <f aca="false">-Inputs!$E$36*(1+Inputs!$E$37)^(AJ$5-1)*1</f>
        <v>-2500</v>
      </c>
      <c r="AK33" s="53" t="n">
        <f aca="false">-Inputs!$E$36*(1+Inputs!$E$37)^(AK$5-1)*1</f>
        <v>-2500</v>
      </c>
      <c r="AL33" s="53" t="n">
        <f aca="false">-Inputs!$E$36*(1+Inputs!$E$37)^(AL$5-1)*1</f>
        <v>-2500</v>
      </c>
      <c r="AM33" s="53" t="n">
        <f aca="false">-Inputs!$E$36*(1+Inputs!$E$37)^(AM$5-1)*1</f>
        <v>-2500</v>
      </c>
      <c r="AN33" s="53" t="n">
        <f aca="false">-Inputs!$E$36*(1+Inputs!$E$37)^(AN$5-1)*1</f>
        <v>-2500</v>
      </c>
      <c r="AO33" s="53" t="n">
        <f aca="false">-Inputs!$E$36*(1+Inputs!$E$37)^(AO$5-1)*1</f>
        <v>-2500</v>
      </c>
      <c r="AP33" s="53" t="n">
        <f aca="false">-Inputs!$E$36*(1+Inputs!$E$37)^(AP$5-1)*1</f>
        <v>-2500</v>
      </c>
      <c r="AQ33" s="53" t="n">
        <f aca="false">-Inputs!$E$36*(1+Inputs!$E$37)^(AQ$5-1)*1</f>
        <v>-2500</v>
      </c>
      <c r="AR33" s="53" t="n">
        <f aca="false">-Inputs!$E$36*(1+Inputs!$E$37)^(AR$5-1)*1</f>
        <v>-2500</v>
      </c>
      <c r="AS33" s="53" t="n">
        <f aca="false">-Inputs!$E$36*(1+Inputs!$E$37)^(AS$5-1)*1</f>
        <v>-2500</v>
      </c>
      <c r="AT33" s="53" t="n">
        <f aca="false">-Inputs!$E$36*(1+Inputs!$E$37)^(AT$5-1)*1</f>
        <v>-2500</v>
      </c>
      <c r="AU33" s="53" t="n">
        <f aca="false">-Inputs!$E$36*(1+Inputs!$E$37)^(AU$5-1)*1</f>
        <v>-2500</v>
      </c>
      <c r="AV33" s="53" t="n">
        <f aca="false">-Inputs!$E$36*(1+Inputs!$E$37)^(AV$5-1)*1</f>
        <v>-2500</v>
      </c>
      <c r="AW33" s="53" t="n">
        <f aca="false">-Inputs!$E$36*(1+Inputs!$E$37)^(AW$5-1)*1</f>
        <v>-2500</v>
      </c>
      <c r="AX33" s="53" t="n">
        <f aca="false">-Inputs!$E$36*(1+Inputs!$E$37)^(AX$5-1)*1</f>
        <v>-2500</v>
      </c>
      <c r="AY33" s="53" t="n">
        <f aca="false">-Inputs!$E$36*(1+Inputs!$E$37)^(AY$5-1)*1</f>
        <v>-2500</v>
      </c>
      <c r="AZ33" s="53" t="n">
        <f aca="false">-Inputs!$E$36*(1+Inputs!$E$37)^(AZ$5-1)*1</f>
        <v>-2500</v>
      </c>
      <c r="BA33" s="53" t="n">
        <f aca="false">-Inputs!$E$36*(1+Inputs!$E$37)^(BA$5-1)*1</f>
        <v>-2500</v>
      </c>
      <c r="BB33" s="53" t="n">
        <f aca="false">-Inputs!$E$36*(1+Inputs!$E$37)^(BB$5-1)*1</f>
        <v>-2500</v>
      </c>
      <c r="BC33" s="53" t="n">
        <f aca="false">-Inputs!$E$36*(1+Inputs!$E$37)^(BC$5-1)*1</f>
        <v>-2500</v>
      </c>
      <c r="BD33" s="53" t="n">
        <f aca="false">-Inputs!$E$36*(1+Inputs!$E$37)^(BD$5-1)*1</f>
        <v>-2500</v>
      </c>
      <c r="BE33" s="53" t="n">
        <f aca="false">-Inputs!$E$36*(1+Inputs!$E$37)^(BE$5-1)*1</f>
        <v>-2500</v>
      </c>
      <c r="BF33" s="53" t="n">
        <f aca="false">-Inputs!$E$36*(1+Inputs!$E$37)^(BF$5-1)*1</f>
        <v>-2500</v>
      </c>
      <c r="BG33" s="53" t="n">
        <f aca="false">-Inputs!$E$36*(1+Inputs!$E$37)^(BG$5-1)*1</f>
        <v>-2500</v>
      </c>
      <c r="BH33" s="53" t="n">
        <f aca="false">-Inputs!$E$36*(1+Inputs!$E$37)^(BH$5-1)*1</f>
        <v>-2500</v>
      </c>
      <c r="BI33" s="53" t="n">
        <f aca="false">-Inputs!$E$36*(1+Inputs!$E$37)^(BI$5-1)*1</f>
        <v>-2500</v>
      </c>
      <c r="BJ33" s="53" t="n">
        <f aca="false">-Inputs!$E$36*(1+Inputs!$E$37)^(BJ$5-1)*1</f>
        <v>-2500</v>
      </c>
    </row>
    <row r="34" customFormat="false" ht="15" hidden="false" customHeight="false" outlineLevel="0" collapsed="false">
      <c r="A34" s="6" t="s">
        <v>306</v>
      </c>
      <c r="C34" s="53" t="n">
        <f aca="false">-Inputs!$E$38*1</f>
        <v>-6500</v>
      </c>
      <c r="D34" s="53" t="n">
        <f aca="false">-Inputs!$E$38*1</f>
        <v>-6500</v>
      </c>
      <c r="E34" s="53" t="n">
        <f aca="false">-Inputs!$E$38*1</f>
        <v>-6500</v>
      </c>
      <c r="F34" s="53" t="n">
        <f aca="false">-Inputs!$E$38*1</f>
        <v>-6500</v>
      </c>
      <c r="G34" s="53" t="n">
        <f aca="false">-Inputs!$E$38*1</f>
        <v>-6500</v>
      </c>
      <c r="H34" s="53" t="n">
        <f aca="false">-Inputs!$E$38*1</f>
        <v>-6500</v>
      </c>
      <c r="I34" s="53" t="n">
        <f aca="false">-Inputs!$E$38*1</f>
        <v>-6500</v>
      </c>
      <c r="J34" s="53" t="n">
        <f aca="false">-Inputs!$E$38*1</f>
        <v>-6500</v>
      </c>
      <c r="K34" s="53" t="n">
        <f aca="false">-Inputs!$E$38*1</f>
        <v>-6500</v>
      </c>
      <c r="L34" s="53" t="n">
        <f aca="false">-Inputs!$E$38*1</f>
        <v>-6500</v>
      </c>
      <c r="M34" s="53" t="n">
        <f aca="false">-Inputs!$E$38*1</f>
        <v>-6500</v>
      </c>
      <c r="N34" s="53" t="n">
        <f aca="false">-Inputs!$E$38*1</f>
        <v>-6500</v>
      </c>
      <c r="O34" s="53" t="n">
        <f aca="false">-Inputs!$E$38*1</f>
        <v>-6500</v>
      </c>
      <c r="P34" s="53" t="n">
        <f aca="false">-Inputs!$E$38*1</f>
        <v>-6500</v>
      </c>
      <c r="Q34" s="53" t="n">
        <f aca="false">-Inputs!$E$38*1</f>
        <v>-6500</v>
      </c>
      <c r="R34" s="53" t="n">
        <f aca="false">-Inputs!$E$38*1</f>
        <v>-6500</v>
      </c>
      <c r="S34" s="53" t="n">
        <f aca="false">-Inputs!$E$38*1</f>
        <v>-6500</v>
      </c>
      <c r="T34" s="53" t="n">
        <f aca="false">-Inputs!$E$38*1</f>
        <v>-6500</v>
      </c>
      <c r="U34" s="53" t="n">
        <f aca="false">-Inputs!$E$38*1</f>
        <v>-6500</v>
      </c>
      <c r="V34" s="53" t="n">
        <f aca="false">-Inputs!$E$38*1</f>
        <v>-6500</v>
      </c>
      <c r="W34" s="53" t="n">
        <f aca="false">-Inputs!$E$38*1</f>
        <v>-6500</v>
      </c>
      <c r="X34" s="53" t="n">
        <f aca="false">-Inputs!$E$38*1</f>
        <v>-6500</v>
      </c>
      <c r="Y34" s="53" t="n">
        <f aca="false">-Inputs!$E$38*1</f>
        <v>-6500</v>
      </c>
      <c r="Z34" s="53" t="n">
        <f aca="false">-Inputs!$E$38*1</f>
        <v>-6500</v>
      </c>
      <c r="AA34" s="53" t="n">
        <f aca="false">-Inputs!$E$38*1</f>
        <v>-6500</v>
      </c>
      <c r="AB34" s="53" t="n">
        <f aca="false">-Inputs!$E$38*1</f>
        <v>-6500</v>
      </c>
      <c r="AC34" s="53" t="n">
        <f aca="false">-Inputs!$E$38*1</f>
        <v>-6500</v>
      </c>
      <c r="AD34" s="53" t="n">
        <f aca="false">-Inputs!$E$38*1</f>
        <v>-6500</v>
      </c>
      <c r="AE34" s="53" t="n">
        <f aca="false">-Inputs!$E$38*1</f>
        <v>-6500</v>
      </c>
      <c r="AF34" s="53" t="n">
        <f aca="false">-Inputs!$E$38*1</f>
        <v>-6500</v>
      </c>
      <c r="AG34" s="53" t="n">
        <f aca="false">-Inputs!$E$38*1</f>
        <v>-6500</v>
      </c>
      <c r="AH34" s="53" t="n">
        <f aca="false">-Inputs!$E$38*1</f>
        <v>-6500</v>
      </c>
      <c r="AI34" s="53" t="n">
        <f aca="false">-Inputs!$E$38*1</f>
        <v>-6500</v>
      </c>
      <c r="AJ34" s="53" t="n">
        <f aca="false">-Inputs!$E$38*1</f>
        <v>-6500</v>
      </c>
      <c r="AK34" s="53" t="n">
        <f aca="false">-Inputs!$E$38*1</f>
        <v>-6500</v>
      </c>
      <c r="AL34" s="53" t="n">
        <f aca="false">-Inputs!$E$38*1</f>
        <v>-6500</v>
      </c>
      <c r="AM34" s="53" t="n">
        <f aca="false">-Inputs!$E$38*1</f>
        <v>-6500</v>
      </c>
      <c r="AN34" s="53" t="n">
        <f aca="false">-Inputs!$E$38*1</f>
        <v>-6500</v>
      </c>
      <c r="AO34" s="53" t="n">
        <f aca="false">-Inputs!$E$38*1</f>
        <v>-6500</v>
      </c>
      <c r="AP34" s="53" t="n">
        <f aca="false">-Inputs!$E$38*1</f>
        <v>-6500</v>
      </c>
      <c r="AQ34" s="53" t="n">
        <f aca="false">-Inputs!$E$38*1</f>
        <v>-6500</v>
      </c>
      <c r="AR34" s="53" t="n">
        <f aca="false">-Inputs!$E$38*1</f>
        <v>-6500</v>
      </c>
      <c r="AS34" s="53" t="n">
        <f aca="false">-Inputs!$E$38*1</f>
        <v>-6500</v>
      </c>
      <c r="AT34" s="53" t="n">
        <f aca="false">-Inputs!$E$38*1</f>
        <v>-6500</v>
      </c>
      <c r="AU34" s="53" t="n">
        <f aca="false">-Inputs!$E$38*1</f>
        <v>-6500</v>
      </c>
      <c r="AV34" s="53" t="n">
        <f aca="false">-Inputs!$E$38*1</f>
        <v>-6500</v>
      </c>
      <c r="AW34" s="53" t="n">
        <f aca="false">-Inputs!$E$38*1</f>
        <v>-6500</v>
      </c>
      <c r="AX34" s="53" t="n">
        <f aca="false">-Inputs!$E$38*1</f>
        <v>-6500</v>
      </c>
      <c r="AY34" s="53" t="n">
        <f aca="false">-Inputs!$E$38*1</f>
        <v>-6500</v>
      </c>
      <c r="AZ34" s="53" t="n">
        <f aca="false">-Inputs!$E$38*1</f>
        <v>-6500</v>
      </c>
      <c r="BA34" s="53" t="n">
        <f aca="false">-Inputs!$E$38*1</f>
        <v>-6500</v>
      </c>
      <c r="BB34" s="53" t="n">
        <f aca="false">-Inputs!$E$38*1</f>
        <v>-6500</v>
      </c>
      <c r="BC34" s="53" t="n">
        <f aca="false">-Inputs!$E$38*1</f>
        <v>-6500</v>
      </c>
      <c r="BD34" s="53" t="n">
        <f aca="false">-Inputs!$E$38*1</f>
        <v>-6500</v>
      </c>
      <c r="BE34" s="53" t="n">
        <f aca="false">-Inputs!$E$38*1</f>
        <v>-6500</v>
      </c>
      <c r="BF34" s="53" t="n">
        <f aca="false">-Inputs!$E$38*1</f>
        <v>-6500</v>
      </c>
      <c r="BG34" s="53" t="n">
        <f aca="false">-Inputs!$E$38*1</f>
        <v>-6500</v>
      </c>
      <c r="BH34" s="53" t="n">
        <f aca="false">-Inputs!$E$38*1</f>
        <v>-6500</v>
      </c>
      <c r="BI34" s="53" t="n">
        <f aca="false">-Inputs!$E$38*1</f>
        <v>-6500</v>
      </c>
      <c r="BJ34" s="53" t="n">
        <f aca="false">-Inputs!$E$38*1</f>
        <v>-6500</v>
      </c>
    </row>
    <row r="35" customFormat="false" ht="15" hidden="false" customHeight="false" outlineLevel="0" collapsed="false">
      <c r="A35" s="6" t="s">
        <v>307</v>
      </c>
      <c r="C35" s="53" t="n">
        <f aca="false">-Inputs!$E$39*1</f>
        <v>-900</v>
      </c>
      <c r="D35" s="53" t="n">
        <f aca="false">-Inputs!$E$39*1</f>
        <v>-900</v>
      </c>
      <c r="E35" s="53" t="n">
        <f aca="false">-Inputs!$E$39*1</f>
        <v>-900</v>
      </c>
      <c r="F35" s="53" t="n">
        <f aca="false">-Inputs!$E$39*1</f>
        <v>-900</v>
      </c>
      <c r="G35" s="53" t="n">
        <f aca="false">-Inputs!$E$39*1</f>
        <v>-900</v>
      </c>
      <c r="H35" s="53" t="n">
        <f aca="false">-Inputs!$E$39*1</f>
        <v>-900</v>
      </c>
      <c r="I35" s="53" t="n">
        <f aca="false">-Inputs!$E$39*1</f>
        <v>-900</v>
      </c>
      <c r="J35" s="53" t="n">
        <f aca="false">-Inputs!$E$39*1</f>
        <v>-900</v>
      </c>
      <c r="K35" s="53" t="n">
        <f aca="false">-Inputs!$E$39*1</f>
        <v>-900</v>
      </c>
      <c r="L35" s="53" t="n">
        <f aca="false">-Inputs!$E$39*1</f>
        <v>-900</v>
      </c>
      <c r="M35" s="53" t="n">
        <f aca="false">-Inputs!$E$39*1</f>
        <v>-900</v>
      </c>
      <c r="N35" s="53" t="n">
        <f aca="false">-Inputs!$E$39*1</f>
        <v>-900</v>
      </c>
      <c r="O35" s="53" t="n">
        <f aca="false">-Inputs!$E$39*1</f>
        <v>-900</v>
      </c>
      <c r="P35" s="53" t="n">
        <f aca="false">-Inputs!$E$39*1</f>
        <v>-900</v>
      </c>
      <c r="Q35" s="53" t="n">
        <f aca="false">-Inputs!$E$39*1</f>
        <v>-900</v>
      </c>
      <c r="R35" s="53" t="n">
        <f aca="false">-Inputs!$E$39*1</f>
        <v>-900</v>
      </c>
      <c r="S35" s="53" t="n">
        <f aca="false">-Inputs!$E$39*1</f>
        <v>-900</v>
      </c>
      <c r="T35" s="53" t="n">
        <f aca="false">-Inputs!$E$39*1</f>
        <v>-900</v>
      </c>
      <c r="U35" s="53" t="n">
        <f aca="false">-Inputs!$E$39*1</f>
        <v>-900</v>
      </c>
      <c r="V35" s="53" t="n">
        <f aca="false">-Inputs!$E$39*1</f>
        <v>-900</v>
      </c>
      <c r="W35" s="53" t="n">
        <f aca="false">-Inputs!$E$39*1</f>
        <v>-900</v>
      </c>
      <c r="X35" s="53" t="n">
        <f aca="false">-Inputs!$E$39*1</f>
        <v>-900</v>
      </c>
      <c r="Y35" s="53" t="n">
        <f aca="false">-Inputs!$E$39*1</f>
        <v>-900</v>
      </c>
      <c r="Z35" s="53" t="n">
        <f aca="false">-Inputs!$E$39*1</f>
        <v>-900</v>
      </c>
      <c r="AA35" s="53" t="n">
        <f aca="false">-Inputs!$E$39*1</f>
        <v>-900</v>
      </c>
      <c r="AB35" s="53" t="n">
        <f aca="false">-Inputs!$E$39*1</f>
        <v>-900</v>
      </c>
      <c r="AC35" s="53" t="n">
        <f aca="false">-Inputs!$E$39*1</f>
        <v>-900</v>
      </c>
      <c r="AD35" s="53" t="n">
        <f aca="false">-Inputs!$E$39*1</f>
        <v>-900</v>
      </c>
      <c r="AE35" s="53" t="n">
        <f aca="false">-Inputs!$E$39*1</f>
        <v>-900</v>
      </c>
      <c r="AF35" s="53" t="n">
        <f aca="false">-Inputs!$E$39*1</f>
        <v>-900</v>
      </c>
      <c r="AG35" s="53" t="n">
        <f aca="false">-Inputs!$E$39*1</f>
        <v>-900</v>
      </c>
      <c r="AH35" s="53" t="n">
        <f aca="false">-Inputs!$E$39*1</f>
        <v>-900</v>
      </c>
      <c r="AI35" s="53" t="n">
        <f aca="false">-Inputs!$E$39*1</f>
        <v>-900</v>
      </c>
      <c r="AJ35" s="53" t="n">
        <f aca="false">-Inputs!$E$39*1</f>
        <v>-900</v>
      </c>
      <c r="AK35" s="53" t="n">
        <f aca="false">-Inputs!$E$39*1</f>
        <v>-900</v>
      </c>
      <c r="AL35" s="53" t="n">
        <f aca="false">-Inputs!$E$39*1</f>
        <v>-900</v>
      </c>
      <c r="AM35" s="53" t="n">
        <f aca="false">-Inputs!$E$39*1</f>
        <v>-900</v>
      </c>
      <c r="AN35" s="53" t="n">
        <f aca="false">-Inputs!$E$39*1</f>
        <v>-900</v>
      </c>
      <c r="AO35" s="53" t="n">
        <f aca="false">-Inputs!$E$39*1</f>
        <v>-900</v>
      </c>
      <c r="AP35" s="53" t="n">
        <f aca="false">-Inputs!$E$39*1</f>
        <v>-900</v>
      </c>
      <c r="AQ35" s="53" t="n">
        <f aca="false">-Inputs!$E$39*1</f>
        <v>-900</v>
      </c>
      <c r="AR35" s="53" t="n">
        <f aca="false">-Inputs!$E$39*1</f>
        <v>-900</v>
      </c>
      <c r="AS35" s="53" t="n">
        <f aca="false">-Inputs!$E$39*1</f>
        <v>-900</v>
      </c>
      <c r="AT35" s="53" t="n">
        <f aca="false">-Inputs!$E$39*1</f>
        <v>-900</v>
      </c>
      <c r="AU35" s="53" t="n">
        <f aca="false">-Inputs!$E$39*1</f>
        <v>-900</v>
      </c>
      <c r="AV35" s="53" t="n">
        <f aca="false">-Inputs!$E$39*1</f>
        <v>-900</v>
      </c>
      <c r="AW35" s="53" t="n">
        <f aca="false">-Inputs!$E$39*1</f>
        <v>-900</v>
      </c>
      <c r="AX35" s="53" t="n">
        <f aca="false">-Inputs!$E$39*1</f>
        <v>-900</v>
      </c>
      <c r="AY35" s="53" t="n">
        <f aca="false">-Inputs!$E$39*1</f>
        <v>-900</v>
      </c>
      <c r="AZ35" s="53" t="n">
        <f aca="false">-Inputs!$E$39*1</f>
        <v>-900</v>
      </c>
      <c r="BA35" s="53" t="n">
        <f aca="false">-Inputs!$E$39*1</f>
        <v>-900</v>
      </c>
      <c r="BB35" s="53" t="n">
        <f aca="false">-Inputs!$E$39*1</f>
        <v>-900</v>
      </c>
      <c r="BC35" s="53" t="n">
        <f aca="false">-Inputs!$E$39*1</f>
        <v>-900</v>
      </c>
      <c r="BD35" s="53" t="n">
        <f aca="false">-Inputs!$E$39*1</f>
        <v>-900</v>
      </c>
      <c r="BE35" s="53" t="n">
        <f aca="false">-Inputs!$E$39*1</f>
        <v>-900</v>
      </c>
      <c r="BF35" s="53" t="n">
        <f aca="false">-Inputs!$E$39*1</f>
        <v>-900</v>
      </c>
      <c r="BG35" s="53" t="n">
        <f aca="false">-Inputs!$E$39*1</f>
        <v>-900</v>
      </c>
      <c r="BH35" s="53" t="n">
        <f aca="false">-Inputs!$E$39*1</f>
        <v>-900</v>
      </c>
      <c r="BI35" s="53" t="n">
        <f aca="false">-Inputs!$E$39*1</f>
        <v>-900</v>
      </c>
      <c r="BJ35" s="53" t="n">
        <f aca="false">-Inputs!$E$39*1</f>
        <v>-900</v>
      </c>
    </row>
    <row r="36" customFormat="false" ht="15" hidden="false" customHeight="false" outlineLevel="0" collapsed="false">
      <c r="A36" s="6" t="s">
        <v>308</v>
      </c>
      <c r="C36" s="53" t="n">
        <f aca="false">-Inputs!$E$40*1</f>
        <v>-250</v>
      </c>
      <c r="D36" s="53" t="n">
        <f aca="false">-Inputs!$E$40*1</f>
        <v>-250</v>
      </c>
      <c r="E36" s="53" t="n">
        <f aca="false">-Inputs!$E$40*1</f>
        <v>-250</v>
      </c>
      <c r="F36" s="53" t="n">
        <f aca="false">-Inputs!$E$40*1</f>
        <v>-250</v>
      </c>
      <c r="G36" s="53" t="n">
        <f aca="false">-Inputs!$E$40*1</f>
        <v>-250</v>
      </c>
      <c r="H36" s="53" t="n">
        <f aca="false">-Inputs!$E$40*1</f>
        <v>-250</v>
      </c>
      <c r="I36" s="53" t="n">
        <f aca="false">-Inputs!$E$40*1</f>
        <v>-250</v>
      </c>
      <c r="J36" s="53" t="n">
        <f aca="false">-Inputs!$E$40*1</f>
        <v>-250</v>
      </c>
      <c r="K36" s="53" t="n">
        <f aca="false">-Inputs!$E$40*1</f>
        <v>-250</v>
      </c>
      <c r="L36" s="53" t="n">
        <f aca="false">-Inputs!$E$40*1</f>
        <v>-250</v>
      </c>
      <c r="M36" s="53" t="n">
        <f aca="false">-Inputs!$E$40*1</f>
        <v>-250</v>
      </c>
      <c r="N36" s="53" t="n">
        <f aca="false">-Inputs!$E$40*1</f>
        <v>-250</v>
      </c>
      <c r="O36" s="53" t="n">
        <f aca="false">-Inputs!$E$40*1</f>
        <v>-250</v>
      </c>
      <c r="P36" s="53" t="n">
        <f aca="false">-Inputs!$E$40*1</f>
        <v>-250</v>
      </c>
      <c r="Q36" s="53" t="n">
        <f aca="false">-Inputs!$E$40*1</f>
        <v>-250</v>
      </c>
      <c r="R36" s="53" t="n">
        <f aca="false">-Inputs!$E$40*1</f>
        <v>-250</v>
      </c>
      <c r="S36" s="53" t="n">
        <f aca="false">-Inputs!$E$40*1</f>
        <v>-250</v>
      </c>
      <c r="T36" s="53" t="n">
        <f aca="false">-Inputs!$E$40*1</f>
        <v>-250</v>
      </c>
      <c r="U36" s="53" t="n">
        <f aca="false">-Inputs!$E$40*1</f>
        <v>-250</v>
      </c>
      <c r="V36" s="53" t="n">
        <f aca="false">-Inputs!$E$40*1</f>
        <v>-250</v>
      </c>
      <c r="W36" s="53" t="n">
        <f aca="false">-Inputs!$E$40*1</f>
        <v>-250</v>
      </c>
      <c r="X36" s="53" t="n">
        <f aca="false">-Inputs!$E$40*1</f>
        <v>-250</v>
      </c>
      <c r="Y36" s="53" t="n">
        <f aca="false">-Inputs!$E$40*1</f>
        <v>-250</v>
      </c>
      <c r="Z36" s="53" t="n">
        <f aca="false">-Inputs!$E$40*1</f>
        <v>-250</v>
      </c>
      <c r="AA36" s="53" t="n">
        <f aca="false">-Inputs!$E$40*1</f>
        <v>-250</v>
      </c>
      <c r="AB36" s="53" t="n">
        <f aca="false">-Inputs!$E$40*1</f>
        <v>-250</v>
      </c>
      <c r="AC36" s="53" t="n">
        <f aca="false">-Inputs!$E$40*1</f>
        <v>-250</v>
      </c>
      <c r="AD36" s="53" t="n">
        <f aca="false">-Inputs!$E$40*1</f>
        <v>-250</v>
      </c>
      <c r="AE36" s="53" t="n">
        <f aca="false">-Inputs!$E$40*1</f>
        <v>-250</v>
      </c>
      <c r="AF36" s="53" t="n">
        <f aca="false">-Inputs!$E$40*1</f>
        <v>-250</v>
      </c>
      <c r="AG36" s="53" t="n">
        <f aca="false">-Inputs!$E$40*1</f>
        <v>-250</v>
      </c>
      <c r="AH36" s="53" t="n">
        <f aca="false">-Inputs!$E$40*1</f>
        <v>-250</v>
      </c>
      <c r="AI36" s="53" t="n">
        <f aca="false">-Inputs!$E$40*1</f>
        <v>-250</v>
      </c>
      <c r="AJ36" s="53" t="n">
        <f aca="false">-Inputs!$E$40*1</f>
        <v>-250</v>
      </c>
      <c r="AK36" s="53" t="n">
        <f aca="false">-Inputs!$E$40*1</f>
        <v>-250</v>
      </c>
      <c r="AL36" s="53" t="n">
        <f aca="false">-Inputs!$E$40*1</f>
        <v>-250</v>
      </c>
      <c r="AM36" s="53" t="n">
        <f aca="false">-Inputs!$E$40*1</f>
        <v>-250</v>
      </c>
      <c r="AN36" s="53" t="n">
        <f aca="false">-Inputs!$E$40*1</f>
        <v>-250</v>
      </c>
      <c r="AO36" s="53" t="n">
        <f aca="false">-Inputs!$E$40*1</f>
        <v>-250</v>
      </c>
      <c r="AP36" s="53" t="n">
        <f aca="false">-Inputs!$E$40*1</f>
        <v>-250</v>
      </c>
      <c r="AQ36" s="53" t="n">
        <f aca="false">-Inputs!$E$40*1</f>
        <v>-250</v>
      </c>
      <c r="AR36" s="53" t="n">
        <f aca="false">-Inputs!$E$40*1</f>
        <v>-250</v>
      </c>
      <c r="AS36" s="53" t="n">
        <f aca="false">-Inputs!$E$40*1</f>
        <v>-250</v>
      </c>
      <c r="AT36" s="53" t="n">
        <f aca="false">-Inputs!$E$40*1</f>
        <v>-250</v>
      </c>
      <c r="AU36" s="53" t="n">
        <f aca="false">-Inputs!$E$40*1</f>
        <v>-250</v>
      </c>
      <c r="AV36" s="53" t="n">
        <f aca="false">-Inputs!$E$40*1</f>
        <v>-250</v>
      </c>
      <c r="AW36" s="53" t="n">
        <f aca="false">-Inputs!$E$40*1</f>
        <v>-250</v>
      </c>
      <c r="AX36" s="53" t="n">
        <f aca="false">-Inputs!$E$40*1</f>
        <v>-250</v>
      </c>
      <c r="AY36" s="53" t="n">
        <f aca="false">-Inputs!$E$40*1</f>
        <v>-250</v>
      </c>
      <c r="AZ36" s="53" t="n">
        <f aca="false">-Inputs!$E$40*1</f>
        <v>-250</v>
      </c>
      <c r="BA36" s="53" t="n">
        <f aca="false">-Inputs!$E$40*1</f>
        <v>-250</v>
      </c>
      <c r="BB36" s="53" t="n">
        <f aca="false">-Inputs!$E$40*1</f>
        <v>-250</v>
      </c>
      <c r="BC36" s="53" t="n">
        <f aca="false">-Inputs!$E$40*1</f>
        <v>-250</v>
      </c>
      <c r="BD36" s="53" t="n">
        <f aca="false">-Inputs!$E$40*1</f>
        <v>-250</v>
      </c>
      <c r="BE36" s="53" t="n">
        <f aca="false">-Inputs!$E$40*1</f>
        <v>-250</v>
      </c>
      <c r="BF36" s="53" t="n">
        <f aca="false">-Inputs!$E$40*1</f>
        <v>-250</v>
      </c>
      <c r="BG36" s="53" t="n">
        <f aca="false">-Inputs!$E$40*1</f>
        <v>-250</v>
      </c>
      <c r="BH36" s="53" t="n">
        <f aca="false">-Inputs!$E$40*1</f>
        <v>-250</v>
      </c>
      <c r="BI36" s="53" t="n">
        <f aca="false">-Inputs!$E$40*1</f>
        <v>-250</v>
      </c>
      <c r="BJ36" s="53" t="n">
        <f aca="false">-Inputs!$E$40*1</f>
        <v>-250</v>
      </c>
    </row>
    <row r="37" customFormat="false" ht="15" hidden="false" customHeight="false" outlineLevel="0" collapsed="false">
      <c r="A37" s="6" t="s">
        <v>309</v>
      </c>
      <c r="C37" s="53" t="n">
        <f aca="false">-Inputs!$E$41*1</f>
        <v>-650</v>
      </c>
      <c r="D37" s="53" t="n">
        <f aca="false">-Inputs!$E$41*1</f>
        <v>-650</v>
      </c>
      <c r="E37" s="53" t="n">
        <f aca="false">-Inputs!$E$41*1</f>
        <v>-650</v>
      </c>
      <c r="F37" s="53" t="n">
        <f aca="false">-Inputs!$E$41*1</f>
        <v>-650</v>
      </c>
      <c r="G37" s="53" t="n">
        <f aca="false">-Inputs!$E$41*1</f>
        <v>-650</v>
      </c>
      <c r="H37" s="53" t="n">
        <f aca="false">-Inputs!$E$41*1</f>
        <v>-650</v>
      </c>
      <c r="I37" s="53" t="n">
        <f aca="false">-Inputs!$E$41*1</f>
        <v>-650</v>
      </c>
      <c r="J37" s="53" t="n">
        <f aca="false">-Inputs!$E$41*1</f>
        <v>-650</v>
      </c>
      <c r="K37" s="53" t="n">
        <f aca="false">-Inputs!$E$41*1</f>
        <v>-650</v>
      </c>
      <c r="L37" s="53" t="n">
        <f aca="false">-Inputs!$E$41*1</f>
        <v>-650</v>
      </c>
      <c r="M37" s="53" t="n">
        <f aca="false">-Inputs!$E$41*1</f>
        <v>-650</v>
      </c>
      <c r="N37" s="53" t="n">
        <f aca="false">-Inputs!$E$41*1</f>
        <v>-650</v>
      </c>
      <c r="O37" s="53" t="n">
        <f aca="false">-Inputs!$E$41*1</f>
        <v>-650</v>
      </c>
      <c r="P37" s="53" t="n">
        <f aca="false">-Inputs!$E$41*1</f>
        <v>-650</v>
      </c>
      <c r="Q37" s="53" t="n">
        <f aca="false">-Inputs!$E$41*1</f>
        <v>-650</v>
      </c>
      <c r="R37" s="53" t="n">
        <f aca="false">-Inputs!$E$41*1</f>
        <v>-650</v>
      </c>
      <c r="S37" s="53" t="n">
        <f aca="false">-Inputs!$E$41*1</f>
        <v>-650</v>
      </c>
      <c r="T37" s="53" t="n">
        <f aca="false">-Inputs!$E$41*1</f>
        <v>-650</v>
      </c>
      <c r="U37" s="53" t="n">
        <f aca="false">-Inputs!$E$41*1</f>
        <v>-650</v>
      </c>
      <c r="V37" s="53" t="n">
        <f aca="false">-Inputs!$E$41*1</f>
        <v>-650</v>
      </c>
      <c r="W37" s="53" t="n">
        <f aca="false">-Inputs!$E$41*1</f>
        <v>-650</v>
      </c>
      <c r="X37" s="53" t="n">
        <f aca="false">-Inputs!$E$41*1</f>
        <v>-650</v>
      </c>
      <c r="Y37" s="53" t="n">
        <f aca="false">-Inputs!$E$41*1</f>
        <v>-650</v>
      </c>
      <c r="Z37" s="53" t="n">
        <f aca="false">-Inputs!$E$41*1</f>
        <v>-650</v>
      </c>
      <c r="AA37" s="53" t="n">
        <f aca="false">-Inputs!$E$41*1</f>
        <v>-650</v>
      </c>
      <c r="AB37" s="53" t="n">
        <f aca="false">-Inputs!$E$41*1</f>
        <v>-650</v>
      </c>
      <c r="AC37" s="53" t="n">
        <f aca="false">-Inputs!$E$41*1</f>
        <v>-650</v>
      </c>
      <c r="AD37" s="53" t="n">
        <f aca="false">-Inputs!$E$41*1</f>
        <v>-650</v>
      </c>
      <c r="AE37" s="53" t="n">
        <f aca="false">-Inputs!$E$41*1</f>
        <v>-650</v>
      </c>
      <c r="AF37" s="53" t="n">
        <f aca="false">-Inputs!$E$41*1</f>
        <v>-650</v>
      </c>
      <c r="AG37" s="53" t="n">
        <f aca="false">-Inputs!$E$41*1</f>
        <v>-650</v>
      </c>
      <c r="AH37" s="53" t="n">
        <f aca="false">-Inputs!$E$41*1</f>
        <v>-650</v>
      </c>
      <c r="AI37" s="53" t="n">
        <f aca="false">-Inputs!$E$41*1</f>
        <v>-650</v>
      </c>
      <c r="AJ37" s="53" t="n">
        <f aca="false">-Inputs!$E$41*1</f>
        <v>-650</v>
      </c>
      <c r="AK37" s="53" t="n">
        <f aca="false">-Inputs!$E$41*1</f>
        <v>-650</v>
      </c>
      <c r="AL37" s="53" t="n">
        <f aca="false">-Inputs!$E$41*1</f>
        <v>-650</v>
      </c>
      <c r="AM37" s="53" t="n">
        <f aca="false">-Inputs!$E$41*1</f>
        <v>-650</v>
      </c>
      <c r="AN37" s="53" t="n">
        <f aca="false">-Inputs!$E$41*1</f>
        <v>-650</v>
      </c>
      <c r="AO37" s="53" t="n">
        <f aca="false">-Inputs!$E$41*1</f>
        <v>-650</v>
      </c>
      <c r="AP37" s="53" t="n">
        <f aca="false">-Inputs!$E$41*1</f>
        <v>-650</v>
      </c>
      <c r="AQ37" s="53" t="n">
        <f aca="false">-Inputs!$E$41*1</f>
        <v>-650</v>
      </c>
      <c r="AR37" s="53" t="n">
        <f aca="false">-Inputs!$E$41*1</f>
        <v>-650</v>
      </c>
      <c r="AS37" s="53" t="n">
        <f aca="false">-Inputs!$E$41*1</f>
        <v>-650</v>
      </c>
      <c r="AT37" s="53" t="n">
        <f aca="false">-Inputs!$E$41*1</f>
        <v>-650</v>
      </c>
      <c r="AU37" s="53" t="n">
        <f aca="false">-Inputs!$E$41*1</f>
        <v>-650</v>
      </c>
      <c r="AV37" s="53" t="n">
        <f aca="false">-Inputs!$E$41*1</f>
        <v>-650</v>
      </c>
      <c r="AW37" s="53" t="n">
        <f aca="false">-Inputs!$E$41*1</f>
        <v>-650</v>
      </c>
      <c r="AX37" s="53" t="n">
        <f aca="false">-Inputs!$E$41*1</f>
        <v>-650</v>
      </c>
      <c r="AY37" s="53" t="n">
        <f aca="false">-Inputs!$E$41*1</f>
        <v>-650</v>
      </c>
      <c r="AZ37" s="53" t="n">
        <f aca="false">-Inputs!$E$41*1</f>
        <v>-650</v>
      </c>
      <c r="BA37" s="53" t="n">
        <f aca="false">-Inputs!$E$41*1</f>
        <v>-650</v>
      </c>
      <c r="BB37" s="53" t="n">
        <f aca="false">-Inputs!$E$41*1</f>
        <v>-650</v>
      </c>
      <c r="BC37" s="53" t="n">
        <f aca="false">-Inputs!$E$41*1</f>
        <v>-650</v>
      </c>
      <c r="BD37" s="53" t="n">
        <f aca="false">-Inputs!$E$41*1</f>
        <v>-650</v>
      </c>
      <c r="BE37" s="53" t="n">
        <f aca="false">-Inputs!$E$41*1</f>
        <v>-650</v>
      </c>
      <c r="BF37" s="53" t="n">
        <f aca="false">-Inputs!$E$41*1</f>
        <v>-650</v>
      </c>
      <c r="BG37" s="53" t="n">
        <f aca="false">-Inputs!$E$41*1</f>
        <v>-650</v>
      </c>
      <c r="BH37" s="53" t="n">
        <f aca="false">-Inputs!$E$41*1</f>
        <v>-650</v>
      </c>
      <c r="BI37" s="53" t="n">
        <f aca="false">-Inputs!$E$41*1</f>
        <v>-650</v>
      </c>
      <c r="BJ37" s="53" t="n">
        <f aca="false">-Inputs!$E$41*1</f>
        <v>-650</v>
      </c>
    </row>
    <row r="38" customFormat="false" ht="15" hidden="false" customHeight="false" outlineLevel="0" collapsed="false">
      <c r="A38" s="6" t="s">
        <v>310</v>
      </c>
      <c r="C38" s="53" t="n">
        <f aca="false">-Inputs!$E$42*1</f>
        <v>-450</v>
      </c>
      <c r="D38" s="53" t="n">
        <f aca="false">-Inputs!$E$42*1</f>
        <v>-450</v>
      </c>
      <c r="E38" s="53" t="n">
        <f aca="false">-Inputs!$E$42*1</f>
        <v>-450</v>
      </c>
      <c r="F38" s="53" t="n">
        <f aca="false">-Inputs!$E$42*1</f>
        <v>-450</v>
      </c>
      <c r="G38" s="53" t="n">
        <f aca="false">-Inputs!$E$42*1</f>
        <v>-450</v>
      </c>
      <c r="H38" s="53" t="n">
        <f aca="false">-Inputs!$E$42*1</f>
        <v>-450</v>
      </c>
      <c r="I38" s="53" t="n">
        <f aca="false">-Inputs!$E$42*1</f>
        <v>-450</v>
      </c>
      <c r="J38" s="53" t="n">
        <f aca="false">-Inputs!$E$42*1</f>
        <v>-450</v>
      </c>
      <c r="K38" s="53" t="n">
        <f aca="false">-Inputs!$E$42*1</f>
        <v>-450</v>
      </c>
      <c r="L38" s="53" t="n">
        <f aca="false">-Inputs!$E$42*1</f>
        <v>-450</v>
      </c>
      <c r="M38" s="53" t="n">
        <f aca="false">-Inputs!$E$42*1</f>
        <v>-450</v>
      </c>
      <c r="N38" s="53" t="n">
        <f aca="false">-Inputs!$E$42*1</f>
        <v>-450</v>
      </c>
      <c r="O38" s="53" t="n">
        <f aca="false">-Inputs!$E$42*1</f>
        <v>-450</v>
      </c>
      <c r="P38" s="53" t="n">
        <f aca="false">-Inputs!$E$42*1</f>
        <v>-450</v>
      </c>
      <c r="Q38" s="53" t="n">
        <f aca="false">-Inputs!$E$42*1</f>
        <v>-450</v>
      </c>
      <c r="R38" s="53" t="n">
        <f aca="false">-Inputs!$E$42*1</f>
        <v>-450</v>
      </c>
      <c r="S38" s="53" t="n">
        <f aca="false">-Inputs!$E$42*1</f>
        <v>-450</v>
      </c>
      <c r="T38" s="53" t="n">
        <f aca="false">-Inputs!$E$42*1</f>
        <v>-450</v>
      </c>
      <c r="U38" s="53" t="n">
        <f aca="false">-Inputs!$E$42*1</f>
        <v>-450</v>
      </c>
      <c r="V38" s="53" t="n">
        <f aca="false">-Inputs!$E$42*1</f>
        <v>-450</v>
      </c>
      <c r="W38" s="53" t="n">
        <f aca="false">-Inputs!$E$42*1</f>
        <v>-450</v>
      </c>
      <c r="X38" s="53" t="n">
        <f aca="false">-Inputs!$E$42*1</f>
        <v>-450</v>
      </c>
      <c r="Y38" s="53" t="n">
        <f aca="false">-Inputs!$E$42*1</f>
        <v>-450</v>
      </c>
      <c r="Z38" s="53" t="n">
        <f aca="false">-Inputs!$E$42*1</f>
        <v>-450</v>
      </c>
      <c r="AA38" s="53" t="n">
        <f aca="false">-Inputs!$E$42*1</f>
        <v>-450</v>
      </c>
      <c r="AB38" s="53" t="n">
        <f aca="false">-Inputs!$E$42*1</f>
        <v>-450</v>
      </c>
      <c r="AC38" s="53" t="n">
        <f aca="false">-Inputs!$E$42*1</f>
        <v>-450</v>
      </c>
      <c r="AD38" s="53" t="n">
        <f aca="false">-Inputs!$E$42*1</f>
        <v>-450</v>
      </c>
      <c r="AE38" s="53" t="n">
        <f aca="false">-Inputs!$E$42*1</f>
        <v>-450</v>
      </c>
      <c r="AF38" s="53" t="n">
        <f aca="false">-Inputs!$E$42*1</f>
        <v>-450</v>
      </c>
      <c r="AG38" s="53" t="n">
        <f aca="false">-Inputs!$E$42*1</f>
        <v>-450</v>
      </c>
      <c r="AH38" s="53" t="n">
        <f aca="false">-Inputs!$E$42*1</f>
        <v>-450</v>
      </c>
      <c r="AI38" s="53" t="n">
        <f aca="false">-Inputs!$E$42*1</f>
        <v>-450</v>
      </c>
      <c r="AJ38" s="53" t="n">
        <f aca="false">-Inputs!$E$42*1</f>
        <v>-450</v>
      </c>
      <c r="AK38" s="53" t="n">
        <f aca="false">-Inputs!$E$42*1</f>
        <v>-450</v>
      </c>
      <c r="AL38" s="53" t="n">
        <f aca="false">-Inputs!$E$42*1</f>
        <v>-450</v>
      </c>
      <c r="AM38" s="53" t="n">
        <f aca="false">-Inputs!$E$42*1</f>
        <v>-450</v>
      </c>
      <c r="AN38" s="53" t="n">
        <f aca="false">-Inputs!$E$42*1</f>
        <v>-450</v>
      </c>
      <c r="AO38" s="53" t="n">
        <f aca="false">-Inputs!$E$42*1</f>
        <v>-450</v>
      </c>
      <c r="AP38" s="53" t="n">
        <f aca="false">-Inputs!$E$42*1</f>
        <v>-450</v>
      </c>
      <c r="AQ38" s="53" t="n">
        <f aca="false">-Inputs!$E$42*1</f>
        <v>-450</v>
      </c>
      <c r="AR38" s="53" t="n">
        <f aca="false">-Inputs!$E$42*1</f>
        <v>-450</v>
      </c>
      <c r="AS38" s="53" t="n">
        <f aca="false">-Inputs!$E$42*1</f>
        <v>-450</v>
      </c>
      <c r="AT38" s="53" t="n">
        <f aca="false">-Inputs!$E$42*1</f>
        <v>-450</v>
      </c>
      <c r="AU38" s="53" t="n">
        <f aca="false">-Inputs!$E$42*1</f>
        <v>-450</v>
      </c>
      <c r="AV38" s="53" t="n">
        <f aca="false">-Inputs!$E$42*1</f>
        <v>-450</v>
      </c>
      <c r="AW38" s="53" t="n">
        <f aca="false">-Inputs!$E$42*1</f>
        <v>-450</v>
      </c>
      <c r="AX38" s="53" t="n">
        <f aca="false">-Inputs!$E$42*1</f>
        <v>-450</v>
      </c>
      <c r="AY38" s="53" t="n">
        <f aca="false">-Inputs!$E$42*1</f>
        <v>-450</v>
      </c>
      <c r="AZ38" s="53" t="n">
        <f aca="false">-Inputs!$E$42*1</f>
        <v>-450</v>
      </c>
      <c r="BA38" s="53" t="n">
        <f aca="false">-Inputs!$E$42*1</f>
        <v>-450</v>
      </c>
      <c r="BB38" s="53" t="n">
        <f aca="false">-Inputs!$E$42*1</f>
        <v>-450</v>
      </c>
      <c r="BC38" s="53" t="n">
        <f aca="false">-Inputs!$E$42*1</f>
        <v>-450</v>
      </c>
      <c r="BD38" s="53" t="n">
        <f aca="false">-Inputs!$E$42*1</f>
        <v>-450</v>
      </c>
      <c r="BE38" s="53" t="n">
        <f aca="false">-Inputs!$E$42*1</f>
        <v>-450</v>
      </c>
      <c r="BF38" s="53" t="n">
        <f aca="false">-Inputs!$E$42*1</f>
        <v>-450</v>
      </c>
      <c r="BG38" s="53" t="n">
        <f aca="false">-Inputs!$E$42*1</f>
        <v>-450</v>
      </c>
      <c r="BH38" s="53" t="n">
        <f aca="false">-Inputs!$E$42*1</f>
        <v>-450</v>
      </c>
      <c r="BI38" s="53" t="n">
        <f aca="false">-Inputs!$E$42*1</f>
        <v>-450</v>
      </c>
      <c r="BJ38" s="53" t="n">
        <f aca="false">-Inputs!$E$42*1</f>
        <v>-450</v>
      </c>
    </row>
    <row r="39" customFormat="false" ht="15" hidden="false" customHeight="false" outlineLevel="0" collapsed="false">
      <c r="A39" s="6" t="s">
        <v>311</v>
      </c>
      <c r="C39" s="53" t="n">
        <f aca="false">-Inputs!$E$43*1</f>
        <v>-700</v>
      </c>
      <c r="D39" s="53" t="n">
        <f aca="false">-Inputs!$E$43*1</f>
        <v>-700</v>
      </c>
      <c r="E39" s="53" t="n">
        <f aca="false">-Inputs!$E$43*1</f>
        <v>-700</v>
      </c>
      <c r="F39" s="53" t="n">
        <f aca="false">-Inputs!$E$43*1</f>
        <v>-700</v>
      </c>
      <c r="G39" s="53" t="n">
        <f aca="false">-Inputs!$E$43*1</f>
        <v>-700</v>
      </c>
      <c r="H39" s="53" t="n">
        <f aca="false">-Inputs!$E$43*1</f>
        <v>-700</v>
      </c>
      <c r="I39" s="53" t="n">
        <f aca="false">-Inputs!$E$43*1</f>
        <v>-700</v>
      </c>
      <c r="J39" s="53" t="n">
        <f aca="false">-Inputs!$E$43*1</f>
        <v>-700</v>
      </c>
      <c r="K39" s="53" t="n">
        <f aca="false">-Inputs!$E$43*1</f>
        <v>-700</v>
      </c>
      <c r="L39" s="53" t="n">
        <f aca="false">-Inputs!$E$43*1</f>
        <v>-700</v>
      </c>
      <c r="M39" s="53" t="n">
        <f aca="false">-Inputs!$E$43*1</f>
        <v>-700</v>
      </c>
      <c r="N39" s="53" t="n">
        <f aca="false">-Inputs!$E$43*1</f>
        <v>-700</v>
      </c>
      <c r="O39" s="53" t="n">
        <f aca="false">-Inputs!$E$43*1</f>
        <v>-700</v>
      </c>
      <c r="P39" s="53" t="n">
        <f aca="false">-Inputs!$E$43*1</f>
        <v>-700</v>
      </c>
      <c r="Q39" s="53" t="n">
        <f aca="false">-Inputs!$E$43*1</f>
        <v>-700</v>
      </c>
      <c r="R39" s="53" t="n">
        <f aca="false">-Inputs!$E$43*1</f>
        <v>-700</v>
      </c>
      <c r="S39" s="53" t="n">
        <f aca="false">-Inputs!$E$43*1</f>
        <v>-700</v>
      </c>
      <c r="T39" s="53" t="n">
        <f aca="false">-Inputs!$E$43*1</f>
        <v>-700</v>
      </c>
      <c r="U39" s="53" t="n">
        <f aca="false">-Inputs!$E$43*1</f>
        <v>-700</v>
      </c>
      <c r="V39" s="53" t="n">
        <f aca="false">-Inputs!$E$43*1</f>
        <v>-700</v>
      </c>
      <c r="W39" s="53" t="n">
        <f aca="false">-Inputs!$E$43*1</f>
        <v>-700</v>
      </c>
      <c r="X39" s="53" t="n">
        <f aca="false">-Inputs!$E$43*1</f>
        <v>-700</v>
      </c>
      <c r="Y39" s="53" t="n">
        <f aca="false">-Inputs!$E$43*1</f>
        <v>-700</v>
      </c>
      <c r="Z39" s="53" t="n">
        <f aca="false">-Inputs!$E$43*1</f>
        <v>-700</v>
      </c>
      <c r="AA39" s="53" t="n">
        <f aca="false">-Inputs!$E$43*1</f>
        <v>-700</v>
      </c>
      <c r="AB39" s="53" t="n">
        <f aca="false">-Inputs!$E$43*1</f>
        <v>-700</v>
      </c>
      <c r="AC39" s="53" t="n">
        <f aca="false">-Inputs!$E$43*1</f>
        <v>-700</v>
      </c>
      <c r="AD39" s="53" t="n">
        <f aca="false">-Inputs!$E$43*1</f>
        <v>-700</v>
      </c>
      <c r="AE39" s="53" t="n">
        <f aca="false">-Inputs!$E$43*1</f>
        <v>-700</v>
      </c>
      <c r="AF39" s="53" t="n">
        <f aca="false">-Inputs!$E$43*1</f>
        <v>-700</v>
      </c>
      <c r="AG39" s="53" t="n">
        <f aca="false">-Inputs!$E$43*1</f>
        <v>-700</v>
      </c>
      <c r="AH39" s="53" t="n">
        <f aca="false">-Inputs!$E$43*1</f>
        <v>-700</v>
      </c>
      <c r="AI39" s="53" t="n">
        <f aca="false">-Inputs!$E$43*1</f>
        <v>-700</v>
      </c>
      <c r="AJ39" s="53" t="n">
        <f aca="false">-Inputs!$E$43*1</f>
        <v>-700</v>
      </c>
      <c r="AK39" s="53" t="n">
        <f aca="false">-Inputs!$E$43*1</f>
        <v>-700</v>
      </c>
      <c r="AL39" s="53" t="n">
        <f aca="false">-Inputs!$E$43*1</f>
        <v>-700</v>
      </c>
      <c r="AM39" s="53" t="n">
        <f aca="false">-Inputs!$E$43*1</f>
        <v>-700</v>
      </c>
      <c r="AN39" s="53" t="n">
        <f aca="false">-Inputs!$E$43*1</f>
        <v>-700</v>
      </c>
      <c r="AO39" s="53" t="n">
        <f aca="false">-Inputs!$E$43*1</f>
        <v>-700</v>
      </c>
      <c r="AP39" s="53" t="n">
        <f aca="false">-Inputs!$E$43*1</f>
        <v>-700</v>
      </c>
      <c r="AQ39" s="53" t="n">
        <f aca="false">-Inputs!$E$43*1</f>
        <v>-700</v>
      </c>
      <c r="AR39" s="53" t="n">
        <f aca="false">-Inputs!$E$43*1</f>
        <v>-700</v>
      </c>
      <c r="AS39" s="53" t="n">
        <f aca="false">-Inputs!$E$43*1</f>
        <v>-700</v>
      </c>
      <c r="AT39" s="53" t="n">
        <f aca="false">-Inputs!$E$43*1</f>
        <v>-700</v>
      </c>
      <c r="AU39" s="53" t="n">
        <f aca="false">-Inputs!$E$43*1</f>
        <v>-700</v>
      </c>
      <c r="AV39" s="53" t="n">
        <f aca="false">-Inputs!$E$43*1</f>
        <v>-700</v>
      </c>
      <c r="AW39" s="53" t="n">
        <f aca="false">-Inputs!$E$43*1</f>
        <v>-700</v>
      </c>
      <c r="AX39" s="53" t="n">
        <f aca="false">-Inputs!$E$43*1</f>
        <v>-700</v>
      </c>
      <c r="AY39" s="53" t="n">
        <f aca="false">-Inputs!$E$43*1</f>
        <v>-700</v>
      </c>
      <c r="AZ39" s="53" t="n">
        <f aca="false">-Inputs!$E$43*1</f>
        <v>-700</v>
      </c>
      <c r="BA39" s="53" t="n">
        <f aca="false">-Inputs!$E$43*1</f>
        <v>-700</v>
      </c>
      <c r="BB39" s="53" t="n">
        <f aca="false">-Inputs!$E$43*1</f>
        <v>-700</v>
      </c>
      <c r="BC39" s="53" t="n">
        <f aca="false">-Inputs!$E$43*1</f>
        <v>-700</v>
      </c>
      <c r="BD39" s="53" t="n">
        <f aca="false">-Inputs!$E$43*1</f>
        <v>-700</v>
      </c>
      <c r="BE39" s="53" t="n">
        <f aca="false">-Inputs!$E$43*1</f>
        <v>-700</v>
      </c>
      <c r="BF39" s="53" t="n">
        <f aca="false">-Inputs!$E$43*1</f>
        <v>-700</v>
      </c>
      <c r="BG39" s="53" t="n">
        <f aca="false">-Inputs!$E$43*1</f>
        <v>-700</v>
      </c>
      <c r="BH39" s="53" t="n">
        <f aca="false">-Inputs!$E$43*1</f>
        <v>-700</v>
      </c>
      <c r="BI39" s="53" t="n">
        <f aca="false">-Inputs!$E$43*1</f>
        <v>-700</v>
      </c>
      <c r="BJ39" s="53" t="n">
        <f aca="false">-Inputs!$E$43*1</f>
        <v>-700</v>
      </c>
    </row>
    <row r="40" customFormat="false" ht="15" hidden="false" customHeight="false" outlineLevel="0" collapsed="false">
      <c r="A40" s="102" t="s">
        <v>74</v>
      </c>
      <c r="C40" s="54" t="n">
        <f aca="false">C32+C33+C34+C35+C36+C37+C38+C39</f>
        <v>-19976.6666666667</v>
      </c>
      <c r="D40" s="54" t="n">
        <f aca="false">D32+D33+D34+D35+D36+D37+D38+D39</f>
        <v>-19976.6666666667</v>
      </c>
      <c r="E40" s="54" t="n">
        <f aca="false">E32+E33+E34+E35+E36+E37+E38+E39</f>
        <v>-19976.6666666667</v>
      </c>
      <c r="F40" s="54" t="n">
        <f aca="false">F32+F33+F34+F35+F36+F37+F38+F39</f>
        <v>-19976.6666666667</v>
      </c>
      <c r="G40" s="54" t="n">
        <f aca="false">G32+G33+G34+G35+G36+G37+G38+G39</f>
        <v>-19976.6666666667</v>
      </c>
      <c r="H40" s="54" t="n">
        <f aca="false">H32+H33+H34+H35+H36+H37+H38+H39</f>
        <v>-19976.6666666667</v>
      </c>
      <c r="I40" s="54" t="n">
        <f aca="false">I32+I33+I34+I35+I36+I37+I38+I39</f>
        <v>-19976.6666666667</v>
      </c>
      <c r="J40" s="54" t="n">
        <f aca="false">J32+J33+J34+J35+J36+J37+J38+J39</f>
        <v>-19976.6666666667</v>
      </c>
      <c r="K40" s="54" t="n">
        <f aca="false">K32+K33+K34+K35+K36+K37+K38+K39</f>
        <v>-19976.6666666667</v>
      </c>
      <c r="L40" s="54" t="n">
        <f aca="false">L32+L33+L34+L35+L36+L37+L38+L39</f>
        <v>-19976.6666666667</v>
      </c>
      <c r="M40" s="54" t="n">
        <f aca="false">M32+M33+M34+M35+M36+M37+M38+M39</f>
        <v>-19976.6666666667</v>
      </c>
      <c r="N40" s="54" t="n">
        <f aca="false">N32+N33+N34+N35+N36+N37+N38+N39</f>
        <v>-19976.6666666667</v>
      </c>
      <c r="O40" s="54" t="n">
        <f aca="false">O32+O33+O34+O35+O36+O37+O38+O39</f>
        <v>-20217.4666666667</v>
      </c>
      <c r="P40" s="54" t="n">
        <f aca="false">P32+P33+P34+P35+P36+P37+P38+P39</f>
        <v>-20217.4666666667</v>
      </c>
      <c r="Q40" s="54" t="n">
        <f aca="false">Q32+Q33+Q34+Q35+Q36+Q37+Q38+Q39</f>
        <v>-20217.4666666667</v>
      </c>
      <c r="R40" s="54" t="n">
        <f aca="false">R32+R33+R34+R35+R36+R37+R38+R39</f>
        <v>-20217.4666666667</v>
      </c>
      <c r="S40" s="54" t="n">
        <f aca="false">S32+S33+S34+S35+S36+S37+S38+S39</f>
        <v>-20217.4666666667</v>
      </c>
      <c r="T40" s="54" t="n">
        <f aca="false">T32+T33+T34+T35+T36+T37+T38+T39</f>
        <v>-20217.4666666667</v>
      </c>
      <c r="U40" s="54" t="n">
        <f aca="false">U32+U33+U34+U35+U36+U37+U38+U39</f>
        <v>-20217.4666666667</v>
      </c>
      <c r="V40" s="54" t="n">
        <f aca="false">V32+V33+V34+V35+V36+V37+V38+V39</f>
        <v>-20217.4666666667</v>
      </c>
      <c r="W40" s="54" t="n">
        <f aca="false">W32+W33+W34+W35+W36+W37+W38+W39</f>
        <v>-20217.4666666667</v>
      </c>
      <c r="X40" s="54" t="n">
        <f aca="false">X32+X33+X34+X35+X36+X37+X38+X39</f>
        <v>-20217.4666666667</v>
      </c>
      <c r="Y40" s="54" t="n">
        <f aca="false">Y32+Y33+Y34+Y35+Y36+Y37+Y38+Y39</f>
        <v>-20217.4666666667</v>
      </c>
      <c r="Z40" s="54" t="n">
        <f aca="false">Z32+Z33+Z34+Z35+Z36+Z37+Z38+Z39</f>
        <v>-20217.4666666667</v>
      </c>
      <c r="AA40" s="54" t="n">
        <f aca="false">AA32+AA33+AA34+AA35+AA36+AA37+AA38+AA39</f>
        <v>-20465.4906666667</v>
      </c>
      <c r="AB40" s="54" t="n">
        <f aca="false">AB32+AB33+AB34+AB35+AB36+AB37+AB38+AB39</f>
        <v>-20465.4906666667</v>
      </c>
      <c r="AC40" s="54" t="n">
        <f aca="false">AC32+AC33+AC34+AC35+AC36+AC37+AC38+AC39</f>
        <v>-20465.4906666667</v>
      </c>
      <c r="AD40" s="54" t="n">
        <f aca="false">AD32+AD33+AD34+AD35+AD36+AD37+AD38+AD39</f>
        <v>-20465.4906666667</v>
      </c>
      <c r="AE40" s="54" t="n">
        <f aca="false">AE32+AE33+AE34+AE35+AE36+AE37+AE38+AE39</f>
        <v>-20465.4906666667</v>
      </c>
      <c r="AF40" s="54" t="n">
        <f aca="false">AF32+AF33+AF34+AF35+AF36+AF37+AF38+AF39</f>
        <v>-20465.4906666667</v>
      </c>
      <c r="AG40" s="54" t="n">
        <f aca="false">AG32+AG33+AG34+AG35+AG36+AG37+AG38+AG39</f>
        <v>-20465.4906666667</v>
      </c>
      <c r="AH40" s="54" t="n">
        <f aca="false">AH32+AH33+AH34+AH35+AH36+AH37+AH38+AH39</f>
        <v>-20465.4906666667</v>
      </c>
      <c r="AI40" s="54" t="n">
        <f aca="false">AI32+AI33+AI34+AI35+AI36+AI37+AI38+AI39</f>
        <v>-20465.4906666667</v>
      </c>
      <c r="AJ40" s="54" t="n">
        <f aca="false">AJ32+AJ33+AJ34+AJ35+AJ36+AJ37+AJ38+AJ39</f>
        <v>-20465.4906666667</v>
      </c>
      <c r="AK40" s="54" t="n">
        <f aca="false">AK32+AK33+AK34+AK35+AK36+AK37+AK38+AK39</f>
        <v>-20465.4906666667</v>
      </c>
      <c r="AL40" s="54" t="n">
        <f aca="false">AL32+AL33+AL34+AL35+AL36+AL37+AL38+AL39</f>
        <v>-20465.4906666667</v>
      </c>
      <c r="AM40" s="54" t="n">
        <f aca="false">AM32+AM33+AM34+AM35+AM36+AM37+AM38+AM39</f>
        <v>-20720.9553866667</v>
      </c>
      <c r="AN40" s="54" t="n">
        <f aca="false">AN32+AN33+AN34+AN35+AN36+AN37+AN38+AN39</f>
        <v>-20720.9553866667</v>
      </c>
      <c r="AO40" s="54" t="n">
        <f aca="false">AO32+AO33+AO34+AO35+AO36+AO37+AO38+AO39</f>
        <v>-20720.9553866667</v>
      </c>
      <c r="AP40" s="54" t="n">
        <f aca="false">AP32+AP33+AP34+AP35+AP36+AP37+AP38+AP39</f>
        <v>-20720.9553866667</v>
      </c>
      <c r="AQ40" s="54" t="n">
        <f aca="false">AQ32+AQ33+AQ34+AQ35+AQ36+AQ37+AQ38+AQ39</f>
        <v>-20720.9553866667</v>
      </c>
      <c r="AR40" s="54" t="n">
        <f aca="false">AR32+AR33+AR34+AR35+AR36+AR37+AR38+AR39</f>
        <v>-20720.9553866667</v>
      </c>
      <c r="AS40" s="54" t="n">
        <f aca="false">AS32+AS33+AS34+AS35+AS36+AS37+AS38+AS39</f>
        <v>-20720.9553866667</v>
      </c>
      <c r="AT40" s="54" t="n">
        <f aca="false">AT32+AT33+AT34+AT35+AT36+AT37+AT38+AT39</f>
        <v>-20720.9553866667</v>
      </c>
      <c r="AU40" s="54" t="n">
        <f aca="false">AU32+AU33+AU34+AU35+AU36+AU37+AU38+AU39</f>
        <v>-20720.9553866667</v>
      </c>
      <c r="AV40" s="54" t="n">
        <f aca="false">AV32+AV33+AV34+AV35+AV36+AV37+AV38+AV39</f>
        <v>-20720.9553866667</v>
      </c>
      <c r="AW40" s="54" t="n">
        <f aca="false">AW32+AW33+AW34+AW35+AW36+AW37+AW38+AW39</f>
        <v>-20720.9553866667</v>
      </c>
      <c r="AX40" s="54" t="n">
        <f aca="false">AX32+AX33+AX34+AX35+AX36+AX37+AX38+AX39</f>
        <v>-20720.9553866667</v>
      </c>
      <c r="AY40" s="54" t="n">
        <f aca="false">AY32+AY33+AY34+AY35+AY36+AY37+AY38+AY39</f>
        <v>-20984.0840482667</v>
      </c>
      <c r="AZ40" s="54" t="n">
        <f aca="false">AZ32+AZ33+AZ34+AZ35+AZ36+AZ37+AZ38+AZ39</f>
        <v>-20984.0840482667</v>
      </c>
      <c r="BA40" s="54" t="n">
        <f aca="false">BA32+BA33+BA34+BA35+BA36+BA37+BA38+BA39</f>
        <v>-20984.0840482667</v>
      </c>
      <c r="BB40" s="54" t="n">
        <f aca="false">BB32+BB33+BB34+BB35+BB36+BB37+BB38+BB39</f>
        <v>-20984.0840482667</v>
      </c>
      <c r="BC40" s="54" t="n">
        <f aca="false">BC32+BC33+BC34+BC35+BC36+BC37+BC38+BC39</f>
        <v>-20984.0840482667</v>
      </c>
      <c r="BD40" s="54" t="n">
        <f aca="false">BD32+BD33+BD34+BD35+BD36+BD37+BD38+BD39</f>
        <v>-20984.0840482667</v>
      </c>
      <c r="BE40" s="54" t="n">
        <f aca="false">BE32+BE33+BE34+BE35+BE36+BE37+BE38+BE39</f>
        <v>-20984.0840482667</v>
      </c>
      <c r="BF40" s="54" t="n">
        <f aca="false">BF32+BF33+BF34+BF35+BF36+BF37+BF38+BF39</f>
        <v>-20984.0840482667</v>
      </c>
      <c r="BG40" s="54" t="n">
        <f aca="false">BG32+BG33+BG34+BG35+BG36+BG37+BG38+BG39</f>
        <v>-20984.0840482667</v>
      </c>
      <c r="BH40" s="54" t="n">
        <f aca="false">BH32+BH33+BH34+BH35+BH36+BH37+BH38+BH39</f>
        <v>-20984.0840482667</v>
      </c>
      <c r="BI40" s="54" t="n">
        <f aca="false">BI32+BI33+BI34+BI35+BI36+BI37+BI38+BI39</f>
        <v>-20984.0840482667</v>
      </c>
      <c r="BJ40" s="54" t="n">
        <f aca="false">BJ32+BJ33+BJ34+BJ35+BJ36+BJ37+BJ38+BJ39</f>
        <v>-20984.0840482667</v>
      </c>
    </row>
    <row r="41" customFormat="false" ht="15" hidden="false" customHeight="false" outlineLevel="0" collapsed="false">
      <c r="A41" s="102" t="s">
        <v>46</v>
      </c>
      <c r="C41" s="54" t="n">
        <f aca="false">C29+C40</f>
        <v>-2562.95786666667</v>
      </c>
      <c r="D41" s="54" t="n">
        <f aca="false">D29+D40</f>
        <v>-2562.95786666667</v>
      </c>
      <c r="E41" s="54" t="n">
        <f aca="false">E29+E40</f>
        <v>-2562.95786666667</v>
      </c>
      <c r="F41" s="54" t="n">
        <f aca="false">F29+F40</f>
        <v>-2562.95786666667</v>
      </c>
      <c r="G41" s="54" t="n">
        <f aca="false">G29+G40</f>
        <v>-2562.95786666667</v>
      </c>
      <c r="H41" s="54" t="n">
        <f aca="false">H29+H40</f>
        <v>-2562.95786666667</v>
      </c>
      <c r="I41" s="54" t="n">
        <f aca="false">I29+I40</f>
        <v>-2562.95786666667</v>
      </c>
      <c r="J41" s="54" t="n">
        <f aca="false">J29+J40</f>
        <v>-2562.95786666667</v>
      </c>
      <c r="K41" s="54" t="n">
        <f aca="false">K29+K40</f>
        <v>-2562.95786666667</v>
      </c>
      <c r="L41" s="54" t="n">
        <f aca="false">L29+L40</f>
        <v>-2562.95786666667</v>
      </c>
      <c r="M41" s="54" t="n">
        <f aca="false">M29+M40</f>
        <v>-2562.95786666667</v>
      </c>
      <c r="N41" s="54" t="n">
        <f aca="false">N29+N40</f>
        <v>-2562.95786666667</v>
      </c>
      <c r="O41" s="54" t="n">
        <f aca="false">O29+O40</f>
        <v>1347.39118933334</v>
      </c>
      <c r="P41" s="54" t="n">
        <f aca="false">P29+P40</f>
        <v>1347.39118933334</v>
      </c>
      <c r="Q41" s="54" t="n">
        <f aca="false">Q29+Q40</f>
        <v>1347.39118933334</v>
      </c>
      <c r="R41" s="54" t="n">
        <f aca="false">R29+R40</f>
        <v>1347.39118933334</v>
      </c>
      <c r="S41" s="54" t="n">
        <f aca="false">S29+S40</f>
        <v>1347.39118933334</v>
      </c>
      <c r="T41" s="54" t="n">
        <f aca="false">T29+T40</f>
        <v>1347.39118933334</v>
      </c>
      <c r="U41" s="54" t="n">
        <f aca="false">U29+U40</f>
        <v>1347.39118933334</v>
      </c>
      <c r="V41" s="54" t="n">
        <f aca="false">V29+V40</f>
        <v>1347.39118933334</v>
      </c>
      <c r="W41" s="54" t="n">
        <f aca="false">W29+W40</f>
        <v>1347.39118933334</v>
      </c>
      <c r="X41" s="54" t="n">
        <f aca="false">X29+X40</f>
        <v>1347.39118933334</v>
      </c>
      <c r="Y41" s="54" t="n">
        <f aca="false">Y29+Y40</f>
        <v>1347.39118933334</v>
      </c>
      <c r="Z41" s="54" t="n">
        <f aca="false">Z29+Z40</f>
        <v>1347.39118933334</v>
      </c>
      <c r="AA41" s="54" t="n">
        <f aca="false">AA29+AA40</f>
        <v>5483.91285077334</v>
      </c>
      <c r="AB41" s="54" t="n">
        <f aca="false">AB29+AB40</f>
        <v>5483.91285077334</v>
      </c>
      <c r="AC41" s="54" t="n">
        <f aca="false">AC29+AC40</f>
        <v>5483.91285077334</v>
      </c>
      <c r="AD41" s="54" t="n">
        <f aca="false">AD29+AD40</f>
        <v>5483.91285077334</v>
      </c>
      <c r="AE41" s="54" t="n">
        <f aca="false">AE29+AE40</f>
        <v>5483.91285077334</v>
      </c>
      <c r="AF41" s="54" t="n">
        <f aca="false">AF29+AF40</f>
        <v>5483.91285077334</v>
      </c>
      <c r="AG41" s="54" t="n">
        <f aca="false">AG29+AG40</f>
        <v>5483.91285077334</v>
      </c>
      <c r="AH41" s="54" t="n">
        <f aca="false">AH29+AH40</f>
        <v>5483.91285077334</v>
      </c>
      <c r="AI41" s="54" t="n">
        <f aca="false">AI29+AI40</f>
        <v>5483.91285077334</v>
      </c>
      <c r="AJ41" s="54" t="n">
        <f aca="false">AJ29+AJ40</f>
        <v>5483.91285077334</v>
      </c>
      <c r="AK41" s="54" t="n">
        <f aca="false">AK29+AK40</f>
        <v>5483.91285077334</v>
      </c>
      <c r="AL41" s="54" t="n">
        <f aca="false">AL29+AL40</f>
        <v>5483.91285077334</v>
      </c>
      <c r="AM41" s="54" t="n">
        <f aca="false">AM29+AM40</f>
        <v>9856.65815982933</v>
      </c>
      <c r="AN41" s="54" t="n">
        <f aca="false">AN29+AN40</f>
        <v>9856.65815982933</v>
      </c>
      <c r="AO41" s="54" t="n">
        <f aca="false">AO29+AO40</f>
        <v>9856.65815982933</v>
      </c>
      <c r="AP41" s="54" t="n">
        <f aca="false">AP29+AP40</f>
        <v>9856.65815982933</v>
      </c>
      <c r="AQ41" s="54" t="n">
        <f aca="false">AQ29+AQ40</f>
        <v>9856.65815982933</v>
      </c>
      <c r="AR41" s="54" t="n">
        <f aca="false">AR29+AR40</f>
        <v>9856.65815982933</v>
      </c>
      <c r="AS41" s="54" t="n">
        <f aca="false">AS29+AS40</f>
        <v>9856.65815982933</v>
      </c>
      <c r="AT41" s="54" t="n">
        <f aca="false">AT29+AT40</f>
        <v>9856.65815982933</v>
      </c>
      <c r="AU41" s="54" t="n">
        <f aca="false">AU29+AU40</f>
        <v>9856.65815982933</v>
      </c>
      <c r="AV41" s="54" t="n">
        <f aca="false">AV29+AV40</f>
        <v>9856.65815982933</v>
      </c>
      <c r="AW41" s="54" t="n">
        <f aca="false">AW29+AW40</f>
        <v>9856.65815982933</v>
      </c>
      <c r="AX41" s="54" t="n">
        <f aca="false">AX29+AX40</f>
        <v>9856.65815982933</v>
      </c>
      <c r="AY41" s="54" t="n">
        <f aca="false">AY29+AY40</f>
        <v>12493.4677852436</v>
      </c>
      <c r="AZ41" s="54" t="n">
        <f aca="false">AZ29+AZ40</f>
        <v>12493.4677852436</v>
      </c>
      <c r="BA41" s="54" t="n">
        <f aca="false">BA29+BA40</f>
        <v>12493.4677852436</v>
      </c>
      <c r="BB41" s="54" t="n">
        <f aca="false">BB29+BB40</f>
        <v>12493.4677852436</v>
      </c>
      <c r="BC41" s="54" t="n">
        <f aca="false">BC29+BC40</f>
        <v>12493.4677852436</v>
      </c>
      <c r="BD41" s="54" t="n">
        <f aca="false">BD29+BD40</f>
        <v>12493.4677852436</v>
      </c>
      <c r="BE41" s="54" t="n">
        <f aca="false">BE29+BE40</f>
        <v>12493.4677852436</v>
      </c>
      <c r="BF41" s="54" t="n">
        <f aca="false">BF29+BF40</f>
        <v>12493.4677852436</v>
      </c>
      <c r="BG41" s="54" t="n">
        <f aca="false">BG29+BG40</f>
        <v>12493.4677852436</v>
      </c>
      <c r="BH41" s="54" t="n">
        <f aca="false">BH29+BH40</f>
        <v>12493.4677852436</v>
      </c>
      <c r="BI41" s="54" t="n">
        <f aca="false">BI29+BI40</f>
        <v>12493.4677852436</v>
      </c>
      <c r="BJ41" s="54" t="n">
        <f aca="false">BJ29+BJ40</f>
        <v>12493.4677852436</v>
      </c>
    </row>
    <row r="43" customFormat="false" ht="15.75" hidden="false" customHeight="true" outlineLevel="0" collapsed="false">
      <c r="A43" s="7" t="s">
        <v>389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customFormat="false" ht="15" hidden="false" customHeight="false" outlineLevel="0" collapsed="false">
      <c r="A44" s="4" t="s">
        <v>76</v>
      </c>
      <c r="C44" s="60" t="n">
        <f aca="false">C41+C55</f>
        <v>-4079.62453333334</v>
      </c>
      <c r="D44" s="60" t="n">
        <f aca="false">D41+D55</f>
        <v>-4079.62453333334</v>
      </c>
      <c r="E44" s="60" t="n">
        <f aca="false">E41+E55</f>
        <v>-4079.62453333334</v>
      </c>
      <c r="F44" s="60" t="n">
        <f aca="false">F41+F55</f>
        <v>-4079.62453333334</v>
      </c>
      <c r="G44" s="60" t="n">
        <f aca="false">G41+G55</f>
        <v>-4079.62453333334</v>
      </c>
      <c r="H44" s="60" t="n">
        <f aca="false">H41+H55</f>
        <v>-4079.62453333334</v>
      </c>
      <c r="I44" s="60" t="n">
        <f aca="false">I41+I55</f>
        <v>-4079.62453333334</v>
      </c>
      <c r="J44" s="60" t="n">
        <f aca="false">J41+J55</f>
        <v>-4079.62453333334</v>
      </c>
      <c r="K44" s="60" t="n">
        <f aca="false">K41+K55</f>
        <v>-4079.62453333334</v>
      </c>
      <c r="L44" s="60" t="n">
        <f aca="false">L41+L55</f>
        <v>-4079.62453333334</v>
      </c>
      <c r="M44" s="60" t="n">
        <f aca="false">M41+M55</f>
        <v>-4079.62453333334</v>
      </c>
      <c r="N44" s="60" t="n">
        <f aca="false">N41+N55</f>
        <v>-4079.62453333334</v>
      </c>
      <c r="O44" s="60" t="n">
        <f aca="false">O41+O55</f>
        <v>-169.275477333332</v>
      </c>
      <c r="P44" s="60" t="n">
        <f aca="false">P41+P55</f>
        <v>-169.275477333332</v>
      </c>
      <c r="Q44" s="60" t="n">
        <f aca="false">Q41+Q55</f>
        <v>-169.275477333332</v>
      </c>
      <c r="R44" s="60" t="n">
        <f aca="false">R41+R55</f>
        <v>-169.275477333332</v>
      </c>
      <c r="S44" s="60" t="n">
        <f aca="false">S41+S55</f>
        <v>-169.275477333332</v>
      </c>
      <c r="T44" s="60" t="n">
        <f aca="false">T41+T55</f>
        <v>-169.275477333332</v>
      </c>
      <c r="U44" s="60" t="n">
        <f aca="false">U41+U55</f>
        <v>-169.275477333332</v>
      </c>
      <c r="V44" s="60" t="n">
        <f aca="false">V41+V55</f>
        <v>-169.275477333332</v>
      </c>
      <c r="W44" s="60" t="n">
        <f aca="false">W41+W55</f>
        <v>-169.275477333332</v>
      </c>
      <c r="X44" s="60" t="n">
        <f aca="false">X41+X55</f>
        <v>-169.275477333332</v>
      </c>
      <c r="Y44" s="60" t="n">
        <f aca="false">Y41+Y55</f>
        <v>-169.275477333332</v>
      </c>
      <c r="Z44" s="60" t="n">
        <f aca="false">Z41+Z55</f>
        <v>-169.275477333332</v>
      </c>
      <c r="AA44" s="60" t="n">
        <f aca="false">AA41+AA55</f>
        <v>3967.24618410667</v>
      </c>
      <c r="AB44" s="60" t="n">
        <f aca="false">AB41+AB55</f>
        <v>3967.24618410667</v>
      </c>
      <c r="AC44" s="60" t="n">
        <f aca="false">AC41+AC55</f>
        <v>3967.24618410667</v>
      </c>
      <c r="AD44" s="60" t="n">
        <f aca="false">AD41+AD55</f>
        <v>3967.24618410667</v>
      </c>
      <c r="AE44" s="60" t="n">
        <f aca="false">AE41+AE55</f>
        <v>3967.24618410667</v>
      </c>
      <c r="AF44" s="60" t="n">
        <f aca="false">AF41+AF55</f>
        <v>3967.24618410667</v>
      </c>
      <c r="AG44" s="60" t="n">
        <f aca="false">AG41+AG55</f>
        <v>3967.24618410667</v>
      </c>
      <c r="AH44" s="60" t="n">
        <f aca="false">AH41+AH55</f>
        <v>3967.24618410667</v>
      </c>
      <c r="AI44" s="60" t="n">
        <f aca="false">AI41+AI55</f>
        <v>3967.24618410667</v>
      </c>
      <c r="AJ44" s="60" t="n">
        <f aca="false">AJ41+AJ55</f>
        <v>3967.24618410667</v>
      </c>
      <c r="AK44" s="60" t="n">
        <f aca="false">AK41+AK55</f>
        <v>3967.24618410667</v>
      </c>
      <c r="AL44" s="60" t="n">
        <f aca="false">AL41+AL55</f>
        <v>3967.24618410667</v>
      </c>
      <c r="AM44" s="60" t="n">
        <f aca="false">AM41+AM55</f>
        <v>8339.99149316266</v>
      </c>
      <c r="AN44" s="60" t="n">
        <f aca="false">AN41+AN55</f>
        <v>8339.99149316266</v>
      </c>
      <c r="AO44" s="60" t="n">
        <f aca="false">AO41+AO55</f>
        <v>8339.99149316266</v>
      </c>
      <c r="AP44" s="60" t="n">
        <f aca="false">AP41+AP55</f>
        <v>8339.99149316266</v>
      </c>
      <c r="AQ44" s="60" t="n">
        <f aca="false">AQ41+AQ55</f>
        <v>8339.99149316266</v>
      </c>
      <c r="AR44" s="60" t="n">
        <f aca="false">AR41+AR55</f>
        <v>8339.99149316266</v>
      </c>
      <c r="AS44" s="60" t="n">
        <f aca="false">AS41+AS55</f>
        <v>8339.99149316266</v>
      </c>
      <c r="AT44" s="60" t="n">
        <f aca="false">AT41+AT55</f>
        <v>8339.99149316266</v>
      </c>
      <c r="AU44" s="60" t="n">
        <f aca="false">AU41+AU55</f>
        <v>8339.99149316266</v>
      </c>
      <c r="AV44" s="60" t="n">
        <f aca="false">AV41+AV55</f>
        <v>8339.99149316266</v>
      </c>
      <c r="AW44" s="60" t="n">
        <f aca="false">AW41+AW55</f>
        <v>8339.99149316266</v>
      </c>
      <c r="AX44" s="60" t="n">
        <f aca="false">AX41+AX55</f>
        <v>8339.99149316266</v>
      </c>
      <c r="AY44" s="60" t="n">
        <f aca="false">AY41+AY55</f>
        <v>10976.8011185769</v>
      </c>
      <c r="AZ44" s="60" t="n">
        <f aca="false">AZ41+AZ55</f>
        <v>10976.8011185769</v>
      </c>
      <c r="BA44" s="60" t="n">
        <f aca="false">BA41+BA55</f>
        <v>10976.8011185769</v>
      </c>
      <c r="BB44" s="60" t="n">
        <f aca="false">BB41+BB55</f>
        <v>10976.8011185769</v>
      </c>
      <c r="BC44" s="60" t="n">
        <f aca="false">BC41+BC55</f>
        <v>10976.8011185769</v>
      </c>
      <c r="BD44" s="60" t="n">
        <f aca="false">BD41+BD55</f>
        <v>10976.8011185769</v>
      </c>
      <c r="BE44" s="60" t="n">
        <f aca="false">BE41+BE55</f>
        <v>10976.8011185769</v>
      </c>
      <c r="BF44" s="60" t="n">
        <f aca="false">BF41+BF55</f>
        <v>10976.8011185769</v>
      </c>
      <c r="BG44" s="60" t="n">
        <f aca="false">BG41+BG55</f>
        <v>10976.8011185769</v>
      </c>
      <c r="BH44" s="60" t="n">
        <f aca="false">BH41+BH55</f>
        <v>10976.8011185769</v>
      </c>
      <c r="BI44" s="60" t="n">
        <f aca="false">BI41+BI55</f>
        <v>10976.8011185769</v>
      </c>
      <c r="BJ44" s="60" t="n">
        <f aca="false">BJ41+BJ55</f>
        <v>10976.8011185769</v>
      </c>
    </row>
    <row r="45" customFormat="false" ht="15" hidden="false" customHeight="false" outlineLevel="0" collapsed="false">
      <c r="A45" s="6" t="s">
        <v>390</v>
      </c>
      <c r="C45" s="53" t="n">
        <f aca="false">-(C60+C61+C63)/2*Inputs!$E$71/12</f>
        <v>-466.666666666667</v>
      </c>
      <c r="D45" s="53" t="n">
        <f aca="false">-(D60+D61+D63)/2*Inputs!$E$71/12</f>
        <v>-462.777777777778</v>
      </c>
      <c r="E45" s="53" t="n">
        <f aca="false">-(E60+E61+E63)/2*Inputs!$E$71/12</f>
        <v>-455</v>
      </c>
      <c r="F45" s="53" t="n">
        <f aca="false">-(F60+F61+F63)/2*Inputs!$E$71/12</f>
        <v>-447.222222222222</v>
      </c>
      <c r="G45" s="53" t="n">
        <f aca="false">-(G60+G61+G63)/2*Inputs!$E$71/12</f>
        <v>-439.444444444444</v>
      </c>
      <c r="H45" s="53" t="n">
        <f aca="false">-(H60+H61+H63)/2*Inputs!$E$71/12</f>
        <v>-431.666666666667</v>
      </c>
      <c r="I45" s="53" t="n">
        <f aca="false">-(I60+I61+I63)/2*Inputs!$E$71/12</f>
        <v>-423.888888888889</v>
      </c>
      <c r="J45" s="53" t="n">
        <f aca="false">-(J60+J61+J63)/2*Inputs!$E$71/12</f>
        <v>-416.111111111111</v>
      </c>
      <c r="K45" s="53" t="n">
        <f aca="false">-(K60+K61+K63)/2*Inputs!$E$71/12</f>
        <v>-408.333333333333</v>
      </c>
      <c r="L45" s="53" t="n">
        <f aca="false">-(L60+L61+L63)/2*Inputs!$E$71/12</f>
        <v>-400.555555555556</v>
      </c>
      <c r="M45" s="53" t="n">
        <f aca="false">-(M60+M61+M63)/2*Inputs!$E$71/12</f>
        <v>-392.777777777778</v>
      </c>
      <c r="N45" s="53" t="n">
        <f aca="false">-(N60+N61+N63)/2*Inputs!$E$71/12</f>
        <v>-385</v>
      </c>
      <c r="O45" s="53" t="n">
        <f aca="false">-(O60+O61+O63)/2*Inputs!$E$71/12</f>
        <v>-377.222222222222</v>
      </c>
      <c r="P45" s="53" t="n">
        <f aca="false">-(P60+P61+P63)/2*Inputs!$E$71/12</f>
        <v>-369.444444444445</v>
      </c>
      <c r="Q45" s="53" t="n">
        <f aca="false">-(Q60+Q61+Q63)/2*Inputs!$E$71/12</f>
        <v>-361.666666666667</v>
      </c>
      <c r="R45" s="53" t="n">
        <f aca="false">-(R60+R61+R63)/2*Inputs!$E$71/12</f>
        <v>-353.888888888889</v>
      </c>
      <c r="S45" s="53" t="n">
        <f aca="false">-(S60+S61+S63)/2*Inputs!$E$71/12</f>
        <v>-346.111111111111</v>
      </c>
      <c r="T45" s="53" t="n">
        <f aca="false">-(T60+T61+T63)/2*Inputs!$E$71/12</f>
        <v>-338.333333333333</v>
      </c>
      <c r="U45" s="53" t="n">
        <f aca="false">-(U60+U61+U63)/2*Inputs!$E$71/12</f>
        <v>-330.555555555556</v>
      </c>
      <c r="V45" s="53" t="n">
        <f aca="false">-(V60+V61+V63)/2*Inputs!$E$71/12</f>
        <v>-322.777777777778</v>
      </c>
      <c r="W45" s="53" t="n">
        <f aca="false">-(W60+W61+W63)/2*Inputs!$E$71/12</f>
        <v>-315</v>
      </c>
      <c r="X45" s="53" t="n">
        <f aca="false">-(X60+X61+X63)/2*Inputs!$E$71/12</f>
        <v>-307.222222222222</v>
      </c>
      <c r="Y45" s="53" t="n">
        <f aca="false">-(Y60+Y61+Y63)/2*Inputs!$E$71/12</f>
        <v>-299.444444444445</v>
      </c>
      <c r="Z45" s="53" t="n">
        <f aca="false">-(Z60+Z61+Z63)/2*Inputs!$E$71/12</f>
        <v>-291.666666666667</v>
      </c>
      <c r="AA45" s="53" t="n">
        <f aca="false">-(AA60+AA61+AA63)/2*Inputs!$E$71/12</f>
        <v>-283.888888888889</v>
      </c>
      <c r="AB45" s="53" t="n">
        <f aca="false">-(AB60+AB61+AB63)/2*Inputs!$E$71/12</f>
        <v>-276.111111111111</v>
      </c>
      <c r="AC45" s="53" t="n">
        <f aca="false">-(AC60+AC61+AC63)/2*Inputs!$E$71/12</f>
        <v>-268.333333333334</v>
      </c>
      <c r="AD45" s="53" t="n">
        <f aca="false">-(AD60+AD61+AD63)/2*Inputs!$E$71/12</f>
        <v>-260.555555555556</v>
      </c>
      <c r="AE45" s="53" t="n">
        <f aca="false">-(AE60+AE61+AE63)/2*Inputs!$E$71/12</f>
        <v>-252.777777777778</v>
      </c>
      <c r="AF45" s="53" t="n">
        <f aca="false">-(AF60+AF61+AF63)/2*Inputs!$E$71/12</f>
        <v>-245</v>
      </c>
      <c r="AG45" s="53" t="n">
        <f aca="false">-(AG60+AG61+AG63)/2*Inputs!$E$71/12</f>
        <v>-237.222222222223</v>
      </c>
      <c r="AH45" s="53" t="n">
        <f aca="false">-(AH60+AH61+AH63)/2*Inputs!$E$71/12</f>
        <v>-229.444444444445</v>
      </c>
      <c r="AI45" s="53" t="n">
        <f aca="false">-(AI60+AI61+AI63)/2*Inputs!$E$71/12</f>
        <v>-221.666666666667</v>
      </c>
      <c r="AJ45" s="53" t="n">
        <f aca="false">-(AJ60+AJ61+AJ63)/2*Inputs!$E$71/12</f>
        <v>-213.888888888889</v>
      </c>
      <c r="AK45" s="53" t="n">
        <f aca="false">-(AK60+AK61+AK63)/2*Inputs!$E$71/12</f>
        <v>-206.111111111111</v>
      </c>
      <c r="AL45" s="53" t="n">
        <f aca="false">-(AL60+AL61+AL63)/2*Inputs!$E$71/12</f>
        <v>-198.333333333334</v>
      </c>
      <c r="AM45" s="53" t="n">
        <f aca="false">-(AM60+AM61+AM63)/2*Inputs!$E$71/12</f>
        <v>-190.555555555556</v>
      </c>
      <c r="AN45" s="53" t="n">
        <f aca="false">-(AN60+AN61+AN63)/2*Inputs!$E$71/12</f>
        <v>-182.777777777778</v>
      </c>
      <c r="AO45" s="53" t="n">
        <f aca="false">-(AO60+AO61+AO63)/2*Inputs!$E$71/12</f>
        <v>-175</v>
      </c>
      <c r="AP45" s="53" t="n">
        <f aca="false">-(AP60+AP61+AP63)/2*Inputs!$E$71/12</f>
        <v>-167.222222222223</v>
      </c>
      <c r="AQ45" s="53" t="n">
        <f aca="false">-(AQ60+AQ61+AQ63)/2*Inputs!$E$71/12</f>
        <v>-159.444444444445</v>
      </c>
      <c r="AR45" s="53" t="n">
        <f aca="false">-(AR60+AR61+AR63)/2*Inputs!$E$71/12</f>
        <v>-151.666666666667</v>
      </c>
      <c r="AS45" s="53" t="n">
        <f aca="false">-(AS60+AS61+AS63)/2*Inputs!$E$71/12</f>
        <v>-143.888888888889</v>
      </c>
      <c r="AT45" s="53" t="n">
        <f aca="false">-(AT60+AT61+AT63)/2*Inputs!$E$71/12</f>
        <v>-136.111111111111</v>
      </c>
      <c r="AU45" s="53" t="n">
        <f aca="false">-(AU60+AU61+AU63)/2*Inputs!$E$71/12</f>
        <v>-128.333333333334</v>
      </c>
      <c r="AV45" s="53" t="n">
        <f aca="false">-(AV60+AV61+AV63)/2*Inputs!$E$71/12</f>
        <v>-120.555555555556</v>
      </c>
      <c r="AW45" s="53" t="n">
        <f aca="false">-(AW60+AW61+AW63)/2*Inputs!$E$71/12</f>
        <v>-112.777777777778</v>
      </c>
      <c r="AX45" s="53" t="n">
        <f aca="false">-(AX60+AX61+AX63)/2*Inputs!$E$71/12</f>
        <v>-105</v>
      </c>
      <c r="AY45" s="53" t="n">
        <f aca="false">-(AY60+AY61+AY63)/2*Inputs!$E$71/12</f>
        <v>-97.2222222222225</v>
      </c>
      <c r="AZ45" s="53" t="n">
        <f aca="false">-(AZ60+AZ61+AZ63)/2*Inputs!$E$71/12</f>
        <v>-89.4444444444447</v>
      </c>
      <c r="BA45" s="53" t="n">
        <f aca="false">-(BA60+BA61+BA63)/2*Inputs!$E$71/12</f>
        <v>-81.6666666666669</v>
      </c>
      <c r="BB45" s="53" t="n">
        <f aca="false">-(BB60+BB61+BB63)/2*Inputs!$E$71/12</f>
        <v>-73.8888888888892</v>
      </c>
      <c r="BC45" s="53" t="n">
        <f aca="false">-(BC60+BC61+BC63)/2*Inputs!$E$71/12</f>
        <v>-66.1111111111114</v>
      </c>
      <c r="BD45" s="53" t="n">
        <f aca="false">-(BD60+BD61+BD63)/2*Inputs!$E$71/12</f>
        <v>-58.3333333333336</v>
      </c>
      <c r="BE45" s="53" t="n">
        <f aca="false">-(BE60+BE61+BE63)/2*Inputs!$E$71/12</f>
        <v>-50.5555555555558</v>
      </c>
      <c r="BF45" s="53" t="n">
        <f aca="false">-(BF60+BF61+BF63)/2*Inputs!$E$71/12</f>
        <v>-42.777777777778</v>
      </c>
      <c r="BG45" s="53" t="n">
        <f aca="false">-(BG60+BG61+BG63)/2*Inputs!$E$71/12</f>
        <v>-35.0000000000003</v>
      </c>
      <c r="BH45" s="53" t="n">
        <f aca="false">-(BH60+BH61+BH63)/2*Inputs!$E$71/12</f>
        <v>-27.2222222222225</v>
      </c>
      <c r="BI45" s="53" t="n">
        <f aca="false">-(BI60+BI61+BI63)/2*Inputs!$E$71/12</f>
        <v>-19.4444444444447</v>
      </c>
      <c r="BJ45" s="53" t="n">
        <f aca="false">-(BJ60+BJ61+BJ63)/2*Inputs!$E$71/12</f>
        <v>-11.6666666666669</v>
      </c>
    </row>
    <row r="46" customFormat="false" ht="15" hidden="false" customHeight="false" outlineLevel="0" collapsed="false">
      <c r="A46" s="102" t="s">
        <v>78</v>
      </c>
      <c r="C46" s="54" t="n">
        <f aca="false">C44+C45</f>
        <v>-4546.29120000001</v>
      </c>
      <c r="D46" s="54" t="n">
        <f aca="false">D44+D45</f>
        <v>-4542.40231111112</v>
      </c>
      <c r="E46" s="54" t="n">
        <f aca="false">E44+E45</f>
        <v>-4534.62453333334</v>
      </c>
      <c r="F46" s="54" t="n">
        <f aca="false">F44+F45</f>
        <v>-4526.84675555556</v>
      </c>
      <c r="G46" s="54" t="n">
        <f aca="false">G44+G45</f>
        <v>-4519.06897777778</v>
      </c>
      <c r="H46" s="54" t="n">
        <f aca="false">H44+H45</f>
        <v>-4511.29120000001</v>
      </c>
      <c r="I46" s="54" t="n">
        <f aca="false">I44+I45</f>
        <v>-4503.51342222223</v>
      </c>
      <c r="J46" s="54" t="n">
        <f aca="false">J44+J45</f>
        <v>-4495.73564444445</v>
      </c>
      <c r="K46" s="54" t="n">
        <f aca="false">K44+K45</f>
        <v>-4487.95786666667</v>
      </c>
      <c r="L46" s="54" t="n">
        <f aca="false">L44+L45</f>
        <v>-4480.18008888889</v>
      </c>
      <c r="M46" s="54" t="n">
        <f aca="false">M44+M45</f>
        <v>-4472.40231111112</v>
      </c>
      <c r="N46" s="54" t="n">
        <f aca="false">N44+N45</f>
        <v>-4464.62453333334</v>
      </c>
      <c r="O46" s="54" t="n">
        <f aca="false">O44+O45</f>
        <v>-546.497699555554</v>
      </c>
      <c r="P46" s="54" t="n">
        <f aca="false">P44+P45</f>
        <v>-538.719921777776</v>
      </c>
      <c r="Q46" s="54" t="n">
        <f aca="false">Q44+Q45</f>
        <v>-530.942143999998</v>
      </c>
      <c r="R46" s="54" t="n">
        <f aca="false">R44+R45</f>
        <v>-523.164366222221</v>
      </c>
      <c r="S46" s="54" t="n">
        <f aca="false">S44+S45</f>
        <v>-515.386588444443</v>
      </c>
      <c r="T46" s="54" t="n">
        <f aca="false">T44+T45</f>
        <v>-507.608810666665</v>
      </c>
      <c r="U46" s="54" t="n">
        <f aca="false">U44+U45</f>
        <v>-499.831032888887</v>
      </c>
      <c r="V46" s="54" t="n">
        <f aca="false">V44+V45</f>
        <v>-492.053255111109</v>
      </c>
      <c r="W46" s="54" t="n">
        <f aca="false">W44+W45</f>
        <v>-484.275477333332</v>
      </c>
      <c r="X46" s="54" t="n">
        <f aca="false">X44+X45</f>
        <v>-476.497699555554</v>
      </c>
      <c r="Y46" s="54" t="n">
        <f aca="false">Y44+Y45</f>
        <v>-468.719921777776</v>
      </c>
      <c r="Z46" s="54" t="n">
        <f aca="false">Z44+Z45</f>
        <v>-460.942143999998</v>
      </c>
      <c r="AA46" s="54" t="n">
        <f aca="false">AA44+AA45</f>
        <v>3683.35729521778</v>
      </c>
      <c r="AB46" s="54" t="n">
        <f aca="false">AB44+AB45</f>
        <v>3691.13507299556</v>
      </c>
      <c r="AC46" s="54" t="n">
        <f aca="false">AC44+AC45</f>
        <v>3698.91285077334</v>
      </c>
      <c r="AD46" s="54" t="n">
        <f aca="false">AD44+AD45</f>
        <v>3706.69062855112</v>
      </c>
      <c r="AE46" s="54" t="n">
        <f aca="false">AE44+AE45</f>
        <v>3714.4684063289</v>
      </c>
      <c r="AF46" s="54" t="n">
        <f aca="false">AF44+AF45</f>
        <v>3722.24618410667</v>
      </c>
      <c r="AG46" s="54" t="n">
        <f aca="false">AG44+AG45</f>
        <v>3730.02396188445</v>
      </c>
      <c r="AH46" s="54" t="n">
        <f aca="false">AH44+AH45</f>
        <v>3737.80173966223</v>
      </c>
      <c r="AI46" s="54" t="n">
        <f aca="false">AI44+AI45</f>
        <v>3745.57951744001</v>
      </c>
      <c r="AJ46" s="54" t="n">
        <f aca="false">AJ44+AJ45</f>
        <v>3753.35729521778</v>
      </c>
      <c r="AK46" s="54" t="n">
        <f aca="false">AK44+AK45</f>
        <v>3761.13507299556</v>
      </c>
      <c r="AL46" s="54" t="n">
        <f aca="false">AL44+AL45</f>
        <v>3768.91285077334</v>
      </c>
      <c r="AM46" s="54" t="n">
        <f aca="false">AM44+AM45</f>
        <v>8149.43593760711</v>
      </c>
      <c r="AN46" s="54" t="n">
        <f aca="false">AN44+AN45</f>
        <v>8157.21371538488</v>
      </c>
      <c r="AO46" s="54" t="n">
        <f aca="false">AO44+AO45</f>
        <v>8164.99149316266</v>
      </c>
      <c r="AP46" s="54" t="n">
        <f aca="false">AP44+AP45</f>
        <v>8172.76927094044</v>
      </c>
      <c r="AQ46" s="54" t="n">
        <f aca="false">AQ44+AQ45</f>
        <v>8180.54704871822</v>
      </c>
      <c r="AR46" s="54" t="n">
        <f aca="false">AR44+AR45</f>
        <v>8188.32482649599</v>
      </c>
      <c r="AS46" s="54" t="n">
        <f aca="false">AS44+AS45</f>
        <v>8196.10260427377</v>
      </c>
      <c r="AT46" s="54" t="n">
        <f aca="false">AT44+AT45</f>
        <v>8203.88038205155</v>
      </c>
      <c r="AU46" s="54" t="n">
        <f aca="false">AU44+AU45</f>
        <v>8211.65815982933</v>
      </c>
      <c r="AV46" s="54" t="n">
        <f aca="false">AV44+AV45</f>
        <v>8219.4359376071</v>
      </c>
      <c r="AW46" s="54" t="n">
        <f aca="false">AW44+AW45</f>
        <v>8227.21371538488</v>
      </c>
      <c r="AX46" s="54" t="n">
        <f aca="false">AX44+AX45</f>
        <v>8234.99149316266</v>
      </c>
      <c r="AY46" s="54" t="n">
        <f aca="false">AY44+AY45</f>
        <v>10879.5788963547</v>
      </c>
      <c r="AZ46" s="54" t="n">
        <f aca="false">AZ44+AZ45</f>
        <v>10887.3566741325</v>
      </c>
      <c r="BA46" s="54" t="n">
        <f aca="false">BA44+BA45</f>
        <v>10895.1344519103</v>
      </c>
      <c r="BB46" s="54" t="n">
        <f aca="false">BB44+BB45</f>
        <v>10902.9122296881</v>
      </c>
      <c r="BC46" s="54" t="n">
        <f aca="false">BC44+BC45</f>
        <v>10910.6900074658</v>
      </c>
      <c r="BD46" s="54" t="n">
        <f aca="false">BD44+BD45</f>
        <v>10918.4677852436</v>
      </c>
      <c r="BE46" s="54" t="n">
        <f aca="false">BE44+BE45</f>
        <v>10926.2455630214</v>
      </c>
      <c r="BF46" s="54" t="n">
        <f aca="false">BF44+BF45</f>
        <v>10934.0233407992</v>
      </c>
      <c r="BG46" s="54" t="n">
        <f aca="false">BG44+BG45</f>
        <v>10941.8011185769</v>
      </c>
      <c r="BH46" s="54" t="n">
        <f aca="false">BH44+BH45</f>
        <v>10949.5788963547</v>
      </c>
      <c r="BI46" s="54" t="n">
        <f aca="false">BI44+BI45</f>
        <v>10957.3566741325</v>
      </c>
      <c r="BJ46" s="54" t="n">
        <f aca="false">BJ44+BJ45</f>
        <v>10965.1344519103</v>
      </c>
    </row>
    <row r="47" customFormat="false" ht="15" hidden="false" customHeight="false" outlineLevel="0" collapsed="false">
      <c r="A47" s="109" t="s">
        <v>391</v>
      </c>
      <c r="C47" s="53" t="n">
        <f aca="false">C46</f>
        <v>-4546.29120000001</v>
      </c>
      <c r="D47" s="53" t="n">
        <f aca="false">C47+D46</f>
        <v>-9088.69351111112</v>
      </c>
      <c r="E47" s="53" t="n">
        <f aca="false">D47+E46</f>
        <v>-13623.3180444445</v>
      </c>
      <c r="F47" s="53" t="n">
        <f aca="false">E47+F46</f>
        <v>-18150.1648</v>
      </c>
      <c r="G47" s="53" t="n">
        <f aca="false">F47+G46</f>
        <v>-22669.2337777778</v>
      </c>
      <c r="H47" s="53" t="n">
        <f aca="false">G47+H46</f>
        <v>-27180.5249777778</v>
      </c>
      <c r="I47" s="53" t="n">
        <f aca="false">H47+I46</f>
        <v>-31684.0384</v>
      </c>
      <c r="J47" s="53" t="n">
        <f aca="false">I47+J46</f>
        <v>-36179.7740444445</v>
      </c>
      <c r="K47" s="53" t="n">
        <f aca="false">J47+K46</f>
        <v>-40667.7319111112</v>
      </c>
      <c r="L47" s="53" t="n">
        <f aca="false">K47+L46</f>
        <v>-45147.9120000001</v>
      </c>
      <c r="M47" s="53" t="n">
        <f aca="false">L47+M46</f>
        <v>-49620.3143111112</v>
      </c>
      <c r="N47" s="53" t="n">
        <f aca="false">M47+N46</f>
        <v>-54084.9388444445</v>
      </c>
      <c r="O47" s="53" t="n">
        <f aca="false">N47+O46</f>
        <v>-54631.4365440001</v>
      </c>
      <c r="P47" s="53" t="n">
        <f aca="false">O47+P46</f>
        <v>-55170.1564657778</v>
      </c>
      <c r="Q47" s="53" t="n">
        <f aca="false">P47+Q46</f>
        <v>-55701.0986097778</v>
      </c>
      <c r="R47" s="53" t="n">
        <f aca="false">Q47+R46</f>
        <v>-56224.2629760001</v>
      </c>
      <c r="S47" s="53" t="n">
        <f aca="false">R47+S46</f>
        <v>-56739.6495644445</v>
      </c>
      <c r="T47" s="53" t="n">
        <f aca="false">S47+T46</f>
        <v>-57247.2583751112</v>
      </c>
      <c r="U47" s="53" t="n">
        <f aca="false">T47+U46</f>
        <v>-57747.0894080001</v>
      </c>
      <c r="V47" s="53" t="n">
        <f aca="false">U47+V46</f>
        <v>-58239.1426631112</v>
      </c>
      <c r="W47" s="53" t="n">
        <f aca="false">V47+W46</f>
        <v>-58723.4181404445</v>
      </c>
      <c r="X47" s="53" t="n">
        <f aca="false">W47+X46</f>
        <v>-59199.91584</v>
      </c>
      <c r="Y47" s="53" t="n">
        <f aca="false">X47+Y46</f>
        <v>-59668.6357617778</v>
      </c>
      <c r="Z47" s="53" t="n">
        <f aca="false">Y47+Z46</f>
        <v>-60129.5779057778</v>
      </c>
      <c r="AA47" s="53" t="n">
        <f aca="false">Z47+AA46</f>
        <v>-56446.22061056</v>
      </c>
      <c r="AB47" s="53" t="n">
        <f aca="false">AA47+AB46</f>
        <v>-52755.0855375645</v>
      </c>
      <c r="AC47" s="53" t="n">
        <f aca="false">AB47+AC46</f>
        <v>-49056.1726867911</v>
      </c>
      <c r="AD47" s="53" t="n">
        <f aca="false">AC47+AD46</f>
        <v>-45349.48205824</v>
      </c>
      <c r="AE47" s="53" t="n">
        <f aca="false">AD47+AE46</f>
        <v>-41635.0136519111</v>
      </c>
      <c r="AF47" s="53" t="n">
        <f aca="false">AE47+AF46</f>
        <v>-37912.7674678044</v>
      </c>
      <c r="AG47" s="53" t="n">
        <f aca="false">AF47+AG46</f>
        <v>-34182.74350592</v>
      </c>
      <c r="AH47" s="53" t="n">
        <f aca="false">AG47+AH46</f>
        <v>-30444.9417662578</v>
      </c>
      <c r="AI47" s="53" t="n">
        <f aca="false">AH47+AI46</f>
        <v>-26699.3622488178</v>
      </c>
      <c r="AJ47" s="53" t="n">
        <f aca="false">AI47+AJ46</f>
        <v>-22946.0049536</v>
      </c>
      <c r="AK47" s="53" t="n">
        <f aca="false">AJ47+AK46</f>
        <v>-19184.8698806044</v>
      </c>
      <c r="AL47" s="53" t="n">
        <f aca="false">AK47+AL46</f>
        <v>-15415.9570298311</v>
      </c>
      <c r="AM47" s="53" t="n">
        <f aca="false">AL47+AM46</f>
        <v>-7266.52109222396</v>
      </c>
      <c r="AN47" s="53" t="n">
        <f aca="false">AM47+AN46</f>
        <v>890.69262316092</v>
      </c>
      <c r="AO47" s="53" t="n">
        <f aca="false">AN47+AO46</f>
        <v>9055.68411632358</v>
      </c>
      <c r="AP47" s="53" t="n">
        <f aca="false">AO47+AP46</f>
        <v>17228.453387264</v>
      </c>
      <c r="AQ47" s="53" t="n">
        <f aca="false">AP47+AQ46</f>
        <v>25409.0004359822</v>
      </c>
      <c r="AR47" s="53" t="n">
        <f aca="false">AQ47+AR46</f>
        <v>33597.3252624782</v>
      </c>
      <c r="AS47" s="53" t="n">
        <f aca="false">AR47+AS46</f>
        <v>41793.427866752</v>
      </c>
      <c r="AT47" s="53" t="n">
        <f aca="false">AS47+AT46</f>
        <v>49997.3082488035</v>
      </c>
      <c r="AU47" s="53" t="n">
        <f aca="false">AT47+AU46</f>
        <v>58208.9664086329</v>
      </c>
      <c r="AV47" s="53" t="n">
        <f aca="false">AU47+AV46</f>
        <v>66428.40234624</v>
      </c>
      <c r="AW47" s="53" t="n">
        <f aca="false">AV47+AW46</f>
        <v>74655.6160616249</v>
      </c>
      <c r="AX47" s="53" t="n">
        <f aca="false">AW47+AX46</f>
        <v>82890.6075547875</v>
      </c>
      <c r="AY47" s="53" t="n">
        <f aca="false">AX47+AY46</f>
        <v>93770.1864511423</v>
      </c>
      <c r="AZ47" s="53" t="n">
        <f aca="false">AY47+AZ46</f>
        <v>104657.543125275</v>
      </c>
      <c r="BA47" s="53" t="n">
        <f aca="false">AZ47+BA46</f>
        <v>115552.677577185</v>
      </c>
      <c r="BB47" s="53" t="n">
        <f aca="false">BA47+BB46</f>
        <v>126455.589806873</v>
      </c>
      <c r="BC47" s="53" t="n">
        <f aca="false">BB47+BC46</f>
        <v>137366.279814339</v>
      </c>
      <c r="BD47" s="53" t="n">
        <f aca="false">BC47+BD46</f>
        <v>148284.747599583</v>
      </c>
      <c r="BE47" s="53" t="n">
        <f aca="false">BD47+BE46</f>
        <v>159210.993162604</v>
      </c>
      <c r="BF47" s="53" t="n">
        <f aca="false">BE47+BF46</f>
        <v>170145.016503403</v>
      </c>
      <c r="BG47" s="53" t="n">
        <f aca="false">BF47+BG46</f>
        <v>181086.81762198</v>
      </c>
      <c r="BH47" s="53" t="n">
        <f aca="false">BG47+BH46</f>
        <v>192036.396518335</v>
      </c>
      <c r="BI47" s="53" t="n">
        <f aca="false">BH47+BI46</f>
        <v>202993.753192467</v>
      </c>
      <c r="BJ47" s="53" t="n">
        <f aca="false">BI47+BJ46</f>
        <v>213958.887644377</v>
      </c>
    </row>
    <row r="48" customFormat="false" ht="15" hidden="false" customHeight="false" outlineLevel="0" collapsed="false">
      <c r="A48" s="109" t="s">
        <v>392</v>
      </c>
      <c r="C48" s="53" t="n">
        <f aca="false">MAX(0,C47)</f>
        <v>0</v>
      </c>
      <c r="D48" s="53" t="n">
        <f aca="false">MAX(C48,D47)</f>
        <v>0</v>
      </c>
      <c r="E48" s="53" t="n">
        <f aca="false">MAX(D48,E47)</f>
        <v>0</v>
      </c>
      <c r="F48" s="53" t="n">
        <f aca="false">MAX(E48,F47)</f>
        <v>0</v>
      </c>
      <c r="G48" s="53" t="n">
        <f aca="false">MAX(F48,G47)</f>
        <v>0</v>
      </c>
      <c r="H48" s="53" t="n">
        <f aca="false">MAX(G48,H47)</f>
        <v>0</v>
      </c>
      <c r="I48" s="53" t="n">
        <f aca="false">MAX(H48,I47)</f>
        <v>0</v>
      </c>
      <c r="J48" s="53" t="n">
        <f aca="false">MAX(I48,J47)</f>
        <v>0</v>
      </c>
      <c r="K48" s="53" t="n">
        <f aca="false">MAX(J48,K47)</f>
        <v>0</v>
      </c>
      <c r="L48" s="53" t="n">
        <f aca="false">MAX(K48,L47)</f>
        <v>0</v>
      </c>
      <c r="M48" s="53" t="n">
        <f aca="false">MAX(L48,M47)</f>
        <v>0</v>
      </c>
      <c r="N48" s="53" t="n">
        <f aca="false">MAX(M48,N47)</f>
        <v>0</v>
      </c>
      <c r="O48" s="53" t="n">
        <f aca="false">MAX(N48,O47)</f>
        <v>0</v>
      </c>
      <c r="P48" s="53" t="n">
        <f aca="false">MAX(O48,P47)</f>
        <v>0</v>
      </c>
      <c r="Q48" s="53" t="n">
        <f aca="false">MAX(P48,Q47)</f>
        <v>0</v>
      </c>
      <c r="R48" s="53" t="n">
        <f aca="false">MAX(Q48,R47)</f>
        <v>0</v>
      </c>
      <c r="S48" s="53" t="n">
        <f aca="false">MAX(R48,S47)</f>
        <v>0</v>
      </c>
      <c r="T48" s="53" t="n">
        <f aca="false">MAX(S48,T47)</f>
        <v>0</v>
      </c>
      <c r="U48" s="53" t="n">
        <f aca="false">MAX(T48,U47)</f>
        <v>0</v>
      </c>
      <c r="V48" s="53" t="n">
        <f aca="false">MAX(U48,V47)</f>
        <v>0</v>
      </c>
      <c r="W48" s="53" t="n">
        <f aca="false">MAX(V48,W47)</f>
        <v>0</v>
      </c>
      <c r="X48" s="53" t="n">
        <f aca="false">MAX(W48,X47)</f>
        <v>0</v>
      </c>
      <c r="Y48" s="53" t="n">
        <f aca="false">MAX(X48,Y47)</f>
        <v>0</v>
      </c>
      <c r="Z48" s="53" t="n">
        <f aca="false">MAX(Y48,Z47)</f>
        <v>0</v>
      </c>
      <c r="AA48" s="53" t="n">
        <f aca="false">MAX(Z48,AA47)</f>
        <v>0</v>
      </c>
      <c r="AB48" s="53" t="n">
        <f aca="false">MAX(AA48,AB47)</f>
        <v>0</v>
      </c>
      <c r="AC48" s="53" t="n">
        <f aca="false">MAX(AB48,AC47)</f>
        <v>0</v>
      </c>
      <c r="AD48" s="53" t="n">
        <f aca="false">MAX(AC48,AD47)</f>
        <v>0</v>
      </c>
      <c r="AE48" s="53" t="n">
        <f aca="false">MAX(AD48,AE47)</f>
        <v>0</v>
      </c>
      <c r="AF48" s="53" t="n">
        <f aca="false">MAX(AE48,AF47)</f>
        <v>0</v>
      </c>
      <c r="AG48" s="53" t="n">
        <f aca="false">MAX(AF48,AG47)</f>
        <v>0</v>
      </c>
      <c r="AH48" s="53" t="n">
        <f aca="false">MAX(AG48,AH47)</f>
        <v>0</v>
      </c>
      <c r="AI48" s="53" t="n">
        <f aca="false">MAX(AH48,AI47)</f>
        <v>0</v>
      </c>
      <c r="AJ48" s="53" t="n">
        <f aca="false">MAX(AI48,AJ47)</f>
        <v>0</v>
      </c>
      <c r="AK48" s="53" t="n">
        <f aca="false">MAX(AJ48,AK47)</f>
        <v>0</v>
      </c>
      <c r="AL48" s="53" t="n">
        <f aca="false">MAX(AK48,AL47)</f>
        <v>0</v>
      </c>
      <c r="AM48" s="53" t="n">
        <f aca="false">MAX(AL48,AM47)</f>
        <v>0</v>
      </c>
      <c r="AN48" s="53" t="n">
        <f aca="false">MAX(AM48,AN47)</f>
        <v>890.69262316092</v>
      </c>
      <c r="AO48" s="53" t="n">
        <f aca="false">MAX(AN48,AO47)</f>
        <v>9055.68411632358</v>
      </c>
      <c r="AP48" s="53" t="n">
        <f aca="false">MAX(AO48,AP47)</f>
        <v>17228.453387264</v>
      </c>
      <c r="AQ48" s="53" t="n">
        <f aca="false">MAX(AP48,AQ47)</f>
        <v>25409.0004359822</v>
      </c>
      <c r="AR48" s="53" t="n">
        <f aca="false">MAX(AQ48,AR47)</f>
        <v>33597.3252624782</v>
      </c>
      <c r="AS48" s="53" t="n">
        <f aca="false">MAX(AR48,AS47)</f>
        <v>41793.427866752</v>
      </c>
      <c r="AT48" s="53" t="n">
        <f aca="false">MAX(AS48,AT47)</f>
        <v>49997.3082488035</v>
      </c>
      <c r="AU48" s="53" t="n">
        <f aca="false">MAX(AT48,AU47)</f>
        <v>58208.9664086329</v>
      </c>
      <c r="AV48" s="53" t="n">
        <f aca="false">MAX(AU48,AV47)</f>
        <v>66428.40234624</v>
      </c>
      <c r="AW48" s="53" t="n">
        <f aca="false">MAX(AV48,AW47)</f>
        <v>74655.6160616249</v>
      </c>
      <c r="AX48" s="53" t="n">
        <f aca="false">MAX(AW48,AX47)</f>
        <v>82890.6075547875</v>
      </c>
      <c r="AY48" s="53" t="n">
        <f aca="false">MAX(AX48,AY47)</f>
        <v>93770.1864511423</v>
      </c>
      <c r="AZ48" s="53" t="n">
        <f aca="false">MAX(AY48,AZ47)</f>
        <v>104657.543125275</v>
      </c>
      <c r="BA48" s="53" t="n">
        <f aca="false">MAX(AZ48,BA47)</f>
        <v>115552.677577185</v>
      </c>
      <c r="BB48" s="53" t="n">
        <f aca="false">MAX(BA48,BB47)</f>
        <v>126455.589806873</v>
      </c>
      <c r="BC48" s="53" t="n">
        <f aca="false">MAX(BB48,BC47)</f>
        <v>137366.279814339</v>
      </c>
      <c r="BD48" s="53" t="n">
        <f aca="false">MAX(BC48,BD47)</f>
        <v>148284.747599583</v>
      </c>
      <c r="BE48" s="53" t="n">
        <f aca="false">MAX(BD48,BE47)</f>
        <v>159210.993162604</v>
      </c>
      <c r="BF48" s="53" t="n">
        <f aca="false">MAX(BE48,BF47)</f>
        <v>170145.016503403</v>
      </c>
      <c r="BG48" s="53" t="n">
        <f aca="false">MAX(BF48,BG47)</f>
        <v>181086.81762198</v>
      </c>
      <c r="BH48" s="53" t="n">
        <f aca="false">MAX(BG48,BH47)</f>
        <v>192036.396518335</v>
      </c>
      <c r="BI48" s="53" t="n">
        <f aca="false">MAX(BH48,BI47)</f>
        <v>202993.753192467</v>
      </c>
      <c r="BJ48" s="53" t="n">
        <f aca="false">MAX(BI48,BJ47)</f>
        <v>213958.887644377</v>
      </c>
    </row>
    <row r="49" customFormat="false" ht="15" hidden="false" customHeight="false" outlineLevel="0" collapsed="false">
      <c r="A49" s="6" t="s">
        <v>79</v>
      </c>
      <c r="C49" s="53" t="n">
        <f aca="false">-C48*Inputs!$E$81</f>
        <v>-0</v>
      </c>
      <c r="D49" s="53" t="n">
        <f aca="false">-(D48-C48)*Inputs!$E$81</f>
        <v>-0</v>
      </c>
      <c r="E49" s="53" t="n">
        <f aca="false">-(E48-D48)*Inputs!$E$81</f>
        <v>-0</v>
      </c>
      <c r="F49" s="53" t="n">
        <f aca="false">-(F48-E48)*Inputs!$E$81</f>
        <v>-0</v>
      </c>
      <c r="G49" s="53" t="n">
        <f aca="false">-(G48-F48)*Inputs!$E$81</f>
        <v>-0</v>
      </c>
      <c r="H49" s="53" t="n">
        <f aca="false">-(H48-G48)*Inputs!$E$81</f>
        <v>-0</v>
      </c>
      <c r="I49" s="53" t="n">
        <f aca="false">-(I48-H48)*Inputs!$E$81</f>
        <v>-0</v>
      </c>
      <c r="J49" s="53" t="n">
        <f aca="false">-(J48-I48)*Inputs!$E$81</f>
        <v>-0</v>
      </c>
      <c r="K49" s="53" t="n">
        <f aca="false">-(K48-J48)*Inputs!$E$81</f>
        <v>-0</v>
      </c>
      <c r="L49" s="53" t="n">
        <f aca="false">-(L48-K48)*Inputs!$E$81</f>
        <v>-0</v>
      </c>
      <c r="M49" s="53" t="n">
        <f aca="false">-(M48-L48)*Inputs!$E$81</f>
        <v>-0</v>
      </c>
      <c r="N49" s="53" t="n">
        <f aca="false">-(N48-M48)*Inputs!$E$81</f>
        <v>-0</v>
      </c>
      <c r="O49" s="53" t="n">
        <f aca="false">-(O48-N48)*Inputs!$E$81</f>
        <v>-0</v>
      </c>
      <c r="P49" s="53" t="n">
        <f aca="false">-(P48-O48)*Inputs!$E$81</f>
        <v>-0</v>
      </c>
      <c r="Q49" s="53" t="n">
        <f aca="false">-(Q48-P48)*Inputs!$E$81</f>
        <v>-0</v>
      </c>
      <c r="R49" s="53" t="n">
        <f aca="false">-(R48-Q48)*Inputs!$E$81</f>
        <v>-0</v>
      </c>
      <c r="S49" s="53" t="n">
        <f aca="false">-(S48-R48)*Inputs!$E$81</f>
        <v>-0</v>
      </c>
      <c r="T49" s="53" t="n">
        <f aca="false">-(T48-S48)*Inputs!$E$81</f>
        <v>-0</v>
      </c>
      <c r="U49" s="53" t="n">
        <f aca="false">-(U48-T48)*Inputs!$E$81</f>
        <v>-0</v>
      </c>
      <c r="V49" s="53" t="n">
        <f aca="false">-(V48-U48)*Inputs!$E$81</f>
        <v>-0</v>
      </c>
      <c r="W49" s="53" t="n">
        <f aca="false">-(W48-V48)*Inputs!$E$81</f>
        <v>-0</v>
      </c>
      <c r="X49" s="53" t="n">
        <f aca="false">-(X48-W48)*Inputs!$E$81</f>
        <v>-0</v>
      </c>
      <c r="Y49" s="53" t="n">
        <f aca="false">-(Y48-X48)*Inputs!$E$81</f>
        <v>-0</v>
      </c>
      <c r="Z49" s="53" t="n">
        <f aca="false">-(Z48-Y48)*Inputs!$E$81</f>
        <v>-0</v>
      </c>
      <c r="AA49" s="53" t="n">
        <f aca="false">-(AA48-Z48)*Inputs!$E$81</f>
        <v>-0</v>
      </c>
      <c r="AB49" s="53" t="n">
        <f aca="false">-(AB48-AA48)*Inputs!$E$81</f>
        <v>-0</v>
      </c>
      <c r="AC49" s="53" t="n">
        <f aca="false">-(AC48-AB48)*Inputs!$E$81</f>
        <v>-0</v>
      </c>
      <c r="AD49" s="53" t="n">
        <f aca="false">-(AD48-AC48)*Inputs!$E$81</f>
        <v>-0</v>
      </c>
      <c r="AE49" s="53" t="n">
        <f aca="false">-(AE48-AD48)*Inputs!$E$81</f>
        <v>-0</v>
      </c>
      <c r="AF49" s="53" t="n">
        <f aca="false">-(AF48-AE48)*Inputs!$E$81</f>
        <v>-0</v>
      </c>
      <c r="AG49" s="53" t="n">
        <f aca="false">-(AG48-AF48)*Inputs!$E$81</f>
        <v>-0</v>
      </c>
      <c r="AH49" s="53" t="n">
        <f aca="false">-(AH48-AG48)*Inputs!$E$81</f>
        <v>-0</v>
      </c>
      <c r="AI49" s="53" t="n">
        <f aca="false">-(AI48-AH48)*Inputs!$E$81</f>
        <v>-0</v>
      </c>
      <c r="AJ49" s="53" t="n">
        <f aca="false">-(AJ48-AI48)*Inputs!$E$81</f>
        <v>-0</v>
      </c>
      <c r="AK49" s="53" t="n">
        <f aca="false">-(AK48-AJ48)*Inputs!$E$81</f>
        <v>-0</v>
      </c>
      <c r="AL49" s="53" t="n">
        <f aca="false">-(AL48-AK48)*Inputs!$E$81</f>
        <v>-0</v>
      </c>
      <c r="AM49" s="53" t="n">
        <f aca="false">-(AM48-AL48)*Inputs!$E$81</f>
        <v>-0</v>
      </c>
      <c r="AN49" s="53" t="n">
        <f aca="false">-(AN48-AM48)*Inputs!$E$81</f>
        <v>-187.045450863793</v>
      </c>
      <c r="AO49" s="53" t="n">
        <f aca="false">-(AO48-AN48)*Inputs!$E$81</f>
        <v>-1714.64821356416</v>
      </c>
      <c r="AP49" s="53" t="n">
        <f aca="false">-(AP48-AO48)*Inputs!$E$81</f>
        <v>-1716.28154689749</v>
      </c>
      <c r="AQ49" s="53" t="n">
        <f aca="false">-(AQ48-AP48)*Inputs!$E$81</f>
        <v>-1717.91488023083</v>
      </c>
      <c r="AR49" s="53" t="n">
        <f aca="false">-(AR48-AQ48)*Inputs!$E$81</f>
        <v>-1719.54821356416</v>
      </c>
      <c r="AS49" s="53" t="n">
        <f aca="false">-(AS48-AR48)*Inputs!$E$81</f>
        <v>-1721.18154689749</v>
      </c>
      <c r="AT49" s="53" t="n">
        <f aca="false">-(AT48-AS48)*Inputs!$E$81</f>
        <v>-1722.81488023082</v>
      </c>
      <c r="AU49" s="53" t="n">
        <f aca="false">-(AU48-AT48)*Inputs!$E$81</f>
        <v>-1724.44821356416</v>
      </c>
      <c r="AV49" s="53" t="n">
        <f aca="false">-(AV48-AU48)*Inputs!$E$81</f>
        <v>-1726.08154689749</v>
      </c>
      <c r="AW49" s="53" t="n">
        <f aca="false">-(AW48-AV48)*Inputs!$E$81</f>
        <v>-1727.71488023083</v>
      </c>
      <c r="AX49" s="53" t="n">
        <f aca="false">-(AX48-AW48)*Inputs!$E$81</f>
        <v>-1729.34821356416</v>
      </c>
      <c r="AY49" s="53" t="n">
        <f aca="false">-(AY48-AX48)*Inputs!$E$81</f>
        <v>-2284.71156823449</v>
      </c>
      <c r="AZ49" s="53" t="n">
        <f aca="false">-(AZ48-AY48)*Inputs!$E$81</f>
        <v>-2286.34490156782</v>
      </c>
      <c r="BA49" s="53" t="n">
        <f aca="false">-(BA48-AZ48)*Inputs!$E$81</f>
        <v>-2287.97823490116</v>
      </c>
      <c r="BB49" s="53" t="n">
        <f aca="false">-(BB48-BA48)*Inputs!$E$81</f>
        <v>-2289.61156823449</v>
      </c>
      <c r="BC49" s="53" t="n">
        <f aca="false">-(BC48-BB48)*Inputs!$E$81</f>
        <v>-2291.24490156783</v>
      </c>
      <c r="BD49" s="53" t="n">
        <f aca="false">-(BD48-BC48)*Inputs!$E$81</f>
        <v>-2292.87823490116</v>
      </c>
      <c r="BE49" s="53" t="n">
        <f aca="false">-(BE48-BD48)*Inputs!$E$81</f>
        <v>-2294.51156823449</v>
      </c>
      <c r="BF49" s="53" t="n">
        <f aca="false">-(BF48-BE48)*Inputs!$E$81</f>
        <v>-2296.14490156783</v>
      </c>
      <c r="BG49" s="53" t="n">
        <f aca="false">-(BG48-BF48)*Inputs!$E$81</f>
        <v>-2297.77823490116</v>
      </c>
      <c r="BH49" s="53" t="n">
        <f aca="false">-(BH48-BG48)*Inputs!$E$81</f>
        <v>-2299.41156823449</v>
      </c>
      <c r="BI49" s="53" t="n">
        <f aca="false">-(BI48-BH48)*Inputs!$E$81</f>
        <v>-2301.04490156782</v>
      </c>
      <c r="BJ49" s="53" t="n">
        <f aca="false">-(BJ48-BI48)*Inputs!$E$81</f>
        <v>-2302.67823490116</v>
      </c>
    </row>
    <row r="50" customFormat="false" ht="15" hidden="false" customHeight="false" outlineLevel="0" collapsed="false">
      <c r="A50" s="102" t="s">
        <v>48</v>
      </c>
      <c r="C50" s="54" t="n">
        <f aca="false">C46+C49</f>
        <v>-4546.29120000001</v>
      </c>
      <c r="D50" s="54" t="n">
        <f aca="false">D46+D49</f>
        <v>-4542.40231111112</v>
      </c>
      <c r="E50" s="54" t="n">
        <f aca="false">E46+E49</f>
        <v>-4534.62453333334</v>
      </c>
      <c r="F50" s="54" t="n">
        <f aca="false">F46+F49</f>
        <v>-4526.84675555556</v>
      </c>
      <c r="G50" s="54" t="n">
        <f aca="false">G46+G49</f>
        <v>-4519.06897777778</v>
      </c>
      <c r="H50" s="54" t="n">
        <f aca="false">H46+H49</f>
        <v>-4511.29120000001</v>
      </c>
      <c r="I50" s="54" t="n">
        <f aca="false">I46+I49</f>
        <v>-4503.51342222223</v>
      </c>
      <c r="J50" s="54" t="n">
        <f aca="false">J46+J49</f>
        <v>-4495.73564444445</v>
      </c>
      <c r="K50" s="54" t="n">
        <f aca="false">K46+K49</f>
        <v>-4487.95786666667</v>
      </c>
      <c r="L50" s="54" t="n">
        <f aca="false">L46+L49</f>
        <v>-4480.18008888889</v>
      </c>
      <c r="M50" s="54" t="n">
        <f aca="false">M46+M49</f>
        <v>-4472.40231111112</v>
      </c>
      <c r="N50" s="54" t="n">
        <f aca="false">N46+N49</f>
        <v>-4464.62453333334</v>
      </c>
      <c r="O50" s="54" t="n">
        <f aca="false">O46+O49</f>
        <v>-546.497699555554</v>
      </c>
      <c r="P50" s="54" t="n">
        <f aca="false">P46+P49</f>
        <v>-538.719921777776</v>
      </c>
      <c r="Q50" s="54" t="n">
        <f aca="false">Q46+Q49</f>
        <v>-530.942143999998</v>
      </c>
      <c r="R50" s="54" t="n">
        <f aca="false">R46+R49</f>
        <v>-523.164366222221</v>
      </c>
      <c r="S50" s="54" t="n">
        <f aca="false">S46+S49</f>
        <v>-515.386588444443</v>
      </c>
      <c r="T50" s="54" t="n">
        <f aca="false">T46+T49</f>
        <v>-507.608810666665</v>
      </c>
      <c r="U50" s="54" t="n">
        <f aca="false">U46+U49</f>
        <v>-499.831032888887</v>
      </c>
      <c r="V50" s="54" t="n">
        <f aca="false">V46+V49</f>
        <v>-492.053255111109</v>
      </c>
      <c r="W50" s="54" t="n">
        <f aca="false">W46+W49</f>
        <v>-484.275477333332</v>
      </c>
      <c r="X50" s="54" t="n">
        <f aca="false">X46+X49</f>
        <v>-476.497699555554</v>
      </c>
      <c r="Y50" s="54" t="n">
        <f aca="false">Y46+Y49</f>
        <v>-468.719921777776</v>
      </c>
      <c r="Z50" s="54" t="n">
        <f aca="false">Z46+Z49</f>
        <v>-460.942143999998</v>
      </c>
      <c r="AA50" s="54" t="n">
        <f aca="false">AA46+AA49</f>
        <v>3683.35729521778</v>
      </c>
      <c r="AB50" s="54" t="n">
        <f aca="false">AB46+AB49</f>
        <v>3691.13507299556</v>
      </c>
      <c r="AC50" s="54" t="n">
        <f aca="false">AC46+AC49</f>
        <v>3698.91285077334</v>
      </c>
      <c r="AD50" s="54" t="n">
        <f aca="false">AD46+AD49</f>
        <v>3706.69062855112</v>
      </c>
      <c r="AE50" s="54" t="n">
        <f aca="false">AE46+AE49</f>
        <v>3714.4684063289</v>
      </c>
      <c r="AF50" s="54" t="n">
        <f aca="false">AF46+AF49</f>
        <v>3722.24618410667</v>
      </c>
      <c r="AG50" s="54" t="n">
        <f aca="false">AG46+AG49</f>
        <v>3730.02396188445</v>
      </c>
      <c r="AH50" s="54" t="n">
        <f aca="false">AH46+AH49</f>
        <v>3737.80173966223</v>
      </c>
      <c r="AI50" s="54" t="n">
        <f aca="false">AI46+AI49</f>
        <v>3745.57951744001</v>
      </c>
      <c r="AJ50" s="54" t="n">
        <f aca="false">AJ46+AJ49</f>
        <v>3753.35729521778</v>
      </c>
      <c r="AK50" s="54" t="n">
        <f aca="false">AK46+AK49</f>
        <v>3761.13507299556</v>
      </c>
      <c r="AL50" s="54" t="n">
        <f aca="false">AL46+AL49</f>
        <v>3768.91285077334</v>
      </c>
      <c r="AM50" s="54" t="n">
        <f aca="false">AM46+AM49</f>
        <v>8149.43593760711</v>
      </c>
      <c r="AN50" s="54" t="n">
        <f aca="false">AN46+AN49</f>
        <v>7970.16826452109</v>
      </c>
      <c r="AO50" s="54" t="n">
        <f aca="false">AO46+AO49</f>
        <v>6450.3432795985</v>
      </c>
      <c r="AP50" s="54" t="n">
        <f aca="false">AP46+AP49</f>
        <v>6456.48772404295</v>
      </c>
      <c r="AQ50" s="54" t="n">
        <f aca="false">AQ46+AQ49</f>
        <v>6462.63216848739</v>
      </c>
      <c r="AR50" s="54" t="n">
        <f aca="false">AR46+AR49</f>
        <v>6468.77661293184</v>
      </c>
      <c r="AS50" s="54" t="n">
        <f aca="false">AS46+AS49</f>
        <v>6474.92105737628</v>
      </c>
      <c r="AT50" s="54" t="n">
        <f aca="false">AT46+AT49</f>
        <v>6481.06550182073</v>
      </c>
      <c r="AU50" s="54" t="n">
        <f aca="false">AU46+AU49</f>
        <v>6487.20994626517</v>
      </c>
      <c r="AV50" s="54" t="n">
        <f aca="false">AV46+AV49</f>
        <v>6493.35439070961</v>
      </c>
      <c r="AW50" s="54" t="n">
        <f aca="false">AW46+AW49</f>
        <v>6499.49883515406</v>
      </c>
      <c r="AX50" s="54" t="n">
        <f aca="false">AX46+AX49</f>
        <v>6505.6432795985</v>
      </c>
      <c r="AY50" s="54" t="n">
        <f aca="false">AY46+AY49</f>
        <v>8594.86732812023</v>
      </c>
      <c r="AZ50" s="54" t="n">
        <f aca="false">AZ46+AZ49</f>
        <v>8601.01177256467</v>
      </c>
      <c r="BA50" s="54" t="n">
        <f aca="false">BA46+BA49</f>
        <v>8607.15621700912</v>
      </c>
      <c r="BB50" s="54" t="n">
        <f aca="false">BB46+BB49</f>
        <v>8613.30066145356</v>
      </c>
      <c r="BC50" s="54" t="n">
        <f aca="false">BC46+BC49</f>
        <v>8619.44510589801</v>
      </c>
      <c r="BD50" s="54" t="n">
        <f aca="false">BD46+BD49</f>
        <v>8625.58955034245</v>
      </c>
      <c r="BE50" s="54" t="n">
        <f aca="false">BE46+BE49</f>
        <v>8631.73399478689</v>
      </c>
      <c r="BF50" s="54" t="n">
        <f aca="false">BF46+BF49</f>
        <v>8637.87843923134</v>
      </c>
      <c r="BG50" s="54" t="n">
        <f aca="false">BG46+BG49</f>
        <v>8644.02288367579</v>
      </c>
      <c r="BH50" s="54" t="n">
        <f aca="false">BH46+BH49</f>
        <v>8650.16732812023</v>
      </c>
      <c r="BI50" s="54" t="n">
        <f aca="false">BI46+BI49</f>
        <v>8656.31177256467</v>
      </c>
      <c r="BJ50" s="54" t="n">
        <f aca="false">BJ46+BJ49</f>
        <v>8662.45621700912</v>
      </c>
    </row>
    <row r="52" customFormat="false" ht="15.75" hidden="false" customHeight="true" outlineLevel="0" collapsed="false">
      <c r="A52" s="7" t="s">
        <v>393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customFormat="false" ht="15" hidden="false" customHeight="false" outlineLevel="0" collapsed="false">
      <c r="A53" s="6" t="s">
        <v>394</v>
      </c>
      <c r="C53" s="53" t="n">
        <f aca="false">Inputs!$E$46+MAX(0,Inputs!$E$7-Inputs!$E$48)*Inputs!$E$47+Inputs!$E$49*Inputs!$E$50</f>
        <v>127400</v>
      </c>
      <c r="D53" s="53" t="n">
        <f aca="false">IF(AND(D$5&gt;1,MOD(D$4-1,12)=0),Inputs!$E$8*Inputs!$E$47,0)</f>
        <v>0</v>
      </c>
      <c r="E53" s="53" t="n">
        <f aca="false">IF(AND(E$5&gt;1,MOD(E$4-1,12)=0),Inputs!$E$8*Inputs!$E$47,0)</f>
        <v>0</v>
      </c>
      <c r="F53" s="53" t="n">
        <f aca="false">IF(AND(F$5&gt;1,MOD(F$4-1,12)=0),Inputs!$E$8*Inputs!$E$47,0)</f>
        <v>0</v>
      </c>
      <c r="G53" s="53" t="n">
        <f aca="false">IF(AND(G$5&gt;1,MOD(G$4-1,12)=0),Inputs!$E$8*Inputs!$E$47,0)</f>
        <v>0</v>
      </c>
      <c r="H53" s="53" t="n">
        <f aca="false">IF(AND(H$5&gt;1,MOD(H$4-1,12)=0),Inputs!$E$8*Inputs!$E$47,0)</f>
        <v>0</v>
      </c>
      <c r="I53" s="53" t="n">
        <f aca="false">IF(AND(I$5&gt;1,MOD(I$4-1,12)=0),Inputs!$E$8*Inputs!$E$47,0)</f>
        <v>0</v>
      </c>
      <c r="J53" s="53" t="n">
        <f aca="false">IF(AND(J$5&gt;1,MOD(J$4-1,12)=0),Inputs!$E$8*Inputs!$E$47,0)</f>
        <v>0</v>
      </c>
      <c r="K53" s="53" t="n">
        <f aca="false">IF(AND(K$5&gt;1,MOD(K$4-1,12)=0),Inputs!$E$8*Inputs!$E$47,0)</f>
        <v>0</v>
      </c>
      <c r="L53" s="53" t="n">
        <f aca="false">IF(AND(L$5&gt;1,MOD(L$4-1,12)=0),Inputs!$E$8*Inputs!$E$47,0)</f>
        <v>0</v>
      </c>
      <c r="M53" s="53" t="n">
        <f aca="false">IF(AND(M$5&gt;1,MOD(M$4-1,12)=0),Inputs!$E$8*Inputs!$E$47,0)</f>
        <v>0</v>
      </c>
      <c r="N53" s="53" t="n">
        <f aca="false">IF(AND(N$5&gt;1,MOD(N$4-1,12)=0),Inputs!$E$8*Inputs!$E$47,0)</f>
        <v>0</v>
      </c>
      <c r="O53" s="53" t="n">
        <f aca="false">IF(AND(O$5&gt;1,MOD(O$4-1,12)=0),Inputs!$E$8*Inputs!$E$47,0)</f>
        <v>0</v>
      </c>
      <c r="P53" s="53" t="n">
        <f aca="false">IF(AND(P$5&gt;1,MOD(P$4-1,12)=0),Inputs!$E$8*Inputs!$E$47,0)</f>
        <v>0</v>
      </c>
      <c r="Q53" s="53" t="n">
        <f aca="false">IF(AND(Q$5&gt;1,MOD(Q$4-1,12)=0),Inputs!$E$8*Inputs!$E$47,0)</f>
        <v>0</v>
      </c>
      <c r="R53" s="53" t="n">
        <f aca="false">IF(AND(R$5&gt;1,MOD(R$4-1,12)=0),Inputs!$E$8*Inputs!$E$47,0)</f>
        <v>0</v>
      </c>
      <c r="S53" s="53" t="n">
        <f aca="false">IF(AND(S$5&gt;1,MOD(S$4-1,12)=0),Inputs!$E$8*Inputs!$E$47,0)</f>
        <v>0</v>
      </c>
      <c r="T53" s="53" t="n">
        <f aca="false">IF(AND(T$5&gt;1,MOD(T$4-1,12)=0),Inputs!$E$8*Inputs!$E$47,0)</f>
        <v>0</v>
      </c>
      <c r="U53" s="53" t="n">
        <f aca="false">IF(AND(U$5&gt;1,MOD(U$4-1,12)=0),Inputs!$E$8*Inputs!$E$47,0)</f>
        <v>0</v>
      </c>
      <c r="V53" s="53" t="n">
        <f aca="false">IF(AND(V$5&gt;1,MOD(V$4-1,12)=0),Inputs!$E$8*Inputs!$E$47,0)</f>
        <v>0</v>
      </c>
      <c r="W53" s="53" t="n">
        <f aca="false">IF(AND(W$5&gt;1,MOD(W$4-1,12)=0),Inputs!$E$8*Inputs!$E$47,0)</f>
        <v>0</v>
      </c>
      <c r="X53" s="53" t="n">
        <f aca="false">IF(AND(X$5&gt;1,MOD(X$4-1,12)=0),Inputs!$E$8*Inputs!$E$47,0)</f>
        <v>0</v>
      </c>
      <c r="Y53" s="53" t="n">
        <f aca="false">IF(AND(Y$5&gt;1,MOD(Y$4-1,12)=0),Inputs!$E$8*Inputs!$E$47,0)</f>
        <v>0</v>
      </c>
      <c r="Z53" s="53" t="n">
        <f aca="false">IF(AND(Z$5&gt;1,MOD(Z$4-1,12)=0),Inputs!$E$8*Inputs!$E$47,0)</f>
        <v>0</v>
      </c>
      <c r="AA53" s="53" t="n">
        <f aca="false">IF(AND(AA$5&gt;1,MOD(AA$4-1,12)=0),Inputs!$E$8*Inputs!$E$47,0)</f>
        <v>0</v>
      </c>
      <c r="AB53" s="53" t="n">
        <f aca="false">IF(AND(AB$5&gt;1,MOD(AB$4-1,12)=0),Inputs!$E$8*Inputs!$E$47,0)</f>
        <v>0</v>
      </c>
      <c r="AC53" s="53" t="n">
        <f aca="false">IF(AND(AC$5&gt;1,MOD(AC$4-1,12)=0),Inputs!$E$8*Inputs!$E$47,0)</f>
        <v>0</v>
      </c>
      <c r="AD53" s="53" t="n">
        <f aca="false">IF(AND(AD$5&gt;1,MOD(AD$4-1,12)=0),Inputs!$E$8*Inputs!$E$47,0)</f>
        <v>0</v>
      </c>
      <c r="AE53" s="53" t="n">
        <f aca="false">IF(AND(AE$5&gt;1,MOD(AE$4-1,12)=0),Inputs!$E$8*Inputs!$E$47,0)</f>
        <v>0</v>
      </c>
      <c r="AF53" s="53" t="n">
        <f aca="false">IF(AND(AF$5&gt;1,MOD(AF$4-1,12)=0),Inputs!$E$8*Inputs!$E$47,0)</f>
        <v>0</v>
      </c>
      <c r="AG53" s="53" t="n">
        <f aca="false">IF(AND(AG$5&gt;1,MOD(AG$4-1,12)=0),Inputs!$E$8*Inputs!$E$47,0)</f>
        <v>0</v>
      </c>
      <c r="AH53" s="53" t="n">
        <f aca="false">IF(AND(AH$5&gt;1,MOD(AH$4-1,12)=0),Inputs!$E$8*Inputs!$E$47,0)</f>
        <v>0</v>
      </c>
      <c r="AI53" s="53" t="n">
        <f aca="false">IF(AND(AI$5&gt;1,MOD(AI$4-1,12)=0),Inputs!$E$8*Inputs!$E$47,0)</f>
        <v>0</v>
      </c>
      <c r="AJ53" s="53" t="n">
        <f aca="false">IF(AND(AJ$5&gt;1,MOD(AJ$4-1,12)=0),Inputs!$E$8*Inputs!$E$47,0)</f>
        <v>0</v>
      </c>
      <c r="AK53" s="53" t="n">
        <f aca="false">IF(AND(AK$5&gt;1,MOD(AK$4-1,12)=0),Inputs!$E$8*Inputs!$E$47,0)</f>
        <v>0</v>
      </c>
      <c r="AL53" s="53" t="n">
        <f aca="false">IF(AND(AL$5&gt;1,MOD(AL$4-1,12)=0),Inputs!$E$8*Inputs!$E$47,0)</f>
        <v>0</v>
      </c>
      <c r="AM53" s="53" t="n">
        <f aca="false">IF(AND(AM$5&gt;1,MOD(AM$4-1,12)=0),Inputs!$E$8*Inputs!$E$47,0)</f>
        <v>0</v>
      </c>
      <c r="AN53" s="53" t="n">
        <f aca="false">IF(AND(AN$5&gt;1,MOD(AN$4-1,12)=0),Inputs!$E$8*Inputs!$E$47,0)</f>
        <v>0</v>
      </c>
      <c r="AO53" s="53" t="n">
        <f aca="false">IF(AND(AO$5&gt;1,MOD(AO$4-1,12)=0),Inputs!$E$8*Inputs!$E$47,0)</f>
        <v>0</v>
      </c>
      <c r="AP53" s="53" t="n">
        <f aca="false">IF(AND(AP$5&gt;1,MOD(AP$4-1,12)=0),Inputs!$E$8*Inputs!$E$47,0)</f>
        <v>0</v>
      </c>
      <c r="AQ53" s="53" t="n">
        <f aca="false">IF(AND(AQ$5&gt;1,MOD(AQ$4-1,12)=0),Inputs!$E$8*Inputs!$E$47,0)</f>
        <v>0</v>
      </c>
      <c r="AR53" s="53" t="n">
        <f aca="false">IF(AND(AR$5&gt;1,MOD(AR$4-1,12)=0),Inputs!$E$8*Inputs!$E$47,0)</f>
        <v>0</v>
      </c>
      <c r="AS53" s="53" t="n">
        <f aca="false">IF(AND(AS$5&gt;1,MOD(AS$4-1,12)=0),Inputs!$E$8*Inputs!$E$47,0)</f>
        <v>0</v>
      </c>
      <c r="AT53" s="53" t="n">
        <f aca="false">IF(AND(AT$5&gt;1,MOD(AT$4-1,12)=0),Inputs!$E$8*Inputs!$E$47,0)</f>
        <v>0</v>
      </c>
      <c r="AU53" s="53" t="n">
        <f aca="false">IF(AND(AU$5&gt;1,MOD(AU$4-1,12)=0),Inputs!$E$8*Inputs!$E$47,0)</f>
        <v>0</v>
      </c>
      <c r="AV53" s="53" t="n">
        <f aca="false">IF(AND(AV$5&gt;1,MOD(AV$4-1,12)=0),Inputs!$E$8*Inputs!$E$47,0)</f>
        <v>0</v>
      </c>
      <c r="AW53" s="53" t="n">
        <f aca="false">IF(AND(AW$5&gt;1,MOD(AW$4-1,12)=0),Inputs!$E$8*Inputs!$E$47,0)</f>
        <v>0</v>
      </c>
      <c r="AX53" s="53" t="n">
        <f aca="false">IF(AND(AX$5&gt;1,MOD(AX$4-1,12)=0),Inputs!$E$8*Inputs!$E$47,0)</f>
        <v>0</v>
      </c>
      <c r="AY53" s="53" t="n">
        <f aca="false">IF(AND(AY$5&gt;1,MOD(AY$4-1,12)=0),Inputs!$E$8*Inputs!$E$47,0)</f>
        <v>0</v>
      </c>
      <c r="AZ53" s="53" t="n">
        <f aca="false">IF(AND(AZ$5&gt;1,MOD(AZ$4-1,12)=0),Inputs!$E$8*Inputs!$E$47,0)</f>
        <v>0</v>
      </c>
      <c r="BA53" s="53" t="n">
        <f aca="false">IF(AND(BA$5&gt;1,MOD(BA$4-1,12)=0),Inputs!$E$8*Inputs!$E$47,0)</f>
        <v>0</v>
      </c>
      <c r="BB53" s="53" t="n">
        <f aca="false">IF(AND(BB$5&gt;1,MOD(BB$4-1,12)=0),Inputs!$E$8*Inputs!$E$47,0)</f>
        <v>0</v>
      </c>
      <c r="BC53" s="53" t="n">
        <f aca="false">IF(AND(BC$5&gt;1,MOD(BC$4-1,12)=0),Inputs!$E$8*Inputs!$E$47,0)</f>
        <v>0</v>
      </c>
      <c r="BD53" s="53" t="n">
        <f aca="false">IF(AND(BD$5&gt;1,MOD(BD$4-1,12)=0),Inputs!$E$8*Inputs!$E$47,0)</f>
        <v>0</v>
      </c>
      <c r="BE53" s="53" t="n">
        <f aca="false">IF(AND(BE$5&gt;1,MOD(BE$4-1,12)=0),Inputs!$E$8*Inputs!$E$47,0)</f>
        <v>0</v>
      </c>
      <c r="BF53" s="53" t="n">
        <f aca="false">IF(AND(BF$5&gt;1,MOD(BF$4-1,12)=0),Inputs!$E$8*Inputs!$E$47,0)</f>
        <v>0</v>
      </c>
      <c r="BG53" s="53" t="n">
        <f aca="false">IF(AND(BG$5&gt;1,MOD(BG$4-1,12)=0),Inputs!$E$8*Inputs!$E$47,0)</f>
        <v>0</v>
      </c>
      <c r="BH53" s="53" t="n">
        <f aca="false">IF(AND(BH$5&gt;1,MOD(BH$4-1,12)=0),Inputs!$E$8*Inputs!$E$47,0)</f>
        <v>0</v>
      </c>
      <c r="BI53" s="53" t="n">
        <f aca="false">IF(AND(BI$5&gt;1,MOD(BI$4-1,12)=0),Inputs!$E$8*Inputs!$E$47,0)</f>
        <v>0</v>
      </c>
      <c r="BJ53" s="53" t="n">
        <f aca="false">IF(AND(BJ$5&gt;1,MOD(BJ$4-1,12)=0),Inputs!$E$8*Inputs!$E$47,0)</f>
        <v>0</v>
      </c>
    </row>
    <row r="54" customFormat="false" ht="15" hidden="false" customHeight="false" outlineLevel="0" collapsed="false">
      <c r="A54" s="6" t="s">
        <v>395</v>
      </c>
      <c r="C54" s="53" t="n">
        <f aca="false">C53</f>
        <v>127400</v>
      </c>
      <c r="D54" s="53" t="n">
        <f aca="false">C54+D53</f>
        <v>127400</v>
      </c>
      <c r="E54" s="53" t="n">
        <f aca="false">D54+E53</f>
        <v>127400</v>
      </c>
      <c r="F54" s="53" t="n">
        <f aca="false">E54+F53</f>
        <v>127400</v>
      </c>
      <c r="G54" s="53" t="n">
        <f aca="false">F54+G53</f>
        <v>127400</v>
      </c>
      <c r="H54" s="53" t="n">
        <f aca="false">G54+H53</f>
        <v>127400</v>
      </c>
      <c r="I54" s="53" t="n">
        <f aca="false">H54+I53</f>
        <v>127400</v>
      </c>
      <c r="J54" s="53" t="n">
        <f aca="false">I54+J53</f>
        <v>127400</v>
      </c>
      <c r="K54" s="53" t="n">
        <f aca="false">J54+K53</f>
        <v>127400</v>
      </c>
      <c r="L54" s="53" t="n">
        <f aca="false">K54+L53</f>
        <v>127400</v>
      </c>
      <c r="M54" s="53" t="n">
        <f aca="false">L54+M53</f>
        <v>127400</v>
      </c>
      <c r="N54" s="53" t="n">
        <f aca="false">M54+N53</f>
        <v>127400</v>
      </c>
      <c r="O54" s="53" t="n">
        <f aca="false">N54+O53</f>
        <v>127400</v>
      </c>
      <c r="P54" s="53" t="n">
        <f aca="false">O54+P53</f>
        <v>127400</v>
      </c>
      <c r="Q54" s="53" t="n">
        <f aca="false">P54+Q53</f>
        <v>127400</v>
      </c>
      <c r="R54" s="53" t="n">
        <f aca="false">Q54+R53</f>
        <v>127400</v>
      </c>
      <c r="S54" s="53" t="n">
        <f aca="false">R54+S53</f>
        <v>127400</v>
      </c>
      <c r="T54" s="53" t="n">
        <f aca="false">S54+T53</f>
        <v>127400</v>
      </c>
      <c r="U54" s="53" t="n">
        <f aca="false">T54+U53</f>
        <v>127400</v>
      </c>
      <c r="V54" s="53" t="n">
        <f aca="false">U54+V53</f>
        <v>127400</v>
      </c>
      <c r="W54" s="53" t="n">
        <f aca="false">V54+W53</f>
        <v>127400</v>
      </c>
      <c r="X54" s="53" t="n">
        <f aca="false">W54+X53</f>
        <v>127400</v>
      </c>
      <c r="Y54" s="53" t="n">
        <f aca="false">X54+Y53</f>
        <v>127400</v>
      </c>
      <c r="Z54" s="53" t="n">
        <f aca="false">Y54+Z53</f>
        <v>127400</v>
      </c>
      <c r="AA54" s="53" t="n">
        <f aca="false">Z54+AA53</f>
        <v>127400</v>
      </c>
      <c r="AB54" s="53" t="n">
        <f aca="false">AA54+AB53</f>
        <v>127400</v>
      </c>
      <c r="AC54" s="53" t="n">
        <f aca="false">AB54+AC53</f>
        <v>127400</v>
      </c>
      <c r="AD54" s="53" t="n">
        <f aca="false">AC54+AD53</f>
        <v>127400</v>
      </c>
      <c r="AE54" s="53" t="n">
        <f aca="false">AD54+AE53</f>
        <v>127400</v>
      </c>
      <c r="AF54" s="53" t="n">
        <f aca="false">AE54+AF53</f>
        <v>127400</v>
      </c>
      <c r="AG54" s="53" t="n">
        <f aca="false">AF54+AG53</f>
        <v>127400</v>
      </c>
      <c r="AH54" s="53" t="n">
        <f aca="false">AG54+AH53</f>
        <v>127400</v>
      </c>
      <c r="AI54" s="53" t="n">
        <f aca="false">AH54+AI53</f>
        <v>127400</v>
      </c>
      <c r="AJ54" s="53" t="n">
        <f aca="false">AI54+AJ53</f>
        <v>127400</v>
      </c>
      <c r="AK54" s="53" t="n">
        <f aca="false">AJ54+AK53</f>
        <v>127400</v>
      </c>
      <c r="AL54" s="53" t="n">
        <f aca="false">AK54+AL53</f>
        <v>127400</v>
      </c>
      <c r="AM54" s="53" t="n">
        <f aca="false">AL54+AM53</f>
        <v>127400</v>
      </c>
      <c r="AN54" s="53" t="n">
        <f aca="false">AM54+AN53</f>
        <v>127400</v>
      </c>
      <c r="AO54" s="53" t="n">
        <f aca="false">AN54+AO53</f>
        <v>127400</v>
      </c>
      <c r="AP54" s="53" t="n">
        <f aca="false">AO54+AP53</f>
        <v>127400</v>
      </c>
      <c r="AQ54" s="53" t="n">
        <f aca="false">AP54+AQ53</f>
        <v>127400</v>
      </c>
      <c r="AR54" s="53" t="n">
        <f aca="false">AQ54+AR53</f>
        <v>127400</v>
      </c>
      <c r="AS54" s="53" t="n">
        <f aca="false">AR54+AS53</f>
        <v>127400</v>
      </c>
      <c r="AT54" s="53" t="n">
        <f aca="false">AS54+AT53</f>
        <v>127400</v>
      </c>
      <c r="AU54" s="53" t="n">
        <f aca="false">AT54+AU53</f>
        <v>127400</v>
      </c>
      <c r="AV54" s="53" t="n">
        <f aca="false">AU54+AV53</f>
        <v>127400</v>
      </c>
      <c r="AW54" s="53" t="n">
        <f aca="false">AV54+AW53</f>
        <v>127400</v>
      </c>
      <c r="AX54" s="53" t="n">
        <f aca="false">AW54+AX53</f>
        <v>127400</v>
      </c>
      <c r="AY54" s="53" t="n">
        <f aca="false">AX54+AY53</f>
        <v>127400</v>
      </c>
      <c r="AZ54" s="53" t="n">
        <f aca="false">AY54+AZ53</f>
        <v>127400</v>
      </c>
      <c r="BA54" s="53" t="n">
        <f aca="false">AZ54+BA53</f>
        <v>127400</v>
      </c>
      <c r="BB54" s="53" t="n">
        <f aca="false">BA54+BB53</f>
        <v>127400</v>
      </c>
      <c r="BC54" s="53" t="n">
        <f aca="false">BB54+BC53</f>
        <v>127400</v>
      </c>
      <c r="BD54" s="53" t="n">
        <f aca="false">BC54+BD53</f>
        <v>127400</v>
      </c>
      <c r="BE54" s="53" t="n">
        <f aca="false">BD54+BE53</f>
        <v>127400</v>
      </c>
      <c r="BF54" s="53" t="n">
        <f aca="false">BE54+BF53</f>
        <v>127400</v>
      </c>
      <c r="BG54" s="53" t="n">
        <f aca="false">BF54+BG53</f>
        <v>127400</v>
      </c>
      <c r="BH54" s="53" t="n">
        <f aca="false">BG54+BH53</f>
        <v>127400</v>
      </c>
      <c r="BI54" s="53" t="n">
        <f aca="false">BH54+BI53</f>
        <v>127400</v>
      </c>
      <c r="BJ54" s="53" t="n">
        <f aca="false">BI54+BJ53</f>
        <v>127400</v>
      </c>
    </row>
    <row r="55" customFormat="false" ht="15" hidden="false" customHeight="false" outlineLevel="0" collapsed="false">
      <c r="A55" s="6" t="s">
        <v>75</v>
      </c>
      <c r="C55" s="53" t="n">
        <f aca="false">-MIN(C54/MAX(1,Inputs!$E$80*12),C53)</f>
        <v>-1516.66666666667</v>
      </c>
      <c r="D55" s="53" t="n">
        <f aca="false">-MIN(D54/MAX(1,Inputs!$E$80*12),C57+D53)</f>
        <v>-1516.66666666667</v>
      </c>
      <c r="E55" s="53" t="n">
        <f aca="false">-MIN(E54/MAX(1,Inputs!$E$80*12),D57+E53)</f>
        <v>-1516.66666666667</v>
      </c>
      <c r="F55" s="53" t="n">
        <f aca="false">-MIN(F54/MAX(1,Inputs!$E$80*12),E57+F53)</f>
        <v>-1516.66666666667</v>
      </c>
      <c r="G55" s="53" t="n">
        <f aca="false">-MIN(G54/MAX(1,Inputs!$E$80*12),F57+G53)</f>
        <v>-1516.66666666667</v>
      </c>
      <c r="H55" s="53" t="n">
        <f aca="false">-MIN(H54/MAX(1,Inputs!$E$80*12),G57+H53)</f>
        <v>-1516.66666666667</v>
      </c>
      <c r="I55" s="53" t="n">
        <f aca="false">-MIN(I54/MAX(1,Inputs!$E$80*12),H57+I53)</f>
        <v>-1516.66666666667</v>
      </c>
      <c r="J55" s="53" t="n">
        <f aca="false">-MIN(J54/MAX(1,Inputs!$E$80*12),I57+J53)</f>
        <v>-1516.66666666667</v>
      </c>
      <c r="K55" s="53" t="n">
        <f aca="false">-MIN(K54/MAX(1,Inputs!$E$80*12),J57+K53)</f>
        <v>-1516.66666666667</v>
      </c>
      <c r="L55" s="53" t="n">
        <f aca="false">-MIN(L54/MAX(1,Inputs!$E$80*12),K57+L53)</f>
        <v>-1516.66666666667</v>
      </c>
      <c r="M55" s="53" t="n">
        <f aca="false">-MIN(M54/MAX(1,Inputs!$E$80*12),L57+M53)</f>
        <v>-1516.66666666667</v>
      </c>
      <c r="N55" s="53" t="n">
        <f aca="false">-MIN(N54/MAX(1,Inputs!$E$80*12),M57+N53)</f>
        <v>-1516.66666666667</v>
      </c>
      <c r="O55" s="53" t="n">
        <f aca="false">-MIN(O54/MAX(1,Inputs!$E$80*12),N57+O53)</f>
        <v>-1516.66666666667</v>
      </c>
      <c r="P55" s="53" t="n">
        <f aca="false">-MIN(P54/MAX(1,Inputs!$E$80*12),O57+P53)</f>
        <v>-1516.66666666667</v>
      </c>
      <c r="Q55" s="53" t="n">
        <f aca="false">-MIN(Q54/MAX(1,Inputs!$E$80*12),P57+Q53)</f>
        <v>-1516.66666666667</v>
      </c>
      <c r="R55" s="53" t="n">
        <f aca="false">-MIN(R54/MAX(1,Inputs!$E$80*12),Q57+R53)</f>
        <v>-1516.66666666667</v>
      </c>
      <c r="S55" s="53" t="n">
        <f aca="false">-MIN(S54/MAX(1,Inputs!$E$80*12),R57+S53)</f>
        <v>-1516.66666666667</v>
      </c>
      <c r="T55" s="53" t="n">
        <f aca="false">-MIN(T54/MAX(1,Inputs!$E$80*12),S57+T53)</f>
        <v>-1516.66666666667</v>
      </c>
      <c r="U55" s="53" t="n">
        <f aca="false">-MIN(U54/MAX(1,Inputs!$E$80*12),T57+U53)</f>
        <v>-1516.66666666667</v>
      </c>
      <c r="V55" s="53" t="n">
        <f aca="false">-MIN(V54/MAX(1,Inputs!$E$80*12),U57+V53)</f>
        <v>-1516.66666666667</v>
      </c>
      <c r="W55" s="53" t="n">
        <f aca="false">-MIN(W54/MAX(1,Inputs!$E$80*12),V57+W53)</f>
        <v>-1516.66666666667</v>
      </c>
      <c r="X55" s="53" t="n">
        <f aca="false">-MIN(X54/MAX(1,Inputs!$E$80*12),W57+X53)</f>
        <v>-1516.66666666667</v>
      </c>
      <c r="Y55" s="53" t="n">
        <f aca="false">-MIN(Y54/MAX(1,Inputs!$E$80*12),X57+Y53)</f>
        <v>-1516.66666666667</v>
      </c>
      <c r="Z55" s="53" t="n">
        <f aca="false">-MIN(Z54/MAX(1,Inputs!$E$80*12),Y57+Z53)</f>
        <v>-1516.66666666667</v>
      </c>
      <c r="AA55" s="53" t="n">
        <f aca="false">-MIN(AA54/MAX(1,Inputs!$E$80*12),Z57+AA53)</f>
        <v>-1516.66666666667</v>
      </c>
      <c r="AB55" s="53" t="n">
        <f aca="false">-MIN(AB54/MAX(1,Inputs!$E$80*12),AA57+AB53)</f>
        <v>-1516.66666666667</v>
      </c>
      <c r="AC55" s="53" t="n">
        <f aca="false">-MIN(AC54/MAX(1,Inputs!$E$80*12),AB57+AC53)</f>
        <v>-1516.66666666667</v>
      </c>
      <c r="AD55" s="53" t="n">
        <f aca="false">-MIN(AD54/MAX(1,Inputs!$E$80*12),AC57+AD53)</f>
        <v>-1516.66666666667</v>
      </c>
      <c r="AE55" s="53" t="n">
        <f aca="false">-MIN(AE54/MAX(1,Inputs!$E$80*12),AD57+AE53)</f>
        <v>-1516.66666666667</v>
      </c>
      <c r="AF55" s="53" t="n">
        <f aca="false">-MIN(AF54/MAX(1,Inputs!$E$80*12),AE57+AF53)</f>
        <v>-1516.66666666667</v>
      </c>
      <c r="AG55" s="53" t="n">
        <f aca="false">-MIN(AG54/MAX(1,Inputs!$E$80*12),AF57+AG53)</f>
        <v>-1516.66666666667</v>
      </c>
      <c r="AH55" s="53" t="n">
        <f aca="false">-MIN(AH54/MAX(1,Inputs!$E$80*12),AG57+AH53)</f>
        <v>-1516.66666666667</v>
      </c>
      <c r="AI55" s="53" t="n">
        <f aca="false">-MIN(AI54/MAX(1,Inputs!$E$80*12),AH57+AI53)</f>
        <v>-1516.66666666667</v>
      </c>
      <c r="AJ55" s="53" t="n">
        <f aca="false">-MIN(AJ54/MAX(1,Inputs!$E$80*12),AI57+AJ53)</f>
        <v>-1516.66666666667</v>
      </c>
      <c r="AK55" s="53" t="n">
        <f aca="false">-MIN(AK54/MAX(1,Inputs!$E$80*12),AJ57+AK53)</f>
        <v>-1516.66666666667</v>
      </c>
      <c r="AL55" s="53" t="n">
        <f aca="false">-MIN(AL54/MAX(1,Inputs!$E$80*12),AK57+AL53)</f>
        <v>-1516.66666666667</v>
      </c>
      <c r="AM55" s="53" t="n">
        <f aca="false">-MIN(AM54/MAX(1,Inputs!$E$80*12),AL57+AM53)</f>
        <v>-1516.66666666667</v>
      </c>
      <c r="AN55" s="53" t="n">
        <f aca="false">-MIN(AN54/MAX(1,Inputs!$E$80*12),AM57+AN53)</f>
        <v>-1516.66666666667</v>
      </c>
      <c r="AO55" s="53" t="n">
        <f aca="false">-MIN(AO54/MAX(1,Inputs!$E$80*12),AN57+AO53)</f>
        <v>-1516.66666666667</v>
      </c>
      <c r="AP55" s="53" t="n">
        <f aca="false">-MIN(AP54/MAX(1,Inputs!$E$80*12),AO57+AP53)</f>
        <v>-1516.66666666667</v>
      </c>
      <c r="AQ55" s="53" t="n">
        <f aca="false">-MIN(AQ54/MAX(1,Inputs!$E$80*12),AP57+AQ53)</f>
        <v>-1516.66666666667</v>
      </c>
      <c r="AR55" s="53" t="n">
        <f aca="false">-MIN(AR54/MAX(1,Inputs!$E$80*12),AQ57+AR53)</f>
        <v>-1516.66666666667</v>
      </c>
      <c r="AS55" s="53" t="n">
        <f aca="false">-MIN(AS54/MAX(1,Inputs!$E$80*12),AR57+AS53)</f>
        <v>-1516.66666666667</v>
      </c>
      <c r="AT55" s="53" t="n">
        <f aca="false">-MIN(AT54/MAX(1,Inputs!$E$80*12),AS57+AT53)</f>
        <v>-1516.66666666667</v>
      </c>
      <c r="AU55" s="53" t="n">
        <f aca="false">-MIN(AU54/MAX(1,Inputs!$E$80*12),AT57+AU53)</f>
        <v>-1516.66666666667</v>
      </c>
      <c r="AV55" s="53" t="n">
        <f aca="false">-MIN(AV54/MAX(1,Inputs!$E$80*12),AU57+AV53)</f>
        <v>-1516.66666666667</v>
      </c>
      <c r="AW55" s="53" t="n">
        <f aca="false">-MIN(AW54/MAX(1,Inputs!$E$80*12),AV57+AW53)</f>
        <v>-1516.66666666667</v>
      </c>
      <c r="AX55" s="53" t="n">
        <f aca="false">-MIN(AX54/MAX(1,Inputs!$E$80*12),AW57+AX53)</f>
        <v>-1516.66666666667</v>
      </c>
      <c r="AY55" s="53" t="n">
        <f aca="false">-MIN(AY54/MAX(1,Inputs!$E$80*12),AX57+AY53)</f>
        <v>-1516.66666666667</v>
      </c>
      <c r="AZ55" s="53" t="n">
        <f aca="false">-MIN(AZ54/MAX(1,Inputs!$E$80*12),AY57+AZ53)</f>
        <v>-1516.66666666667</v>
      </c>
      <c r="BA55" s="53" t="n">
        <f aca="false">-MIN(BA54/MAX(1,Inputs!$E$80*12),AZ57+BA53)</f>
        <v>-1516.66666666667</v>
      </c>
      <c r="BB55" s="53" t="n">
        <f aca="false">-MIN(BB54/MAX(1,Inputs!$E$80*12),BA57+BB53)</f>
        <v>-1516.66666666667</v>
      </c>
      <c r="BC55" s="53" t="n">
        <f aca="false">-MIN(BC54/MAX(1,Inputs!$E$80*12),BB57+BC53)</f>
        <v>-1516.66666666667</v>
      </c>
      <c r="BD55" s="53" t="n">
        <f aca="false">-MIN(BD54/MAX(1,Inputs!$E$80*12),BC57+BD53)</f>
        <v>-1516.66666666667</v>
      </c>
      <c r="BE55" s="53" t="n">
        <f aca="false">-MIN(BE54/MAX(1,Inputs!$E$80*12),BD57+BE53)</f>
        <v>-1516.66666666667</v>
      </c>
      <c r="BF55" s="53" t="n">
        <f aca="false">-MIN(BF54/MAX(1,Inputs!$E$80*12),BE57+BF53)</f>
        <v>-1516.66666666667</v>
      </c>
      <c r="BG55" s="53" t="n">
        <f aca="false">-MIN(BG54/MAX(1,Inputs!$E$80*12),BF57+BG53)</f>
        <v>-1516.66666666667</v>
      </c>
      <c r="BH55" s="53" t="n">
        <f aca="false">-MIN(BH54/MAX(1,Inputs!$E$80*12),BG57+BH53)</f>
        <v>-1516.66666666667</v>
      </c>
      <c r="BI55" s="53" t="n">
        <f aca="false">-MIN(BI54/MAX(1,Inputs!$E$80*12),BH57+BI53)</f>
        <v>-1516.66666666667</v>
      </c>
      <c r="BJ55" s="53" t="n">
        <f aca="false">-MIN(BJ54/MAX(1,Inputs!$E$80*12),BI57+BJ53)</f>
        <v>-1516.66666666667</v>
      </c>
    </row>
    <row r="56" customFormat="false" ht="15" hidden="false" customHeight="false" outlineLevel="0" collapsed="false">
      <c r="A56" s="6" t="s">
        <v>396</v>
      </c>
      <c r="C56" s="53" t="n">
        <f aca="false">C55</f>
        <v>-1516.66666666667</v>
      </c>
      <c r="D56" s="53" t="n">
        <f aca="false">C56+D55</f>
        <v>-3033.33333333333</v>
      </c>
      <c r="E56" s="53" t="n">
        <f aca="false">D56+E55</f>
        <v>-4550</v>
      </c>
      <c r="F56" s="53" t="n">
        <f aca="false">E56+F55</f>
        <v>-6066.66666666667</v>
      </c>
      <c r="G56" s="53" t="n">
        <f aca="false">F56+G55</f>
        <v>-7583.33333333333</v>
      </c>
      <c r="H56" s="53" t="n">
        <f aca="false">G56+H55</f>
        <v>-9100</v>
      </c>
      <c r="I56" s="53" t="n">
        <f aca="false">H56+I55</f>
        <v>-10616.6666666667</v>
      </c>
      <c r="J56" s="53" t="n">
        <f aca="false">I56+J55</f>
        <v>-12133.3333333333</v>
      </c>
      <c r="K56" s="53" t="n">
        <f aca="false">J56+K55</f>
        <v>-13650</v>
      </c>
      <c r="L56" s="53" t="n">
        <f aca="false">K56+L55</f>
        <v>-15166.6666666667</v>
      </c>
      <c r="M56" s="53" t="n">
        <f aca="false">L56+M55</f>
        <v>-16683.3333333333</v>
      </c>
      <c r="N56" s="53" t="n">
        <f aca="false">M56+N55</f>
        <v>-18200</v>
      </c>
      <c r="O56" s="53" t="n">
        <f aca="false">N56+O55</f>
        <v>-19716.6666666667</v>
      </c>
      <c r="P56" s="53" t="n">
        <f aca="false">O56+P55</f>
        <v>-21233.3333333333</v>
      </c>
      <c r="Q56" s="53" t="n">
        <f aca="false">P56+Q55</f>
        <v>-22750</v>
      </c>
      <c r="R56" s="53" t="n">
        <f aca="false">Q56+R55</f>
        <v>-24266.6666666667</v>
      </c>
      <c r="S56" s="53" t="n">
        <f aca="false">R56+S55</f>
        <v>-25783.3333333333</v>
      </c>
      <c r="T56" s="53" t="n">
        <f aca="false">S56+T55</f>
        <v>-27300</v>
      </c>
      <c r="U56" s="53" t="n">
        <f aca="false">T56+U55</f>
        <v>-28816.6666666667</v>
      </c>
      <c r="V56" s="53" t="n">
        <f aca="false">U56+V55</f>
        <v>-30333.3333333333</v>
      </c>
      <c r="W56" s="53" t="n">
        <f aca="false">V56+W55</f>
        <v>-31850</v>
      </c>
      <c r="X56" s="53" t="n">
        <f aca="false">W56+X55</f>
        <v>-33366.6666666667</v>
      </c>
      <c r="Y56" s="53" t="n">
        <f aca="false">X56+Y55</f>
        <v>-34883.3333333333</v>
      </c>
      <c r="Z56" s="53" t="n">
        <f aca="false">Y56+Z55</f>
        <v>-36400</v>
      </c>
      <c r="AA56" s="53" t="n">
        <f aca="false">Z56+AA55</f>
        <v>-37916.6666666667</v>
      </c>
      <c r="AB56" s="53" t="n">
        <f aca="false">AA56+AB55</f>
        <v>-39433.3333333333</v>
      </c>
      <c r="AC56" s="53" t="n">
        <f aca="false">AB56+AC55</f>
        <v>-40950</v>
      </c>
      <c r="AD56" s="53" t="n">
        <f aca="false">AC56+AD55</f>
        <v>-42466.6666666667</v>
      </c>
      <c r="AE56" s="53" t="n">
        <f aca="false">AD56+AE55</f>
        <v>-43983.3333333333</v>
      </c>
      <c r="AF56" s="53" t="n">
        <f aca="false">AE56+AF55</f>
        <v>-45500</v>
      </c>
      <c r="AG56" s="53" t="n">
        <f aca="false">AF56+AG55</f>
        <v>-47016.6666666667</v>
      </c>
      <c r="AH56" s="53" t="n">
        <f aca="false">AG56+AH55</f>
        <v>-48533.3333333333</v>
      </c>
      <c r="AI56" s="53" t="n">
        <f aca="false">AH56+AI55</f>
        <v>-50050</v>
      </c>
      <c r="AJ56" s="53" t="n">
        <f aca="false">AI56+AJ55</f>
        <v>-51566.6666666667</v>
      </c>
      <c r="AK56" s="53" t="n">
        <f aca="false">AJ56+AK55</f>
        <v>-53083.3333333333</v>
      </c>
      <c r="AL56" s="53" t="n">
        <f aca="false">AK56+AL55</f>
        <v>-54600</v>
      </c>
      <c r="AM56" s="53" t="n">
        <f aca="false">AL56+AM55</f>
        <v>-56116.6666666666</v>
      </c>
      <c r="AN56" s="53" t="n">
        <f aca="false">AM56+AN55</f>
        <v>-57633.3333333333</v>
      </c>
      <c r="AO56" s="53" t="n">
        <f aca="false">AN56+AO55</f>
        <v>-59150</v>
      </c>
      <c r="AP56" s="53" t="n">
        <f aca="false">AO56+AP55</f>
        <v>-60666.6666666666</v>
      </c>
      <c r="AQ56" s="53" t="n">
        <f aca="false">AP56+AQ55</f>
        <v>-62183.3333333333</v>
      </c>
      <c r="AR56" s="53" t="n">
        <f aca="false">AQ56+AR55</f>
        <v>-63700</v>
      </c>
      <c r="AS56" s="53" t="n">
        <f aca="false">AR56+AS55</f>
        <v>-65216.6666666666</v>
      </c>
      <c r="AT56" s="53" t="n">
        <f aca="false">AS56+AT55</f>
        <v>-66733.3333333333</v>
      </c>
      <c r="AU56" s="53" t="n">
        <f aca="false">AT56+AU55</f>
        <v>-68250</v>
      </c>
      <c r="AV56" s="53" t="n">
        <f aca="false">AU56+AV55</f>
        <v>-69766.6666666666</v>
      </c>
      <c r="AW56" s="53" t="n">
        <f aca="false">AV56+AW55</f>
        <v>-71283.3333333333</v>
      </c>
      <c r="AX56" s="53" t="n">
        <f aca="false">AW56+AX55</f>
        <v>-72800</v>
      </c>
      <c r="AY56" s="53" t="n">
        <f aca="false">AX56+AY55</f>
        <v>-74316.6666666667</v>
      </c>
      <c r="AZ56" s="53" t="n">
        <f aca="false">AY56+AZ55</f>
        <v>-75833.3333333333</v>
      </c>
      <c r="BA56" s="53" t="n">
        <f aca="false">AZ56+BA55</f>
        <v>-77350</v>
      </c>
      <c r="BB56" s="53" t="n">
        <f aca="false">BA56+BB55</f>
        <v>-78866.6666666667</v>
      </c>
      <c r="BC56" s="53" t="n">
        <f aca="false">BB56+BC55</f>
        <v>-80383.3333333333</v>
      </c>
      <c r="BD56" s="53" t="n">
        <f aca="false">BC56+BD55</f>
        <v>-81900</v>
      </c>
      <c r="BE56" s="53" t="n">
        <f aca="false">BD56+BE55</f>
        <v>-83416.6666666667</v>
      </c>
      <c r="BF56" s="53" t="n">
        <f aca="false">BE56+BF55</f>
        <v>-84933.3333333334</v>
      </c>
      <c r="BG56" s="53" t="n">
        <f aca="false">BF56+BG55</f>
        <v>-86450</v>
      </c>
      <c r="BH56" s="53" t="n">
        <f aca="false">BG56+BH55</f>
        <v>-87966.6666666667</v>
      </c>
      <c r="BI56" s="53" t="n">
        <f aca="false">BH56+BI55</f>
        <v>-89483.3333333334</v>
      </c>
      <c r="BJ56" s="53" t="n">
        <f aca="false">BI56+BJ55</f>
        <v>-91000</v>
      </c>
    </row>
    <row r="57" customFormat="false" ht="15" hidden="false" customHeight="false" outlineLevel="0" collapsed="false">
      <c r="A57" s="4" t="s">
        <v>89</v>
      </c>
      <c r="C57" s="60" t="n">
        <f aca="false">C54+C56</f>
        <v>125883.333333333</v>
      </c>
      <c r="D57" s="60" t="n">
        <f aca="false">D54+D56</f>
        <v>124366.666666667</v>
      </c>
      <c r="E57" s="60" t="n">
        <f aca="false">E54+E56</f>
        <v>122850</v>
      </c>
      <c r="F57" s="60" t="n">
        <f aca="false">F54+F56</f>
        <v>121333.333333333</v>
      </c>
      <c r="G57" s="60" t="n">
        <f aca="false">G54+G56</f>
        <v>119816.666666667</v>
      </c>
      <c r="H57" s="60" t="n">
        <f aca="false">H54+H56</f>
        <v>118300</v>
      </c>
      <c r="I57" s="60" t="n">
        <f aca="false">I54+I56</f>
        <v>116783.333333333</v>
      </c>
      <c r="J57" s="60" t="n">
        <f aca="false">J54+J56</f>
        <v>115266.666666667</v>
      </c>
      <c r="K57" s="60" t="n">
        <f aca="false">K54+K56</f>
        <v>113750</v>
      </c>
      <c r="L57" s="60" t="n">
        <f aca="false">L54+L56</f>
        <v>112233.333333333</v>
      </c>
      <c r="M57" s="60" t="n">
        <f aca="false">M54+M56</f>
        <v>110716.666666667</v>
      </c>
      <c r="N57" s="60" t="n">
        <f aca="false">N54+N56</f>
        <v>109200</v>
      </c>
      <c r="O57" s="60" t="n">
        <f aca="false">O54+O56</f>
        <v>107683.333333333</v>
      </c>
      <c r="P57" s="60" t="n">
        <f aca="false">P54+P56</f>
        <v>106166.666666667</v>
      </c>
      <c r="Q57" s="60" t="n">
        <f aca="false">Q54+Q56</f>
        <v>104650</v>
      </c>
      <c r="R57" s="60" t="n">
        <f aca="false">R54+R56</f>
        <v>103133.333333333</v>
      </c>
      <c r="S57" s="60" t="n">
        <f aca="false">S54+S56</f>
        <v>101616.666666667</v>
      </c>
      <c r="T57" s="60" t="n">
        <f aca="false">T54+T56</f>
        <v>100100</v>
      </c>
      <c r="U57" s="60" t="n">
        <f aca="false">U54+U56</f>
        <v>98583.3333333333</v>
      </c>
      <c r="V57" s="60" t="n">
        <f aca="false">V54+V56</f>
        <v>97066.6666666667</v>
      </c>
      <c r="W57" s="60" t="n">
        <f aca="false">W54+W56</f>
        <v>95550</v>
      </c>
      <c r="X57" s="60" t="n">
        <f aca="false">X54+X56</f>
        <v>94033.3333333333</v>
      </c>
      <c r="Y57" s="60" t="n">
        <f aca="false">Y54+Y56</f>
        <v>92516.6666666667</v>
      </c>
      <c r="Z57" s="60" t="n">
        <f aca="false">Z54+Z56</f>
        <v>91000</v>
      </c>
      <c r="AA57" s="60" t="n">
        <f aca="false">AA54+AA56</f>
        <v>89483.3333333333</v>
      </c>
      <c r="AB57" s="60" t="n">
        <f aca="false">AB54+AB56</f>
        <v>87966.6666666667</v>
      </c>
      <c r="AC57" s="60" t="n">
        <f aca="false">AC54+AC56</f>
        <v>86450</v>
      </c>
      <c r="AD57" s="60" t="n">
        <f aca="false">AD54+AD56</f>
        <v>84933.3333333333</v>
      </c>
      <c r="AE57" s="60" t="n">
        <f aca="false">AE54+AE56</f>
        <v>83416.6666666667</v>
      </c>
      <c r="AF57" s="60" t="n">
        <f aca="false">AF54+AF56</f>
        <v>81900</v>
      </c>
      <c r="AG57" s="60" t="n">
        <f aca="false">AG54+AG56</f>
        <v>80383.3333333333</v>
      </c>
      <c r="AH57" s="60" t="n">
        <f aca="false">AH54+AH56</f>
        <v>78866.6666666667</v>
      </c>
      <c r="AI57" s="60" t="n">
        <f aca="false">AI54+AI56</f>
        <v>77350</v>
      </c>
      <c r="AJ57" s="60" t="n">
        <f aca="false">AJ54+AJ56</f>
        <v>75833.3333333333</v>
      </c>
      <c r="AK57" s="60" t="n">
        <f aca="false">AK54+AK56</f>
        <v>74316.6666666667</v>
      </c>
      <c r="AL57" s="60" t="n">
        <f aca="false">AL54+AL56</f>
        <v>72800</v>
      </c>
      <c r="AM57" s="60" t="n">
        <f aca="false">AM54+AM56</f>
        <v>71283.3333333334</v>
      </c>
      <c r="AN57" s="60" t="n">
        <f aca="false">AN54+AN56</f>
        <v>69766.6666666667</v>
      </c>
      <c r="AO57" s="60" t="n">
        <f aca="false">AO54+AO56</f>
        <v>68250</v>
      </c>
      <c r="AP57" s="60" t="n">
        <f aca="false">AP54+AP56</f>
        <v>66733.3333333334</v>
      </c>
      <c r="AQ57" s="60" t="n">
        <f aca="false">AQ54+AQ56</f>
        <v>65216.6666666667</v>
      </c>
      <c r="AR57" s="60" t="n">
        <f aca="false">AR54+AR56</f>
        <v>63700</v>
      </c>
      <c r="AS57" s="60" t="n">
        <f aca="false">AS54+AS56</f>
        <v>62183.3333333334</v>
      </c>
      <c r="AT57" s="60" t="n">
        <f aca="false">AT54+AT56</f>
        <v>60666.6666666667</v>
      </c>
      <c r="AU57" s="60" t="n">
        <f aca="false">AU54+AU56</f>
        <v>59150</v>
      </c>
      <c r="AV57" s="60" t="n">
        <f aca="false">AV54+AV56</f>
        <v>57633.3333333334</v>
      </c>
      <c r="AW57" s="60" t="n">
        <f aca="false">AW54+AW56</f>
        <v>56116.6666666667</v>
      </c>
      <c r="AX57" s="60" t="n">
        <f aca="false">AX54+AX56</f>
        <v>54600</v>
      </c>
      <c r="AY57" s="60" t="n">
        <f aca="false">AY54+AY56</f>
        <v>53083.3333333333</v>
      </c>
      <c r="AZ57" s="60" t="n">
        <f aca="false">AZ54+AZ56</f>
        <v>51566.6666666667</v>
      </c>
      <c r="BA57" s="60" t="n">
        <f aca="false">BA54+BA56</f>
        <v>50050</v>
      </c>
      <c r="BB57" s="60" t="n">
        <f aca="false">BB54+BB56</f>
        <v>48533.3333333333</v>
      </c>
      <c r="BC57" s="60" t="n">
        <f aca="false">BC54+BC56</f>
        <v>47016.6666666667</v>
      </c>
      <c r="BD57" s="60" t="n">
        <f aca="false">BD54+BD56</f>
        <v>45500</v>
      </c>
      <c r="BE57" s="60" t="n">
        <f aca="false">BE54+BE56</f>
        <v>43983.3333333333</v>
      </c>
      <c r="BF57" s="60" t="n">
        <f aca="false">BF54+BF56</f>
        <v>42466.6666666666</v>
      </c>
      <c r="BG57" s="60" t="n">
        <f aca="false">BG54+BG56</f>
        <v>40950</v>
      </c>
      <c r="BH57" s="60" t="n">
        <f aca="false">BH54+BH56</f>
        <v>39433.3333333333</v>
      </c>
      <c r="BI57" s="60" t="n">
        <f aca="false">BI54+BI56</f>
        <v>37916.6666666666</v>
      </c>
      <c r="BJ57" s="60" t="n">
        <f aca="false">BJ54+BJ56</f>
        <v>36400</v>
      </c>
    </row>
    <row r="59" customFormat="false" ht="15.75" hidden="false" customHeight="true" outlineLevel="0" collapsed="false">
      <c r="A59" s="7" t="s">
        <v>397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6" t="s">
        <v>398</v>
      </c>
      <c r="C60" s="53" t="n">
        <f aca="false">0</f>
        <v>0</v>
      </c>
      <c r="D60" s="53" t="n">
        <f aca="false">C63</f>
        <v>70000</v>
      </c>
      <c r="E60" s="53" t="n">
        <f aca="false">D63</f>
        <v>68833.3333333333</v>
      </c>
      <c r="F60" s="53" t="n">
        <f aca="false">E63</f>
        <v>67666.6666666667</v>
      </c>
      <c r="G60" s="53" t="n">
        <f aca="false">F63</f>
        <v>66500</v>
      </c>
      <c r="H60" s="53" t="n">
        <f aca="false">G63</f>
        <v>65333.3333333333</v>
      </c>
      <c r="I60" s="53" t="n">
        <f aca="false">H63</f>
        <v>64166.6666666667</v>
      </c>
      <c r="J60" s="53" t="n">
        <f aca="false">I63</f>
        <v>63000</v>
      </c>
      <c r="K60" s="53" t="n">
        <f aca="false">J63</f>
        <v>61833.3333333333</v>
      </c>
      <c r="L60" s="53" t="n">
        <f aca="false">K63</f>
        <v>60666.6666666667</v>
      </c>
      <c r="M60" s="53" t="n">
        <f aca="false">L63</f>
        <v>59500</v>
      </c>
      <c r="N60" s="53" t="n">
        <f aca="false">M63</f>
        <v>58333.3333333333</v>
      </c>
      <c r="O60" s="53" t="n">
        <f aca="false">N63</f>
        <v>57166.6666666667</v>
      </c>
      <c r="P60" s="53" t="n">
        <f aca="false">O63</f>
        <v>56000</v>
      </c>
      <c r="Q60" s="53" t="n">
        <f aca="false">P63</f>
        <v>54833.3333333333</v>
      </c>
      <c r="R60" s="53" t="n">
        <f aca="false">Q63</f>
        <v>53666.6666666667</v>
      </c>
      <c r="S60" s="53" t="n">
        <f aca="false">R63</f>
        <v>52500</v>
      </c>
      <c r="T60" s="53" t="n">
        <f aca="false">S63</f>
        <v>51333.3333333334</v>
      </c>
      <c r="U60" s="53" t="n">
        <f aca="false">T63</f>
        <v>50166.6666666667</v>
      </c>
      <c r="V60" s="53" t="n">
        <f aca="false">U63</f>
        <v>49000</v>
      </c>
      <c r="W60" s="53" t="n">
        <f aca="false">V63</f>
        <v>47833.3333333334</v>
      </c>
      <c r="X60" s="53" t="n">
        <f aca="false">W63</f>
        <v>46666.6666666667</v>
      </c>
      <c r="Y60" s="53" t="n">
        <f aca="false">X63</f>
        <v>45500</v>
      </c>
      <c r="Z60" s="53" t="n">
        <f aca="false">Y63</f>
        <v>44333.3333333334</v>
      </c>
      <c r="AA60" s="53" t="n">
        <f aca="false">Z63</f>
        <v>43166.6666666667</v>
      </c>
      <c r="AB60" s="53" t="n">
        <f aca="false">AA63</f>
        <v>42000</v>
      </c>
      <c r="AC60" s="53" t="n">
        <f aca="false">AB63</f>
        <v>40833.3333333334</v>
      </c>
      <c r="AD60" s="53" t="n">
        <f aca="false">AC63</f>
        <v>39666.6666666667</v>
      </c>
      <c r="AE60" s="53" t="n">
        <f aca="false">AD63</f>
        <v>38500</v>
      </c>
      <c r="AF60" s="53" t="n">
        <f aca="false">AE63</f>
        <v>37333.3333333334</v>
      </c>
      <c r="AG60" s="53" t="n">
        <f aca="false">AF63</f>
        <v>36166.6666666667</v>
      </c>
      <c r="AH60" s="53" t="n">
        <f aca="false">AG63</f>
        <v>35000.0000000001</v>
      </c>
      <c r="AI60" s="53" t="n">
        <f aca="false">AH63</f>
        <v>33833.3333333334</v>
      </c>
      <c r="AJ60" s="53" t="n">
        <f aca="false">AI63</f>
        <v>32666.6666666667</v>
      </c>
      <c r="AK60" s="53" t="n">
        <f aca="false">AJ63</f>
        <v>31500.0000000001</v>
      </c>
      <c r="AL60" s="53" t="n">
        <f aca="false">AK63</f>
        <v>30333.3333333334</v>
      </c>
      <c r="AM60" s="53" t="n">
        <f aca="false">AL63</f>
        <v>29166.6666666667</v>
      </c>
      <c r="AN60" s="53" t="n">
        <f aca="false">AM63</f>
        <v>28000</v>
      </c>
      <c r="AO60" s="53" t="n">
        <f aca="false">AN63</f>
        <v>26833.3333333334</v>
      </c>
      <c r="AP60" s="53" t="n">
        <f aca="false">AO63</f>
        <v>25666.6666666667</v>
      </c>
      <c r="AQ60" s="53" t="n">
        <f aca="false">AP63</f>
        <v>24500</v>
      </c>
      <c r="AR60" s="53" t="n">
        <f aca="false">AQ63</f>
        <v>23333.3333333334</v>
      </c>
      <c r="AS60" s="53" t="n">
        <f aca="false">AR63</f>
        <v>22166.6666666667</v>
      </c>
      <c r="AT60" s="53" t="n">
        <f aca="false">AS63</f>
        <v>21000</v>
      </c>
      <c r="AU60" s="53" t="n">
        <f aca="false">AT63</f>
        <v>19833.3333333334</v>
      </c>
      <c r="AV60" s="53" t="n">
        <f aca="false">AU63</f>
        <v>18666.6666666667</v>
      </c>
      <c r="AW60" s="53" t="n">
        <f aca="false">AV63</f>
        <v>17500</v>
      </c>
      <c r="AX60" s="53" t="n">
        <f aca="false">AW63</f>
        <v>16333.3333333334</v>
      </c>
      <c r="AY60" s="53" t="n">
        <f aca="false">AX63</f>
        <v>15166.6666666667</v>
      </c>
      <c r="AZ60" s="53" t="n">
        <f aca="false">AY63</f>
        <v>14000</v>
      </c>
      <c r="BA60" s="53" t="n">
        <f aca="false">AZ63</f>
        <v>12833.3333333334</v>
      </c>
      <c r="BB60" s="53" t="n">
        <f aca="false">BA63</f>
        <v>11666.6666666667</v>
      </c>
      <c r="BC60" s="53" t="n">
        <f aca="false">BB63</f>
        <v>10500</v>
      </c>
      <c r="BD60" s="53" t="n">
        <f aca="false">BC63</f>
        <v>9333.33333333337</v>
      </c>
      <c r="BE60" s="53" t="n">
        <f aca="false">BD63</f>
        <v>8166.66666666671</v>
      </c>
      <c r="BF60" s="53" t="n">
        <f aca="false">BE63</f>
        <v>7000.00000000004</v>
      </c>
      <c r="BG60" s="53" t="n">
        <f aca="false">BF63</f>
        <v>5833.33333333337</v>
      </c>
      <c r="BH60" s="53" t="n">
        <f aca="false">BG63</f>
        <v>4666.66666666671</v>
      </c>
      <c r="BI60" s="53" t="n">
        <f aca="false">BH63</f>
        <v>3500.00000000004</v>
      </c>
      <c r="BJ60" s="53" t="n">
        <f aca="false">BI63</f>
        <v>2333.33333333337</v>
      </c>
    </row>
    <row r="61" customFormat="false" ht="15" hidden="false" customHeight="false" outlineLevel="0" collapsed="false">
      <c r="A61" s="6" t="s">
        <v>82</v>
      </c>
      <c r="C61" s="53" t="n">
        <f aca="false">IF(C$4=1,Inputs!$E$70,0)</f>
        <v>70000</v>
      </c>
      <c r="D61" s="53" t="n">
        <f aca="false">IF(D$4=1,Inputs!$E$70,0)</f>
        <v>0</v>
      </c>
      <c r="E61" s="53" t="n">
        <f aca="false">IF(E$4=1,Inputs!$E$70,0)</f>
        <v>0</v>
      </c>
      <c r="F61" s="53" t="n">
        <f aca="false">IF(F$4=1,Inputs!$E$70,0)</f>
        <v>0</v>
      </c>
      <c r="G61" s="53" t="n">
        <f aca="false">IF(G$4=1,Inputs!$E$70,0)</f>
        <v>0</v>
      </c>
      <c r="H61" s="53" t="n">
        <f aca="false">IF(H$4=1,Inputs!$E$70,0)</f>
        <v>0</v>
      </c>
      <c r="I61" s="53" t="n">
        <f aca="false">IF(I$4=1,Inputs!$E$70,0)</f>
        <v>0</v>
      </c>
      <c r="J61" s="53" t="n">
        <f aca="false">IF(J$4=1,Inputs!$E$70,0)</f>
        <v>0</v>
      </c>
      <c r="K61" s="53" t="n">
        <f aca="false">IF(K$4=1,Inputs!$E$70,0)</f>
        <v>0</v>
      </c>
      <c r="L61" s="53" t="n">
        <f aca="false">IF(L$4=1,Inputs!$E$70,0)</f>
        <v>0</v>
      </c>
      <c r="M61" s="53" t="n">
        <f aca="false">IF(M$4=1,Inputs!$E$70,0)</f>
        <v>0</v>
      </c>
      <c r="N61" s="53" t="n">
        <f aca="false">IF(N$4=1,Inputs!$E$70,0)</f>
        <v>0</v>
      </c>
      <c r="O61" s="53" t="n">
        <f aca="false">IF(O$4=1,Inputs!$E$70,0)</f>
        <v>0</v>
      </c>
      <c r="P61" s="53" t="n">
        <f aca="false">IF(P$4=1,Inputs!$E$70,0)</f>
        <v>0</v>
      </c>
      <c r="Q61" s="53" t="n">
        <f aca="false">IF(Q$4=1,Inputs!$E$70,0)</f>
        <v>0</v>
      </c>
      <c r="R61" s="53" t="n">
        <f aca="false">IF(R$4=1,Inputs!$E$70,0)</f>
        <v>0</v>
      </c>
      <c r="S61" s="53" t="n">
        <f aca="false">IF(S$4=1,Inputs!$E$70,0)</f>
        <v>0</v>
      </c>
      <c r="T61" s="53" t="n">
        <f aca="false">IF(T$4=1,Inputs!$E$70,0)</f>
        <v>0</v>
      </c>
      <c r="U61" s="53" t="n">
        <f aca="false">IF(U$4=1,Inputs!$E$70,0)</f>
        <v>0</v>
      </c>
      <c r="V61" s="53" t="n">
        <f aca="false">IF(V$4=1,Inputs!$E$70,0)</f>
        <v>0</v>
      </c>
      <c r="W61" s="53" t="n">
        <f aca="false">IF(W$4=1,Inputs!$E$70,0)</f>
        <v>0</v>
      </c>
      <c r="X61" s="53" t="n">
        <f aca="false">IF(X$4=1,Inputs!$E$70,0)</f>
        <v>0</v>
      </c>
      <c r="Y61" s="53" t="n">
        <f aca="false">IF(Y$4=1,Inputs!$E$70,0)</f>
        <v>0</v>
      </c>
      <c r="Z61" s="53" t="n">
        <f aca="false">IF(Z$4=1,Inputs!$E$70,0)</f>
        <v>0</v>
      </c>
      <c r="AA61" s="53" t="n">
        <f aca="false">IF(AA$4=1,Inputs!$E$70,0)</f>
        <v>0</v>
      </c>
      <c r="AB61" s="53" t="n">
        <f aca="false">IF(AB$4=1,Inputs!$E$70,0)</f>
        <v>0</v>
      </c>
      <c r="AC61" s="53" t="n">
        <f aca="false">IF(AC$4=1,Inputs!$E$70,0)</f>
        <v>0</v>
      </c>
      <c r="AD61" s="53" t="n">
        <f aca="false">IF(AD$4=1,Inputs!$E$70,0)</f>
        <v>0</v>
      </c>
      <c r="AE61" s="53" t="n">
        <f aca="false">IF(AE$4=1,Inputs!$E$70,0)</f>
        <v>0</v>
      </c>
      <c r="AF61" s="53" t="n">
        <f aca="false">IF(AF$4=1,Inputs!$E$70,0)</f>
        <v>0</v>
      </c>
      <c r="AG61" s="53" t="n">
        <f aca="false">IF(AG$4=1,Inputs!$E$70,0)</f>
        <v>0</v>
      </c>
      <c r="AH61" s="53" t="n">
        <f aca="false">IF(AH$4=1,Inputs!$E$70,0)</f>
        <v>0</v>
      </c>
      <c r="AI61" s="53" t="n">
        <f aca="false">IF(AI$4=1,Inputs!$E$70,0)</f>
        <v>0</v>
      </c>
      <c r="AJ61" s="53" t="n">
        <f aca="false">IF(AJ$4=1,Inputs!$E$70,0)</f>
        <v>0</v>
      </c>
      <c r="AK61" s="53" t="n">
        <f aca="false">IF(AK$4=1,Inputs!$E$70,0)</f>
        <v>0</v>
      </c>
      <c r="AL61" s="53" t="n">
        <f aca="false">IF(AL$4=1,Inputs!$E$70,0)</f>
        <v>0</v>
      </c>
      <c r="AM61" s="53" t="n">
        <f aca="false">IF(AM$4=1,Inputs!$E$70,0)</f>
        <v>0</v>
      </c>
      <c r="AN61" s="53" t="n">
        <f aca="false">IF(AN$4=1,Inputs!$E$70,0)</f>
        <v>0</v>
      </c>
      <c r="AO61" s="53" t="n">
        <f aca="false">IF(AO$4=1,Inputs!$E$70,0)</f>
        <v>0</v>
      </c>
      <c r="AP61" s="53" t="n">
        <f aca="false">IF(AP$4=1,Inputs!$E$70,0)</f>
        <v>0</v>
      </c>
      <c r="AQ61" s="53" t="n">
        <f aca="false">IF(AQ$4=1,Inputs!$E$70,0)</f>
        <v>0</v>
      </c>
      <c r="AR61" s="53" t="n">
        <f aca="false">IF(AR$4=1,Inputs!$E$70,0)</f>
        <v>0</v>
      </c>
      <c r="AS61" s="53" t="n">
        <f aca="false">IF(AS$4=1,Inputs!$E$70,0)</f>
        <v>0</v>
      </c>
      <c r="AT61" s="53" t="n">
        <f aca="false">IF(AT$4=1,Inputs!$E$70,0)</f>
        <v>0</v>
      </c>
      <c r="AU61" s="53" t="n">
        <f aca="false">IF(AU$4=1,Inputs!$E$70,0)</f>
        <v>0</v>
      </c>
      <c r="AV61" s="53" t="n">
        <f aca="false">IF(AV$4=1,Inputs!$E$70,0)</f>
        <v>0</v>
      </c>
      <c r="AW61" s="53" t="n">
        <f aca="false">IF(AW$4=1,Inputs!$E$70,0)</f>
        <v>0</v>
      </c>
      <c r="AX61" s="53" t="n">
        <f aca="false">IF(AX$4=1,Inputs!$E$70,0)</f>
        <v>0</v>
      </c>
      <c r="AY61" s="53" t="n">
        <f aca="false">IF(AY$4=1,Inputs!$E$70,0)</f>
        <v>0</v>
      </c>
      <c r="AZ61" s="53" t="n">
        <f aca="false">IF(AZ$4=1,Inputs!$E$70,0)</f>
        <v>0</v>
      </c>
      <c r="BA61" s="53" t="n">
        <f aca="false">IF(BA$4=1,Inputs!$E$70,0)</f>
        <v>0</v>
      </c>
      <c r="BB61" s="53" t="n">
        <f aca="false">IF(BB$4=1,Inputs!$E$70,0)</f>
        <v>0</v>
      </c>
      <c r="BC61" s="53" t="n">
        <f aca="false">IF(BC$4=1,Inputs!$E$70,0)</f>
        <v>0</v>
      </c>
      <c r="BD61" s="53" t="n">
        <f aca="false">IF(BD$4=1,Inputs!$E$70,0)</f>
        <v>0</v>
      </c>
      <c r="BE61" s="53" t="n">
        <f aca="false">IF(BE$4=1,Inputs!$E$70,0)</f>
        <v>0</v>
      </c>
      <c r="BF61" s="53" t="n">
        <f aca="false">IF(BF$4=1,Inputs!$E$70,0)</f>
        <v>0</v>
      </c>
      <c r="BG61" s="53" t="n">
        <f aca="false">IF(BG$4=1,Inputs!$E$70,0)</f>
        <v>0</v>
      </c>
      <c r="BH61" s="53" t="n">
        <f aca="false">IF(BH$4=1,Inputs!$E$70,0)</f>
        <v>0</v>
      </c>
      <c r="BI61" s="53" t="n">
        <f aca="false">IF(BI$4=1,Inputs!$E$70,0)</f>
        <v>0</v>
      </c>
      <c r="BJ61" s="53" t="n">
        <f aca="false">IF(BJ$4=1,Inputs!$E$70,0)</f>
        <v>0</v>
      </c>
    </row>
    <row r="62" customFormat="false" ht="15" hidden="false" customHeight="false" outlineLevel="0" collapsed="false">
      <c r="A62" s="6" t="s">
        <v>83</v>
      </c>
      <c r="C62" s="53" t="n">
        <f aca="false">-MIN(C60,Inputs!$E$70/MAX(1,Inputs!$E$72*12))</f>
        <v>-0</v>
      </c>
      <c r="D62" s="53" t="n">
        <f aca="false">-MIN(D60,Inputs!$E$70/MAX(1,Inputs!$E$72*12))</f>
        <v>-1166.66666666667</v>
      </c>
      <c r="E62" s="53" t="n">
        <f aca="false">-MIN(E60,Inputs!$E$70/MAX(1,Inputs!$E$72*12))</f>
        <v>-1166.66666666667</v>
      </c>
      <c r="F62" s="53" t="n">
        <f aca="false">-MIN(F60,Inputs!$E$70/MAX(1,Inputs!$E$72*12))</f>
        <v>-1166.66666666667</v>
      </c>
      <c r="G62" s="53" t="n">
        <f aca="false">-MIN(G60,Inputs!$E$70/MAX(1,Inputs!$E$72*12))</f>
        <v>-1166.66666666667</v>
      </c>
      <c r="H62" s="53" t="n">
        <f aca="false">-MIN(H60,Inputs!$E$70/MAX(1,Inputs!$E$72*12))</f>
        <v>-1166.66666666667</v>
      </c>
      <c r="I62" s="53" t="n">
        <f aca="false">-MIN(I60,Inputs!$E$70/MAX(1,Inputs!$E$72*12))</f>
        <v>-1166.66666666667</v>
      </c>
      <c r="J62" s="53" t="n">
        <f aca="false">-MIN(J60,Inputs!$E$70/MAX(1,Inputs!$E$72*12))</f>
        <v>-1166.66666666667</v>
      </c>
      <c r="K62" s="53" t="n">
        <f aca="false">-MIN(K60,Inputs!$E$70/MAX(1,Inputs!$E$72*12))</f>
        <v>-1166.66666666667</v>
      </c>
      <c r="L62" s="53" t="n">
        <f aca="false">-MIN(L60,Inputs!$E$70/MAX(1,Inputs!$E$72*12))</f>
        <v>-1166.66666666667</v>
      </c>
      <c r="M62" s="53" t="n">
        <f aca="false">-MIN(M60,Inputs!$E$70/MAX(1,Inputs!$E$72*12))</f>
        <v>-1166.66666666667</v>
      </c>
      <c r="N62" s="53" t="n">
        <f aca="false">-MIN(N60,Inputs!$E$70/MAX(1,Inputs!$E$72*12))</f>
        <v>-1166.66666666667</v>
      </c>
      <c r="O62" s="53" t="n">
        <f aca="false">-MIN(O60,Inputs!$E$70/MAX(1,Inputs!$E$72*12))</f>
        <v>-1166.66666666667</v>
      </c>
      <c r="P62" s="53" t="n">
        <f aca="false">-MIN(P60,Inputs!$E$70/MAX(1,Inputs!$E$72*12))</f>
        <v>-1166.66666666667</v>
      </c>
      <c r="Q62" s="53" t="n">
        <f aca="false">-MIN(Q60,Inputs!$E$70/MAX(1,Inputs!$E$72*12))</f>
        <v>-1166.66666666667</v>
      </c>
      <c r="R62" s="53" t="n">
        <f aca="false">-MIN(R60,Inputs!$E$70/MAX(1,Inputs!$E$72*12))</f>
        <v>-1166.66666666667</v>
      </c>
      <c r="S62" s="53" t="n">
        <f aca="false">-MIN(S60,Inputs!$E$70/MAX(1,Inputs!$E$72*12))</f>
        <v>-1166.66666666667</v>
      </c>
      <c r="T62" s="53" t="n">
        <f aca="false">-MIN(T60,Inputs!$E$70/MAX(1,Inputs!$E$72*12))</f>
        <v>-1166.66666666667</v>
      </c>
      <c r="U62" s="53" t="n">
        <f aca="false">-MIN(U60,Inputs!$E$70/MAX(1,Inputs!$E$72*12))</f>
        <v>-1166.66666666667</v>
      </c>
      <c r="V62" s="53" t="n">
        <f aca="false">-MIN(V60,Inputs!$E$70/MAX(1,Inputs!$E$72*12))</f>
        <v>-1166.66666666667</v>
      </c>
      <c r="W62" s="53" t="n">
        <f aca="false">-MIN(W60,Inputs!$E$70/MAX(1,Inputs!$E$72*12))</f>
        <v>-1166.66666666667</v>
      </c>
      <c r="X62" s="53" t="n">
        <f aca="false">-MIN(X60,Inputs!$E$70/MAX(1,Inputs!$E$72*12))</f>
        <v>-1166.66666666667</v>
      </c>
      <c r="Y62" s="53" t="n">
        <f aca="false">-MIN(Y60,Inputs!$E$70/MAX(1,Inputs!$E$72*12))</f>
        <v>-1166.66666666667</v>
      </c>
      <c r="Z62" s="53" t="n">
        <f aca="false">-MIN(Z60,Inputs!$E$70/MAX(1,Inputs!$E$72*12))</f>
        <v>-1166.66666666667</v>
      </c>
      <c r="AA62" s="53" t="n">
        <f aca="false">-MIN(AA60,Inputs!$E$70/MAX(1,Inputs!$E$72*12))</f>
        <v>-1166.66666666667</v>
      </c>
      <c r="AB62" s="53" t="n">
        <f aca="false">-MIN(AB60,Inputs!$E$70/MAX(1,Inputs!$E$72*12))</f>
        <v>-1166.66666666667</v>
      </c>
      <c r="AC62" s="53" t="n">
        <f aca="false">-MIN(AC60,Inputs!$E$70/MAX(1,Inputs!$E$72*12))</f>
        <v>-1166.66666666667</v>
      </c>
      <c r="AD62" s="53" t="n">
        <f aca="false">-MIN(AD60,Inputs!$E$70/MAX(1,Inputs!$E$72*12))</f>
        <v>-1166.66666666667</v>
      </c>
      <c r="AE62" s="53" t="n">
        <f aca="false">-MIN(AE60,Inputs!$E$70/MAX(1,Inputs!$E$72*12))</f>
        <v>-1166.66666666667</v>
      </c>
      <c r="AF62" s="53" t="n">
        <f aca="false">-MIN(AF60,Inputs!$E$70/MAX(1,Inputs!$E$72*12))</f>
        <v>-1166.66666666667</v>
      </c>
      <c r="AG62" s="53" t="n">
        <f aca="false">-MIN(AG60,Inputs!$E$70/MAX(1,Inputs!$E$72*12))</f>
        <v>-1166.66666666667</v>
      </c>
      <c r="AH62" s="53" t="n">
        <f aca="false">-MIN(AH60,Inputs!$E$70/MAX(1,Inputs!$E$72*12))</f>
        <v>-1166.66666666667</v>
      </c>
      <c r="AI62" s="53" t="n">
        <f aca="false">-MIN(AI60,Inputs!$E$70/MAX(1,Inputs!$E$72*12))</f>
        <v>-1166.66666666667</v>
      </c>
      <c r="AJ62" s="53" t="n">
        <f aca="false">-MIN(AJ60,Inputs!$E$70/MAX(1,Inputs!$E$72*12))</f>
        <v>-1166.66666666667</v>
      </c>
      <c r="AK62" s="53" t="n">
        <f aca="false">-MIN(AK60,Inputs!$E$70/MAX(1,Inputs!$E$72*12))</f>
        <v>-1166.66666666667</v>
      </c>
      <c r="AL62" s="53" t="n">
        <f aca="false">-MIN(AL60,Inputs!$E$70/MAX(1,Inputs!$E$72*12))</f>
        <v>-1166.66666666667</v>
      </c>
      <c r="AM62" s="53" t="n">
        <f aca="false">-MIN(AM60,Inputs!$E$70/MAX(1,Inputs!$E$72*12))</f>
        <v>-1166.66666666667</v>
      </c>
      <c r="AN62" s="53" t="n">
        <f aca="false">-MIN(AN60,Inputs!$E$70/MAX(1,Inputs!$E$72*12))</f>
        <v>-1166.66666666667</v>
      </c>
      <c r="AO62" s="53" t="n">
        <f aca="false">-MIN(AO60,Inputs!$E$70/MAX(1,Inputs!$E$72*12))</f>
        <v>-1166.66666666667</v>
      </c>
      <c r="AP62" s="53" t="n">
        <f aca="false">-MIN(AP60,Inputs!$E$70/MAX(1,Inputs!$E$72*12))</f>
        <v>-1166.66666666667</v>
      </c>
      <c r="AQ62" s="53" t="n">
        <f aca="false">-MIN(AQ60,Inputs!$E$70/MAX(1,Inputs!$E$72*12))</f>
        <v>-1166.66666666667</v>
      </c>
      <c r="AR62" s="53" t="n">
        <f aca="false">-MIN(AR60,Inputs!$E$70/MAX(1,Inputs!$E$72*12))</f>
        <v>-1166.66666666667</v>
      </c>
      <c r="AS62" s="53" t="n">
        <f aca="false">-MIN(AS60,Inputs!$E$70/MAX(1,Inputs!$E$72*12))</f>
        <v>-1166.66666666667</v>
      </c>
      <c r="AT62" s="53" t="n">
        <f aca="false">-MIN(AT60,Inputs!$E$70/MAX(1,Inputs!$E$72*12))</f>
        <v>-1166.66666666667</v>
      </c>
      <c r="AU62" s="53" t="n">
        <f aca="false">-MIN(AU60,Inputs!$E$70/MAX(1,Inputs!$E$72*12))</f>
        <v>-1166.66666666667</v>
      </c>
      <c r="AV62" s="53" t="n">
        <f aca="false">-MIN(AV60,Inputs!$E$70/MAX(1,Inputs!$E$72*12))</f>
        <v>-1166.66666666667</v>
      </c>
      <c r="AW62" s="53" t="n">
        <f aca="false">-MIN(AW60,Inputs!$E$70/MAX(1,Inputs!$E$72*12))</f>
        <v>-1166.66666666667</v>
      </c>
      <c r="AX62" s="53" t="n">
        <f aca="false">-MIN(AX60,Inputs!$E$70/MAX(1,Inputs!$E$72*12))</f>
        <v>-1166.66666666667</v>
      </c>
      <c r="AY62" s="53" t="n">
        <f aca="false">-MIN(AY60,Inputs!$E$70/MAX(1,Inputs!$E$72*12))</f>
        <v>-1166.66666666667</v>
      </c>
      <c r="AZ62" s="53" t="n">
        <f aca="false">-MIN(AZ60,Inputs!$E$70/MAX(1,Inputs!$E$72*12))</f>
        <v>-1166.66666666667</v>
      </c>
      <c r="BA62" s="53" t="n">
        <f aca="false">-MIN(BA60,Inputs!$E$70/MAX(1,Inputs!$E$72*12))</f>
        <v>-1166.66666666667</v>
      </c>
      <c r="BB62" s="53" t="n">
        <f aca="false">-MIN(BB60,Inputs!$E$70/MAX(1,Inputs!$E$72*12))</f>
        <v>-1166.66666666667</v>
      </c>
      <c r="BC62" s="53" t="n">
        <f aca="false">-MIN(BC60,Inputs!$E$70/MAX(1,Inputs!$E$72*12))</f>
        <v>-1166.66666666667</v>
      </c>
      <c r="BD62" s="53" t="n">
        <f aca="false">-MIN(BD60,Inputs!$E$70/MAX(1,Inputs!$E$72*12))</f>
        <v>-1166.66666666667</v>
      </c>
      <c r="BE62" s="53" t="n">
        <f aca="false">-MIN(BE60,Inputs!$E$70/MAX(1,Inputs!$E$72*12))</f>
        <v>-1166.66666666667</v>
      </c>
      <c r="BF62" s="53" t="n">
        <f aca="false">-MIN(BF60,Inputs!$E$70/MAX(1,Inputs!$E$72*12))</f>
        <v>-1166.66666666667</v>
      </c>
      <c r="BG62" s="53" t="n">
        <f aca="false">-MIN(BG60,Inputs!$E$70/MAX(1,Inputs!$E$72*12))</f>
        <v>-1166.66666666667</v>
      </c>
      <c r="BH62" s="53" t="n">
        <f aca="false">-MIN(BH60,Inputs!$E$70/MAX(1,Inputs!$E$72*12))</f>
        <v>-1166.66666666667</v>
      </c>
      <c r="BI62" s="53" t="n">
        <f aca="false">-MIN(BI60,Inputs!$E$70/MAX(1,Inputs!$E$72*12))</f>
        <v>-1166.66666666667</v>
      </c>
      <c r="BJ62" s="53" t="n">
        <f aca="false">-MIN(BJ60,Inputs!$E$70/MAX(1,Inputs!$E$72*12))</f>
        <v>-1166.66666666667</v>
      </c>
    </row>
    <row r="63" customFormat="false" ht="15" hidden="false" customHeight="false" outlineLevel="0" collapsed="false">
      <c r="A63" s="4" t="s">
        <v>399</v>
      </c>
      <c r="C63" s="60" t="n">
        <f aca="false">C60+C61+C62</f>
        <v>70000</v>
      </c>
      <c r="D63" s="60" t="n">
        <f aca="false">D60+D61+D62</f>
        <v>68833.3333333333</v>
      </c>
      <c r="E63" s="60" t="n">
        <f aca="false">E60+E61+E62</f>
        <v>67666.6666666667</v>
      </c>
      <c r="F63" s="60" t="n">
        <f aca="false">F60+F61+F62</f>
        <v>66500</v>
      </c>
      <c r="G63" s="60" t="n">
        <f aca="false">G60+G61+G62</f>
        <v>65333.3333333333</v>
      </c>
      <c r="H63" s="60" t="n">
        <f aca="false">H60+H61+H62</f>
        <v>64166.6666666667</v>
      </c>
      <c r="I63" s="60" t="n">
        <f aca="false">I60+I61+I62</f>
        <v>63000</v>
      </c>
      <c r="J63" s="60" t="n">
        <f aca="false">J60+J61+J62</f>
        <v>61833.3333333333</v>
      </c>
      <c r="K63" s="60" t="n">
        <f aca="false">K60+K61+K62</f>
        <v>60666.6666666667</v>
      </c>
      <c r="L63" s="60" t="n">
        <f aca="false">L60+L61+L62</f>
        <v>59500</v>
      </c>
      <c r="M63" s="60" t="n">
        <f aca="false">M60+M61+M62</f>
        <v>58333.3333333333</v>
      </c>
      <c r="N63" s="60" t="n">
        <f aca="false">N60+N61+N62</f>
        <v>57166.6666666667</v>
      </c>
      <c r="O63" s="60" t="n">
        <f aca="false">O60+O61+O62</f>
        <v>56000</v>
      </c>
      <c r="P63" s="60" t="n">
        <f aca="false">P60+P61+P62</f>
        <v>54833.3333333333</v>
      </c>
      <c r="Q63" s="60" t="n">
        <f aca="false">Q60+Q61+Q62</f>
        <v>53666.6666666667</v>
      </c>
      <c r="R63" s="60" t="n">
        <f aca="false">R60+R61+R62</f>
        <v>52500</v>
      </c>
      <c r="S63" s="60" t="n">
        <f aca="false">S60+S61+S62</f>
        <v>51333.3333333334</v>
      </c>
      <c r="T63" s="60" t="n">
        <f aca="false">T60+T61+T62</f>
        <v>50166.6666666667</v>
      </c>
      <c r="U63" s="60" t="n">
        <f aca="false">U60+U61+U62</f>
        <v>49000</v>
      </c>
      <c r="V63" s="60" t="n">
        <f aca="false">V60+V61+V62</f>
        <v>47833.3333333334</v>
      </c>
      <c r="W63" s="60" t="n">
        <f aca="false">W60+W61+W62</f>
        <v>46666.6666666667</v>
      </c>
      <c r="X63" s="60" t="n">
        <f aca="false">X60+X61+X62</f>
        <v>45500</v>
      </c>
      <c r="Y63" s="60" t="n">
        <f aca="false">Y60+Y61+Y62</f>
        <v>44333.3333333334</v>
      </c>
      <c r="Z63" s="60" t="n">
        <f aca="false">Z60+Z61+Z62</f>
        <v>43166.6666666667</v>
      </c>
      <c r="AA63" s="60" t="n">
        <f aca="false">AA60+AA61+AA62</f>
        <v>42000</v>
      </c>
      <c r="AB63" s="60" t="n">
        <f aca="false">AB60+AB61+AB62</f>
        <v>40833.3333333334</v>
      </c>
      <c r="AC63" s="60" t="n">
        <f aca="false">AC60+AC61+AC62</f>
        <v>39666.6666666667</v>
      </c>
      <c r="AD63" s="60" t="n">
        <f aca="false">AD60+AD61+AD62</f>
        <v>38500</v>
      </c>
      <c r="AE63" s="60" t="n">
        <f aca="false">AE60+AE61+AE62</f>
        <v>37333.3333333334</v>
      </c>
      <c r="AF63" s="60" t="n">
        <f aca="false">AF60+AF61+AF62</f>
        <v>36166.6666666667</v>
      </c>
      <c r="AG63" s="60" t="n">
        <f aca="false">AG60+AG61+AG62</f>
        <v>35000.0000000001</v>
      </c>
      <c r="AH63" s="60" t="n">
        <f aca="false">AH60+AH61+AH62</f>
        <v>33833.3333333334</v>
      </c>
      <c r="AI63" s="60" t="n">
        <f aca="false">AI60+AI61+AI62</f>
        <v>32666.6666666667</v>
      </c>
      <c r="AJ63" s="60" t="n">
        <f aca="false">AJ60+AJ61+AJ62</f>
        <v>31500.0000000001</v>
      </c>
      <c r="AK63" s="60" t="n">
        <f aca="false">AK60+AK61+AK62</f>
        <v>30333.3333333334</v>
      </c>
      <c r="AL63" s="60" t="n">
        <f aca="false">AL60+AL61+AL62</f>
        <v>29166.6666666667</v>
      </c>
      <c r="AM63" s="60" t="n">
        <f aca="false">AM60+AM61+AM62</f>
        <v>28000</v>
      </c>
      <c r="AN63" s="60" t="n">
        <f aca="false">AN60+AN61+AN62</f>
        <v>26833.3333333334</v>
      </c>
      <c r="AO63" s="60" t="n">
        <f aca="false">AO60+AO61+AO62</f>
        <v>25666.6666666667</v>
      </c>
      <c r="AP63" s="60" t="n">
        <f aca="false">AP60+AP61+AP62</f>
        <v>24500</v>
      </c>
      <c r="AQ63" s="60" t="n">
        <f aca="false">AQ60+AQ61+AQ62</f>
        <v>23333.3333333334</v>
      </c>
      <c r="AR63" s="60" t="n">
        <f aca="false">AR60+AR61+AR62</f>
        <v>22166.6666666667</v>
      </c>
      <c r="AS63" s="60" t="n">
        <f aca="false">AS60+AS61+AS62</f>
        <v>21000</v>
      </c>
      <c r="AT63" s="60" t="n">
        <f aca="false">AT60+AT61+AT62</f>
        <v>19833.3333333334</v>
      </c>
      <c r="AU63" s="60" t="n">
        <f aca="false">AU60+AU61+AU62</f>
        <v>18666.6666666667</v>
      </c>
      <c r="AV63" s="60" t="n">
        <f aca="false">AV60+AV61+AV62</f>
        <v>17500</v>
      </c>
      <c r="AW63" s="60" t="n">
        <f aca="false">AW60+AW61+AW62</f>
        <v>16333.3333333334</v>
      </c>
      <c r="AX63" s="60" t="n">
        <f aca="false">AX60+AX61+AX62</f>
        <v>15166.6666666667</v>
      </c>
      <c r="AY63" s="60" t="n">
        <f aca="false">AY60+AY61+AY62</f>
        <v>14000</v>
      </c>
      <c r="AZ63" s="60" t="n">
        <f aca="false">AZ60+AZ61+AZ62</f>
        <v>12833.3333333334</v>
      </c>
      <c r="BA63" s="60" t="n">
        <f aca="false">BA60+BA61+BA62</f>
        <v>11666.6666666667</v>
      </c>
      <c r="BB63" s="60" t="n">
        <f aca="false">BB60+BB61+BB62</f>
        <v>10500</v>
      </c>
      <c r="BC63" s="60" t="n">
        <f aca="false">BC60+BC61+BC62</f>
        <v>9333.33333333337</v>
      </c>
      <c r="BD63" s="60" t="n">
        <f aca="false">BD60+BD61+BD62</f>
        <v>8166.66666666671</v>
      </c>
      <c r="BE63" s="60" t="n">
        <f aca="false">BE60+BE61+BE62</f>
        <v>7000.00000000004</v>
      </c>
      <c r="BF63" s="60" t="n">
        <f aca="false">BF60+BF61+BF62</f>
        <v>5833.33333333337</v>
      </c>
      <c r="BG63" s="60" t="n">
        <f aca="false">BG60+BG61+BG62</f>
        <v>4666.66666666671</v>
      </c>
      <c r="BH63" s="60" t="n">
        <f aca="false">BH60+BH61+BH62</f>
        <v>3500.00000000004</v>
      </c>
      <c r="BI63" s="60" t="n">
        <f aca="false">BI60+BI61+BI62</f>
        <v>2333.33333333337</v>
      </c>
      <c r="BJ63" s="60" t="n">
        <f aca="false">BJ60+BJ61+BJ62</f>
        <v>1166.66666666671</v>
      </c>
    </row>
    <row r="65" customFormat="false" ht="15.75" hidden="false" customHeight="true" outlineLevel="0" collapsed="false">
      <c r="A65" s="7" t="s">
        <v>288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customFormat="false" ht="15" hidden="false" customHeight="false" outlineLevel="0" collapsed="false">
      <c r="A66" s="6" t="s">
        <v>87</v>
      </c>
      <c r="C66" s="53" t="n">
        <f aca="false">C21*Inputs!$E$75/30</f>
        <v>2661.44</v>
      </c>
      <c r="D66" s="53" t="n">
        <f aca="false">D21*Inputs!$E$75/30</f>
        <v>2661.44</v>
      </c>
      <c r="E66" s="53" t="n">
        <f aca="false">E21*Inputs!$E$75/30</f>
        <v>2661.44</v>
      </c>
      <c r="F66" s="53" t="n">
        <f aca="false">F21*Inputs!$E$75/30</f>
        <v>2661.44</v>
      </c>
      <c r="G66" s="53" t="n">
        <f aca="false">G21*Inputs!$E$75/30</f>
        <v>2661.44</v>
      </c>
      <c r="H66" s="53" t="n">
        <f aca="false">H21*Inputs!$E$75/30</f>
        <v>2661.44</v>
      </c>
      <c r="I66" s="53" t="n">
        <f aca="false">I21*Inputs!$E$75/30</f>
        <v>2661.44</v>
      </c>
      <c r="J66" s="53" t="n">
        <f aca="false">J21*Inputs!$E$75/30</f>
        <v>2661.44</v>
      </c>
      <c r="K66" s="53" t="n">
        <f aca="false">K21*Inputs!$E$75/30</f>
        <v>2661.44</v>
      </c>
      <c r="L66" s="53" t="n">
        <f aca="false">L21*Inputs!$E$75/30</f>
        <v>2661.44</v>
      </c>
      <c r="M66" s="53" t="n">
        <f aca="false">M21*Inputs!$E$75/30</f>
        <v>2661.44</v>
      </c>
      <c r="N66" s="53" t="n">
        <f aca="false">N21*Inputs!$E$75/30</f>
        <v>2661.44</v>
      </c>
      <c r="O66" s="53" t="n">
        <f aca="false">O21*Inputs!$E$75/30</f>
        <v>3326.6528</v>
      </c>
      <c r="P66" s="53" t="n">
        <f aca="false">P21*Inputs!$E$75/30</f>
        <v>3326.6528</v>
      </c>
      <c r="Q66" s="53" t="n">
        <f aca="false">Q21*Inputs!$E$75/30</f>
        <v>3326.6528</v>
      </c>
      <c r="R66" s="53" t="n">
        <f aca="false">R21*Inputs!$E$75/30</f>
        <v>3326.6528</v>
      </c>
      <c r="S66" s="53" t="n">
        <f aca="false">S21*Inputs!$E$75/30</f>
        <v>3326.6528</v>
      </c>
      <c r="T66" s="53" t="n">
        <f aca="false">T21*Inputs!$E$75/30</f>
        <v>3326.6528</v>
      </c>
      <c r="U66" s="53" t="n">
        <f aca="false">U21*Inputs!$E$75/30</f>
        <v>3326.6528</v>
      </c>
      <c r="V66" s="53" t="n">
        <f aca="false">V21*Inputs!$E$75/30</f>
        <v>3326.6528</v>
      </c>
      <c r="W66" s="53" t="n">
        <f aca="false">W21*Inputs!$E$75/30</f>
        <v>3326.6528</v>
      </c>
      <c r="X66" s="53" t="n">
        <f aca="false">X21*Inputs!$E$75/30</f>
        <v>3326.6528</v>
      </c>
      <c r="Y66" s="53" t="n">
        <f aca="false">Y21*Inputs!$E$75/30</f>
        <v>3326.6528</v>
      </c>
      <c r="Z66" s="53" t="n">
        <f aca="false">Z21*Inputs!$E$75/30</f>
        <v>3326.6528</v>
      </c>
      <c r="AA66" s="53" t="n">
        <f aca="false">AA21*Inputs!$E$75/30</f>
        <v>4029.383072</v>
      </c>
      <c r="AB66" s="53" t="n">
        <f aca="false">AB21*Inputs!$E$75/30</f>
        <v>4029.383072</v>
      </c>
      <c r="AC66" s="53" t="n">
        <f aca="false">AC21*Inputs!$E$75/30</f>
        <v>4029.383072</v>
      </c>
      <c r="AD66" s="53" t="n">
        <f aca="false">AD21*Inputs!$E$75/30</f>
        <v>4029.383072</v>
      </c>
      <c r="AE66" s="53" t="n">
        <f aca="false">AE21*Inputs!$E$75/30</f>
        <v>4029.383072</v>
      </c>
      <c r="AF66" s="53" t="n">
        <f aca="false">AF21*Inputs!$E$75/30</f>
        <v>4029.383072</v>
      </c>
      <c r="AG66" s="53" t="n">
        <f aca="false">AG21*Inputs!$E$75/30</f>
        <v>4029.383072</v>
      </c>
      <c r="AH66" s="53" t="n">
        <f aca="false">AH21*Inputs!$E$75/30</f>
        <v>4029.383072</v>
      </c>
      <c r="AI66" s="53" t="n">
        <f aca="false">AI21*Inputs!$E$75/30</f>
        <v>4029.383072</v>
      </c>
      <c r="AJ66" s="53" t="n">
        <f aca="false">AJ21*Inputs!$E$75/30</f>
        <v>4029.383072</v>
      </c>
      <c r="AK66" s="53" t="n">
        <f aca="false">AK21*Inputs!$E$75/30</f>
        <v>4029.383072</v>
      </c>
      <c r="AL66" s="53" t="n">
        <f aca="false">AL21*Inputs!$E$75/30</f>
        <v>4029.383072</v>
      </c>
      <c r="AM66" s="53" t="n">
        <f aca="false">AM21*Inputs!$E$75/30</f>
        <v>4771.2831728</v>
      </c>
      <c r="AN66" s="53" t="n">
        <f aca="false">AN21*Inputs!$E$75/30</f>
        <v>4771.2831728</v>
      </c>
      <c r="AO66" s="53" t="n">
        <f aca="false">AO21*Inputs!$E$75/30</f>
        <v>4771.2831728</v>
      </c>
      <c r="AP66" s="53" t="n">
        <f aca="false">AP21*Inputs!$E$75/30</f>
        <v>4771.2831728</v>
      </c>
      <c r="AQ66" s="53" t="n">
        <f aca="false">AQ21*Inputs!$E$75/30</f>
        <v>4771.2831728</v>
      </c>
      <c r="AR66" s="53" t="n">
        <f aca="false">AR21*Inputs!$E$75/30</f>
        <v>4771.2831728</v>
      </c>
      <c r="AS66" s="53" t="n">
        <f aca="false">AS21*Inputs!$E$75/30</f>
        <v>4771.2831728</v>
      </c>
      <c r="AT66" s="53" t="n">
        <f aca="false">AT21*Inputs!$E$75/30</f>
        <v>4771.2831728</v>
      </c>
      <c r="AU66" s="53" t="n">
        <f aca="false">AU21*Inputs!$E$75/30</f>
        <v>4771.2831728</v>
      </c>
      <c r="AV66" s="53" t="n">
        <f aca="false">AV21*Inputs!$E$75/30</f>
        <v>4771.2831728</v>
      </c>
      <c r="AW66" s="53" t="n">
        <f aca="false">AW21*Inputs!$E$75/30</f>
        <v>4771.2831728</v>
      </c>
      <c r="AX66" s="53" t="n">
        <f aca="false">AX21*Inputs!$E$75/30</f>
        <v>4771.2831728</v>
      </c>
      <c r="AY66" s="53" t="n">
        <f aca="false">AY21*Inputs!$E$75/30</f>
        <v>5234.2462514336</v>
      </c>
      <c r="AZ66" s="53" t="n">
        <f aca="false">AZ21*Inputs!$E$75/30</f>
        <v>5234.2462514336</v>
      </c>
      <c r="BA66" s="53" t="n">
        <f aca="false">BA21*Inputs!$E$75/30</f>
        <v>5234.2462514336</v>
      </c>
      <c r="BB66" s="53" t="n">
        <f aca="false">BB21*Inputs!$E$75/30</f>
        <v>5234.2462514336</v>
      </c>
      <c r="BC66" s="53" t="n">
        <f aca="false">BC21*Inputs!$E$75/30</f>
        <v>5234.2462514336</v>
      </c>
      <c r="BD66" s="53" t="n">
        <f aca="false">BD21*Inputs!$E$75/30</f>
        <v>5234.2462514336</v>
      </c>
      <c r="BE66" s="53" t="n">
        <f aca="false">BE21*Inputs!$E$75/30</f>
        <v>5234.2462514336</v>
      </c>
      <c r="BF66" s="53" t="n">
        <f aca="false">BF21*Inputs!$E$75/30</f>
        <v>5234.2462514336</v>
      </c>
      <c r="BG66" s="53" t="n">
        <f aca="false">BG21*Inputs!$E$75/30</f>
        <v>5234.2462514336</v>
      </c>
      <c r="BH66" s="53" t="n">
        <f aca="false">BH21*Inputs!$E$75/30</f>
        <v>5234.2462514336</v>
      </c>
      <c r="BI66" s="53" t="n">
        <f aca="false">BI21*Inputs!$E$75/30</f>
        <v>5234.2462514336</v>
      </c>
      <c r="BJ66" s="53" t="n">
        <f aca="false">BJ21*Inputs!$E$75/30</f>
        <v>5234.2462514336</v>
      </c>
    </row>
    <row r="67" customFormat="false" ht="15" hidden="false" customHeight="false" outlineLevel="0" collapsed="false">
      <c r="A67" s="6" t="s">
        <v>88</v>
      </c>
      <c r="C67" s="53" t="n">
        <f aca="false">-C28*Inputs!$E$76/30</f>
        <v>11253.9456</v>
      </c>
      <c r="D67" s="53" t="n">
        <f aca="false">-D28*Inputs!$E$76/30</f>
        <v>11253.9456</v>
      </c>
      <c r="E67" s="53" t="n">
        <f aca="false">-E28*Inputs!$E$76/30</f>
        <v>11253.9456</v>
      </c>
      <c r="F67" s="53" t="n">
        <f aca="false">-F28*Inputs!$E$76/30</f>
        <v>11253.9456</v>
      </c>
      <c r="G67" s="53" t="n">
        <f aca="false">-G28*Inputs!$E$76/30</f>
        <v>11253.9456</v>
      </c>
      <c r="H67" s="53" t="n">
        <f aca="false">-H28*Inputs!$E$76/30</f>
        <v>11253.9456</v>
      </c>
      <c r="I67" s="53" t="n">
        <f aca="false">-I28*Inputs!$E$76/30</f>
        <v>11253.9456</v>
      </c>
      <c r="J67" s="53" t="n">
        <f aca="false">-J28*Inputs!$E$76/30</f>
        <v>11253.9456</v>
      </c>
      <c r="K67" s="53" t="n">
        <f aca="false">-K28*Inputs!$E$76/30</f>
        <v>11253.9456</v>
      </c>
      <c r="L67" s="53" t="n">
        <f aca="false">-L28*Inputs!$E$76/30</f>
        <v>11253.9456</v>
      </c>
      <c r="M67" s="53" t="n">
        <f aca="false">-M28*Inputs!$E$76/30</f>
        <v>11253.9456</v>
      </c>
      <c r="N67" s="53" t="n">
        <f aca="false">-N28*Inputs!$E$76/30</f>
        <v>11253.9456</v>
      </c>
      <c r="O67" s="53" t="n">
        <f aca="false">-O28*Inputs!$E$76/30</f>
        <v>14167.467072</v>
      </c>
      <c r="P67" s="53" t="n">
        <f aca="false">-P28*Inputs!$E$76/30</f>
        <v>14167.467072</v>
      </c>
      <c r="Q67" s="53" t="n">
        <f aca="false">-Q28*Inputs!$E$76/30</f>
        <v>14167.467072</v>
      </c>
      <c r="R67" s="53" t="n">
        <f aca="false">-R28*Inputs!$E$76/30</f>
        <v>14167.467072</v>
      </c>
      <c r="S67" s="53" t="n">
        <f aca="false">-S28*Inputs!$E$76/30</f>
        <v>14167.467072</v>
      </c>
      <c r="T67" s="53" t="n">
        <f aca="false">-T28*Inputs!$E$76/30</f>
        <v>14167.467072</v>
      </c>
      <c r="U67" s="53" t="n">
        <f aca="false">-U28*Inputs!$E$76/30</f>
        <v>14167.467072</v>
      </c>
      <c r="V67" s="53" t="n">
        <f aca="false">-V28*Inputs!$E$76/30</f>
        <v>14167.467072</v>
      </c>
      <c r="W67" s="53" t="n">
        <f aca="false">-W28*Inputs!$E$76/30</f>
        <v>14167.467072</v>
      </c>
      <c r="X67" s="53" t="n">
        <f aca="false">-X28*Inputs!$E$76/30</f>
        <v>14167.467072</v>
      </c>
      <c r="Y67" s="53" t="n">
        <f aca="false">-Y28*Inputs!$E$76/30</f>
        <v>14167.467072</v>
      </c>
      <c r="Z67" s="53" t="n">
        <f aca="false">-Z28*Inputs!$E$76/30</f>
        <v>14167.467072</v>
      </c>
      <c r="AA67" s="53" t="n">
        <f aca="false">-AA28*Inputs!$E$76/30</f>
        <v>17245.67128128</v>
      </c>
      <c r="AB67" s="53" t="n">
        <f aca="false">-AB28*Inputs!$E$76/30</f>
        <v>17245.67128128</v>
      </c>
      <c r="AC67" s="53" t="n">
        <f aca="false">-AC28*Inputs!$E$76/30</f>
        <v>17245.67128128</v>
      </c>
      <c r="AD67" s="53" t="n">
        <f aca="false">-AD28*Inputs!$E$76/30</f>
        <v>17245.67128128</v>
      </c>
      <c r="AE67" s="53" t="n">
        <f aca="false">-AE28*Inputs!$E$76/30</f>
        <v>17245.67128128</v>
      </c>
      <c r="AF67" s="53" t="n">
        <f aca="false">-AF28*Inputs!$E$76/30</f>
        <v>17245.67128128</v>
      </c>
      <c r="AG67" s="53" t="n">
        <f aca="false">-AG28*Inputs!$E$76/30</f>
        <v>17245.67128128</v>
      </c>
      <c r="AH67" s="53" t="n">
        <f aca="false">-AH28*Inputs!$E$76/30</f>
        <v>17245.67128128</v>
      </c>
      <c r="AI67" s="53" t="n">
        <f aca="false">-AI28*Inputs!$E$76/30</f>
        <v>17245.67128128</v>
      </c>
      <c r="AJ67" s="53" t="n">
        <f aca="false">-AJ28*Inputs!$E$76/30</f>
        <v>17245.67128128</v>
      </c>
      <c r="AK67" s="53" t="n">
        <f aca="false">-AK28*Inputs!$E$76/30</f>
        <v>17245.67128128</v>
      </c>
      <c r="AL67" s="53" t="n">
        <f aca="false">-AL28*Inputs!$E$76/30</f>
        <v>17245.67128128</v>
      </c>
      <c r="AM67" s="53" t="n">
        <f aca="false">-AM28*Inputs!$E$76/30</f>
        <v>20495.817022752</v>
      </c>
      <c r="AN67" s="53" t="n">
        <f aca="false">-AN28*Inputs!$E$76/30</f>
        <v>20495.817022752</v>
      </c>
      <c r="AO67" s="53" t="n">
        <f aca="false">-AO28*Inputs!$E$76/30</f>
        <v>20495.817022752</v>
      </c>
      <c r="AP67" s="53" t="n">
        <f aca="false">-AP28*Inputs!$E$76/30</f>
        <v>20495.817022752</v>
      </c>
      <c r="AQ67" s="53" t="n">
        <f aca="false">-AQ28*Inputs!$E$76/30</f>
        <v>20495.817022752</v>
      </c>
      <c r="AR67" s="53" t="n">
        <f aca="false">-AR28*Inputs!$E$76/30</f>
        <v>20495.817022752</v>
      </c>
      <c r="AS67" s="53" t="n">
        <f aca="false">-AS28*Inputs!$E$76/30</f>
        <v>20495.817022752</v>
      </c>
      <c r="AT67" s="53" t="n">
        <f aca="false">-AT28*Inputs!$E$76/30</f>
        <v>20495.817022752</v>
      </c>
      <c r="AU67" s="53" t="n">
        <f aca="false">-AU28*Inputs!$E$76/30</f>
        <v>20495.817022752</v>
      </c>
      <c r="AV67" s="53" t="n">
        <f aca="false">-AV28*Inputs!$E$76/30</f>
        <v>20495.817022752</v>
      </c>
      <c r="AW67" s="53" t="n">
        <f aca="false">-AW28*Inputs!$E$76/30</f>
        <v>20495.817022752</v>
      </c>
      <c r="AX67" s="53" t="n">
        <f aca="false">-AX28*Inputs!$E$76/30</f>
        <v>20495.817022752</v>
      </c>
      <c r="AY67" s="53" t="n">
        <f aca="false">-AY28*Inputs!$E$76/30</f>
        <v>22518.0709689969</v>
      </c>
      <c r="AZ67" s="53" t="n">
        <f aca="false">-AZ28*Inputs!$E$76/30</f>
        <v>22518.0709689969</v>
      </c>
      <c r="BA67" s="53" t="n">
        <f aca="false">-BA28*Inputs!$E$76/30</f>
        <v>22518.0709689969</v>
      </c>
      <c r="BB67" s="53" t="n">
        <f aca="false">-BB28*Inputs!$E$76/30</f>
        <v>22518.0709689969</v>
      </c>
      <c r="BC67" s="53" t="n">
        <f aca="false">-BC28*Inputs!$E$76/30</f>
        <v>22518.0709689969</v>
      </c>
      <c r="BD67" s="53" t="n">
        <f aca="false">-BD28*Inputs!$E$76/30</f>
        <v>22518.0709689969</v>
      </c>
      <c r="BE67" s="53" t="n">
        <f aca="false">-BE28*Inputs!$E$76/30</f>
        <v>22518.0709689969</v>
      </c>
      <c r="BF67" s="53" t="n">
        <f aca="false">-BF28*Inputs!$E$76/30</f>
        <v>22518.0709689969</v>
      </c>
      <c r="BG67" s="53" t="n">
        <f aca="false">-BG28*Inputs!$E$76/30</f>
        <v>22518.0709689969</v>
      </c>
      <c r="BH67" s="53" t="n">
        <f aca="false">-BH28*Inputs!$E$76/30</f>
        <v>22518.0709689969</v>
      </c>
      <c r="BI67" s="53" t="n">
        <f aca="false">-BI28*Inputs!$E$76/30</f>
        <v>22518.0709689969</v>
      </c>
      <c r="BJ67" s="53" t="n">
        <f aca="false">-BJ28*Inputs!$E$76/30</f>
        <v>22518.0709689969</v>
      </c>
    </row>
    <row r="68" customFormat="false" ht="15" hidden="false" customHeight="false" outlineLevel="0" collapsed="false">
      <c r="A68" s="6" t="s">
        <v>91</v>
      </c>
      <c r="C68" s="53" t="n">
        <f aca="false">-C28*Inputs!$E$77/30</f>
        <v>15005.2608</v>
      </c>
      <c r="D68" s="53" t="n">
        <f aca="false">-D28*Inputs!$E$77/30</f>
        <v>15005.2608</v>
      </c>
      <c r="E68" s="53" t="n">
        <f aca="false">-E28*Inputs!$E$77/30</f>
        <v>15005.2608</v>
      </c>
      <c r="F68" s="53" t="n">
        <f aca="false">-F28*Inputs!$E$77/30</f>
        <v>15005.2608</v>
      </c>
      <c r="G68" s="53" t="n">
        <f aca="false">-G28*Inputs!$E$77/30</f>
        <v>15005.2608</v>
      </c>
      <c r="H68" s="53" t="n">
        <f aca="false">-H28*Inputs!$E$77/30</f>
        <v>15005.2608</v>
      </c>
      <c r="I68" s="53" t="n">
        <f aca="false">-I28*Inputs!$E$77/30</f>
        <v>15005.2608</v>
      </c>
      <c r="J68" s="53" t="n">
        <f aca="false">-J28*Inputs!$E$77/30</f>
        <v>15005.2608</v>
      </c>
      <c r="K68" s="53" t="n">
        <f aca="false">-K28*Inputs!$E$77/30</f>
        <v>15005.2608</v>
      </c>
      <c r="L68" s="53" t="n">
        <f aca="false">-L28*Inputs!$E$77/30</f>
        <v>15005.2608</v>
      </c>
      <c r="M68" s="53" t="n">
        <f aca="false">-M28*Inputs!$E$77/30</f>
        <v>15005.2608</v>
      </c>
      <c r="N68" s="53" t="n">
        <f aca="false">-N28*Inputs!$E$77/30</f>
        <v>15005.2608</v>
      </c>
      <c r="O68" s="53" t="n">
        <f aca="false">-O28*Inputs!$E$77/30</f>
        <v>18889.956096</v>
      </c>
      <c r="P68" s="53" t="n">
        <f aca="false">-P28*Inputs!$E$77/30</f>
        <v>18889.956096</v>
      </c>
      <c r="Q68" s="53" t="n">
        <f aca="false">-Q28*Inputs!$E$77/30</f>
        <v>18889.956096</v>
      </c>
      <c r="R68" s="53" t="n">
        <f aca="false">-R28*Inputs!$E$77/30</f>
        <v>18889.956096</v>
      </c>
      <c r="S68" s="53" t="n">
        <f aca="false">-S28*Inputs!$E$77/30</f>
        <v>18889.956096</v>
      </c>
      <c r="T68" s="53" t="n">
        <f aca="false">-T28*Inputs!$E$77/30</f>
        <v>18889.956096</v>
      </c>
      <c r="U68" s="53" t="n">
        <f aca="false">-U28*Inputs!$E$77/30</f>
        <v>18889.956096</v>
      </c>
      <c r="V68" s="53" t="n">
        <f aca="false">-V28*Inputs!$E$77/30</f>
        <v>18889.956096</v>
      </c>
      <c r="W68" s="53" t="n">
        <f aca="false">-W28*Inputs!$E$77/30</f>
        <v>18889.956096</v>
      </c>
      <c r="X68" s="53" t="n">
        <f aca="false">-X28*Inputs!$E$77/30</f>
        <v>18889.956096</v>
      </c>
      <c r="Y68" s="53" t="n">
        <f aca="false">-Y28*Inputs!$E$77/30</f>
        <v>18889.956096</v>
      </c>
      <c r="Z68" s="53" t="n">
        <f aca="false">-Z28*Inputs!$E$77/30</f>
        <v>18889.956096</v>
      </c>
      <c r="AA68" s="53" t="n">
        <f aca="false">-AA28*Inputs!$E$77/30</f>
        <v>22994.22837504</v>
      </c>
      <c r="AB68" s="53" t="n">
        <f aca="false">-AB28*Inputs!$E$77/30</f>
        <v>22994.22837504</v>
      </c>
      <c r="AC68" s="53" t="n">
        <f aca="false">-AC28*Inputs!$E$77/30</f>
        <v>22994.22837504</v>
      </c>
      <c r="AD68" s="53" t="n">
        <f aca="false">-AD28*Inputs!$E$77/30</f>
        <v>22994.22837504</v>
      </c>
      <c r="AE68" s="53" t="n">
        <f aca="false">-AE28*Inputs!$E$77/30</f>
        <v>22994.22837504</v>
      </c>
      <c r="AF68" s="53" t="n">
        <f aca="false">-AF28*Inputs!$E$77/30</f>
        <v>22994.22837504</v>
      </c>
      <c r="AG68" s="53" t="n">
        <f aca="false">-AG28*Inputs!$E$77/30</f>
        <v>22994.22837504</v>
      </c>
      <c r="AH68" s="53" t="n">
        <f aca="false">-AH28*Inputs!$E$77/30</f>
        <v>22994.22837504</v>
      </c>
      <c r="AI68" s="53" t="n">
        <f aca="false">-AI28*Inputs!$E$77/30</f>
        <v>22994.22837504</v>
      </c>
      <c r="AJ68" s="53" t="n">
        <f aca="false">-AJ28*Inputs!$E$77/30</f>
        <v>22994.22837504</v>
      </c>
      <c r="AK68" s="53" t="n">
        <f aca="false">-AK28*Inputs!$E$77/30</f>
        <v>22994.22837504</v>
      </c>
      <c r="AL68" s="53" t="n">
        <f aca="false">-AL28*Inputs!$E$77/30</f>
        <v>22994.22837504</v>
      </c>
      <c r="AM68" s="53" t="n">
        <f aca="false">-AM28*Inputs!$E$77/30</f>
        <v>27327.756030336</v>
      </c>
      <c r="AN68" s="53" t="n">
        <f aca="false">-AN28*Inputs!$E$77/30</f>
        <v>27327.756030336</v>
      </c>
      <c r="AO68" s="53" t="n">
        <f aca="false">-AO28*Inputs!$E$77/30</f>
        <v>27327.756030336</v>
      </c>
      <c r="AP68" s="53" t="n">
        <f aca="false">-AP28*Inputs!$E$77/30</f>
        <v>27327.756030336</v>
      </c>
      <c r="AQ68" s="53" t="n">
        <f aca="false">-AQ28*Inputs!$E$77/30</f>
        <v>27327.756030336</v>
      </c>
      <c r="AR68" s="53" t="n">
        <f aca="false">-AR28*Inputs!$E$77/30</f>
        <v>27327.756030336</v>
      </c>
      <c r="AS68" s="53" t="n">
        <f aca="false">-AS28*Inputs!$E$77/30</f>
        <v>27327.756030336</v>
      </c>
      <c r="AT68" s="53" t="n">
        <f aca="false">-AT28*Inputs!$E$77/30</f>
        <v>27327.756030336</v>
      </c>
      <c r="AU68" s="53" t="n">
        <f aca="false">-AU28*Inputs!$E$77/30</f>
        <v>27327.756030336</v>
      </c>
      <c r="AV68" s="53" t="n">
        <f aca="false">-AV28*Inputs!$E$77/30</f>
        <v>27327.756030336</v>
      </c>
      <c r="AW68" s="53" t="n">
        <f aca="false">-AW28*Inputs!$E$77/30</f>
        <v>27327.756030336</v>
      </c>
      <c r="AX68" s="53" t="n">
        <f aca="false">-AX28*Inputs!$E$77/30</f>
        <v>27327.756030336</v>
      </c>
      <c r="AY68" s="53" t="n">
        <f aca="false">-AY28*Inputs!$E$77/30</f>
        <v>30024.0946253292</v>
      </c>
      <c r="AZ68" s="53" t="n">
        <f aca="false">-AZ28*Inputs!$E$77/30</f>
        <v>30024.0946253292</v>
      </c>
      <c r="BA68" s="53" t="n">
        <f aca="false">-BA28*Inputs!$E$77/30</f>
        <v>30024.0946253292</v>
      </c>
      <c r="BB68" s="53" t="n">
        <f aca="false">-BB28*Inputs!$E$77/30</f>
        <v>30024.0946253292</v>
      </c>
      <c r="BC68" s="53" t="n">
        <f aca="false">-BC28*Inputs!$E$77/30</f>
        <v>30024.0946253292</v>
      </c>
      <c r="BD68" s="53" t="n">
        <f aca="false">-BD28*Inputs!$E$77/30</f>
        <v>30024.0946253292</v>
      </c>
      <c r="BE68" s="53" t="n">
        <f aca="false">-BE28*Inputs!$E$77/30</f>
        <v>30024.0946253292</v>
      </c>
      <c r="BF68" s="53" t="n">
        <f aca="false">-BF28*Inputs!$E$77/30</f>
        <v>30024.0946253292</v>
      </c>
      <c r="BG68" s="53" t="n">
        <f aca="false">-BG28*Inputs!$E$77/30</f>
        <v>30024.0946253292</v>
      </c>
      <c r="BH68" s="53" t="n">
        <f aca="false">-BH28*Inputs!$E$77/30</f>
        <v>30024.0946253292</v>
      </c>
      <c r="BI68" s="53" t="n">
        <f aca="false">-BI28*Inputs!$E$77/30</f>
        <v>30024.0946253292</v>
      </c>
      <c r="BJ68" s="53" t="n">
        <f aca="false">-BJ28*Inputs!$E$77/30</f>
        <v>30024.0946253292</v>
      </c>
    </row>
    <row r="69" customFormat="false" ht="15" hidden="false" customHeight="false" outlineLevel="0" collapsed="false">
      <c r="A69" s="6" t="s">
        <v>313</v>
      </c>
      <c r="C69" s="53" t="n">
        <f aca="false">-C66</f>
        <v>-2661.44</v>
      </c>
      <c r="D69" s="53" t="n">
        <f aca="false">C66-D66</f>
        <v>0</v>
      </c>
      <c r="E69" s="53" t="n">
        <f aca="false">D66-E66</f>
        <v>0</v>
      </c>
      <c r="F69" s="53" t="n">
        <f aca="false">E66-F66</f>
        <v>0</v>
      </c>
      <c r="G69" s="53" t="n">
        <f aca="false">F66-G66</f>
        <v>0</v>
      </c>
      <c r="H69" s="53" t="n">
        <f aca="false">G66-H66</f>
        <v>0</v>
      </c>
      <c r="I69" s="53" t="n">
        <f aca="false">H66-I66</f>
        <v>0</v>
      </c>
      <c r="J69" s="53" t="n">
        <f aca="false">I66-J66</f>
        <v>0</v>
      </c>
      <c r="K69" s="53" t="n">
        <f aca="false">J66-K66</f>
        <v>0</v>
      </c>
      <c r="L69" s="53" t="n">
        <f aca="false">K66-L66</f>
        <v>0</v>
      </c>
      <c r="M69" s="53" t="n">
        <f aca="false">L66-M66</f>
        <v>0</v>
      </c>
      <c r="N69" s="53" t="n">
        <f aca="false">M66-N66</f>
        <v>0</v>
      </c>
      <c r="O69" s="53" t="n">
        <f aca="false">N66-O66</f>
        <v>-665.212800000001</v>
      </c>
      <c r="P69" s="53" t="n">
        <f aca="false">O66-P66</f>
        <v>0</v>
      </c>
      <c r="Q69" s="53" t="n">
        <f aca="false">P66-Q66</f>
        <v>0</v>
      </c>
      <c r="R69" s="53" t="n">
        <f aca="false">Q66-R66</f>
        <v>0</v>
      </c>
      <c r="S69" s="53" t="n">
        <f aca="false">R66-S66</f>
        <v>0</v>
      </c>
      <c r="T69" s="53" t="n">
        <f aca="false">S66-T66</f>
        <v>0</v>
      </c>
      <c r="U69" s="53" t="n">
        <f aca="false">T66-U66</f>
        <v>0</v>
      </c>
      <c r="V69" s="53" t="n">
        <f aca="false">U66-V66</f>
        <v>0</v>
      </c>
      <c r="W69" s="53" t="n">
        <f aca="false">V66-W66</f>
        <v>0</v>
      </c>
      <c r="X69" s="53" t="n">
        <f aca="false">W66-X66</f>
        <v>0</v>
      </c>
      <c r="Y69" s="53" t="n">
        <f aca="false">X66-Y66</f>
        <v>0</v>
      </c>
      <c r="Z69" s="53" t="n">
        <f aca="false">Y66-Z66</f>
        <v>0</v>
      </c>
      <c r="AA69" s="53" t="n">
        <f aca="false">Z66-AA66</f>
        <v>-702.730271999999</v>
      </c>
      <c r="AB69" s="53" t="n">
        <f aca="false">AA66-AB66</f>
        <v>0</v>
      </c>
      <c r="AC69" s="53" t="n">
        <f aca="false">AB66-AC66</f>
        <v>0</v>
      </c>
      <c r="AD69" s="53" t="n">
        <f aca="false">AC66-AD66</f>
        <v>0</v>
      </c>
      <c r="AE69" s="53" t="n">
        <f aca="false">AD66-AE66</f>
        <v>0</v>
      </c>
      <c r="AF69" s="53" t="n">
        <f aca="false">AE66-AF66</f>
        <v>0</v>
      </c>
      <c r="AG69" s="53" t="n">
        <f aca="false">AF66-AG66</f>
        <v>0</v>
      </c>
      <c r="AH69" s="53" t="n">
        <f aca="false">AG66-AH66</f>
        <v>0</v>
      </c>
      <c r="AI69" s="53" t="n">
        <f aca="false">AH66-AI66</f>
        <v>0</v>
      </c>
      <c r="AJ69" s="53" t="n">
        <f aca="false">AI66-AJ66</f>
        <v>0</v>
      </c>
      <c r="AK69" s="53" t="n">
        <f aca="false">AJ66-AK66</f>
        <v>0</v>
      </c>
      <c r="AL69" s="53" t="n">
        <f aca="false">AK66-AL66</f>
        <v>0</v>
      </c>
      <c r="AM69" s="53" t="n">
        <f aca="false">AL66-AM66</f>
        <v>-741.9001008</v>
      </c>
      <c r="AN69" s="53" t="n">
        <f aca="false">AM66-AN66</f>
        <v>0</v>
      </c>
      <c r="AO69" s="53" t="n">
        <f aca="false">AN66-AO66</f>
        <v>0</v>
      </c>
      <c r="AP69" s="53" t="n">
        <f aca="false">AO66-AP66</f>
        <v>0</v>
      </c>
      <c r="AQ69" s="53" t="n">
        <f aca="false">AP66-AQ66</f>
        <v>0</v>
      </c>
      <c r="AR69" s="53" t="n">
        <f aca="false">AQ66-AR66</f>
        <v>0</v>
      </c>
      <c r="AS69" s="53" t="n">
        <f aca="false">AR66-AS66</f>
        <v>0</v>
      </c>
      <c r="AT69" s="53" t="n">
        <f aca="false">AS66-AT66</f>
        <v>0</v>
      </c>
      <c r="AU69" s="53" t="n">
        <f aca="false">AT66-AU66</f>
        <v>0</v>
      </c>
      <c r="AV69" s="53" t="n">
        <f aca="false">AU66-AV66</f>
        <v>0</v>
      </c>
      <c r="AW69" s="53" t="n">
        <f aca="false">AV66-AW66</f>
        <v>0</v>
      </c>
      <c r="AX69" s="53" t="n">
        <f aca="false">AW66-AX66</f>
        <v>0</v>
      </c>
      <c r="AY69" s="53" t="n">
        <f aca="false">AX66-AY66</f>
        <v>-462.963078633601</v>
      </c>
      <c r="AZ69" s="53" t="n">
        <f aca="false">AY66-AZ66</f>
        <v>0</v>
      </c>
      <c r="BA69" s="53" t="n">
        <f aca="false">AZ66-BA66</f>
        <v>0</v>
      </c>
      <c r="BB69" s="53" t="n">
        <f aca="false">BA66-BB66</f>
        <v>0</v>
      </c>
      <c r="BC69" s="53" t="n">
        <f aca="false">BB66-BC66</f>
        <v>0</v>
      </c>
      <c r="BD69" s="53" t="n">
        <f aca="false">BC66-BD66</f>
        <v>0</v>
      </c>
      <c r="BE69" s="53" t="n">
        <f aca="false">BD66-BE66</f>
        <v>0</v>
      </c>
      <c r="BF69" s="53" t="n">
        <f aca="false">BE66-BF66</f>
        <v>0</v>
      </c>
      <c r="BG69" s="53" t="n">
        <f aca="false">BF66-BG66</f>
        <v>0</v>
      </c>
      <c r="BH69" s="53" t="n">
        <f aca="false">BG66-BH66</f>
        <v>0</v>
      </c>
      <c r="BI69" s="53" t="n">
        <f aca="false">BH66-BI66</f>
        <v>0</v>
      </c>
      <c r="BJ69" s="53" t="n">
        <f aca="false">BI66-BJ66</f>
        <v>0</v>
      </c>
    </row>
    <row r="70" customFormat="false" ht="15" hidden="false" customHeight="false" outlineLevel="0" collapsed="false">
      <c r="A70" s="6" t="s">
        <v>314</v>
      </c>
      <c r="C70" s="53" t="n">
        <f aca="false">-C67</f>
        <v>-11253.9456</v>
      </c>
      <c r="D70" s="53" t="n">
        <f aca="false">C67-D67</f>
        <v>0</v>
      </c>
      <c r="E70" s="53" t="n">
        <f aca="false">D67-E67</f>
        <v>0</v>
      </c>
      <c r="F70" s="53" t="n">
        <f aca="false">E67-F67</f>
        <v>0</v>
      </c>
      <c r="G70" s="53" t="n">
        <f aca="false">F67-G67</f>
        <v>0</v>
      </c>
      <c r="H70" s="53" t="n">
        <f aca="false">G67-H67</f>
        <v>0</v>
      </c>
      <c r="I70" s="53" t="n">
        <f aca="false">H67-I67</f>
        <v>0</v>
      </c>
      <c r="J70" s="53" t="n">
        <f aca="false">I67-J67</f>
        <v>0</v>
      </c>
      <c r="K70" s="53" t="n">
        <f aca="false">J67-K67</f>
        <v>0</v>
      </c>
      <c r="L70" s="53" t="n">
        <f aca="false">K67-L67</f>
        <v>0</v>
      </c>
      <c r="M70" s="53" t="n">
        <f aca="false">L67-M67</f>
        <v>0</v>
      </c>
      <c r="N70" s="53" t="n">
        <f aca="false">M67-N67</f>
        <v>0</v>
      </c>
      <c r="O70" s="53" t="n">
        <f aca="false">N67-O67</f>
        <v>-2913.521472</v>
      </c>
      <c r="P70" s="53" t="n">
        <f aca="false">O67-P67</f>
        <v>0</v>
      </c>
      <c r="Q70" s="53" t="n">
        <f aca="false">P67-Q67</f>
        <v>0</v>
      </c>
      <c r="R70" s="53" t="n">
        <f aca="false">Q67-R67</f>
        <v>0</v>
      </c>
      <c r="S70" s="53" t="n">
        <f aca="false">R67-S67</f>
        <v>0</v>
      </c>
      <c r="T70" s="53" t="n">
        <f aca="false">S67-T67</f>
        <v>0</v>
      </c>
      <c r="U70" s="53" t="n">
        <f aca="false">T67-U67</f>
        <v>0</v>
      </c>
      <c r="V70" s="53" t="n">
        <f aca="false">U67-V67</f>
        <v>0</v>
      </c>
      <c r="W70" s="53" t="n">
        <f aca="false">V67-W67</f>
        <v>0</v>
      </c>
      <c r="X70" s="53" t="n">
        <f aca="false">W67-X67</f>
        <v>0</v>
      </c>
      <c r="Y70" s="53" t="n">
        <f aca="false">X67-Y67</f>
        <v>0</v>
      </c>
      <c r="Z70" s="53" t="n">
        <f aca="false">Y67-Z67</f>
        <v>0</v>
      </c>
      <c r="AA70" s="53" t="n">
        <f aca="false">Z67-AA67</f>
        <v>-3078.20420928</v>
      </c>
      <c r="AB70" s="53" t="n">
        <f aca="false">AA67-AB67</f>
        <v>0</v>
      </c>
      <c r="AC70" s="53" t="n">
        <f aca="false">AB67-AC67</f>
        <v>0</v>
      </c>
      <c r="AD70" s="53" t="n">
        <f aca="false">AC67-AD67</f>
        <v>0</v>
      </c>
      <c r="AE70" s="53" t="n">
        <f aca="false">AD67-AE67</f>
        <v>0</v>
      </c>
      <c r="AF70" s="53" t="n">
        <f aca="false">AE67-AF67</f>
        <v>0</v>
      </c>
      <c r="AG70" s="53" t="n">
        <f aca="false">AF67-AG67</f>
        <v>0</v>
      </c>
      <c r="AH70" s="53" t="n">
        <f aca="false">AG67-AH67</f>
        <v>0</v>
      </c>
      <c r="AI70" s="53" t="n">
        <f aca="false">AH67-AI67</f>
        <v>0</v>
      </c>
      <c r="AJ70" s="53" t="n">
        <f aca="false">AI67-AJ67</f>
        <v>0</v>
      </c>
      <c r="AK70" s="53" t="n">
        <f aca="false">AJ67-AK67</f>
        <v>0</v>
      </c>
      <c r="AL70" s="53" t="n">
        <f aca="false">AK67-AL67</f>
        <v>0</v>
      </c>
      <c r="AM70" s="53" t="n">
        <f aca="false">AL67-AM67</f>
        <v>-3250.145741472</v>
      </c>
      <c r="AN70" s="53" t="n">
        <f aca="false">AM67-AN67</f>
        <v>0</v>
      </c>
      <c r="AO70" s="53" t="n">
        <f aca="false">AN67-AO67</f>
        <v>0</v>
      </c>
      <c r="AP70" s="53" t="n">
        <f aca="false">AO67-AP67</f>
        <v>0</v>
      </c>
      <c r="AQ70" s="53" t="n">
        <f aca="false">AP67-AQ67</f>
        <v>0</v>
      </c>
      <c r="AR70" s="53" t="n">
        <f aca="false">AQ67-AR67</f>
        <v>0</v>
      </c>
      <c r="AS70" s="53" t="n">
        <f aca="false">AR67-AS67</f>
        <v>0</v>
      </c>
      <c r="AT70" s="53" t="n">
        <f aca="false">AS67-AT67</f>
        <v>0</v>
      </c>
      <c r="AU70" s="53" t="n">
        <f aca="false">AT67-AU67</f>
        <v>0</v>
      </c>
      <c r="AV70" s="53" t="n">
        <f aca="false">AU67-AV67</f>
        <v>0</v>
      </c>
      <c r="AW70" s="53" t="n">
        <f aca="false">AV67-AW67</f>
        <v>0</v>
      </c>
      <c r="AX70" s="53" t="n">
        <f aca="false">AW67-AX67</f>
        <v>0</v>
      </c>
      <c r="AY70" s="53" t="n">
        <f aca="false">AX67-AY67</f>
        <v>-2022.25394624487</v>
      </c>
      <c r="AZ70" s="53" t="n">
        <f aca="false">AY67-AZ67</f>
        <v>0</v>
      </c>
      <c r="BA70" s="53" t="n">
        <f aca="false">AZ67-BA67</f>
        <v>0</v>
      </c>
      <c r="BB70" s="53" t="n">
        <f aca="false">BA67-BB67</f>
        <v>0</v>
      </c>
      <c r="BC70" s="53" t="n">
        <f aca="false">BB67-BC67</f>
        <v>0</v>
      </c>
      <c r="BD70" s="53" t="n">
        <f aca="false">BC67-BD67</f>
        <v>0</v>
      </c>
      <c r="BE70" s="53" t="n">
        <f aca="false">BD67-BE67</f>
        <v>0</v>
      </c>
      <c r="BF70" s="53" t="n">
        <f aca="false">BE67-BF67</f>
        <v>0</v>
      </c>
      <c r="BG70" s="53" t="n">
        <f aca="false">BF67-BG67</f>
        <v>0</v>
      </c>
      <c r="BH70" s="53" t="n">
        <f aca="false">BG67-BH67</f>
        <v>0</v>
      </c>
      <c r="BI70" s="53" t="n">
        <f aca="false">BH67-BI67</f>
        <v>0</v>
      </c>
      <c r="BJ70" s="53" t="n">
        <f aca="false">BI67-BJ67</f>
        <v>0</v>
      </c>
    </row>
    <row r="71" customFormat="false" ht="15" hidden="false" customHeight="false" outlineLevel="0" collapsed="false">
      <c r="A71" s="6" t="s">
        <v>315</v>
      </c>
      <c r="C71" s="53" t="n">
        <f aca="false">C68</f>
        <v>15005.2608</v>
      </c>
      <c r="D71" s="53" t="n">
        <f aca="false">D68-C68</f>
        <v>0</v>
      </c>
      <c r="E71" s="53" t="n">
        <f aca="false">E68-D68</f>
        <v>0</v>
      </c>
      <c r="F71" s="53" t="n">
        <f aca="false">F68-E68</f>
        <v>0</v>
      </c>
      <c r="G71" s="53" t="n">
        <f aca="false">G68-F68</f>
        <v>0</v>
      </c>
      <c r="H71" s="53" t="n">
        <f aca="false">H68-G68</f>
        <v>0</v>
      </c>
      <c r="I71" s="53" t="n">
        <f aca="false">I68-H68</f>
        <v>0</v>
      </c>
      <c r="J71" s="53" t="n">
        <f aca="false">J68-I68</f>
        <v>0</v>
      </c>
      <c r="K71" s="53" t="n">
        <f aca="false">K68-J68</f>
        <v>0</v>
      </c>
      <c r="L71" s="53" t="n">
        <f aca="false">L68-K68</f>
        <v>0</v>
      </c>
      <c r="M71" s="53" t="n">
        <f aca="false">M68-L68</f>
        <v>0</v>
      </c>
      <c r="N71" s="53" t="n">
        <f aca="false">N68-M68</f>
        <v>0</v>
      </c>
      <c r="O71" s="53" t="n">
        <f aca="false">O68-N68</f>
        <v>3884.695296</v>
      </c>
      <c r="P71" s="53" t="n">
        <f aca="false">P68-O68</f>
        <v>0</v>
      </c>
      <c r="Q71" s="53" t="n">
        <f aca="false">Q68-P68</f>
        <v>0</v>
      </c>
      <c r="R71" s="53" t="n">
        <f aca="false">R68-Q68</f>
        <v>0</v>
      </c>
      <c r="S71" s="53" t="n">
        <f aca="false">S68-R68</f>
        <v>0</v>
      </c>
      <c r="T71" s="53" t="n">
        <f aca="false">T68-S68</f>
        <v>0</v>
      </c>
      <c r="U71" s="53" t="n">
        <f aca="false">U68-T68</f>
        <v>0</v>
      </c>
      <c r="V71" s="53" t="n">
        <f aca="false">V68-U68</f>
        <v>0</v>
      </c>
      <c r="W71" s="53" t="n">
        <f aca="false">W68-V68</f>
        <v>0</v>
      </c>
      <c r="X71" s="53" t="n">
        <f aca="false">X68-W68</f>
        <v>0</v>
      </c>
      <c r="Y71" s="53" t="n">
        <f aca="false">Y68-X68</f>
        <v>0</v>
      </c>
      <c r="Z71" s="53" t="n">
        <f aca="false">Z68-Y68</f>
        <v>0</v>
      </c>
      <c r="AA71" s="53" t="n">
        <f aca="false">AA68-Z68</f>
        <v>4104.27227904</v>
      </c>
      <c r="AB71" s="53" t="n">
        <f aca="false">AB68-AA68</f>
        <v>0</v>
      </c>
      <c r="AC71" s="53" t="n">
        <f aca="false">AC68-AB68</f>
        <v>0</v>
      </c>
      <c r="AD71" s="53" t="n">
        <f aca="false">AD68-AC68</f>
        <v>0</v>
      </c>
      <c r="AE71" s="53" t="n">
        <f aca="false">AE68-AD68</f>
        <v>0</v>
      </c>
      <c r="AF71" s="53" t="n">
        <f aca="false">AF68-AE68</f>
        <v>0</v>
      </c>
      <c r="AG71" s="53" t="n">
        <f aca="false">AG68-AF68</f>
        <v>0</v>
      </c>
      <c r="AH71" s="53" t="n">
        <f aca="false">AH68-AG68</f>
        <v>0</v>
      </c>
      <c r="AI71" s="53" t="n">
        <f aca="false">AI68-AH68</f>
        <v>0</v>
      </c>
      <c r="AJ71" s="53" t="n">
        <f aca="false">AJ68-AI68</f>
        <v>0</v>
      </c>
      <c r="AK71" s="53" t="n">
        <f aca="false">AK68-AJ68</f>
        <v>0</v>
      </c>
      <c r="AL71" s="53" t="n">
        <f aca="false">AL68-AK68</f>
        <v>0</v>
      </c>
      <c r="AM71" s="53" t="n">
        <f aca="false">AM68-AL68</f>
        <v>4333.52765529601</v>
      </c>
      <c r="AN71" s="53" t="n">
        <f aca="false">AN68-AM68</f>
        <v>0</v>
      </c>
      <c r="AO71" s="53" t="n">
        <f aca="false">AO68-AN68</f>
        <v>0</v>
      </c>
      <c r="AP71" s="53" t="n">
        <f aca="false">AP68-AO68</f>
        <v>0</v>
      </c>
      <c r="AQ71" s="53" t="n">
        <f aca="false">AQ68-AP68</f>
        <v>0</v>
      </c>
      <c r="AR71" s="53" t="n">
        <f aca="false">AR68-AQ68</f>
        <v>0</v>
      </c>
      <c r="AS71" s="53" t="n">
        <f aca="false">AS68-AR68</f>
        <v>0</v>
      </c>
      <c r="AT71" s="53" t="n">
        <f aca="false">AT68-AS68</f>
        <v>0</v>
      </c>
      <c r="AU71" s="53" t="n">
        <f aca="false">AU68-AT68</f>
        <v>0</v>
      </c>
      <c r="AV71" s="53" t="n">
        <f aca="false">AV68-AU68</f>
        <v>0</v>
      </c>
      <c r="AW71" s="53" t="n">
        <f aca="false">AW68-AV68</f>
        <v>0</v>
      </c>
      <c r="AX71" s="53" t="n">
        <f aca="false">AX68-AW68</f>
        <v>0</v>
      </c>
      <c r="AY71" s="53" t="n">
        <f aca="false">AY68-AX68</f>
        <v>2696.33859499315</v>
      </c>
      <c r="AZ71" s="53" t="n">
        <f aca="false">AZ68-AY68</f>
        <v>0</v>
      </c>
      <c r="BA71" s="53" t="n">
        <f aca="false">BA68-AZ68</f>
        <v>0</v>
      </c>
      <c r="BB71" s="53" t="n">
        <f aca="false">BB68-BA68</f>
        <v>0</v>
      </c>
      <c r="BC71" s="53" t="n">
        <f aca="false">BC68-BB68</f>
        <v>0</v>
      </c>
      <c r="BD71" s="53" t="n">
        <f aca="false">BD68-BC68</f>
        <v>0</v>
      </c>
      <c r="BE71" s="53" t="n">
        <f aca="false">BE68-BD68</f>
        <v>0</v>
      </c>
      <c r="BF71" s="53" t="n">
        <f aca="false">BF68-BE68</f>
        <v>0</v>
      </c>
      <c r="BG71" s="53" t="n">
        <f aca="false">BG68-BF68</f>
        <v>0</v>
      </c>
      <c r="BH71" s="53" t="n">
        <f aca="false">BH68-BG68</f>
        <v>0</v>
      </c>
      <c r="BI71" s="53" t="n">
        <f aca="false">BI68-BH68</f>
        <v>0</v>
      </c>
      <c r="BJ71" s="53" t="n">
        <f aca="false">BJ68-BI68</f>
        <v>0</v>
      </c>
    </row>
    <row r="73" customFormat="false" ht="15.75" hidden="false" customHeight="true" outlineLevel="0" collapsed="false">
      <c r="A73" s="7" t="s">
        <v>400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customFormat="false" ht="15" hidden="false" customHeight="false" outlineLevel="0" collapsed="false">
      <c r="A74" s="4" t="s">
        <v>50</v>
      </c>
      <c r="C74" s="60" t="n">
        <f aca="false">C50-C55+C69+C70+C71</f>
        <v>-1939.74933333334</v>
      </c>
      <c r="D74" s="60" t="n">
        <f aca="false">D50-D55+D69+D70+D71</f>
        <v>-3025.73564444445</v>
      </c>
      <c r="E74" s="60" t="n">
        <f aca="false">E50-E55+E69+E70+E71</f>
        <v>-3017.95786666667</v>
      </c>
      <c r="F74" s="60" t="n">
        <f aca="false">F50-F55+F69+F70+F71</f>
        <v>-3010.18008888889</v>
      </c>
      <c r="G74" s="60" t="n">
        <f aca="false">G50-G55+G69+G70+G71</f>
        <v>-3002.40231111112</v>
      </c>
      <c r="H74" s="60" t="n">
        <f aca="false">H50-H55+H69+H70+H71</f>
        <v>-2994.62453333334</v>
      </c>
      <c r="I74" s="60" t="n">
        <f aca="false">I50-I55+I69+I70+I71</f>
        <v>-2986.84675555556</v>
      </c>
      <c r="J74" s="60" t="n">
        <f aca="false">J50-J55+J69+J70+J71</f>
        <v>-2979.06897777778</v>
      </c>
      <c r="K74" s="60" t="n">
        <f aca="false">K50-K55+K69+K70+K71</f>
        <v>-2971.2912</v>
      </c>
      <c r="L74" s="60" t="n">
        <f aca="false">L50-L55+L69+L70+L71</f>
        <v>-2963.51342222223</v>
      </c>
      <c r="M74" s="60" t="n">
        <f aca="false">M50-M55+M69+M70+M71</f>
        <v>-2955.73564444445</v>
      </c>
      <c r="N74" s="60" t="n">
        <f aca="false">N50-N55+N69+N70+N71</f>
        <v>-2947.95786666667</v>
      </c>
      <c r="O74" s="60" t="n">
        <f aca="false">O50-O55+O69+O70+O71</f>
        <v>1276.12999111111</v>
      </c>
      <c r="P74" s="60" t="n">
        <f aca="false">P50-P55+P69+P70+P71</f>
        <v>977.946744888891</v>
      </c>
      <c r="Q74" s="60" t="n">
        <f aca="false">Q50-Q55+Q69+Q70+Q71</f>
        <v>985.724522666669</v>
      </c>
      <c r="R74" s="60" t="n">
        <f aca="false">R50-R55+R69+R70+R71</f>
        <v>993.502300444446</v>
      </c>
      <c r="S74" s="60" t="n">
        <f aca="false">S50-S55+S69+S70+S71</f>
        <v>1001.28007822222</v>
      </c>
      <c r="T74" s="60" t="n">
        <f aca="false">T50-T55+T69+T70+T71</f>
        <v>1009.057856</v>
      </c>
      <c r="U74" s="60" t="n">
        <f aca="false">U50-U55+U69+U70+U71</f>
        <v>1016.83563377778</v>
      </c>
      <c r="V74" s="60" t="n">
        <f aca="false">V50-V55+V69+V70+V71</f>
        <v>1024.61341155556</v>
      </c>
      <c r="W74" s="60" t="n">
        <f aca="false">W50-W55+W69+W70+W71</f>
        <v>1032.39118933334</v>
      </c>
      <c r="X74" s="60" t="n">
        <f aca="false">X50-X55+X69+X70+X71</f>
        <v>1040.16896711111</v>
      </c>
      <c r="Y74" s="60" t="n">
        <f aca="false">Y50-Y55+Y69+Y70+Y71</f>
        <v>1047.94674488889</v>
      </c>
      <c r="Z74" s="60" t="n">
        <f aca="false">Z50-Z55+Z69+Z70+Z71</f>
        <v>1055.72452266667</v>
      </c>
      <c r="AA74" s="60" t="n">
        <f aca="false">AA50-AA55+AA69+AA70+AA71</f>
        <v>5523.36175964445</v>
      </c>
      <c r="AB74" s="60" t="n">
        <f aca="false">AB50-AB55+AB69+AB70+AB71</f>
        <v>5207.80173966223</v>
      </c>
      <c r="AC74" s="60" t="n">
        <f aca="false">AC50-AC55+AC69+AC70+AC71</f>
        <v>5215.57951744001</v>
      </c>
      <c r="AD74" s="60" t="n">
        <f aca="false">AD50-AD55+AD69+AD70+AD71</f>
        <v>5223.35729521779</v>
      </c>
      <c r="AE74" s="60" t="n">
        <f aca="false">AE50-AE55+AE69+AE70+AE71</f>
        <v>5231.13507299556</v>
      </c>
      <c r="AF74" s="60" t="n">
        <f aca="false">AF50-AF55+AF69+AF70+AF71</f>
        <v>5238.91285077334</v>
      </c>
      <c r="AG74" s="60" t="n">
        <f aca="false">AG50-AG55+AG69+AG70+AG71</f>
        <v>5246.69062855112</v>
      </c>
      <c r="AH74" s="60" t="n">
        <f aca="false">AH50-AH55+AH69+AH70+AH71</f>
        <v>5254.4684063289</v>
      </c>
      <c r="AI74" s="60" t="n">
        <f aca="false">AI50-AI55+AI69+AI70+AI71</f>
        <v>5262.24618410667</v>
      </c>
      <c r="AJ74" s="60" t="n">
        <f aca="false">AJ50-AJ55+AJ69+AJ70+AJ71</f>
        <v>5270.02396188445</v>
      </c>
      <c r="AK74" s="60" t="n">
        <f aca="false">AK50-AK55+AK69+AK70+AK71</f>
        <v>5277.80173966223</v>
      </c>
      <c r="AL74" s="60" t="n">
        <f aca="false">AL50-AL55+AL69+AL70+AL71</f>
        <v>5285.57951744001</v>
      </c>
      <c r="AM74" s="60" t="n">
        <f aca="false">AM50-AM55+AM69+AM70+AM71</f>
        <v>10007.5844172978</v>
      </c>
      <c r="AN74" s="60" t="n">
        <f aca="false">AN50-AN55+AN69+AN70+AN71</f>
        <v>9486.83493118776</v>
      </c>
      <c r="AO74" s="60" t="n">
        <f aca="false">AO50-AO55+AO69+AO70+AO71</f>
        <v>7967.00994626517</v>
      </c>
      <c r="AP74" s="60" t="n">
        <f aca="false">AP50-AP55+AP69+AP70+AP71</f>
        <v>7973.15439070961</v>
      </c>
      <c r="AQ74" s="60" t="n">
        <f aca="false">AQ50-AQ55+AQ69+AQ70+AQ71</f>
        <v>7979.29883515406</v>
      </c>
      <c r="AR74" s="60" t="n">
        <f aca="false">AR50-AR55+AR69+AR70+AR71</f>
        <v>7985.4432795985</v>
      </c>
      <c r="AS74" s="60" t="n">
        <f aca="false">AS50-AS55+AS69+AS70+AS71</f>
        <v>7991.58772404295</v>
      </c>
      <c r="AT74" s="60" t="n">
        <f aca="false">AT50-AT55+AT69+AT70+AT71</f>
        <v>7997.73216848739</v>
      </c>
      <c r="AU74" s="60" t="n">
        <f aca="false">AU50-AU55+AU69+AU70+AU71</f>
        <v>8003.87661293184</v>
      </c>
      <c r="AV74" s="60" t="n">
        <f aca="false">AV50-AV55+AV69+AV70+AV71</f>
        <v>8010.02105737628</v>
      </c>
      <c r="AW74" s="60" t="n">
        <f aca="false">AW50-AW55+AW69+AW70+AW71</f>
        <v>8016.16550182072</v>
      </c>
      <c r="AX74" s="60" t="n">
        <f aca="false">AX50-AX55+AX69+AX70+AX71</f>
        <v>8022.30994626517</v>
      </c>
      <c r="AY74" s="60" t="n">
        <f aca="false">AY50-AY55+AY69+AY70+AY71</f>
        <v>10322.6555649016</v>
      </c>
      <c r="AZ74" s="60" t="n">
        <f aca="false">AZ50-AZ55+AZ69+AZ70+AZ71</f>
        <v>10117.6784392313</v>
      </c>
      <c r="BA74" s="60" t="n">
        <f aca="false">BA50-BA55+BA69+BA70+BA71</f>
        <v>10123.8228836758</v>
      </c>
      <c r="BB74" s="60" t="n">
        <f aca="false">BB50-BB55+BB69+BB70+BB71</f>
        <v>10129.9673281202</v>
      </c>
      <c r="BC74" s="60" t="n">
        <f aca="false">BC50-BC55+BC69+BC70+BC71</f>
        <v>10136.1117725647</v>
      </c>
      <c r="BD74" s="60" t="n">
        <f aca="false">BD50-BD55+BD69+BD70+BD71</f>
        <v>10142.2562170091</v>
      </c>
      <c r="BE74" s="60" t="n">
        <f aca="false">BE50-BE55+BE69+BE70+BE71</f>
        <v>10148.4006614536</v>
      </c>
      <c r="BF74" s="60" t="n">
        <f aca="false">BF50-BF55+BF69+BF70+BF71</f>
        <v>10154.545105898</v>
      </c>
      <c r="BG74" s="60" t="n">
        <f aca="false">BG50-BG55+BG69+BG70+BG71</f>
        <v>10160.6895503425</v>
      </c>
      <c r="BH74" s="60" t="n">
        <f aca="false">BH50-BH55+BH69+BH70+BH71</f>
        <v>10166.8339947869</v>
      </c>
      <c r="BI74" s="60" t="n">
        <f aca="false">BI50-BI55+BI69+BI70+BI71</f>
        <v>10172.9784392313</v>
      </c>
      <c r="BJ74" s="60" t="n">
        <f aca="false">BJ50-BJ55+BJ69+BJ70+BJ71</f>
        <v>10179.1228836758</v>
      </c>
    </row>
    <row r="75" customFormat="false" ht="15" hidden="false" customHeight="false" outlineLevel="0" collapsed="false">
      <c r="A75" s="6" t="s">
        <v>401</v>
      </c>
      <c r="C75" s="53" t="n">
        <f aca="false">-C53</f>
        <v>-127400</v>
      </c>
      <c r="D75" s="53" t="n">
        <f aca="false">-D53</f>
        <v>-0</v>
      </c>
      <c r="E75" s="53" t="n">
        <f aca="false">-E53</f>
        <v>-0</v>
      </c>
      <c r="F75" s="53" t="n">
        <f aca="false">-F53</f>
        <v>-0</v>
      </c>
      <c r="G75" s="53" t="n">
        <f aca="false">-G53</f>
        <v>-0</v>
      </c>
      <c r="H75" s="53" t="n">
        <f aca="false">-H53</f>
        <v>-0</v>
      </c>
      <c r="I75" s="53" t="n">
        <f aca="false">-I53</f>
        <v>-0</v>
      </c>
      <c r="J75" s="53" t="n">
        <f aca="false">-J53</f>
        <v>-0</v>
      </c>
      <c r="K75" s="53" t="n">
        <f aca="false">-K53</f>
        <v>-0</v>
      </c>
      <c r="L75" s="53" t="n">
        <f aca="false">-L53</f>
        <v>-0</v>
      </c>
      <c r="M75" s="53" t="n">
        <f aca="false">-M53</f>
        <v>-0</v>
      </c>
      <c r="N75" s="53" t="n">
        <f aca="false">-N53</f>
        <v>-0</v>
      </c>
      <c r="O75" s="53" t="n">
        <f aca="false">-O53</f>
        <v>-0</v>
      </c>
      <c r="P75" s="53" t="n">
        <f aca="false">-P53</f>
        <v>-0</v>
      </c>
      <c r="Q75" s="53" t="n">
        <f aca="false">-Q53</f>
        <v>-0</v>
      </c>
      <c r="R75" s="53" t="n">
        <f aca="false">-R53</f>
        <v>-0</v>
      </c>
      <c r="S75" s="53" t="n">
        <f aca="false">-S53</f>
        <v>-0</v>
      </c>
      <c r="T75" s="53" t="n">
        <f aca="false">-T53</f>
        <v>-0</v>
      </c>
      <c r="U75" s="53" t="n">
        <f aca="false">-U53</f>
        <v>-0</v>
      </c>
      <c r="V75" s="53" t="n">
        <f aca="false">-V53</f>
        <v>-0</v>
      </c>
      <c r="W75" s="53" t="n">
        <f aca="false">-W53</f>
        <v>-0</v>
      </c>
      <c r="X75" s="53" t="n">
        <f aca="false">-X53</f>
        <v>-0</v>
      </c>
      <c r="Y75" s="53" t="n">
        <f aca="false">-Y53</f>
        <v>-0</v>
      </c>
      <c r="Z75" s="53" t="n">
        <f aca="false">-Z53</f>
        <v>-0</v>
      </c>
      <c r="AA75" s="53" t="n">
        <f aca="false">-AA53</f>
        <v>-0</v>
      </c>
      <c r="AB75" s="53" t="n">
        <f aca="false">-AB53</f>
        <v>-0</v>
      </c>
      <c r="AC75" s="53" t="n">
        <f aca="false">-AC53</f>
        <v>-0</v>
      </c>
      <c r="AD75" s="53" t="n">
        <f aca="false">-AD53</f>
        <v>-0</v>
      </c>
      <c r="AE75" s="53" t="n">
        <f aca="false">-AE53</f>
        <v>-0</v>
      </c>
      <c r="AF75" s="53" t="n">
        <f aca="false">-AF53</f>
        <v>-0</v>
      </c>
      <c r="AG75" s="53" t="n">
        <f aca="false">-AG53</f>
        <v>-0</v>
      </c>
      <c r="AH75" s="53" t="n">
        <f aca="false">-AH53</f>
        <v>-0</v>
      </c>
      <c r="AI75" s="53" t="n">
        <f aca="false">-AI53</f>
        <v>-0</v>
      </c>
      <c r="AJ75" s="53" t="n">
        <f aca="false">-AJ53</f>
        <v>-0</v>
      </c>
      <c r="AK75" s="53" t="n">
        <f aca="false">-AK53</f>
        <v>-0</v>
      </c>
      <c r="AL75" s="53" t="n">
        <f aca="false">-AL53</f>
        <v>-0</v>
      </c>
      <c r="AM75" s="53" t="n">
        <f aca="false">-AM53</f>
        <v>-0</v>
      </c>
      <c r="AN75" s="53" t="n">
        <f aca="false">-AN53</f>
        <v>-0</v>
      </c>
      <c r="AO75" s="53" t="n">
        <f aca="false">-AO53</f>
        <v>-0</v>
      </c>
      <c r="AP75" s="53" t="n">
        <f aca="false">-AP53</f>
        <v>-0</v>
      </c>
      <c r="AQ75" s="53" t="n">
        <f aca="false">-AQ53</f>
        <v>-0</v>
      </c>
      <c r="AR75" s="53" t="n">
        <f aca="false">-AR53</f>
        <v>-0</v>
      </c>
      <c r="AS75" s="53" t="n">
        <f aca="false">-AS53</f>
        <v>-0</v>
      </c>
      <c r="AT75" s="53" t="n">
        <f aca="false">-AT53</f>
        <v>-0</v>
      </c>
      <c r="AU75" s="53" t="n">
        <f aca="false">-AU53</f>
        <v>-0</v>
      </c>
      <c r="AV75" s="53" t="n">
        <f aca="false">-AV53</f>
        <v>-0</v>
      </c>
      <c r="AW75" s="53" t="n">
        <f aca="false">-AW53</f>
        <v>-0</v>
      </c>
      <c r="AX75" s="53" t="n">
        <f aca="false">-AX53</f>
        <v>-0</v>
      </c>
      <c r="AY75" s="53" t="n">
        <f aca="false">-AY53</f>
        <v>-0</v>
      </c>
      <c r="AZ75" s="53" t="n">
        <f aca="false">-AZ53</f>
        <v>-0</v>
      </c>
      <c r="BA75" s="53" t="n">
        <f aca="false">-BA53</f>
        <v>-0</v>
      </c>
      <c r="BB75" s="53" t="n">
        <f aca="false">-BB53</f>
        <v>-0</v>
      </c>
      <c r="BC75" s="53" t="n">
        <f aca="false">-BC53</f>
        <v>-0</v>
      </c>
      <c r="BD75" s="53" t="n">
        <f aca="false">-BD53</f>
        <v>-0</v>
      </c>
      <c r="BE75" s="53" t="n">
        <f aca="false">-BE53</f>
        <v>-0</v>
      </c>
      <c r="BF75" s="53" t="n">
        <f aca="false">-BF53</f>
        <v>-0</v>
      </c>
      <c r="BG75" s="53" t="n">
        <f aca="false">-BG53</f>
        <v>-0</v>
      </c>
      <c r="BH75" s="53" t="n">
        <f aca="false">-BH53</f>
        <v>-0</v>
      </c>
      <c r="BI75" s="53" t="n">
        <f aca="false">-BI53</f>
        <v>-0</v>
      </c>
      <c r="BJ75" s="53" t="n">
        <f aca="false">-BJ53</f>
        <v>-0</v>
      </c>
    </row>
    <row r="76" customFormat="false" ht="15" hidden="false" customHeight="false" outlineLevel="0" collapsed="false">
      <c r="A76" s="6" t="s">
        <v>61</v>
      </c>
      <c r="C76" s="53" t="n">
        <f aca="false">IF(C$4=1,Inputs!$E$69,0)</f>
        <v>150000</v>
      </c>
      <c r="D76" s="53" t="n">
        <f aca="false">IF(D$4=1,Inputs!$E$69,0)</f>
        <v>0</v>
      </c>
      <c r="E76" s="53" t="n">
        <f aca="false">IF(E$4=1,Inputs!$E$69,0)</f>
        <v>0</v>
      </c>
      <c r="F76" s="53" t="n">
        <f aca="false">IF(F$4=1,Inputs!$E$69,0)</f>
        <v>0</v>
      </c>
      <c r="G76" s="53" t="n">
        <f aca="false">IF(G$4=1,Inputs!$E$69,0)</f>
        <v>0</v>
      </c>
      <c r="H76" s="53" t="n">
        <f aca="false">IF(H$4=1,Inputs!$E$69,0)</f>
        <v>0</v>
      </c>
      <c r="I76" s="53" t="n">
        <f aca="false">IF(I$4=1,Inputs!$E$69,0)</f>
        <v>0</v>
      </c>
      <c r="J76" s="53" t="n">
        <f aca="false">IF(J$4=1,Inputs!$E$69,0)</f>
        <v>0</v>
      </c>
      <c r="K76" s="53" t="n">
        <f aca="false">IF(K$4=1,Inputs!$E$69,0)</f>
        <v>0</v>
      </c>
      <c r="L76" s="53" t="n">
        <f aca="false">IF(L$4=1,Inputs!$E$69,0)</f>
        <v>0</v>
      </c>
      <c r="M76" s="53" t="n">
        <f aca="false">IF(M$4=1,Inputs!$E$69,0)</f>
        <v>0</v>
      </c>
      <c r="N76" s="53" t="n">
        <f aca="false">IF(N$4=1,Inputs!$E$69,0)</f>
        <v>0</v>
      </c>
      <c r="O76" s="53" t="n">
        <f aca="false">IF(O$4=1,Inputs!$E$69,0)</f>
        <v>0</v>
      </c>
      <c r="P76" s="53" t="n">
        <f aca="false">IF(P$4=1,Inputs!$E$69,0)</f>
        <v>0</v>
      </c>
      <c r="Q76" s="53" t="n">
        <f aca="false">IF(Q$4=1,Inputs!$E$69,0)</f>
        <v>0</v>
      </c>
      <c r="R76" s="53" t="n">
        <f aca="false">IF(R$4=1,Inputs!$E$69,0)</f>
        <v>0</v>
      </c>
      <c r="S76" s="53" t="n">
        <f aca="false">IF(S$4=1,Inputs!$E$69,0)</f>
        <v>0</v>
      </c>
      <c r="T76" s="53" t="n">
        <f aca="false">IF(T$4=1,Inputs!$E$69,0)</f>
        <v>0</v>
      </c>
      <c r="U76" s="53" t="n">
        <f aca="false">IF(U$4=1,Inputs!$E$69,0)</f>
        <v>0</v>
      </c>
      <c r="V76" s="53" t="n">
        <f aca="false">IF(V$4=1,Inputs!$E$69,0)</f>
        <v>0</v>
      </c>
      <c r="W76" s="53" t="n">
        <f aca="false">IF(W$4=1,Inputs!$E$69,0)</f>
        <v>0</v>
      </c>
      <c r="X76" s="53" t="n">
        <f aca="false">IF(X$4=1,Inputs!$E$69,0)</f>
        <v>0</v>
      </c>
      <c r="Y76" s="53" t="n">
        <f aca="false">IF(Y$4=1,Inputs!$E$69,0)</f>
        <v>0</v>
      </c>
      <c r="Z76" s="53" t="n">
        <f aca="false">IF(Z$4=1,Inputs!$E$69,0)</f>
        <v>0</v>
      </c>
      <c r="AA76" s="53" t="n">
        <f aca="false">IF(AA$4=1,Inputs!$E$69,0)</f>
        <v>0</v>
      </c>
      <c r="AB76" s="53" t="n">
        <f aca="false">IF(AB$4=1,Inputs!$E$69,0)</f>
        <v>0</v>
      </c>
      <c r="AC76" s="53" t="n">
        <f aca="false">IF(AC$4=1,Inputs!$E$69,0)</f>
        <v>0</v>
      </c>
      <c r="AD76" s="53" t="n">
        <f aca="false">IF(AD$4=1,Inputs!$E$69,0)</f>
        <v>0</v>
      </c>
      <c r="AE76" s="53" t="n">
        <f aca="false">IF(AE$4=1,Inputs!$E$69,0)</f>
        <v>0</v>
      </c>
      <c r="AF76" s="53" t="n">
        <f aca="false">IF(AF$4=1,Inputs!$E$69,0)</f>
        <v>0</v>
      </c>
      <c r="AG76" s="53" t="n">
        <f aca="false">IF(AG$4=1,Inputs!$E$69,0)</f>
        <v>0</v>
      </c>
      <c r="AH76" s="53" t="n">
        <f aca="false">IF(AH$4=1,Inputs!$E$69,0)</f>
        <v>0</v>
      </c>
      <c r="AI76" s="53" t="n">
        <f aca="false">IF(AI$4=1,Inputs!$E$69,0)</f>
        <v>0</v>
      </c>
      <c r="AJ76" s="53" t="n">
        <f aca="false">IF(AJ$4=1,Inputs!$E$69,0)</f>
        <v>0</v>
      </c>
      <c r="AK76" s="53" t="n">
        <f aca="false">IF(AK$4=1,Inputs!$E$69,0)</f>
        <v>0</v>
      </c>
      <c r="AL76" s="53" t="n">
        <f aca="false">IF(AL$4=1,Inputs!$E$69,0)</f>
        <v>0</v>
      </c>
      <c r="AM76" s="53" t="n">
        <f aca="false">IF(AM$4=1,Inputs!$E$69,0)</f>
        <v>0</v>
      </c>
      <c r="AN76" s="53" t="n">
        <f aca="false">IF(AN$4=1,Inputs!$E$69,0)</f>
        <v>0</v>
      </c>
      <c r="AO76" s="53" t="n">
        <f aca="false">IF(AO$4=1,Inputs!$E$69,0)</f>
        <v>0</v>
      </c>
      <c r="AP76" s="53" t="n">
        <f aca="false">IF(AP$4=1,Inputs!$E$69,0)</f>
        <v>0</v>
      </c>
      <c r="AQ76" s="53" t="n">
        <f aca="false">IF(AQ$4=1,Inputs!$E$69,0)</f>
        <v>0</v>
      </c>
      <c r="AR76" s="53" t="n">
        <f aca="false">IF(AR$4=1,Inputs!$E$69,0)</f>
        <v>0</v>
      </c>
      <c r="AS76" s="53" t="n">
        <f aca="false">IF(AS$4=1,Inputs!$E$69,0)</f>
        <v>0</v>
      </c>
      <c r="AT76" s="53" t="n">
        <f aca="false">IF(AT$4=1,Inputs!$E$69,0)</f>
        <v>0</v>
      </c>
      <c r="AU76" s="53" t="n">
        <f aca="false">IF(AU$4=1,Inputs!$E$69,0)</f>
        <v>0</v>
      </c>
      <c r="AV76" s="53" t="n">
        <f aca="false">IF(AV$4=1,Inputs!$E$69,0)</f>
        <v>0</v>
      </c>
      <c r="AW76" s="53" t="n">
        <f aca="false">IF(AW$4=1,Inputs!$E$69,0)</f>
        <v>0</v>
      </c>
      <c r="AX76" s="53" t="n">
        <f aca="false">IF(AX$4=1,Inputs!$E$69,0)</f>
        <v>0</v>
      </c>
      <c r="AY76" s="53" t="n">
        <f aca="false">IF(AY$4=1,Inputs!$E$69,0)</f>
        <v>0</v>
      </c>
      <c r="AZ76" s="53" t="n">
        <f aca="false">IF(AZ$4=1,Inputs!$E$69,0)</f>
        <v>0</v>
      </c>
      <c r="BA76" s="53" t="n">
        <f aca="false">IF(BA$4=1,Inputs!$E$69,0)</f>
        <v>0</v>
      </c>
      <c r="BB76" s="53" t="n">
        <f aca="false">IF(BB$4=1,Inputs!$E$69,0)</f>
        <v>0</v>
      </c>
      <c r="BC76" s="53" t="n">
        <f aca="false">IF(BC$4=1,Inputs!$E$69,0)</f>
        <v>0</v>
      </c>
      <c r="BD76" s="53" t="n">
        <f aca="false">IF(BD$4=1,Inputs!$E$69,0)</f>
        <v>0</v>
      </c>
      <c r="BE76" s="53" t="n">
        <f aca="false">IF(BE$4=1,Inputs!$E$69,0)</f>
        <v>0</v>
      </c>
      <c r="BF76" s="53" t="n">
        <f aca="false">IF(BF$4=1,Inputs!$E$69,0)</f>
        <v>0</v>
      </c>
      <c r="BG76" s="53" t="n">
        <f aca="false">IF(BG$4=1,Inputs!$E$69,0)</f>
        <v>0</v>
      </c>
      <c r="BH76" s="53" t="n">
        <f aca="false">IF(BH$4=1,Inputs!$E$69,0)</f>
        <v>0</v>
      </c>
      <c r="BI76" s="53" t="n">
        <f aca="false">IF(BI$4=1,Inputs!$E$69,0)</f>
        <v>0</v>
      </c>
      <c r="BJ76" s="53" t="n">
        <f aca="false">IF(BJ$4=1,Inputs!$E$69,0)</f>
        <v>0</v>
      </c>
    </row>
    <row r="77" customFormat="false" ht="15" hidden="false" customHeight="false" outlineLevel="0" collapsed="false">
      <c r="A77" s="6" t="s">
        <v>52</v>
      </c>
      <c r="C77" s="53" t="n">
        <f aca="false">C76+C61+C62</f>
        <v>220000</v>
      </c>
      <c r="D77" s="53" t="n">
        <f aca="false">D76+D61+D62</f>
        <v>-1166.66666666667</v>
      </c>
      <c r="E77" s="53" t="n">
        <f aca="false">E76+E61+E62</f>
        <v>-1166.66666666667</v>
      </c>
      <c r="F77" s="53" t="n">
        <f aca="false">F76+F61+F62</f>
        <v>-1166.66666666667</v>
      </c>
      <c r="G77" s="53" t="n">
        <f aca="false">G76+G61+G62</f>
        <v>-1166.66666666667</v>
      </c>
      <c r="H77" s="53" t="n">
        <f aca="false">H76+H61+H62</f>
        <v>-1166.66666666667</v>
      </c>
      <c r="I77" s="53" t="n">
        <f aca="false">I76+I61+I62</f>
        <v>-1166.66666666667</v>
      </c>
      <c r="J77" s="53" t="n">
        <f aca="false">J76+J61+J62</f>
        <v>-1166.66666666667</v>
      </c>
      <c r="K77" s="53" t="n">
        <f aca="false">K76+K61+K62</f>
        <v>-1166.66666666667</v>
      </c>
      <c r="L77" s="53" t="n">
        <f aca="false">L76+L61+L62</f>
        <v>-1166.66666666667</v>
      </c>
      <c r="M77" s="53" t="n">
        <f aca="false">M76+M61+M62</f>
        <v>-1166.66666666667</v>
      </c>
      <c r="N77" s="53" t="n">
        <f aca="false">N76+N61+N62</f>
        <v>-1166.66666666667</v>
      </c>
      <c r="O77" s="53" t="n">
        <f aca="false">O76+O61+O62</f>
        <v>-1166.66666666667</v>
      </c>
      <c r="P77" s="53" t="n">
        <f aca="false">P76+P61+P62</f>
        <v>-1166.66666666667</v>
      </c>
      <c r="Q77" s="53" t="n">
        <f aca="false">Q76+Q61+Q62</f>
        <v>-1166.66666666667</v>
      </c>
      <c r="R77" s="53" t="n">
        <f aca="false">R76+R61+R62</f>
        <v>-1166.66666666667</v>
      </c>
      <c r="S77" s="53" t="n">
        <f aca="false">S76+S61+S62</f>
        <v>-1166.66666666667</v>
      </c>
      <c r="T77" s="53" t="n">
        <f aca="false">T76+T61+T62</f>
        <v>-1166.66666666667</v>
      </c>
      <c r="U77" s="53" t="n">
        <f aca="false">U76+U61+U62</f>
        <v>-1166.66666666667</v>
      </c>
      <c r="V77" s="53" t="n">
        <f aca="false">V76+V61+V62</f>
        <v>-1166.66666666667</v>
      </c>
      <c r="W77" s="53" t="n">
        <f aca="false">W76+W61+W62</f>
        <v>-1166.66666666667</v>
      </c>
      <c r="X77" s="53" t="n">
        <f aca="false">X76+X61+X62</f>
        <v>-1166.66666666667</v>
      </c>
      <c r="Y77" s="53" t="n">
        <f aca="false">Y76+Y61+Y62</f>
        <v>-1166.66666666667</v>
      </c>
      <c r="Z77" s="53" t="n">
        <f aca="false">Z76+Z61+Z62</f>
        <v>-1166.66666666667</v>
      </c>
      <c r="AA77" s="53" t="n">
        <f aca="false">AA76+AA61+AA62</f>
        <v>-1166.66666666667</v>
      </c>
      <c r="AB77" s="53" t="n">
        <f aca="false">AB76+AB61+AB62</f>
        <v>-1166.66666666667</v>
      </c>
      <c r="AC77" s="53" t="n">
        <f aca="false">AC76+AC61+AC62</f>
        <v>-1166.66666666667</v>
      </c>
      <c r="AD77" s="53" t="n">
        <f aca="false">AD76+AD61+AD62</f>
        <v>-1166.66666666667</v>
      </c>
      <c r="AE77" s="53" t="n">
        <f aca="false">AE76+AE61+AE62</f>
        <v>-1166.66666666667</v>
      </c>
      <c r="AF77" s="53" t="n">
        <f aca="false">AF76+AF61+AF62</f>
        <v>-1166.66666666667</v>
      </c>
      <c r="AG77" s="53" t="n">
        <f aca="false">AG76+AG61+AG62</f>
        <v>-1166.66666666667</v>
      </c>
      <c r="AH77" s="53" t="n">
        <f aca="false">AH76+AH61+AH62</f>
        <v>-1166.66666666667</v>
      </c>
      <c r="AI77" s="53" t="n">
        <f aca="false">AI76+AI61+AI62</f>
        <v>-1166.66666666667</v>
      </c>
      <c r="AJ77" s="53" t="n">
        <f aca="false">AJ76+AJ61+AJ62</f>
        <v>-1166.66666666667</v>
      </c>
      <c r="AK77" s="53" t="n">
        <f aca="false">AK76+AK61+AK62</f>
        <v>-1166.66666666667</v>
      </c>
      <c r="AL77" s="53" t="n">
        <f aca="false">AL76+AL61+AL62</f>
        <v>-1166.66666666667</v>
      </c>
      <c r="AM77" s="53" t="n">
        <f aca="false">AM76+AM61+AM62</f>
        <v>-1166.66666666667</v>
      </c>
      <c r="AN77" s="53" t="n">
        <f aca="false">AN76+AN61+AN62</f>
        <v>-1166.66666666667</v>
      </c>
      <c r="AO77" s="53" t="n">
        <f aca="false">AO76+AO61+AO62</f>
        <v>-1166.66666666667</v>
      </c>
      <c r="AP77" s="53" t="n">
        <f aca="false">AP76+AP61+AP62</f>
        <v>-1166.66666666667</v>
      </c>
      <c r="AQ77" s="53" t="n">
        <f aca="false">AQ76+AQ61+AQ62</f>
        <v>-1166.66666666667</v>
      </c>
      <c r="AR77" s="53" t="n">
        <f aca="false">AR76+AR61+AR62</f>
        <v>-1166.66666666667</v>
      </c>
      <c r="AS77" s="53" t="n">
        <f aca="false">AS76+AS61+AS62</f>
        <v>-1166.66666666667</v>
      </c>
      <c r="AT77" s="53" t="n">
        <f aca="false">AT76+AT61+AT62</f>
        <v>-1166.66666666667</v>
      </c>
      <c r="AU77" s="53" t="n">
        <f aca="false">AU76+AU61+AU62</f>
        <v>-1166.66666666667</v>
      </c>
      <c r="AV77" s="53" t="n">
        <f aca="false">AV76+AV61+AV62</f>
        <v>-1166.66666666667</v>
      </c>
      <c r="AW77" s="53" t="n">
        <f aca="false">AW76+AW61+AW62</f>
        <v>-1166.66666666667</v>
      </c>
      <c r="AX77" s="53" t="n">
        <f aca="false">AX76+AX61+AX62</f>
        <v>-1166.66666666667</v>
      </c>
      <c r="AY77" s="53" t="n">
        <f aca="false">AY76+AY61+AY62</f>
        <v>-1166.66666666667</v>
      </c>
      <c r="AZ77" s="53" t="n">
        <f aca="false">AZ76+AZ61+AZ62</f>
        <v>-1166.66666666667</v>
      </c>
      <c r="BA77" s="53" t="n">
        <f aca="false">BA76+BA61+BA62</f>
        <v>-1166.66666666667</v>
      </c>
      <c r="BB77" s="53" t="n">
        <f aca="false">BB76+BB61+BB62</f>
        <v>-1166.66666666667</v>
      </c>
      <c r="BC77" s="53" t="n">
        <f aca="false">BC76+BC61+BC62</f>
        <v>-1166.66666666667</v>
      </c>
      <c r="BD77" s="53" t="n">
        <f aca="false">BD76+BD61+BD62</f>
        <v>-1166.66666666667</v>
      </c>
      <c r="BE77" s="53" t="n">
        <f aca="false">BE76+BE61+BE62</f>
        <v>-1166.66666666667</v>
      </c>
      <c r="BF77" s="53" t="n">
        <f aca="false">BF76+BF61+BF62</f>
        <v>-1166.66666666667</v>
      </c>
      <c r="BG77" s="53" t="n">
        <f aca="false">BG76+BG61+BG62</f>
        <v>-1166.66666666667</v>
      </c>
      <c r="BH77" s="53" t="n">
        <f aca="false">BH76+BH61+BH62</f>
        <v>-1166.66666666667</v>
      </c>
      <c r="BI77" s="53" t="n">
        <f aca="false">BI76+BI61+BI62</f>
        <v>-1166.66666666667</v>
      </c>
      <c r="BJ77" s="53" t="n">
        <f aca="false">BJ76+BJ61+BJ62</f>
        <v>-1166.66666666667</v>
      </c>
    </row>
    <row r="78" customFormat="false" ht="15" hidden="false" customHeight="false" outlineLevel="0" collapsed="false">
      <c r="A78" s="102" t="s">
        <v>402</v>
      </c>
      <c r="C78" s="54" t="n">
        <f aca="false">C74+C75+C77</f>
        <v>90660.2506666667</v>
      </c>
      <c r="D78" s="54" t="n">
        <f aca="false">D74+D75+D77</f>
        <v>-4192.40231111112</v>
      </c>
      <c r="E78" s="54" t="n">
        <f aca="false">E74+E75+E77</f>
        <v>-4184.62453333334</v>
      </c>
      <c r="F78" s="54" t="n">
        <f aca="false">F74+F75+F77</f>
        <v>-4176.84675555556</v>
      </c>
      <c r="G78" s="54" t="n">
        <f aca="false">G74+G75+G77</f>
        <v>-4169.06897777778</v>
      </c>
      <c r="H78" s="54" t="n">
        <f aca="false">H74+H75+H77</f>
        <v>-4161.29120000001</v>
      </c>
      <c r="I78" s="54" t="n">
        <f aca="false">I74+I75+I77</f>
        <v>-4153.51342222223</v>
      </c>
      <c r="J78" s="54" t="n">
        <f aca="false">J74+J75+J77</f>
        <v>-4145.73564444445</v>
      </c>
      <c r="K78" s="54" t="n">
        <f aca="false">K74+K75+K77</f>
        <v>-4137.95786666667</v>
      </c>
      <c r="L78" s="54" t="n">
        <f aca="false">L74+L75+L77</f>
        <v>-4130.18008888889</v>
      </c>
      <c r="M78" s="54" t="n">
        <f aca="false">M74+M75+M77</f>
        <v>-4122.40231111112</v>
      </c>
      <c r="N78" s="54" t="n">
        <f aca="false">N74+N75+N77</f>
        <v>-4114.62453333334</v>
      </c>
      <c r="O78" s="54" t="n">
        <f aca="false">O74+O75+O77</f>
        <v>109.463324444445</v>
      </c>
      <c r="P78" s="54" t="n">
        <f aca="false">P74+P75+P77</f>
        <v>-188.719921777776</v>
      </c>
      <c r="Q78" s="54" t="n">
        <f aca="false">Q74+Q75+Q77</f>
        <v>-180.942143999998</v>
      </c>
      <c r="R78" s="54" t="n">
        <f aca="false">R74+R75+R77</f>
        <v>-173.16436622222</v>
      </c>
      <c r="S78" s="54" t="n">
        <f aca="false">S74+S75+S77</f>
        <v>-165.386588444443</v>
      </c>
      <c r="T78" s="54" t="n">
        <f aca="false">T74+T75+T77</f>
        <v>-157.608810666665</v>
      </c>
      <c r="U78" s="54" t="n">
        <f aca="false">U74+U75+U77</f>
        <v>-149.831032888887</v>
      </c>
      <c r="V78" s="54" t="n">
        <f aca="false">V74+V75+V77</f>
        <v>-142.053255111109</v>
      </c>
      <c r="W78" s="54" t="n">
        <f aca="false">W74+W75+W77</f>
        <v>-134.275477333332</v>
      </c>
      <c r="X78" s="54" t="n">
        <f aca="false">X74+X75+X77</f>
        <v>-126.497699555554</v>
      </c>
      <c r="Y78" s="54" t="n">
        <f aca="false">Y74+Y75+Y77</f>
        <v>-118.719921777776</v>
      </c>
      <c r="Z78" s="54" t="n">
        <f aca="false">Z74+Z75+Z77</f>
        <v>-110.942143999999</v>
      </c>
      <c r="AA78" s="54" t="n">
        <f aca="false">AA74+AA75+AA77</f>
        <v>4356.69509297778</v>
      </c>
      <c r="AB78" s="54" t="n">
        <f aca="false">AB74+AB75+AB77</f>
        <v>4041.13507299556</v>
      </c>
      <c r="AC78" s="54" t="n">
        <f aca="false">AC74+AC75+AC77</f>
        <v>4048.91285077334</v>
      </c>
      <c r="AD78" s="54" t="n">
        <f aca="false">AD74+AD75+AD77</f>
        <v>4056.69062855112</v>
      </c>
      <c r="AE78" s="54" t="n">
        <f aca="false">AE74+AE75+AE77</f>
        <v>4064.4684063289</v>
      </c>
      <c r="AF78" s="54" t="n">
        <f aca="false">AF74+AF75+AF77</f>
        <v>4072.24618410667</v>
      </c>
      <c r="AG78" s="54" t="n">
        <f aca="false">AG74+AG75+AG77</f>
        <v>4080.02396188445</v>
      </c>
      <c r="AH78" s="54" t="n">
        <f aca="false">AH74+AH75+AH77</f>
        <v>4087.80173966223</v>
      </c>
      <c r="AI78" s="54" t="n">
        <f aca="false">AI74+AI75+AI77</f>
        <v>4095.57951744001</v>
      </c>
      <c r="AJ78" s="54" t="n">
        <f aca="false">AJ74+AJ75+AJ77</f>
        <v>4103.35729521778</v>
      </c>
      <c r="AK78" s="54" t="n">
        <f aca="false">AK74+AK75+AK77</f>
        <v>4111.13507299556</v>
      </c>
      <c r="AL78" s="54" t="n">
        <f aca="false">AL74+AL75+AL77</f>
        <v>4118.91285077334</v>
      </c>
      <c r="AM78" s="54" t="n">
        <f aca="false">AM74+AM75+AM77</f>
        <v>8840.91775063111</v>
      </c>
      <c r="AN78" s="54" t="n">
        <f aca="false">AN74+AN75+AN77</f>
        <v>8320.16826452109</v>
      </c>
      <c r="AO78" s="54" t="n">
        <f aca="false">AO74+AO75+AO77</f>
        <v>6800.3432795985</v>
      </c>
      <c r="AP78" s="54" t="n">
        <f aca="false">AP74+AP75+AP77</f>
        <v>6806.48772404295</v>
      </c>
      <c r="AQ78" s="54" t="n">
        <f aca="false">AQ74+AQ75+AQ77</f>
        <v>6812.63216848739</v>
      </c>
      <c r="AR78" s="54" t="n">
        <f aca="false">AR74+AR75+AR77</f>
        <v>6818.77661293184</v>
      </c>
      <c r="AS78" s="54" t="n">
        <f aca="false">AS74+AS75+AS77</f>
        <v>6824.92105737628</v>
      </c>
      <c r="AT78" s="54" t="n">
        <f aca="false">AT74+AT75+AT77</f>
        <v>6831.06550182073</v>
      </c>
      <c r="AU78" s="54" t="n">
        <f aca="false">AU74+AU75+AU77</f>
        <v>6837.20994626517</v>
      </c>
      <c r="AV78" s="54" t="n">
        <f aca="false">AV74+AV75+AV77</f>
        <v>6843.35439070961</v>
      </c>
      <c r="AW78" s="54" t="n">
        <f aca="false">AW74+AW75+AW77</f>
        <v>6849.49883515406</v>
      </c>
      <c r="AX78" s="54" t="n">
        <f aca="false">AX74+AX75+AX77</f>
        <v>6855.6432795985</v>
      </c>
      <c r="AY78" s="54" t="n">
        <f aca="false">AY74+AY75+AY77</f>
        <v>9155.98889823491</v>
      </c>
      <c r="AZ78" s="54" t="n">
        <f aca="false">AZ74+AZ75+AZ77</f>
        <v>8951.01177256467</v>
      </c>
      <c r="BA78" s="54" t="n">
        <f aca="false">BA74+BA75+BA77</f>
        <v>8957.15621700912</v>
      </c>
      <c r="BB78" s="54" t="n">
        <f aca="false">BB74+BB75+BB77</f>
        <v>8963.30066145356</v>
      </c>
      <c r="BC78" s="54" t="n">
        <f aca="false">BC74+BC75+BC77</f>
        <v>8969.44510589801</v>
      </c>
      <c r="BD78" s="54" t="n">
        <f aca="false">BD74+BD75+BD77</f>
        <v>8975.58955034245</v>
      </c>
      <c r="BE78" s="54" t="n">
        <f aca="false">BE74+BE75+BE77</f>
        <v>8981.73399478689</v>
      </c>
      <c r="BF78" s="54" t="n">
        <f aca="false">BF74+BF75+BF77</f>
        <v>8987.87843923134</v>
      </c>
      <c r="BG78" s="54" t="n">
        <f aca="false">BG74+BG75+BG77</f>
        <v>8994.02288367579</v>
      </c>
      <c r="BH78" s="54" t="n">
        <f aca="false">BH74+BH75+BH77</f>
        <v>9000.16732812023</v>
      </c>
      <c r="BI78" s="54" t="n">
        <f aca="false">BI74+BI75+BI77</f>
        <v>9006.31177256467</v>
      </c>
      <c r="BJ78" s="54" t="n">
        <f aca="false">BJ74+BJ75+BJ77</f>
        <v>9012.45621700912</v>
      </c>
    </row>
    <row r="79" customFormat="false" ht="15" hidden="false" customHeight="false" outlineLevel="0" collapsed="false">
      <c r="A79" s="6" t="s">
        <v>316</v>
      </c>
      <c r="C79" s="53" t="n">
        <f aca="false">0</f>
        <v>0</v>
      </c>
      <c r="D79" s="53" t="n">
        <f aca="false">C80</f>
        <v>90660.2506666667</v>
      </c>
      <c r="E79" s="53" t="n">
        <f aca="false">D80</f>
        <v>86467.8483555555</v>
      </c>
      <c r="F79" s="53" t="n">
        <f aca="false">E80</f>
        <v>82283.2238222222</v>
      </c>
      <c r="G79" s="53" t="n">
        <f aca="false">F80</f>
        <v>78106.3770666667</v>
      </c>
      <c r="H79" s="53" t="n">
        <f aca="false">G80</f>
        <v>73937.3080888889</v>
      </c>
      <c r="I79" s="53" t="n">
        <f aca="false">H80</f>
        <v>69776.0168888889</v>
      </c>
      <c r="J79" s="53" t="n">
        <f aca="false">I80</f>
        <v>65622.5034666666</v>
      </c>
      <c r="K79" s="53" t="n">
        <f aca="false">J80</f>
        <v>61476.7678222222</v>
      </c>
      <c r="L79" s="53" t="n">
        <f aca="false">K80</f>
        <v>57338.8099555555</v>
      </c>
      <c r="M79" s="53" t="n">
        <f aca="false">L80</f>
        <v>53208.6298666666</v>
      </c>
      <c r="N79" s="53" t="n">
        <f aca="false">M80</f>
        <v>49086.2275555555</v>
      </c>
      <c r="O79" s="53" t="n">
        <f aca="false">N80</f>
        <v>44971.6030222222</v>
      </c>
      <c r="P79" s="53" t="n">
        <f aca="false">O80</f>
        <v>45081.0663466666</v>
      </c>
      <c r="Q79" s="53" t="n">
        <f aca="false">P80</f>
        <v>44892.3464248888</v>
      </c>
      <c r="R79" s="53" t="n">
        <f aca="false">Q80</f>
        <v>44711.4042808888</v>
      </c>
      <c r="S79" s="53" t="n">
        <f aca="false">R80</f>
        <v>44538.2399146666</v>
      </c>
      <c r="T79" s="53" t="n">
        <f aca="false">S80</f>
        <v>44372.8533262222</v>
      </c>
      <c r="U79" s="53" t="n">
        <f aca="false">T80</f>
        <v>44215.2445155555</v>
      </c>
      <c r="V79" s="53" t="n">
        <f aca="false">U80</f>
        <v>44065.4134826666</v>
      </c>
      <c r="W79" s="53" t="n">
        <f aca="false">V80</f>
        <v>43923.3602275555</v>
      </c>
      <c r="X79" s="53" t="n">
        <f aca="false">W80</f>
        <v>43789.0847502222</v>
      </c>
      <c r="Y79" s="53" t="n">
        <f aca="false">X80</f>
        <v>43662.5870506666</v>
      </c>
      <c r="Z79" s="53" t="n">
        <f aca="false">Y80</f>
        <v>43543.8671288889</v>
      </c>
      <c r="AA79" s="53" t="n">
        <f aca="false">Z80</f>
        <v>43432.9249848889</v>
      </c>
      <c r="AB79" s="53" t="n">
        <f aca="false">AA80</f>
        <v>47789.6200778666</v>
      </c>
      <c r="AC79" s="53" t="n">
        <f aca="false">AB80</f>
        <v>51830.7551508622</v>
      </c>
      <c r="AD79" s="53" t="n">
        <f aca="false">AC80</f>
        <v>55879.6680016355</v>
      </c>
      <c r="AE79" s="53" t="n">
        <f aca="false">AD80</f>
        <v>59936.3586301866</v>
      </c>
      <c r="AF79" s="53" t="n">
        <f aca="false">AE80</f>
        <v>64000.8270365155</v>
      </c>
      <c r="AG79" s="53" t="n">
        <f aca="false">AF80</f>
        <v>68073.0732206222</v>
      </c>
      <c r="AH79" s="53" t="n">
        <f aca="false">AG80</f>
        <v>72153.0971825067</v>
      </c>
      <c r="AI79" s="53" t="n">
        <f aca="false">AH80</f>
        <v>76240.8989221689</v>
      </c>
      <c r="AJ79" s="53" t="n">
        <f aca="false">AI80</f>
        <v>80336.4784396089</v>
      </c>
      <c r="AK79" s="53" t="n">
        <f aca="false">AJ80</f>
        <v>84439.8357348267</v>
      </c>
      <c r="AL79" s="53" t="n">
        <f aca="false">AK80</f>
        <v>88550.9708078223</v>
      </c>
      <c r="AM79" s="53" t="n">
        <f aca="false">AL80</f>
        <v>92669.8836585956</v>
      </c>
      <c r="AN79" s="53" t="n">
        <f aca="false">AM80</f>
        <v>101510.801409227</v>
      </c>
      <c r="AO79" s="53" t="n">
        <f aca="false">AN80</f>
        <v>109830.969673748</v>
      </c>
      <c r="AP79" s="53" t="n">
        <f aca="false">AO80</f>
        <v>116631.312953346</v>
      </c>
      <c r="AQ79" s="53" t="n">
        <f aca="false">AP80</f>
        <v>123437.800677389</v>
      </c>
      <c r="AR79" s="53" t="n">
        <f aca="false">AQ80</f>
        <v>130250.432845877</v>
      </c>
      <c r="AS79" s="53" t="n">
        <f aca="false">AR80</f>
        <v>137069.209458808</v>
      </c>
      <c r="AT79" s="53" t="n">
        <f aca="false">AS80</f>
        <v>143894.130516185</v>
      </c>
      <c r="AU79" s="53" t="n">
        <f aca="false">AT80</f>
        <v>150725.196018005</v>
      </c>
      <c r="AV79" s="53" t="n">
        <f aca="false">AU80</f>
        <v>157562.405964271</v>
      </c>
      <c r="AW79" s="53" t="n">
        <f aca="false">AV80</f>
        <v>164405.76035498</v>
      </c>
      <c r="AX79" s="53" t="n">
        <f aca="false">AW80</f>
        <v>171255.259190134</v>
      </c>
      <c r="AY79" s="53" t="n">
        <f aca="false">AX80</f>
        <v>178110.902469733</v>
      </c>
      <c r="AZ79" s="53" t="n">
        <f aca="false">AY80</f>
        <v>187266.891367968</v>
      </c>
      <c r="BA79" s="53" t="n">
        <f aca="false">AZ80</f>
        <v>196217.903140532</v>
      </c>
      <c r="BB79" s="53" t="n">
        <f aca="false">BA80</f>
        <v>205175.059357542</v>
      </c>
      <c r="BC79" s="53" t="n">
        <f aca="false">BB80</f>
        <v>214138.360018995</v>
      </c>
      <c r="BD79" s="53" t="n">
        <f aca="false">BC80</f>
        <v>223107.805124893</v>
      </c>
      <c r="BE79" s="53" t="n">
        <f aca="false">BD80</f>
        <v>232083.394675236</v>
      </c>
      <c r="BF79" s="53" t="n">
        <f aca="false">BE80</f>
        <v>241065.128670022</v>
      </c>
      <c r="BG79" s="53" t="n">
        <f aca="false">BF80</f>
        <v>250053.007109254</v>
      </c>
      <c r="BH79" s="53" t="n">
        <f aca="false">BG80</f>
        <v>259047.02999293</v>
      </c>
      <c r="BI79" s="53" t="n">
        <f aca="false">BH80</f>
        <v>268047.19732105</v>
      </c>
      <c r="BJ79" s="53" t="n">
        <f aca="false">BI80</f>
        <v>277053.509093614</v>
      </c>
    </row>
    <row r="80" customFormat="false" ht="15" hidden="false" customHeight="false" outlineLevel="0" collapsed="false">
      <c r="A80" s="102" t="s">
        <v>84</v>
      </c>
      <c r="C80" s="54" t="n">
        <f aca="false">C79+C78</f>
        <v>90660.2506666667</v>
      </c>
      <c r="D80" s="54" t="n">
        <f aca="false">D79+D78</f>
        <v>86467.8483555555</v>
      </c>
      <c r="E80" s="54" t="n">
        <f aca="false">E79+E78</f>
        <v>82283.2238222222</v>
      </c>
      <c r="F80" s="54" t="n">
        <f aca="false">F79+F78</f>
        <v>78106.3770666667</v>
      </c>
      <c r="G80" s="54" t="n">
        <f aca="false">G79+G78</f>
        <v>73937.3080888889</v>
      </c>
      <c r="H80" s="54" t="n">
        <f aca="false">H79+H78</f>
        <v>69776.0168888889</v>
      </c>
      <c r="I80" s="54" t="n">
        <f aca="false">I79+I78</f>
        <v>65622.5034666666</v>
      </c>
      <c r="J80" s="54" t="n">
        <f aca="false">J79+J78</f>
        <v>61476.7678222222</v>
      </c>
      <c r="K80" s="54" t="n">
        <f aca="false">K79+K78</f>
        <v>57338.8099555555</v>
      </c>
      <c r="L80" s="54" t="n">
        <f aca="false">L79+L78</f>
        <v>53208.6298666666</v>
      </c>
      <c r="M80" s="54" t="n">
        <f aca="false">M79+M78</f>
        <v>49086.2275555555</v>
      </c>
      <c r="N80" s="54" t="n">
        <f aca="false">N79+N78</f>
        <v>44971.6030222222</v>
      </c>
      <c r="O80" s="54" t="n">
        <f aca="false">O79+O78</f>
        <v>45081.0663466666</v>
      </c>
      <c r="P80" s="54" t="n">
        <f aca="false">P79+P78</f>
        <v>44892.3464248888</v>
      </c>
      <c r="Q80" s="54" t="n">
        <f aca="false">Q79+Q78</f>
        <v>44711.4042808888</v>
      </c>
      <c r="R80" s="54" t="n">
        <f aca="false">R79+R78</f>
        <v>44538.2399146666</v>
      </c>
      <c r="S80" s="54" t="n">
        <f aca="false">S79+S78</f>
        <v>44372.8533262222</v>
      </c>
      <c r="T80" s="54" t="n">
        <f aca="false">T79+T78</f>
        <v>44215.2445155555</v>
      </c>
      <c r="U80" s="54" t="n">
        <f aca="false">U79+U78</f>
        <v>44065.4134826666</v>
      </c>
      <c r="V80" s="54" t="n">
        <f aca="false">V79+V78</f>
        <v>43923.3602275555</v>
      </c>
      <c r="W80" s="54" t="n">
        <f aca="false">W79+W78</f>
        <v>43789.0847502222</v>
      </c>
      <c r="X80" s="54" t="n">
        <f aca="false">X79+X78</f>
        <v>43662.5870506666</v>
      </c>
      <c r="Y80" s="54" t="n">
        <f aca="false">Y79+Y78</f>
        <v>43543.8671288889</v>
      </c>
      <c r="Z80" s="54" t="n">
        <f aca="false">Z79+Z78</f>
        <v>43432.9249848889</v>
      </c>
      <c r="AA80" s="54" t="n">
        <f aca="false">AA79+AA78</f>
        <v>47789.6200778666</v>
      </c>
      <c r="AB80" s="54" t="n">
        <f aca="false">AB79+AB78</f>
        <v>51830.7551508622</v>
      </c>
      <c r="AC80" s="54" t="n">
        <f aca="false">AC79+AC78</f>
        <v>55879.6680016355</v>
      </c>
      <c r="AD80" s="54" t="n">
        <f aca="false">AD79+AD78</f>
        <v>59936.3586301866</v>
      </c>
      <c r="AE80" s="54" t="n">
        <f aca="false">AE79+AE78</f>
        <v>64000.8270365155</v>
      </c>
      <c r="AF80" s="54" t="n">
        <f aca="false">AF79+AF78</f>
        <v>68073.0732206222</v>
      </c>
      <c r="AG80" s="54" t="n">
        <f aca="false">AG79+AG78</f>
        <v>72153.0971825067</v>
      </c>
      <c r="AH80" s="54" t="n">
        <f aca="false">AH79+AH78</f>
        <v>76240.8989221689</v>
      </c>
      <c r="AI80" s="54" t="n">
        <f aca="false">AI79+AI78</f>
        <v>80336.4784396089</v>
      </c>
      <c r="AJ80" s="54" t="n">
        <f aca="false">AJ79+AJ78</f>
        <v>84439.8357348267</v>
      </c>
      <c r="AK80" s="54" t="n">
        <f aca="false">AK79+AK78</f>
        <v>88550.9708078223</v>
      </c>
      <c r="AL80" s="54" t="n">
        <f aca="false">AL79+AL78</f>
        <v>92669.8836585956</v>
      </c>
      <c r="AM80" s="54" t="n">
        <f aca="false">AM79+AM78</f>
        <v>101510.801409227</v>
      </c>
      <c r="AN80" s="54" t="n">
        <f aca="false">AN79+AN78</f>
        <v>109830.969673748</v>
      </c>
      <c r="AO80" s="54" t="n">
        <f aca="false">AO79+AO78</f>
        <v>116631.312953346</v>
      </c>
      <c r="AP80" s="54" t="n">
        <f aca="false">AP79+AP78</f>
        <v>123437.800677389</v>
      </c>
      <c r="AQ80" s="54" t="n">
        <f aca="false">AQ79+AQ78</f>
        <v>130250.432845877</v>
      </c>
      <c r="AR80" s="54" t="n">
        <f aca="false">AR79+AR78</f>
        <v>137069.209458808</v>
      </c>
      <c r="AS80" s="54" t="n">
        <f aca="false">AS79+AS78</f>
        <v>143894.130516185</v>
      </c>
      <c r="AT80" s="54" t="n">
        <f aca="false">AT79+AT78</f>
        <v>150725.196018005</v>
      </c>
      <c r="AU80" s="54" t="n">
        <f aca="false">AU79+AU78</f>
        <v>157562.405964271</v>
      </c>
      <c r="AV80" s="54" t="n">
        <f aca="false">AV79+AV78</f>
        <v>164405.76035498</v>
      </c>
      <c r="AW80" s="54" t="n">
        <f aca="false">AW79+AW78</f>
        <v>171255.259190134</v>
      </c>
      <c r="AX80" s="54" t="n">
        <f aca="false">AX79+AX78</f>
        <v>178110.902469733</v>
      </c>
      <c r="AY80" s="54" t="n">
        <f aca="false">AY79+AY78</f>
        <v>187266.891367968</v>
      </c>
      <c r="AZ80" s="54" t="n">
        <f aca="false">AZ79+AZ78</f>
        <v>196217.903140532</v>
      </c>
      <c r="BA80" s="54" t="n">
        <f aca="false">BA79+BA78</f>
        <v>205175.059357542</v>
      </c>
      <c r="BB80" s="54" t="n">
        <f aca="false">BB79+BB78</f>
        <v>214138.360018995</v>
      </c>
      <c r="BC80" s="54" t="n">
        <f aca="false">BC79+BC78</f>
        <v>223107.805124893</v>
      </c>
      <c r="BD80" s="54" t="n">
        <f aca="false">BD79+BD78</f>
        <v>232083.394675236</v>
      </c>
      <c r="BE80" s="54" t="n">
        <f aca="false">BE79+BE78</f>
        <v>241065.128670022</v>
      </c>
      <c r="BF80" s="54" t="n">
        <f aca="false">BF79+BF78</f>
        <v>250053.007109254</v>
      </c>
      <c r="BG80" s="54" t="n">
        <f aca="false">BG79+BG78</f>
        <v>259047.02999293</v>
      </c>
      <c r="BH80" s="54" t="n">
        <f aca="false">BH79+BH78</f>
        <v>268047.19732105</v>
      </c>
      <c r="BI80" s="54" t="n">
        <f aca="false">BI79+BI78</f>
        <v>277053.509093614</v>
      </c>
      <c r="BJ80" s="54" t="n">
        <f aca="false">BJ79+BJ78</f>
        <v>286065.965310624</v>
      </c>
    </row>
    <row r="81" customFormat="false" ht="15" hidden="false" customHeight="false" outlineLevel="0" collapsed="false">
      <c r="A81" s="109" t="s">
        <v>403</v>
      </c>
      <c r="C81" s="106" t="n">
        <f aca="false">IF(C41&gt;0,1,0)</f>
        <v>0</v>
      </c>
      <c r="D81" s="106" t="n">
        <f aca="false">IF(D41&gt;0,1,0)</f>
        <v>0</v>
      </c>
      <c r="E81" s="106" t="n">
        <f aca="false">IF(E41&gt;0,1,0)</f>
        <v>0</v>
      </c>
      <c r="F81" s="106" t="n">
        <f aca="false">IF(F41&gt;0,1,0)</f>
        <v>0</v>
      </c>
      <c r="G81" s="106" t="n">
        <f aca="false">IF(G41&gt;0,1,0)</f>
        <v>0</v>
      </c>
      <c r="H81" s="106" t="n">
        <f aca="false">IF(H41&gt;0,1,0)</f>
        <v>0</v>
      </c>
      <c r="I81" s="106" t="n">
        <f aca="false">IF(I41&gt;0,1,0)</f>
        <v>0</v>
      </c>
      <c r="J81" s="106" t="n">
        <f aca="false">IF(J41&gt;0,1,0)</f>
        <v>0</v>
      </c>
      <c r="K81" s="106" t="n">
        <f aca="false">IF(K41&gt;0,1,0)</f>
        <v>0</v>
      </c>
      <c r="L81" s="106" t="n">
        <f aca="false">IF(L41&gt;0,1,0)</f>
        <v>0</v>
      </c>
      <c r="M81" s="106" t="n">
        <f aca="false">IF(M41&gt;0,1,0)</f>
        <v>0</v>
      </c>
      <c r="N81" s="106" t="n">
        <f aca="false">IF(N41&gt;0,1,0)</f>
        <v>0</v>
      </c>
      <c r="O81" s="106" t="n">
        <f aca="false">IF(O41&gt;0,1,0)</f>
        <v>1</v>
      </c>
      <c r="P81" s="106" t="n">
        <f aca="false">IF(P41&gt;0,1,0)</f>
        <v>1</v>
      </c>
      <c r="Q81" s="106" t="n">
        <f aca="false">IF(Q41&gt;0,1,0)</f>
        <v>1</v>
      </c>
      <c r="R81" s="106" t="n">
        <f aca="false">IF(R41&gt;0,1,0)</f>
        <v>1</v>
      </c>
      <c r="S81" s="106" t="n">
        <f aca="false">IF(S41&gt;0,1,0)</f>
        <v>1</v>
      </c>
      <c r="T81" s="106" t="n">
        <f aca="false">IF(T41&gt;0,1,0)</f>
        <v>1</v>
      </c>
      <c r="U81" s="106" t="n">
        <f aca="false">IF(U41&gt;0,1,0)</f>
        <v>1</v>
      </c>
      <c r="V81" s="106" t="n">
        <f aca="false">IF(V41&gt;0,1,0)</f>
        <v>1</v>
      </c>
      <c r="W81" s="106" t="n">
        <f aca="false">IF(W41&gt;0,1,0)</f>
        <v>1</v>
      </c>
      <c r="X81" s="106" t="n">
        <f aca="false">IF(X41&gt;0,1,0)</f>
        <v>1</v>
      </c>
      <c r="Y81" s="106" t="n">
        <f aca="false">IF(Y41&gt;0,1,0)</f>
        <v>1</v>
      </c>
      <c r="Z81" s="106" t="n">
        <f aca="false">IF(Z41&gt;0,1,0)</f>
        <v>1</v>
      </c>
      <c r="AA81" s="106" t="n">
        <f aca="false">IF(AA41&gt;0,1,0)</f>
        <v>1</v>
      </c>
      <c r="AB81" s="106" t="n">
        <f aca="false">IF(AB41&gt;0,1,0)</f>
        <v>1</v>
      </c>
      <c r="AC81" s="106" t="n">
        <f aca="false">IF(AC41&gt;0,1,0)</f>
        <v>1</v>
      </c>
      <c r="AD81" s="106" t="n">
        <f aca="false">IF(AD41&gt;0,1,0)</f>
        <v>1</v>
      </c>
      <c r="AE81" s="106" t="n">
        <f aca="false">IF(AE41&gt;0,1,0)</f>
        <v>1</v>
      </c>
      <c r="AF81" s="106" t="n">
        <f aca="false">IF(AF41&gt;0,1,0)</f>
        <v>1</v>
      </c>
      <c r="AG81" s="106" t="n">
        <f aca="false">IF(AG41&gt;0,1,0)</f>
        <v>1</v>
      </c>
      <c r="AH81" s="106" t="n">
        <f aca="false">IF(AH41&gt;0,1,0)</f>
        <v>1</v>
      </c>
      <c r="AI81" s="106" t="n">
        <f aca="false">IF(AI41&gt;0,1,0)</f>
        <v>1</v>
      </c>
      <c r="AJ81" s="106" t="n">
        <f aca="false">IF(AJ41&gt;0,1,0)</f>
        <v>1</v>
      </c>
      <c r="AK81" s="106" t="n">
        <f aca="false">IF(AK41&gt;0,1,0)</f>
        <v>1</v>
      </c>
      <c r="AL81" s="106" t="n">
        <f aca="false">IF(AL41&gt;0,1,0)</f>
        <v>1</v>
      </c>
      <c r="AM81" s="106" t="n">
        <f aca="false">IF(AM41&gt;0,1,0)</f>
        <v>1</v>
      </c>
      <c r="AN81" s="106" t="n">
        <f aca="false">IF(AN41&gt;0,1,0)</f>
        <v>1</v>
      </c>
      <c r="AO81" s="106" t="n">
        <f aca="false">IF(AO41&gt;0,1,0)</f>
        <v>1</v>
      </c>
      <c r="AP81" s="106" t="n">
        <f aca="false">IF(AP41&gt;0,1,0)</f>
        <v>1</v>
      </c>
      <c r="AQ81" s="106" t="n">
        <f aca="false">IF(AQ41&gt;0,1,0)</f>
        <v>1</v>
      </c>
      <c r="AR81" s="106" t="n">
        <f aca="false">IF(AR41&gt;0,1,0)</f>
        <v>1</v>
      </c>
      <c r="AS81" s="106" t="n">
        <f aca="false">IF(AS41&gt;0,1,0)</f>
        <v>1</v>
      </c>
      <c r="AT81" s="106" t="n">
        <f aca="false">IF(AT41&gt;0,1,0)</f>
        <v>1</v>
      </c>
      <c r="AU81" s="106" t="n">
        <f aca="false">IF(AU41&gt;0,1,0)</f>
        <v>1</v>
      </c>
      <c r="AV81" s="106" t="n">
        <f aca="false">IF(AV41&gt;0,1,0)</f>
        <v>1</v>
      </c>
      <c r="AW81" s="106" t="n">
        <f aca="false">IF(AW41&gt;0,1,0)</f>
        <v>1</v>
      </c>
      <c r="AX81" s="106" t="n">
        <f aca="false">IF(AX41&gt;0,1,0)</f>
        <v>1</v>
      </c>
      <c r="AY81" s="106" t="n">
        <f aca="false">IF(AY41&gt;0,1,0)</f>
        <v>1</v>
      </c>
      <c r="AZ81" s="106" t="n">
        <f aca="false">IF(AZ41&gt;0,1,0)</f>
        <v>1</v>
      </c>
      <c r="BA81" s="106" t="n">
        <f aca="false">IF(BA41&gt;0,1,0)</f>
        <v>1</v>
      </c>
      <c r="BB81" s="106" t="n">
        <f aca="false">IF(BB41&gt;0,1,0)</f>
        <v>1</v>
      </c>
      <c r="BC81" s="106" t="n">
        <f aca="false">IF(BC41&gt;0,1,0)</f>
        <v>1</v>
      </c>
      <c r="BD81" s="106" t="n">
        <f aca="false">IF(BD41&gt;0,1,0)</f>
        <v>1</v>
      </c>
      <c r="BE81" s="106" t="n">
        <f aca="false">IF(BE41&gt;0,1,0)</f>
        <v>1</v>
      </c>
      <c r="BF81" s="106" t="n">
        <f aca="false">IF(BF41&gt;0,1,0)</f>
        <v>1</v>
      </c>
      <c r="BG81" s="106" t="n">
        <f aca="false">IF(BG41&gt;0,1,0)</f>
        <v>1</v>
      </c>
      <c r="BH81" s="106" t="n">
        <f aca="false">IF(BH41&gt;0,1,0)</f>
        <v>1</v>
      </c>
      <c r="BI81" s="106" t="n">
        <f aca="false">IF(BI41&gt;0,1,0)</f>
        <v>1</v>
      </c>
      <c r="BJ81" s="106" t="n">
        <f aca="false">IF(BJ41&gt;0,1,0)</f>
        <v>1</v>
      </c>
    </row>
    <row r="83" customFormat="false" ht="15.75" hidden="false" customHeight="true" outlineLevel="0" collapsed="false">
      <c r="A83" s="7" t="s">
        <v>404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customFormat="false" ht="15" hidden="false" customHeight="false" outlineLevel="0" collapsed="false">
      <c r="A84" s="109" t="s">
        <v>405</v>
      </c>
      <c r="C84" s="106" t="n">
        <f aca="false">IF(C50&gt;0,1,0)</f>
        <v>0</v>
      </c>
      <c r="D84" s="106" t="n">
        <f aca="false">IF(D50&gt;0,1,0)</f>
        <v>0</v>
      </c>
      <c r="E84" s="106" t="n">
        <f aca="false">IF(E50&gt;0,1,0)</f>
        <v>0</v>
      </c>
      <c r="F84" s="106" t="n">
        <f aca="false">IF(F50&gt;0,1,0)</f>
        <v>0</v>
      </c>
      <c r="G84" s="106" t="n">
        <f aca="false">IF(G50&gt;0,1,0)</f>
        <v>0</v>
      </c>
      <c r="H84" s="106" t="n">
        <f aca="false">IF(H50&gt;0,1,0)</f>
        <v>0</v>
      </c>
      <c r="I84" s="106" t="n">
        <f aca="false">IF(I50&gt;0,1,0)</f>
        <v>0</v>
      </c>
      <c r="J84" s="106" t="n">
        <f aca="false">IF(J50&gt;0,1,0)</f>
        <v>0</v>
      </c>
      <c r="K84" s="106" t="n">
        <f aca="false">IF(K50&gt;0,1,0)</f>
        <v>0</v>
      </c>
      <c r="L84" s="106" t="n">
        <f aca="false">IF(L50&gt;0,1,0)</f>
        <v>0</v>
      </c>
      <c r="M84" s="106" t="n">
        <f aca="false">IF(M50&gt;0,1,0)</f>
        <v>0</v>
      </c>
      <c r="N84" s="106" t="n">
        <f aca="false">IF(N50&gt;0,1,0)</f>
        <v>0</v>
      </c>
      <c r="O84" s="106" t="n">
        <f aca="false">IF(O50&gt;0,1,0)</f>
        <v>0</v>
      </c>
      <c r="P84" s="106" t="n">
        <f aca="false">IF(P50&gt;0,1,0)</f>
        <v>0</v>
      </c>
      <c r="Q84" s="106" t="n">
        <f aca="false">IF(Q50&gt;0,1,0)</f>
        <v>0</v>
      </c>
      <c r="R84" s="106" t="n">
        <f aca="false">IF(R50&gt;0,1,0)</f>
        <v>0</v>
      </c>
      <c r="S84" s="106" t="n">
        <f aca="false">IF(S50&gt;0,1,0)</f>
        <v>0</v>
      </c>
      <c r="T84" s="106" t="n">
        <f aca="false">IF(T50&gt;0,1,0)</f>
        <v>0</v>
      </c>
      <c r="U84" s="106" t="n">
        <f aca="false">IF(U50&gt;0,1,0)</f>
        <v>0</v>
      </c>
      <c r="V84" s="106" t="n">
        <f aca="false">IF(V50&gt;0,1,0)</f>
        <v>0</v>
      </c>
      <c r="W84" s="106" t="n">
        <f aca="false">IF(W50&gt;0,1,0)</f>
        <v>0</v>
      </c>
      <c r="X84" s="106" t="n">
        <f aca="false">IF(X50&gt;0,1,0)</f>
        <v>0</v>
      </c>
      <c r="Y84" s="106" t="n">
        <f aca="false">IF(Y50&gt;0,1,0)</f>
        <v>0</v>
      </c>
      <c r="Z84" s="106" t="n">
        <f aca="false">IF(Z50&gt;0,1,0)</f>
        <v>0</v>
      </c>
      <c r="AA84" s="106" t="n">
        <f aca="false">IF(AA50&gt;0,1,0)</f>
        <v>1</v>
      </c>
      <c r="AB84" s="106" t="n">
        <f aca="false">IF(AB50&gt;0,1,0)</f>
        <v>1</v>
      </c>
      <c r="AC84" s="106" t="n">
        <f aca="false">IF(AC50&gt;0,1,0)</f>
        <v>1</v>
      </c>
      <c r="AD84" s="106" t="n">
        <f aca="false">IF(AD50&gt;0,1,0)</f>
        <v>1</v>
      </c>
      <c r="AE84" s="106" t="n">
        <f aca="false">IF(AE50&gt;0,1,0)</f>
        <v>1</v>
      </c>
      <c r="AF84" s="106" t="n">
        <f aca="false">IF(AF50&gt;0,1,0)</f>
        <v>1</v>
      </c>
      <c r="AG84" s="106" t="n">
        <f aca="false">IF(AG50&gt;0,1,0)</f>
        <v>1</v>
      </c>
      <c r="AH84" s="106" t="n">
        <f aca="false">IF(AH50&gt;0,1,0)</f>
        <v>1</v>
      </c>
      <c r="AI84" s="106" t="n">
        <f aca="false">IF(AI50&gt;0,1,0)</f>
        <v>1</v>
      </c>
      <c r="AJ84" s="106" t="n">
        <f aca="false">IF(AJ50&gt;0,1,0)</f>
        <v>1</v>
      </c>
      <c r="AK84" s="106" t="n">
        <f aca="false">IF(AK50&gt;0,1,0)</f>
        <v>1</v>
      </c>
      <c r="AL84" s="106" t="n">
        <f aca="false">IF(AL50&gt;0,1,0)</f>
        <v>1</v>
      </c>
      <c r="AM84" s="106" t="n">
        <f aca="false">IF(AM50&gt;0,1,0)</f>
        <v>1</v>
      </c>
      <c r="AN84" s="106" t="n">
        <f aca="false">IF(AN50&gt;0,1,0)</f>
        <v>1</v>
      </c>
      <c r="AO84" s="106" t="n">
        <f aca="false">IF(AO50&gt;0,1,0)</f>
        <v>1</v>
      </c>
      <c r="AP84" s="106" t="n">
        <f aca="false">IF(AP50&gt;0,1,0)</f>
        <v>1</v>
      </c>
      <c r="AQ84" s="106" t="n">
        <f aca="false">IF(AQ50&gt;0,1,0)</f>
        <v>1</v>
      </c>
      <c r="AR84" s="106" t="n">
        <f aca="false">IF(AR50&gt;0,1,0)</f>
        <v>1</v>
      </c>
      <c r="AS84" s="106" t="n">
        <f aca="false">IF(AS50&gt;0,1,0)</f>
        <v>1</v>
      </c>
      <c r="AT84" s="106" t="n">
        <f aca="false">IF(AT50&gt;0,1,0)</f>
        <v>1</v>
      </c>
      <c r="AU84" s="106" t="n">
        <f aca="false">IF(AU50&gt;0,1,0)</f>
        <v>1</v>
      </c>
      <c r="AV84" s="106" t="n">
        <f aca="false">IF(AV50&gt;0,1,0)</f>
        <v>1</v>
      </c>
      <c r="AW84" s="106" t="n">
        <f aca="false">IF(AW50&gt;0,1,0)</f>
        <v>1</v>
      </c>
      <c r="AX84" s="106" t="n">
        <f aca="false">IF(AX50&gt;0,1,0)</f>
        <v>1</v>
      </c>
      <c r="AY84" s="106" t="n">
        <f aca="false">IF(AY50&gt;0,1,0)</f>
        <v>1</v>
      </c>
      <c r="AZ84" s="106" t="n">
        <f aca="false">IF(AZ50&gt;0,1,0)</f>
        <v>1</v>
      </c>
      <c r="BA84" s="106" t="n">
        <f aca="false">IF(BA50&gt;0,1,0)</f>
        <v>1</v>
      </c>
      <c r="BB84" s="106" t="n">
        <f aca="false">IF(BB50&gt;0,1,0)</f>
        <v>1</v>
      </c>
      <c r="BC84" s="106" t="n">
        <f aca="false">IF(BC50&gt;0,1,0)</f>
        <v>1</v>
      </c>
      <c r="BD84" s="106" t="n">
        <f aca="false">IF(BD50&gt;0,1,0)</f>
        <v>1</v>
      </c>
      <c r="BE84" s="106" t="n">
        <f aca="false">IF(BE50&gt;0,1,0)</f>
        <v>1</v>
      </c>
      <c r="BF84" s="106" t="n">
        <f aca="false">IF(BF50&gt;0,1,0)</f>
        <v>1</v>
      </c>
      <c r="BG84" s="106" t="n">
        <f aca="false">IF(BG50&gt;0,1,0)</f>
        <v>1</v>
      </c>
      <c r="BH84" s="106" t="n">
        <f aca="false">IF(BH50&gt;0,1,0)</f>
        <v>1</v>
      </c>
      <c r="BI84" s="106" t="n">
        <f aca="false">IF(BI50&gt;0,1,0)</f>
        <v>1</v>
      </c>
      <c r="BJ84" s="106" t="n">
        <f aca="false">IF(BJ50&gt;0,1,0)</f>
        <v>1</v>
      </c>
    </row>
    <row r="85" customFormat="false" ht="15" hidden="false" customHeight="false" outlineLevel="0" collapsed="false">
      <c r="A85" s="6" t="s">
        <v>406</v>
      </c>
      <c r="C85" s="53" t="n">
        <f aca="false">C74+C75</f>
        <v>-129339.749333333</v>
      </c>
      <c r="D85" s="53" t="n">
        <f aca="false">D74+D75</f>
        <v>-3025.73564444445</v>
      </c>
      <c r="E85" s="53" t="n">
        <f aca="false">E74+E75</f>
        <v>-3017.95786666667</v>
      </c>
      <c r="F85" s="53" t="n">
        <f aca="false">F74+F75</f>
        <v>-3010.18008888889</v>
      </c>
      <c r="G85" s="53" t="n">
        <f aca="false">G74+G75</f>
        <v>-3002.40231111112</v>
      </c>
      <c r="H85" s="53" t="n">
        <f aca="false">H74+H75</f>
        <v>-2994.62453333334</v>
      </c>
      <c r="I85" s="53" t="n">
        <f aca="false">I74+I75</f>
        <v>-2986.84675555556</v>
      </c>
      <c r="J85" s="53" t="n">
        <f aca="false">J74+J75</f>
        <v>-2979.06897777778</v>
      </c>
      <c r="K85" s="53" t="n">
        <f aca="false">K74+K75</f>
        <v>-2971.2912</v>
      </c>
      <c r="L85" s="53" t="n">
        <f aca="false">L74+L75</f>
        <v>-2963.51342222223</v>
      </c>
      <c r="M85" s="53" t="n">
        <f aca="false">M74+M75</f>
        <v>-2955.73564444445</v>
      </c>
      <c r="N85" s="53" t="n">
        <f aca="false">N74+N75</f>
        <v>-2947.95786666667</v>
      </c>
      <c r="O85" s="53" t="n">
        <f aca="false">O74+O75</f>
        <v>1276.12999111111</v>
      </c>
      <c r="P85" s="53" t="n">
        <f aca="false">P74+P75</f>
        <v>977.946744888891</v>
      </c>
      <c r="Q85" s="53" t="n">
        <f aca="false">Q74+Q75</f>
        <v>985.724522666669</v>
      </c>
      <c r="R85" s="53" t="n">
        <f aca="false">R74+R75</f>
        <v>993.502300444446</v>
      </c>
      <c r="S85" s="53" t="n">
        <f aca="false">S74+S75</f>
        <v>1001.28007822222</v>
      </c>
      <c r="T85" s="53" t="n">
        <f aca="false">T74+T75</f>
        <v>1009.057856</v>
      </c>
      <c r="U85" s="53" t="n">
        <f aca="false">U74+U75</f>
        <v>1016.83563377778</v>
      </c>
      <c r="V85" s="53" t="n">
        <f aca="false">V74+V75</f>
        <v>1024.61341155556</v>
      </c>
      <c r="W85" s="53" t="n">
        <f aca="false">W74+W75</f>
        <v>1032.39118933334</v>
      </c>
      <c r="X85" s="53" t="n">
        <f aca="false">X74+X75</f>
        <v>1040.16896711111</v>
      </c>
      <c r="Y85" s="53" t="n">
        <f aca="false">Y74+Y75</f>
        <v>1047.94674488889</v>
      </c>
      <c r="Z85" s="53" t="n">
        <f aca="false">Z74+Z75</f>
        <v>1055.72452266667</v>
      </c>
      <c r="AA85" s="53" t="n">
        <f aca="false">AA74+AA75</f>
        <v>5523.36175964445</v>
      </c>
      <c r="AB85" s="53" t="n">
        <f aca="false">AB74+AB75</f>
        <v>5207.80173966223</v>
      </c>
      <c r="AC85" s="53" t="n">
        <f aca="false">AC74+AC75</f>
        <v>5215.57951744001</v>
      </c>
      <c r="AD85" s="53" t="n">
        <f aca="false">AD74+AD75</f>
        <v>5223.35729521779</v>
      </c>
      <c r="AE85" s="53" t="n">
        <f aca="false">AE74+AE75</f>
        <v>5231.13507299556</v>
      </c>
      <c r="AF85" s="53" t="n">
        <f aca="false">AF74+AF75</f>
        <v>5238.91285077334</v>
      </c>
      <c r="AG85" s="53" t="n">
        <f aca="false">AG74+AG75</f>
        <v>5246.69062855112</v>
      </c>
      <c r="AH85" s="53" t="n">
        <f aca="false">AH74+AH75</f>
        <v>5254.4684063289</v>
      </c>
      <c r="AI85" s="53" t="n">
        <f aca="false">AI74+AI75</f>
        <v>5262.24618410667</v>
      </c>
      <c r="AJ85" s="53" t="n">
        <f aca="false">AJ74+AJ75</f>
        <v>5270.02396188445</v>
      </c>
      <c r="AK85" s="53" t="n">
        <f aca="false">AK74+AK75</f>
        <v>5277.80173966223</v>
      </c>
      <c r="AL85" s="53" t="n">
        <f aca="false">AL74+AL75</f>
        <v>5285.57951744001</v>
      </c>
      <c r="AM85" s="53" t="n">
        <f aca="false">AM74+AM75</f>
        <v>10007.5844172978</v>
      </c>
      <c r="AN85" s="53" t="n">
        <f aca="false">AN74+AN75</f>
        <v>9486.83493118776</v>
      </c>
      <c r="AO85" s="53" t="n">
        <f aca="false">AO74+AO75</f>
        <v>7967.00994626517</v>
      </c>
      <c r="AP85" s="53" t="n">
        <f aca="false">AP74+AP75</f>
        <v>7973.15439070961</v>
      </c>
      <c r="AQ85" s="53" t="n">
        <f aca="false">AQ74+AQ75</f>
        <v>7979.29883515406</v>
      </c>
      <c r="AR85" s="53" t="n">
        <f aca="false">AR74+AR75</f>
        <v>7985.4432795985</v>
      </c>
      <c r="AS85" s="53" t="n">
        <f aca="false">AS74+AS75</f>
        <v>7991.58772404295</v>
      </c>
      <c r="AT85" s="53" t="n">
        <f aca="false">AT74+AT75</f>
        <v>7997.73216848739</v>
      </c>
      <c r="AU85" s="53" t="n">
        <f aca="false">AU74+AU75</f>
        <v>8003.87661293184</v>
      </c>
      <c r="AV85" s="53" t="n">
        <f aca="false">AV74+AV75</f>
        <v>8010.02105737628</v>
      </c>
      <c r="AW85" s="53" t="n">
        <f aca="false">AW74+AW75</f>
        <v>8016.16550182072</v>
      </c>
      <c r="AX85" s="53" t="n">
        <f aca="false">AX74+AX75</f>
        <v>8022.30994626517</v>
      </c>
      <c r="AY85" s="53" t="n">
        <f aca="false">AY74+AY75</f>
        <v>10322.6555649016</v>
      </c>
      <c r="AZ85" s="53" t="n">
        <f aca="false">AZ74+AZ75</f>
        <v>10117.6784392313</v>
      </c>
      <c r="BA85" s="53" t="n">
        <f aca="false">BA74+BA75</f>
        <v>10123.8228836758</v>
      </c>
      <c r="BB85" s="53" t="n">
        <f aca="false">BB74+BB75</f>
        <v>10129.9673281202</v>
      </c>
      <c r="BC85" s="53" t="n">
        <f aca="false">BC74+BC75</f>
        <v>10136.1117725647</v>
      </c>
      <c r="BD85" s="53" t="n">
        <f aca="false">BD74+BD75</f>
        <v>10142.2562170091</v>
      </c>
      <c r="BE85" s="53" t="n">
        <f aca="false">BE74+BE75</f>
        <v>10148.4006614536</v>
      </c>
      <c r="BF85" s="53" t="n">
        <f aca="false">BF74+BF75</f>
        <v>10154.545105898</v>
      </c>
      <c r="BG85" s="53" t="n">
        <f aca="false">BG74+BG75</f>
        <v>10160.6895503425</v>
      </c>
      <c r="BH85" s="53" t="n">
        <f aca="false">BH74+BH75</f>
        <v>10166.8339947869</v>
      </c>
      <c r="BI85" s="53" t="n">
        <f aca="false">BI74+BI75</f>
        <v>10172.9784392313</v>
      </c>
      <c r="BJ85" s="53" t="n">
        <f aca="false">BJ74+BJ75</f>
        <v>10179.1228836758</v>
      </c>
    </row>
    <row r="86" customFormat="false" ht="15" hidden="false" customHeight="false" outlineLevel="0" collapsed="false">
      <c r="A86" s="6" t="s">
        <v>407</v>
      </c>
      <c r="C86" s="53" t="n">
        <f aca="false">C85</f>
        <v>-129339.749333333</v>
      </c>
      <c r="D86" s="53" t="n">
        <f aca="false">C86+D85</f>
        <v>-132365.484977778</v>
      </c>
      <c r="E86" s="53" t="n">
        <f aca="false">D86+E85</f>
        <v>-135383.442844444</v>
      </c>
      <c r="F86" s="53" t="n">
        <f aca="false">E86+F85</f>
        <v>-138393.622933333</v>
      </c>
      <c r="G86" s="53" t="n">
        <f aca="false">F86+G85</f>
        <v>-141396.025244444</v>
      </c>
      <c r="H86" s="53" t="n">
        <f aca="false">G86+H85</f>
        <v>-144390.649777778</v>
      </c>
      <c r="I86" s="53" t="n">
        <f aca="false">H86+I85</f>
        <v>-147377.496533333</v>
      </c>
      <c r="J86" s="53" t="n">
        <f aca="false">I86+J85</f>
        <v>-150356.565511111</v>
      </c>
      <c r="K86" s="53" t="n">
        <f aca="false">J86+K85</f>
        <v>-153327.856711111</v>
      </c>
      <c r="L86" s="53" t="n">
        <f aca="false">K86+L85</f>
        <v>-156291.370133333</v>
      </c>
      <c r="M86" s="53" t="n">
        <f aca="false">L86+M85</f>
        <v>-159247.105777778</v>
      </c>
      <c r="N86" s="53" t="n">
        <f aca="false">M86+N85</f>
        <v>-162195.063644444</v>
      </c>
      <c r="O86" s="53" t="n">
        <f aca="false">N86+O85</f>
        <v>-160918.933653333</v>
      </c>
      <c r="P86" s="53" t="n">
        <f aca="false">O86+P85</f>
        <v>-159940.986908444</v>
      </c>
      <c r="Q86" s="53" t="n">
        <f aca="false">P86+Q85</f>
        <v>-158955.262385778</v>
      </c>
      <c r="R86" s="53" t="n">
        <f aca="false">Q86+R85</f>
        <v>-157961.760085333</v>
      </c>
      <c r="S86" s="53" t="n">
        <f aca="false">R86+S85</f>
        <v>-156960.480007111</v>
      </c>
      <c r="T86" s="53" t="n">
        <f aca="false">S86+T85</f>
        <v>-155951.422151111</v>
      </c>
      <c r="U86" s="53" t="n">
        <f aca="false">T86+U85</f>
        <v>-154934.586517333</v>
      </c>
      <c r="V86" s="53" t="n">
        <f aca="false">U86+V85</f>
        <v>-153909.973105778</v>
      </c>
      <c r="W86" s="53" t="n">
        <f aca="false">V86+W85</f>
        <v>-152877.581916444</v>
      </c>
      <c r="X86" s="53" t="n">
        <f aca="false">W86+X85</f>
        <v>-151837.412949333</v>
      </c>
      <c r="Y86" s="53" t="n">
        <f aca="false">X86+Y85</f>
        <v>-150789.466204444</v>
      </c>
      <c r="Z86" s="53" t="n">
        <f aca="false">Y86+Z85</f>
        <v>-149733.741681778</v>
      </c>
      <c r="AA86" s="53" t="n">
        <f aca="false">Z86+AA85</f>
        <v>-144210.379922133</v>
      </c>
      <c r="AB86" s="53" t="n">
        <f aca="false">AA86+AB85</f>
        <v>-139002.578182471</v>
      </c>
      <c r="AC86" s="53" t="n">
        <f aca="false">AB86+AC85</f>
        <v>-133786.998665031</v>
      </c>
      <c r="AD86" s="53" t="n">
        <f aca="false">AC86+AD85</f>
        <v>-128563.641369813</v>
      </c>
      <c r="AE86" s="53" t="n">
        <f aca="false">AD86+AE85</f>
        <v>-123332.506296818</v>
      </c>
      <c r="AF86" s="53" t="n">
        <f aca="false">AE86+AF85</f>
        <v>-118093.593446044</v>
      </c>
      <c r="AG86" s="53" t="n">
        <f aca="false">AF86+AG85</f>
        <v>-112846.902817493</v>
      </c>
      <c r="AH86" s="53" t="n">
        <f aca="false">AG86+AH85</f>
        <v>-107592.434411164</v>
      </c>
      <c r="AI86" s="53" t="n">
        <f aca="false">AH86+AI85</f>
        <v>-102330.188227058</v>
      </c>
      <c r="AJ86" s="53" t="n">
        <f aca="false">AI86+AJ85</f>
        <v>-97060.1642651733</v>
      </c>
      <c r="AK86" s="53" t="n">
        <f aca="false">AJ86+AK85</f>
        <v>-91782.3625255111</v>
      </c>
      <c r="AL86" s="53" t="n">
        <f aca="false">AK86+AL85</f>
        <v>-86496.7830080711</v>
      </c>
      <c r="AM86" s="53" t="n">
        <f aca="false">AL86+AM85</f>
        <v>-76489.1985907733</v>
      </c>
      <c r="AN86" s="53" t="n">
        <f aca="false">AM86+AN85</f>
        <v>-67002.3636595855</v>
      </c>
      <c r="AO86" s="53" t="n">
        <f aca="false">AN86+AO85</f>
        <v>-59035.3537133204</v>
      </c>
      <c r="AP86" s="53" t="n">
        <f aca="false">AO86+AP85</f>
        <v>-51062.1993226108</v>
      </c>
      <c r="AQ86" s="53" t="n">
        <f aca="false">AP86+AQ85</f>
        <v>-43082.9004874567</v>
      </c>
      <c r="AR86" s="53" t="n">
        <f aca="false">AQ86+AR85</f>
        <v>-35097.4572078582</v>
      </c>
      <c r="AS86" s="53" t="n">
        <f aca="false">AR86+AS85</f>
        <v>-27105.8694838152</v>
      </c>
      <c r="AT86" s="53" t="n">
        <f aca="false">AS86+AT85</f>
        <v>-19108.1373153279</v>
      </c>
      <c r="AU86" s="53" t="n">
        <f aca="false">AT86+AU85</f>
        <v>-11104.260702396</v>
      </c>
      <c r="AV86" s="53" t="n">
        <f aca="false">AU86+AV85</f>
        <v>-3094.23964501974</v>
      </c>
      <c r="AW86" s="53" t="n">
        <f aca="false">AV86+AW85</f>
        <v>4921.92585680099</v>
      </c>
      <c r="AX86" s="53" t="n">
        <f aca="false">AW86+AX85</f>
        <v>12944.2358030662</v>
      </c>
      <c r="AY86" s="53" t="n">
        <f aca="false">AX86+AY85</f>
        <v>23266.8913679677</v>
      </c>
      <c r="AZ86" s="53" t="n">
        <f aca="false">AY86+AZ85</f>
        <v>33384.5698071991</v>
      </c>
      <c r="BA86" s="53" t="n">
        <f aca="false">AZ86+BA85</f>
        <v>43508.3926908749</v>
      </c>
      <c r="BB86" s="53" t="n">
        <f aca="false">BA86+BB85</f>
        <v>53638.3600189951</v>
      </c>
      <c r="BC86" s="53" t="n">
        <f aca="false">BB86+BC85</f>
        <v>63774.4717915598</v>
      </c>
      <c r="BD86" s="53" t="n">
        <f aca="false">BC86+BD85</f>
        <v>73916.7280085689</v>
      </c>
      <c r="BE86" s="53" t="n">
        <f aca="false">BD86+BE85</f>
        <v>84065.1286700224</v>
      </c>
      <c r="BF86" s="53" t="n">
        <f aca="false">BE86+BF85</f>
        <v>94219.6737759204</v>
      </c>
      <c r="BG86" s="53" t="n">
        <f aca="false">BF86+BG85</f>
        <v>104380.363326263</v>
      </c>
      <c r="BH86" s="53" t="n">
        <f aca="false">BG86+BH85</f>
        <v>114547.19732105</v>
      </c>
      <c r="BI86" s="53" t="n">
        <f aca="false">BH86+BI85</f>
        <v>124720.175760281</v>
      </c>
      <c r="BJ86" s="53" t="n">
        <f aca="false">BI86+BJ85</f>
        <v>134899.298643957</v>
      </c>
    </row>
    <row r="87" customFormat="false" ht="15" hidden="false" customHeight="false" outlineLevel="0" collapsed="false">
      <c r="A87" s="109" t="s">
        <v>408</v>
      </c>
      <c r="C87" s="53" t="n">
        <f aca="false">C86</f>
        <v>-129339.749333333</v>
      </c>
      <c r="D87" s="53" t="n">
        <f aca="false">MIN(C87,D86)</f>
        <v>-132365.484977778</v>
      </c>
      <c r="E87" s="53" t="n">
        <f aca="false">MIN(D87,E86)</f>
        <v>-135383.442844444</v>
      </c>
      <c r="F87" s="53" t="n">
        <f aca="false">MIN(E87,F86)</f>
        <v>-138393.622933333</v>
      </c>
      <c r="G87" s="53" t="n">
        <f aca="false">MIN(F87,G86)</f>
        <v>-141396.025244444</v>
      </c>
      <c r="H87" s="53" t="n">
        <f aca="false">MIN(G87,H86)</f>
        <v>-144390.649777778</v>
      </c>
      <c r="I87" s="53" t="n">
        <f aca="false">MIN(H87,I86)</f>
        <v>-147377.496533333</v>
      </c>
      <c r="J87" s="53" t="n">
        <f aca="false">MIN(I87,J86)</f>
        <v>-150356.565511111</v>
      </c>
      <c r="K87" s="53" t="n">
        <f aca="false">MIN(J87,K86)</f>
        <v>-153327.856711111</v>
      </c>
      <c r="L87" s="53" t="n">
        <f aca="false">MIN(K87,L86)</f>
        <v>-156291.370133333</v>
      </c>
      <c r="M87" s="53" t="n">
        <f aca="false">MIN(L87,M86)</f>
        <v>-159247.105777778</v>
      </c>
      <c r="N87" s="53" t="n">
        <f aca="false">MIN(M87,N86)</f>
        <v>-162195.063644444</v>
      </c>
      <c r="O87" s="53" t="n">
        <f aca="false">MIN(N87,O86)</f>
        <v>-162195.063644444</v>
      </c>
      <c r="P87" s="53" t="n">
        <f aca="false">MIN(O87,P86)</f>
        <v>-162195.063644444</v>
      </c>
      <c r="Q87" s="53" t="n">
        <f aca="false">MIN(P87,Q86)</f>
        <v>-162195.063644444</v>
      </c>
      <c r="R87" s="53" t="n">
        <f aca="false">MIN(Q87,R86)</f>
        <v>-162195.063644444</v>
      </c>
      <c r="S87" s="53" t="n">
        <f aca="false">MIN(R87,S86)</f>
        <v>-162195.063644444</v>
      </c>
      <c r="T87" s="53" t="n">
        <f aca="false">MIN(S87,T86)</f>
        <v>-162195.063644444</v>
      </c>
      <c r="U87" s="53" t="n">
        <f aca="false">MIN(T87,U86)</f>
        <v>-162195.063644444</v>
      </c>
      <c r="V87" s="53" t="n">
        <f aca="false">MIN(U87,V86)</f>
        <v>-162195.063644444</v>
      </c>
      <c r="W87" s="53" t="n">
        <f aca="false">MIN(V87,W86)</f>
        <v>-162195.063644444</v>
      </c>
      <c r="X87" s="53" t="n">
        <f aca="false">MIN(W87,X86)</f>
        <v>-162195.063644444</v>
      </c>
      <c r="Y87" s="53" t="n">
        <f aca="false">MIN(X87,Y86)</f>
        <v>-162195.063644444</v>
      </c>
      <c r="Z87" s="53" t="n">
        <f aca="false">MIN(Y87,Z86)</f>
        <v>-162195.063644444</v>
      </c>
      <c r="AA87" s="53" t="n">
        <f aca="false">MIN(Z87,AA86)</f>
        <v>-162195.063644444</v>
      </c>
      <c r="AB87" s="53" t="n">
        <f aca="false">MIN(AA87,AB86)</f>
        <v>-162195.063644444</v>
      </c>
      <c r="AC87" s="53" t="n">
        <f aca="false">MIN(AB87,AC86)</f>
        <v>-162195.063644444</v>
      </c>
      <c r="AD87" s="53" t="n">
        <f aca="false">MIN(AC87,AD86)</f>
        <v>-162195.063644444</v>
      </c>
      <c r="AE87" s="53" t="n">
        <f aca="false">MIN(AD87,AE86)</f>
        <v>-162195.063644444</v>
      </c>
      <c r="AF87" s="53" t="n">
        <f aca="false">MIN(AE87,AF86)</f>
        <v>-162195.063644444</v>
      </c>
      <c r="AG87" s="53" t="n">
        <f aca="false">MIN(AF87,AG86)</f>
        <v>-162195.063644444</v>
      </c>
      <c r="AH87" s="53" t="n">
        <f aca="false">MIN(AG87,AH86)</f>
        <v>-162195.063644444</v>
      </c>
      <c r="AI87" s="53" t="n">
        <f aca="false">MIN(AH87,AI86)</f>
        <v>-162195.063644444</v>
      </c>
      <c r="AJ87" s="53" t="n">
        <f aca="false">MIN(AI87,AJ86)</f>
        <v>-162195.063644444</v>
      </c>
      <c r="AK87" s="53" t="n">
        <f aca="false">MIN(AJ87,AK86)</f>
        <v>-162195.063644444</v>
      </c>
      <c r="AL87" s="53" t="n">
        <f aca="false">MIN(AK87,AL86)</f>
        <v>-162195.063644444</v>
      </c>
      <c r="AM87" s="53" t="n">
        <f aca="false">MIN(AL87,AM86)</f>
        <v>-162195.063644444</v>
      </c>
      <c r="AN87" s="53" t="n">
        <f aca="false">MIN(AM87,AN86)</f>
        <v>-162195.063644444</v>
      </c>
      <c r="AO87" s="53" t="n">
        <f aca="false">MIN(AN87,AO86)</f>
        <v>-162195.063644444</v>
      </c>
      <c r="AP87" s="53" t="n">
        <f aca="false">MIN(AO87,AP86)</f>
        <v>-162195.063644444</v>
      </c>
      <c r="AQ87" s="53" t="n">
        <f aca="false">MIN(AP87,AQ86)</f>
        <v>-162195.063644444</v>
      </c>
      <c r="AR87" s="53" t="n">
        <f aca="false">MIN(AQ87,AR86)</f>
        <v>-162195.063644444</v>
      </c>
      <c r="AS87" s="53" t="n">
        <f aca="false">MIN(AR87,AS86)</f>
        <v>-162195.063644444</v>
      </c>
      <c r="AT87" s="53" t="n">
        <f aca="false">MIN(AS87,AT86)</f>
        <v>-162195.063644444</v>
      </c>
      <c r="AU87" s="53" t="n">
        <f aca="false">MIN(AT87,AU86)</f>
        <v>-162195.063644444</v>
      </c>
      <c r="AV87" s="53" t="n">
        <f aca="false">MIN(AU87,AV86)</f>
        <v>-162195.063644444</v>
      </c>
      <c r="AW87" s="53" t="n">
        <f aca="false">MIN(AV87,AW86)</f>
        <v>-162195.063644444</v>
      </c>
      <c r="AX87" s="53" t="n">
        <f aca="false">MIN(AW87,AX86)</f>
        <v>-162195.063644444</v>
      </c>
      <c r="AY87" s="53" t="n">
        <f aca="false">MIN(AX87,AY86)</f>
        <v>-162195.063644444</v>
      </c>
      <c r="AZ87" s="53" t="n">
        <f aca="false">MIN(AY87,AZ86)</f>
        <v>-162195.063644444</v>
      </c>
      <c r="BA87" s="53" t="n">
        <f aca="false">MIN(AZ87,BA86)</f>
        <v>-162195.063644444</v>
      </c>
      <c r="BB87" s="53" t="n">
        <f aca="false">MIN(BA87,BB86)</f>
        <v>-162195.063644444</v>
      </c>
      <c r="BC87" s="53" t="n">
        <f aca="false">MIN(BB87,BC86)</f>
        <v>-162195.063644444</v>
      </c>
      <c r="BD87" s="53" t="n">
        <f aca="false">MIN(BC87,BD86)</f>
        <v>-162195.063644444</v>
      </c>
      <c r="BE87" s="53" t="n">
        <f aca="false">MIN(BD87,BE86)</f>
        <v>-162195.063644444</v>
      </c>
      <c r="BF87" s="53" t="n">
        <f aca="false">MIN(BE87,BF86)</f>
        <v>-162195.063644444</v>
      </c>
      <c r="BG87" s="53" t="n">
        <f aca="false">MIN(BF87,BG86)</f>
        <v>-162195.063644444</v>
      </c>
      <c r="BH87" s="53" t="n">
        <f aca="false">MIN(BG87,BH86)</f>
        <v>-162195.063644444</v>
      </c>
      <c r="BI87" s="53" t="n">
        <f aca="false">MIN(BH87,BI86)</f>
        <v>-162195.063644444</v>
      </c>
      <c r="BJ87" s="53" t="n">
        <f aca="false">MIN(BI87,BJ86)</f>
        <v>-162195.063644444</v>
      </c>
    </row>
    <row r="88" customFormat="false" ht="15" hidden="false" customHeight="false" outlineLevel="0" collapsed="false">
      <c r="A88" s="109" t="s">
        <v>409</v>
      </c>
      <c r="C88" s="106" t="n">
        <f aca="false">IF(AND(C86&gt;=0,C87&lt;0),1,0)</f>
        <v>0</v>
      </c>
      <c r="D88" s="106" t="n">
        <f aca="false">IF(AND(D86&gt;=0,D87&lt;0),1,0)</f>
        <v>0</v>
      </c>
      <c r="E88" s="106" t="n">
        <f aca="false">IF(AND(E86&gt;=0,E87&lt;0),1,0)</f>
        <v>0</v>
      </c>
      <c r="F88" s="106" t="n">
        <f aca="false">IF(AND(F86&gt;=0,F87&lt;0),1,0)</f>
        <v>0</v>
      </c>
      <c r="G88" s="106" t="n">
        <f aca="false">IF(AND(G86&gt;=0,G87&lt;0),1,0)</f>
        <v>0</v>
      </c>
      <c r="H88" s="106" t="n">
        <f aca="false">IF(AND(H86&gt;=0,H87&lt;0),1,0)</f>
        <v>0</v>
      </c>
      <c r="I88" s="106" t="n">
        <f aca="false">IF(AND(I86&gt;=0,I87&lt;0),1,0)</f>
        <v>0</v>
      </c>
      <c r="J88" s="106" t="n">
        <f aca="false">IF(AND(J86&gt;=0,J87&lt;0),1,0)</f>
        <v>0</v>
      </c>
      <c r="K88" s="106" t="n">
        <f aca="false">IF(AND(K86&gt;=0,K87&lt;0),1,0)</f>
        <v>0</v>
      </c>
      <c r="L88" s="106" t="n">
        <f aca="false">IF(AND(L86&gt;=0,L87&lt;0),1,0)</f>
        <v>0</v>
      </c>
      <c r="M88" s="106" t="n">
        <f aca="false">IF(AND(M86&gt;=0,M87&lt;0),1,0)</f>
        <v>0</v>
      </c>
      <c r="N88" s="106" t="n">
        <f aca="false">IF(AND(N86&gt;=0,N87&lt;0),1,0)</f>
        <v>0</v>
      </c>
      <c r="O88" s="106" t="n">
        <f aca="false">IF(AND(O86&gt;=0,O87&lt;0),1,0)</f>
        <v>0</v>
      </c>
      <c r="P88" s="106" t="n">
        <f aca="false">IF(AND(P86&gt;=0,P87&lt;0),1,0)</f>
        <v>0</v>
      </c>
      <c r="Q88" s="106" t="n">
        <f aca="false">IF(AND(Q86&gt;=0,Q87&lt;0),1,0)</f>
        <v>0</v>
      </c>
      <c r="R88" s="106" t="n">
        <f aca="false">IF(AND(R86&gt;=0,R87&lt;0),1,0)</f>
        <v>0</v>
      </c>
      <c r="S88" s="106" t="n">
        <f aca="false">IF(AND(S86&gt;=0,S87&lt;0),1,0)</f>
        <v>0</v>
      </c>
      <c r="T88" s="106" t="n">
        <f aca="false">IF(AND(T86&gt;=0,T87&lt;0),1,0)</f>
        <v>0</v>
      </c>
      <c r="U88" s="106" t="n">
        <f aca="false">IF(AND(U86&gt;=0,U87&lt;0),1,0)</f>
        <v>0</v>
      </c>
      <c r="V88" s="106" t="n">
        <f aca="false">IF(AND(V86&gt;=0,V87&lt;0),1,0)</f>
        <v>0</v>
      </c>
      <c r="W88" s="106" t="n">
        <f aca="false">IF(AND(W86&gt;=0,W87&lt;0),1,0)</f>
        <v>0</v>
      </c>
      <c r="X88" s="106" t="n">
        <f aca="false">IF(AND(X86&gt;=0,X87&lt;0),1,0)</f>
        <v>0</v>
      </c>
      <c r="Y88" s="106" t="n">
        <f aca="false">IF(AND(Y86&gt;=0,Y87&lt;0),1,0)</f>
        <v>0</v>
      </c>
      <c r="Z88" s="106" t="n">
        <f aca="false">IF(AND(Z86&gt;=0,Z87&lt;0),1,0)</f>
        <v>0</v>
      </c>
      <c r="AA88" s="106" t="n">
        <f aca="false">IF(AND(AA86&gt;=0,AA87&lt;0),1,0)</f>
        <v>0</v>
      </c>
      <c r="AB88" s="106" t="n">
        <f aca="false">IF(AND(AB86&gt;=0,AB87&lt;0),1,0)</f>
        <v>0</v>
      </c>
      <c r="AC88" s="106" t="n">
        <f aca="false">IF(AND(AC86&gt;=0,AC87&lt;0),1,0)</f>
        <v>0</v>
      </c>
      <c r="AD88" s="106" t="n">
        <f aca="false">IF(AND(AD86&gt;=0,AD87&lt;0),1,0)</f>
        <v>0</v>
      </c>
      <c r="AE88" s="106" t="n">
        <f aca="false">IF(AND(AE86&gt;=0,AE87&lt;0),1,0)</f>
        <v>0</v>
      </c>
      <c r="AF88" s="106" t="n">
        <f aca="false">IF(AND(AF86&gt;=0,AF87&lt;0),1,0)</f>
        <v>0</v>
      </c>
      <c r="AG88" s="106" t="n">
        <f aca="false">IF(AND(AG86&gt;=0,AG87&lt;0),1,0)</f>
        <v>0</v>
      </c>
      <c r="AH88" s="106" t="n">
        <f aca="false">IF(AND(AH86&gt;=0,AH87&lt;0),1,0)</f>
        <v>0</v>
      </c>
      <c r="AI88" s="106" t="n">
        <f aca="false">IF(AND(AI86&gt;=0,AI87&lt;0),1,0)</f>
        <v>0</v>
      </c>
      <c r="AJ88" s="106" t="n">
        <f aca="false">IF(AND(AJ86&gt;=0,AJ87&lt;0),1,0)</f>
        <v>0</v>
      </c>
      <c r="AK88" s="106" t="n">
        <f aca="false">IF(AND(AK86&gt;=0,AK87&lt;0),1,0)</f>
        <v>0</v>
      </c>
      <c r="AL88" s="106" t="n">
        <f aca="false">IF(AND(AL86&gt;=0,AL87&lt;0),1,0)</f>
        <v>0</v>
      </c>
      <c r="AM88" s="106" t="n">
        <f aca="false">IF(AND(AM86&gt;=0,AM87&lt;0),1,0)</f>
        <v>0</v>
      </c>
      <c r="AN88" s="106" t="n">
        <f aca="false">IF(AND(AN86&gt;=0,AN87&lt;0),1,0)</f>
        <v>0</v>
      </c>
      <c r="AO88" s="106" t="n">
        <f aca="false">IF(AND(AO86&gt;=0,AO87&lt;0),1,0)</f>
        <v>0</v>
      </c>
      <c r="AP88" s="106" t="n">
        <f aca="false">IF(AND(AP86&gt;=0,AP87&lt;0),1,0)</f>
        <v>0</v>
      </c>
      <c r="AQ88" s="106" t="n">
        <f aca="false">IF(AND(AQ86&gt;=0,AQ87&lt;0),1,0)</f>
        <v>0</v>
      </c>
      <c r="AR88" s="106" t="n">
        <f aca="false">IF(AND(AR86&gt;=0,AR87&lt;0),1,0)</f>
        <v>0</v>
      </c>
      <c r="AS88" s="106" t="n">
        <f aca="false">IF(AND(AS86&gt;=0,AS87&lt;0),1,0)</f>
        <v>0</v>
      </c>
      <c r="AT88" s="106" t="n">
        <f aca="false">IF(AND(AT86&gt;=0,AT87&lt;0),1,0)</f>
        <v>0</v>
      </c>
      <c r="AU88" s="106" t="n">
        <f aca="false">IF(AND(AU86&gt;=0,AU87&lt;0),1,0)</f>
        <v>0</v>
      </c>
      <c r="AV88" s="106" t="n">
        <f aca="false">IF(AND(AV86&gt;=0,AV87&lt;0),1,0)</f>
        <v>0</v>
      </c>
      <c r="AW88" s="106" t="n">
        <f aca="false">IF(AND(AW86&gt;=0,AW87&lt;0),1,0)</f>
        <v>1</v>
      </c>
      <c r="AX88" s="106" t="n">
        <f aca="false">IF(AND(AX86&gt;=0,AX87&lt;0),1,0)</f>
        <v>1</v>
      </c>
      <c r="AY88" s="106" t="n">
        <f aca="false">IF(AND(AY86&gt;=0,AY87&lt;0),1,0)</f>
        <v>1</v>
      </c>
      <c r="AZ88" s="106" t="n">
        <f aca="false">IF(AND(AZ86&gt;=0,AZ87&lt;0),1,0)</f>
        <v>1</v>
      </c>
      <c r="BA88" s="106" t="n">
        <f aca="false">IF(AND(BA86&gt;=0,BA87&lt;0),1,0)</f>
        <v>1</v>
      </c>
      <c r="BB88" s="106" t="n">
        <f aca="false">IF(AND(BB86&gt;=0,BB87&lt;0),1,0)</f>
        <v>1</v>
      </c>
      <c r="BC88" s="106" t="n">
        <f aca="false">IF(AND(BC86&gt;=0,BC87&lt;0),1,0)</f>
        <v>1</v>
      </c>
      <c r="BD88" s="106" t="n">
        <f aca="false">IF(AND(BD86&gt;=0,BD87&lt;0),1,0)</f>
        <v>1</v>
      </c>
      <c r="BE88" s="106" t="n">
        <f aca="false">IF(AND(BE86&gt;=0,BE87&lt;0),1,0)</f>
        <v>1</v>
      </c>
      <c r="BF88" s="106" t="n">
        <f aca="false">IF(AND(BF86&gt;=0,BF87&lt;0),1,0)</f>
        <v>1</v>
      </c>
      <c r="BG88" s="106" t="n">
        <f aca="false">IF(AND(BG86&gt;=0,BG87&lt;0),1,0)</f>
        <v>1</v>
      </c>
      <c r="BH88" s="106" t="n">
        <f aca="false">IF(AND(BH86&gt;=0,BH87&lt;0),1,0)</f>
        <v>1</v>
      </c>
      <c r="BI88" s="106" t="n">
        <f aca="false">IF(AND(BI86&gt;=0,BI87&lt;0),1,0)</f>
        <v>1</v>
      </c>
      <c r="BJ88" s="106" t="n">
        <f aca="false">IF(AND(BJ86&gt;=0,BJ87&lt;0),1,0)</f>
        <v>1</v>
      </c>
    </row>
    <row r="89" customFormat="false" ht="15" hidden="false" customHeight="false" outlineLevel="0" collapsed="false">
      <c r="A89" s="6" t="s">
        <v>410</v>
      </c>
      <c r="C89" s="53" t="n">
        <f aca="false">C74-C45*(1-Inputs!$E$81)+C75</f>
        <v>-128971.082666667</v>
      </c>
      <c r="D89" s="53" t="n">
        <f aca="false">D74-D45*(1-Inputs!$E$81)+D75</f>
        <v>-2660.1412</v>
      </c>
      <c r="E89" s="53" t="n">
        <f aca="false">E74-E45*(1-Inputs!$E$81)+E75</f>
        <v>-2658.50786666667</v>
      </c>
      <c r="F89" s="53" t="n">
        <f aca="false">F74-F45*(1-Inputs!$E$81)+F75</f>
        <v>-2656.87453333334</v>
      </c>
      <c r="G89" s="53" t="n">
        <f aca="false">G74-G45*(1-Inputs!$E$81)+G75</f>
        <v>-2655.2412</v>
      </c>
      <c r="H89" s="53" t="n">
        <f aca="false">H74-H45*(1-Inputs!$E$81)+H75</f>
        <v>-2653.60786666667</v>
      </c>
      <c r="I89" s="53" t="n">
        <f aca="false">I74-I45*(1-Inputs!$E$81)+I75</f>
        <v>-2651.97453333334</v>
      </c>
      <c r="J89" s="53" t="n">
        <f aca="false">J74-J45*(1-Inputs!$E$81)+J75</f>
        <v>-2650.34120000001</v>
      </c>
      <c r="K89" s="53" t="n">
        <f aca="false">K74-K45*(1-Inputs!$E$81)+K75</f>
        <v>-2648.70786666667</v>
      </c>
      <c r="L89" s="53" t="n">
        <f aca="false">L74-L45*(1-Inputs!$E$81)+L75</f>
        <v>-2647.07453333334</v>
      </c>
      <c r="M89" s="53" t="n">
        <f aca="false">M74-M45*(1-Inputs!$E$81)+M75</f>
        <v>-2645.4412</v>
      </c>
      <c r="N89" s="53" t="n">
        <f aca="false">N74-N45*(1-Inputs!$E$81)+N75</f>
        <v>-2643.80786666667</v>
      </c>
      <c r="O89" s="53" t="n">
        <f aca="false">O74-O45*(1-Inputs!$E$81)+O75</f>
        <v>1574.13554666667</v>
      </c>
      <c r="P89" s="53" t="n">
        <f aca="false">P74-P45*(1-Inputs!$E$81)+P75</f>
        <v>1269.807856</v>
      </c>
      <c r="Q89" s="53" t="n">
        <f aca="false">Q74-Q45*(1-Inputs!$E$81)+Q75</f>
        <v>1271.44118933334</v>
      </c>
      <c r="R89" s="53" t="n">
        <f aca="false">R74-R45*(1-Inputs!$E$81)+R75</f>
        <v>1273.07452266667</v>
      </c>
      <c r="S89" s="53" t="n">
        <f aca="false">S74-S45*(1-Inputs!$E$81)+S75</f>
        <v>1274.707856</v>
      </c>
      <c r="T89" s="53" t="n">
        <f aca="false">T74-T45*(1-Inputs!$E$81)+T75</f>
        <v>1276.34118933334</v>
      </c>
      <c r="U89" s="53" t="n">
        <f aca="false">U74-U45*(1-Inputs!$E$81)+U75</f>
        <v>1277.97452266667</v>
      </c>
      <c r="V89" s="53" t="n">
        <f aca="false">V74-V45*(1-Inputs!$E$81)+V75</f>
        <v>1279.607856</v>
      </c>
      <c r="W89" s="53" t="n">
        <f aca="false">W74-W45*(1-Inputs!$E$81)+W75</f>
        <v>1281.24118933334</v>
      </c>
      <c r="X89" s="53" t="n">
        <f aca="false">X74-X45*(1-Inputs!$E$81)+X75</f>
        <v>1282.87452266667</v>
      </c>
      <c r="Y89" s="53" t="n">
        <f aca="false">Y74-Y45*(1-Inputs!$E$81)+Y75</f>
        <v>1284.507856</v>
      </c>
      <c r="Z89" s="53" t="n">
        <f aca="false">Z74-Z45*(1-Inputs!$E$81)+Z75</f>
        <v>1286.14118933334</v>
      </c>
      <c r="AA89" s="53" t="n">
        <f aca="false">AA74-AA45*(1-Inputs!$E$81)+AA75</f>
        <v>5747.63398186667</v>
      </c>
      <c r="AB89" s="53" t="n">
        <f aca="false">AB74-AB45*(1-Inputs!$E$81)+AB75</f>
        <v>5425.92951744001</v>
      </c>
      <c r="AC89" s="53" t="n">
        <f aca="false">AC74-AC45*(1-Inputs!$E$81)+AC75</f>
        <v>5427.56285077334</v>
      </c>
      <c r="AD89" s="53" t="n">
        <f aca="false">AD74-AD45*(1-Inputs!$E$81)+AD75</f>
        <v>5429.19618410667</v>
      </c>
      <c r="AE89" s="53" t="n">
        <f aca="false">AE74-AE45*(1-Inputs!$E$81)+AE75</f>
        <v>5430.82951744001</v>
      </c>
      <c r="AF89" s="53" t="n">
        <f aca="false">AF74-AF45*(1-Inputs!$E$81)+AF75</f>
        <v>5432.46285077334</v>
      </c>
      <c r="AG89" s="53" t="n">
        <f aca="false">AG74-AG45*(1-Inputs!$E$81)+AG75</f>
        <v>5434.09618410667</v>
      </c>
      <c r="AH89" s="53" t="n">
        <f aca="false">AH74-AH45*(1-Inputs!$E$81)+AH75</f>
        <v>5435.72951744001</v>
      </c>
      <c r="AI89" s="53" t="n">
        <f aca="false">AI74-AI45*(1-Inputs!$E$81)+AI75</f>
        <v>5437.36285077334</v>
      </c>
      <c r="AJ89" s="53" t="n">
        <f aca="false">AJ74-AJ45*(1-Inputs!$E$81)+AJ75</f>
        <v>5438.99618410667</v>
      </c>
      <c r="AK89" s="53" t="n">
        <f aca="false">AK74-AK45*(1-Inputs!$E$81)+AK75</f>
        <v>5440.62951744001</v>
      </c>
      <c r="AL89" s="53" t="n">
        <f aca="false">AL74-AL45*(1-Inputs!$E$81)+AL75</f>
        <v>5442.26285077334</v>
      </c>
      <c r="AM89" s="53" t="n">
        <f aca="false">AM74-AM45*(1-Inputs!$E$81)+AM75</f>
        <v>10158.1233061867</v>
      </c>
      <c r="AN89" s="53" t="n">
        <f aca="false">AN74-AN45*(1-Inputs!$E$81)+AN75</f>
        <v>9631.2293756322</v>
      </c>
      <c r="AO89" s="53" t="n">
        <f aca="false">AO74-AO45*(1-Inputs!$E$81)+AO75</f>
        <v>8105.25994626517</v>
      </c>
      <c r="AP89" s="53" t="n">
        <f aca="false">AP74-AP45*(1-Inputs!$E$81)+AP75</f>
        <v>8105.25994626517</v>
      </c>
      <c r="AQ89" s="53" t="n">
        <f aca="false">AQ74-AQ45*(1-Inputs!$E$81)+AQ75</f>
        <v>8105.25994626517</v>
      </c>
      <c r="AR89" s="53" t="n">
        <f aca="false">AR74-AR45*(1-Inputs!$E$81)+AR75</f>
        <v>8105.25994626517</v>
      </c>
      <c r="AS89" s="53" t="n">
        <f aca="false">AS74-AS45*(1-Inputs!$E$81)+AS75</f>
        <v>8105.25994626517</v>
      </c>
      <c r="AT89" s="53" t="n">
        <f aca="false">AT74-AT45*(1-Inputs!$E$81)+AT75</f>
        <v>8105.25994626517</v>
      </c>
      <c r="AU89" s="53" t="n">
        <f aca="false">AU74-AU45*(1-Inputs!$E$81)+AU75</f>
        <v>8105.25994626517</v>
      </c>
      <c r="AV89" s="53" t="n">
        <f aca="false">AV74-AV45*(1-Inputs!$E$81)+AV75</f>
        <v>8105.25994626517</v>
      </c>
      <c r="AW89" s="53" t="n">
        <f aca="false">AW74-AW45*(1-Inputs!$E$81)+AW75</f>
        <v>8105.25994626517</v>
      </c>
      <c r="AX89" s="53" t="n">
        <f aca="false">AX74-AX45*(1-Inputs!$E$81)+AX75</f>
        <v>8105.25994626517</v>
      </c>
      <c r="AY89" s="53" t="n">
        <f aca="false">AY74-AY45*(1-Inputs!$E$81)+AY75</f>
        <v>10399.4611204571</v>
      </c>
      <c r="AZ89" s="53" t="n">
        <f aca="false">AZ74-AZ45*(1-Inputs!$E$81)+AZ75</f>
        <v>10188.3395503424</v>
      </c>
      <c r="BA89" s="53" t="n">
        <f aca="false">BA74-BA45*(1-Inputs!$E$81)+BA75</f>
        <v>10188.3395503425</v>
      </c>
      <c r="BB89" s="53" t="n">
        <f aca="false">BB74-BB45*(1-Inputs!$E$81)+BB75</f>
        <v>10188.3395503425</v>
      </c>
      <c r="BC89" s="53" t="n">
        <f aca="false">BC74-BC45*(1-Inputs!$E$81)+BC75</f>
        <v>10188.3395503424</v>
      </c>
      <c r="BD89" s="53" t="n">
        <f aca="false">BD74-BD45*(1-Inputs!$E$81)+BD75</f>
        <v>10188.3395503424</v>
      </c>
      <c r="BE89" s="53" t="n">
        <f aca="false">BE74-BE45*(1-Inputs!$E$81)+BE75</f>
        <v>10188.3395503424</v>
      </c>
      <c r="BF89" s="53" t="n">
        <f aca="false">BF74-BF45*(1-Inputs!$E$81)+BF75</f>
        <v>10188.3395503424</v>
      </c>
      <c r="BG89" s="53" t="n">
        <f aca="false">BG74-BG45*(1-Inputs!$E$81)+BG75</f>
        <v>10188.3395503425</v>
      </c>
      <c r="BH89" s="53" t="n">
        <f aca="false">BH74-BH45*(1-Inputs!$E$81)+BH75</f>
        <v>10188.3395503425</v>
      </c>
      <c r="BI89" s="53" t="n">
        <f aca="false">BI74-BI45*(1-Inputs!$E$81)+BI75</f>
        <v>10188.3395503425</v>
      </c>
      <c r="BJ89" s="53" t="n">
        <f aca="false">BJ74-BJ45*(1-Inputs!$E$81)+BJ75</f>
        <v>10188.3395503425</v>
      </c>
    </row>
    <row r="91" customFormat="false" ht="15.75" hidden="false" customHeight="true" outlineLevel="0" collapsed="false">
      <c r="A91" s="7" t="s">
        <v>411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customFormat="false" ht="15" hidden="false" customHeight="false" outlineLevel="0" collapsed="false">
      <c r="A92" s="6" t="s">
        <v>94</v>
      </c>
      <c r="C92" s="53" t="n">
        <f aca="false">C76</f>
        <v>150000</v>
      </c>
      <c r="D92" s="53" t="n">
        <f aca="false">C92+D76</f>
        <v>150000</v>
      </c>
      <c r="E92" s="53" t="n">
        <f aca="false">D92+E76</f>
        <v>150000</v>
      </c>
      <c r="F92" s="53" t="n">
        <f aca="false">E92+F76</f>
        <v>150000</v>
      </c>
      <c r="G92" s="53" t="n">
        <f aca="false">F92+G76</f>
        <v>150000</v>
      </c>
      <c r="H92" s="53" t="n">
        <f aca="false">G92+H76</f>
        <v>150000</v>
      </c>
      <c r="I92" s="53" t="n">
        <f aca="false">H92+I76</f>
        <v>150000</v>
      </c>
      <c r="J92" s="53" t="n">
        <f aca="false">I92+J76</f>
        <v>150000</v>
      </c>
      <c r="K92" s="53" t="n">
        <f aca="false">J92+K76</f>
        <v>150000</v>
      </c>
      <c r="L92" s="53" t="n">
        <f aca="false">K92+L76</f>
        <v>150000</v>
      </c>
      <c r="M92" s="53" t="n">
        <f aca="false">L92+M76</f>
        <v>150000</v>
      </c>
      <c r="N92" s="53" t="n">
        <f aca="false">M92+N76</f>
        <v>150000</v>
      </c>
      <c r="O92" s="53" t="n">
        <f aca="false">N92+O76</f>
        <v>150000</v>
      </c>
      <c r="P92" s="53" t="n">
        <f aca="false">O92+P76</f>
        <v>150000</v>
      </c>
      <c r="Q92" s="53" t="n">
        <f aca="false">P92+Q76</f>
        <v>150000</v>
      </c>
      <c r="R92" s="53" t="n">
        <f aca="false">Q92+R76</f>
        <v>150000</v>
      </c>
      <c r="S92" s="53" t="n">
        <f aca="false">R92+S76</f>
        <v>150000</v>
      </c>
      <c r="T92" s="53" t="n">
        <f aca="false">S92+T76</f>
        <v>150000</v>
      </c>
      <c r="U92" s="53" t="n">
        <f aca="false">T92+U76</f>
        <v>150000</v>
      </c>
      <c r="V92" s="53" t="n">
        <f aca="false">U92+V76</f>
        <v>150000</v>
      </c>
      <c r="W92" s="53" t="n">
        <f aca="false">V92+W76</f>
        <v>150000</v>
      </c>
      <c r="X92" s="53" t="n">
        <f aca="false">W92+X76</f>
        <v>150000</v>
      </c>
      <c r="Y92" s="53" t="n">
        <f aca="false">X92+Y76</f>
        <v>150000</v>
      </c>
      <c r="Z92" s="53" t="n">
        <f aca="false">Y92+Z76</f>
        <v>150000</v>
      </c>
      <c r="AA92" s="53" t="n">
        <f aca="false">Z92+AA76</f>
        <v>150000</v>
      </c>
      <c r="AB92" s="53" t="n">
        <f aca="false">AA92+AB76</f>
        <v>150000</v>
      </c>
      <c r="AC92" s="53" t="n">
        <f aca="false">AB92+AC76</f>
        <v>150000</v>
      </c>
      <c r="AD92" s="53" t="n">
        <f aca="false">AC92+AD76</f>
        <v>150000</v>
      </c>
      <c r="AE92" s="53" t="n">
        <f aca="false">AD92+AE76</f>
        <v>150000</v>
      </c>
      <c r="AF92" s="53" t="n">
        <f aca="false">AE92+AF76</f>
        <v>150000</v>
      </c>
      <c r="AG92" s="53" t="n">
        <f aca="false">AF92+AG76</f>
        <v>150000</v>
      </c>
      <c r="AH92" s="53" t="n">
        <f aca="false">AG92+AH76</f>
        <v>150000</v>
      </c>
      <c r="AI92" s="53" t="n">
        <f aca="false">AH92+AI76</f>
        <v>150000</v>
      </c>
      <c r="AJ92" s="53" t="n">
        <f aca="false">AI92+AJ76</f>
        <v>150000</v>
      </c>
      <c r="AK92" s="53" t="n">
        <f aca="false">AJ92+AK76</f>
        <v>150000</v>
      </c>
      <c r="AL92" s="53" t="n">
        <f aca="false">AK92+AL76</f>
        <v>150000</v>
      </c>
      <c r="AM92" s="53" t="n">
        <f aca="false">AL92+AM76</f>
        <v>150000</v>
      </c>
      <c r="AN92" s="53" t="n">
        <f aca="false">AM92+AN76</f>
        <v>150000</v>
      </c>
      <c r="AO92" s="53" t="n">
        <f aca="false">AN92+AO76</f>
        <v>150000</v>
      </c>
      <c r="AP92" s="53" t="n">
        <f aca="false">AO92+AP76</f>
        <v>150000</v>
      </c>
      <c r="AQ92" s="53" t="n">
        <f aca="false">AP92+AQ76</f>
        <v>150000</v>
      </c>
      <c r="AR92" s="53" t="n">
        <f aca="false">AQ92+AR76</f>
        <v>150000</v>
      </c>
      <c r="AS92" s="53" t="n">
        <f aca="false">AR92+AS76</f>
        <v>150000</v>
      </c>
      <c r="AT92" s="53" t="n">
        <f aca="false">AS92+AT76</f>
        <v>150000</v>
      </c>
      <c r="AU92" s="53" t="n">
        <f aca="false">AT92+AU76</f>
        <v>150000</v>
      </c>
      <c r="AV92" s="53" t="n">
        <f aca="false">AU92+AV76</f>
        <v>150000</v>
      </c>
      <c r="AW92" s="53" t="n">
        <f aca="false">AV92+AW76</f>
        <v>150000</v>
      </c>
      <c r="AX92" s="53" t="n">
        <f aca="false">AW92+AX76</f>
        <v>150000</v>
      </c>
      <c r="AY92" s="53" t="n">
        <f aca="false">AX92+AY76</f>
        <v>150000</v>
      </c>
      <c r="AZ92" s="53" t="n">
        <f aca="false">AY92+AZ76</f>
        <v>150000</v>
      </c>
      <c r="BA92" s="53" t="n">
        <f aca="false">AZ92+BA76</f>
        <v>150000</v>
      </c>
      <c r="BB92" s="53" t="n">
        <f aca="false">BA92+BB76</f>
        <v>150000</v>
      </c>
      <c r="BC92" s="53" t="n">
        <f aca="false">BB92+BC76</f>
        <v>150000</v>
      </c>
      <c r="BD92" s="53" t="n">
        <f aca="false">BC92+BD76</f>
        <v>150000</v>
      </c>
      <c r="BE92" s="53" t="n">
        <f aca="false">BD92+BE76</f>
        <v>150000</v>
      </c>
      <c r="BF92" s="53" t="n">
        <f aca="false">BE92+BF76</f>
        <v>150000</v>
      </c>
      <c r="BG92" s="53" t="n">
        <f aca="false">BF92+BG76</f>
        <v>150000</v>
      </c>
      <c r="BH92" s="53" t="n">
        <f aca="false">BG92+BH76</f>
        <v>150000</v>
      </c>
      <c r="BI92" s="53" t="n">
        <f aca="false">BH92+BI76</f>
        <v>150000</v>
      </c>
      <c r="BJ92" s="53" t="n">
        <f aca="false">BI92+BJ76</f>
        <v>150000</v>
      </c>
    </row>
    <row r="93" customFormat="false" ht="15" hidden="false" customHeight="false" outlineLevel="0" collapsed="false">
      <c r="A93" s="6" t="s">
        <v>95</v>
      </c>
      <c r="C93" s="53" t="n">
        <f aca="false">C50</f>
        <v>-4546.29120000001</v>
      </c>
      <c r="D93" s="53" t="n">
        <f aca="false">C93+D50</f>
        <v>-9088.69351111112</v>
      </c>
      <c r="E93" s="53" t="n">
        <f aca="false">D93+E50</f>
        <v>-13623.3180444445</v>
      </c>
      <c r="F93" s="53" t="n">
        <f aca="false">E93+F50</f>
        <v>-18150.1648</v>
      </c>
      <c r="G93" s="53" t="n">
        <f aca="false">F93+G50</f>
        <v>-22669.2337777778</v>
      </c>
      <c r="H93" s="53" t="n">
        <f aca="false">G93+H50</f>
        <v>-27180.5249777778</v>
      </c>
      <c r="I93" s="53" t="n">
        <f aca="false">H93+I50</f>
        <v>-31684.0384</v>
      </c>
      <c r="J93" s="53" t="n">
        <f aca="false">I93+J50</f>
        <v>-36179.7740444445</v>
      </c>
      <c r="K93" s="53" t="n">
        <f aca="false">J93+K50</f>
        <v>-40667.7319111112</v>
      </c>
      <c r="L93" s="53" t="n">
        <f aca="false">K93+L50</f>
        <v>-45147.9120000001</v>
      </c>
      <c r="M93" s="53" t="n">
        <f aca="false">L93+M50</f>
        <v>-49620.3143111112</v>
      </c>
      <c r="N93" s="53" t="n">
        <f aca="false">M93+N50</f>
        <v>-54084.9388444445</v>
      </c>
      <c r="O93" s="53" t="n">
        <f aca="false">N93+O50</f>
        <v>-54631.4365440001</v>
      </c>
      <c r="P93" s="53" t="n">
        <f aca="false">O93+P50</f>
        <v>-55170.1564657778</v>
      </c>
      <c r="Q93" s="53" t="n">
        <f aca="false">P93+Q50</f>
        <v>-55701.0986097778</v>
      </c>
      <c r="R93" s="53" t="n">
        <f aca="false">Q93+R50</f>
        <v>-56224.2629760001</v>
      </c>
      <c r="S93" s="53" t="n">
        <f aca="false">R93+S50</f>
        <v>-56739.6495644445</v>
      </c>
      <c r="T93" s="53" t="n">
        <f aca="false">S93+T50</f>
        <v>-57247.2583751112</v>
      </c>
      <c r="U93" s="53" t="n">
        <f aca="false">T93+U50</f>
        <v>-57747.0894080001</v>
      </c>
      <c r="V93" s="53" t="n">
        <f aca="false">U93+V50</f>
        <v>-58239.1426631112</v>
      </c>
      <c r="W93" s="53" t="n">
        <f aca="false">V93+W50</f>
        <v>-58723.4181404445</v>
      </c>
      <c r="X93" s="53" t="n">
        <f aca="false">W93+X50</f>
        <v>-59199.91584</v>
      </c>
      <c r="Y93" s="53" t="n">
        <f aca="false">X93+Y50</f>
        <v>-59668.6357617778</v>
      </c>
      <c r="Z93" s="53" t="n">
        <f aca="false">Y93+Z50</f>
        <v>-60129.5779057778</v>
      </c>
      <c r="AA93" s="53" t="n">
        <f aca="false">Z93+AA50</f>
        <v>-56446.22061056</v>
      </c>
      <c r="AB93" s="53" t="n">
        <f aca="false">AA93+AB50</f>
        <v>-52755.0855375645</v>
      </c>
      <c r="AC93" s="53" t="n">
        <f aca="false">AB93+AC50</f>
        <v>-49056.1726867911</v>
      </c>
      <c r="AD93" s="53" t="n">
        <f aca="false">AC93+AD50</f>
        <v>-45349.48205824</v>
      </c>
      <c r="AE93" s="53" t="n">
        <f aca="false">AD93+AE50</f>
        <v>-41635.0136519111</v>
      </c>
      <c r="AF93" s="53" t="n">
        <f aca="false">AE93+AF50</f>
        <v>-37912.7674678044</v>
      </c>
      <c r="AG93" s="53" t="n">
        <f aca="false">AF93+AG50</f>
        <v>-34182.74350592</v>
      </c>
      <c r="AH93" s="53" t="n">
        <f aca="false">AG93+AH50</f>
        <v>-30444.9417662578</v>
      </c>
      <c r="AI93" s="53" t="n">
        <f aca="false">AH93+AI50</f>
        <v>-26699.3622488178</v>
      </c>
      <c r="AJ93" s="53" t="n">
        <f aca="false">AI93+AJ50</f>
        <v>-22946.0049536</v>
      </c>
      <c r="AK93" s="53" t="n">
        <f aca="false">AJ93+AK50</f>
        <v>-19184.8698806044</v>
      </c>
      <c r="AL93" s="53" t="n">
        <f aca="false">AK93+AL50</f>
        <v>-15415.9570298311</v>
      </c>
      <c r="AM93" s="53" t="n">
        <f aca="false">AL93+AM50</f>
        <v>-7266.52109222396</v>
      </c>
      <c r="AN93" s="53" t="n">
        <f aca="false">AM93+AN50</f>
        <v>703.647172297126</v>
      </c>
      <c r="AO93" s="53" t="n">
        <f aca="false">AN93+AO50</f>
        <v>7153.99045189563</v>
      </c>
      <c r="AP93" s="53" t="n">
        <f aca="false">AO93+AP50</f>
        <v>13610.4781759386</v>
      </c>
      <c r="AQ93" s="53" t="n">
        <f aca="false">AP93+AQ50</f>
        <v>20073.110344426</v>
      </c>
      <c r="AR93" s="53" t="n">
        <f aca="false">AQ93+AR50</f>
        <v>26541.8869573578</v>
      </c>
      <c r="AS93" s="53" t="n">
        <f aca="false">AR93+AS50</f>
        <v>33016.8080147341</v>
      </c>
      <c r="AT93" s="53" t="n">
        <f aca="false">AS93+AT50</f>
        <v>39497.8735165548</v>
      </c>
      <c r="AU93" s="53" t="n">
        <f aca="false">AT93+AU50</f>
        <v>45985.08346282</v>
      </c>
      <c r="AV93" s="53" t="n">
        <f aca="false">AU93+AV50</f>
        <v>52478.4378535296</v>
      </c>
      <c r="AW93" s="53" t="n">
        <f aca="false">AV93+AW50</f>
        <v>58977.9366886836</v>
      </c>
      <c r="AX93" s="53" t="n">
        <f aca="false">AW93+AX50</f>
        <v>65483.5799682821</v>
      </c>
      <c r="AY93" s="53" t="n">
        <f aca="false">AX93+AY50</f>
        <v>74078.4472964024</v>
      </c>
      <c r="AZ93" s="53" t="n">
        <f aca="false">AY93+AZ50</f>
        <v>82679.459068967</v>
      </c>
      <c r="BA93" s="53" t="n">
        <f aca="false">AZ93+BA50</f>
        <v>91286.6152859762</v>
      </c>
      <c r="BB93" s="53" t="n">
        <f aca="false">BA93+BB50</f>
        <v>99899.9159474297</v>
      </c>
      <c r="BC93" s="53" t="n">
        <f aca="false">BB93+BC50</f>
        <v>108519.361053328</v>
      </c>
      <c r="BD93" s="53" t="n">
        <f aca="false">BC93+BD50</f>
        <v>117144.95060367</v>
      </c>
      <c r="BE93" s="53" t="n">
        <f aca="false">BD93+BE50</f>
        <v>125776.684598457</v>
      </c>
      <c r="BF93" s="53" t="n">
        <f aca="false">BE93+BF50</f>
        <v>134414.563037688</v>
      </c>
      <c r="BG93" s="53" t="n">
        <f aca="false">BF93+BG50</f>
        <v>143058.585921364</v>
      </c>
      <c r="BH93" s="53" t="n">
        <f aca="false">BG93+BH50</f>
        <v>151708.753249484</v>
      </c>
      <c r="BI93" s="53" t="n">
        <f aca="false">BH93+BI50</f>
        <v>160365.065022049</v>
      </c>
      <c r="BJ93" s="53" t="n">
        <f aca="false">BI93+BJ50</f>
        <v>169027.521239058</v>
      </c>
    </row>
    <row r="94" customFormat="false" ht="15" hidden="false" customHeight="false" outlineLevel="0" collapsed="false">
      <c r="A94" s="4" t="s">
        <v>90</v>
      </c>
      <c r="C94" s="60" t="n">
        <f aca="false">C80+C66+C67+C57</f>
        <v>230458.9696</v>
      </c>
      <c r="D94" s="60" t="n">
        <f aca="false">D80+D66+D67+D57</f>
        <v>224749.900622222</v>
      </c>
      <c r="E94" s="60" t="n">
        <f aca="false">E80+E66+E67+E57</f>
        <v>219048.609422222</v>
      </c>
      <c r="F94" s="60" t="n">
        <f aca="false">F80+F66+F67+F57</f>
        <v>213355.096</v>
      </c>
      <c r="G94" s="60" t="n">
        <f aca="false">G80+G66+G67+G57</f>
        <v>207669.360355556</v>
      </c>
      <c r="H94" s="60" t="n">
        <f aca="false">H80+H66+H67+H57</f>
        <v>201991.402488889</v>
      </c>
      <c r="I94" s="60" t="n">
        <f aca="false">I80+I66+I67+I57</f>
        <v>196321.2224</v>
      </c>
      <c r="J94" s="60" t="n">
        <f aca="false">J80+J66+J67+J57</f>
        <v>190658.820088889</v>
      </c>
      <c r="K94" s="60" t="n">
        <f aca="false">K80+K66+K67+K57</f>
        <v>185004.195555556</v>
      </c>
      <c r="L94" s="60" t="n">
        <f aca="false">L80+L66+L67+L57</f>
        <v>179357.3488</v>
      </c>
      <c r="M94" s="60" t="n">
        <f aca="false">M80+M66+M67+M57</f>
        <v>173718.279822222</v>
      </c>
      <c r="N94" s="60" t="n">
        <f aca="false">N80+N66+N67+N57</f>
        <v>168086.988622222</v>
      </c>
      <c r="O94" s="60" t="n">
        <f aca="false">O80+O66+O67+O57</f>
        <v>170258.519552</v>
      </c>
      <c r="P94" s="60" t="n">
        <f aca="false">P80+P66+P67+P57</f>
        <v>168553.132963556</v>
      </c>
      <c r="Q94" s="60" t="n">
        <f aca="false">Q80+Q66+Q67+Q57</f>
        <v>166855.524152889</v>
      </c>
      <c r="R94" s="60" t="n">
        <f aca="false">R80+R66+R67+R57</f>
        <v>165165.69312</v>
      </c>
      <c r="S94" s="60" t="n">
        <f aca="false">S80+S66+S67+S57</f>
        <v>163483.639864889</v>
      </c>
      <c r="T94" s="60" t="n">
        <f aca="false">T80+T66+T67+T57</f>
        <v>161809.364387556</v>
      </c>
      <c r="U94" s="60" t="n">
        <f aca="false">U80+U66+U67+U57</f>
        <v>160142.866688</v>
      </c>
      <c r="V94" s="60" t="n">
        <f aca="false">V80+V66+V67+V57</f>
        <v>158484.146766222</v>
      </c>
      <c r="W94" s="60" t="n">
        <f aca="false">W80+W66+W67+W57</f>
        <v>156833.204622222</v>
      </c>
      <c r="X94" s="60" t="n">
        <f aca="false">X80+X66+X67+X57</f>
        <v>155190.040256</v>
      </c>
      <c r="Y94" s="60" t="n">
        <f aca="false">Y80+Y66+Y67+Y57</f>
        <v>153554.653667556</v>
      </c>
      <c r="Z94" s="60" t="n">
        <f aca="false">Z80+Z66+Z67+Z57</f>
        <v>151927.044856889</v>
      </c>
      <c r="AA94" s="60" t="n">
        <f aca="false">AA80+AA66+AA67+AA57</f>
        <v>158548.00776448</v>
      </c>
      <c r="AB94" s="60" t="n">
        <f aca="false">AB80+AB66+AB67+AB57</f>
        <v>161072.476170809</v>
      </c>
      <c r="AC94" s="60" t="n">
        <f aca="false">AC80+AC66+AC67+AC57</f>
        <v>163604.722354916</v>
      </c>
      <c r="AD94" s="60" t="n">
        <f aca="false">AD80+AD66+AD67+AD57</f>
        <v>166144.7463168</v>
      </c>
      <c r="AE94" s="60" t="n">
        <f aca="false">AE80+AE66+AE67+AE57</f>
        <v>168692.548056462</v>
      </c>
      <c r="AF94" s="60" t="n">
        <f aca="false">AF80+AF66+AF67+AF57</f>
        <v>171248.127573902</v>
      </c>
      <c r="AG94" s="60" t="n">
        <f aca="false">AG80+AG66+AG67+AG57</f>
        <v>173811.48486912</v>
      </c>
      <c r="AH94" s="60" t="n">
        <f aca="false">AH80+AH66+AH67+AH57</f>
        <v>176382.619942116</v>
      </c>
      <c r="AI94" s="60" t="n">
        <f aca="false">AI80+AI66+AI67+AI57</f>
        <v>178961.532792889</v>
      </c>
      <c r="AJ94" s="60" t="n">
        <f aca="false">AJ80+AJ66+AJ67+AJ57</f>
        <v>181548.22342144</v>
      </c>
      <c r="AK94" s="60" t="n">
        <f aca="false">AK80+AK66+AK67+AK57</f>
        <v>184142.691827769</v>
      </c>
      <c r="AL94" s="60" t="n">
        <f aca="false">AL80+AL66+AL67+AL57</f>
        <v>186744.938011876</v>
      </c>
      <c r="AM94" s="60" t="n">
        <f aca="false">AM80+AM66+AM67+AM57</f>
        <v>198061.234938112</v>
      </c>
      <c r="AN94" s="60" t="n">
        <f aca="false">AN80+AN66+AN67+AN57</f>
        <v>204864.736535966</v>
      </c>
      <c r="AO94" s="60" t="n">
        <f aca="false">AO80+AO66+AO67+AO57</f>
        <v>210148.413148898</v>
      </c>
      <c r="AP94" s="60" t="n">
        <f aca="false">AP80+AP66+AP67+AP57</f>
        <v>215438.234206275</v>
      </c>
      <c r="AQ94" s="60" t="n">
        <f aca="false">AQ80+AQ66+AQ67+AQ57</f>
        <v>220734.199708095</v>
      </c>
      <c r="AR94" s="60" t="n">
        <f aca="false">AR80+AR66+AR67+AR57</f>
        <v>226036.309654361</v>
      </c>
      <c r="AS94" s="60" t="n">
        <f aca="false">AS80+AS66+AS67+AS57</f>
        <v>231344.56404507</v>
      </c>
      <c r="AT94" s="60" t="n">
        <f aca="false">AT80+AT66+AT67+AT57</f>
        <v>236658.962880224</v>
      </c>
      <c r="AU94" s="60" t="n">
        <f aca="false">AU80+AU66+AU67+AU57</f>
        <v>241979.506159823</v>
      </c>
      <c r="AV94" s="60" t="n">
        <f aca="false">AV80+AV66+AV67+AV57</f>
        <v>247306.193883866</v>
      </c>
      <c r="AW94" s="60" t="n">
        <f aca="false">AW80+AW66+AW67+AW57</f>
        <v>252639.026052353</v>
      </c>
      <c r="AX94" s="60" t="n">
        <f aca="false">AX80+AX66+AX67+AX57</f>
        <v>257978.002665285</v>
      </c>
      <c r="AY94" s="60" t="n">
        <f aca="false">AY80+AY66+AY67+AY57</f>
        <v>268102.541921732</v>
      </c>
      <c r="AZ94" s="60" t="n">
        <f aca="false">AZ80+AZ66+AZ67+AZ57</f>
        <v>275536.88702763</v>
      </c>
      <c r="BA94" s="60" t="n">
        <f aca="false">BA80+BA66+BA67+BA57</f>
        <v>282977.376577972</v>
      </c>
      <c r="BB94" s="60" t="n">
        <f aca="false">BB80+BB66+BB67+BB57</f>
        <v>290424.010572759</v>
      </c>
      <c r="BC94" s="60" t="n">
        <f aca="false">BC80+BC66+BC67+BC57</f>
        <v>297876.78901199</v>
      </c>
      <c r="BD94" s="60" t="n">
        <f aca="false">BD80+BD66+BD67+BD57</f>
        <v>305335.711895666</v>
      </c>
      <c r="BE94" s="60" t="n">
        <f aca="false">BE80+BE66+BE67+BE57</f>
        <v>312800.779223786</v>
      </c>
      <c r="BF94" s="60" t="n">
        <f aca="false">BF80+BF66+BF67+BF57</f>
        <v>320271.990996351</v>
      </c>
      <c r="BG94" s="60" t="n">
        <f aca="false">BG80+BG66+BG67+BG57</f>
        <v>327749.34721336</v>
      </c>
      <c r="BH94" s="60" t="n">
        <f aca="false">BH80+BH66+BH67+BH57</f>
        <v>335232.847874814</v>
      </c>
      <c r="BI94" s="60" t="n">
        <f aca="false">BI80+BI66+BI67+BI57</f>
        <v>342722.492980712</v>
      </c>
      <c r="BJ94" s="60" t="n">
        <f aca="false">BJ80+BJ66+BJ67+BJ57</f>
        <v>350218.282531054</v>
      </c>
    </row>
    <row r="95" customFormat="false" ht="15" hidden="false" customHeight="false" outlineLevel="0" collapsed="false">
      <c r="A95" s="6" t="s">
        <v>93</v>
      </c>
      <c r="C95" s="53" t="n">
        <f aca="false">C68+C63</f>
        <v>85005.2608</v>
      </c>
      <c r="D95" s="53" t="n">
        <f aca="false">D68+D63</f>
        <v>83838.5941333333</v>
      </c>
      <c r="E95" s="53" t="n">
        <f aca="false">E68+E63</f>
        <v>82671.9274666667</v>
      </c>
      <c r="F95" s="53" t="n">
        <f aca="false">F68+F63</f>
        <v>81505.2608</v>
      </c>
      <c r="G95" s="53" t="n">
        <f aca="false">G68+G63</f>
        <v>80338.5941333333</v>
      </c>
      <c r="H95" s="53" t="n">
        <f aca="false">H68+H63</f>
        <v>79171.9274666667</v>
      </c>
      <c r="I95" s="53" t="n">
        <f aca="false">I68+I63</f>
        <v>78005.2608</v>
      </c>
      <c r="J95" s="53" t="n">
        <f aca="false">J68+J63</f>
        <v>76838.5941333333</v>
      </c>
      <c r="K95" s="53" t="n">
        <f aca="false">K68+K63</f>
        <v>75671.9274666667</v>
      </c>
      <c r="L95" s="53" t="n">
        <f aca="false">L68+L63</f>
        <v>74505.2608</v>
      </c>
      <c r="M95" s="53" t="n">
        <f aca="false">M68+M63</f>
        <v>73338.5941333333</v>
      </c>
      <c r="N95" s="53" t="n">
        <f aca="false">N68+N63</f>
        <v>72171.9274666667</v>
      </c>
      <c r="O95" s="53" t="n">
        <f aca="false">O68+O63</f>
        <v>74889.956096</v>
      </c>
      <c r="P95" s="53" t="n">
        <f aca="false">P68+P63</f>
        <v>73723.2894293334</v>
      </c>
      <c r="Q95" s="53" t="n">
        <f aca="false">Q68+Q63</f>
        <v>72556.6227626667</v>
      </c>
      <c r="R95" s="53" t="n">
        <f aca="false">R68+R63</f>
        <v>71389.956096</v>
      </c>
      <c r="S95" s="53" t="n">
        <f aca="false">S68+S63</f>
        <v>70223.2894293334</v>
      </c>
      <c r="T95" s="53" t="n">
        <f aca="false">T68+T63</f>
        <v>69056.6227626667</v>
      </c>
      <c r="U95" s="53" t="n">
        <f aca="false">U68+U63</f>
        <v>67889.956096</v>
      </c>
      <c r="V95" s="53" t="n">
        <f aca="false">V68+V63</f>
        <v>66723.2894293334</v>
      </c>
      <c r="W95" s="53" t="n">
        <f aca="false">W68+W63</f>
        <v>65556.6227626667</v>
      </c>
      <c r="X95" s="53" t="n">
        <f aca="false">X68+X63</f>
        <v>64389.956096</v>
      </c>
      <c r="Y95" s="53" t="n">
        <f aca="false">Y68+Y63</f>
        <v>63223.2894293334</v>
      </c>
      <c r="Z95" s="53" t="n">
        <f aca="false">Z68+Z63</f>
        <v>62056.6227626667</v>
      </c>
      <c r="AA95" s="53" t="n">
        <f aca="false">AA68+AA63</f>
        <v>64994.22837504</v>
      </c>
      <c r="AB95" s="53" t="n">
        <f aca="false">AB68+AB63</f>
        <v>63827.5617083734</v>
      </c>
      <c r="AC95" s="53" t="n">
        <f aca="false">AC68+AC63</f>
        <v>62660.8950417067</v>
      </c>
      <c r="AD95" s="53" t="n">
        <f aca="false">AD68+AD63</f>
        <v>61494.22837504</v>
      </c>
      <c r="AE95" s="53" t="n">
        <f aca="false">AE68+AE63</f>
        <v>60327.5617083734</v>
      </c>
      <c r="AF95" s="53" t="n">
        <f aca="false">AF68+AF63</f>
        <v>59160.8950417067</v>
      </c>
      <c r="AG95" s="53" t="n">
        <f aca="false">AG68+AG63</f>
        <v>57994.2283750401</v>
      </c>
      <c r="AH95" s="53" t="n">
        <f aca="false">AH68+AH63</f>
        <v>56827.5617083734</v>
      </c>
      <c r="AI95" s="53" t="n">
        <f aca="false">AI68+AI63</f>
        <v>55660.8950417067</v>
      </c>
      <c r="AJ95" s="53" t="n">
        <f aca="false">AJ68+AJ63</f>
        <v>54494.2283750401</v>
      </c>
      <c r="AK95" s="53" t="n">
        <f aca="false">AK68+AK63</f>
        <v>53327.5617083734</v>
      </c>
      <c r="AL95" s="53" t="n">
        <f aca="false">AL68+AL63</f>
        <v>52160.8950417067</v>
      </c>
      <c r="AM95" s="53" t="n">
        <f aca="false">AM68+AM63</f>
        <v>55327.7560303361</v>
      </c>
      <c r="AN95" s="53" t="n">
        <f aca="false">AN68+AN63</f>
        <v>54161.0893636694</v>
      </c>
      <c r="AO95" s="53" t="n">
        <f aca="false">AO68+AO63</f>
        <v>52994.4226970027</v>
      </c>
      <c r="AP95" s="53" t="n">
        <f aca="false">AP68+AP63</f>
        <v>51827.7560303361</v>
      </c>
      <c r="AQ95" s="53" t="n">
        <f aca="false">AQ68+AQ63</f>
        <v>50661.0893636694</v>
      </c>
      <c r="AR95" s="53" t="n">
        <f aca="false">AR68+AR63</f>
        <v>49494.4226970027</v>
      </c>
      <c r="AS95" s="53" t="n">
        <f aca="false">AS68+AS63</f>
        <v>48327.756030336</v>
      </c>
      <c r="AT95" s="53" t="n">
        <f aca="false">AT68+AT63</f>
        <v>47161.0893636694</v>
      </c>
      <c r="AU95" s="53" t="n">
        <f aca="false">AU68+AU63</f>
        <v>45994.4226970027</v>
      </c>
      <c r="AV95" s="53" t="n">
        <f aca="false">AV68+AV63</f>
        <v>44827.756030336</v>
      </c>
      <c r="AW95" s="53" t="n">
        <f aca="false">AW68+AW63</f>
        <v>43661.0893636694</v>
      </c>
      <c r="AX95" s="53" t="n">
        <f aca="false">AX68+AX63</f>
        <v>42494.4226970027</v>
      </c>
      <c r="AY95" s="53" t="n">
        <f aca="false">AY68+AY63</f>
        <v>44024.0946253292</v>
      </c>
      <c r="AZ95" s="53" t="n">
        <f aca="false">AZ68+AZ63</f>
        <v>42857.4279586625</v>
      </c>
      <c r="BA95" s="53" t="n">
        <f aca="false">BA68+BA63</f>
        <v>41690.7612919959</v>
      </c>
      <c r="BB95" s="53" t="n">
        <f aca="false">BB68+BB63</f>
        <v>40524.0946253292</v>
      </c>
      <c r="BC95" s="53" t="n">
        <f aca="false">BC68+BC63</f>
        <v>39357.4279586625</v>
      </c>
      <c r="BD95" s="53" t="n">
        <f aca="false">BD68+BD63</f>
        <v>38190.7612919959</v>
      </c>
      <c r="BE95" s="53" t="n">
        <f aca="false">BE68+BE63</f>
        <v>37024.0946253292</v>
      </c>
      <c r="BF95" s="53" t="n">
        <f aca="false">BF68+BF63</f>
        <v>35857.4279586625</v>
      </c>
      <c r="BG95" s="53" t="n">
        <f aca="false">BG68+BG63</f>
        <v>34690.7612919959</v>
      </c>
      <c r="BH95" s="53" t="n">
        <f aca="false">BH68+BH63</f>
        <v>33524.0946253292</v>
      </c>
      <c r="BI95" s="53" t="n">
        <f aca="false">BI68+BI63</f>
        <v>32357.4279586625</v>
      </c>
      <c r="BJ95" s="53" t="n">
        <f aca="false">BJ68+BJ63</f>
        <v>31190.7612919959</v>
      </c>
    </row>
    <row r="96" customFormat="false" ht="15" hidden="false" customHeight="false" outlineLevel="0" collapsed="false">
      <c r="A96" s="6" t="s">
        <v>96</v>
      </c>
      <c r="C96" s="53" t="n">
        <f aca="false">C92+C93</f>
        <v>145453.7088</v>
      </c>
      <c r="D96" s="53" t="n">
        <f aca="false">D92+D93</f>
        <v>140911.306488889</v>
      </c>
      <c r="E96" s="53" t="n">
        <f aca="false">E92+E93</f>
        <v>136376.681955556</v>
      </c>
      <c r="F96" s="53" t="n">
        <f aca="false">F92+F93</f>
        <v>131849.8352</v>
      </c>
      <c r="G96" s="53" t="n">
        <f aca="false">G92+G93</f>
        <v>127330.766222222</v>
      </c>
      <c r="H96" s="53" t="n">
        <f aca="false">H92+H93</f>
        <v>122819.475022222</v>
      </c>
      <c r="I96" s="53" t="n">
        <f aca="false">I92+I93</f>
        <v>118315.9616</v>
      </c>
      <c r="J96" s="53" t="n">
        <f aca="false">J92+J93</f>
        <v>113820.225955556</v>
      </c>
      <c r="K96" s="53" t="n">
        <f aca="false">K92+K93</f>
        <v>109332.268088889</v>
      </c>
      <c r="L96" s="53" t="n">
        <f aca="false">L92+L93</f>
        <v>104852.088</v>
      </c>
      <c r="M96" s="53" t="n">
        <f aca="false">M92+M93</f>
        <v>100379.685688889</v>
      </c>
      <c r="N96" s="53" t="n">
        <f aca="false">N92+N93</f>
        <v>95915.0611555555</v>
      </c>
      <c r="O96" s="53" t="n">
        <f aca="false">O92+O93</f>
        <v>95368.563456</v>
      </c>
      <c r="P96" s="53" t="n">
        <f aca="false">P92+P93</f>
        <v>94829.8435342222</v>
      </c>
      <c r="Q96" s="53" t="n">
        <f aca="false">Q92+Q93</f>
        <v>94298.9013902222</v>
      </c>
      <c r="R96" s="53" t="n">
        <f aca="false">R92+R93</f>
        <v>93775.7370239999</v>
      </c>
      <c r="S96" s="53" t="n">
        <f aca="false">S92+S93</f>
        <v>93260.3504355555</v>
      </c>
      <c r="T96" s="53" t="n">
        <f aca="false">T92+T93</f>
        <v>92752.7416248888</v>
      </c>
      <c r="U96" s="53" t="n">
        <f aca="false">U92+U93</f>
        <v>92252.9105919999</v>
      </c>
      <c r="V96" s="53" t="n">
        <f aca="false">V92+V93</f>
        <v>91760.8573368889</v>
      </c>
      <c r="W96" s="53" t="n">
        <f aca="false">W92+W93</f>
        <v>91276.5818595555</v>
      </c>
      <c r="X96" s="53" t="n">
        <f aca="false">X92+X93</f>
        <v>90800.08416</v>
      </c>
      <c r="Y96" s="53" t="n">
        <f aca="false">Y92+Y93</f>
        <v>90331.3642382222</v>
      </c>
      <c r="Z96" s="53" t="n">
        <f aca="false">Z92+Z93</f>
        <v>89870.4220942222</v>
      </c>
      <c r="AA96" s="53" t="n">
        <f aca="false">AA92+AA93</f>
        <v>93553.77938944</v>
      </c>
      <c r="AB96" s="53" t="n">
        <f aca="false">AB92+AB93</f>
        <v>97244.9144624355</v>
      </c>
      <c r="AC96" s="53" t="n">
        <f aca="false">AC92+AC93</f>
        <v>100943.827313209</v>
      </c>
      <c r="AD96" s="53" t="n">
        <f aca="false">AD92+AD93</f>
        <v>104650.51794176</v>
      </c>
      <c r="AE96" s="53" t="n">
        <f aca="false">AE92+AE93</f>
        <v>108364.986348089</v>
      </c>
      <c r="AF96" s="53" t="n">
        <f aca="false">AF92+AF93</f>
        <v>112087.232532196</v>
      </c>
      <c r="AG96" s="53" t="n">
        <f aca="false">AG92+AG93</f>
        <v>115817.25649408</v>
      </c>
      <c r="AH96" s="53" t="n">
        <f aca="false">AH92+AH93</f>
        <v>119555.058233742</v>
      </c>
      <c r="AI96" s="53" t="n">
        <f aca="false">AI92+AI93</f>
        <v>123300.637751182</v>
      </c>
      <c r="AJ96" s="53" t="n">
        <f aca="false">AJ92+AJ93</f>
        <v>127053.9950464</v>
      </c>
      <c r="AK96" s="53" t="n">
        <f aca="false">AK92+AK93</f>
        <v>130815.130119396</v>
      </c>
      <c r="AL96" s="53" t="n">
        <f aca="false">AL92+AL93</f>
        <v>134584.042970169</v>
      </c>
      <c r="AM96" s="53" t="n">
        <f aca="false">AM92+AM93</f>
        <v>142733.478907776</v>
      </c>
      <c r="AN96" s="53" t="n">
        <f aca="false">AN92+AN93</f>
        <v>150703.647172297</v>
      </c>
      <c r="AO96" s="53" t="n">
        <f aca="false">AO92+AO93</f>
        <v>157153.990451896</v>
      </c>
      <c r="AP96" s="53" t="n">
        <f aca="false">AP92+AP93</f>
        <v>163610.478175939</v>
      </c>
      <c r="AQ96" s="53" t="n">
        <f aca="false">AQ92+AQ93</f>
        <v>170073.110344426</v>
      </c>
      <c r="AR96" s="53" t="n">
        <f aca="false">AR92+AR93</f>
        <v>176541.886957358</v>
      </c>
      <c r="AS96" s="53" t="n">
        <f aca="false">AS92+AS93</f>
        <v>183016.808014734</v>
      </c>
      <c r="AT96" s="53" t="n">
        <f aca="false">AT92+AT93</f>
        <v>189497.873516555</v>
      </c>
      <c r="AU96" s="53" t="n">
        <f aca="false">AU92+AU93</f>
        <v>195985.08346282</v>
      </c>
      <c r="AV96" s="53" t="n">
        <f aca="false">AV92+AV93</f>
        <v>202478.43785353</v>
      </c>
      <c r="AW96" s="53" t="n">
        <f aca="false">AW92+AW93</f>
        <v>208977.936688684</v>
      </c>
      <c r="AX96" s="53" t="n">
        <f aca="false">AX92+AX93</f>
        <v>215483.579968282</v>
      </c>
      <c r="AY96" s="53" t="n">
        <f aca="false">AY92+AY93</f>
        <v>224078.447296402</v>
      </c>
      <c r="AZ96" s="53" t="n">
        <f aca="false">AZ92+AZ93</f>
        <v>232679.459068967</v>
      </c>
      <c r="BA96" s="53" t="n">
        <f aca="false">BA92+BA93</f>
        <v>241286.615285976</v>
      </c>
      <c r="BB96" s="53" t="n">
        <f aca="false">BB92+BB93</f>
        <v>249899.91594743</v>
      </c>
      <c r="BC96" s="53" t="n">
        <f aca="false">BC92+BC93</f>
        <v>258519.361053328</v>
      </c>
      <c r="BD96" s="53" t="n">
        <f aca="false">BD92+BD93</f>
        <v>267144.95060367</v>
      </c>
      <c r="BE96" s="53" t="n">
        <f aca="false">BE92+BE93</f>
        <v>275776.684598457</v>
      </c>
      <c r="BF96" s="53" t="n">
        <f aca="false">BF92+BF93</f>
        <v>284414.563037688</v>
      </c>
      <c r="BG96" s="53" t="n">
        <f aca="false">BG92+BG93</f>
        <v>293058.585921364</v>
      </c>
      <c r="BH96" s="53" t="n">
        <f aca="false">BH92+BH93</f>
        <v>301708.753249484</v>
      </c>
      <c r="BI96" s="53" t="n">
        <f aca="false">BI92+BI93</f>
        <v>310365.065022049</v>
      </c>
      <c r="BJ96" s="53" t="n">
        <f aca="false">BJ92+BJ93</f>
        <v>319027.521239058</v>
      </c>
    </row>
    <row r="97" customFormat="false" ht="15" hidden="false" customHeight="false" outlineLevel="0" collapsed="false">
      <c r="A97" s="4" t="s">
        <v>97</v>
      </c>
      <c r="C97" s="60" t="n">
        <f aca="false">C95+C96</f>
        <v>230458.9696</v>
      </c>
      <c r="D97" s="60" t="n">
        <f aca="false">D95+D96</f>
        <v>224749.900622222</v>
      </c>
      <c r="E97" s="60" t="n">
        <f aca="false">E95+E96</f>
        <v>219048.609422222</v>
      </c>
      <c r="F97" s="60" t="n">
        <f aca="false">F95+F96</f>
        <v>213355.096</v>
      </c>
      <c r="G97" s="60" t="n">
        <f aca="false">G95+G96</f>
        <v>207669.360355556</v>
      </c>
      <c r="H97" s="60" t="n">
        <f aca="false">H95+H96</f>
        <v>201991.402488889</v>
      </c>
      <c r="I97" s="60" t="n">
        <f aca="false">I95+I96</f>
        <v>196321.2224</v>
      </c>
      <c r="J97" s="60" t="n">
        <f aca="false">J95+J96</f>
        <v>190658.820088889</v>
      </c>
      <c r="K97" s="60" t="n">
        <f aca="false">K95+K96</f>
        <v>185004.195555556</v>
      </c>
      <c r="L97" s="60" t="n">
        <f aca="false">L95+L96</f>
        <v>179357.3488</v>
      </c>
      <c r="M97" s="60" t="n">
        <f aca="false">M95+M96</f>
        <v>173718.279822222</v>
      </c>
      <c r="N97" s="60" t="n">
        <f aca="false">N95+N96</f>
        <v>168086.988622222</v>
      </c>
      <c r="O97" s="60" t="n">
        <f aca="false">O95+O96</f>
        <v>170258.519552</v>
      </c>
      <c r="P97" s="60" t="n">
        <f aca="false">P95+P96</f>
        <v>168553.132963556</v>
      </c>
      <c r="Q97" s="60" t="n">
        <f aca="false">Q95+Q96</f>
        <v>166855.524152889</v>
      </c>
      <c r="R97" s="60" t="n">
        <f aca="false">R95+R96</f>
        <v>165165.69312</v>
      </c>
      <c r="S97" s="60" t="n">
        <f aca="false">S95+S96</f>
        <v>163483.639864889</v>
      </c>
      <c r="T97" s="60" t="n">
        <f aca="false">T95+T96</f>
        <v>161809.364387556</v>
      </c>
      <c r="U97" s="60" t="n">
        <f aca="false">U95+U96</f>
        <v>160142.866688</v>
      </c>
      <c r="V97" s="60" t="n">
        <f aca="false">V95+V96</f>
        <v>158484.146766222</v>
      </c>
      <c r="W97" s="60" t="n">
        <f aca="false">W95+W96</f>
        <v>156833.204622222</v>
      </c>
      <c r="X97" s="60" t="n">
        <f aca="false">X95+X96</f>
        <v>155190.040256</v>
      </c>
      <c r="Y97" s="60" t="n">
        <f aca="false">Y95+Y96</f>
        <v>153554.653667556</v>
      </c>
      <c r="Z97" s="60" t="n">
        <f aca="false">Z95+Z96</f>
        <v>151927.044856889</v>
      </c>
      <c r="AA97" s="60" t="n">
        <f aca="false">AA95+AA96</f>
        <v>158548.00776448</v>
      </c>
      <c r="AB97" s="60" t="n">
        <f aca="false">AB95+AB96</f>
        <v>161072.476170809</v>
      </c>
      <c r="AC97" s="60" t="n">
        <f aca="false">AC95+AC96</f>
        <v>163604.722354916</v>
      </c>
      <c r="AD97" s="60" t="n">
        <f aca="false">AD95+AD96</f>
        <v>166144.7463168</v>
      </c>
      <c r="AE97" s="60" t="n">
        <f aca="false">AE95+AE96</f>
        <v>168692.548056462</v>
      </c>
      <c r="AF97" s="60" t="n">
        <f aca="false">AF95+AF96</f>
        <v>171248.127573902</v>
      </c>
      <c r="AG97" s="60" t="n">
        <f aca="false">AG95+AG96</f>
        <v>173811.48486912</v>
      </c>
      <c r="AH97" s="60" t="n">
        <f aca="false">AH95+AH96</f>
        <v>176382.619942116</v>
      </c>
      <c r="AI97" s="60" t="n">
        <f aca="false">AI95+AI96</f>
        <v>178961.532792889</v>
      </c>
      <c r="AJ97" s="60" t="n">
        <f aca="false">AJ95+AJ96</f>
        <v>181548.22342144</v>
      </c>
      <c r="AK97" s="60" t="n">
        <f aca="false">AK95+AK96</f>
        <v>184142.691827769</v>
      </c>
      <c r="AL97" s="60" t="n">
        <f aca="false">AL95+AL96</f>
        <v>186744.938011876</v>
      </c>
      <c r="AM97" s="60" t="n">
        <f aca="false">AM95+AM96</f>
        <v>198061.234938112</v>
      </c>
      <c r="AN97" s="60" t="n">
        <f aca="false">AN95+AN96</f>
        <v>204864.736535967</v>
      </c>
      <c r="AO97" s="60" t="n">
        <f aca="false">AO95+AO96</f>
        <v>210148.413148898</v>
      </c>
      <c r="AP97" s="60" t="n">
        <f aca="false">AP95+AP96</f>
        <v>215438.234206275</v>
      </c>
      <c r="AQ97" s="60" t="n">
        <f aca="false">AQ95+AQ96</f>
        <v>220734.199708095</v>
      </c>
      <c r="AR97" s="60" t="n">
        <f aca="false">AR95+AR96</f>
        <v>226036.309654361</v>
      </c>
      <c r="AS97" s="60" t="n">
        <f aca="false">AS95+AS96</f>
        <v>231344.56404507</v>
      </c>
      <c r="AT97" s="60" t="n">
        <f aca="false">AT95+AT96</f>
        <v>236658.962880224</v>
      </c>
      <c r="AU97" s="60" t="n">
        <f aca="false">AU95+AU96</f>
        <v>241979.506159823</v>
      </c>
      <c r="AV97" s="60" t="n">
        <f aca="false">AV95+AV96</f>
        <v>247306.193883866</v>
      </c>
      <c r="AW97" s="60" t="n">
        <f aca="false">AW95+AW96</f>
        <v>252639.026052353</v>
      </c>
      <c r="AX97" s="60" t="n">
        <f aca="false">AX95+AX96</f>
        <v>257978.002665285</v>
      </c>
      <c r="AY97" s="60" t="n">
        <f aca="false">AY95+AY96</f>
        <v>268102.541921732</v>
      </c>
      <c r="AZ97" s="60" t="n">
        <f aca="false">AZ95+AZ96</f>
        <v>275536.88702763</v>
      </c>
      <c r="BA97" s="60" t="n">
        <f aca="false">BA95+BA96</f>
        <v>282977.376577972</v>
      </c>
      <c r="BB97" s="60" t="n">
        <f aca="false">BB95+BB96</f>
        <v>290424.010572759</v>
      </c>
      <c r="BC97" s="60" t="n">
        <f aca="false">BC95+BC96</f>
        <v>297876.78901199</v>
      </c>
      <c r="BD97" s="60" t="n">
        <f aca="false">BD95+BD96</f>
        <v>305335.711895666</v>
      </c>
      <c r="BE97" s="60" t="n">
        <f aca="false">BE95+BE96</f>
        <v>312800.779223786</v>
      </c>
      <c r="BF97" s="60" t="n">
        <f aca="false">BF95+BF96</f>
        <v>320271.990996351</v>
      </c>
      <c r="BG97" s="60" t="n">
        <f aca="false">BG95+BG96</f>
        <v>327749.34721336</v>
      </c>
      <c r="BH97" s="60" t="n">
        <f aca="false">BH95+BH96</f>
        <v>335232.847874814</v>
      </c>
      <c r="BI97" s="60" t="n">
        <f aca="false">BI95+BI96</f>
        <v>342722.492980712</v>
      </c>
      <c r="BJ97" s="60" t="n">
        <f aca="false">BJ95+BJ96</f>
        <v>350218.282531054</v>
      </c>
    </row>
    <row r="98" customFormat="false" ht="15" hidden="false" customHeight="false" outlineLevel="0" collapsed="false">
      <c r="A98" s="6" t="s">
        <v>412</v>
      </c>
      <c r="C98" s="53" t="n">
        <f aca="false">C94-C97</f>
        <v>0</v>
      </c>
      <c r="D98" s="53" t="n">
        <f aca="false">D94-D97</f>
        <v>0</v>
      </c>
      <c r="E98" s="53" t="n">
        <f aca="false">E94-E97</f>
        <v>0</v>
      </c>
      <c r="F98" s="53" t="n">
        <f aca="false">F94-F97</f>
        <v>0</v>
      </c>
      <c r="G98" s="53" t="n">
        <f aca="false">G94-G97</f>
        <v>0</v>
      </c>
      <c r="H98" s="53" t="n">
        <f aca="false">H94-H97</f>
        <v>0</v>
      </c>
      <c r="I98" s="53" t="n">
        <f aca="false">I94-I97</f>
        <v>0</v>
      </c>
      <c r="J98" s="53" t="n">
        <f aca="false">J94-J97</f>
        <v>0</v>
      </c>
      <c r="K98" s="53" t="n">
        <f aca="false">K94-K97</f>
        <v>0</v>
      </c>
      <c r="L98" s="53" t="n">
        <f aca="false">L94-L97</f>
        <v>0</v>
      </c>
      <c r="M98" s="53" t="n">
        <f aca="false">M94-M97</f>
        <v>0</v>
      </c>
      <c r="N98" s="53" t="n">
        <f aca="false">N94-N97</f>
        <v>0</v>
      </c>
      <c r="O98" s="53" t="n">
        <f aca="false">O94-O97</f>
        <v>0</v>
      </c>
      <c r="P98" s="53" t="n">
        <f aca="false">P94-P97</f>
        <v>0</v>
      </c>
      <c r="Q98" s="53" t="n">
        <f aca="false">Q94-Q97</f>
        <v>0</v>
      </c>
      <c r="R98" s="53" t="n">
        <f aca="false">R94-R97</f>
        <v>0</v>
      </c>
      <c r="S98" s="53" t="n">
        <f aca="false">S94-S97</f>
        <v>0</v>
      </c>
      <c r="T98" s="53" t="n">
        <f aca="false">T94-T97</f>
        <v>0</v>
      </c>
      <c r="U98" s="53" t="n">
        <f aca="false">U94-U97</f>
        <v>0</v>
      </c>
      <c r="V98" s="53" t="n">
        <f aca="false">V94-V97</f>
        <v>0</v>
      </c>
      <c r="W98" s="53" t="n">
        <f aca="false">W94-W97</f>
        <v>0</v>
      </c>
      <c r="X98" s="53" t="n">
        <f aca="false">X94-X97</f>
        <v>0</v>
      </c>
      <c r="Y98" s="53" t="n">
        <f aca="false">Y94-Y97</f>
        <v>0</v>
      </c>
      <c r="Z98" s="53" t="n">
        <f aca="false">Z94-Z97</f>
        <v>0</v>
      </c>
      <c r="AA98" s="53" t="n">
        <f aca="false">AA94-AA97</f>
        <v>0</v>
      </c>
      <c r="AB98" s="53" t="n">
        <f aca="false">AB94-AB97</f>
        <v>0</v>
      </c>
      <c r="AC98" s="53" t="n">
        <f aca="false">AC94-AC97</f>
        <v>0</v>
      </c>
      <c r="AD98" s="53" t="n">
        <f aca="false">AD94-AD97</f>
        <v>0</v>
      </c>
      <c r="AE98" s="53" t="n">
        <f aca="false">AE94-AE97</f>
        <v>0</v>
      </c>
      <c r="AF98" s="53" t="n">
        <f aca="false">AF94-AF97</f>
        <v>0</v>
      </c>
      <c r="AG98" s="53" t="n">
        <f aca="false">AG94-AG97</f>
        <v>0</v>
      </c>
      <c r="AH98" s="53" t="n">
        <f aca="false">AH94-AH97</f>
        <v>0</v>
      </c>
      <c r="AI98" s="53" t="n">
        <f aca="false">AI94-AI97</f>
        <v>0</v>
      </c>
      <c r="AJ98" s="53" t="n">
        <f aca="false">AJ94-AJ97</f>
        <v>0</v>
      </c>
      <c r="AK98" s="53" t="n">
        <f aca="false">AK94-AK97</f>
        <v>0</v>
      </c>
      <c r="AL98" s="53" t="n">
        <f aca="false">AL94-AL97</f>
        <v>0</v>
      </c>
      <c r="AM98" s="53" t="n">
        <f aca="false">AM94-AM97</f>
        <v>0</v>
      </c>
      <c r="AN98" s="53" t="n">
        <f aca="false">AN94-AN97</f>
        <v>0</v>
      </c>
      <c r="AO98" s="53" t="n">
        <f aca="false">AO94-AO97</f>
        <v>0</v>
      </c>
      <c r="AP98" s="53" t="n">
        <f aca="false">AP94-AP97</f>
        <v>0</v>
      </c>
      <c r="AQ98" s="53" t="n">
        <f aca="false">AQ94-AQ97</f>
        <v>0</v>
      </c>
      <c r="AR98" s="53" t="n">
        <f aca="false">AR94-AR97</f>
        <v>0</v>
      </c>
      <c r="AS98" s="53" t="n">
        <f aca="false">AS94-AS97</f>
        <v>0</v>
      </c>
      <c r="AT98" s="53" t="n">
        <f aca="false">AT94-AT97</f>
        <v>0</v>
      </c>
      <c r="AU98" s="53" t="n">
        <f aca="false">AU94-AU97</f>
        <v>0</v>
      </c>
      <c r="AV98" s="53" t="n">
        <f aca="false">AV94-AV97</f>
        <v>0</v>
      </c>
      <c r="AW98" s="53" t="n">
        <f aca="false">AW94-AW97</f>
        <v>0</v>
      </c>
      <c r="AX98" s="53" t="n">
        <f aca="false">AX94-AX97</f>
        <v>0</v>
      </c>
      <c r="AY98" s="53" t="n">
        <f aca="false">AY94-AY97</f>
        <v>0</v>
      </c>
      <c r="AZ98" s="53" t="n">
        <f aca="false">AZ94-AZ97</f>
        <v>0</v>
      </c>
      <c r="BA98" s="53" t="n">
        <f aca="false">BA94-BA97</f>
        <v>0</v>
      </c>
      <c r="BB98" s="53" t="n">
        <f aca="false">BB94-BB97</f>
        <v>0</v>
      </c>
      <c r="BC98" s="53" t="n">
        <f aca="false">BC94-BC97</f>
        <v>0</v>
      </c>
      <c r="BD98" s="53" t="n">
        <f aca="false">BD94-BD97</f>
        <v>0</v>
      </c>
      <c r="BE98" s="53" t="n">
        <f aca="false">BE94-BE97</f>
        <v>0</v>
      </c>
      <c r="BF98" s="53" t="n">
        <f aca="false">BF94-BF97</f>
        <v>0</v>
      </c>
      <c r="BG98" s="53" t="n">
        <f aca="false">BG94-BG97</f>
        <v>0</v>
      </c>
      <c r="BH98" s="53" t="n">
        <f aca="false">BH94-BH97</f>
        <v>0</v>
      </c>
      <c r="BI98" s="53" t="n">
        <f aca="false">BI94-BI97</f>
        <v>0</v>
      </c>
      <c r="BJ98" s="53" t="n">
        <f aca="false">BJ94-BJ97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413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319</v>
      </c>
    </row>
    <row r="3" customFormat="false" ht="15" hidden="false" customHeight="false" outlineLevel="0" collapsed="false">
      <c r="A3" s="33" t="s">
        <v>320</v>
      </c>
      <c r="C3" s="59" t="s">
        <v>321</v>
      </c>
      <c r="D3" s="59" t="s">
        <v>322</v>
      </c>
      <c r="E3" s="59" t="s">
        <v>323</v>
      </c>
      <c r="F3" s="59" t="s">
        <v>324</v>
      </c>
      <c r="G3" s="59" t="s">
        <v>325</v>
      </c>
      <c r="H3" s="59" t="s">
        <v>326</v>
      </c>
      <c r="I3" s="59" t="s">
        <v>327</v>
      </c>
      <c r="J3" s="59" t="s">
        <v>328</v>
      </c>
      <c r="K3" s="59" t="s">
        <v>329</v>
      </c>
      <c r="L3" s="59" t="s">
        <v>330</v>
      </c>
      <c r="M3" s="59" t="s">
        <v>331</v>
      </c>
      <c r="N3" s="59" t="s">
        <v>332</v>
      </c>
      <c r="O3" s="59" t="s">
        <v>333</v>
      </c>
      <c r="P3" s="59" t="s">
        <v>334</v>
      </c>
      <c r="Q3" s="59" t="s">
        <v>335</v>
      </c>
      <c r="R3" s="59" t="s">
        <v>336</v>
      </c>
      <c r="S3" s="59" t="s">
        <v>337</v>
      </c>
      <c r="T3" s="59" t="s">
        <v>338</v>
      </c>
      <c r="U3" s="59" t="s">
        <v>339</v>
      </c>
      <c r="V3" s="59" t="s">
        <v>340</v>
      </c>
      <c r="W3" s="59" t="s">
        <v>341</v>
      </c>
      <c r="X3" s="59" t="s">
        <v>342</v>
      </c>
      <c r="Y3" s="59" t="s">
        <v>343</v>
      </c>
      <c r="Z3" s="59" t="s">
        <v>344</v>
      </c>
      <c r="AA3" s="59" t="s">
        <v>345</v>
      </c>
      <c r="AB3" s="59" t="s">
        <v>346</v>
      </c>
      <c r="AC3" s="59" t="s">
        <v>347</v>
      </c>
      <c r="AD3" s="59" t="s">
        <v>348</v>
      </c>
      <c r="AE3" s="59" t="s">
        <v>349</v>
      </c>
      <c r="AF3" s="59" t="s">
        <v>350</v>
      </c>
      <c r="AG3" s="59" t="s">
        <v>351</v>
      </c>
      <c r="AH3" s="59" t="s">
        <v>352</v>
      </c>
      <c r="AI3" s="59" t="s">
        <v>353</v>
      </c>
      <c r="AJ3" s="59" t="s">
        <v>354</v>
      </c>
      <c r="AK3" s="59" t="s">
        <v>355</v>
      </c>
      <c r="AL3" s="59" t="s">
        <v>356</v>
      </c>
      <c r="AM3" s="59" t="s">
        <v>357</v>
      </c>
      <c r="AN3" s="59" t="s">
        <v>358</v>
      </c>
      <c r="AO3" s="59" t="s">
        <v>359</v>
      </c>
      <c r="AP3" s="59" t="s">
        <v>360</v>
      </c>
      <c r="AQ3" s="59" t="s">
        <v>361</v>
      </c>
      <c r="AR3" s="59" t="s">
        <v>362</v>
      </c>
      <c r="AS3" s="59" t="s">
        <v>363</v>
      </c>
      <c r="AT3" s="59" t="s">
        <v>364</v>
      </c>
      <c r="AU3" s="59" t="s">
        <v>365</v>
      </c>
      <c r="AV3" s="59" t="s">
        <v>366</v>
      </c>
      <c r="AW3" s="59" t="s">
        <v>367</v>
      </c>
      <c r="AX3" s="59" t="s">
        <v>368</v>
      </c>
      <c r="AY3" s="59" t="s">
        <v>369</v>
      </c>
      <c r="AZ3" s="59" t="s">
        <v>370</v>
      </c>
      <c r="BA3" s="59" t="s">
        <v>371</v>
      </c>
      <c r="BB3" s="59" t="s">
        <v>372</v>
      </c>
      <c r="BC3" s="59" t="s">
        <v>373</v>
      </c>
      <c r="BD3" s="59" t="s">
        <v>374</v>
      </c>
      <c r="BE3" s="59" t="s">
        <v>375</v>
      </c>
      <c r="BF3" s="59" t="s">
        <v>376</v>
      </c>
      <c r="BG3" s="59" t="s">
        <v>377</v>
      </c>
      <c r="BH3" s="59" t="s">
        <v>378</v>
      </c>
      <c r="BI3" s="59" t="s">
        <v>379</v>
      </c>
      <c r="BJ3" s="59" t="s">
        <v>380</v>
      </c>
    </row>
    <row r="4" customFormat="false" ht="15" hidden="false" customHeight="false" outlineLevel="0" collapsed="false">
      <c r="A4" s="58" t="s">
        <v>381</v>
      </c>
      <c r="C4" s="58" t="n">
        <v>1</v>
      </c>
      <c r="D4" s="58" t="n">
        <v>2</v>
      </c>
      <c r="E4" s="58" t="n">
        <v>3</v>
      </c>
      <c r="F4" s="58" t="n">
        <v>4</v>
      </c>
      <c r="G4" s="58" t="n">
        <v>5</v>
      </c>
      <c r="H4" s="58" t="n">
        <v>6</v>
      </c>
      <c r="I4" s="58" t="n">
        <v>7</v>
      </c>
      <c r="J4" s="58" t="n">
        <v>8</v>
      </c>
      <c r="K4" s="58" t="n">
        <v>9</v>
      </c>
      <c r="L4" s="58" t="n">
        <v>10</v>
      </c>
      <c r="M4" s="58" t="n">
        <v>11</v>
      </c>
      <c r="N4" s="58" t="n">
        <v>12</v>
      </c>
      <c r="O4" s="58" t="n">
        <v>13</v>
      </c>
      <c r="P4" s="58" t="n">
        <v>14</v>
      </c>
      <c r="Q4" s="58" t="n">
        <v>15</v>
      </c>
      <c r="R4" s="58" t="n">
        <v>16</v>
      </c>
      <c r="S4" s="58" t="n">
        <v>17</v>
      </c>
      <c r="T4" s="58" t="n">
        <v>18</v>
      </c>
      <c r="U4" s="58" t="n">
        <v>19</v>
      </c>
      <c r="V4" s="58" t="n">
        <v>20</v>
      </c>
      <c r="W4" s="58" t="n">
        <v>21</v>
      </c>
      <c r="X4" s="58" t="n">
        <v>22</v>
      </c>
      <c r="Y4" s="58" t="n">
        <v>23</v>
      </c>
      <c r="Z4" s="58" t="n">
        <v>24</v>
      </c>
      <c r="AA4" s="58" t="n">
        <v>25</v>
      </c>
      <c r="AB4" s="58" t="n">
        <v>26</v>
      </c>
      <c r="AC4" s="58" t="n">
        <v>27</v>
      </c>
      <c r="AD4" s="58" t="n">
        <v>28</v>
      </c>
      <c r="AE4" s="58" t="n">
        <v>29</v>
      </c>
      <c r="AF4" s="58" t="n">
        <v>30</v>
      </c>
      <c r="AG4" s="58" t="n">
        <v>31</v>
      </c>
      <c r="AH4" s="58" t="n">
        <v>32</v>
      </c>
      <c r="AI4" s="58" t="n">
        <v>33</v>
      </c>
      <c r="AJ4" s="58" t="n">
        <v>34</v>
      </c>
      <c r="AK4" s="58" t="n">
        <v>35</v>
      </c>
      <c r="AL4" s="58" t="n">
        <v>36</v>
      </c>
      <c r="AM4" s="58" t="n">
        <v>37</v>
      </c>
      <c r="AN4" s="58" t="n">
        <v>38</v>
      </c>
      <c r="AO4" s="58" t="n">
        <v>39</v>
      </c>
      <c r="AP4" s="58" t="n">
        <v>40</v>
      </c>
      <c r="AQ4" s="58" t="n">
        <v>41</v>
      </c>
      <c r="AR4" s="58" t="n">
        <v>42</v>
      </c>
      <c r="AS4" s="58" t="n">
        <v>43</v>
      </c>
      <c r="AT4" s="58" t="n">
        <v>44</v>
      </c>
      <c r="AU4" s="58" t="n">
        <v>45</v>
      </c>
      <c r="AV4" s="58" t="n">
        <v>46</v>
      </c>
      <c r="AW4" s="58" t="n">
        <v>47</v>
      </c>
      <c r="AX4" s="58" t="n">
        <v>48</v>
      </c>
      <c r="AY4" s="58" t="n">
        <v>49</v>
      </c>
      <c r="AZ4" s="58" t="n">
        <v>50</v>
      </c>
      <c r="BA4" s="58" t="n">
        <v>51</v>
      </c>
      <c r="BB4" s="58" t="n">
        <v>52</v>
      </c>
      <c r="BC4" s="58" t="n">
        <v>53</v>
      </c>
      <c r="BD4" s="58" t="n">
        <v>54</v>
      </c>
      <c r="BE4" s="58" t="n">
        <v>55</v>
      </c>
      <c r="BF4" s="58" t="n">
        <v>56</v>
      </c>
      <c r="BG4" s="58" t="n">
        <v>57</v>
      </c>
      <c r="BH4" s="58" t="n">
        <v>58</v>
      </c>
      <c r="BI4" s="58" t="n">
        <v>59</v>
      </c>
      <c r="BJ4" s="58" t="n">
        <v>60</v>
      </c>
    </row>
    <row r="5" customFormat="false" ht="15" hidden="false" customHeight="false" outlineLevel="0" collapsed="false">
      <c r="A5" s="58" t="s">
        <v>121</v>
      </c>
      <c r="C5" s="58" t="n">
        <f aca="false">ROUNDUP(C4*1/12,0)</f>
        <v>1</v>
      </c>
      <c r="D5" s="58" t="n">
        <f aca="false">ROUNDUP(D4*1/12,0)</f>
        <v>1</v>
      </c>
      <c r="E5" s="58" t="n">
        <f aca="false">ROUNDUP(E4*1/12,0)</f>
        <v>1</v>
      </c>
      <c r="F5" s="58" t="n">
        <f aca="false">ROUNDUP(F4*1/12,0)</f>
        <v>1</v>
      </c>
      <c r="G5" s="58" t="n">
        <f aca="false">ROUNDUP(G4*1/12,0)</f>
        <v>1</v>
      </c>
      <c r="H5" s="58" t="n">
        <f aca="false">ROUNDUP(H4*1/12,0)</f>
        <v>1</v>
      </c>
      <c r="I5" s="58" t="n">
        <f aca="false">ROUNDUP(I4*1/12,0)</f>
        <v>1</v>
      </c>
      <c r="J5" s="58" t="n">
        <f aca="false">ROUNDUP(J4*1/12,0)</f>
        <v>1</v>
      </c>
      <c r="K5" s="58" t="n">
        <f aca="false">ROUNDUP(K4*1/12,0)</f>
        <v>1</v>
      </c>
      <c r="L5" s="58" t="n">
        <f aca="false">ROUNDUP(L4*1/12,0)</f>
        <v>1</v>
      </c>
      <c r="M5" s="58" t="n">
        <f aca="false">ROUNDUP(M4*1/12,0)</f>
        <v>1</v>
      </c>
      <c r="N5" s="58" t="n">
        <f aca="false">ROUNDUP(N4*1/12,0)</f>
        <v>1</v>
      </c>
      <c r="O5" s="58" t="n">
        <f aca="false">ROUNDUP(O4*1/12,0)</f>
        <v>2</v>
      </c>
      <c r="P5" s="58" t="n">
        <f aca="false">ROUNDUP(P4*1/12,0)</f>
        <v>2</v>
      </c>
      <c r="Q5" s="58" t="n">
        <f aca="false">ROUNDUP(Q4*1/12,0)</f>
        <v>2</v>
      </c>
      <c r="R5" s="58" t="n">
        <f aca="false">ROUNDUP(R4*1/12,0)</f>
        <v>2</v>
      </c>
      <c r="S5" s="58" t="n">
        <f aca="false">ROUNDUP(S4*1/12,0)</f>
        <v>2</v>
      </c>
      <c r="T5" s="58" t="n">
        <f aca="false">ROUNDUP(T4*1/12,0)</f>
        <v>2</v>
      </c>
      <c r="U5" s="58" t="n">
        <f aca="false">ROUNDUP(U4*1/12,0)</f>
        <v>2</v>
      </c>
      <c r="V5" s="58" t="n">
        <f aca="false">ROUNDUP(V4*1/12,0)</f>
        <v>2</v>
      </c>
      <c r="W5" s="58" t="n">
        <f aca="false">ROUNDUP(W4*1/12,0)</f>
        <v>2</v>
      </c>
      <c r="X5" s="58" t="n">
        <f aca="false">ROUNDUP(X4*1/12,0)</f>
        <v>2</v>
      </c>
      <c r="Y5" s="58" t="n">
        <f aca="false">ROUNDUP(Y4*1/12,0)</f>
        <v>2</v>
      </c>
      <c r="Z5" s="58" t="n">
        <f aca="false">ROUNDUP(Z4*1/12,0)</f>
        <v>2</v>
      </c>
      <c r="AA5" s="58" t="n">
        <f aca="false">ROUNDUP(AA4*1/12,0)</f>
        <v>3</v>
      </c>
      <c r="AB5" s="58" t="n">
        <f aca="false">ROUNDUP(AB4*1/12,0)</f>
        <v>3</v>
      </c>
      <c r="AC5" s="58" t="n">
        <f aca="false">ROUNDUP(AC4*1/12,0)</f>
        <v>3</v>
      </c>
      <c r="AD5" s="58" t="n">
        <f aca="false">ROUNDUP(AD4*1/12,0)</f>
        <v>3</v>
      </c>
      <c r="AE5" s="58" t="n">
        <f aca="false">ROUNDUP(AE4*1/12,0)</f>
        <v>3</v>
      </c>
      <c r="AF5" s="58" t="n">
        <f aca="false">ROUNDUP(AF4*1/12,0)</f>
        <v>3</v>
      </c>
      <c r="AG5" s="58" t="n">
        <f aca="false">ROUNDUP(AG4*1/12,0)</f>
        <v>3</v>
      </c>
      <c r="AH5" s="58" t="n">
        <f aca="false">ROUNDUP(AH4*1/12,0)</f>
        <v>3</v>
      </c>
      <c r="AI5" s="58" t="n">
        <f aca="false">ROUNDUP(AI4*1/12,0)</f>
        <v>3</v>
      </c>
      <c r="AJ5" s="58" t="n">
        <f aca="false">ROUNDUP(AJ4*1/12,0)</f>
        <v>3</v>
      </c>
      <c r="AK5" s="58" t="n">
        <f aca="false">ROUNDUP(AK4*1/12,0)</f>
        <v>3</v>
      </c>
      <c r="AL5" s="58" t="n">
        <f aca="false">ROUNDUP(AL4*1/12,0)</f>
        <v>3</v>
      </c>
      <c r="AM5" s="58" t="n">
        <f aca="false">ROUNDUP(AM4*1/12,0)</f>
        <v>4</v>
      </c>
      <c r="AN5" s="58" t="n">
        <f aca="false">ROUNDUP(AN4*1/12,0)</f>
        <v>4</v>
      </c>
      <c r="AO5" s="58" t="n">
        <f aca="false">ROUNDUP(AO4*1/12,0)</f>
        <v>4</v>
      </c>
      <c r="AP5" s="58" t="n">
        <f aca="false">ROUNDUP(AP4*1/12,0)</f>
        <v>4</v>
      </c>
      <c r="AQ5" s="58" t="n">
        <f aca="false">ROUNDUP(AQ4*1/12,0)</f>
        <v>4</v>
      </c>
      <c r="AR5" s="58" t="n">
        <f aca="false">ROUNDUP(AR4*1/12,0)</f>
        <v>4</v>
      </c>
      <c r="AS5" s="58" t="n">
        <f aca="false">ROUNDUP(AS4*1/12,0)</f>
        <v>4</v>
      </c>
      <c r="AT5" s="58" t="n">
        <f aca="false">ROUNDUP(AT4*1/12,0)</f>
        <v>4</v>
      </c>
      <c r="AU5" s="58" t="n">
        <f aca="false">ROUNDUP(AU4*1/12,0)</f>
        <v>4</v>
      </c>
      <c r="AV5" s="58" t="n">
        <f aca="false">ROUNDUP(AV4*1/12,0)</f>
        <v>4</v>
      </c>
      <c r="AW5" s="58" t="n">
        <f aca="false">ROUNDUP(AW4*1/12,0)</f>
        <v>4</v>
      </c>
      <c r="AX5" s="58" t="n">
        <f aca="false">ROUNDUP(AX4*1/12,0)</f>
        <v>4</v>
      </c>
      <c r="AY5" s="58" t="n">
        <f aca="false">ROUNDUP(AY4*1/12,0)</f>
        <v>5</v>
      </c>
      <c r="AZ5" s="58" t="n">
        <f aca="false">ROUNDUP(AZ4*1/12,0)</f>
        <v>5</v>
      </c>
      <c r="BA5" s="58" t="n">
        <f aca="false">ROUNDUP(BA4*1/12,0)</f>
        <v>5</v>
      </c>
      <c r="BB5" s="58" t="n">
        <f aca="false">ROUNDUP(BB4*1/12,0)</f>
        <v>5</v>
      </c>
      <c r="BC5" s="58" t="n">
        <f aca="false">ROUNDUP(BC4*1/12,0)</f>
        <v>5</v>
      </c>
      <c r="BD5" s="58" t="n">
        <f aca="false">ROUNDUP(BD4*1/12,0)</f>
        <v>5</v>
      </c>
      <c r="BE5" s="58" t="n">
        <f aca="false">ROUNDUP(BE4*1/12,0)</f>
        <v>5</v>
      </c>
      <c r="BF5" s="58" t="n">
        <f aca="false">ROUNDUP(BF4*1/12,0)</f>
        <v>5</v>
      </c>
      <c r="BG5" s="58" t="n">
        <f aca="false">ROUNDUP(BG4*1/12,0)</f>
        <v>5</v>
      </c>
      <c r="BH5" s="58" t="n">
        <f aca="false">ROUNDUP(BH4*1/12,0)</f>
        <v>5</v>
      </c>
      <c r="BI5" s="58" t="n">
        <f aca="false">ROUNDUP(BI4*1/12,0)</f>
        <v>5</v>
      </c>
      <c r="BJ5" s="58" t="n">
        <f aca="false">ROUNDUP(BJ4*1/12,0)</f>
        <v>5</v>
      </c>
    </row>
    <row r="7" customFormat="false" ht="15.75" hidden="false" customHeight="true" outlineLevel="0" collapsed="false">
      <c r="A7" s="7" t="s">
        <v>414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415</v>
      </c>
      <c r="C8" s="105" t="n">
        <f aca="false">Inputs!$E$53*(1+Inputs!$E$55)^(C$5-1)*MAX(0,MIN(1,C$4*1-Inputs!$E$56+1))/1</f>
        <v>0.5</v>
      </c>
      <c r="D8" s="105" t="n">
        <f aca="false">Inputs!$E$53*(1+Inputs!$E$55)^(D$5-1)*MAX(0,MIN(1,D$4*1-Inputs!$E$56+1))/1</f>
        <v>0.5</v>
      </c>
      <c r="E8" s="105" t="n">
        <f aca="false">Inputs!$E$53*(1+Inputs!$E$55)^(E$5-1)*MAX(0,MIN(1,E$4*1-Inputs!$E$56+1))/1</f>
        <v>0.5</v>
      </c>
      <c r="F8" s="105" t="n">
        <f aca="false">Inputs!$E$53*(1+Inputs!$E$55)^(F$5-1)*MAX(0,MIN(1,F$4*1-Inputs!$E$56+1))/1</f>
        <v>0.5</v>
      </c>
      <c r="G8" s="105" t="n">
        <f aca="false">Inputs!$E$53*(1+Inputs!$E$55)^(G$5-1)*MAX(0,MIN(1,G$4*1-Inputs!$E$56+1))/1</f>
        <v>0.5</v>
      </c>
      <c r="H8" s="105" t="n">
        <f aca="false">Inputs!$E$53*(1+Inputs!$E$55)^(H$5-1)*MAX(0,MIN(1,H$4*1-Inputs!$E$56+1))/1</f>
        <v>0.5</v>
      </c>
      <c r="I8" s="105" t="n">
        <f aca="false">Inputs!$E$53*(1+Inputs!$E$55)^(I$5-1)*MAX(0,MIN(1,I$4*1-Inputs!$E$56+1))/1</f>
        <v>0.5</v>
      </c>
      <c r="J8" s="105" t="n">
        <f aca="false">Inputs!$E$53*(1+Inputs!$E$55)^(J$5-1)*MAX(0,MIN(1,J$4*1-Inputs!$E$56+1))/1</f>
        <v>0.5</v>
      </c>
      <c r="K8" s="105" t="n">
        <f aca="false">Inputs!$E$53*(1+Inputs!$E$55)^(K$5-1)*MAX(0,MIN(1,K$4*1-Inputs!$E$56+1))/1</f>
        <v>0.5</v>
      </c>
      <c r="L8" s="105" t="n">
        <f aca="false">Inputs!$E$53*(1+Inputs!$E$55)^(L$5-1)*MAX(0,MIN(1,L$4*1-Inputs!$E$56+1))/1</f>
        <v>0.5</v>
      </c>
      <c r="M8" s="105" t="n">
        <f aca="false">Inputs!$E$53*(1+Inputs!$E$55)^(M$5-1)*MAX(0,MIN(1,M$4*1-Inputs!$E$56+1))/1</f>
        <v>0.5</v>
      </c>
      <c r="N8" s="105" t="n">
        <f aca="false">Inputs!$E$53*(1+Inputs!$E$55)^(N$5-1)*MAX(0,MIN(1,N$4*1-Inputs!$E$56+1))/1</f>
        <v>0.5</v>
      </c>
      <c r="O8" s="105" t="n">
        <f aca="false">Inputs!$E$53*(1+Inputs!$E$55)^(O$5-1)*MAX(0,MIN(1,O$4*1-Inputs!$E$56+1))/1</f>
        <v>0.5</v>
      </c>
      <c r="P8" s="105" t="n">
        <f aca="false">Inputs!$E$53*(1+Inputs!$E$55)^(P$5-1)*MAX(0,MIN(1,P$4*1-Inputs!$E$56+1))/1</f>
        <v>0.5</v>
      </c>
      <c r="Q8" s="105" t="n">
        <f aca="false">Inputs!$E$53*(1+Inputs!$E$55)^(Q$5-1)*MAX(0,MIN(1,Q$4*1-Inputs!$E$56+1))/1</f>
        <v>0.5</v>
      </c>
      <c r="R8" s="105" t="n">
        <f aca="false">Inputs!$E$53*(1+Inputs!$E$55)^(R$5-1)*MAX(0,MIN(1,R$4*1-Inputs!$E$56+1))/1</f>
        <v>0.5</v>
      </c>
      <c r="S8" s="105" t="n">
        <f aca="false">Inputs!$E$53*(1+Inputs!$E$55)^(S$5-1)*MAX(0,MIN(1,S$4*1-Inputs!$E$56+1))/1</f>
        <v>0.5</v>
      </c>
      <c r="T8" s="105" t="n">
        <f aca="false">Inputs!$E$53*(1+Inputs!$E$55)^(T$5-1)*MAX(0,MIN(1,T$4*1-Inputs!$E$56+1))/1</f>
        <v>0.5</v>
      </c>
      <c r="U8" s="105" t="n">
        <f aca="false">Inputs!$E$53*(1+Inputs!$E$55)^(U$5-1)*MAX(0,MIN(1,U$4*1-Inputs!$E$56+1))/1</f>
        <v>0.5</v>
      </c>
      <c r="V8" s="105" t="n">
        <f aca="false">Inputs!$E$53*(1+Inputs!$E$55)^(V$5-1)*MAX(0,MIN(1,V$4*1-Inputs!$E$56+1))/1</f>
        <v>0.5</v>
      </c>
      <c r="W8" s="105" t="n">
        <f aca="false">Inputs!$E$53*(1+Inputs!$E$55)^(W$5-1)*MAX(0,MIN(1,W$4*1-Inputs!$E$56+1))/1</f>
        <v>0.5</v>
      </c>
      <c r="X8" s="105" t="n">
        <f aca="false">Inputs!$E$53*(1+Inputs!$E$55)^(X$5-1)*MAX(0,MIN(1,X$4*1-Inputs!$E$56+1))/1</f>
        <v>0.5</v>
      </c>
      <c r="Y8" s="105" t="n">
        <f aca="false">Inputs!$E$53*(1+Inputs!$E$55)^(Y$5-1)*MAX(0,MIN(1,Y$4*1-Inputs!$E$56+1))/1</f>
        <v>0.5</v>
      </c>
      <c r="Z8" s="105" t="n">
        <f aca="false">Inputs!$E$53*(1+Inputs!$E$55)^(Z$5-1)*MAX(0,MIN(1,Z$4*1-Inputs!$E$56+1))/1</f>
        <v>0.5</v>
      </c>
      <c r="AA8" s="105" t="n">
        <f aca="false">Inputs!$E$53*(1+Inputs!$E$55)^(AA$5-1)*MAX(0,MIN(1,AA$4*1-Inputs!$E$56+1))/1</f>
        <v>0.5</v>
      </c>
      <c r="AB8" s="105" t="n">
        <f aca="false">Inputs!$E$53*(1+Inputs!$E$55)^(AB$5-1)*MAX(0,MIN(1,AB$4*1-Inputs!$E$56+1))/1</f>
        <v>0.5</v>
      </c>
      <c r="AC8" s="105" t="n">
        <f aca="false">Inputs!$E$53*(1+Inputs!$E$55)^(AC$5-1)*MAX(0,MIN(1,AC$4*1-Inputs!$E$56+1))/1</f>
        <v>0.5</v>
      </c>
      <c r="AD8" s="105" t="n">
        <f aca="false">Inputs!$E$53*(1+Inputs!$E$55)^(AD$5-1)*MAX(0,MIN(1,AD$4*1-Inputs!$E$56+1))/1</f>
        <v>0.5</v>
      </c>
      <c r="AE8" s="105" t="n">
        <f aca="false">Inputs!$E$53*(1+Inputs!$E$55)^(AE$5-1)*MAX(0,MIN(1,AE$4*1-Inputs!$E$56+1))/1</f>
        <v>0.5</v>
      </c>
      <c r="AF8" s="105" t="n">
        <f aca="false">Inputs!$E$53*(1+Inputs!$E$55)^(AF$5-1)*MAX(0,MIN(1,AF$4*1-Inputs!$E$56+1))/1</f>
        <v>0.5</v>
      </c>
      <c r="AG8" s="105" t="n">
        <f aca="false">Inputs!$E$53*(1+Inputs!$E$55)^(AG$5-1)*MAX(0,MIN(1,AG$4*1-Inputs!$E$56+1))/1</f>
        <v>0.5</v>
      </c>
      <c r="AH8" s="105" t="n">
        <f aca="false">Inputs!$E$53*(1+Inputs!$E$55)^(AH$5-1)*MAX(0,MIN(1,AH$4*1-Inputs!$E$56+1))/1</f>
        <v>0.5</v>
      </c>
      <c r="AI8" s="105" t="n">
        <f aca="false">Inputs!$E$53*(1+Inputs!$E$55)^(AI$5-1)*MAX(0,MIN(1,AI$4*1-Inputs!$E$56+1))/1</f>
        <v>0.5</v>
      </c>
      <c r="AJ8" s="105" t="n">
        <f aca="false">Inputs!$E$53*(1+Inputs!$E$55)^(AJ$5-1)*MAX(0,MIN(1,AJ$4*1-Inputs!$E$56+1))/1</f>
        <v>0.5</v>
      </c>
      <c r="AK8" s="105" t="n">
        <f aca="false">Inputs!$E$53*(1+Inputs!$E$55)^(AK$5-1)*MAX(0,MIN(1,AK$4*1-Inputs!$E$56+1))/1</f>
        <v>0.5</v>
      </c>
      <c r="AL8" s="105" t="n">
        <f aca="false">Inputs!$E$53*(1+Inputs!$E$55)^(AL$5-1)*MAX(0,MIN(1,AL$4*1-Inputs!$E$56+1))/1</f>
        <v>0.5</v>
      </c>
      <c r="AM8" s="105" t="n">
        <f aca="false">Inputs!$E$53*(1+Inputs!$E$55)^(AM$5-1)*MAX(0,MIN(1,AM$4*1-Inputs!$E$56+1))/1</f>
        <v>0.5</v>
      </c>
      <c r="AN8" s="105" t="n">
        <f aca="false">Inputs!$E$53*(1+Inputs!$E$55)^(AN$5-1)*MAX(0,MIN(1,AN$4*1-Inputs!$E$56+1))/1</f>
        <v>0.5</v>
      </c>
      <c r="AO8" s="105" t="n">
        <f aca="false">Inputs!$E$53*(1+Inputs!$E$55)^(AO$5-1)*MAX(0,MIN(1,AO$4*1-Inputs!$E$56+1))/1</f>
        <v>0.5</v>
      </c>
      <c r="AP8" s="105" t="n">
        <f aca="false">Inputs!$E$53*(1+Inputs!$E$55)^(AP$5-1)*MAX(0,MIN(1,AP$4*1-Inputs!$E$56+1))/1</f>
        <v>0.5</v>
      </c>
      <c r="AQ8" s="105" t="n">
        <f aca="false">Inputs!$E$53*(1+Inputs!$E$55)^(AQ$5-1)*MAX(0,MIN(1,AQ$4*1-Inputs!$E$56+1))/1</f>
        <v>0.5</v>
      </c>
      <c r="AR8" s="105" t="n">
        <f aca="false">Inputs!$E$53*(1+Inputs!$E$55)^(AR$5-1)*MAX(0,MIN(1,AR$4*1-Inputs!$E$56+1))/1</f>
        <v>0.5</v>
      </c>
      <c r="AS8" s="105" t="n">
        <f aca="false">Inputs!$E$53*(1+Inputs!$E$55)^(AS$5-1)*MAX(0,MIN(1,AS$4*1-Inputs!$E$56+1))/1</f>
        <v>0.5</v>
      </c>
      <c r="AT8" s="105" t="n">
        <f aca="false">Inputs!$E$53*(1+Inputs!$E$55)^(AT$5-1)*MAX(0,MIN(1,AT$4*1-Inputs!$E$56+1))/1</f>
        <v>0.5</v>
      </c>
      <c r="AU8" s="105" t="n">
        <f aca="false">Inputs!$E$53*(1+Inputs!$E$55)^(AU$5-1)*MAX(0,MIN(1,AU$4*1-Inputs!$E$56+1))/1</f>
        <v>0.5</v>
      </c>
      <c r="AV8" s="105" t="n">
        <f aca="false">Inputs!$E$53*(1+Inputs!$E$55)^(AV$5-1)*MAX(0,MIN(1,AV$4*1-Inputs!$E$56+1))/1</f>
        <v>0.5</v>
      </c>
      <c r="AW8" s="105" t="n">
        <f aca="false">Inputs!$E$53*(1+Inputs!$E$55)^(AW$5-1)*MAX(0,MIN(1,AW$4*1-Inputs!$E$56+1))/1</f>
        <v>0.5</v>
      </c>
      <c r="AX8" s="105" t="n">
        <f aca="false">Inputs!$E$53*(1+Inputs!$E$55)^(AX$5-1)*MAX(0,MIN(1,AX$4*1-Inputs!$E$56+1))/1</f>
        <v>0.5</v>
      </c>
      <c r="AY8" s="105" t="n">
        <f aca="false">Inputs!$E$53*(1+Inputs!$E$55)^(AY$5-1)*MAX(0,MIN(1,AY$4*1-Inputs!$E$56+1))/1</f>
        <v>0.5</v>
      </c>
      <c r="AZ8" s="105" t="n">
        <f aca="false">Inputs!$E$53*(1+Inputs!$E$55)^(AZ$5-1)*MAX(0,MIN(1,AZ$4*1-Inputs!$E$56+1))/1</f>
        <v>0.5</v>
      </c>
      <c r="BA8" s="105" t="n">
        <f aca="false">Inputs!$E$53*(1+Inputs!$E$55)^(BA$5-1)*MAX(0,MIN(1,BA$4*1-Inputs!$E$56+1))/1</f>
        <v>0.5</v>
      </c>
      <c r="BB8" s="105" t="n">
        <f aca="false">Inputs!$E$53*(1+Inputs!$E$55)^(BB$5-1)*MAX(0,MIN(1,BB$4*1-Inputs!$E$56+1))/1</f>
        <v>0.5</v>
      </c>
      <c r="BC8" s="105" t="n">
        <f aca="false">Inputs!$E$53*(1+Inputs!$E$55)^(BC$5-1)*MAX(0,MIN(1,BC$4*1-Inputs!$E$56+1))/1</f>
        <v>0.5</v>
      </c>
      <c r="BD8" s="105" t="n">
        <f aca="false">Inputs!$E$53*(1+Inputs!$E$55)^(BD$5-1)*MAX(0,MIN(1,BD$4*1-Inputs!$E$56+1))/1</f>
        <v>0.5</v>
      </c>
      <c r="BE8" s="105" t="n">
        <f aca="false">Inputs!$E$53*(1+Inputs!$E$55)^(BE$5-1)*MAX(0,MIN(1,BE$4*1-Inputs!$E$56+1))/1</f>
        <v>0.5</v>
      </c>
      <c r="BF8" s="105" t="n">
        <f aca="false">Inputs!$E$53*(1+Inputs!$E$55)^(BF$5-1)*MAX(0,MIN(1,BF$4*1-Inputs!$E$56+1))/1</f>
        <v>0.5</v>
      </c>
      <c r="BG8" s="105" t="n">
        <f aca="false">Inputs!$E$53*(1+Inputs!$E$55)^(BG$5-1)*MAX(0,MIN(1,BG$4*1-Inputs!$E$56+1))/1</f>
        <v>0.5</v>
      </c>
      <c r="BH8" s="105" t="n">
        <f aca="false">Inputs!$E$53*(1+Inputs!$E$55)^(BH$5-1)*MAX(0,MIN(1,BH$4*1-Inputs!$E$56+1))/1</f>
        <v>0.5</v>
      </c>
      <c r="BI8" s="105" t="n">
        <f aca="false">Inputs!$E$53*(1+Inputs!$E$55)^(BI$5-1)*MAX(0,MIN(1,BI$4*1-Inputs!$E$56+1))/1</f>
        <v>0.5</v>
      </c>
      <c r="BJ8" s="105" t="n">
        <f aca="false">Inputs!$E$53*(1+Inputs!$E$55)^(BJ$5-1)*MAX(0,MIN(1,BJ$4*1-Inputs!$E$56+1))/1</f>
        <v>0.5</v>
      </c>
    </row>
    <row r="9" customFormat="false" ht="15" hidden="false" customHeight="false" outlineLevel="0" collapsed="false">
      <c r="A9" s="6" t="s">
        <v>416</v>
      </c>
      <c r="C9" s="105" t="n">
        <f aca="false">Inputs!$E$57*(1+Inputs!$E$59)^(C$5-1)*MAX(0,MIN(1,C$4*1-Inputs!$E$60+1))/1</f>
        <v>1</v>
      </c>
      <c r="D9" s="105" t="n">
        <f aca="false">Inputs!$E$57*(1+Inputs!$E$59)^(D$5-1)*MAX(0,MIN(1,D$4*1-Inputs!$E$60+1))/1</f>
        <v>1</v>
      </c>
      <c r="E9" s="105" t="n">
        <f aca="false">Inputs!$E$57*(1+Inputs!$E$59)^(E$5-1)*MAX(0,MIN(1,E$4*1-Inputs!$E$60+1))/1</f>
        <v>1</v>
      </c>
      <c r="F9" s="105" t="n">
        <f aca="false">Inputs!$E$57*(1+Inputs!$E$59)^(F$5-1)*MAX(0,MIN(1,F$4*1-Inputs!$E$60+1))/1</f>
        <v>1</v>
      </c>
      <c r="G9" s="105" t="n">
        <f aca="false">Inputs!$E$57*(1+Inputs!$E$59)^(G$5-1)*MAX(0,MIN(1,G$4*1-Inputs!$E$60+1))/1</f>
        <v>1</v>
      </c>
      <c r="H9" s="105" t="n">
        <f aca="false">Inputs!$E$57*(1+Inputs!$E$59)^(H$5-1)*MAX(0,MIN(1,H$4*1-Inputs!$E$60+1))/1</f>
        <v>1</v>
      </c>
      <c r="I9" s="105" t="n">
        <f aca="false">Inputs!$E$57*(1+Inputs!$E$59)^(I$5-1)*MAX(0,MIN(1,I$4*1-Inputs!$E$60+1))/1</f>
        <v>1</v>
      </c>
      <c r="J9" s="105" t="n">
        <f aca="false">Inputs!$E$57*(1+Inputs!$E$59)^(J$5-1)*MAX(0,MIN(1,J$4*1-Inputs!$E$60+1))/1</f>
        <v>1</v>
      </c>
      <c r="K9" s="105" t="n">
        <f aca="false">Inputs!$E$57*(1+Inputs!$E$59)^(K$5-1)*MAX(0,MIN(1,K$4*1-Inputs!$E$60+1))/1</f>
        <v>1</v>
      </c>
      <c r="L9" s="105" t="n">
        <f aca="false">Inputs!$E$57*(1+Inputs!$E$59)^(L$5-1)*MAX(0,MIN(1,L$4*1-Inputs!$E$60+1))/1</f>
        <v>1</v>
      </c>
      <c r="M9" s="105" t="n">
        <f aca="false">Inputs!$E$57*(1+Inputs!$E$59)^(M$5-1)*MAX(0,MIN(1,M$4*1-Inputs!$E$60+1))/1</f>
        <v>1</v>
      </c>
      <c r="N9" s="105" t="n">
        <f aca="false">Inputs!$E$57*(1+Inputs!$E$59)^(N$5-1)*MAX(0,MIN(1,N$4*1-Inputs!$E$60+1))/1</f>
        <v>1</v>
      </c>
      <c r="O9" s="105" t="n">
        <f aca="false">Inputs!$E$57*(1+Inputs!$E$59)^(O$5-1)*MAX(0,MIN(1,O$4*1-Inputs!$E$60+1))/1</f>
        <v>1</v>
      </c>
      <c r="P9" s="105" t="n">
        <f aca="false">Inputs!$E$57*(1+Inputs!$E$59)^(P$5-1)*MAX(0,MIN(1,P$4*1-Inputs!$E$60+1))/1</f>
        <v>1</v>
      </c>
      <c r="Q9" s="105" t="n">
        <f aca="false">Inputs!$E$57*(1+Inputs!$E$59)^(Q$5-1)*MAX(0,MIN(1,Q$4*1-Inputs!$E$60+1))/1</f>
        <v>1</v>
      </c>
      <c r="R9" s="105" t="n">
        <f aca="false">Inputs!$E$57*(1+Inputs!$E$59)^(R$5-1)*MAX(0,MIN(1,R$4*1-Inputs!$E$60+1))/1</f>
        <v>1</v>
      </c>
      <c r="S9" s="105" t="n">
        <f aca="false">Inputs!$E$57*(1+Inputs!$E$59)^(S$5-1)*MAX(0,MIN(1,S$4*1-Inputs!$E$60+1))/1</f>
        <v>1</v>
      </c>
      <c r="T9" s="105" t="n">
        <f aca="false">Inputs!$E$57*(1+Inputs!$E$59)^(T$5-1)*MAX(0,MIN(1,T$4*1-Inputs!$E$60+1))/1</f>
        <v>1</v>
      </c>
      <c r="U9" s="105" t="n">
        <f aca="false">Inputs!$E$57*(1+Inputs!$E$59)^(U$5-1)*MAX(0,MIN(1,U$4*1-Inputs!$E$60+1))/1</f>
        <v>1</v>
      </c>
      <c r="V9" s="105" t="n">
        <f aca="false">Inputs!$E$57*(1+Inputs!$E$59)^(V$5-1)*MAX(0,MIN(1,V$4*1-Inputs!$E$60+1))/1</f>
        <v>1</v>
      </c>
      <c r="W9" s="105" t="n">
        <f aca="false">Inputs!$E$57*(1+Inputs!$E$59)^(W$5-1)*MAX(0,MIN(1,W$4*1-Inputs!$E$60+1))/1</f>
        <v>1</v>
      </c>
      <c r="X9" s="105" t="n">
        <f aca="false">Inputs!$E$57*(1+Inputs!$E$59)^(X$5-1)*MAX(0,MIN(1,X$4*1-Inputs!$E$60+1))/1</f>
        <v>1</v>
      </c>
      <c r="Y9" s="105" t="n">
        <f aca="false">Inputs!$E$57*(1+Inputs!$E$59)^(Y$5-1)*MAX(0,MIN(1,Y$4*1-Inputs!$E$60+1))/1</f>
        <v>1</v>
      </c>
      <c r="Z9" s="105" t="n">
        <f aca="false">Inputs!$E$57*(1+Inputs!$E$59)^(Z$5-1)*MAX(0,MIN(1,Z$4*1-Inputs!$E$60+1))/1</f>
        <v>1</v>
      </c>
      <c r="AA9" s="105" t="n">
        <f aca="false">Inputs!$E$57*(1+Inputs!$E$59)^(AA$5-1)*MAX(0,MIN(1,AA$4*1-Inputs!$E$60+1))/1</f>
        <v>1</v>
      </c>
      <c r="AB9" s="105" t="n">
        <f aca="false">Inputs!$E$57*(1+Inputs!$E$59)^(AB$5-1)*MAX(0,MIN(1,AB$4*1-Inputs!$E$60+1))/1</f>
        <v>1</v>
      </c>
      <c r="AC9" s="105" t="n">
        <f aca="false">Inputs!$E$57*(1+Inputs!$E$59)^(AC$5-1)*MAX(0,MIN(1,AC$4*1-Inputs!$E$60+1))/1</f>
        <v>1</v>
      </c>
      <c r="AD9" s="105" t="n">
        <f aca="false">Inputs!$E$57*(1+Inputs!$E$59)^(AD$5-1)*MAX(0,MIN(1,AD$4*1-Inputs!$E$60+1))/1</f>
        <v>1</v>
      </c>
      <c r="AE9" s="105" t="n">
        <f aca="false">Inputs!$E$57*(1+Inputs!$E$59)^(AE$5-1)*MAX(0,MIN(1,AE$4*1-Inputs!$E$60+1))/1</f>
        <v>1</v>
      </c>
      <c r="AF9" s="105" t="n">
        <f aca="false">Inputs!$E$57*(1+Inputs!$E$59)^(AF$5-1)*MAX(0,MIN(1,AF$4*1-Inputs!$E$60+1))/1</f>
        <v>1</v>
      </c>
      <c r="AG9" s="105" t="n">
        <f aca="false">Inputs!$E$57*(1+Inputs!$E$59)^(AG$5-1)*MAX(0,MIN(1,AG$4*1-Inputs!$E$60+1))/1</f>
        <v>1</v>
      </c>
      <c r="AH9" s="105" t="n">
        <f aca="false">Inputs!$E$57*(1+Inputs!$E$59)^(AH$5-1)*MAX(0,MIN(1,AH$4*1-Inputs!$E$60+1))/1</f>
        <v>1</v>
      </c>
      <c r="AI9" s="105" t="n">
        <f aca="false">Inputs!$E$57*(1+Inputs!$E$59)^(AI$5-1)*MAX(0,MIN(1,AI$4*1-Inputs!$E$60+1))/1</f>
        <v>1</v>
      </c>
      <c r="AJ9" s="105" t="n">
        <f aca="false">Inputs!$E$57*(1+Inputs!$E$59)^(AJ$5-1)*MAX(0,MIN(1,AJ$4*1-Inputs!$E$60+1))/1</f>
        <v>1</v>
      </c>
      <c r="AK9" s="105" t="n">
        <f aca="false">Inputs!$E$57*(1+Inputs!$E$59)^(AK$5-1)*MAX(0,MIN(1,AK$4*1-Inputs!$E$60+1))/1</f>
        <v>1</v>
      </c>
      <c r="AL9" s="105" t="n">
        <f aca="false">Inputs!$E$57*(1+Inputs!$E$59)^(AL$5-1)*MAX(0,MIN(1,AL$4*1-Inputs!$E$60+1))/1</f>
        <v>1</v>
      </c>
      <c r="AM9" s="105" t="n">
        <f aca="false">Inputs!$E$57*(1+Inputs!$E$59)^(AM$5-1)*MAX(0,MIN(1,AM$4*1-Inputs!$E$60+1))/1</f>
        <v>1</v>
      </c>
      <c r="AN9" s="105" t="n">
        <f aca="false">Inputs!$E$57*(1+Inputs!$E$59)^(AN$5-1)*MAX(0,MIN(1,AN$4*1-Inputs!$E$60+1))/1</f>
        <v>1</v>
      </c>
      <c r="AO9" s="105" t="n">
        <f aca="false">Inputs!$E$57*(1+Inputs!$E$59)^(AO$5-1)*MAX(0,MIN(1,AO$4*1-Inputs!$E$60+1))/1</f>
        <v>1</v>
      </c>
      <c r="AP9" s="105" t="n">
        <f aca="false">Inputs!$E$57*(1+Inputs!$E$59)^(AP$5-1)*MAX(0,MIN(1,AP$4*1-Inputs!$E$60+1))/1</f>
        <v>1</v>
      </c>
      <c r="AQ9" s="105" t="n">
        <f aca="false">Inputs!$E$57*(1+Inputs!$E$59)^(AQ$5-1)*MAX(0,MIN(1,AQ$4*1-Inputs!$E$60+1))/1</f>
        <v>1</v>
      </c>
      <c r="AR9" s="105" t="n">
        <f aca="false">Inputs!$E$57*(1+Inputs!$E$59)^(AR$5-1)*MAX(0,MIN(1,AR$4*1-Inputs!$E$60+1))/1</f>
        <v>1</v>
      </c>
      <c r="AS9" s="105" t="n">
        <f aca="false">Inputs!$E$57*(1+Inputs!$E$59)^(AS$5-1)*MAX(0,MIN(1,AS$4*1-Inputs!$E$60+1))/1</f>
        <v>1</v>
      </c>
      <c r="AT9" s="105" t="n">
        <f aca="false">Inputs!$E$57*(1+Inputs!$E$59)^(AT$5-1)*MAX(0,MIN(1,AT$4*1-Inputs!$E$60+1))/1</f>
        <v>1</v>
      </c>
      <c r="AU9" s="105" t="n">
        <f aca="false">Inputs!$E$57*(1+Inputs!$E$59)^(AU$5-1)*MAX(0,MIN(1,AU$4*1-Inputs!$E$60+1))/1</f>
        <v>1</v>
      </c>
      <c r="AV9" s="105" t="n">
        <f aca="false">Inputs!$E$57*(1+Inputs!$E$59)^(AV$5-1)*MAX(0,MIN(1,AV$4*1-Inputs!$E$60+1))/1</f>
        <v>1</v>
      </c>
      <c r="AW9" s="105" t="n">
        <f aca="false">Inputs!$E$57*(1+Inputs!$E$59)^(AW$5-1)*MAX(0,MIN(1,AW$4*1-Inputs!$E$60+1))/1</f>
        <v>1</v>
      </c>
      <c r="AX9" s="105" t="n">
        <f aca="false">Inputs!$E$57*(1+Inputs!$E$59)^(AX$5-1)*MAX(0,MIN(1,AX$4*1-Inputs!$E$60+1))/1</f>
        <v>1</v>
      </c>
      <c r="AY9" s="105" t="n">
        <f aca="false">Inputs!$E$57*(1+Inputs!$E$59)^(AY$5-1)*MAX(0,MIN(1,AY$4*1-Inputs!$E$60+1))/1</f>
        <v>1</v>
      </c>
      <c r="AZ9" s="105" t="n">
        <f aca="false">Inputs!$E$57*(1+Inputs!$E$59)^(AZ$5-1)*MAX(0,MIN(1,AZ$4*1-Inputs!$E$60+1))/1</f>
        <v>1</v>
      </c>
      <c r="BA9" s="105" t="n">
        <f aca="false">Inputs!$E$57*(1+Inputs!$E$59)^(BA$5-1)*MAX(0,MIN(1,BA$4*1-Inputs!$E$60+1))/1</f>
        <v>1</v>
      </c>
      <c r="BB9" s="105" t="n">
        <f aca="false">Inputs!$E$57*(1+Inputs!$E$59)^(BB$5-1)*MAX(0,MIN(1,BB$4*1-Inputs!$E$60+1))/1</f>
        <v>1</v>
      </c>
      <c r="BC9" s="105" t="n">
        <f aca="false">Inputs!$E$57*(1+Inputs!$E$59)^(BC$5-1)*MAX(0,MIN(1,BC$4*1-Inputs!$E$60+1))/1</f>
        <v>1</v>
      </c>
      <c r="BD9" s="105" t="n">
        <f aca="false">Inputs!$E$57*(1+Inputs!$E$59)^(BD$5-1)*MAX(0,MIN(1,BD$4*1-Inputs!$E$60+1))/1</f>
        <v>1</v>
      </c>
      <c r="BE9" s="105" t="n">
        <f aca="false">Inputs!$E$57*(1+Inputs!$E$59)^(BE$5-1)*MAX(0,MIN(1,BE$4*1-Inputs!$E$60+1))/1</f>
        <v>1</v>
      </c>
      <c r="BF9" s="105" t="n">
        <f aca="false">Inputs!$E$57*(1+Inputs!$E$59)^(BF$5-1)*MAX(0,MIN(1,BF$4*1-Inputs!$E$60+1))/1</f>
        <v>1</v>
      </c>
      <c r="BG9" s="105" t="n">
        <f aca="false">Inputs!$E$57*(1+Inputs!$E$59)^(BG$5-1)*MAX(0,MIN(1,BG$4*1-Inputs!$E$60+1))/1</f>
        <v>1</v>
      </c>
      <c r="BH9" s="105" t="n">
        <f aca="false">Inputs!$E$57*(1+Inputs!$E$59)^(BH$5-1)*MAX(0,MIN(1,BH$4*1-Inputs!$E$60+1))/1</f>
        <v>1</v>
      </c>
      <c r="BI9" s="105" t="n">
        <f aca="false">Inputs!$E$57*(1+Inputs!$E$59)^(BI$5-1)*MAX(0,MIN(1,BI$4*1-Inputs!$E$60+1))/1</f>
        <v>1</v>
      </c>
      <c r="BJ9" s="105" t="n">
        <f aca="false">Inputs!$E$57*(1+Inputs!$E$59)^(BJ$5-1)*MAX(0,MIN(1,BJ$4*1-Inputs!$E$60+1))/1</f>
        <v>1</v>
      </c>
    </row>
    <row r="10" customFormat="false" ht="15" hidden="false" customHeight="false" outlineLevel="0" collapsed="false">
      <c r="A10" s="6" t="s">
        <v>417</v>
      </c>
      <c r="C10" s="105" t="n">
        <f aca="false">Inputs!$E$61*(1+Inputs!$E$63)^(C$5-1)*MAX(0,MIN(1,C$4*1-Inputs!$E$64+1))/1</f>
        <v>1</v>
      </c>
      <c r="D10" s="105" t="n">
        <f aca="false">Inputs!$E$61*(1+Inputs!$E$63)^(D$5-1)*MAX(0,MIN(1,D$4*1-Inputs!$E$64+1))/1</f>
        <v>1</v>
      </c>
      <c r="E10" s="105" t="n">
        <f aca="false">Inputs!$E$61*(1+Inputs!$E$63)^(E$5-1)*MAX(0,MIN(1,E$4*1-Inputs!$E$64+1))/1</f>
        <v>1</v>
      </c>
      <c r="F10" s="105" t="n">
        <f aca="false">Inputs!$E$61*(1+Inputs!$E$63)^(F$5-1)*MAX(0,MIN(1,F$4*1-Inputs!$E$64+1))/1</f>
        <v>1</v>
      </c>
      <c r="G10" s="105" t="n">
        <f aca="false">Inputs!$E$61*(1+Inputs!$E$63)^(G$5-1)*MAX(0,MIN(1,G$4*1-Inputs!$E$64+1))/1</f>
        <v>1</v>
      </c>
      <c r="H10" s="105" t="n">
        <f aca="false">Inputs!$E$61*(1+Inputs!$E$63)^(H$5-1)*MAX(0,MIN(1,H$4*1-Inputs!$E$64+1))/1</f>
        <v>1</v>
      </c>
      <c r="I10" s="105" t="n">
        <f aca="false">Inputs!$E$61*(1+Inputs!$E$63)^(I$5-1)*MAX(0,MIN(1,I$4*1-Inputs!$E$64+1))/1</f>
        <v>1</v>
      </c>
      <c r="J10" s="105" t="n">
        <f aca="false">Inputs!$E$61*(1+Inputs!$E$63)^(J$5-1)*MAX(0,MIN(1,J$4*1-Inputs!$E$64+1))/1</f>
        <v>1</v>
      </c>
      <c r="K10" s="105" t="n">
        <f aca="false">Inputs!$E$61*(1+Inputs!$E$63)^(K$5-1)*MAX(0,MIN(1,K$4*1-Inputs!$E$64+1))/1</f>
        <v>1</v>
      </c>
      <c r="L10" s="105" t="n">
        <f aca="false">Inputs!$E$61*(1+Inputs!$E$63)^(L$5-1)*MAX(0,MIN(1,L$4*1-Inputs!$E$64+1))/1</f>
        <v>1</v>
      </c>
      <c r="M10" s="105" t="n">
        <f aca="false">Inputs!$E$61*(1+Inputs!$E$63)^(M$5-1)*MAX(0,MIN(1,M$4*1-Inputs!$E$64+1))/1</f>
        <v>1</v>
      </c>
      <c r="N10" s="105" t="n">
        <f aca="false">Inputs!$E$61*(1+Inputs!$E$63)^(N$5-1)*MAX(0,MIN(1,N$4*1-Inputs!$E$64+1))/1</f>
        <v>1</v>
      </c>
      <c r="O10" s="105" t="n">
        <f aca="false">Inputs!$E$61*(1+Inputs!$E$63)^(O$5-1)*MAX(0,MIN(1,O$4*1-Inputs!$E$64+1))/1</f>
        <v>1</v>
      </c>
      <c r="P10" s="105" t="n">
        <f aca="false">Inputs!$E$61*(1+Inputs!$E$63)^(P$5-1)*MAX(0,MIN(1,P$4*1-Inputs!$E$64+1))/1</f>
        <v>1</v>
      </c>
      <c r="Q10" s="105" t="n">
        <f aca="false">Inputs!$E$61*(1+Inputs!$E$63)^(Q$5-1)*MAX(0,MIN(1,Q$4*1-Inputs!$E$64+1))/1</f>
        <v>1</v>
      </c>
      <c r="R10" s="105" t="n">
        <f aca="false">Inputs!$E$61*(1+Inputs!$E$63)^(R$5-1)*MAX(0,MIN(1,R$4*1-Inputs!$E$64+1))/1</f>
        <v>1</v>
      </c>
      <c r="S10" s="105" t="n">
        <f aca="false">Inputs!$E$61*(1+Inputs!$E$63)^(S$5-1)*MAX(0,MIN(1,S$4*1-Inputs!$E$64+1))/1</f>
        <v>1</v>
      </c>
      <c r="T10" s="105" t="n">
        <f aca="false">Inputs!$E$61*(1+Inputs!$E$63)^(T$5-1)*MAX(0,MIN(1,T$4*1-Inputs!$E$64+1))/1</f>
        <v>1</v>
      </c>
      <c r="U10" s="105" t="n">
        <f aca="false">Inputs!$E$61*(1+Inputs!$E$63)^(U$5-1)*MAX(0,MIN(1,U$4*1-Inputs!$E$64+1))/1</f>
        <v>1</v>
      </c>
      <c r="V10" s="105" t="n">
        <f aca="false">Inputs!$E$61*(1+Inputs!$E$63)^(V$5-1)*MAX(0,MIN(1,V$4*1-Inputs!$E$64+1))/1</f>
        <v>1</v>
      </c>
      <c r="W10" s="105" t="n">
        <f aca="false">Inputs!$E$61*(1+Inputs!$E$63)^(W$5-1)*MAX(0,MIN(1,W$4*1-Inputs!$E$64+1))/1</f>
        <v>1</v>
      </c>
      <c r="X10" s="105" t="n">
        <f aca="false">Inputs!$E$61*(1+Inputs!$E$63)^(X$5-1)*MAX(0,MIN(1,X$4*1-Inputs!$E$64+1))/1</f>
        <v>1</v>
      </c>
      <c r="Y10" s="105" t="n">
        <f aca="false">Inputs!$E$61*(1+Inputs!$E$63)^(Y$5-1)*MAX(0,MIN(1,Y$4*1-Inputs!$E$64+1))/1</f>
        <v>1</v>
      </c>
      <c r="Z10" s="105" t="n">
        <f aca="false">Inputs!$E$61*(1+Inputs!$E$63)^(Z$5-1)*MAX(0,MIN(1,Z$4*1-Inputs!$E$64+1))/1</f>
        <v>1</v>
      </c>
      <c r="AA10" s="105" t="n">
        <f aca="false">Inputs!$E$61*(1+Inputs!$E$63)^(AA$5-1)*MAX(0,MIN(1,AA$4*1-Inputs!$E$64+1))/1</f>
        <v>1</v>
      </c>
      <c r="AB10" s="105" t="n">
        <f aca="false">Inputs!$E$61*(1+Inputs!$E$63)^(AB$5-1)*MAX(0,MIN(1,AB$4*1-Inputs!$E$64+1))/1</f>
        <v>1</v>
      </c>
      <c r="AC10" s="105" t="n">
        <f aca="false">Inputs!$E$61*(1+Inputs!$E$63)^(AC$5-1)*MAX(0,MIN(1,AC$4*1-Inputs!$E$64+1))/1</f>
        <v>1</v>
      </c>
      <c r="AD10" s="105" t="n">
        <f aca="false">Inputs!$E$61*(1+Inputs!$E$63)^(AD$5-1)*MAX(0,MIN(1,AD$4*1-Inputs!$E$64+1))/1</f>
        <v>1</v>
      </c>
      <c r="AE10" s="105" t="n">
        <f aca="false">Inputs!$E$61*(1+Inputs!$E$63)^(AE$5-1)*MAX(0,MIN(1,AE$4*1-Inputs!$E$64+1))/1</f>
        <v>1</v>
      </c>
      <c r="AF10" s="105" t="n">
        <f aca="false">Inputs!$E$61*(1+Inputs!$E$63)^(AF$5-1)*MAX(0,MIN(1,AF$4*1-Inputs!$E$64+1))/1</f>
        <v>1</v>
      </c>
      <c r="AG10" s="105" t="n">
        <f aca="false">Inputs!$E$61*(1+Inputs!$E$63)^(AG$5-1)*MAX(0,MIN(1,AG$4*1-Inputs!$E$64+1))/1</f>
        <v>1</v>
      </c>
      <c r="AH10" s="105" t="n">
        <f aca="false">Inputs!$E$61*(1+Inputs!$E$63)^(AH$5-1)*MAX(0,MIN(1,AH$4*1-Inputs!$E$64+1))/1</f>
        <v>1</v>
      </c>
      <c r="AI10" s="105" t="n">
        <f aca="false">Inputs!$E$61*(1+Inputs!$E$63)^(AI$5-1)*MAX(0,MIN(1,AI$4*1-Inputs!$E$64+1))/1</f>
        <v>1</v>
      </c>
      <c r="AJ10" s="105" t="n">
        <f aca="false">Inputs!$E$61*(1+Inputs!$E$63)^(AJ$5-1)*MAX(0,MIN(1,AJ$4*1-Inputs!$E$64+1))/1</f>
        <v>1</v>
      </c>
      <c r="AK10" s="105" t="n">
        <f aca="false">Inputs!$E$61*(1+Inputs!$E$63)^(AK$5-1)*MAX(0,MIN(1,AK$4*1-Inputs!$E$64+1))/1</f>
        <v>1</v>
      </c>
      <c r="AL10" s="105" t="n">
        <f aca="false">Inputs!$E$61*(1+Inputs!$E$63)^(AL$5-1)*MAX(0,MIN(1,AL$4*1-Inputs!$E$64+1))/1</f>
        <v>1</v>
      </c>
      <c r="AM10" s="105" t="n">
        <f aca="false">Inputs!$E$61*(1+Inputs!$E$63)^(AM$5-1)*MAX(0,MIN(1,AM$4*1-Inputs!$E$64+1))/1</f>
        <v>1</v>
      </c>
      <c r="AN10" s="105" t="n">
        <f aca="false">Inputs!$E$61*(1+Inputs!$E$63)^(AN$5-1)*MAX(0,MIN(1,AN$4*1-Inputs!$E$64+1))/1</f>
        <v>1</v>
      </c>
      <c r="AO10" s="105" t="n">
        <f aca="false">Inputs!$E$61*(1+Inputs!$E$63)^(AO$5-1)*MAX(0,MIN(1,AO$4*1-Inputs!$E$64+1))/1</f>
        <v>1</v>
      </c>
      <c r="AP10" s="105" t="n">
        <f aca="false">Inputs!$E$61*(1+Inputs!$E$63)^(AP$5-1)*MAX(0,MIN(1,AP$4*1-Inputs!$E$64+1))/1</f>
        <v>1</v>
      </c>
      <c r="AQ10" s="105" t="n">
        <f aca="false">Inputs!$E$61*(1+Inputs!$E$63)^(AQ$5-1)*MAX(0,MIN(1,AQ$4*1-Inputs!$E$64+1))/1</f>
        <v>1</v>
      </c>
      <c r="AR10" s="105" t="n">
        <f aca="false">Inputs!$E$61*(1+Inputs!$E$63)^(AR$5-1)*MAX(0,MIN(1,AR$4*1-Inputs!$E$64+1))/1</f>
        <v>1</v>
      </c>
      <c r="AS10" s="105" t="n">
        <f aca="false">Inputs!$E$61*(1+Inputs!$E$63)^(AS$5-1)*MAX(0,MIN(1,AS$4*1-Inputs!$E$64+1))/1</f>
        <v>1</v>
      </c>
      <c r="AT10" s="105" t="n">
        <f aca="false">Inputs!$E$61*(1+Inputs!$E$63)^(AT$5-1)*MAX(0,MIN(1,AT$4*1-Inputs!$E$64+1))/1</f>
        <v>1</v>
      </c>
      <c r="AU10" s="105" t="n">
        <f aca="false">Inputs!$E$61*(1+Inputs!$E$63)^(AU$5-1)*MAX(0,MIN(1,AU$4*1-Inputs!$E$64+1))/1</f>
        <v>1</v>
      </c>
      <c r="AV10" s="105" t="n">
        <f aca="false">Inputs!$E$61*(1+Inputs!$E$63)^(AV$5-1)*MAX(0,MIN(1,AV$4*1-Inputs!$E$64+1))/1</f>
        <v>1</v>
      </c>
      <c r="AW10" s="105" t="n">
        <f aca="false">Inputs!$E$61*(1+Inputs!$E$63)^(AW$5-1)*MAX(0,MIN(1,AW$4*1-Inputs!$E$64+1))/1</f>
        <v>1</v>
      </c>
      <c r="AX10" s="105" t="n">
        <f aca="false">Inputs!$E$61*(1+Inputs!$E$63)^(AX$5-1)*MAX(0,MIN(1,AX$4*1-Inputs!$E$64+1))/1</f>
        <v>1</v>
      </c>
      <c r="AY10" s="105" t="n">
        <f aca="false">Inputs!$E$61*(1+Inputs!$E$63)^(AY$5-1)*MAX(0,MIN(1,AY$4*1-Inputs!$E$64+1))/1</f>
        <v>1</v>
      </c>
      <c r="AZ10" s="105" t="n">
        <f aca="false">Inputs!$E$61*(1+Inputs!$E$63)^(AZ$5-1)*MAX(0,MIN(1,AZ$4*1-Inputs!$E$64+1))/1</f>
        <v>1</v>
      </c>
      <c r="BA10" s="105" t="n">
        <f aca="false">Inputs!$E$61*(1+Inputs!$E$63)^(BA$5-1)*MAX(0,MIN(1,BA$4*1-Inputs!$E$64+1))/1</f>
        <v>1</v>
      </c>
      <c r="BB10" s="105" t="n">
        <f aca="false">Inputs!$E$61*(1+Inputs!$E$63)^(BB$5-1)*MAX(0,MIN(1,BB$4*1-Inputs!$E$64+1))/1</f>
        <v>1</v>
      </c>
      <c r="BC10" s="105" t="n">
        <f aca="false">Inputs!$E$61*(1+Inputs!$E$63)^(BC$5-1)*MAX(0,MIN(1,BC$4*1-Inputs!$E$64+1))/1</f>
        <v>1</v>
      </c>
      <c r="BD10" s="105" t="n">
        <f aca="false">Inputs!$E$61*(1+Inputs!$E$63)^(BD$5-1)*MAX(0,MIN(1,BD$4*1-Inputs!$E$64+1))/1</f>
        <v>1</v>
      </c>
      <c r="BE10" s="105" t="n">
        <f aca="false">Inputs!$E$61*(1+Inputs!$E$63)^(BE$5-1)*MAX(0,MIN(1,BE$4*1-Inputs!$E$64+1))/1</f>
        <v>1</v>
      </c>
      <c r="BF10" s="105" t="n">
        <f aca="false">Inputs!$E$61*(1+Inputs!$E$63)^(BF$5-1)*MAX(0,MIN(1,BF$4*1-Inputs!$E$64+1))/1</f>
        <v>1</v>
      </c>
      <c r="BG10" s="105" t="n">
        <f aca="false">Inputs!$E$61*(1+Inputs!$E$63)^(BG$5-1)*MAX(0,MIN(1,BG$4*1-Inputs!$E$64+1))/1</f>
        <v>1</v>
      </c>
      <c r="BH10" s="105" t="n">
        <f aca="false">Inputs!$E$61*(1+Inputs!$E$63)^(BH$5-1)*MAX(0,MIN(1,BH$4*1-Inputs!$E$64+1))/1</f>
        <v>1</v>
      </c>
      <c r="BI10" s="105" t="n">
        <f aca="false">Inputs!$E$61*(1+Inputs!$E$63)^(BI$5-1)*MAX(0,MIN(1,BI$4*1-Inputs!$E$64+1))/1</f>
        <v>1</v>
      </c>
      <c r="BJ10" s="105" t="n">
        <f aca="false">Inputs!$E$61*(1+Inputs!$E$63)^(BJ$5-1)*MAX(0,MIN(1,BJ$4*1-Inputs!$E$64+1))/1</f>
        <v>1</v>
      </c>
    </row>
    <row r="11" customFormat="false" ht="15" hidden="false" customHeight="false" outlineLevel="0" collapsed="false">
      <c r="A11" s="102" t="s">
        <v>418</v>
      </c>
      <c r="C11" s="110" t="n">
        <f aca="false">C8+C9+C10</f>
        <v>2.5</v>
      </c>
      <c r="D11" s="110" t="n">
        <f aca="false">D8+D9+D10</f>
        <v>2.5</v>
      </c>
      <c r="E11" s="110" t="n">
        <f aca="false">E8+E9+E10</f>
        <v>2.5</v>
      </c>
      <c r="F11" s="110" t="n">
        <f aca="false">F8+F9+F10</f>
        <v>2.5</v>
      </c>
      <c r="G11" s="110" t="n">
        <f aca="false">G8+G9+G10</f>
        <v>2.5</v>
      </c>
      <c r="H11" s="110" t="n">
        <f aca="false">H8+H9+H10</f>
        <v>2.5</v>
      </c>
      <c r="I11" s="110" t="n">
        <f aca="false">I8+I9+I10</f>
        <v>2.5</v>
      </c>
      <c r="J11" s="110" t="n">
        <f aca="false">J8+J9+J10</f>
        <v>2.5</v>
      </c>
      <c r="K11" s="110" t="n">
        <f aca="false">K8+K9+K10</f>
        <v>2.5</v>
      </c>
      <c r="L11" s="110" t="n">
        <f aca="false">L8+L9+L10</f>
        <v>2.5</v>
      </c>
      <c r="M11" s="110" t="n">
        <f aca="false">M8+M9+M10</f>
        <v>2.5</v>
      </c>
      <c r="N11" s="110" t="n">
        <f aca="false">N8+N9+N10</f>
        <v>2.5</v>
      </c>
      <c r="O11" s="110" t="n">
        <f aca="false">O8+O9+O10</f>
        <v>2.5</v>
      </c>
      <c r="P11" s="110" t="n">
        <f aca="false">P8+P9+P10</f>
        <v>2.5</v>
      </c>
      <c r="Q11" s="110" t="n">
        <f aca="false">Q8+Q9+Q10</f>
        <v>2.5</v>
      </c>
      <c r="R11" s="110" t="n">
        <f aca="false">R8+R9+R10</f>
        <v>2.5</v>
      </c>
      <c r="S11" s="110" t="n">
        <f aca="false">S8+S9+S10</f>
        <v>2.5</v>
      </c>
      <c r="T11" s="110" t="n">
        <f aca="false">T8+T9+T10</f>
        <v>2.5</v>
      </c>
      <c r="U11" s="110" t="n">
        <f aca="false">U8+U9+U10</f>
        <v>2.5</v>
      </c>
      <c r="V11" s="110" t="n">
        <f aca="false">V8+V9+V10</f>
        <v>2.5</v>
      </c>
      <c r="W11" s="110" t="n">
        <f aca="false">W8+W9+W10</f>
        <v>2.5</v>
      </c>
      <c r="X11" s="110" t="n">
        <f aca="false">X8+X9+X10</f>
        <v>2.5</v>
      </c>
      <c r="Y11" s="110" t="n">
        <f aca="false">Y8+Y9+Y10</f>
        <v>2.5</v>
      </c>
      <c r="Z11" s="110" t="n">
        <f aca="false">Z8+Z9+Z10</f>
        <v>2.5</v>
      </c>
      <c r="AA11" s="110" t="n">
        <f aca="false">AA8+AA9+AA10</f>
        <v>2.5</v>
      </c>
      <c r="AB11" s="110" t="n">
        <f aca="false">AB8+AB9+AB10</f>
        <v>2.5</v>
      </c>
      <c r="AC11" s="110" t="n">
        <f aca="false">AC8+AC9+AC10</f>
        <v>2.5</v>
      </c>
      <c r="AD11" s="110" t="n">
        <f aca="false">AD8+AD9+AD10</f>
        <v>2.5</v>
      </c>
      <c r="AE11" s="110" t="n">
        <f aca="false">AE8+AE9+AE10</f>
        <v>2.5</v>
      </c>
      <c r="AF11" s="110" t="n">
        <f aca="false">AF8+AF9+AF10</f>
        <v>2.5</v>
      </c>
      <c r="AG11" s="110" t="n">
        <f aca="false">AG8+AG9+AG10</f>
        <v>2.5</v>
      </c>
      <c r="AH11" s="110" t="n">
        <f aca="false">AH8+AH9+AH10</f>
        <v>2.5</v>
      </c>
      <c r="AI11" s="110" t="n">
        <f aca="false">AI8+AI9+AI10</f>
        <v>2.5</v>
      </c>
      <c r="AJ11" s="110" t="n">
        <f aca="false">AJ8+AJ9+AJ10</f>
        <v>2.5</v>
      </c>
      <c r="AK11" s="110" t="n">
        <f aca="false">AK8+AK9+AK10</f>
        <v>2.5</v>
      </c>
      <c r="AL11" s="110" t="n">
        <f aca="false">AL8+AL9+AL10</f>
        <v>2.5</v>
      </c>
      <c r="AM11" s="110" t="n">
        <f aca="false">AM8+AM9+AM10</f>
        <v>2.5</v>
      </c>
      <c r="AN11" s="110" t="n">
        <f aca="false">AN8+AN9+AN10</f>
        <v>2.5</v>
      </c>
      <c r="AO11" s="110" t="n">
        <f aca="false">AO8+AO9+AO10</f>
        <v>2.5</v>
      </c>
      <c r="AP11" s="110" t="n">
        <f aca="false">AP8+AP9+AP10</f>
        <v>2.5</v>
      </c>
      <c r="AQ11" s="110" t="n">
        <f aca="false">AQ8+AQ9+AQ10</f>
        <v>2.5</v>
      </c>
      <c r="AR11" s="110" t="n">
        <f aca="false">AR8+AR9+AR10</f>
        <v>2.5</v>
      </c>
      <c r="AS11" s="110" t="n">
        <f aca="false">AS8+AS9+AS10</f>
        <v>2.5</v>
      </c>
      <c r="AT11" s="110" t="n">
        <f aca="false">AT8+AT9+AT10</f>
        <v>2.5</v>
      </c>
      <c r="AU11" s="110" t="n">
        <f aca="false">AU8+AU9+AU10</f>
        <v>2.5</v>
      </c>
      <c r="AV11" s="110" t="n">
        <f aca="false">AV8+AV9+AV10</f>
        <v>2.5</v>
      </c>
      <c r="AW11" s="110" t="n">
        <f aca="false">AW8+AW9+AW10</f>
        <v>2.5</v>
      </c>
      <c r="AX11" s="110" t="n">
        <f aca="false">AX8+AX9+AX10</f>
        <v>2.5</v>
      </c>
      <c r="AY11" s="110" t="n">
        <f aca="false">AY8+AY9+AY10</f>
        <v>2.5</v>
      </c>
      <c r="AZ11" s="110" t="n">
        <f aca="false">AZ8+AZ9+AZ10</f>
        <v>2.5</v>
      </c>
      <c r="BA11" s="110" t="n">
        <f aca="false">BA8+BA9+BA10</f>
        <v>2.5</v>
      </c>
      <c r="BB11" s="110" t="n">
        <f aca="false">BB8+BB9+BB10</f>
        <v>2.5</v>
      </c>
      <c r="BC11" s="110" t="n">
        <f aca="false">BC8+BC9+BC10</f>
        <v>2.5</v>
      </c>
      <c r="BD11" s="110" t="n">
        <f aca="false">BD8+BD9+BD10</f>
        <v>2.5</v>
      </c>
      <c r="BE11" s="110" t="n">
        <f aca="false">BE8+BE9+BE10</f>
        <v>2.5</v>
      </c>
      <c r="BF11" s="110" t="n">
        <f aca="false">BF8+BF9+BF10</f>
        <v>2.5</v>
      </c>
      <c r="BG11" s="110" t="n">
        <f aca="false">BG8+BG9+BG10</f>
        <v>2.5</v>
      </c>
      <c r="BH11" s="110" t="n">
        <f aca="false">BH8+BH9+BH10</f>
        <v>2.5</v>
      </c>
      <c r="BI11" s="110" t="n">
        <f aca="false">BI8+BI9+BI10</f>
        <v>2.5</v>
      </c>
      <c r="BJ11" s="110" t="n">
        <f aca="false">BJ8+BJ9+BJ10</f>
        <v>2.5</v>
      </c>
    </row>
    <row r="13" customFormat="false" ht="15.75" hidden="false" customHeight="true" outlineLevel="0" collapsed="false">
      <c r="A13" s="7" t="s">
        <v>419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420</v>
      </c>
      <c r="C14" s="53" t="n">
        <f aca="false">-C8*Inputs!$E$54/12*1*(1+Inputs!$E$65)*(1+Inputs!$E$66)^(C$5-1)</f>
        <v>-2240</v>
      </c>
      <c r="D14" s="53" t="n">
        <f aca="false">-D8*Inputs!$E$54/12*1*(1+Inputs!$E$65)*(1+Inputs!$E$66)^(D$5-1)</f>
        <v>-2240</v>
      </c>
      <c r="E14" s="53" t="n">
        <f aca="false">-E8*Inputs!$E$54/12*1*(1+Inputs!$E$65)*(1+Inputs!$E$66)^(E$5-1)</f>
        <v>-2240</v>
      </c>
      <c r="F14" s="53" t="n">
        <f aca="false">-F8*Inputs!$E$54/12*1*(1+Inputs!$E$65)*(1+Inputs!$E$66)^(F$5-1)</f>
        <v>-2240</v>
      </c>
      <c r="G14" s="53" t="n">
        <f aca="false">-G8*Inputs!$E$54/12*1*(1+Inputs!$E$65)*(1+Inputs!$E$66)^(G$5-1)</f>
        <v>-2240</v>
      </c>
      <c r="H14" s="53" t="n">
        <f aca="false">-H8*Inputs!$E$54/12*1*(1+Inputs!$E$65)*(1+Inputs!$E$66)^(H$5-1)</f>
        <v>-2240</v>
      </c>
      <c r="I14" s="53" t="n">
        <f aca="false">-I8*Inputs!$E$54/12*1*(1+Inputs!$E$65)*(1+Inputs!$E$66)^(I$5-1)</f>
        <v>-2240</v>
      </c>
      <c r="J14" s="53" t="n">
        <f aca="false">-J8*Inputs!$E$54/12*1*(1+Inputs!$E$65)*(1+Inputs!$E$66)^(J$5-1)</f>
        <v>-2240</v>
      </c>
      <c r="K14" s="53" t="n">
        <f aca="false">-K8*Inputs!$E$54/12*1*(1+Inputs!$E$65)*(1+Inputs!$E$66)^(K$5-1)</f>
        <v>-2240</v>
      </c>
      <c r="L14" s="53" t="n">
        <f aca="false">-L8*Inputs!$E$54/12*1*(1+Inputs!$E$65)*(1+Inputs!$E$66)^(L$5-1)</f>
        <v>-2240</v>
      </c>
      <c r="M14" s="53" t="n">
        <f aca="false">-M8*Inputs!$E$54/12*1*(1+Inputs!$E$65)*(1+Inputs!$E$66)^(M$5-1)</f>
        <v>-2240</v>
      </c>
      <c r="N14" s="53" t="n">
        <f aca="false">-N8*Inputs!$E$54/12*1*(1+Inputs!$E$65)*(1+Inputs!$E$66)^(N$5-1)</f>
        <v>-2240</v>
      </c>
      <c r="O14" s="53" t="n">
        <f aca="false">-O8*Inputs!$E$54/12*1*(1+Inputs!$E$65)*(1+Inputs!$E$66)^(O$5-1)</f>
        <v>-2307.2</v>
      </c>
      <c r="P14" s="53" t="n">
        <f aca="false">-P8*Inputs!$E$54/12*1*(1+Inputs!$E$65)*(1+Inputs!$E$66)^(P$5-1)</f>
        <v>-2307.2</v>
      </c>
      <c r="Q14" s="53" t="n">
        <f aca="false">-Q8*Inputs!$E$54/12*1*(1+Inputs!$E$65)*(1+Inputs!$E$66)^(Q$5-1)</f>
        <v>-2307.2</v>
      </c>
      <c r="R14" s="53" t="n">
        <f aca="false">-R8*Inputs!$E$54/12*1*(1+Inputs!$E$65)*(1+Inputs!$E$66)^(R$5-1)</f>
        <v>-2307.2</v>
      </c>
      <c r="S14" s="53" t="n">
        <f aca="false">-S8*Inputs!$E$54/12*1*(1+Inputs!$E$65)*(1+Inputs!$E$66)^(S$5-1)</f>
        <v>-2307.2</v>
      </c>
      <c r="T14" s="53" t="n">
        <f aca="false">-T8*Inputs!$E$54/12*1*(1+Inputs!$E$65)*(1+Inputs!$E$66)^(T$5-1)</f>
        <v>-2307.2</v>
      </c>
      <c r="U14" s="53" t="n">
        <f aca="false">-U8*Inputs!$E$54/12*1*(1+Inputs!$E$65)*(1+Inputs!$E$66)^(U$5-1)</f>
        <v>-2307.2</v>
      </c>
      <c r="V14" s="53" t="n">
        <f aca="false">-V8*Inputs!$E$54/12*1*(1+Inputs!$E$65)*(1+Inputs!$E$66)^(V$5-1)</f>
        <v>-2307.2</v>
      </c>
      <c r="W14" s="53" t="n">
        <f aca="false">-W8*Inputs!$E$54/12*1*(1+Inputs!$E$65)*(1+Inputs!$E$66)^(W$5-1)</f>
        <v>-2307.2</v>
      </c>
      <c r="X14" s="53" t="n">
        <f aca="false">-X8*Inputs!$E$54/12*1*(1+Inputs!$E$65)*(1+Inputs!$E$66)^(X$5-1)</f>
        <v>-2307.2</v>
      </c>
      <c r="Y14" s="53" t="n">
        <f aca="false">-Y8*Inputs!$E$54/12*1*(1+Inputs!$E$65)*(1+Inputs!$E$66)^(Y$5-1)</f>
        <v>-2307.2</v>
      </c>
      <c r="Z14" s="53" t="n">
        <f aca="false">-Z8*Inputs!$E$54/12*1*(1+Inputs!$E$65)*(1+Inputs!$E$66)^(Z$5-1)</f>
        <v>-2307.2</v>
      </c>
      <c r="AA14" s="53" t="n">
        <f aca="false">-AA8*Inputs!$E$54/12*1*(1+Inputs!$E$65)*(1+Inputs!$E$66)^(AA$5-1)</f>
        <v>-2376.416</v>
      </c>
      <c r="AB14" s="53" t="n">
        <f aca="false">-AB8*Inputs!$E$54/12*1*(1+Inputs!$E$65)*(1+Inputs!$E$66)^(AB$5-1)</f>
        <v>-2376.416</v>
      </c>
      <c r="AC14" s="53" t="n">
        <f aca="false">-AC8*Inputs!$E$54/12*1*(1+Inputs!$E$65)*(1+Inputs!$E$66)^(AC$5-1)</f>
        <v>-2376.416</v>
      </c>
      <c r="AD14" s="53" t="n">
        <f aca="false">-AD8*Inputs!$E$54/12*1*(1+Inputs!$E$65)*(1+Inputs!$E$66)^(AD$5-1)</f>
        <v>-2376.416</v>
      </c>
      <c r="AE14" s="53" t="n">
        <f aca="false">-AE8*Inputs!$E$54/12*1*(1+Inputs!$E$65)*(1+Inputs!$E$66)^(AE$5-1)</f>
        <v>-2376.416</v>
      </c>
      <c r="AF14" s="53" t="n">
        <f aca="false">-AF8*Inputs!$E$54/12*1*(1+Inputs!$E$65)*(1+Inputs!$E$66)^(AF$5-1)</f>
        <v>-2376.416</v>
      </c>
      <c r="AG14" s="53" t="n">
        <f aca="false">-AG8*Inputs!$E$54/12*1*(1+Inputs!$E$65)*(1+Inputs!$E$66)^(AG$5-1)</f>
        <v>-2376.416</v>
      </c>
      <c r="AH14" s="53" t="n">
        <f aca="false">-AH8*Inputs!$E$54/12*1*(1+Inputs!$E$65)*(1+Inputs!$E$66)^(AH$5-1)</f>
        <v>-2376.416</v>
      </c>
      <c r="AI14" s="53" t="n">
        <f aca="false">-AI8*Inputs!$E$54/12*1*(1+Inputs!$E$65)*(1+Inputs!$E$66)^(AI$5-1)</f>
        <v>-2376.416</v>
      </c>
      <c r="AJ14" s="53" t="n">
        <f aca="false">-AJ8*Inputs!$E$54/12*1*(1+Inputs!$E$65)*(1+Inputs!$E$66)^(AJ$5-1)</f>
        <v>-2376.416</v>
      </c>
      <c r="AK14" s="53" t="n">
        <f aca="false">-AK8*Inputs!$E$54/12*1*(1+Inputs!$E$65)*(1+Inputs!$E$66)^(AK$5-1)</f>
        <v>-2376.416</v>
      </c>
      <c r="AL14" s="53" t="n">
        <f aca="false">-AL8*Inputs!$E$54/12*1*(1+Inputs!$E$65)*(1+Inputs!$E$66)^(AL$5-1)</f>
        <v>-2376.416</v>
      </c>
      <c r="AM14" s="53" t="n">
        <f aca="false">-AM8*Inputs!$E$54/12*1*(1+Inputs!$E$65)*(1+Inputs!$E$66)^(AM$5-1)</f>
        <v>-2447.70848</v>
      </c>
      <c r="AN14" s="53" t="n">
        <f aca="false">-AN8*Inputs!$E$54/12*1*(1+Inputs!$E$65)*(1+Inputs!$E$66)^(AN$5-1)</f>
        <v>-2447.70848</v>
      </c>
      <c r="AO14" s="53" t="n">
        <f aca="false">-AO8*Inputs!$E$54/12*1*(1+Inputs!$E$65)*(1+Inputs!$E$66)^(AO$5-1)</f>
        <v>-2447.70848</v>
      </c>
      <c r="AP14" s="53" t="n">
        <f aca="false">-AP8*Inputs!$E$54/12*1*(1+Inputs!$E$65)*(1+Inputs!$E$66)^(AP$5-1)</f>
        <v>-2447.70848</v>
      </c>
      <c r="AQ14" s="53" t="n">
        <f aca="false">-AQ8*Inputs!$E$54/12*1*(1+Inputs!$E$65)*(1+Inputs!$E$66)^(AQ$5-1)</f>
        <v>-2447.70848</v>
      </c>
      <c r="AR14" s="53" t="n">
        <f aca="false">-AR8*Inputs!$E$54/12*1*(1+Inputs!$E$65)*(1+Inputs!$E$66)^(AR$5-1)</f>
        <v>-2447.70848</v>
      </c>
      <c r="AS14" s="53" t="n">
        <f aca="false">-AS8*Inputs!$E$54/12*1*(1+Inputs!$E$65)*(1+Inputs!$E$66)^(AS$5-1)</f>
        <v>-2447.70848</v>
      </c>
      <c r="AT14" s="53" t="n">
        <f aca="false">-AT8*Inputs!$E$54/12*1*(1+Inputs!$E$65)*(1+Inputs!$E$66)^(AT$5-1)</f>
        <v>-2447.70848</v>
      </c>
      <c r="AU14" s="53" t="n">
        <f aca="false">-AU8*Inputs!$E$54/12*1*(1+Inputs!$E$65)*(1+Inputs!$E$66)^(AU$5-1)</f>
        <v>-2447.70848</v>
      </c>
      <c r="AV14" s="53" t="n">
        <f aca="false">-AV8*Inputs!$E$54/12*1*(1+Inputs!$E$65)*(1+Inputs!$E$66)^(AV$5-1)</f>
        <v>-2447.70848</v>
      </c>
      <c r="AW14" s="53" t="n">
        <f aca="false">-AW8*Inputs!$E$54/12*1*(1+Inputs!$E$65)*(1+Inputs!$E$66)^(AW$5-1)</f>
        <v>-2447.70848</v>
      </c>
      <c r="AX14" s="53" t="n">
        <f aca="false">-AX8*Inputs!$E$54/12*1*(1+Inputs!$E$65)*(1+Inputs!$E$66)^(AX$5-1)</f>
        <v>-2447.70848</v>
      </c>
      <c r="AY14" s="53" t="n">
        <f aca="false">-AY8*Inputs!$E$54/12*1*(1+Inputs!$E$65)*(1+Inputs!$E$66)^(AY$5-1)</f>
        <v>-2521.1397344</v>
      </c>
      <c r="AZ14" s="53" t="n">
        <f aca="false">-AZ8*Inputs!$E$54/12*1*(1+Inputs!$E$65)*(1+Inputs!$E$66)^(AZ$5-1)</f>
        <v>-2521.1397344</v>
      </c>
      <c r="BA14" s="53" t="n">
        <f aca="false">-BA8*Inputs!$E$54/12*1*(1+Inputs!$E$65)*(1+Inputs!$E$66)^(BA$5-1)</f>
        <v>-2521.1397344</v>
      </c>
      <c r="BB14" s="53" t="n">
        <f aca="false">-BB8*Inputs!$E$54/12*1*(1+Inputs!$E$65)*(1+Inputs!$E$66)^(BB$5-1)</f>
        <v>-2521.1397344</v>
      </c>
      <c r="BC14" s="53" t="n">
        <f aca="false">-BC8*Inputs!$E$54/12*1*(1+Inputs!$E$65)*(1+Inputs!$E$66)^(BC$5-1)</f>
        <v>-2521.1397344</v>
      </c>
      <c r="BD14" s="53" t="n">
        <f aca="false">-BD8*Inputs!$E$54/12*1*(1+Inputs!$E$65)*(1+Inputs!$E$66)^(BD$5-1)</f>
        <v>-2521.1397344</v>
      </c>
      <c r="BE14" s="53" t="n">
        <f aca="false">-BE8*Inputs!$E$54/12*1*(1+Inputs!$E$65)*(1+Inputs!$E$66)^(BE$5-1)</f>
        <v>-2521.1397344</v>
      </c>
      <c r="BF14" s="53" t="n">
        <f aca="false">-BF8*Inputs!$E$54/12*1*(1+Inputs!$E$65)*(1+Inputs!$E$66)^(BF$5-1)</f>
        <v>-2521.1397344</v>
      </c>
      <c r="BG14" s="53" t="n">
        <f aca="false">-BG8*Inputs!$E$54/12*1*(1+Inputs!$E$65)*(1+Inputs!$E$66)^(BG$5-1)</f>
        <v>-2521.1397344</v>
      </c>
      <c r="BH14" s="53" t="n">
        <f aca="false">-BH8*Inputs!$E$54/12*1*(1+Inputs!$E$65)*(1+Inputs!$E$66)^(BH$5-1)</f>
        <v>-2521.1397344</v>
      </c>
      <c r="BI14" s="53" t="n">
        <f aca="false">-BI8*Inputs!$E$54/12*1*(1+Inputs!$E$65)*(1+Inputs!$E$66)^(BI$5-1)</f>
        <v>-2521.1397344</v>
      </c>
      <c r="BJ14" s="53" t="n">
        <f aca="false">-BJ8*Inputs!$E$54/12*1*(1+Inputs!$E$65)*(1+Inputs!$E$66)^(BJ$5-1)</f>
        <v>-2521.1397344</v>
      </c>
    </row>
    <row r="15" customFormat="false" ht="15" hidden="false" customHeight="false" outlineLevel="0" collapsed="false">
      <c r="A15" s="6" t="s">
        <v>421</v>
      </c>
      <c r="C15" s="53" t="n">
        <f aca="false">-C9*Inputs!$E$58/12*1*(1+Inputs!$E$65)*(1+Inputs!$E$66)^(C$5-1)</f>
        <v>-3080</v>
      </c>
      <c r="D15" s="53" t="n">
        <f aca="false">-D9*Inputs!$E$58/12*1*(1+Inputs!$E$65)*(1+Inputs!$E$66)^(D$5-1)</f>
        <v>-3080</v>
      </c>
      <c r="E15" s="53" t="n">
        <f aca="false">-E9*Inputs!$E$58/12*1*(1+Inputs!$E$65)*(1+Inputs!$E$66)^(E$5-1)</f>
        <v>-3080</v>
      </c>
      <c r="F15" s="53" t="n">
        <f aca="false">-F9*Inputs!$E$58/12*1*(1+Inputs!$E$65)*(1+Inputs!$E$66)^(F$5-1)</f>
        <v>-3080</v>
      </c>
      <c r="G15" s="53" t="n">
        <f aca="false">-G9*Inputs!$E$58/12*1*(1+Inputs!$E$65)*(1+Inputs!$E$66)^(G$5-1)</f>
        <v>-3080</v>
      </c>
      <c r="H15" s="53" t="n">
        <f aca="false">-H9*Inputs!$E$58/12*1*(1+Inputs!$E$65)*(1+Inputs!$E$66)^(H$5-1)</f>
        <v>-3080</v>
      </c>
      <c r="I15" s="53" t="n">
        <f aca="false">-I9*Inputs!$E$58/12*1*(1+Inputs!$E$65)*(1+Inputs!$E$66)^(I$5-1)</f>
        <v>-3080</v>
      </c>
      <c r="J15" s="53" t="n">
        <f aca="false">-J9*Inputs!$E$58/12*1*(1+Inputs!$E$65)*(1+Inputs!$E$66)^(J$5-1)</f>
        <v>-3080</v>
      </c>
      <c r="K15" s="53" t="n">
        <f aca="false">-K9*Inputs!$E$58/12*1*(1+Inputs!$E$65)*(1+Inputs!$E$66)^(K$5-1)</f>
        <v>-3080</v>
      </c>
      <c r="L15" s="53" t="n">
        <f aca="false">-L9*Inputs!$E$58/12*1*(1+Inputs!$E$65)*(1+Inputs!$E$66)^(L$5-1)</f>
        <v>-3080</v>
      </c>
      <c r="M15" s="53" t="n">
        <f aca="false">-M9*Inputs!$E$58/12*1*(1+Inputs!$E$65)*(1+Inputs!$E$66)^(M$5-1)</f>
        <v>-3080</v>
      </c>
      <c r="N15" s="53" t="n">
        <f aca="false">-N9*Inputs!$E$58/12*1*(1+Inputs!$E$65)*(1+Inputs!$E$66)^(N$5-1)</f>
        <v>-3080</v>
      </c>
      <c r="O15" s="53" t="n">
        <f aca="false">-O9*Inputs!$E$58/12*1*(1+Inputs!$E$65)*(1+Inputs!$E$66)^(O$5-1)</f>
        <v>-3172.4</v>
      </c>
      <c r="P15" s="53" t="n">
        <f aca="false">-P9*Inputs!$E$58/12*1*(1+Inputs!$E$65)*(1+Inputs!$E$66)^(P$5-1)</f>
        <v>-3172.4</v>
      </c>
      <c r="Q15" s="53" t="n">
        <f aca="false">-Q9*Inputs!$E$58/12*1*(1+Inputs!$E$65)*(1+Inputs!$E$66)^(Q$5-1)</f>
        <v>-3172.4</v>
      </c>
      <c r="R15" s="53" t="n">
        <f aca="false">-R9*Inputs!$E$58/12*1*(1+Inputs!$E$65)*(1+Inputs!$E$66)^(R$5-1)</f>
        <v>-3172.4</v>
      </c>
      <c r="S15" s="53" t="n">
        <f aca="false">-S9*Inputs!$E$58/12*1*(1+Inputs!$E$65)*(1+Inputs!$E$66)^(S$5-1)</f>
        <v>-3172.4</v>
      </c>
      <c r="T15" s="53" t="n">
        <f aca="false">-T9*Inputs!$E$58/12*1*(1+Inputs!$E$65)*(1+Inputs!$E$66)^(T$5-1)</f>
        <v>-3172.4</v>
      </c>
      <c r="U15" s="53" t="n">
        <f aca="false">-U9*Inputs!$E$58/12*1*(1+Inputs!$E$65)*(1+Inputs!$E$66)^(U$5-1)</f>
        <v>-3172.4</v>
      </c>
      <c r="V15" s="53" t="n">
        <f aca="false">-V9*Inputs!$E$58/12*1*(1+Inputs!$E$65)*(1+Inputs!$E$66)^(V$5-1)</f>
        <v>-3172.4</v>
      </c>
      <c r="W15" s="53" t="n">
        <f aca="false">-W9*Inputs!$E$58/12*1*(1+Inputs!$E$65)*(1+Inputs!$E$66)^(W$5-1)</f>
        <v>-3172.4</v>
      </c>
      <c r="X15" s="53" t="n">
        <f aca="false">-X9*Inputs!$E$58/12*1*(1+Inputs!$E$65)*(1+Inputs!$E$66)^(X$5-1)</f>
        <v>-3172.4</v>
      </c>
      <c r="Y15" s="53" t="n">
        <f aca="false">-Y9*Inputs!$E$58/12*1*(1+Inputs!$E$65)*(1+Inputs!$E$66)^(Y$5-1)</f>
        <v>-3172.4</v>
      </c>
      <c r="Z15" s="53" t="n">
        <f aca="false">-Z9*Inputs!$E$58/12*1*(1+Inputs!$E$65)*(1+Inputs!$E$66)^(Z$5-1)</f>
        <v>-3172.4</v>
      </c>
      <c r="AA15" s="53" t="n">
        <f aca="false">-AA9*Inputs!$E$58/12*1*(1+Inputs!$E$65)*(1+Inputs!$E$66)^(AA$5-1)</f>
        <v>-3267.572</v>
      </c>
      <c r="AB15" s="53" t="n">
        <f aca="false">-AB9*Inputs!$E$58/12*1*(1+Inputs!$E$65)*(1+Inputs!$E$66)^(AB$5-1)</f>
        <v>-3267.572</v>
      </c>
      <c r="AC15" s="53" t="n">
        <f aca="false">-AC9*Inputs!$E$58/12*1*(1+Inputs!$E$65)*(1+Inputs!$E$66)^(AC$5-1)</f>
        <v>-3267.572</v>
      </c>
      <c r="AD15" s="53" t="n">
        <f aca="false">-AD9*Inputs!$E$58/12*1*(1+Inputs!$E$65)*(1+Inputs!$E$66)^(AD$5-1)</f>
        <v>-3267.572</v>
      </c>
      <c r="AE15" s="53" t="n">
        <f aca="false">-AE9*Inputs!$E$58/12*1*(1+Inputs!$E$65)*(1+Inputs!$E$66)^(AE$5-1)</f>
        <v>-3267.572</v>
      </c>
      <c r="AF15" s="53" t="n">
        <f aca="false">-AF9*Inputs!$E$58/12*1*(1+Inputs!$E$65)*(1+Inputs!$E$66)^(AF$5-1)</f>
        <v>-3267.572</v>
      </c>
      <c r="AG15" s="53" t="n">
        <f aca="false">-AG9*Inputs!$E$58/12*1*(1+Inputs!$E$65)*(1+Inputs!$E$66)^(AG$5-1)</f>
        <v>-3267.572</v>
      </c>
      <c r="AH15" s="53" t="n">
        <f aca="false">-AH9*Inputs!$E$58/12*1*(1+Inputs!$E$65)*(1+Inputs!$E$66)^(AH$5-1)</f>
        <v>-3267.572</v>
      </c>
      <c r="AI15" s="53" t="n">
        <f aca="false">-AI9*Inputs!$E$58/12*1*(1+Inputs!$E$65)*(1+Inputs!$E$66)^(AI$5-1)</f>
        <v>-3267.572</v>
      </c>
      <c r="AJ15" s="53" t="n">
        <f aca="false">-AJ9*Inputs!$E$58/12*1*(1+Inputs!$E$65)*(1+Inputs!$E$66)^(AJ$5-1)</f>
        <v>-3267.572</v>
      </c>
      <c r="AK15" s="53" t="n">
        <f aca="false">-AK9*Inputs!$E$58/12*1*(1+Inputs!$E$65)*(1+Inputs!$E$66)^(AK$5-1)</f>
        <v>-3267.572</v>
      </c>
      <c r="AL15" s="53" t="n">
        <f aca="false">-AL9*Inputs!$E$58/12*1*(1+Inputs!$E$65)*(1+Inputs!$E$66)^(AL$5-1)</f>
        <v>-3267.572</v>
      </c>
      <c r="AM15" s="53" t="n">
        <f aca="false">-AM9*Inputs!$E$58/12*1*(1+Inputs!$E$65)*(1+Inputs!$E$66)^(AM$5-1)</f>
        <v>-3365.59916</v>
      </c>
      <c r="AN15" s="53" t="n">
        <f aca="false">-AN9*Inputs!$E$58/12*1*(1+Inputs!$E$65)*(1+Inputs!$E$66)^(AN$5-1)</f>
        <v>-3365.59916</v>
      </c>
      <c r="AO15" s="53" t="n">
        <f aca="false">-AO9*Inputs!$E$58/12*1*(1+Inputs!$E$65)*(1+Inputs!$E$66)^(AO$5-1)</f>
        <v>-3365.59916</v>
      </c>
      <c r="AP15" s="53" t="n">
        <f aca="false">-AP9*Inputs!$E$58/12*1*(1+Inputs!$E$65)*(1+Inputs!$E$66)^(AP$5-1)</f>
        <v>-3365.59916</v>
      </c>
      <c r="AQ15" s="53" t="n">
        <f aca="false">-AQ9*Inputs!$E$58/12*1*(1+Inputs!$E$65)*(1+Inputs!$E$66)^(AQ$5-1)</f>
        <v>-3365.59916</v>
      </c>
      <c r="AR15" s="53" t="n">
        <f aca="false">-AR9*Inputs!$E$58/12*1*(1+Inputs!$E$65)*(1+Inputs!$E$66)^(AR$5-1)</f>
        <v>-3365.59916</v>
      </c>
      <c r="AS15" s="53" t="n">
        <f aca="false">-AS9*Inputs!$E$58/12*1*(1+Inputs!$E$65)*(1+Inputs!$E$66)^(AS$5-1)</f>
        <v>-3365.59916</v>
      </c>
      <c r="AT15" s="53" t="n">
        <f aca="false">-AT9*Inputs!$E$58/12*1*(1+Inputs!$E$65)*(1+Inputs!$E$66)^(AT$5-1)</f>
        <v>-3365.59916</v>
      </c>
      <c r="AU15" s="53" t="n">
        <f aca="false">-AU9*Inputs!$E$58/12*1*(1+Inputs!$E$65)*(1+Inputs!$E$66)^(AU$5-1)</f>
        <v>-3365.59916</v>
      </c>
      <c r="AV15" s="53" t="n">
        <f aca="false">-AV9*Inputs!$E$58/12*1*(1+Inputs!$E$65)*(1+Inputs!$E$66)^(AV$5-1)</f>
        <v>-3365.59916</v>
      </c>
      <c r="AW15" s="53" t="n">
        <f aca="false">-AW9*Inputs!$E$58/12*1*(1+Inputs!$E$65)*(1+Inputs!$E$66)^(AW$5-1)</f>
        <v>-3365.59916</v>
      </c>
      <c r="AX15" s="53" t="n">
        <f aca="false">-AX9*Inputs!$E$58/12*1*(1+Inputs!$E$65)*(1+Inputs!$E$66)^(AX$5-1)</f>
        <v>-3365.59916</v>
      </c>
      <c r="AY15" s="53" t="n">
        <f aca="false">-AY9*Inputs!$E$58/12*1*(1+Inputs!$E$65)*(1+Inputs!$E$66)^(AY$5-1)</f>
        <v>-3466.5671348</v>
      </c>
      <c r="AZ15" s="53" t="n">
        <f aca="false">-AZ9*Inputs!$E$58/12*1*(1+Inputs!$E$65)*(1+Inputs!$E$66)^(AZ$5-1)</f>
        <v>-3466.5671348</v>
      </c>
      <c r="BA15" s="53" t="n">
        <f aca="false">-BA9*Inputs!$E$58/12*1*(1+Inputs!$E$65)*(1+Inputs!$E$66)^(BA$5-1)</f>
        <v>-3466.5671348</v>
      </c>
      <c r="BB15" s="53" t="n">
        <f aca="false">-BB9*Inputs!$E$58/12*1*(1+Inputs!$E$65)*(1+Inputs!$E$66)^(BB$5-1)</f>
        <v>-3466.5671348</v>
      </c>
      <c r="BC15" s="53" t="n">
        <f aca="false">-BC9*Inputs!$E$58/12*1*(1+Inputs!$E$65)*(1+Inputs!$E$66)^(BC$5-1)</f>
        <v>-3466.5671348</v>
      </c>
      <c r="BD15" s="53" t="n">
        <f aca="false">-BD9*Inputs!$E$58/12*1*(1+Inputs!$E$65)*(1+Inputs!$E$66)^(BD$5-1)</f>
        <v>-3466.5671348</v>
      </c>
      <c r="BE15" s="53" t="n">
        <f aca="false">-BE9*Inputs!$E$58/12*1*(1+Inputs!$E$65)*(1+Inputs!$E$66)^(BE$5-1)</f>
        <v>-3466.5671348</v>
      </c>
      <c r="BF15" s="53" t="n">
        <f aca="false">-BF9*Inputs!$E$58/12*1*(1+Inputs!$E$65)*(1+Inputs!$E$66)^(BF$5-1)</f>
        <v>-3466.5671348</v>
      </c>
      <c r="BG15" s="53" t="n">
        <f aca="false">-BG9*Inputs!$E$58/12*1*(1+Inputs!$E$65)*(1+Inputs!$E$66)^(BG$5-1)</f>
        <v>-3466.5671348</v>
      </c>
      <c r="BH15" s="53" t="n">
        <f aca="false">-BH9*Inputs!$E$58/12*1*(1+Inputs!$E$65)*(1+Inputs!$E$66)^(BH$5-1)</f>
        <v>-3466.5671348</v>
      </c>
      <c r="BI15" s="53" t="n">
        <f aca="false">-BI9*Inputs!$E$58/12*1*(1+Inputs!$E$65)*(1+Inputs!$E$66)^(BI$5-1)</f>
        <v>-3466.5671348</v>
      </c>
      <c r="BJ15" s="53" t="n">
        <f aca="false">-BJ9*Inputs!$E$58/12*1*(1+Inputs!$E$65)*(1+Inputs!$E$66)^(BJ$5-1)</f>
        <v>-3466.5671348</v>
      </c>
    </row>
    <row r="16" customFormat="false" ht="15" hidden="false" customHeight="false" outlineLevel="0" collapsed="false">
      <c r="A16" s="6" t="s">
        <v>422</v>
      </c>
      <c r="C16" s="53" t="n">
        <f aca="false">-C10*Inputs!$E$62/12*1*(1+Inputs!$E$65)*(1+Inputs!$E$66)^(C$5-1)</f>
        <v>-2706.66666666667</v>
      </c>
      <c r="D16" s="53" t="n">
        <f aca="false">-D10*Inputs!$E$62/12*1*(1+Inputs!$E$65)*(1+Inputs!$E$66)^(D$5-1)</f>
        <v>-2706.66666666667</v>
      </c>
      <c r="E16" s="53" t="n">
        <f aca="false">-E10*Inputs!$E$62/12*1*(1+Inputs!$E$65)*(1+Inputs!$E$66)^(E$5-1)</f>
        <v>-2706.66666666667</v>
      </c>
      <c r="F16" s="53" t="n">
        <f aca="false">-F10*Inputs!$E$62/12*1*(1+Inputs!$E$65)*(1+Inputs!$E$66)^(F$5-1)</f>
        <v>-2706.66666666667</v>
      </c>
      <c r="G16" s="53" t="n">
        <f aca="false">-G10*Inputs!$E$62/12*1*(1+Inputs!$E$65)*(1+Inputs!$E$66)^(G$5-1)</f>
        <v>-2706.66666666667</v>
      </c>
      <c r="H16" s="53" t="n">
        <f aca="false">-H10*Inputs!$E$62/12*1*(1+Inputs!$E$65)*(1+Inputs!$E$66)^(H$5-1)</f>
        <v>-2706.66666666667</v>
      </c>
      <c r="I16" s="53" t="n">
        <f aca="false">-I10*Inputs!$E$62/12*1*(1+Inputs!$E$65)*(1+Inputs!$E$66)^(I$5-1)</f>
        <v>-2706.66666666667</v>
      </c>
      <c r="J16" s="53" t="n">
        <f aca="false">-J10*Inputs!$E$62/12*1*(1+Inputs!$E$65)*(1+Inputs!$E$66)^(J$5-1)</f>
        <v>-2706.66666666667</v>
      </c>
      <c r="K16" s="53" t="n">
        <f aca="false">-K10*Inputs!$E$62/12*1*(1+Inputs!$E$65)*(1+Inputs!$E$66)^(K$5-1)</f>
        <v>-2706.66666666667</v>
      </c>
      <c r="L16" s="53" t="n">
        <f aca="false">-L10*Inputs!$E$62/12*1*(1+Inputs!$E$65)*(1+Inputs!$E$66)^(L$5-1)</f>
        <v>-2706.66666666667</v>
      </c>
      <c r="M16" s="53" t="n">
        <f aca="false">-M10*Inputs!$E$62/12*1*(1+Inputs!$E$65)*(1+Inputs!$E$66)^(M$5-1)</f>
        <v>-2706.66666666667</v>
      </c>
      <c r="N16" s="53" t="n">
        <f aca="false">-N10*Inputs!$E$62/12*1*(1+Inputs!$E$65)*(1+Inputs!$E$66)^(N$5-1)</f>
        <v>-2706.66666666667</v>
      </c>
      <c r="O16" s="53" t="n">
        <f aca="false">-O10*Inputs!$E$62/12*1*(1+Inputs!$E$65)*(1+Inputs!$E$66)^(O$5-1)</f>
        <v>-2787.86666666667</v>
      </c>
      <c r="P16" s="53" t="n">
        <f aca="false">-P10*Inputs!$E$62/12*1*(1+Inputs!$E$65)*(1+Inputs!$E$66)^(P$5-1)</f>
        <v>-2787.86666666667</v>
      </c>
      <c r="Q16" s="53" t="n">
        <f aca="false">-Q10*Inputs!$E$62/12*1*(1+Inputs!$E$65)*(1+Inputs!$E$66)^(Q$5-1)</f>
        <v>-2787.86666666667</v>
      </c>
      <c r="R16" s="53" t="n">
        <f aca="false">-R10*Inputs!$E$62/12*1*(1+Inputs!$E$65)*(1+Inputs!$E$66)^(R$5-1)</f>
        <v>-2787.86666666667</v>
      </c>
      <c r="S16" s="53" t="n">
        <f aca="false">-S10*Inputs!$E$62/12*1*(1+Inputs!$E$65)*(1+Inputs!$E$66)^(S$5-1)</f>
        <v>-2787.86666666667</v>
      </c>
      <c r="T16" s="53" t="n">
        <f aca="false">-T10*Inputs!$E$62/12*1*(1+Inputs!$E$65)*(1+Inputs!$E$66)^(T$5-1)</f>
        <v>-2787.86666666667</v>
      </c>
      <c r="U16" s="53" t="n">
        <f aca="false">-U10*Inputs!$E$62/12*1*(1+Inputs!$E$65)*(1+Inputs!$E$66)^(U$5-1)</f>
        <v>-2787.86666666667</v>
      </c>
      <c r="V16" s="53" t="n">
        <f aca="false">-V10*Inputs!$E$62/12*1*(1+Inputs!$E$65)*(1+Inputs!$E$66)^(V$5-1)</f>
        <v>-2787.86666666667</v>
      </c>
      <c r="W16" s="53" t="n">
        <f aca="false">-W10*Inputs!$E$62/12*1*(1+Inputs!$E$65)*(1+Inputs!$E$66)^(W$5-1)</f>
        <v>-2787.86666666667</v>
      </c>
      <c r="X16" s="53" t="n">
        <f aca="false">-X10*Inputs!$E$62/12*1*(1+Inputs!$E$65)*(1+Inputs!$E$66)^(X$5-1)</f>
        <v>-2787.86666666667</v>
      </c>
      <c r="Y16" s="53" t="n">
        <f aca="false">-Y10*Inputs!$E$62/12*1*(1+Inputs!$E$65)*(1+Inputs!$E$66)^(Y$5-1)</f>
        <v>-2787.86666666667</v>
      </c>
      <c r="Z16" s="53" t="n">
        <f aca="false">-Z10*Inputs!$E$62/12*1*(1+Inputs!$E$65)*(1+Inputs!$E$66)^(Z$5-1)</f>
        <v>-2787.86666666667</v>
      </c>
      <c r="AA16" s="53" t="n">
        <f aca="false">-AA10*Inputs!$E$62/12*1*(1+Inputs!$E$65)*(1+Inputs!$E$66)^(AA$5-1)</f>
        <v>-2871.50266666667</v>
      </c>
      <c r="AB16" s="53" t="n">
        <f aca="false">-AB10*Inputs!$E$62/12*1*(1+Inputs!$E$65)*(1+Inputs!$E$66)^(AB$5-1)</f>
        <v>-2871.50266666667</v>
      </c>
      <c r="AC16" s="53" t="n">
        <f aca="false">-AC10*Inputs!$E$62/12*1*(1+Inputs!$E$65)*(1+Inputs!$E$66)^(AC$5-1)</f>
        <v>-2871.50266666667</v>
      </c>
      <c r="AD16" s="53" t="n">
        <f aca="false">-AD10*Inputs!$E$62/12*1*(1+Inputs!$E$65)*(1+Inputs!$E$66)^(AD$5-1)</f>
        <v>-2871.50266666667</v>
      </c>
      <c r="AE16" s="53" t="n">
        <f aca="false">-AE10*Inputs!$E$62/12*1*(1+Inputs!$E$65)*(1+Inputs!$E$66)^(AE$5-1)</f>
        <v>-2871.50266666667</v>
      </c>
      <c r="AF16" s="53" t="n">
        <f aca="false">-AF10*Inputs!$E$62/12*1*(1+Inputs!$E$65)*(1+Inputs!$E$66)^(AF$5-1)</f>
        <v>-2871.50266666667</v>
      </c>
      <c r="AG16" s="53" t="n">
        <f aca="false">-AG10*Inputs!$E$62/12*1*(1+Inputs!$E$65)*(1+Inputs!$E$66)^(AG$5-1)</f>
        <v>-2871.50266666667</v>
      </c>
      <c r="AH16" s="53" t="n">
        <f aca="false">-AH10*Inputs!$E$62/12*1*(1+Inputs!$E$65)*(1+Inputs!$E$66)^(AH$5-1)</f>
        <v>-2871.50266666667</v>
      </c>
      <c r="AI16" s="53" t="n">
        <f aca="false">-AI10*Inputs!$E$62/12*1*(1+Inputs!$E$65)*(1+Inputs!$E$66)^(AI$5-1)</f>
        <v>-2871.50266666667</v>
      </c>
      <c r="AJ16" s="53" t="n">
        <f aca="false">-AJ10*Inputs!$E$62/12*1*(1+Inputs!$E$65)*(1+Inputs!$E$66)^(AJ$5-1)</f>
        <v>-2871.50266666667</v>
      </c>
      <c r="AK16" s="53" t="n">
        <f aca="false">-AK10*Inputs!$E$62/12*1*(1+Inputs!$E$65)*(1+Inputs!$E$66)^(AK$5-1)</f>
        <v>-2871.50266666667</v>
      </c>
      <c r="AL16" s="53" t="n">
        <f aca="false">-AL10*Inputs!$E$62/12*1*(1+Inputs!$E$65)*(1+Inputs!$E$66)^(AL$5-1)</f>
        <v>-2871.50266666667</v>
      </c>
      <c r="AM16" s="53" t="n">
        <f aca="false">-AM10*Inputs!$E$62/12*1*(1+Inputs!$E$65)*(1+Inputs!$E$66)^(AM$5-1)</f>
        <v>-2957.64774666667</v>
      </c>
      <c r="AN16" s="53" t="n">
        <f aca="false">-AN10*Inputs!$E$62/12*1*(1+Inputs!$E$65)*(1+Inputs!$E$66)^(AN$5-1)</f>
        <v>-2957.64774666667</v>
      </c>
      <c r="AO16" s="53" t="n">
        <f aca="false">-AO10*Inputs!$E$62/12*1*(1+Inputs!$E$65)*(1+Inputs!$E$66)^(AO$5-1)</f>
        <v>-2957.64774666667</v>
      </c>
      <c r="AP16" s="53" t="n">
        <f aca="false">-AP10*Inputs!$E$62/12*1*(1+Inputs!$E$65)*(1+Inputs!$E$66)^(AP$5-1)</f>
        <v>-2957.64774666667</v>
      </c>
      <c r="AQ16" s="53" t="n">
        <f aca="false">-AQ10*Inputs!$E$62/12*1*(1+Inputs!$E$65)*(1+Inputs!$E$66)^(AQ$5-1)</f>
        <v>-2957.64774666667</v>
      </c>
      <c r="AR16" s="53" t="n">
        <f aca="false">-AR10*Inputs!$E$62/12*1*(1+Inputs!$E$65)*(1+Inputs!$E$66)^(AR$5-1)</f>
        <v>-2957.64774666667</v>
      </c>
      <c r="AS16" s="53" t="n">
        <f aca="false">-AS10*Inputs!$E$62/12*1*(1+Inputs!$E$65)*(1+Inputs!$E$66)^(AS$5-1)</f>
        <v>-2957.64774666667</v>
      </c>
      <c r="AT16" s="53" t="n">
        <f aca="false">-AT10*Inputs!$E$62/12*1*(1+Inputs!$E$65)*(1+Inputs!$E$66)^(AT$5-1)</f>
        <v>-2957.64774666667</v>
      </c>
      <c r="AU16" s="53" t="n">
        <f aca="false">-AU10*Inputs!$E$62/12*1*(1+Inputs!$E$65)*(1+Inputs!$E$66)^(AU$5-1)</f>
        <v>-2957.64774666667</v>
      </c>
      <c r="AV16" s="53" t="n">
        <f aca="false">-AV10*Inputs!$E$62/12*1*(1+Inputs!$E$65)*(1+Inputs!$E$66)^(AV$5-1)</f>
        <v>-2957.64774666667</v>
      </c>
      <c r="AW16" s="53" t="n">
        <f aca="false">-AW10*Inputs!$E$62/12*1*(1+Inputs!$E$65)*(1+Inputs!$E$66)^(AW$5-1)</f>
        <v>-2957.64774666667</v>
      </c>
      <c r="AX16" s="53" t="n">
        <f aca="false">-AX10*Inputs!$E$62/12*1*(1+Inputs!$E$65)*(1+Inputs!$E$66)^(AX$5-1)</f>
        <v>-2957.64774666667</v>
      </c>
      <c r="AY16" s="53" t="n">
        <f aca="false">-AY10*Inputs!$E$62/12*1*(1+Inputs!$E$65)*(1+Inputs!$E$66)^(AY$5-1)</f>
        <v>-3046.37717906667</v>
      </c>
      <c r="AZ16" s="53" t="n">
        <f aca="false">-AZ10*Inputs!$E$62/12*1*(1+Inputs!$E$65)*(1+Inputs!$E$66)^(AZ$5-1)</f>
        <v>-3046.37717906667</v>
      </c>
      <c r="BA16" s="53" t="n">
        <f aca="false">-BA10*Inputs!$E$62/12*1*(1+Inputs!$E$65)*(1+Inputs!$E$66)^(BA$5-1)</f>
        <v>-3046.37717906667</v>
      </c>
      <c r="BB16" s="53" t="n">
        <f aca="false">-BB10*Inputs!$E$62/12*1*(1+Inputs!$E$65)*(1+Inputs!$E$66)^(BB$5-1)</f>
        <v>-3046.37717906667</v>
      </c>
      <c r="BC16" s="53" t="n">
        <f aca="false">-BC10*Inputs!$E$62/12*1*(1+Inputs!$E$65)*(1+Inputs!$E$66)^(BC$5-1)</f>
        <v>-3046.37717906667</v>
      </c>
      <c r="BD16" s="53" t="n">
        <f aca="false">-BD10*Inputs!$E$62/12*1*(1+Inputs!$E$65)*(1+Inputs!$E$66)^(BD$5-1)</f>
        <v>-3046.37717906667</v>
      </c>
      <c r="BE16" s="53" t="n">
        <f aca="false">-BE10*Inputs!$E$62/12*1*(1+Inputs!$E$65)*(1+Inputs!$E$66)^(BE$5-1)</f>
        <v>-3046.37717906667</v>
      </c>
      <c r="BF16" s="53" t="n">
        <f aca="false">-BF10*Inputs!$E$62/12*1*(1+Inputs!$E$65)*(1+Inputs!$E$66)^(BF$5-1)</f>
        <v>-3046.37717906667</v>
      </c>
      <c r="BG16" s="53" t="n">
        <f aca="false">-BG10*Inputs!$E$62/12*1*(1+Inputs!$E$65)*(1+Inputs!$E$66)^(BG$5-1)</f>
        <v>-3046.37717906667</v>
      </c>
      <c r="BH16" s="53" t="n">
        <f aca="false">-BH10*Inputs!$E$62/12*1*(1+Inputs!$E$65)*(1+Inputs!$E$66)^(BH$5-1)</f>
        <v>-3046.37717906667</v>
      </c>
      <c r="BI16" s="53" t="n">
        <f aca="false">-BI10*Inputs!$E$62/12*1*(1+Inputs!$E$65)*(1+Inputs!$E$66)^(BI$5-1)</f>
        <v>-3046.37717906667</v>
      </c>
      <c r="BJ16" s="53" t="n">
        <f aca="false">-BJ10*Inputs!$E$62/12*1*(1+Inputs!$E$65)*(1+Inputs!$E$66)^(BJ$5-1)</f>
        <v>-3046.37717906667</v>
      </c>
    </row>
    <row r="17" customFormat="false" ht="15" hidden="false" customHeight="false" outlineLevel="0" collapsed="false">
      <c r="A17" s="102" t="s">
        <v>423</v>
      </c>
      <c r="C17" s="54" t="n">
        <f aca="false">C14+C15+C16</f>
        <v>-8026.66666666667</v>
      </c>
      <c r="D17" s="54" t="n">
        <f aca="false">D14+D15+D16</f>
        <v>-8026.66666666667</v>
      </c>
      <c r="E17" s="54" t="n">
        <f aca="false">E14+E15+E16</f>
        <v>-8026.66666666667</v>
      </c>
      <c r="F17" s="54" t="n">
        <f aca="false">F14+F15+F16</f>
        <v>-8026.66666666667</v>
      </c>
      <c r="G17" s="54" t="n">
        <f aca="false">G14+G15+G16</f>
        <v>-8026.66666666667</v>
      </c>
      <c r="H17" s="54" t="n">
        <f aca="false">H14+H15+H16</f>
        <v>-8026.66666666667</v>
      </c>
      <c r="I17" s="54" t="n">
        <f aca="false">I14+I15+I16</f>
        <v>-8026.66666666667</v>
      </c>
      <c r="J17" s="54" t="n">
        <f aca="false">J14+J15+J16</f>
        <v>-8026.66666666667</v>
      </c>
      <c r="K17" s="54" t="n">
        <f aca="false">K14+K15+K16</f>
        <v>-8026.66666666667</v>
      </c>
      <c r="L17" s="54" t="n">
        <f aca="false">L14+L15+L16</f>
        <v>-8026.66666666667</v>
      </c>
      <c r="M17" s="54" t="n">
        <f aca="false">M14+M15+M16</f>
        <v>-8026.66666666667</v>
      </c>
      <c r="N17" s="54" t="n">
        <f aca="false">N14+N15+N16</f>
        <v>-8026.66666666667</v>
      </c>
      <c r="O17" s="54" t="n">
        <f aca="false">O14+O15+O16</f>
        <v>-8267.46666666667</v>
      </c>
      <c r="P17" s="54" t="n">
        <f aca="false">P14+P15+P16</f>
        <v>-8267.46666666667</v>
      </c>
      <c r="Q17" s="54" t="n">
        <f aca="false">Q14+Q15+Q16</f>
        <v>-8267.46666666667</v>
      </c>
      <c r="R17" s="54" t="n">
        <f aca="false">R14+R15+R16</f>
        <v>-8267.46666666667</v>
      </c>
      <c r="S17" s="54" t="n">
        <f aca="false">S14+S15+S16</f>
        <v>-8267.46666666667</v>
      </c>
      <c r="T17" s="54" t="n">
        <f aca="false">T14+T15+T16</f>
        <v>-8267.46666666667</v>
      </c>
      <c r="U17" s="54" t="n">
        <f aca="false">U14+U15+U16</f>
        <v>-8267.46666666667</v>
      </c>
      <c r="V17" s="54" t="n">
        <f aca="false">V14+V15+V16</f>
        <v>-8267.46666666667</v>
      </c>
      <c r="W17" s="54" t="n">
        <f aca="false">W14+W15+W16</f>
        <v>-8267.46666666667</v>
      </c>
      <c r="X17" s="54" t="n">
        <f aca="false">X14+X15+X16</f>
        <v>-8267.46666666667</v>
      </c>
      <c r="Y17" s="54" t="n">
        <f aca="false">Y14+Y15+Y16</f>
        <v>-8267.46666666667</v>
      </c>
      <c r="Z17" s="54" t="n">
        <f aca="false">Z14+Z15+Z16</f>
        <v>-8267.46666666667</v>
      </c>
      <c r="AA17" s="54" t="n">
        <f aca="false">AA14+AA15+AA16</f>
        <v>-8515.49066666667</v>
      </c>
      <c r="AB17" s="54" t="n">
        <f aca="false">AB14+AB15+AB16</f>
        <v>-8515.49066666667</v>
      </c>
      <c r="AC17" s="54" t="n">
        <f aca="false">AC14+AC15+AC16</f>
        <v>-8515.49066666667</v>
      </c>
      <c r="AD17" s="54" t="n">
        <f aca="false">AD14+AD15+AD16</f>
        <v>-8515.49066666667</v>
      </c>
      <c r="AE17" s="54" t="n">
        <f aca="false">AE14+AE15+AE16</f>
        <v>-8515.49066666667</v>
      </c>
      <c r="AF17" s="54" t="n">
        <f aca="false">AF14+AF15+AF16</f>
        <v>-8515.49066666667</v>
      </c>
      <c r="AG17" s="54" t="n">
        <f aca="false">AG14+AG15+AG16</f>
        <v>-8515.49066666667</v>
      </c>
      <c r="AH17" s="54" t="n">
        <f aca="false">AH14+AH15+AH16</f>
        <v>-8515.49066666667</v>
      </c>
      <c r="AI17" s="54" t="n">
        <f aca="false">AI14+AI15+AI16</f>
        <v>-8515.49066666667</v>
      </c>
      <c r="AJ17" s="54" t="n">
        <f aca="false">AJ14+AJ15+AJ16</f>
        <v>-8515.49066666667</v>
      </c>
      <c r="AK17" s="54" t="n">
        <f aca="false">AK14+AK15+AK16</f>
        <v>-8515.49066666667</v>
      </c>
      <c r="AL17" s="54" t="n">
        <f aca="false">AL14+AL15+AL16</f>
        <v>-8515.49066666667</v>
      </c>
      <c r="AM17" s="54" t="n">
        <f aca="false">AM14+AM15+AM16</f>
        <v>-8770.95538666667</v>
      </c>
      <c r="AN17" s="54" t="n">
        <f aca="false">AN14+AN15+AN16</f>
        <v>-8770.95538666667</v>
      </c>
      <c r="AO17" s="54" t="n">
        <f aca="false">AO14+AO15+AO16</f>
        <v>-8770.95538666667</v>
      </c>
      <c r="AP17" s="54" t="n">
        <f aca="false">AP14+AP15+AP16</f>
        <v>-8770.95538666667</v>
      </c>
      <c r="AQ17" s="54" t="n">
        <f aca="false">AQ14+AQ15+AQ16</f>
        <v>-8770.95538666667</v>
      </c>
      <c r="AR17" s="54" t="n">
        <f aca="false">AR14+AR15+AR16</f>
        <v>-8770.95538666667</v>
      </c>
      <c r="AS17" s="54" t="n">
        <f aca="false">AS14+AS15+AS16</f>
        <v>-8770.95538666667</v>
      </c>
      <c r="AT17" s="54" t="n">
        <f aca="false">AT14+AT15+AT16</f>
        <v>-8770.95538666667</v>
      </c>
      <c r="AU17" s="54" t="n">
        <f aca="false">AU14+AU15+AU16</f>
        <v>-8770.95538666667</v>
      </c>
      <c r="AV17" s="54" t="n">
        <f aca="false">AV14+AV15+AV16</f>
        <v>-8770.95538666667</v>
      </c>
      <c r="AW17" s="54" t="n">
        <f aca="false">AW14+AW15+AW16</f>
        <v>-8770.95538666667</v>
      </c>
      <c r="AX17" s="54" t="n">
        <f aca="false">AX14+AX15+AX16</f>
        <v>-8770.95538666667</v>
      </c>
      <c r="AY17" s="54" t="n">
        <f aca="false">AY14+AY15+AY16</f>
        <v>-9034.08404826667</v>
      </c>
      <c r="AZ17" s="54" t="n">
        <f aca="false">AZ14+AZ15+AZ16</f>
        <v>-9034.08404826667</v>
      </c>
      <c r="BA17" s="54" t="n">
        <f aca="false">BA14+BA15+BA16</f>
        <v>-9034.08404826667</v>
      </c>
      <c r="BB17" s="54" t="n">
        <f aca="false">BB14+BB15+BB16</f>
        <v>-9034.08404826667</v>
      </c>
      <c r="BC17" s="54" t="n">
        <f aca="false">BC14+BC15+BC16</f>
        <v>-9034.08404826667</v>
      </c>
      <c r="BD17" s="54" t="n">
        <f aca="false">BD14+BD15+BD16</f>
        <v>-9034.08404826667</v>
      </c>
      <c r="BE17" s="54" t="n">
        <f aca="false">BE14+BE15+BE16</f>
        <v>-9034.08404826667</v>
      </c>
      <c r="BF17" s="54" t="n">
        <f aca="false">BF14+BF15+BF16</f>
        <v>-9034.08404826667</v>
      </c>
      <c r="BG17" s="54" t="n">
        <f aca="false">BG14+BG15+BG16</f>
        <v>-9034.08404826667</v>
      </c>
      <c r="BH17" s="54" t="n">
        <f aca="false">BH14+BH15+BH16</f>
        <v>-9034.08404826667</v>
      </c>
      <c r="BI17" s="54" t="n">
        <f aca="false">BI14+BI15+BI16</f>
        <v>-9034.08404826667</v>
      </c>
      <c r="BJ17" s="54" t="n">
        <f aca="false">BJ14+BJ15+BJ16</f>
        <v>-9034.08404826667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424</v>
      </c>
    </row>
    <row r="3" customFormat="false" ht="15" hidden="false" customHeight="false" outlineLevel="0" collapsed="false">
      <c r="A3" s="33" t="s">
        <v>425</v>
      </c>
      <c r="B3" s="33" t="s">
        <v>426</v>
      </c>
      <c r="C3" s="33" t="s">
        <v>427</v>
      </c>
    </row>
    <row r="4" customFormat="false" ht="15" hidden="false" customHeight="false" outlineLevel="0" collapsed="false">
      <c r="A4" s="6" t="s">
        <v>428</v>
      </c>
      <c r="B4" s="4" t="str">
        <f aca="false">IF(ABS(SUM('P&amp;L'!$B$5:$F$5)-SUM(Monthly!$C$21:$BJ$21))&lt;0.5,"PASS","FAIL")</f>
        <v>PASS</v>
      </c>
      <c r="C4" s="18" t="s">
        <v>429</v>
      </c>
    </row>
    <row r="5" customFormat="false" ht="15" hidden="false" customHeight="false" outlineLevel="0" collapsed="false">
      <c r="A5" s="6" t="s">
        <v>430</v>
      </c>
      <c r="B5" s="4" t="str">
        <f aca="false">IF(ABS(SUM('P&amp;L'!$B$25:$F$25)-SUM(Monthly!$C$50:$BJ$50))&lt;0.5,"PASS","FAIL")</f>
        <v>PASS</v>
      </c>
      <c r="C5" s="18" t="s">
        <v>431</v>
      </c>
    </row>
    <row r="6" customFormat="false" ht="15" hidden="false" customHeight="false" outlineLevel="0" collapsed="false">
      <c r="A6" s="6" t="s">
        <v>432</v>
      </c>
      <c r="B6" s="4" t="str">
        <f aca="false">IF(ABS(SUM(Monthly!$C$41:$BJ$41)-SUM(Monthly!$C$29:$BJ$29)-SUM(Monthly!$C$40:$BJ$40))&lt;0.5,"PASS","FAIL")</f>
        <v>PASS</v>
      </c>
      <c r="C6" s="18" t="s">
        <v>433</v>
      </c>
    </row>
    <row r="7" customFormat="false" ht="15" hidden="false" customHeight="false" outlineLevel="0" collapsed="false">
      <c r="A7" s="6" t="s">
        <v>434</v>
      </c>
      <c r="B7" s="4" t="str">
        <f aca="false">IF(ABS(INDEX(Monthly!$C$80:$BJ$80,60)-SUM(Monthly!$C$78:$BJ$78))&lt;0.5,"PASS","FAIL")</f>
        <v>PASS</v>
      </c>
      <c r="C7" s="18" t="s">
        <v>435</v>
      </c>
    </row>
    <row r="8" customFormat="false" ht="15" hidden="false" customHeight="false" outlineLevel="0" collapsed="false">
      <c r="A8" s="6" t="s">
        <v>436</v>
      </c>
      <c r="B8" s="4" t="str">
        <f aca="false">IF(AND(ISNUMBER(Dashboard!B4),Dashboard!B4&gt;=1,Dashboard!B4&lt;=3,INT(Dashboard!B4)=Dashboard!B4),"PASS","FAIL")</f>
        <v>PASS</v>
      </c>
      <c r="C8" s="18" t="s">
        <v>437</v>
      </c>
    </row>
    <row r="9" customFormat="false" ht="15" hidden="false" customHeight="false" outlineLevel="0" collapsed="false">
      <c r="A9" s="6" t="s">
        <v>438</v>
      </c>
      <c r="B9" s="4" t="str">
        <f aca="false">IF(AND(Inputs!$B$8&lt;=Inputs!$C$8,Inputs!$C$8&lt;=Inputs!$D$8,Inputs!$B$11&lt;=Inputs!$C$11,Inputs!$C$11&lt;=Inputs!$D$11,Inputs!$B$12&lt;=Inputs!$C$12,Inputs!$C$12&lt;=Inputs!$D$12,Inputs!$B$14&lt;=Inputs!$C$14,Inputs!$C$14&lt;=Inputs!$D$14,Inputs!$B$17&lt;=Inputs!$C$17,Inputs!$C$17&lt;=Inputs!$D$17,Inputs!$B$18&lt;=Inputs!$C$18,Inputs!$C$18&lt;=Inputs!$D$18,Inputs!$B$21&lt;=Inputs!$C$21,Inputs!$C$21&lt;=Inputs!$D$21,Inputs!$B$22&lt;=Inputs!$C$22,Inputs!$C$22&lt;=Inputs!$D$22,Inputs!$B$26&lt;=Inputs!$C$26,Inputs!$C$26&lt;=Inputs!$D$26,Inputs!$B$27&lt;=Inputs!$C$27,Inputs!$C$27&lt;=Inputs!$D$27,Inputs!$B$30&gt;=Inputs!$C$30,Inputs!$C$30&gt;=Inputs!$D$30,Inputs!$B$31&gt;=Inputs!$C$31,Inputs!$C$31&gt;=Inputs!$D$31,Inputs!$B$32&gt;=Inputs!$C$32,Inputs!$C$32&gt;=Inputs!$D$32,Inputs!$B$33&gt;=Inputs!$C$33,Inputs!$C$33&gt;=Inputs!$D$33,Inputs!$B$37&lt;=Inputs!$C$37,Inputs!$C$37&lt;=Inputs!$D$37,Inputs!$B$53&lt;=Inputs!$C$53,Inputs!$C$53&lt;=Inputs!$D$53,Inputs!$B$55&lt;=Inputs!$C$55,Inputs!$C$55&lt;=Inputs!$D$55,Inputs!$B$57&lt;=Inputs!$C$57,Inputs!$C$57&lt;=Inputs!$D$57,Inputs!$B$59&lt;=Inputs!$C$59,Inputs!$C$59&lt;=Inputs!$D$59,Inputs!$B$61&lt;=Inputs!$C$61,Inputs!$C$61&lt;=Inputs!$D$61,Inputs!$B$63&lt;=Inputs!$C$63,Inputs!$C$63&lt;=Inputs!$D$63,Inputs!$B$87&gt;=Inputs!$C$87,Inputs!$C$87&gt;=Inputs!$D$87,Inputs!$B$88&lt;=Inputs!$C$88,Inputs!$C$88&lt;=Inputs!$D$88,Inputs!$B$89&lt;=Inputs!$C$89,Inputs!$C$89&lt;=Inputs!$D$89),"PASS","FAIL")</f>
        <v>PASS</v>
      </c>
      <c r="C9" s="18" t="s">
        <v>439</v>
      </c>
    </row>
    <row r="10" customFormat="false" ht="15" hidden="false" customHeight="false" outlineLevel="0" collapsed="false">
      <c r="A10" s="6" t="s">
        <v>440</v>
      </c>
      <c r="B10" s="4" t="str">
        <f aca="false">IF(AND(MIN('P&amp;L'!$B$8:$F$8)&gt;=0,MAX('P&amp;L'!$B$8:$F$8)&lt;=1),"PASS","FAIL")</f>
        <v>PASS</v>
      </c>
      <c r="C10" s="18" t="s">
        <v>441</v>
      </c>
    </row>
    <row r="11" customFormat="false" ht="15" hidden="false" customHeight="false" outlineLevel="0" collapsed="false">
      <c r="A11" s="6" t="s">
        <v>442</v>
      </c>
      <c r="B11" s="4" t="str">
        <f aca="false">IF(MIN(Monthly!$C$63:$BJ$63)&gt;=-0.5,"PASS","FAIL")</f>
        <v>PASS</v>
      </c>
      <c r="C11" s="18" t="s">
        <v>443</v>
      </c>
    </row>
    <row r="12" customFormat="false" ht="15" hidden="false" customHeight="false" outlineLevel="0" collapsed="false">
      <c r="A12" s="6" t="s">
        <v>444</v>
      </c>
      <c r="B12" s="4" t="str">
        <f aca="false">IF(ABS('Break-even'!B18-('Break-even'!B16-'Break-even'!B10))&lt;0.5,"PASS","FAIL")</f>
        <v>PASS</v>
      </c>
      <c r="C12" s="18" t="s">
        <v>445</v>
      </c>
    </row>
    <row r="13" customFormat="false" ht="15" hidden="false" customHeight="false" outlineLevel="0" collapsed="false">
      <c r="A13" s="6" t="s">
        <v>446</v>
      </c>
      <c r="B13" s="4" t="str">
        <f aca="false">IF(ABS(Valuation!B23-NPV(Valuation!B6,Valuation!$B$17:$F$17))&lt;0.5,"PASS","FAIL")</f>
        <v>PASS</v>
      </c>
      <c r="C13" s="18" t="s">
        <v>447</v>
      </c>
    </row>
    <row r="14" customFormat="false" ht="15" hidden="false" customHeight="false" outlineLevel="0" collapsed="false">
      <c r="A14" s="6" t="s">
        <v>448</v>
      </c>
      <c r="B14" s="4" t="str">
        <f aca="false">IF(Valuation!B6&gt;Valuation!B7,"PASS","FAIL")</f>
        <v>PASS</v>
      </c>
      <c r="C14" s="18" t="s">
        <v>449</v>
      </c>
    </row>
    <row r="15" customFormat="false" ht="15" hidden="false" customHeight="false" outlineLevel="0" collapsed="false">
      <c r="A15" s="6" t="s">
        <v>450</v>
      </c>
      <c r="B15" s="4" t="str">
        <f aca="false">IF(ABS(Valuation!D36-Valuation!B27)&lt;0.5,"PASS","FAIL")</f>
        <v>PASS</v>
      </c>
      <c r="C15" s="18" t="s">
        <v>451</v>
      </c>
    </row>
    <row r="16" customFormat="false" ht="15" hidden="false" customHeight="false" outlineLevel="0" collapsed="false">
      <c r="A16" s="6" t="s">
        <v>452</v>
      </c>
      <c r="B16" s="4" t="str">
        <f aca="false">IF(Valuation!$F$17&gt;0,"PASS","WARN")</f>
        <v>PASS</v>
      </c>
      <c r="C16" s="18" t="s">
        <v>453</v>
      </c>
    </row>
    <row r="17" customFormat="false" ht="15" hidden="false" customHeight="false" outlineLevel="0" collapsed="false">
      <c r="A17" s="6" t="s">
        <v>454</v>
      </c>
      <c r="B17" s="4" t="str">
        <f aca="false">IF(ABS('Sources &amp; Uses'!B21-'Sources &amp; Uses'!B28)&lt;0.5,"PASS","FAIL")</f>
        <v>PASS</v>
      </c>
      <c r="C17" s="18" t="s">
        <v>455</v>
      </c>
    </row>
    <row r="18" customFormat="false" ht="15" hidden="false" customHeight="false" outlineLevel="0" collapsed="false">
      <c r="A18" s="6" t="s">
        <v>456</v>
      </c>
      <c r="B18" s="4" t="str">
        <f aca="false">IF(SUMPRODUCT(--ISERROR(Monthly!$C$4:$BJ$98))+SUMPRODUCT(--ISERROR(Headcount!$C$4:$BJ$17))+SUMPRODUCT(--ISERROR('P&amp;L'!$B$3:$F$26))+SUMPRODUCT(--ISERROR('Cash Flow'!$B$3:$F$18))+SUMPRODUCT(--ISERROR('Balance Sheet'!$B$3:$F$17))+SUMPRODUCT(--ISERROR(KPIs!$B$27:$F$46))+SUMPRODUCT(--ISERROR('Break-even'!$B$26:$F$33))+SUMPRODUCT(--ISERROR(Valuation!$B$14:$F$19))+SUMPRODUCT(--ISERROR('Break-even'!$B$3:$F$35))+SUMPRODUCT(--ISERROR(Valuation!$A$3:$F$40))+SUMPRODUCT(--ISERROR('Sources &amp; Uses'!$B$3:$C$30))+SUMPRODUCT(--ISERROR(Dashboard!$A$6:$W$43))+SUMPRODUCT(--ISERROR(Summary!$A$5:$S$52))+SUMPRODUCT(--ISERROR(KPIs!$A$4:$G$46))=0,"PASS","FAIL")</f>
        <v>PASS</v>
      </c>
      <c r="C18" s="18" t="s">
        <v>457</v>
      </c>
    </row>
    <row r="19" customFormat="false" ht="15" hidden="false" customHeight="false" outlineLevel="0" collapsed="false">
      <c r="A19" s="6" t="s">
        <v>458</v>
      </c>
      <c r="B19" s="4" t="str">
        <f aca="false">IF(IFERROR(AND(SUMPRODUCT(--(ABS(Summary!$B$7:$F$7-'P&amp;L'!$B$5:$F$5)&gt;0.5))=0,SUMPRODUCT(--(ABS(Summary!$B$19:$F$19-'P&amp;L'!$B$25:$F$25)&gt;0.5))=0,SUMPRODUCT(--(ABS(Summary!$B$31:$F$31-'Cash Flow'!$B$18:$F$18)&gt;0.5))=0,SUMPRODUCT(--(ABS(Summary!$B$41:$F$41-'Balance Sheet'!$B$5:$F$5)&gt;0.5))=0,ABS(SUM(Summary!$H$7:$S$7)-INDEX(Summary!$B$7:$F$7,Summary!$R$2))&lt;0.5,ABS(SUM(Summary!$H$19:$S$19)-INDEX(Summary!$B$19:$F$19,Summary!$R$2))&lt;0.5,ABS(Summary!$S$31-INDEX(Summary!$B$31:$F$31,Summary!$R$2))&lt;0.5),FALSE()),"PASS","FAIL")</f>
        <v>PASS</v>
      </c>
      <c r="C19" s="18" t="s">
        <v>459</v>
      </c>
    </row>
    <row r="20" customFormat="false" ht="15" hidden="false" customHeight="false" outlineLevel="0" collapsed="false">
      <c r="A20" s="6" t="s">
        <v>460</v>
      </c>
      <c r="B20" s="4" t="str">
        <f aca="false">IF(SUMPRODUCT(--(ABS(KPIs!$B$24:$F$24)&gt;0.000000001))&gt;0,"FAIL",IF(SUMPRODUCT(ISNUMBER(KPIs!$B$23:$F$23)*ISNUMBER(KPIs!$B$16:$F$16))=0,"n/a","PASS"))</f>
        <v>PASS</v>
      </c>
      <c r="C20" s="18" t="s">
        <v>461</v>
      </c>
    </row>
    <row r="21" customFormat="false" ht="15" hidden="false" customHeight="false" outlineLevel="0" collapsed="false">
      <c r="A21" s="6" t="s">
        <v>462</v>
      </c>
      <c r="B21" s="4" t="str">
        <f aca="false">IF(SUMPRODUCT(--(ABS(Monthly!$C$98:$BJ$98)&gt;0.5))=0,"PASS","FAIL")</f>
        <v>PASS</v>
      </c>
      <c r="C21" s="18" t="s">
        <v>463</v>
      </c>
    </row>
    <row r="22" customFormat="false" ht="15" hidden="false" customHeight="false" outlineLevel="0" collapsed="false">
      <c r="A22" s="6" t="s">
        <v>464</v>
      </c>
      <c r="B22" s="4" t="str">
        <f aca="false">IF(MIN(Monthly!$C$80:$BJ$80)&gt;=0,"PASS","WARN")</f>
        <v>PASS</v>
      </c>
      <c r="C22" s="18" t="s">
        <v>465</v>
      </c>
    </row>
    <row r="24" customFormat="false" ht="15" hidden="false" customHeight="false" outlineLevel="0" collapsed="false">
      <c r="A24" s="56" t="s">
        <v>466</v>
      </c>
      <c r="B24" s="56" t="str">
        <f aca="false">IF(COUNTIF(B4:B22,"FAIL")&gt;0,"FAIL",IF(COUNTIF(B4:B22,"WARN")&gt;0,"PASS WITH WARNINGS","PASS"))</f>
        <v>PASS</v>
      </c>
      <c r="C24" s="111"/>
    </row>
  </sheetData>
  <conditionalFormatting sqref="B4:B24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2026-10-21T09:42:10Z</dcterms:created>
  <dc:creator/>
  <dc:description/>
  <dc:language>en-US</dc:language>
  <cp:lastModifiedBy/>
  <dcterms:modified xsi:type="dcterms:W3CDTF">2026-10-21T09:42:11Z</dcterms:modified>
  <cp:revision>0</cp:revision>
  <dc:subject/>
  <dc:title>Hair salon financial model (planning)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