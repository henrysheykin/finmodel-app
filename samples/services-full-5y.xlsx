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<sst xmlns="http://schemas.openxmlformats.org/spreadsheetml/2006/main" count="753" uniqueCount="465">
  <si>
    <t xml:space="preserve">Professional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</si>
  <si>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</si>
  <si>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</si>
  <si>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</si>
  <si>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</si>
  <si>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</si>
  <si>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</si>
  <si>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</si>
  <si>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</si>
  <si>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</si>
  <si>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</si>
  <si>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</si>
  <si>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</si>
  <si>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</si>
  <si>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</si>
  <si>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</si>
  <si>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</si>
  <si>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</si>
  <si>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</si>
  <si>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</si>
  <si>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</si>
  <si>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</si>
  <si>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</si>
  <si>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</si>
  <si>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</si>
  <si>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</si>
  <si>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</si>
  <si>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</si>
  <si>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</si>
  <si>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</si>
  <si>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</si>
  <si>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</si>
  <si>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</si>
  <si>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</si>
  <si>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</si>
  <si>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</si>
  <si>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</si>
  <si>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</si>
  <si>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</si>
  <si>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</si>
  <si>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</si>
  <si>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</si>
  <si>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</si>
  <si>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</si>
  <si>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</si>
  <si>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</si>
  <si>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</si>
  <si>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</si>
  <si>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</si>
  <si>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</si>
  <si>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</si>
  <si>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</si>
  <si>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</si>
  <si>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</si>
  <si>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</si>
  <si>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Services metrics</t>
  </si>
  <si>
    <t xml:space="preserve">Billable hours</t>
  </si>
  <si>
    <t xml:space="preserve">Utilisation of billable employees</t>
  </si>
  <si>
    <t xml:space="preserve">Effective rate per billable hour</t>
  </si>
  <si>
    <t xml:space="preserve">Revenue per billable FTE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</si>
  <si>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</si>
  <si>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</si>
  <si>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</si>
  <si>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</si>
  <si>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</si>
  <si>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</si>
  <si>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</si>
  <si>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</si>
  <si>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</si>
  <si>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</si>
  <si>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</si>
  <si>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</si>
  <si>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</si>
  <si>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</si>
  <si>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</si>
  <si>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</si>
  <si>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</si>
  <si>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</si>
  <si>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</si>
  <si>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</si>
  <si>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</si>
  <si>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</si>
  <si>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</si>
  <si>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</si>
  <si>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</si>
  <si>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</si>
  <si>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</si>
  <si>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</si>
  <si>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</si>
  <si>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</si>
  <si>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</si>
  <si>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</si>
  <si>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</si>
  <si>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</si>
  <si>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</si>
  <si>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</si>
  <si>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</si>
  <si>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</si>
  <si>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</si>
  <si>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</si>
  <si>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</si>
  <si>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</si>
  <si>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</si>
  <si>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</si>
  <si>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</si>
  <si>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</si>
  <si>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</si>
  <si>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</si>
  <si>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</si>
  <si>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</si>
  <si>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</si>
  <si>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</si>
  <si>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</si>
  <si>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</si>
  <si>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</si>
  <si>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</si>
  <si>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</si>
  <si>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</si>
  <si>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</si>
  <si>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</si>
  <si>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</si>
  <si>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</si>
  <si>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</si>
  <si>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</si>
  <si>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</si>
  <si>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</si>
  <si>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</si>
  <si>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</si>
  <si>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</si>
  <si>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</si>
  <si>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</si>
  <si>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</si>
  <si>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</si>
  <si>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</si>
  <si>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</si>
  <si>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</si>
  <si>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</si>
  <si>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</si>
  <si>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</si>
  <si>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</si>
  <si>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</si>
  <si>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</si>
  <si>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</si>
  <si>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</si>
  <si>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</si>
  <si>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</si>
  <si>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</si>
  <si>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</si>
  <si>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</si>
  <si>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</si>
  <si>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</si>
  <si>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</si>
  <si>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</si>
  <si>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</si>
  <si>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</si>
  <si>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</si>
  <si>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</si>
  <si>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</si>
  <si>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</si>
  <si>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</si>
  <si>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</si>
  <si>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</si>
  <si>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</si>
  <si>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</si>
  <si>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</si>
  <si>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</si>
  <si>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</si>
  <si>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</si>
  <si>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</si>
  <si>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</si>
  <si>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</si>
  <si>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</si>
  <si>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</si>
  <si>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</si>
  <si>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</si>
  <si>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</si>
  <si>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</si>
  <si>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</si>
  <si>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</si>
  <si>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</si>
  <si>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</si>
  <si>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</si>
  <si>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</si>
  <si>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</si>
  <si>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Professional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</si>
  <si>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</si>
  <si>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</si>
  <si>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</si>
  <si>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</si>
  <si>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</si>
  <si>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</si>
  <si>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</si>
  <si>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</si>
  <si>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</si>
  <si>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</si>
  <si>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</si>
  <si>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</si>
  <si>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</si>
  <si>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</si>
  <si>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</si>
  <si>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Services metrics ($'000; per-unit rows in $)</t>
  </si>
  <si>
    <t xml:space="preserve">Billable employees (FTE, year end)</t>
  </si>
  <si>
    <t xml:space="preserve">Billable hours — employees</t>
  </si>
  <si>
    <t xml:space="preserve">Billable hours — contractors</t>
  </si>
  <si>
    <t xml:space="preserve">Available hours — billable employees</t>
  </si>
  <si>
    <t xml:space="preserve">Contractor share of billable hours</t>
  </si>
  <si>
    <t xml:space="preserve">Fees at rate card</t>
  </si>
  <si>
    <t xml:space="preserve">Fee revenue</t>
  </si>
  <si>
    <t xml:space="preserve">Retainer fees</t>
  </si>
  <si>
    <t xml:space="preserve">Retainer share of revenue</t>
  </si>
  <si>
    <t xml:space="preserve">Realisation vs rate card (all work)</t>
  </si>
  <si>
    <t xml:space="preserve">Effective rate per billable hour ($)</t>
  </si>
  <si>
    <t xml:space="preserve">Revenue per billable FTE (year-end FTE)</t>
  </si>
  <si>
    <t xml:space="preserve">Billable staff payroll</t>
  </si>
  <si>
    <t xml:space="preserve">Contractor cost</t>
  </si>
  <si>
    <t xml:space="preserve">Employee cost per billable hour ($)</t>
  </si>
  <si>
    <t xml:space="preserve">Contractor cost per billable hour ($)</t>
  </si>
  <si>
    <t xml:space="preserve">Gross profit (delivery margin)</t>
  </si>
  <si>
    <t xml:space="preserve">Receivables (year end)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</si>
  <si>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</si>
  <si>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</si>
  <si>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</si>
  <si>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</si>
  <si>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</si>
  <si>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</si>
  <si>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</si>
  <si>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</si>
  <si>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</si>
  <si>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Billable capacity</t>
  </si>
  <si>
    <t xml:space="preserve">Available hours per billable FTE per year</t>
  </si>
  <si>
    <t xml:space="preserve">hours</t>
  </si>
  <si>
    <t xml:space="preserve">Utilisation — partners &amp; senior consultants</t>
  </si>
  <si>
    <t xml:space="preserve">%</t>
  </si>
  <si>
    <t xml:space="preserve">Low ≤ Base ≤ High</t>
  </si>
  <si>
    <t xml:space="preserve">Utilisation — consultants</t>
  </si>
  <si>
    <t xml:space="preserve">Contractor billable hours per month (year 1)</t>
  </si>
  <si>
    <t xml:space="preserve">Contractor hours growth per year</t>
  </si>
  <si>
    <t xml:space="preserve">Rate card</t>
  </si>
  <si>
    <t xml:space="preserve">Hourly rate — partners &amp; senior consultants</t>
  </si>
  <si>
    <t xml:space="preserve">$ / hour</t>
  </si>
  <si>
    <t xml:space="preserve">Hourly rate — consultants</t>
  </si>
  <si>
    <t xml:space="preserve">Hourly rate billed for contractor hours</t>
  </si>
  <si>
    <t xml:space="preserve">Rate card increase per year</t>
  </si>
  <si>
    <t xml:space="preserve">Retainer vs project</t>
  </si>
  <si>
    <t xml:space="preserve">Share of billable hours under retainers</t>
  </si>
  <si>
    <t xml:space="preserve">Retainer discount vs rate card</t>
  </si>
  <si>
    <t xml:space="preserve">Low ≥ Base ≥ High (lower is better)</t>
  </si>
  <si>
    <t xml:space="preserve">Project realisation (billed ÷ rate-card value)</t>
  </si>
  <si>
    <t xml:space="preserve">Costs</t>
  </si>
  <si>
    <t xml:space="preserve">Contractor cost per hour (year 1)</t>
  </si>
  <si>
    <t xml:space="preserve">Non-rebillable delivery costs, % of fees</t>
  </si>
  <si>
    <t xml:space="preserve">Software &amp; tools per FTE per month</t>
  </si>
  <si>
    <t xml:space="preserve">$</t>
  </si>
  <si>
    <t xml:space="preserve">Marketing &amp; business development per month</t>
  </si>
  <si>
    <t xml:space="preserve">Office &amp; rent per month</t>
  </si>
  <si>
    <t xml:space="preserve">Other G&amp;A per month (insurance, legal, accounting)</t>
  </si>
  <si>
    <t xml:space="preserve">Start-up capex (equipment, fit-out)</t>
  </si>
  <si>
    <t xml:space="preserve">Headcount</t>
  </si>
  <si>
    <t xml:space="preserve">Partners &amp; senior consultants: headcount (FTE)</t>
  </si>
  <si>
    <t xml:space="preserve">FTE</t>
  </si>
  <si>
    <t xml:space="preserve">Partners &amp; senior consultants: salary per FTE per year</t>
  </si>
  <si>
    <t xml:space="preserve">Partners &amp; senior consultants: headcount growth per year</t>
  </si>
  <si>
    <t xml:space="preserve">Partners &amp; senior consultants: first month on payroll</t>
  </si>
  <si>
    <t xml:space="preserve">month #</t>
  </si>
  <si>
    <t xml:space="preserve">Consultants: headcount (FTE)</t>
  </si>
  <si>
    <t xml:space="preserve">Consultants: salary per FTE per year</t>
  </si>
  <si>
    <t xml:space="preserve">Consultants: headcount growth per year</t>
  </si>
  <si>
    <t xml:space="preserve">Consultants: first month on payroll</t>
  </si>
  <si>
    <t xml:space="preserve">Business development: headcount (FTE)</t>
  </si>
  <si>
    <t xml:space="preserve">Business development: salary per FTE per year</t>
  </si>
  <si>
    <t xml:space="preserve">Business development: headcount growth per year</t>
  </si>
  <si>
    <t xml:space="preserve">Business development: first month on payroll</t>
  </si>
  <si>
    <t xml:space="preserve">Operations &amp; admin: headcount (FTE)</t>
  </si>
  <si>
    <t xml:space="preserve">Operations &amp; admin: salary per FTE per year</t>
  </si>
  <si>
    <t xml:space="preserve">Operations &amp; admin: headcount growth per year</t>
  </si>
  <si>
    <t xml:space="preserve">Operations &amp; admin: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</si>
  <si>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</si>
  <si>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</si>
  <si>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</si>
  <si>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</si>
  <si>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</si>
  <si>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</si>
  <si>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</si>
  <si>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</si>
  <si>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</si>
  <si>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</si>
  <si>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</si>
  <si>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</si>
  <si>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</si>
  <si>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</si>
  <si>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</si>
  <si>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</si>
  <si>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</si>
  <si>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</si>
  <si>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</si>
  <si>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</si>
  <si>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</si>
  <si>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</si>
  <si>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</si>
  <si>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</si>
  <si>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</si>
  <si>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Non-billable payroll</t>
  </si>
  <si>
    <t xml:space="preserve">Marketing &amp; business development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</si>
  <si>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</si>
  <si>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</si>
  <si>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</si>
  <si>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</si>
  <si>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</si>
  <si>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</si>
  <si>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</si>
  <si>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</si>
  <si>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</si>
  <si>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</si>
  <si>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</si>
  <si>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</si>
  <si>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</si>
  <si>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</si>
  <si>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</si>
  <si>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</si>
  <si>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</si>
  <si>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</si>
  <si>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</si>
  <si>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</si>
  <si>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</si>
  <si>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</si>
  <si>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</si>
  <si>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</si>
  <si>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</si>
  <si>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</si>
  <si>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</si>
  <si>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</si>
  <si>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</si>
  <si>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</si>
  <si>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</si>
  <si>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</si>
  <si>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</si>
  <si>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</si>
  <si>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</si>
  <si>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</si>
  <si>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</si>
  <si>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</si>
  <si>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</si>
  <si>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</si>
  <si>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</si>
  <si>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</si>
  <si>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</si>
  <si>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</si>
  <si>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</si>
  <si>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</si>
  <si>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</si>
  <si>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</si>
  <si>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</si>
  <si>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</si>
  <si>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</si>
  <si>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</si>
  <si>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</si>
  <si>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</si>
  <si>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</si>
  <si>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</si>
  <si>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</si>
  <si>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</si>
  <si>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</si>
  <si>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</si>
  <si>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</si>
  <si>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</si>
  <si>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</si>
  <si>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</si>
  <si>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</si>
  <si>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</si>
  <si>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</si>
  <si>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</si>
  <si>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</si>
  <si>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</si>
  <si>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</si>
  <si>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</si>
  <si>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</si>
  <si>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Billable employees (FTE)</t>
  </si>
  <si>
    <t xml:space="preserve">Billable hours — partners &amp; senior</t>
  </si>
  <si>
    <t xml:space="preserve">Billable hours — consultants</t>
  </si>
  <si>
    <t xml:space="preserve">Billable hours — total</t>
  </si>
  <si>
    <t xml:space="preserve">Fees</t>
  </si>
  <si>
    <t xml:space="preserve">Rate — partners &amp; senior</t>
  </si>
  <si>
    <t xml:space="preserve">Rate — consultants</t>
  </si>
  <si>
    <t xml:space="preserve">Rate — contractor hours</t>
  </si>
  <si>
    <t xml:space="preserve">Project fees</t>
  </si>
  <si>
    <t xml:space="preserve">Non-rebillable delivery costs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</si>
  <si>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</si>
  <si>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</si>
  <si>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</si>
  <si>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</si>
  <si>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</si>
  <si>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</si>
  <si>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</si>
  <si>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</si>
  <si>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</si>
  <si>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</si>
  <si>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</si>
  <si>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</si>
  <si>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</si>
  <si>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</si>
  <si>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</si>
  <si>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</si>
  <si>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</si>
  <si>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</si>
  <si>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</si>
  <si>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</si>
  <si>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</si>
  <si>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</si>
  <si>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</si>
  <si>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</si>
  <si>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</si>
  <si>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Partners &amp; senior consultants — FTE</t>
  </si>
  <si>
    <t xml:space="preserve">Consultants — FTE</t>
  </si>
  <si>
    <t xml:space="preserve">Business development — FTE</t>
  </si>
  <si>
    <t xml:space="preserve">Operations &amp; admin — FTE</t>
  </si>
  <si>
    <t xml:space="preserve">Total FTE</t>
  </si>
  <si>
    <t xml:space="preserve">Payroll cost (salary + taxes &amp; benefits)</t>
  </si>
  <si>
    <t xml:space="preserve">Partners &amp; senior consultants — payroll cost</t>
  </si>
  <si>
    <t xml:space="preserve">Consultants — payroll cost</t>
  </si>
  <si>
    <t xml:space="preserve">Business development — payroll cost</t>
  </si>
  <si>
    <t xml:space="preserve">Operations &amp; admin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</si>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</sst>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.0;\(#,##0.0\);\-"/>
    <numFmt numFmtId="190" formatCode="#,##0;\(#,##0\);\-"/>
    <numFmt numFmtId="191" formatCode="\$#,##0.00;&quot;($&quot;#,##0.00\);\-"/>
    <numFmt numFmtId="192" formatCode="\$#,##0.00"/>
    <numFmt numFmtId="193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  <c:pt idx="3">
                  <c:v>2851517.23302332</c:v>
                </c:pt>
                <c:pt idx="4">
                  <c:v>3886476.29151786</c:v>
                </c:pt>
              </c:numCache>
            </c:numRef>
          </c:val>
        </c:ser>
        <c:gapWidth val="60"/>
        <c:overlap val="0"/>
        <c:axId val="26883723"/>
        <c:axId val="67456282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008809"/>
        <c:axId val="20184629"/>
      </c:lineChart>
      <c:catAx>
        <c:axId val="268837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456282"/>
        <c:crosses val="autoZero"/>
        <c:auto val="1"/>
        <c:lblAlgn val="ctr"/>
        <c:lblOffset val="100"/>
        <c:noMultiLvlLbl val="0"/>
      </c:catAx>
      <c:valAx>
        <c:axId val="674562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883723"/>
        <c:crosses val="autoZero"/>
        <c:crossBetween val="between"/>
      </c:valAx>
      <c:catAx>
        <c:axId val="4100880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184629"/>
        <c:crosses val="autoZero"/>
        <c:auto val="1"/>
        <c:lblAlgn val="ctr"/>
        <c:lblOffset val="100"/>
        <c:noMultiLvlLbl val="0"/>
      </c:catAx>
      <c:valAx>
        <c:axId val="2018462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0880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370279.780711111</c:v>
                </c:pt>
                <c:pt idx="1">
                  <c:v>1036820.38418694</c:v>
                </c:pt>
                <c:pt idx="2">
                  <c:v>1460260.45759368</c:v>
                </c:pt>
                <c:pt idx="3">
                  <c:v>2023723.37283328</c:v>
                </c:pt>
                <c:pt idx="4">
                  <c:v>2773718.704392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463333.333333333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gapWidth val="60"/>
        <c:overlap val="0"/>
        <c:axId val="39286593"/>
        <c:axId val="69336075"/>
      </c:barChart>
      <c:catAx>
        <c:axId val="392865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336075"/>
        <c:crosses val="autoZero"/>
        <c:auto val="1"/>
        <c:lblAlgn val="ctr"/>
        <c:lblOffset val="100"/>
        <c:noMultiLvlLbl val="0"/>
      </c:catAx>
      <c:valAx>
        <c:axId val="6933607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2865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  <c:pt idx="3">
                  <c:v>5174417.32865833</c:v>
                </c:pt>
                <c:pt idx="4">
                  <c:v>7908136.03305034</c:v>
                </c:pt>
              </c:numCache>
            </c:numRef>
          </c:val>
        </c:ser>
        <c:gapWidth val="60"/>
        <c:overlap val="0"/>
        <c:axId val="18777345"/>
        <c:axId val="53851533"/>
      </c:barChart>
      <c:catAx>
        <c:axId val="187773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851533"/>
        <c:crosses val="autoZero"/>
        <c:auto val="1"/>
        <c:lblAlgn val="ctr"/>
        <c:lblOffset val="100"/>
        <c:noMultiLvlLbl val="0"/>
      </c:catAx>
      <c:valAx>
        <c:axId val="538515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773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Billable hours &amp;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Billable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24960</c:v>
                </c:pt>
                <c:pt idx="1">
                  <c:v>31572</c:v>
                </c:pt>
                <c:pt idx="2">
                  <c:v>39992.4</c:v>
                </c:pt>
                <c:pt idx="3">
                  <c:v>50728.68</c:v>
                </c:pt>
                <c:pt idx="4">
                  <c:v>64433.556</c:v>
                </c:pt>
              </c:numCache>
            </c:numRef>
          </c:val>
        </c:ser>
        <c:gapWidth val="60"/>
        <c:overlap val="0"/>
        <c:axId val="79247534"/>
        <c:axId val="96860253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655301"/>
        <c:axId val="8812355"/>
      </c:lineChart>
      <c:catAx>
        <c:axId val="792475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860253"/>
        <c:crosses val="autoZero"/>
        <c:auto val="1"/>
        <c:lblAlgn val="ctr"/>
        <c:lblOffset val="100"/>
        <c:noMultiLvlLbl val="0"/>
      </c:catAx>
      <c:valAx>
        <c:axId val="968602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247534"/>
        <c:crosses val="autoZero"/>
        <c:crossBetween val="between"/>
      </c:valAx>
      <c:catAx>
        <c:axId val="9165530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12355"/>
        <c:crosses val="autoZero"/>
        <c:auto val="1"/>
        <c:lblAlgn val="ctr"/>
        <c:lblOffset val="100"/>
        <c:noMultiLvlLbl val="0"/>
      </c:catAx>
      <c:valAx>
        <c:axId val="88123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65530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375516</c:v>
                </c:pt>
                <c:pt idx="1">
                  <c:v>375516</c:v>
                </c:pt>
                <c:pt idx="2">
                  <c:v>375516</c:v>
                </c:pt>
                <c:pt idx="3">
                  <c:v>375516</c:v>
                </c:pt>
                <c:pt idx="4">
                  <c:v>375516</c:v>
                </c:pt>
                <c:pt idx="5">
                  <c:v>375516</c:v>
                </c:pt>
                <c:pt idx="6">
                  <c:v>375516</c:v>
                </c:pt>
                <c:pt idx="7">
                  <c:v>375516</c:v>
                </c:pt>
                <c:pt idx="8">
                  <c:v>375516</c:v>
                </c:pt>
                <c:pt idx="9">
                  <c:v>375516</c:v>
                </c:pt>
                <c:pt idx="10">
                  <c:v>375516</c:v>
                </c:pt>
                <c:pt idx="11">
                  <c:v>375516</c:v>
                </c:pt>
              </c:numCache>
            </c:numRef>
          </c:val>
        </c:ser>
        <c:gapWidth val="60"/>
        <c:overlap val="0"/>
        <c:axId val="7894574"/>
        <c:axId val="9060352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87550.52</c:v>
                </c:pt>
                <c:pt idx="1">
                  <c:v>87550.52</c:v>
                </c:pt>
                <c:pt idx="2">
                  <c:v>87550.52</c:v>
                </c:pt>
                <c:pt idx="3">
                  <c:v>87550.52</c:v>
                </c:pt>
                <c:pt idx="4">
                  <c:v>87550.52</c:v>
                </c:pt>
                <c:pt idx="5">
                  <c:v>87550.52</c:v>
                </c:pt>
                <c:pt idx="6">
                  <c:v>87550.52</c:v>
                </c:pt>
                <c:pt idx="7">
                  <c:v>87550.52</c:v>
                </c:pt>
                <c:pt idx="8">
                  <c:v>87550.52</c:v>
                </c:pt>
                <c:pt idx="9">
                  <c:v>87550.52</c:v>
                </c:pt>
                <c:pt idx="10">
                  <c:v>87550.52</c:v>
                </c:pt>
                <c:pt idx="11">
                  <c:v>87550.52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67321.5774666667</c:v>
                </c:pt>
                <c:pt idx="1">
                  <c:v>67330.3552444445</c:v>
                </c:pt>
                <c:pt idx="2">
                  <c:v>67347.9108</c:v>
                </c:pt>
                <c:pt idx="3">
                  <c:v>67365.4663555556</c:v>
                </c:pt>
                <c:pt idx="4">
                  <c:v>67383.0219111111</c:v>
                </c:pt>
                <c:pt idx="5">
                  <c:v>67400.5774666667</c:v>
                </c:pt>
                <c:pt idx="6">
                  <c:v>67418.1330222222</c:v>
                </c:pt>
                <c:pt idx="7">
                  <c:v>67435.6885777778</c:v>
                </c:pt>
                <c:pt idx="8">
                  <c:v>67453.2441333333</c:v>
                </c:pt>
                <c:pt idx="9">
                  <c:v>67470.7996888889</c:v>
                </c:pt>
                <c:pt idx="10">
                  <c:v>67488.3552444444</c:v>
                </c:pt>
                <c:pt idx="11">
                  <c:v>67505.9108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94574"/>
        <c:axId val="90603527"/>
      </c:lineChart>
      <c:catAx>
        <c:axId val="789457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603527"/>
        <c:crosses val="autoZero"/>
        <c:auto val="1"/>
        <c:lblAlgn val="ctr"/>
        <c:lblOffset val="100"/>
        <c:noMultiLvlLbl val="0"/>
      </c:catAx>
      <c:valAx>
        <c:axId val="906035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945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-382319.682533333</c:v>
                </c:pt>
                <c:pt idx="1">
                  <c:v>68330.3552444445</c:v>
                </c:pt>
                <c:pt idx="2">
                  <c:v>68347.9108</c:v>
                </c:pt>
                <c:pt idx="3">
                  <c:v>68365.4663555556</c:v>
                </c:pt>
                <c:pt idx="4">
                  <c:v>68383.0219111111</c:v>
                </c:pt>
                <c:pt idx="5">
                  <c:v>68400.5774666667</c:v>
                </c:pt>
                <c:pt idx="6">
                  <c:v>68418.1330222222</c:v>
                </c:pt>
                <c:pt idx="7">
                  <c:v>68435.6885777778</c:v>
                </c:pt>
                <c:pt idx="8">
                  <c:v>68453.2441333333</c:v>
                </c:pt>
                <c:pt idx="9">
                  <c:v>68470.7996888889</c:v>
                </c:pt>
                <c:pt idx="10">
                  <c:v>68488.3552444444</c:v>
                </c:pt>
                <c:pt idx="11">
                  <c:v>68505.9108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500000</c:v>
                </c:pt>
                <c:pt idx="1">
                  <c:v>-3333.33333333333</c:v>
                </c:pt>
                <c:pt idx="2">
                  <c:v>-3333.33333333333</c:v>
                </c:pt>
                <c:pt idx="3">
                  <c:v>-3333.33333333333</c:v>
                </c:pt>
                <c:pt idx="4">
                  <c:v>-3333.33333333333</c:v>
                </c:pt>
                <c:pt idx="5">
                  <c:v>-3333.33333333333</c:v>
                </c:pt>
                <c:pt idx="6">
                  <c:v>-3333.33333333333</c:v>
                </c:pt>
                <c:pt idx="7">
                  <c:v>-3333.33333333333</c:v>
                </c:pt>
                <c:pt idx="8">
                  <c:v>-3333.33333333333</c:v>
                </c:pt>
                <c:pt idx="9">
                  <c:v>-3333.33333333333</c:v>
                </c:pt>
                <c:pt idx="10">
                  <c:v>-3333.33333333333</c:v>
                </c:pt>
                <c:pt idx="11">
                  <c:v>-3333.33333333333</c:v>
                </c:pt>
              </c:numCache>
            </c:numRef>
          </c:val>
        </c:ser>
        <c:gapWidth val="60"/>
        <c:overlap val="0"/>
        <c:axId val="52749433"/>
        <c:axId val="8422701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332919"/>
        <c:axId val="47741981"/>
      </c:lineChart>
      <c:catAx>
        <c:axId val="5274943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227010"/>
        <c:crosses val="autoZero"/>
        <c:auto val="1"/>
        <c:lblAlgn val="ctr"/>
        <c:lblOffset val="100"/>
        <c:noMultiLvlLbl val="0"/>
      </c:catAx>
      <c:valAx>
        <c:axId val="842270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749433"/>
        <c:crosses val="autoZero"/>
        <c:crossBetween val="between"/>
      </c:valAx>
      <c:catAx>
        <c:axId val="6933291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741981"/>
        <c:crosses val="autoZero"/>
        <c:auto val="1"/>
        <c:lblAlgn val="ctr"/>
        <c:lblOffset val="100"/>
        <c:noMultiLvlLbl val="0"/>
      </c:catAx>
      <c:valAx>
        <c:axId val="4774198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33291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563274</c:v>
                </c:pt>
                <c:pt idx="1">
                  <c:v>563274</c:v>
                </c:pt>
                <c:pt idx="2">
                  <c:v>563274</c:v>
                </c:pt>
                <c:pt idx="3">
                  <c:v>563274</c:v>
                </c:pt>
                <c:pt idx="4">
                  <c:v>563274</c:v>
                </c:pt>
                <c:pt idx="5">
                  <c:v>563274</c:v>
                </c:pt>
                <c:pt idx="6">
                  <c:v>563274</c:v>
                </c:pt>
                <c:pt idx="7">
                  <c:v>563274</c:v>
                </c:pt>
                <c:pt idx="8">
                  <c:v>563274</c:v>
                </c:pt>
                <c:pt idx="9">
                  <c:v>563274</c:v>
                </c:pt>
                <c:pt idx="10">
                  <c:v>563274</c:v>
                </c:pt>
                <c:pt idx="11">
                  <c:v>563274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59000</c:v>
                </c:pt>
                <c:pt idx="1">
                  <c:v>58000</c:v>
                </c:pt>
                <c:pt idx="2">
                  <c:v>57000</c:v>
                </c:pt>
                <c:pt idx="3">
                  <c:v>56000</c:v>
                </c:pt>
                <c:pt idx="4">
                  <c:v>55000</c:v>
                </c:pt>
                <c:pt idx="5">
                  <c:v>54000</c:v>
                </c:pt>
                <c:pt idx="6">
                  <c:v>53000</c:v>
                </c:pt>
                <c:pt idx="7">
                  <c:v>52000</c:v>
                </c:pt>
                <c:pt idx="8">
                  <c:v>51000</c:v>
                </c:pt>
                <c:pt idx="9">
                  <c:v>50000</c:v>
                </c:pt>
                <c:pt idx="10">
                  <c:v>49000</c:v>
                </c:pt>
                <c:pt idx="11">
                  <c:v>48000</c:v>
                </c:pt>
              </c:numCache>
            </c:numRef>
          </c:val>
        </c:ser>
        <c:gapWidth val="60"/>
        <c:overlap val="100"/>
        <c:axId val="8654281"/>
        <c:axId val="6711755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367321.577466667</c:v>
                </c:pt>
                <c:pt idx="1">
                  <c:v>434651.932711111</c:v>
                </c:pt>
                <c:pt idx="2">
                  <c:v>501999.843511111</c:v>
                </c:pt>
                <c:pt idx="3">
                  <c:v>569365.309866667</c:v>
                </c:pt>
                <c:pt idx="4">
                  <c:v>636748.331777778</c:v>
                </c:pt>
                <c:pt idx="5">
                  <c:v>704148.909244445</c:v>
                </c:pt>
                <c:pt idx="6">
                  <c:v>771567.042266667</c:v>
                </c:pt>
                <c:pt idx="7">
                  <c:v>839002.730844444</c:v>
                </c:pt>
                <c:pt idx="8">
                  <c:v>906455.974977778</c:v>
                </c:pt>
                <c:pt idx="9">
                  <c:v>973926.774666667</c:v>
                </c:pt>
                <c:pt idx="10">
                  <c:v>1041415.12991111</c:v>
                </c:pt>
                <c:pt idx="11">
                  <c:v>1108921.04071111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54281"/>
        <c:axId val="67117557"/>
      </c:lineChart>
      <c:catAx>
        <c:axId val="865428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17557"/>
        <c:crosses val="autoZero"/>
        <c:auto val="1"/>
        <c:lblAlgn val="ctr"/>
        <c:lblOffset val="100"/>
        <c:noMultiLvlLbl val="0"/>
      </c:catAx>
      <c:valAx>
        <c:axId val="671175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42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</c:v>
                </c:pt>
                <c:pt idx="1">
                  <c:v>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60000</c:v>
                </c:pt>
                <c:pt idx="2">
                  <c:v>36666.6666666667</c:v>
                </c:pt>
                <c:pt idx="3">
                  <c:v>773613.114044444</c:v>
                </c:pt>
              </c:numCache>
            </c:numRef>
          </c:val>
        </c:ser>
        <c:gapWidth val="60"/>
        <c:overlap val="0"/>
        <c:axId val="30228420"/>
        <c:axId val="7643952"/>
      </c:barChart>
      <c:catAx>
        <c:axId val="302284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43952"/>
        <c:crosses val="autoZero"/>
        <c:auto val="1"/>
        <c:lblAlgn val="ctr"/>
        <c:lblOffset val="100"/>
        <c:noMultiLvlLbl val="0"/>
      </c:catAx>
      <c:valAx>
        <c:axId val="76439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228420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0.400117491664803</c:v>
                </c:pt>
                <c:pt idx="1">
                  <c:v>0.401978468552956</c:v>
                </c:pt>
                <c:pt idx="2">
                  <c:v>0.403811893966318</c:v>
                </c:pt>
                <c:pt idx="3">
                  <c:v>0.405612646021017</c:v>
                </c:pt>
                <c:pt idx="4">
                  <c:v>0.407375988584029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0.179513221076934</c:v>
                </c:pt>
                <c:pt idx="1">
                  <c:v>0.198468809641143</c:v>
                </c:pt>
                <c:pt idx="2">
                  <c:v>0.214320241641494</c:v>
                </c:pt>
                <c:pt idx="3">
                  <c:v>0.227706357910878</c:v>
                </c:pt>
                <c:pt idx="4">
                  <c:v>0.239126695774185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612801"/>
        <c:axId val="58583120"/>
      </c:lineChart>
      <c:catAx>
        <c:axId val="816128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583120"/>
        <c:crosses val="autoZero"/>
        <c:auto val="1"/>
        <c:lblAlgn val="ctr"/>
        <c:lblOffset val="100"/>
        <c:noMultiLvlLbl val="0"/>
      </c:catAx>
      <c:valAx>
        <c:axId val="585831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6128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0.584106121363731</c:v>
                </c:pt>
                <c:pt idx="1">
                  <c:v>0.45673854754892</c:v>
                </c:pt>
                <c:pt idx="2">
                  <c:v>0.389906015775241</c:v>
                </c:pt>
                <c:pt idx="3">
                  <c:v>0.349024520989867</c:v>
                </c:pt>
                <c:pt idx="4">
                  <c:v>0.32178832917865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0.729466761846614</c:v>
                </c:pt>
                <c:pt idx="1">
                  <c:v>0.510880349310709</c:v>
                </c:pt>
                <c:pt idx="2">
                  <c:v>0.41711008565793</c:v>
                </c:pt>
                <c:pt idx="3">
                  <c:v>0.36536184162468</c:v>
                </c:pt>
                <c:pt idx="4">
                  <c:v>0.332969121336625</c:v>
                </c:pt>
              </c:numCache>
            </c:numRef>
          </c:val>
        </c:ser>
        <c:gapWidth val="60"/>
        <c:overlap val="0"/>
        <c:axId val="32766804"/>
        <c:axId val="15924811"/>
      </c:barChart>
      <c:catAx>
        <c:axId val="327668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24811"/>
        <c:crosses val="autoZero"/>
        <c:auto val="1"/>
        <c:lblAlgn val="ctr"/>
        <c:lblOffset val="100"/>
        <c:noMultiLvlLbl val="0"/>
      </c:catAx>
      <c:valAx>
        <c:axId val="159248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7668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Effective rate and realisation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KPIs!$A$41</c:f>
              <c:strCache>
                <c:ptCount val="1"/>
                <c:pt idx="0">
                  <c:v>Effective rate per billable hour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\$#,##0.00;"($"#,##0.00\);\-</c:formatCode>
                <c:ptCount val="5"/>
                <c:pt idx="0">
                  <c:v>180.536538461538</c:v>
                </c:pt>
                <c:pt idx="1">
                  <c:v>184.846125427594</c:v>
                </c:pt>
                <c:pt idx="2">
                  <c:v>189.281864445045</c:v>
                </c:pt>
                <c:pt idx="3">
                  <c:v>193.850649174095</c:v>
                </c:pt>
                <c:pt idx="4">
                  <c:v>198.55949006257</c:v>
                </c:pt>
              </c:numCache>
            </c:numRef>
          </c:val>
        </c:ser>
        <c:gapWidth val="60"/>
        <c:overlap val="0"/>
        <c:axId val="30902172"/>
        <c:axId val="52033221"/>
      </c:barChart>
      <c:lineChart>
        <c:grouping val="standard"/>
        <c:varyColors val="0"/>
        <c:ser>
          <c:idx val="1"/>
          <c:order val="1"/>
          <c:tx>
            <c:strRef>
              <c:f>KPIs!$A$40</c:f>
              <c:strCache>
                <c:ptCount val="1"/>
                <c:pt idx="0">
                  <c:v>Realisation vs rate card (all work)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0.0%;\(0.0%\);\-</c:formatCode>
                <c:ptCount val="5"/>
                <c:pt idx="0">
                  <c:v>0.912</c:v>
                </c:pt>
                <c:pt idx="1">
                  <c:v>0.912</c:v>
                </c:pt>
                <c:pt idx="2">
                  <c:v>0.912</c:v>
                </c:pt>
                <c:pt idx="3">
                  <c:v>0.912</c:v>
                </c:pt>
                <c:pt idx="4">
                  <c:v>0.912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938842"/>
        <c:axId val="33135119"/>
      </c:lineChart>
      <c:catAx>
        <c:axId val="309021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033221"/>
        <c:crosses val="autoZero"/>
        <c:auto val="1"/>
        <c:lblAlgn val="ctr"/>
        <c:lblOffset val="100"/>
        <c:noMultiLvlLbl val="0"/>
      </c:catAx>
      <c:valAx>
        <c:axId val="520332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902172"/>
        <c:crosses val="autoZero"/>
        <c:crossBetween val="between"/>
      </c:valAx>
      <c:catAx>
        <c:axId val="5193884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35119"/>
        <c:crosses val="autoZero"/>
        <c:auto val="1"/>
        <c:lblAlgn val="ctr"/>
        <c:lblOffset val="100"/>
        <c:noMultiLvlLbl val="0"/>
      </c:catAx>
      <c:valAx>
        <c:axId val="3313511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93884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per billable FTE and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Revenue per billable FTE (year-end FTE)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281637</c:v>
                </c:pt>
                <c:pt idx="1">
                  <c:v>286076.562352941</c:v>
                </c:pt>
                <c:pt idx="2">
                  <c:v>290700.308588018</c:v>
                </c:pt>
                <c:pt idx="3">
                  <c:v>295521.924201975</c:v>
                </c:pt>
                <c:pt idx="4">
                  <c:v>300554.741687999</c:v>
                </c:pt>
              </c:numCache>
            </c:numRef>
          </c:val>
        </c:ser>
        <c:gapWidth val="60"/>
        <c:overlap val="0"/>
        <c:axId val="30968053"/>
        <c:axId val="19891032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60670"/>
        <c:axId val="2005734"/>
      </c:lineChart>
      <c:catAx>
        <c:axId val="309680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91032"/>
        <c:crosses val="autoZero"/>
        <c:auto val="1"/>
        <c:lblAlgn val="ctr"/>
        <c:lblOffset val="100"/>
        <c:noMultiLvlLbl val="0"/>
      </c:catAx>
      <c:valAx>
        <c:axId val="198910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968053"/>
        <c:crosses val="autoZero"/>
        <c:crossBetween val="between"/>
      </c:valAx>
      <c:catAx>
        <c:axId val="996067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05734"/>
        <c:crosses val="autoZero"/>
        <c:auto val="1"/>
        <c:lblAlgn val="ctr"/>
        <c:lblOffset val="100"/>
        <c:noMultiLvlLbl val="0"/>
      </c:catAx>
      <c:valAx>
        <c:axId val="200573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6067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12793894.0222781</v>
      </c>
      <c r="B7" s="25"/>
      <c r="C7" s="26" t="n">
        <f aca="false">F17</f>
        <v>0.303775870329262</v>
      </c>
      <c r="D7" s="26"/>
      <c r="E7" s="26"/>
      <c r="F7" s="26"/>
      <c r="H7" s="25" t="n">
        <f aca="false">F18</f>
        <v>3059361.60363244</v>
      </c>
      <c r="I7" s="25"/>
      <c r="J7" s="25"/>
      <c r="K7" s="25"/>
      <c r="L7" s="25" t="n">
        <f aca="false">F39</f>
        <v>57680.3174666667</v>
      </c>
      <c r="M7" s="25"/>
      <c r="N7" s="25"/>
      <c r="O7" s="25"/>
      <c r="P7" s="25" t="n">
        <f aca="false">F37</f>
        <v>630319.682533333</v>
      </c>
      <c r="Q7" s="25"/>
      <c r="R7" s="25"/>
      <c r="S7" s="25"/>
      <c r="T7" s="25" t="n">
        <f aca="false">F44</f>
        <v>14337566.9347983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0.298070452003454</v>
      </c>
      <c r="B8" s="27"/>
      <c r="C8" s="28" t="n">
        <f aca="false">F16</f>
        <v>3886476.29151786</v>
      </c>
      <c r="D8" s="28"/>
      <c r="E8" s="28"/>
      <c r="F8" s="28"/>
      <c r="H8" s="29" t="n">
        <f aca="false">F19</f>
        <v>0.239126695774185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130319.682533333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SUMIF(Monthly!$C$5:$BJ$5,B$11,Monthly!$C$22:$BJ$22)</f>
        <v>4506192</v>
      </c>
      <c r="C12" s="35" t="n">
        <f aca="false">SUMIF(Monthly!$C$5:$BJ$5,C$11,Monthly!$C$22:$BJ$22)</f>
        <v>5835961.872</v>
      </c>
      <c r="D12" s="35" t="n">
        <f aca="false">SUMIF(Monthly!$C$5:$BJ$5,D$11,Monthly!$C$22:$BJ$22)</f>
        <v>7569836.035632</v>
      </c>
      <c r="E12" s="35" t="n">
        <f aca="false">SUMIF(Monthly!$C$5:$BJ$5,E$11,Monthly!$C$22:$BJ$22)</f>
        <v>9833787.54974491</v>
      </c>
      <c r="F12" s="35" t="n">
        <f aca="false">SUMIF(Monthly!$C$5:$BJ$5,F$11,Monthly!$C$22:$BJ$22)</f>
        <v>12793894.0222781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SUMIF(Monthly!$C$5:$BJ$5,B$11,Monthly!$C$29:$BJ$29)</f>
        <v>1803006.24</v>
      </c>
      <c r="C13" s="37" t="n">
        <f aca="false">SUMIF(Monthly!$C$5:$BJ$5,C$11,Monthly!$C$29:$BJ$29)</f>
        <v>2345931.01584</v>
      </c>
      <c r="D13" s="37" t="n">
        <f aca="false">SUMIF(Monthly!$C$5:$BJ$5,D$11,Monthly!$C$29:$BJ$29)</f>
        <v>3056789.82656304</v>
      </c>
      <c r="E13" s="37" t="n">
        <f aca="false">SUMIF(Monthly!$C$5:$BJ$5,E$11,Monthly!$C$29:$BJ$29)</f>
        <v>3988708.58846056</v>
      </c>
      <c r="F13" s="37" t="n">
        <f aca="false">SUMIF(Monthly!$C$5:$BJ$5,F$11,Monthly!$C$29:$BJ$29)</f>
        <v>5211925.22516482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0.400117491664803</v>
      </c>
      <c r="C14" s="39" t="n">
        <f aca="false">IF(C12=0,0,C13/C12)</f>
        <v>0.401978468552956</v>
      </c>
      <c r="D14" s="39" t="n">
        <f aca="false">IF(D12=0,0,D13/D12)</f>
        <v>0.403811893966318</v>
      </c>
      <c r="E14" s="39" t="n">
        <f aca="false">IF(E12=0,0,E13/E12)</f>
        <v>0.405612646021017</v>
      </c>
      <c r="F14" s="39" t="n">
        <f aca="false">IF(F12=0,0,F13/F12)</f>
        <v>0.407375988584029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SUMIF(Monthly!$C$5:$BJ$5,B$11,Monthly!$C$37:$BJ$37)</f>
        <v>-752400</v>
      </c>
      <c r="C15" s="35" t="n">
        <f aca="false">SUMIF(Monthly!$C$5:$BJ$5,C$11,Monthly!$C$37:$BJ$37)</f>
        <v>-856317</v>
      </c>
      <c r="D15" s="35" t="n">
        <f aca="false">SUMIF(Monthly!$C$5:$BJ$5,D$11,Monthly!$C$37:$BJ$37)</f>
        <v>-982891.4025</v>
      </c>
      <c r="E15" s="35" t="n">
        <f aca="false">SUMIF(Monthly!$C$5:$BJ$5,E$11,Monthly!$C$37:$BJ$37)</f>
        <v>-1137191.35543725</v>
      </c>
      <c r="F15" s="35" t="n">
        <f aca="false">SUMIF(Monthly!$C$5:$BJ$5,F$11,Monthly!$C$37:$BJ$37)</f>
        <v>-1325448.93364696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SUMIF(Monthly!$C$5:$BJ$5,B$11,Monthly!$C$38:$BJ$38)</f>
        <v>1050606.24</v>
      </c>
      <c r="C16" s="37" t="n">
        <f aca="false">SUMIF(Monthly!$C$5:$BJ$5,C$11,Monthly!$C$38:$BJ$38)</f>
        <v>1489614.01584</v>
      </c>
      <c r="D16" s="37" t="n">
        <f aca="false">SUMIF(Monthly!$C$5:$BJ$5,D$11,Monthly!$C$38:$BJ$38)</f>
        <v>2073898.42406304</v>
      </c>
      <c r="E16" s="37" t="n">
        <f aca="false">SUMIF(Monthly!$C$5:$BJ$5,E$11,Monthly!$C$38:$BJ$38)</f>
        <v>2851517.23302332</v>
      </c>
      <c r="F16" s="37" t="n">
        <f aca="false">SUMIF(Monthly!$C$5:$BJ$5,F$11,Monthly!$C$38:$BJ$38)</f>
        <v>3886476.29151786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0.23314724272734</v>
      </c>
      <c r="C17" s="39" t="n">
        <f aca="false">IF(C12=0,0,C16/C12)</f>
        <v>0.255247386551123</v>
      </c>
      <c r="D17" s="39" t="n">
        <f aca="false">IF(D12=0,0,D16/D12)</f>
        <v>0.273968737803697</v>
      </c>
      <c r="E17" s="39" t="n">
        <f aca="false">IF(E12=0,0,E16/E12)</f>
        <v>0.289971409144108</v>
      </c>
      <c r="F17" s="39" t="n">
        <f aca="false">IF(F12=0,0,F16/F12)</f>
        <v>0.303775870329262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SUMIF(Monthly!$C$5:$BJ$5,B$11,Monthly!$C$47:$BJ$47)</f>
        <v>808921.040711111</v>
      </c>
      <c r="C18" s="41" t="n">
        <f aca="false">SUMIF(Monthly!$C$5:$BJ$5,C$11,Monthly!$C$47:$BJ$47)</f>
        <v>1158256.40584694</v>
      </c>
      <c r="D18" s="41" t="n">
        <f aca="false">SUMIF(Monthly!$C$5:$BJ$5,D$11,Monthly!$C$47:$BJ$47)</f>
        <v>1622369.08834314</v>
      </c>
      <c r="E18" s="41" t="n">
        <f aca="false">SUMIF(Monthly!$C$5:$BJ$5,E$11,Monthly!$C$47:$BJ$47)</f>
        <v>2239215.94742175</v>
      </c>
      <c r="F18" s="41" t="n">
        <f aca="false">SUMIF(Monthly!$C$5:$BJ$5,F$11,Monthly!$C$47:$BJ$47)</f>
        <v>3059361.60363244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0.179513221076934</v>
      </c>
      <c r="C19" s="39" t="n">
        <f aca="false">IF(C12=0,0,C18/C12)</f>
        <v>0.198468809641143</v>
      </c>
      <c r="D19" s="39" t="n">
        <f aca="false">IF(D12=0,0,D18/D12)</f>
        <v>0.214320241641494</v>
      </c>
      <c r="E19" s="39" t="n">
        <f aca="false">IF(E12=0,0,E18/E12)</f>
        <v>0.227706357910878</v>
      </c>
      <c r="F19" s="39" t="n">
        <f aca="false">IF(F12=0,0,F18/F12)</f>
        <v>0.239126695774185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SUMIF(Monthly!$C$5:$BJ$5,B$11,Monthly!$C$71:$BJ$71)</f>
        <v>370279.780711111</v>
      </c>
      <c r="C20" s="35" t="n">
        <f aca="false">SUMIF(Monthly!$C$5:$BJ$5,C$11,Monthly!$C$71:$BJ$71)</f>
        <v>1036820.38418694</v>
      </c>
      <c r="D20" s="35" t="n">
        <f aca="false">SUMIF(Monthly!$C$5:$BJ$5,D$11,Monthly!$C$71:$BJ$71)</f>
        <v>1460260.45759368</v>
      </c>
      <c r="E20" s="35" t="n">
        <f aca="false">SUMIF(Monthly!$C$5:$BJ$5,E$11,Monthly!$C$71:$BJ$71)</f>
        <v>2023723.37283328</v>
      </c>
      <c r="F20" s="35" t="n">
        <f aca="false">SUMIF(Monthly!$C$5:$BJ$5,F$11,Monthly!$C$71:$BJ$71)</f>
        <v>2773718.704392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SUMIF(Monthly!$C$5:$BJ$5,B$11,Monthly!$C$72:$BJ$72)</f>
        <v>-60000</v>
      </c>
      <c r="C21" s="35" t="n">
        <f aca="false">SUMIF(Monthly!$C$5:$BJ$5,C$11,Monthly!$C$72:$BJ$72)</f>
        <v>0</v>
      </c>
      <c r="D21" s="35" t="n">
        <f aca="false">SUMIF(Monthly!$C$5:$BJ$5,D$11,Monthly!$C$72:$BJ$72)</f>
        <v>0</v>
      </c>
      <c r="E21" s="35" t="n">
        <f aca="false">SUMIF(Monthly!$C$5:$BJ$5,E$11,Monthly!$C$72:$BJ$72)</f>
        <v>0</v>
      </c>
      <c r="F21" s="35" t="n">
        <f aca="false">SUMIF(Monthly!$C$5:$BJ$5,F$11,Monthly!$C$72:$BJ$72)</f>
        <v>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SUMIF(Monthly!$C$5:$BJ$5,B$11,Monthly!$C$74:$BJ$74)</f>
        <v>463333.333333333</v>
      </c>
      <c r="C22" s="35" t="n">
        <f aca="false">SUMIF(Monthly!$C$5:$BJ$5,C$11,Monthly!$C$74:$BJ$74)</f>
        <v>-40000</v>
      </c>
      <c r="D22" s="35" t="n">
        <f aca="false">SUMIF(Monthly!$C$5:$BJ$5,D$11,Monthly!$C$74:$BJ$74)</f>
        <v>-40000</v>
      </c>
      <c r="E22" s="35" t="n">
        <f aca="false">SUMIF(Monthly!$C$5:$BJ$5,E$11,Monthly!$C$74:$BJ$74)</f>
        <v>-40000</v>
      </c>
      <c r="F22" s="35" t="n">
        <f aca="false">SUMIF(Monthly!$C$5:$BJ$5,F$11,Monthly!$C$74:$BJ$74)</f>
        <v>-40000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SUMIF(Monthly!$C$5:$BJ$5,B$11,Monthly!$C$75:$BJ$75)</f>
        <v>773613.114044444</v>
      </c>
      <c r="C23" s="37" t="n">
        <f aca="false">SUMIF(Monthly!$C$5:$BJ$5,C$11,Monthly!$C$75:$BJ$75)</f>
        <v>996820.384186935</v>
      </c>
      <c r="D23" s="37" t="n">
        <f aca="false">SUMIF(Monthly!$C$5:$BJ$5,D$11,Monthly!$C$75:$BJ$75)</f>
        <v>1420260.45759368</v>
      </c>
      <c r="E23" s="37" t="n">
        <f aca="false">SUMIF(Monthly!$C$5:$BJ$5,E$11,Monthly!$C$75:$BJ$75)</f>
        <v>1983723.37283328</v>
      </c>
      <c r="F23" s="37" t="n">
        <f aca="false">SUMIF(Monthly!$C$5:$BJ$5,F$11,Monthly!$C$75:$BJ$75)</f>
        <v>2733718.704392</v>
      </c>
    </row>
    <row r="24" customFormat="false" ht="15" hidden="false" customHeight="false" outlineLevel="0" collapsed="false">
      <c r="A24" s="40" t="s">
        <v>54</v>
      </c>
      <c r="B24" s="41" t="n">
        <f aca="false">INDEX(Monthly!$C$77:$BJ$77,B$11*12)</f>
        <v>773613.114044444</v>
      </c>
      <c r="C24" s="41" t="n">
        <f aca="false">INDEX(Monthly!$C$77:$BJ$77,C$11*12)</f>
        <v>1770433.49823138</v>
      </c>
      <c r="D24" s="41" t="n">
        <f aca="false">INDEX(Monthly!$C$77:$BJ$77,D$11*12)</f>
        <v>3190693.95582506</v>
      </c>
      <c r="E24" s="41" t="n">
        <f aca="false">INDEX(Monthly!$C$77:$BJ$77,E$11*12)</f>
        <v>5174417.32865833</v>
      </c>
      <c r="F24" s="41" t="n">
        <f aca="false">INDEX(Monthly!$C$77:$BJ$77,F$11*12)</f>
        <v>7908136.03305034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42" t="n">
        <f aca="false">KPIs!B30</f>
        <v>24960</v>
      </c>
      <c r="C28" s="42" t="n">
        <f aca="false">KPIs!C30</f>
        <v>31572</v>
      </c>
      <c r="D28" s="42" t="n">
        <f aca="false">KPIs!D30</f>
        <v>39992.4</v>
      </c>
      <c r="E28" s="42" t="n">
        <f aca="false">KPIs!E30</f>
        <v>50728.68</v>
      </c>
      <c r="F28" s="42" t="n">
        <f aca="false">KPIs!F30</f>
        <v>64433.556</v>
      </c>
    </row>
    <row r="29" customFormat="false" ht="15" hidden="false" customHeight="false" outlineLevel="0" collapsed="false">
      <c r="A29" s="6" t="s">
        <v>57</v>
      </c>
      <c r="B29" s="43" t="n">
        <f aca="false">KPIs!B34</f>
        <v>0.7</v>
      </c>
      <c r="C29" s="43" t="n">
        <f aca="false">KPIs!C34</f>
        <v>0.702941176470588</v>
      </c>
      <c r="D29" s="43" t="n">
        <f aca="false">KPIs!D34</f>
        <v>0.705760368663594</v>
      </c>
      <c r="E29" s="43" t="n">
        <f aca="false">KPIs!E34</f>
        <v>0.708456545257844</v>
      </c>
      <c r="F29" s="43" t="n">
        <f aca="false">KPIs!F34</f>
        <v>0.711029515406084</v>
      </c>
    </row>
    <row r="30" customFormat="false" ht="15" hidden="false" customHeight="false" outlineLevel="0" collapsed="false">
      <c r="A30" s="6" t="s">
        <v>58</v>
      </c>
      <c r="B30" s="44" t="n">
        <f aca="false">KPIs!B41</f>
        <v>180.536538461538</v>
      </c>
      <c r="C30" s="44" t="n">
        <f aca="false">KPIs!C41</f>
        <v>184.846125427594</v>
      </c>
      <c r="D30" s="44" t="n">
        <f aca="false">KPIs!D41</f>
        <v>189.281864445045</v>
      </c>
      <c r="E30" s="44" t="n">
        <f aca="false">KPIs!E41</f>
        <v>193.850649174095</v>
      </c>
      <c r="F30" s="44" t="n">
        <f aca="false">KPIs!F41</f>
        <v>198.55949006257</v>
      </c>
    </row>
    <row r="31" customFormat="false" ht="15" hidden="false" customHeight="false" outlineLevel="0" collapsed="false">
      <c r="A31" s="6" t="s">
        <v>59</v>
      </c>
      <c r="B31" s="35" t="n">
        <f aca="false">KPIs!B42</f>
        <v>281637</v>
      </c>
      <c r="C31" s="35" t="n">
        <f aca="false">KPIs!C42</f>
        <v>286076.562352941</v>
      </c>
      <c r="D31" s="35" t="n">
        <f aca="false">KPIs!D42</f>
        <v>290700.308588018</v>
      </c>
      <c r="E31" s="35" t="n">
        <f aca="false">KPIs!E42</f>
        <v>295521.924201975</v>
      </c>
      <c r="F31" s="35" t="n">
        <f aca="false">KPIs!F42</f>
        <v>300554.741687999</v>
      </c>
    </row>
    <row r="32" customFormat="false" ht="15" hidden="false" customHeight="false" outlineLevel="0" collapsed="false">
      <c r="A32" s="6" t="s">
        <v>60</v>
      </c>
      <c r="B32" s="45" t="n">
        <f aca="false">INDEX(Headcount!$C$12:$BJ$12,B$27*12)</f>
        <v>21</v>
      </c>
      <c r="C32" s="45" t="n">
        <f aca="false">INDEX(Headcount!$C$12:$BJ$12,C$27*12)</f>
        <v>26.25</v>
      </c>
      <c r="D32" s="45" t="n">
        <f aca="false">INDEX(Headcount!$C$12:$BJ$12,D$27*12)</f>
        <v>32.8875</v>
      </c>
      <c r="E32" s="45" t="n">
        <f aca="false">INDEX(Headcount!$C$12:$BJ$12,E$27*12)</f>
        <v>41.294625</v>
      </c>
      <c r="F32" s="45" t="n">
        <f aca="false">INDEX(Headcount!$C$12:$BJ$12,F$27*12)</f>
        <v>51.96181875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6"/>
      <c r="C35" s="46"/>
      <c r="D35" s="46"/>
      <c r="E35" s="46"/>
      <c r="F35" s="47" t="n">
        <f aca="false">Inputs!$E$54</f>
        <v>300000</v>
      </c>
    </row>
    <row r="36" customFormat="false" ht="15" hidden="false" customHeight="false" outlineLevel="0" collapsed="false">
      <c r="A36" s="6" t="s">
        <v>63</v>
      </c>
      <c r="B36" s="46"/>
      <c r="C36" s="46"/>
      <c r="D36" s="46"/>
      <c r="E36" s="46"/>
      <c r="F36" s="47" t="n">
        <f aca="false">Inputs!$E$55</f>
        <v>200000</v>
      </c>
    </row>
    <row r="37" customFormat="false" ht="15" hidden="false" customHeight="false" outlineLevel="0" collapsed="false">
      <c r="A37" s="6" t="s">
        <v>64</v>
      </c>
      <c r="B37" s="46"/>
      <c r="C37" s="46"/>
      <c r="D37" s="46"/>
      <c r="E37" s="46"/>
      <c r="F37" s="47" t="n">
        <f aca="false">'Break-even'!B12</f>
        <v>630319.682533333</v>
      </c>
    </row>
    <row r="38" customFormat="false" ht="15" hidden="false" customHeight="false" outlineLevel="0" collapsed="false">
      <c r="A38" s="36" t="s">
        <v>65</v>
      </c>
      <c r="B38" s="36"/>
      <c r="C38" s="36"/>
      <c r="D38" s="36"/>
      <c r="E38" s="36"/>
      <c r="F38" s="37" t="n">
        <f aca="false">'Break-even'!B17</f>
        <v>-130319.682533333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6"/>
      <c r="C39" s="46"/>
      <c r="D39" s="46"/>
      <c r="E39" s="46"/>
      <c r="F39" s="47" t="n">
        <f aca="false">'Break-even'!B18</f>
        <v>57680.3174666667</v>
      </c>
    </row>
    <row r="40" customFormat="false" ht="15" hidden="false" customHeight="false" outlineLevel="0" collapsed="false">
      <c r="A40" s="6" t="s">
        <v>66</v>
      </c>
      <c r="B40" s="46"/>
      <c r="C40" s="46"/>
      <c r="D40" s="46"/>
      <c r="E40" s="46"/>
      <c r="F40" s="48" t="n">
        <f aca="false">'Break-even'!B21</f>
        <v>1</v>
      </c>
    </row>
    <row r="41" customFormat="false" ht="15" hidden="false" customHeight="false" outlineLevel="0" collapsed="false">
      <c r="A41" s="6" t="s">
        <v>67</v>
      </c>
      <c r="B41" s="46"/>
      <c r="C41" s="46"/>
      <c r="D41" s="46"/>
      <c r="E41" s="46"/>
      <c r="F41" s="48" t="n">
        <f aca="false">'Break-even'!B23</f>
        <v>8</v>
      </c>
    </row>
    <row r="42" customFormat="false" ht="15" hidden="false" customHeight="false" outlineLevel="0" collapsed="false">
      <c r="A42" s="6" t="s">
        <v>68</v>
      </c>
      <c r="B42" s="46"/>
      <c r="C42" s="46"/>
      <c r="D42" s="46"/>
      <c r="E42" s="46"/>
      <c r="F42" s="47" t="n">
        <f aca="false">Valuation!B27</f>
        <v>14062289.4317258</v>
      </c>
    </row>
    <row r="43" customFormat="false" ht="15" hidden="false" customHeight="false" outlineLevel="0" collapsed="false">
      <c r="A43" s="6" t="s">
        <v>69</v>
      </c>
      <c r="B43" s="46"/>
      <c r="C43" s="46"/>
      <c r="D43" s="46"/>
      <c r="E43" s="46"/>
      <c r="F43" s="47" t="n">
        <f aca="false">Valuation!C27</f>
        <v>14612844.4378707</v>
      </c>
    </row>
    <row r="44" customFormat="false" ht="15" hidden="false" customHeight="false" outlineLevel="0" collapsed="false">
      <c r="A44" s="40" t="s">
        <v>70</v>
      </c>
      <c r="B44" s="40"/>
      <c r="C44" s="40"/>
      <c r="D44" s="40"/>
      <c r="E44" s="40"/>
      <c r="F44" s="41" t="n">
        <f aca="false">Valuation!B30</f>
        <v>14337566.9347983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9" t="n">
        <v>1</v>
      </c>
      <c r="S2" s="49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42</v>
      </c>
      <c r="B7" s="35" t="n">
        <f aca="false">'P&amp;L'!B5</f>
        <v>4506192</v>
      </c>
      <c r="C7" s="35" t="n">
        <f aca="false">'P&amp;L'!C5</f>
        <v>5835961.872</v>
      </c>
      <c r="D7" s="35" t="n">
        <f aca="false">'P&amp;L'!D5</f>
        <v>7569836.035632</v>
      </c>
      <c r="E7" s="35" t="n">
        <f aca="false">'P&amp;L'!E5</f>
        <v>9833787.54974491</v>
      </c>
      <c r="F7" s="35" t="n">
        <f aca="false">'P&amp;L'!F5</f>
        <v>12793894.0222781</v>
      </c>
      <c r="H7" s="35" t="n">
        <f aca="false">INDEX(Monthly!$C$22:$BJ$22,($R$2-1)*12+1)</f>
        <v>375516</v>
      </c>
      <c r="I7" s="35" t="n">
        <f aca="false">INDEX(Monthly!$C$22:$BJ$22,($R$2-1)*12+2)</f>
        <v>375516</v>
      </c>
      <c r="J7" s="35" t="n">
        <f aca="false">INDEX(Monthly!$C$22:$BJ$22,($R$2-1)*12+3)</f>
        <v>375516</v>
      </c>
      <c r="K7" s="35" t="n">
        <f aca="false">INDEX(Monthly!$C$22:$BJ$22,($R$2-1)*12+4)</f>
        <v>375516</v>
      </c>
      <c r="L7" s="35" t="n">
        <f aca="false">INDEX(Monthly!$C$22:$BJ$22,($R$2-1)*12+5)</f>
        <v>375516</v>
      </c>
      <c r="M7" s="35" t="n">
        <f aca="false">INDEX(Monthly!$C$22:$BJ$22,($R$2-1)*12+6)</f>
        <v>375516</v>
      </c>
      <c r="N7" s="35" t="n">
        <f aca="false">INDEX(Monthly!$C$22:$BJ$22,($R$2-1)*12+7)</f>
        <v>375516</v>
      </c>
      <c r="O7" s="35" t="n">
        <f aca="false">INDEX(Monthly!$C$22:$BJ$22,($R$2-1)*12+8)</f>
        <v>375516</v>
      </c>
      <c r="P7" s="35" t="n">
        <f aca="false">INDEX(Monthly!$C$22:$BJ$22,($R$2-1)*12+9)</f>
        <v>375516</v>
      </c>
      <c r="Q7" s="35" t="n">
        <f aca="false">INDEX(Monthly!$C$22:$BJ$22,($R$2-1)*12+10)</f>
        <v>375516</v>
      </c>
      <c r="R7" s="35" t="n">
        <f aca="false">INDEX(Monthly!$C$22:$BJ$22,($R$2-1)*12+11)</f>
        <v>375516</v>
      </c>
      <c r="S7" s="35" t="n">
        <f aca="false">INDEX(Monthly!$C$22:$BJ$22,($R$2-1)*12+12)</f>
        <v>375516</v>
      </c>
    </row>
    <row r="8" customFormat="false" ht="15" hidden="false" customHeight="false" outlineLevel="0" collapsed="false">
      <c r="A8" s="51" t="s">
        <v>74</v>
      </c>
      <c r="B8" s="35" t="n">
        <f aca="false">'P&amp;L'!B6</f>
        <v>-2703185.76</v>
      </c>
      <c r="C8" s="35" t="n">
        <f aca="false">'P&amp;L'!C6</f>
        <v>-3490030.85616</v>
      </c>
      <c r="D8" s="35" t="n">
        <f aca="false">'P&amp;L'!D6</f>
        <v>-4513046.20906896</v>
      </c>
      <c r="E8" s="35" t="n">
        <f aca="false">'P&amp;L'!E6</f>
        <v>-5845078.96128435</v>
      </c>
      <c r="F8" s="35" t="n">
        <f aca="false">'P&amp;L'!F6</f>
        <v>-7581968.79711323</v>
      </c>
      <c r="H8" s="35" t="n">
        <f aca="false">INDEX(Monthly!$C$28:$BJ$28,($R$2-1)*12+1)</f>
        <v>-225265.48</v>
      </c>
      <c r="I8" s="35" t="n">
        <f aca="false">INDEX(Monthly!$C$28:$BJ$28,($R$2-1)*12+2)</f>
        <v>-225265.48</v>
      </c>
      <c r="J8" s="35" t="n">
        <f aca="false">INDEX(Monthly!$C$28:$BJ$28,($R$2-1)*12+3)</f>
        <v>-225265.48</v>
      </c>
      <c r="K8" s="35" t="n">
        <f aca="false">INDEX(Monthly!$C$28:$BJ$28,($R$2-1)*12+4)</f>
        <v>-225265.48</v>
      </c>
      <c r="L8" s="35" t="n">
        <f aca="false">INDEX(Monthly!$C$28:$BJ$28,($R$2-1)*12+5)</f>
        <v>-225265.48</v>
      </c>
      <c r="M8" s="35" t="n">
        <f aca="false">INDEX(Monthly!$C$28:$BJ$28,($R$2-1)*12+6)</f>
        <v>-225265.48</v>
      </c>
      <c r="N8" s="35" t="n">
        <f aca="false">INDEX(Monthly!$C$28:$BJ$28,($R$2-1)*12+7)</f>
        <v>-225265.48</v>
      </c>
      <c r="O8" s="35" t="n">
        <f aca="false">INDEX(Monthly!$C$28:$BJ$28,($R$2-1)*12+8)</f>
        <v>-225265.48</v>
      </c>
      <c r="P8" s="35" t="n">
        <f aca="false">INDEX(Monthly!$C$28:$BJ$28,($R$2-1)*12+9)</f>
        <v>-225265.48</v>
      </c>
      <c r="Q8" s="35" t="n">
        <f aca="false">INDEX(Monthly!$C$28:$BJ$28,($R$2-1)*12+10)</f>
        <v>-225265.48</v>
      </c>
      <c r="R8" s="35" t="n">
        <f aca="false">INDEX(Monthly!$C$28:$BJ$28,($R$2-1)*12+11)</f>
        <v>-225265.48</v>
      </c>
      <c r="S8" s="35" t="n">
        <f aca="false">INDEX(Monthly!$C$28:$BJ$28,($R$2-1)*12+12)</f>
        <v>-225265.48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1803006.24</v>
      </c>
      <c r="C9" s="37" t="n">
        <f aca="false">'P&amp;L'!C7</f>
        <v>2345931.01584</v>
      </c>
      <c r="D9" s="37" t="n">
        <f aca="false">'P&amp;L'!D7</f>
        <v>3056789.82656304</v>
      </c>
      <c r="E9" s="37" t="n">
        <f aca="false">'P&amp;L'!E7</f>
        <v>3988708.58846056</v>
      </c>
      <c r="F9" s="37" t="n">
        <f aca="false">'P&amp;L'!F7</f>
        <v>5211925.22516482</v>
      </c>
      <c r="H9" s="37" t="n">
        <f aca="false">INDEX(Monthly!$C$29:$BJ$29,($R$2-1)*12+1)</f>
        <v>150250.52</v>
      </c>
      <c r="I9" s="37" t="n">
        <f aca="false">INDEX(Monthly!$C$29:$BJ$29,($R$2-1)*12+2)</f>
        <v>150250.52</v>
      </c>
      <c r="J9" s="37" t="n">
        <f aca="false">INDEX(Monthly!$C$29:$BJ$29,($R$2-1)*12+3)</f>
        <v>150250.52</v>
      </c>
      <c r="K9" s="37" t="n">
        <f aca="false">INDEX(Monthly!$C$29:$BJ$29,($R$2-1)*12+4)</f>
        <v>150250.52</v>
      </c>
      <c r="L9" s="37" t="n">
        <f aca="false">INDEX(Monthly!$C$29:$BJ$29,($R$2-1)*12+5)</f>
        <v>150250.52</v>
      </c>
      <c r="M9" s="37" t="n">
        <f aca="false">INDEX(Monthly!$C$29:$BJ$29,($R$2-1)*12+6)</f>
        <v>150250.52</v>
      </c>
      <c r="N9" s="37" t="n">
        <f aca="false">INDEX(Monthly!$C$29:$BJ$29,($R$2-1)*12+7)</f>
        <v>150250.52</v>
      </c>
      <c r="O9" s="37" t="n">
        <f aca="false">INDEX(Monthly!$C$29:$BJ$29,($R$2-1)*12+8)</f>
        <v>150250.52</v>
      </c>
      <c r="P9" s="37" t="n">
        <f aca="false">INDEX(Monthly!$C$29:$BJ$29,($R$2-1)*12+9)</f>
        <v>150250.52</v>
      </c>
      <c r="Q9" s="37" t="n">
        <f aca="false">INDEX(Monthly!$C$29:$BJ$29,($R$2-1)*12+10)</f>
        <v>150250.52</v>
      </c>
      <c r="R9" s="37" t="n">
        <f aca="false">INDEX(Monthly!$C$29:$BJ$29,($R$2-1)*12+11)</f>
        <v>150250.52</v>
      </c>
      <c r="S9" s="37" t="n">
        <f aca="false">INDEX(Monthly!$C$29:$BJ$29,($R$2-1)*12+12)</f>
        <v>150250.52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0.400117491664803</v>
      </c>
      <c r="C10" s="39" t="n">
        <f aca="false">'P&amp;L'!C8</f>
        <v>0.401978468552956</v>
      </c>
      <c r="D10" s="39" t="n">
        <f aca="false">'P&amp;L'!D8</f>
        <v>0.403811893966318</v>
      </c>
      <c r="E10" s="39" t="n">
        <f aca="false">'P&amp;L'!E8</f>
        <v>0.405612646021017</v>
      </c>
      <c r="F10" s="39" t="n">
        <f aca="false">'P&amp;L'!F8</f>
        <v>0.407375988584029</v>
      </c>
      <c r="H10" s="39" t="n">
        <f aca="false">IF(H7=0,0,H9/H7)</f>
        <v>0.400117491664803</v>
      </c>
      <c r="I10" s="39" t="n">
        <f aca="false">IF(I7=0,0,I9/I7)</f>
        <v>0.400117491664803</v>
      </c>
      <c r="J10" s="39" t="n">
        <f aca="false">IF(J7=0,0,J9/J7)</f>
        <v>0.400117491664803</v>
      </c>
      <c r="K10" s="39" t="n">
        <f aca="false">IF(K7=0,0,K9/K7)</f>
        <v>0.400117491664803</v>
      </c>
      <c r="L10" s="39" t="n">
        <f aca="false">IF(L7=0,0,L9/L7)</f>
        <v>0.400117491664803</v>
      </c>
      <c r="M10" s="39" t="n">
        <f aca="false">IF(M7=0,0,M9/M7)</f>
        <v>0.400117491664803</v>
      </c>
      <c r="N10" s="39" t="n">
        <f aca="false">IF(N7=0,0,N9/N7)</f>
        <v>0.400117491664803</v>
      </c>
      <c r="O10" s="39" t="n">
        <f aca="false">IF(O7=0,0,O9/O7)</f>
        <v>0.400117491664803</v>
      </c>
      <c r="P10" s="39" t="n">
        <f aca="false">IF(P7=0,0,P9/P7)</f>
        <v>0.400117491664803</v>
      </c>
      <c r="Q10" s="39" t="n">
        <f aca="false">IF(Q7=0,0,Q9/Q7)</f>
        <v>0.400117491664803</v>
      </c>
      <c r="R10" s="39" t="n">
        <f aca="false">IF(R7=0,0,R9/R7)</f>
        <v>0.400117491664803</v>
      </c>
      <c r="S10" s="39" t="n">
        <f aca="false">IF(S7=0,0,S9/S7)</f>
        <v>0.400117491664803</v>
      </c>
    </row>
    <row r="11" customFormat="false" ht="15" hidden="false" customHeight="false" outlineLevel="0" collapsed="false">
      <c r="A11" s="51" t="s">
        <v>75</v>
      </c>
      <c r="B11" s="35" t="n">
        <f aca="false">'P&amp;L'!B14</f>
        <v>-752400</v>
      </c>
      <c r="C11" s="35" t="n">
        <f aca="false">'P&amp;L'!C14</f>
        <v>-856317</v>
      </c>
      <c r="D11" s="35" t="n">
        <f aca="false">'P&amp;L'!D14</f>
        <v>-982891.4025</v>
      </c>
      <c r="E11" s="35" t="n">
        <f aca="false">'P&amp;L'!E14</f>
        <v>-1137191.35543725</v>
      </c>
      <c r="F11" s="35" t="n">
        <f aca="false">'P&amp;L'!F14</f>
        <v>-1325448.93364696</v>
      </c>
      <c r="H11" s="35" t="n">
        <f aca="false">INDEX(Monthly!$C$37:$BJ$37,($R$2-1)*12+1)</f>
        <v>-62700</v>
      </c>
      <c r="I11" s="35" t="n">
        <f aca="false">INDEX(Monthly!$C$37:$BJ$37,($R$2-1)*12+2)</f>
        <v>-62700</v>
      </c>
      <c r="J11" s="35" t="n">
        <f aca="false">INDEX(Monthly!$C$37:$BJ$37,($R$2-1)*12+3)</f>
        <v>-62700</v>
      </c>
      <c r="K11" s="35" t="n">
        <f aca="false">INDEX(Monthly!$C$37:$BJ$37,($R$2-1)*12+4)</f>
        <v>-62700</v>
      </c>
      <c r="L11" s="35" t="n">
        <f aca="false">INDEX(Monthly!$C$37:$BJ$37,($R$2-1)*12+5)</f>
        <v>-62700</v>
      </c>
      <c r="M11" s="35" t="n">
        <f aca="false">INDEX(Monthly!$C$37:$BJ$37,($R$2-1)*12+6)</f>
        <v>-62700</v>
      </c>
      <c r="N11" s="35" t="n">
        <f aca="false">INDEX(Monthly!$C$37:$BJ$37,($R$2-1)*12+7)</f>
        <v>-62700</v>
      </c>
      <c r="O11" s="35" t="n">
        <f aca="false">INDEX(Monthly!$C$37:$BJ$37,($R$2-1)*12+8)</f>
        <v>-62700</v>
      </c>
      <c r="P11" s="35" t="n">
        <f aca="false">INDEX(Monthly!$C$37:$BJ$37,($R$2-1)*12+9)</f>
        <v>-62700</v>
      </c>
      <c r="Q11" s="35" t="n">
        <f aca="false">INDEX(Monthly!$C$37:$BJ$37,($R$2-1)*12+10)</f>
        <v>-62700</v>
      </c>
      <c r="R11" s="35" t="n">
        <f aca="false">INDEX(Monthly!$C$37:$BJ$37,($R$2-1)*12+11)</f>
        <v>-62700</v>
      </c>
      <c r="S11" s="35" t="n">
        <f aca="false">INDEX(Monthly!$C$37:$BJ$37,($R$2-1)*12+12)</f>
        <v>-62700</v>
      </c>
    </row>
    <row r="12" customFormat="false" ht="15" hidden="false" customHeight="false" outlineLevel="0" collapsed="false">
      <c r="A12" s="36" t="s">
        <v>46</v>
      </c>
      <c r="B12" s="37" t="n">
        <f aca="false">'P&amp;L'!B15</f>
        <v>1050606.24</v>
      </c>
      <c r="C12" s="37" t="n">
        <f aca="false">'P&amp;L'!C15</f>
        <v>1489614.01584</v>
      </c>
      <c r="D12" s="37" t="n">
        <f aca="false">'P&amp;L'!D15</f>
        <v>2073898.42406304</v>
      </c>
      <c r="E12" s="37" t="n">
        <f aca="false">'P&amp;L'!E15</f>
        <v>2851517.23302332</v>
      </c>
      <c r="F12" s="37" t="n">
        <f aca="false">'P&amp;L'!F15</f>
        <v>3886476.29151786</v>
      </c>
      <c r="H12" s="37" t="n">
        <f aca="false">INDEX(Monthly!$C$38:$BJ$38,($R$2-1)*12+1)</f>
        <v>87550.52</v>
      </c>
      <c r="I12" s="37" t="n">
        <f aca="false">INDEX(Monthly!$C$38:$BJ$38,($R$2-1)*12+2)</f>
        <v>87550.52</v>
      </c>
      <c r="J12" s="37" t="n">
        <f aca="false">INDEX(Monthly!$C$38:$BJ$38,($R$2-1)*12+3)</f>
        <v>87550.52</v>
      </c>
      <c r="K12" s="37" t="n">
        <f aca="false">INDEX(Monthly!$C$38:$BJ$38,($R$2-1)*12+4)</f>
        <v>87550.52</v>
      </c>
      <c r="L12" s="37" t="n">
        <f aca="false">INDEX(Monthly!$C$38:$BJ$38,($R$2-1)*12+5)</f>
        <v>87550.52</v>
      </c>
      <c r="M12" s="37" t="n">
        <f aca="false">INDEX(Monthly!$C$38:$BJ$38,($R$2-1)*12+6)</f>
        <v>87550.52</v>
      </c>
      <c r="N12" s="37" t="n">
        <f aca="false">INDEX(Monthly!$C$38:$BJ$38,($R$2-1)*12+7)</f>
        <v>87550.52</v>
      </c>
      <c r="O12" s="37" t="n">
        <f aca="false">INDEX(Monthly!$C$38:$BJ$38,($R$2-1)*12+8)</f>
        <v>87550.52</v>
      </c>
      <c r="P12" s="37" t="n">
        <f aca="false">INDEX(Monthly!$C$38:$BJ$38,($R$2-1)*12+9)</f>
        <v>87550.52</v>
      </c>
      <c r="Q12" s="37" t="n">
        <f aca="false">INDEX(Monthly!$C$38:$BJ$38,($R$2-1)*12+10)</f>
        <v>87550.52</v>
      </c>
      <c r="R12" s="37" t="n">
        <f aca="false">INDEX(Monthly!$C$38:$BJ$38,($R$2-1)*12+11)</f>
        <v>87550.52</v>
      </c>
      <c r="S12" s="37" t="n">
        <f aca="false">INDEX(Monthly!$C$38:$BJ$38,($R$2-1)*12+12)</f>
        <v>87550.52</v>
      </c>
    </row>
    <row r="13" customFormat="false" ht="15" hidden="false" customHeight="false" outlineLevel="0" collapsed="false">
      <c r="A13" s="38" t="s">
        <v>47</v>
      </c>
      <c r="B13" s="39" t="n">
        <f aca="false">'P&amp;L'!B16</f>
        <v>0.23314724272734</v>
      </c>
      <c r="C13" s="39" t="n">
        <f aca="false">'P&amp;L'!C16</f>
        <v>0.255247386551123</v>
      </c>
      <c r="D13" s="39" t="n">
        <f aca="false">'P&amp;L'!D16</f>
        <v>0.273968737803697</v>
      </c>
      <c r="E13" s="39" t="n">
        <f aca="false">'P&amp;L'!E16</f>
        <v>0.289971409144108</v>
      </c>
      <c r="F13" s="39" t="n">
        <f aca="false">'P&amp;L'!F16</f>
        <v>0.303775870329262</v>
      </c>
      <c r="H13" s="39" t="n">
        <f aca="false">IF(H7=0,0,H12/H7)</f>
        <v>0.233147242727341</v>
      </c>
      <c r="I13" s="39" t="n">
        <f aca="false">IF(I7=0,0,I12/I7)</f>
        <v>0.233147242727341</v>
      </c>
      <c r="J13" s="39" t="n">
        <f aca="false">IF(J7=0,0,J12/J7)</f>
        <v>0.233147242727341</v>
      </c>
      <c r="K13" s="39" t="n">
        <f aca="false">IF(K7=0,0,K12/K7)</f>
        <v>0.233147242727341</v>
      </c>
      <c r="L13" s="39" t="n">
        <f aca="false">IF(L7=0,0,L12/L7)</f>
        <v>0.233147242727341</v>
      </c>
      <c r="M13" s="39" t="n">
        <f aca="false">IF(M7=0,0,M12/M7)</f>
        <v>0.233147242727341</v>
      </c>
      <c r="N13" s="39" t="n">
        <f aca="false">IF(N7=0,0,N12/N7)</f>
        <v>0.233147242727341</v>
      </c>
      <c r="O13" s="39" t="n">
        <f aca="false">IF(O7=0,0,O12/O7)</f>
        <v>0.233147242727341</v>
      </c>
      <c r="P13" s="39" t="n">
        <f aca="false">IF(P7=0,0,P12/P7)</f>
        <v>0.233147242727341</v>
      </c>
      <c r="Q13" s="39" t="n">
        <f aca="false">IF(Q7=0,0,Q12/Q7)</f>
        <v>0.233147242727341</v>
      </c>
      <c r="R13" s="39" t="n">
        <f aca="false">IF(R7=0,0,R12/R7)</f>
        <v>0.233147242727341</v>
      </c>
      <c r="S13" s="39" t="n">
        <f aca="false">IF(S7=0,0,S12/S7)</f>
        <v>0.233147242727341</v>
      </c>
    </row>
    <row r="14" customFormat="false" ht="15" hidden="false" customHeight="false" outlineLevel="0" collapsed="false">
      <c r="A14" s="51" t="s">
        <v>76</v>
      </c>
      <c r="B14" s="35" t="n">
        <f aca="false">'P&amp;L'!B17</f>
        <v>-12000</v>
      </c>
      <c r="C14" s="35" t="n">
        <f aca="false">'P&amp;L'!C17</f>
        <v>-12000</v>
      </c>
      <c r="D14" s="35" t="n">
        <f aca="false">'P&amp;L'!D17</f>
        <v>-12000</v>
      </c>
      <c r="E14" s="35" t="n">
        <f aca="false">'P&amp;L'!E17</f>
        <v>-12000</v>
      </c>
      <c r="F14" s="35" t="n">
        <f aca="false">'P&amp;L'!F17</f>
        <v>-12000</v>
      </c>
      <c r="H14" s="35" t="n">
        <f aca="false">INDEX(Monthly!$C$52:$BJ$52,($R$2-1)*12+1)</f>
        <v>-1000</v>
      </c>
      <c r="I14" s="35" t="n">
        <f aca="false">INDEX(Monthly!$C$52:$BJ$52,($R$2-1)*12+2)</f>
        <v>-1000</v>
      </c>
      <c r="J14" s="35" t="n">
        <f aca="false">INDEX(Monthly!$C$52:$BJ$52,($R$2-1)*12+3)</f>
        <v>-1000</v>
      </c>
      <c r="K14" s="35" t="n">
        <f aca="false">INDEX(Monthly!$C$52:$BJ$52,($R$2-1)*12+4)</f>
        <v>-1000</v>
      </c>
      <c r="L14" s="35" t="n">
        <f aca="false">INDEX(Monthly!$C$52:$BJ$52,($R$2-1)*12+5)</f>
        <v>-1000</v>
      </c>
      <c r="M14" s="35" t="n">
        <f aca="false">INDEX(Monthly!$C$52:$BJ$52,($R$2-1)*12+6)</f>
        <v>-1000</v>
      </c>
      <c r="N14" s="35" t="n">
        <f aca="false">INDEX(Monthly!$C$52:$BJ$52,($R$2-1)*12+7)</f>
        <v>-1000</v>
      </c>
      <c r="O14" s="35" t="n">
        <f aca="false">INDEX(Monthly!$C$52:$BJ$52,($R$2-1)*12+8)</f>
        <v>-1000</v>
      </c>
      <c r="P14" s="35" t="n">
        <f aca="false">INDEX(Monthly!$C$52:$BJ$52,($R$2-1)*12+9)</f>
        <v>-1000</v>
      </c>
      <c r="Q14" s="35" t="n">
        <f aca="false">INDEX(Monthly!$C$52:$BJ$52,($R$2-1)*12+10)</f>
        <v>-1000</v>
      </c>
      <c r="R14" s="35" t="n">
        <f aca="false">INDEX(Monthly!$C$52:$BJ$52,($R$2-1)*12+11)</f>
        <v>-1000</v>
      </c>
      <c r="S14" s="35" t="n">
        <f aca="false">INDEX(Monthly!$C$52:$BJ$52,($R$2-1)*12+12)</f>
        <v>-1000</v>
      </c>
    </row>
    <row r="15" customFormat="false" ht="15" hidden="false" customHeight="false" outlineLevel="0" collapsed="false">
      <c r="A15" s="36" t="s">
        <v>77</v>
      </c>
      <c r="B15" s="37" t="n">
        <f aca="false">'P&amp;L'!B18</f>
        <v>1038606.24</v>
      </c>
      <c r="C15" s="37" t="n">
        <f aca="false">'P&amp;L'!C18</f>
        <v>1477614.01584</v>
      </c>
      <c r="D15" s="37" t="n">
        <f aca="false">'P&amp;L'!D18</f>
        <v>2061898.42406304</v>
      </c>
      <c r="E15" s="37" t="n">
        <f aca="false">'P&amp;L'!E18</f>
        <v>2839517.23302332</v>
      </c>
      <c r="F15" s="37" t="n">
        <f aca="false">'P&amp;L'!F18</f>
        <v>3874476.29151786</v>
      </c>
      <c r="H15" s="37" t="n">
        <f aca="false">INDEX(Monthly!$C$41:$BJ$41,($R$2-1)*12+1)</f>
        <v>86550.52</v>
      </c>
      <c r="I15" s="37" t="n">
        <f aca="false">INDEX(Monthly!$C$41:$BJ$41,($R$2-1)*12+2)</f>
        <v>86550.52</v>
      </c>
      <c r="J15" s="37" t="n">
        <f aca="false">INDEX(Monthly!$C$41:$BJ$41,($R$2-1)*12+3)</f>
        <v>86550.52</v>
      </c>
      <c r="K15" s="37" t="n">
        <f aca="false">INDEX(Monthly!$C$41:$BJ$41,($R$2-1)*12+4)</f>
        <v>86550.52</v>
      </c>
      <c r="L15" s="37" t="n">
        <f aca="false">INDEX(Monthly!$C$41:$BJ$41,($R$2-1)*12+5)</f>
        <v>86550.52</v>
      </c>
      <c r="M15" s="37" t="n">
        <f aca="false">INDEX(Monthly!$C$41:$BJ$41,($R$2-1)*12+6)</f>
        <v>86550.52</v>
      </c>
      <c r="N15" s="37" t="n">
        <f aca="false">INDEX(Monthly!$C$41:$BJ$41,($R$2-1)*12+7)</f>
        <v>86550.52</v>
      </c>
      <c r="O15" s="37" t="n">
        <f aca="false">INDEX(Monthly!$C$41:$BJ$41,($R$2-1)*12+8)</f>
        <v>86550.52</v>
      </c>
      <c r="P15" s="37" t="n">
        <f aca="false">INDEX(Monthly!$C$41:$BJ$41,($R$2-1)*12+9)</f>
        <v>86550.52</v>
      </c>
      <c r="Q15" s="37" t="n">
        <f aca="false">INDEX(Monthly!$C$41:$BJ$41,($R$2-1)*12+10)</f>
        <v>86550.52</v>
      </c>
      <c r="R15" s="37" t="n">
        <f aca="false">INDEX(Monthly!$C$41:$BJ$41,($R$2-1)*12+11)</f>
        <v>86550.52</v>
      </c>
      <c r="S15" s="37" t="n">
        <f aca="false">INDEX(Monthly!$C$41:$BJ$41,($R$2-1)*12+12)</f>
        <v>86550.52</v>
      </c>
    </row>
    <row r="16" customFormat="false" ht="15" hidden="false" customHeight="false" outlineLevel="0" collapsed="false">
      <c r="A16" s="51" t="s">
        <v>78</v>
      </c>
      <c r="B16" s="35" t="n">
        <f aca="false">'P&amp;L'!B19</f>
        <v>-14655.5555555556</v>
      </c>
      <c r="C16" s="35" t="n">
        <f aca="false">'P&amp;L'!C19</f>
        <v>-11466.6666666667</v>
      </c>
      <c r="D16" s="35" t="n">
        <f aca="false">'P&amp;L'!D19</f>
        <v>-8266.66666666666</v>
      </c>
      <c r="E16" s="35" t="n">
        <f aca="false">'P&amp;L'!E19</f>
        <v>-5066.66666666666</v>
      </c>
      <c r="F16" s="35" t="n">
        <f aca="false">'P&amp;L'!F19</f>
        <v>-1866.66666666666</v>
      </c>
      <c r="H16" s="35" t="n">
        <f aca="false">INDEX(Monthly!$C$42:$BJ$42,($R$2-1)*12+1)</f>
        <v>-1333.33333333333</v>
      </c>
      <c r="I16" s="35" t="n">
        <f aca="false">INDEX(Monthly!$C$42:$BJ$42,($R$2-1)*12+2)</f>
        <v>-1322.22222222222</v>
      </c>
      <c r="J16" s="35" t="n">
        <f aca="false">INDEX(Monthly!$C$42:$BJ$42,($R$2-1)*12+3)</f>
        <v>-1300</v>
      </c>
      <c r="K16" s="35" t="n">
        <f aca="false">INDEX(Monthly!$C$42:$BJ$42,($R$2-1)*12+4)</f>
        <v>-1277.77777777778</v>
      </c>
      <c r="L16" s="35" t="n">
        <f aca="false">INDEX(Monthly!$C$42:$BJ$42,($R$2-1)*12+5)</f>
        <v>-1255.55555555556</v>
      </c>
      <c r="M16" s="35" t="n">
        <f aca="false">INDEX(Monthly!$C$42:$BJ$42,($R$2-1)*12+6)</f>
        <v>-1233.33333333333</v>
      </c>
      <c r="N16" s="35" t="n">
        <f aca="false">INDEX(Monthly!$C$42:$BJ$42,($R$2-1)*12+7)</f>
        <v>-1211.11111111111</v>
      </c>
      <c r="O16" s="35" t="n">
        <f aca="false">INDEX(Monthly!$C$42:$BJ$42,($R$2-1)*12+8)</f>
        <v>-1188.88888888889</v>
      </c>
      <c r="P16" s="35" t="n">
        <f aca="false">INDEX(Monthly!$C$42:$BJ$42,($R$2-1)*12+9)</f>
        <v>-1166.66666666667</v>
      </c>
      <c r="Q16" s="35" t="n">
        <f aca="false">INDEX(Monthly!$C$42:$BJ$42,($R$2-1)*12+10)</f>
        <v>-1144.44444444444</v>
      </c>
      <c r="R16" s="35" t="n">
        <f aca="false">INDEX(Monthly!$C$42:$BJ$42,($R$2-1)*12+11)</f>
        <v>-1122.22222222222</v>
      </c>
      <c r="S16" s="35" t="n">
        <f aca="false">INDEX(Monthly!$C$42:$BJ$42,($R$2-1)*12+12)</f>
        <v>-1100</v>
      </c>
    </row>
    <row r="17" customFormat="false" ht="15" hidden="false" customHeight="false" outlineLevel="0" collapsed="false">
      <c r="A17" s="51" t="s">
        <v>79</v>
      </c>
      <c r="B17" s="35" t="n">
        <f aca="false">'P&amp;L'!B20</f>
        <v>1023950.68444444</v>
      </c>
      <c r="C17" s="35" t="n">
        <f aca="false">'P&amp;L'!C20</f>
        <v>1466147.34917334</v>
      </c>
      <c r="D17" s="35" t="n">
        <f aca="false">'P&amp;L'!D20</f>
        <v>2053631.75739637</v>
      </c>
      <c r="E17" s="35" t="n">
        <f aca="false">'P&amp;L'!E20</f>
        <v>2834450.56635665</v>
      </c>
      <c r="F17" s="35" t="n">
        <f aca="false">'P&amp;L'!F20</f>
        <v>3872609.62485119</v>
      </c>
      <c r="H17" s="35" t="n">
        <f aca="false">INDEX(Monthly!$C$43:$BJ$43,($R$2-1)*12+1)</f>
        <v>85217.1866666667</v>
      </c>
      <c r="I17" s="35" t="n">
        <f aca="false">INDEX(Monthly!$C$43:$BJ$43,($R$2-1)*12+2)</f>
        <v>85228.2977777778</v>
      </c>
      <c r="J17" s="35" t="n">
        <f aca="false">INDEX(Monthly!$C$43:$BJ$43,($R$2-1)*12+3)</f>
        <v>85250.52</v>
      </c>
      <c r="K17" s="35" t="n">
        <f aca="false">INDEX(Monthly!$C$43:$BJ$43,($R$2-1)*12+4)</f>
        <v>85272.7422222222</v>
      </c>
      <c r="L17" s="35" t="n">
        <f aca="false">INDEX(Monthly!$C$43:$BJ$43,($R$2-1)*12+5)</f>
        <v>85294.9644444444</v>
      </c>
      <c r="M17" s="35" t="n">
        <f aca="false">INDEX(Monthly!$C$43:$BJ$43,($R$2-1)*12+6)</f>
        <v>85317.1866666667</v>
      </c>
      <c r="N17" s="35" t="n">
        <f aca="false">INDEX(Monthly!$C$43:$BJ$43,($R$2-1)*12+7)</f>
        <v>85339.4088888889</v>
      </c>
      <c r="O17" s="35" t="n">
        <f aca="false">INDEX(Monthly!$C$43:$BJ$43,($R$2-1)*12+8)</f>
        <v>85361.6311111111</v>
      </c>
      <c r="P17" s="35" t="n">
        <f aca="false">INDEX(Monthly!$C$43:$BJ$43,($R$2-1)*12+9)</f>
        <v>85383.8533333333</v>
      </c>
      <c r="Q17" s="35" t="n">
        <f aca="false">INDEX(Monthly!$C$43:$BJ$43,($R$2-1)*12+10)</f>
        <v>85406.0755555556</v>
      </c>
      <c r="R17" s="35" t="n">
        <f aca="false">INDEX(Monthly!$C$43:$BJ$43,($R$2-1)*12+11)</f>
        <v>85428.2977777778</v>
      </c>
      <c r="S17" s="35" t="n">
        <f aca="false">INDEX(Monthly!$C$43:$BJ$43,($R$2-1)*12+12)</f>
        <v>85450.52</v>
      </c>
    </row>
    <row r="18" customFormat="false" ht="15" hidden="false" customHeight="false" outlineLevel="0" collapsed="false">
      <c r="A18" s="51" t="s">
        <v>80</v>
      </c>
      <c r="B18" s="35" t="n">
        <f aca="false">'P&amp;L'!B21</f>
        <v>-215029.643733333</v>
      </c>
      <c r="C18" s="35" t="n">
        <f aca="false">'P&amp;L'!C21</f>
        <v>-307890.9433264</v>
      </c>
      <c r="D18" s="35" t="n">
        <f aca="false">'P&amp;L'!D21</f>
        <v>-431262.669053238</v>
      </c>
      <c r="E18" s="35" t="n">
        <f aca="false">'P&amp;L'!E21</f>
        <v>-595234.618934896</v>
      </c>
      <c r="F18" s="35" t="n">
        <f aca="false">'P&amp;L'!F21</f>
        <v>-813248.02121875</v>
      </c>
      <c r="H18" s="35" t="n">
        <f aca="false">INDEX(Monthly!$C$46:$BJ$46,($R$2-1)*12+1)</f>
        <v>-17895.6092</v>
      </c>
      <c r="I18" s="35" t="n">
        <f aca="false">INDEX(Monthly!$C$46:$BJ$46,($R$2-1)*12+2)</f>
        <v>-17897.9425333333</v>
      </c>
      <c r="J18" s="35" t="n">
        <f aca="false">INDEX(Monthly!$C$46:$BJ$46,($R$2-1)*12+3)</f>
        <v>-17902.6092</v>
      </c>
      <c r="K18" s="35" t="n">
        <f aca="false">INDEX(Monthly!$C$46:$BJ$46,($R$2-1)*12+4)</f>
        <v>-17907.2758666667</v>
      </c>
      <c r="L18" s="35" t="n">
        <f aca="false">INDEX(Monthly!$C$46:$BJ$46,($R$2-1)*12+5)</f>
        <v>-17911.9425333333</v>
      </c>
      <c r="M18" s="35" t="n">
        <f aca="false">INDEX(Monthly!$C$46:$BJ$46,($R$2-1)*12+6)</f>
        <v>-17916.6092</v>
      </c>
      <c r="N18" s="35" t="n">
        <f aca="false">INDEX(Monthly!$C$46:$BJ$46,($R$2-1)*12+7)</f>
        <v>-17921.2758666667</v>
      </c>
      <c r="O18" s="35" t="n">
        <f aca="false">INDEX(Monthly!$C$46:$BJ$46,($R$2-1)*12+8)</f>
        <v>-17925.9425333333</v>
      </c>
      <c r="P18" s="35" t="n">
        <f aca="false">INDEX(Monthly!$C$46:$BJ$46,($R$2-1)*12+9)</f>
        <v>-17930.6092</v>
      </c>
      <c r="Q18" s="35" t="n">
        <f aca="false">INDEX(Monthly!$C$46:$BJ$46,($R$2-1)*12+10)</f>
        <v>-17935.2758666667</v>
      </c>
      <c r="R18" s="35" t="n">
        <f aca="false">INDEX(Monthly!$C$46:$BJ$46,($R$2-1)*12+11)</f>
        <v>-17939.9425333333</v>
      </c>
      <c r="S18" s="35" t="n">
        <f aca="false">INDEX(Monthly!$C$46:$BJ$46,($R$2-1)*12+12)</f>
        <v>-17944.6092</v>
      </c>
    </row>
    <row r="19" customFormat="false" ht="15" hidden="false" customHeight="false" outlineLevel="0" collapsed="false">
      <c r="A19" s="40" t="s">
        <v>48</v>
      </c>
      <c r="B19" s="41" t="n">
        <f aca="false">'P&amp;L'!B22</f>
        <v>808921.040711111</v>
      </c>
      <c r="C19" s="41" t="n">
        <f aca="false">'P&amp;L'!C22</f>
        <v>1158256.40584694</v>
      </c>
      <c r="D19" s="41" t="n">
        <f aca="false">'P&amp;L'!D22</f>
        <v>1622369.08834314</v>
      </c>
      <c r="E19" s="41" t="n">
        <f aca="false">'P&amp;L'!E22</f>
        <v>2239215.94742175</v>
      </c>
      <c r="F19" s="41" t="n">
        <f aca="false">'P&amp;L'!F22</f>
        <v>3059361.60363244</v>
      </c>
      <c r="H19" s="41" t="n">
        <f aca="false">INDEX(Monthly!$C$47:$BJ$47,($R$2-1)*12+1)</f>
        <v>67321.5774666667</v>
      </c>
      <c r="I19" s="41" t="n">
        <f aca="false">INDEX(Monthly!$C$47:$BJ$47,($R$2-1)*12+2)</f>
        <v>67330.3552444445</v>
      </c>
      <c r="J19" s="41" t="n">
        <f aca="false">INDEX(Monthly!$C$47:$BJ$47,($R$2-1)*12+3)</f>
        <v>67347.9108</v>
      </c>
      <c r="K19" s="41" t="n">
        <f aca="false">INDEX(Monthly!$C$47:$BJ$47,($R$2-1)*12+4)</f>
        <v>67365.4663555556</v>
      </c>
      <c r="L19" s="41" t="n">
        <f aca="false">INDEX(Monthly!$C$47:$BJ$47,($R$2-1)*12+5)</f>
        <v>67383.0219111111</v>
      </c>
      <c r="M19" s="41" t="n">
        <f aca="false">INDEX(Monthly!$C$47:$BJ$47,($R$2-1)*12+6)</f>
        <v>67400.5774666667</v>
      </c>
      <c r="N19" s="41" t="n">
        <f aca="false">INDEX(Monthly!$C$47:$BJ$47,($R$2-1)*12+7)</f>
        <v>67418.1330222222</v>
      </c>
      <c r="O19" s="41" t="n">
        <f aca="false">INDEX(Monthly!$C$47:$BJ$47,($R$2-1)*12+8)</f>
        <v>67435.6885777778</v>
      </c>
      <c r="P19" s="41" t="n">
        <f aca="false">INDEX(Monthly!$C$47:$BJ$47,($R$2-1)*12+9)</f>
        <v>67453.2441333333</v>
      </c>
      <c r="Q19" s="41" t="n">
        <f aca="false">INDEX(Monthly!$C$47:$BJ$47,($R$2-1)*12+10)</f>
        <v>67470.7996888889</v>
      </c>
      <c r="R19" s="41" t="n">
        <f aca="false">INDEX(Monthly!$C$47:$BJ$47,($R$2-1)*12+11)</f>
        <v>67488.3552444444</v>
      </c>
      <c r="S19" s="41" t="n">
        <f aca="false">INDEX(Monthly!$C$47:$BJ$47,($R$2-1)*12+12)</f>
        <v>67505.9108</v>
      </c>
    </row>
    <row r="20" customFormat="false" ht="15" hidden="false" customHeight="false" outlineLevel="0" collapsed="false">
      <c r="A20" s="38" t="s">
        <v>49</v>
      </c>
      <c r="B20" s="39" t="n">
        <f aca="false">'P&amp;L'!B23</f>
        <v>0.179513221076934</v>
      </c>
      <c r="C20" s="39" t="n">
        <f aca="false">'P&amp;L'!C23</f>
        <v>0.198468809641143</v>
      </c>
      <c r="D20" s="39" t="n">
        <f aca="false">'P&amp;L'!D23</f>
        <v>0.214320241641494</v>
      </c>
      <c r="E20" s="39" t="n">
        <f aca="false">'P&amp;L'!E23</f>
        <v>0.227706357910878</v>
      </c>
      <c r="F20" s="39" t="n">
        <f aca="false">'P&amp;L'!F23</f>
        <v>0.239126695774185</v>
      </c>
      <c r="H20" s="39" t="n">
        <f aca="false">IF(H7=0,0,H19/H7)</f>
        <v>0.179277520709282</v>
      </c>
      <c r="I20" s="39" t="n">
        <f aca="false">IF(I7=0,0,I19/I7)</f>
        <v>0.179300895952355</v>
      </c>
      <c r="J20" s="39" t="n">
        <f aca="false">IF(J7=0,0,J19/J7)</f>
        <v>0.179347646438501</v>
      </c>
      <c r="K20" s="39" t="n">
        <f aca="false">IF(K7=0,0,K19/K7)</f>
        <v>0.179394396924646</v>
      </c>
      <c r="L20" s="39" t="n">
        <f aca="false">IF(L7=0,0,L19/L7)</f>
        <v>0.179441147410792</v>
      </c>
      <c r="M20" s="39" t="n">
        <f aca="false">IF(M7=0,0,M19/M7)</f>
        <v>0.179487897896938</v>
      </c>
      <c r="N20" s="39" t="n">
        <f aca="false">IF(N7=0,0,N19/N7)</f>
        <v>0.179534648383084</v>
      </c>
      <c r="O20" s="39" t="n">
        <f aca="false">IF(O7=0,0,O19/O7)</f>
        <v>0.17958139886923</v>
      </c>
      <c r="P20" s="39" t="n">
        <f aca="false">IF(P7=0,0,P19/P7)</f>
        <v>0.179628149355376</v>
      </c>
      <c r="Q20" s="39" t="n">
        <f aca="false">IF(Q7=0,0,Q19/Q7)</f>
        <v>0.179674899841522</v>
      </c>
      <c r="R20" s="39" t="n">
        <f aca="false">IF(R7=0,0,R19/R7)</f>
        <v>0.179721650327668</v>
      </c>
      <c r="S20" s="39" t="n">
        <f aca="false">IF(S7=0,0,S19/S7)</f>
        <v>0.179768400813813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370279.780711111</v>
      </c>
      <c r="C24" s="37" t="n">
        <f aca="false">'Cash Flow'!C10</f>
        <v>1036820.38418694</v>
      </c>
      <c r="D24" s="37" t="n">
        <f aca="false">'Cash Flow'!D10</f>
        <v>1460260.45759368</v>
      </c>
      <c r="E24" s="37" t="n">
        <f aca="false">'Cash Flow'!E10</f>
        <v>2023723.37283328</v>
      </c>
      <c r="F24" s="37" t="n">
        <f aca="false">'Cash Flow'!F10</f>
        <v>2773718.704392</v>
      </c>
      <c r="H24" s="37" t="n">
        <f aca="false">INDEX(Monthly!$C$71:$BJ$71,($R$2-1)*12+1)</f>
        <v>-382319.682533333</v>
      </c>
      <c r="I24" s="37" t="n">
        <f aca="false">INDEX(Monthly!$C$71:$BJ$71,($R$2-1)*12+2)</f>
        <v>68330.3552444445</v>
      </c>
      <c r="J24" s="37" t="n">
        <f aca="false">INDEX(Monthly!$C$71:$BJ$71,($R$2-1)*12+3)</f>
        <v>68347.9108</v>
      </c>
      <c r="K24" s="37" t="n">
        <f aca="false">INDEX(Monthly!$C$71:$BJ$71,($R$2-1)*12+4)</f>
        <v>68365.4663555556</v>
      </c>
      <c r="L24" s="37" t="n">
        <f aca="false">INDEX(Monthly!$C$71:$BJ$71,($R$2-1)*12+5)</f>
        <v>68383.0219111111</v>
      </c>
      <c r="M24" s="37" t="n">
        <f aca="false">INDEX(Monthly!$C$71:$BJ$71,($R$2-1)*12+6)</f>
        <v>68400.5774666667</v>
      </c>
      <c r="N24" s="37" t="n">
        <f aca="false">INDEX(Monthly!$C$71:$BJ$71,($R$2-1)*12+7)</f>
        <v>68418.1330222222</v>
      </c>
      <c r="O24" s="37" t="n">
        <f aca="false">INDEX(Monthly!$C$71:$BJ$71,($R$2-1)*12+8)</f>
        <v>68435.6885777778</v>
      </c>
      <c r="P24" s="37" t="n">
        <f aca="false">INDEX(Monthly!$C$71:$BJ$71,($R$2-1)*12+9)</f>
        <v>68453.2441333333</v>
      </c>
      <c r="Q24" s="37" t="n">
        <f aca="false">INDEX(Monthly!$C$71:$BJ$71,($R$2-1)*12+10)</f>
        <v>68470.7996888889</v>
      </c>
      <c r="R24" s="37" t="n">
        <f aca="false">INDEX(Monthly!$C$71:$BJ$71,($R$2-1)*12+11)</f>
        <v>68488.3552444444</v>
      </c>
      <c r="S24" s="37" t="n">
        <f aca="false">INDEX(Monthly!$C$71:$BJ$71,($R$2-1)*12+12)</f>
        <v>68505.9108</v>
      </c>
    </row>
    <row r="25" customFormat="false" ht="15" hidden="false" customHeight="false" outlineLevel="0" collapsed="false">
      <c r="A25" s="51" t="s">
        <v>82</v>
      </c>
      <c r="B25" s="35" t="n">
        <f aca="false">'Cash Flow'!B11</f>
        <v>-60000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INDEX(Monthly!$C$72:$BJ$72,($R$2-1)*12+1)</f>
        <v>-60000</v>
      </c>
      <c r="I25" s="35" t="n">
        <f aca="false">INDEX(Monthly!$C$72:$BJ$72,($R$2-1)*12+2)</f>
        <v>-0</v>
      </c>
      <c r="J25" s="35" t="n">
        <f aca="false">INDEX(Monthly!$C$72:$BJ$72,($R$2-1)*12+3)</f>
        <v>-0</v>
      </c>
      <c r="K25" s="35" t="n">
        <f aca="false">INDEX(Monthly!$C$72:$BJ$72,($R$2-1)*12+4)</f>
        <v>-0</v>
      </c>
      <c r="L25" s="35" t="n">
        <f aca="false">INDEX(Monthly!$C$72:$BJ$72,($R$2-1)*12+5)</f>
        <v>-0</v>
      </c>
      <c r="M25" s="35" t="n">
        <f aca="false">INDEX(Monthly!$C$72:$BJ$72,($R$2-1)*12+6)</f>
        <v>-0</v>
      </c>
      <c r="N25" s="35" t="n">
        <f aca="false">INDEX(Monthly!$C$72:$BJ$72,($R$2-1)*12+7)</f>
        <v>-0</v>
      </c>
      <c r="O25" s="35" t="n">
        <f aca="false">INDEX(Monthly!$C$72:$BJ$72,($R$2-1)*12+8)</f>
        <v>-0</v>
      </c>
      <c r="P25" s="35" t="n">
        <f aca="false">INDEX(Monthly!$C$72:$BJ$72,($R$2-1)*12+9)</f>
        <v>-0</v>
      </c>
      <c r="Q25" s="35" t="n">
        <f aca="false">INDEX(Monthly!$C$72:$BJ$72,($R$2-1)*12+10)</f>
        <v>-0</v>
      </c>
      <c r="R25" s="35" t="n">
        <f aca="false">INDEX(Monthly!$C$72:$BJ$72,($R$2-1)*12+11)</f>
        <v>-0</v>
      </c>
      <c r="S25" s="35" t="n">
        <f aca="false">INDEX(Monthly!$C$72:$BJ$72,($R$2-1)*12+12)</f>
        <v>-0</v>
      </c>
    </row>
    <row r="26" customFormat="false" ht="15" hidden="false" customHeight="false" outlineLevel="0" collapsed="false">
      <c r="A26" s="51" t="s">
        <v>62</v>
      </c>
      <c r="B26" s="35" t="n">
        <f aca="false">'Cash Flow'!B12</f>
        <v>300000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INDEX(Monthly!$C$73:$BJ$73,($R$2-1)*12+1)</f>
        <v>300000</v>
      </c>
      <c r="I26" s="35" t="n">
        <f aca="false">INDEX(Monthly!$C$73:$BJ$73,($R$2-1)*12+2)</f>
        <v>0</v>
      </c>
      <c r="J26" s="35" t="n">
        <f aca="false">INDEX(Monthly!$C$73:$BJ$73,($R$2-1)*12+3)</f>
        <v>0</v>
      </c>
      <c r="K26" s="35" t="n">
        <f aca="false">INDEX(Monthly!$C$73:$BJ$73,($R$2-1)*12+4)</f>
        <v>0</v>
      </c>
      <c r="L26" s="35" t="n">
        <f aca="false">INDEX(Monthly!$C$73:$BJ$73,($R$2-1)*12+5)</f>
        <v>0</v>
      </c>
      <c r="M26" s="35" t="n">
        <f aca="false">INDEX(Monthly!$C$73:$BJ$73,($R$2-1)*12+6)</f>
        <v>0</v>
      </c>
      <c r="N26" s="35" t="n">
        <f aca="false">INDEX(Monthly!$C$73:$BJ$73,($R$2-1)*12+7)</f>
        <v>0</v>
      </c>
      <c r="O26" s="35" t="n">
        <f aca="false">INDEX(Monthly!$C$73:$BJ$73,($R$2-1)*12+8)</f>
        <v>0</v>
      </c>
      <c r="P26" s="35" t="n">
        <f aca="false">INDEX(Monthly!$C$73:$BJ$73,($R$2-1)*12+9)</f>
        <v>0</v>
      </c>
      <c r="Q26" s="35" t="n">
        <f aca="false">INDEX(Monthly!$C$73:$BJ$73,($R$2-1)*12+10)</f>
        <v>0</v>
      </c>
      <c r="R26" s="35" t="n">
        <f aca="false">INDEX(Monthly!$C$73:$BJ$73,($R$2-1)*12+11)</f>
        <v>0</v>
      </c>
      <c r="S26" s="35" t="n">
        <f aca="false">INDEX(Monthly!$C$73:$BJ$73,($R$2-1)*12+12)</f>
        <v>0</v>
      </c>
    </row>
    <row r="27" customFormat="false" ht="15" hidden="false" customHeight="false" outlineLevel="0" collapsed="false">
      <c r="A27" s="51" t="s">
        <v>83</v>
      </c>
      <c r="B27" s="35" t="n">
        <f aca="false">'Cash Flow'!B13</f>
        <v>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INDEX(Monthly!$C$58:$BJ$58,($R$2-1)*12+1)</f>
        <v>200000</v>
      </c>
      <c r="I27" s="35" t="n">
        <f aca="false">INDEX(Monthly!$C$58:$BJ$58,($R$2-1)*12+2)</f>
        <v>0</v>
      </c>
      <c r="J27" s="35" t="n">
        <f aca="false">INDEX(Monthly!$C$58:$BJ$58,($R$2-1)*12+3)</f>
        <v>0</v>
      </c>
      <c r="K27" s="35" t="n">
        <f aca="false">INDEX(Monthly!$C$58:$BJ$58,($R$2-1)*12+4)</f>
        <v>0</v>
      </c>
      <c r="L27" s="35" t="n">
        <f aca="false">INDEX(Monthly!$C$58:$BJ$58,($R$2-1)*12+5)</f>
        <v>0</v>
      </c>
      <c r="M27" s="35" t="n">
        <f aca="false">INDEX(Monthly!$C$58:$BJ$58,($R$2-1)*12+6)</f>
        <v>0</v>
      </c>
      <c r="N27" s="35" t="n">
        <f aca="false">INDEX(Monthly!$C$58:$BJ$58,($R$2-1)*12+7)</f>
        <v>0</v>
      </c>
      <c r="O27" s="35" t="n">
        <f aca="false">INDEX(Monthly!$C$58:$BJ$58,($R$2-1)*12+8)</f>
        <v>0</v>
      </c>
      <c r="P27" s="35" t="n">
        <f aca="false">INDEX(Monthly!$C$58:$BJ$58,($R$2-1)*12+9)</f>
        <v>0</v>
      </c>
      <c r="Q27" s="35" t="n">
        <f aca="false">INDEX(Monthly!$C$58:$BJ$58,($R$2-1)*12+10)</f>
        <v>0</v>
      </c>
      <c r="R27" s="35" t="n">
        <f aca="false">INDEX(Monthly!$C$58:$BJ$58,($R$2-1)*12+11)</f>
        <v>0</v>
      </c>
      <c r="S27" s="35" t="n">
        <f aca="false">INDEX(Monthly!$C$58:$BJ$58,($R$2-1)*12+12)</f>
        <v>0</v>
      </c>
    </row>
    <row r="28" customFormat="false" ht="15" hidden="false" customHeight="false" outlineLevel="0" collapsed="false">
      <c r="A28" s="51" t="s">
        <v>84</v>
      </c>
      <c r="B28" s="35" t="n">
        <f aca="false">'Cash Flow'!B14</f>
        <v>-36666.6666666667</v>
      </c>
      <c r="C28" s="35" t="n">
        <f aca="false">'Cash Flow'!C14</f>
        <v>-40000</v>
      </c>
      <c r="D28" s="35" t="n">
        <f aca="false">'Cash Flow'!D14</f>
        <v>-40000</v>
      </c>
      <c r="E28" s="35" t="n">
        <f aca="false">'Cash Flow'!E14</f>
        <v>-40000</v>
      </c>
      <c r="F28" s="35" t="n">
        <f aca="false">'Cash Flow'!F14</f>
        <v>-40000</v>
      </c>
      <c r="H28" s="35" t="n">
        <f aca="false">INDEX(Monthly!$C$59:$BJ$59,($R$2-1)*12+1)</f>
        <v>-0</v>
      </c>
      <c r="I28" s="35" t="n">
        <f aca="false">INDEX(Monthly!$C$59:$BJ$59,($R$2-1)*12+2)</f>
        <v>-3333.33333333333</v>
      </c>
      <c r="J28" s="35" t="n">
        <f aca="false">INDEX(Monthly!$C$59:$BJ$59,($R$2-1)*12+3)</f>
        <v>-3333.33333333333</v>
      </c>
      <c r="K28" s="35" t="n">
        <f aca="false">INDEX(Monthly!$C$59:$BJ$59,($R$2-1)*12+4)</f>
        <v>-3333.33333333333</v>
      </c>
      <c r="L28" s="35" t="n">
        <f aca="false">INDEX(Monthly!$C$59:$BJ$59,($R$2-1)*12+5)</f>
        <v>-3333.33333333333</v>
      </c>
      <c r="M28" s="35" t="n">
        <f aca="false">INDEX(Monthly!$C$59:$BJ$59,($R$2-1)*12+6)</f>
        <v>-3333.33333333333</v>
      </c>
      <c r="N28" s="35" t="n">
        <f aca="false">INDEX(Monthly!$C$59:$BJ$59,($R$2-1)*12+7)</f>
        <v>-3333.33333333333</v>
      </c>
      <c r="O28" s="35" t="n">
        <f aca="false">INDEX(Monthly!$C$59:$BJ$59,($R$2-1)*12+8)</f>
        <v>-3333.33333333333</v>
      </c>
      <c r="P28" s="35" t="n">
        <f aca="false">INDEX(Monthly!$C$59:$BJ$59,($R$2-1)*12+9)</f>
        <v>-3333.33333333333</v>
      </c>
      <c r="Q28" s="35" t="n">
        <f aca="false">INDEX(Monthly!$C$59:$BJ$59,($R$2-1)*12+10)</f>
        <v>-3333.33333333333</v>
      </c>
      <c r="R28" s="35" t="n">
        <f aca="false">INDEX(Monthly!$C$59:$BJ$59,($R$2-1)*12+11)</f>
        <v>-3333.33333333333</v>
      </c>
      <c r="S28" s="35" t="n">
        <f aca="false">INDEX(Monthly!$C$59:$BJ$59,($R$2-1)*12+12)</f>
        <v>-3333.33333333333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463333.333333333</v>
      </c>
      <c r="C29" s="37" t="n">
        <f aca="false">'Cash Flow'!C15</f>
        <v>-40000</v>
      </c>
      <c r="D29" s="37" t="n">
        <f aca="false">'Cash Flow'!D15</f>
        <v>-40000</v>
      </c>
      <c r="E29" s="37" t="n">
        <f aca="false">'Cash Flow'!E15</f>
        <v>-40000</v>
      </c>
      <c r="F29" s="37" t="n">
        <f aca="false">'Cash Flow'!F15</f>
        <v>-40000</v>
      </c>
      <c r="H29" s="37" t="n">
        <f aca="false">INDEX(Monthly!$C$74:$BJ$74,($R$2-1)*12+1)</f>
        <v>500000</v>
      </c>
      <c r="I29" s="37" t="n">
        <f aca="false">INDEX(Monthly!$C$74:$BJ$74,($R$2-1)*12+2)</f>
        <v>-3333.33333333333</v>
      </c>
      <c r="J29" s="37" t="n">
        <f aca="false">INDEX(Monthly!$C$74:$BJ$74,($R$2-1)*12+3)</f>
        <v>-3333.33333333333</v>
      </c>
      <c r="K29" s="37" t="n">
        <f aca="false">INDEX(Monthly!$C$74:$BJ$74,($R$2-1)*12+4)</f>
        <v>-3333.33333333333</v>
      </c>
      <c r="L29" s="37" t="n">
        <f aca="false">INDEX(Monthly!$C$74:$BJ$74,($R$2-1)*12+5)</f>
        <v>-3333.33333333333</v>
      </c>
      <c r="M29" s="37" t="n">
        <f aca="false">INDEX(Monthly!$C$74:$BJ$74,($R$2-1)*12+6)</f>
        <v>-3333.33333333333</v>
      </c>
      <c r="N29" s="37" t="n">
        <f aca="false">INDEX(Monthly!$C$74:$BJ$74,($R$2-1)*12+7)</f>
        <v>-3333.33333333333</v>
      </c>
      <c r="O29" s="37" t="n">
        <f aca="false">INDEX(Monthly!$C$74:$BJ$74,($R$2-1)*12+8)</f>
        <v>-3333.33333333333</v>
      </c>
      <c r="P29" s="37" t="n">
        <f aca="false">INDEX(Monthly!$C$74:$BJ$74,($R$2-1)*12+9)</f>
        <v>-3333.33333333333</v>
      </c>
      <c r="Q29" s="37" t="n">
        <f aca="false">INDEX(Monthly!$C$74:$BJ$74,($R$2-1)*12+10)</f>
        <v>-3333.33333333333</v>
      </c>
      <c r="R29" s="37" t="n">
        <f aca="false">INDEX(Monthly!$C$74:$BJ$74,($R$2-1)*12+11)</f>
        <v>-3333.33333333333</v>
      </c>
      <c r="S29" s="37" t="n">
        <f aca="false">INDEX(Monthly!$C$74:$BJ$74,($R$2-1)*12+12)</f>
        <v>-3333.33333333333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773613.114044444</v>
      </c>
      <c r="C30" s="37" t="n">
        <f aca="false">'Cash Flow'!C16</f>
        <v>996820.384186935</v>
      </c>
      <c r="D30" s="37" t="n">
        <f aca="false">'Cash Flow'!D16</f>
        <v>1420260.45759368</v>
      </c>
      <c r="E30" s="37" t="n">
        <f aca="false">'Cash Flow'!E16</f>
        <v>1983723.37283328</v>
      </c>
      <c r="F30" s="37" t="n">
        <f aca="false">'Cash Flow'!F16</f>
        <v>2733718.704392</v>
      </c>
      <c r="H30" s="37" t="n">
        <f aca="false">INDEX(Monthly!$C$75:$BJ$75,($R$2-1)*12+1)</f>
        <v>57680.3174666667</v>
      </c>
      <c r="I30" s="37" t="n">
        <f aca="false">INDEX(Monthly!$C$75:$BJ$75,($R$2-1)*12+2)</f>
        <v>64997.0219111111</v>
      </c>
      <c r="J30" s="37" t="n">
        <f aca="false">INDEX(Monthly!$C$75:$BJ$75,($R$2-1)*12+3)</f>
        <v>65014.5774666667</v>
      </c>
      <c r="K30" s="37" t="n">
        <f aca="false">INDEX(Monthly!$C$75:$BJ$75,($R$2-1)*12+4)</f>
        <v>65032.1330222222</v>
      </c>
      <c r="L30" s="37" t="n">
        <f aca="false">INDEX(Monthly!$C$75:$BJ$75,($R$2-1)*12+5)</f>
        <v>65049.6885777778</v>
      </c>
      <c r="M30" s="37" t="n">
        <f aca="false">INDEX(Monthly!$C$75:$BJ$75,($R$2-1)*12+6)</f>
        <v>65067.2441333333</v>
      </c>
      <c r="N30" s="37" t="n">
        <f aca="false">INDEX(Monthly!$C$75:$BJ$75,($R$2-1)*12+7)</f>
        <v>65084.7996888889</v>
      </c>
      <c r="O30" s="37" t="n">
        <f aca="false">INDEX(Monthly!$C$75:$BJ$75,($R$2-1)*12+8)</f>
        <v>65102.3552444444</v>
      </c>
      <c r="P30" s="37" t="n">
        <f aca="false">INDEX(Monthly!$C$75:$BJ$75,($R$2-1)*12+9)</f>
        <v>65119.9108</v>
      </c>
      <c r="Q30" s="37" t="n">
        <f aca="false">INDEX(Monthly!$C$75:$BJ$75,($R$2-1)*12+10)</f>
        <v>65137.4663555556</v>
      </c>
      <c r="R30" s="37" t="n">
        <f aca="false">INDEX(Monthly!$C$75:$BJ$75,($R$2-1)*12+11)</f>
        <v>65155.0219111111</v>
      </c>
      <c r="S30" s="37" t="n">
        <f aca="false">INDEX(Monthly!$C$75:$BJ$75,($R$2-1)*12+12)</f>
        <v>65172.5774666667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773613.114044444</v>
      </c>
      <c r="C31" s="41" t="n">
        <f aca="false">'Cash Flow'!C18</f>
        <v>1770433.49823138</v>
      </c>
      <c r="D31" s="41" t="n">
        <f aca="false">'Cash Flow'!D18</f>
        <v>3190693.95582506</v>
      </c>
      <c r="E31" s="41" t="n">
        <f aca="false">'Cash Flow'!E18</f>
        <v>5174417.32865833</v>
      </c>
      <c r="F31" s="41" t="n">
        <f aca="false">'Cash Flow'!F18</f>
        <v>7908136.03305034</v>
      </c>
      <c r="H31" s="41" t="n">
        <f aca="false">INDEX(Monthly!$C$77:$BJ$77,($R$2-1)*12+1)</f>
        <v>57680.3174666667</v>
      </c>
      <c r="I31" s="41" t="n">
        <f aca="false">INDEX(Monthly!$C$77:$BJ$77,($R$2-1)*12+2)</f>
        <v>122677.339377778</v>
      </c>
      <c r="J31" s="41" t="n">
        <f aca="false">INDEX(Monthly!$C$77:$BJ$77,($R$2-1)*12+3)</f>
        <v>187691.916844444</v>
      </c>
      <c r="K31" s="41" t="n">
        <f aca="false">INDEX(Monthly!$C$77:$BJ$77,($R$2-1)*12+4)</f>
        <v>252724.049866667</v>
      </c>
      <c r="L31" s="41" t="n">
        <f aca="false">INDEX(Monthly!$C$77:$BJ$77,($R$2-1)*12+5)</f>
        <v>317773.738444444</v>
      </c>
      <c r="M31" s="41" t="n">
        <f aca="false">INDEX(Monthly!$C$77:$BJ$77,($R$2-1)*12+6)</f>
        <v>382840.982577778</v>
      </c>
      <c r="N31" s="41" t="n">
        <f aca="false">INDEX(Monthly!$C$77:$BJ$77,($R$2-1)*12+7)</f>
        <v>447925.782266667</v>
      </c>
      <c r="O31" s="41" t="n">
        <f aca="false">INDEX(Monthly!$C$77:$BJ$77,($R$2-1)*12+8)</f>
        <v>513028.137511111</v>
      </c>
      <c r="P31" s="41" t="n">
        <f aca="false">INDEX(Monthly!$C$77:$BJ$77,($R$2-1)*12+9)</f>
        <v>578148.048311111</v>
      </c>
      <c r="Q31" s="41" t="n">
        <f aca="false">INDEX(Monthly!$C$77:$BJ$77,($R$2-1)*12+10)</f>
        <v>643285.514666667</v>
      </c>
      <c r="R31" s="41" t="n">
        <f aca="false">INDEX(Monthly!$C$77:$BJ$77,($R$2-1)*12+11)</f>
        <v>708440.536577778</v>
      </c>
      <c r="S31" s="41" t="n">
        <f aca="false">INDEX(Monthly!$C$77:$BJ$77,($R$2-1)*12+12)</f>
        <v>773613.114044444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87</v>
      </c>
      <c r="B41" s="35" t="n">
        <f aca="false">'Balance Sheet'!B5</f>
        <v>773613.114044444</v>
      </c>
      <c r="C41" s="35" t="n">
        <f aca="false">'Balance Sheet'!C5</f>
        <v>1770433.49823138</v>
      </c>
      <c r="D41" s="35" t="n">
        <f aca="false">'Balance Sheet'!D5</f>
        <v>3190693.95582506</v>
      </c>
      <c r="E41" s="35" t="n">
        <f aca="false">'Balance Sheet'!E5</f>
        <v>5174417.32865833</v>
      </c>
      <c r="F41" s="35" t="n">
        <f aca="false">'Balance Sheet'!F5</f>
        <v>7908136.03305034</v>
      </c>
      <c r="H41" s="35" t="n">
        <f aca="false">INDEX(Monthly!$C$77:$BJ$77,($R$2-1)*12+1)</f>
        <v>57680.3174666667</v>
      </c>
      <c r="I41" s="35" t="n">
        <f aca="false">INDEX(Monthly!$C$77:$BJ$77,($R$2-1)*12+2)</f>
        <v>122677.339377778</v>
      </c>
      <c r="J41" s="35" t="n">
        <f aca="false">INDEX(Monthly!$C$77:$BJ$77,($R$2-1)*12+3)</f>
        <v>187691.916844444</v>
      </c>
      <c r="K41" s="35" t="n">
        <f aca="false">INDEX(Monthly!$C$77:$BJ$77,($R$2-1)*12+4)</f>
        <v>252724.049866667</v>
      </c>
      <c r="L41" s="35" t="n">
        <f aca="false">INDEX(Monthly!$C$77:$BJ$77,($R$2-1)*12+5)</f>
        <v>317773.738444444</v>
      </c>
      <c r="M41" s="35" t="n">
        <f aca="false">INDEX(Monthly!$C$77:$BJ$77,($R$2-1)*12+6)</f>
        <v>382840.982577778</v>
      </c>
      <c r="N41" s="35" t="n">
        <f aca="false">INDEX(Monthly!$C$77:$BJ$77,($R$2-1)*12+7)</f>
        <v>447925.782266667</v>
      </c>
      <c r="O41" s="35" t="n">
        <f aca="false">INDEX(Monthly!$C$77:$BJ$77,($R$2-1)*12+8)</f>
        <v>513028.137511111</v>
      </c>
      <c r="P41" s="35" t="n">
        <f aca="false">INDEX(Monthly!$C$77:$BJ$77,($R$2-1)*12+9)</f>
        <v>578148.048311111</v>
      </c>
      <c r="Q41" s="35" t="n">
        <f aca="false">INDEX(Monthly!$C$77:$BJ$77,($R$2-1)*12+10)</f>
        <v>643285.514666667</v>
      </c>
      <c r="R41" s="35" t="n">
        <f aca="false">INDEX(Monthly!$C$77:$BJ$77,($R$2-1)*12+11)</f>
        <v>708440.536577778</v>
      </c>
      <c r="S41" s="35" t="n">
        <f aca="false">INDEX(Monthly!$C$77:$BJ$77,($R$2-1)*12+12)</f>
        <v>773613.114044444</v>
      </c>
    </row>
    <row r="42" customFormat="false" ht="15" hidden="false" customHeight="false" outlineLevel="0" collapsed="false">
      <c r="A42" s="51" t="s">
        <v>88</v>
      </c>
      <c r="B42" s="35" t="n">
        <f aca="false">'Balance Sheet'!B6</f>
        <v>563274</v>
      </c>
      <c r="C42" s="35" t="n">
        <f aca="false">'Balance Sheet'!C6</f>
        <v>729495.234</v>
      </c>
      <c r="D42" s="35" t="n">
        <f aca="false">'Balance Sheet'!D6</f>
        <v>946229.504454</v>
      </c>
      <c r="E42" s="35" t="n">
        <f aca="false">'Balance Sheet'!E6</f>
        <v>1229223.44371811</v>
      </c>
      <c r="F42" s="35" t="n">
        <f aca="false">'Balance Sheet'!F6</f>
        <v>1599236.75278476</v>
      </c>
      <c r="H42" s="35" t="n">
        <f aca="false">INDEX(Monthly!$C$63:$BJ$63,($R$2-1)*12+1)</f>
        <v>563274</v>
      </c>
      <c r="I42" s="35" t="n">
        <f aca="false">INDEX(Monthly!$C$63:$BJ$63,($R$2-1)*12+2)</f>
        <v>563274</v>
      </c>
      <c r="J42" s="35" t="n">
        <f aca="false">INDEX(Monthly!$C$63:$BJ$63,($R$2-1)*12+3)</f>
        <v>563274</v>
      </c>
      <c r="K42" s="35" t="n">
        <f aca="false">INDEX(Monthly!$C$63:$BJ$63,($R$2-1)*12+4)</f>
        <v>563274</v>
      </c>
      <c r="L42" s="35" t="n">
        <f aca="false">INDEX(Monthly!$C$63:$BJ$63,($R$2-1)*12+5)</f>
        <v>563274</v>
      </c>
      <c r="M42" s="35" t="n">
        <f aca="false">INDEX(Monthly!$C$63:$BJ$63,($R$2-1)*12+6)</f>
        <v>563274</v>
      </c>
      <c r="N42" s="35" t="n">
        <f aca="false">INDEX(Monthly!$C$63:$BJ$63,($R$2-1)*12+7)</f>
        <v>563274</v>
      </c>
      <c r="O42" s="35" t="n">
        <f aca="false">INDEX(Monthly!$C$63:$BJ$63,($R$2-1)*12+8)</f>
        <v>563274</v>
      </c>
      <c r="P42" s="35" t="n">
        <f aca="false">INDEX(Monthly!$C$63:$BJ$63,($R$2-1)*12+9)</f>
        <v>563274</v>
      </c>
      <c r="Q42" s="35" t="n">
        <f aca="false">INDEX(Monthly!$C$63:$BJ$63,($R$2-1)*12+10)</f>
        <v>563274</v>
      </c>
      <c r="R42" s="35" t="n">
        <f aca="false">INDEX(Monthly!$C$63:$BJ$63,($R$2-1)*12+11)</f>
        <v>563274</v>
      </c>
      <c r="S42" s="35" t="n">
        <f aca="false">INDEX(Monthly!$C$63:$BJ$63,($R$2-1)*12+12)</f>
        <v>563274</v>
      </c>
    </row>
    <row r="43" customFormat="false" ht="15" hidden="false" customHeight="false" outlineLevel="0" collapsed="false">
      <c r="A43" s="51" t="s">
        <v>89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INDEX(Monthly!$C$64:$BJ$64,($R$2-1)*12+1)</f>
        <v>0</v>
      </c>
      <c r="I43" s="35" t="n">
        <f aca="false">INDEX(Monthly!$C$64:$BJ$64,($R$2-1)*12+2)</f>
        <v>0</v>
      </c>
      <c r="J43" s="35" t="n">
        <f aca="false">INDEX(Monthly!$C$64:$BJ$64,($R$2-1)*12+3)</f>
        <v>0</v>
      </c>
      <c r="K43" s="35" t="n">
        <f aca="false">INDEX(Monthly!$C$64:$BJ$64,($R$2-1)*12+4)</f>
        <v>0</v>
      </c>
      <c r="L43" s="35" t="n">
        <f aca="false">INDEX(Monthly!$C$64:$BJ$64,($R$2-1)*12+5)</f>
        <v>0</v>
      </c>
      <c r="M43" s="35" t="n">
        <f aca="false">INDEX(Monthly!$C$64:$BJ$64,($R$2-1)*12+6)</f>
        <v>0</v>
      </c>
      <c r="N43" s="35" t="n">
        <f aca="false">INDEX(Monthly!$C$64:$BJ$64,($R$2-1)*12+7)</f>
        <v>0</v>
      </c>
      <c r="O43" s="35" t="n">
        <f aca="false">INDEX(Monthly!$C$64:$BJ$64,($R$2-1)*12+8)</f>
        <v>0</v>
      </c>
      <c r="P43" s="35" t="n">
        <f aca="false">INDEX(Monthly!$C$64:$BJ$64,($R$2-1)*12+9)</f>
        <v>0</v>
      </c>
      <c r="Q43" s="35" t="n">
        <f aca="false">INDEX(Monthly!$C$64:$BJ$64,($R$2-1)*12+10)</f>
        <v>0</v>
      </c>
      <c r="R43" s="35" t="n">
        <f aca="false">INDEX(Monthly!$C$64:$BJ$64,($R$2-1)*12+11)</f>
        <v>0</v>
      </c>
      <c r="S43" s="35" t="n">
        <f aca="false">INDEX(Monthly!$C$64:$BJ$64,($R$2-1)*12+12)</f>
        <v>0</v>
      </c>
    </row>
    <row r="44" customFormat="false" ht="15" hidden="false" customHeight="false" outlineLevel="0" collapsed="false">
      <c r="A44" s="51" t="s">
        <v>90</v>
      </c>
      <c r="B44" s="35" t="n">
        <f aca="false">'Balance Sheet'!B8</f>
        <v>48000</v>
      </c>
      <c r="C44" s="35" t="n">
        <f aca="false">'Balance Sheet'!C8</f>
        <v>36000</v>
      </c>
      <c r="D44" s="35" t="n">
        <f aca="false">'Balance Sheet'!D8</f>
        <v>24000</v>
      </c>
      <c r="E44" s="35" t="n">
        <f aca="false">'Balance Sheet'!E8</f>
        <v>12000</v>
      </c>
      <c r="F44" s="35" t="n">
        <f aca="false">'Balance Sheet'!F8</f>
        <v>0</v>
      </c>
      <c r="H44" s="35" t="n">
        <f aca="false">INDEX(Monthly!$C$54:$BJ$54,($R$2-1)*12+1)</f>
        <v>59000</v>
      </c>
      <c r="I44" s="35" t="n">
        <f aca="false">INDEX(Monthly!$C$54:$BJ$54,($R$2-1)*12+2)</f>
        <v>58000</v>
      </c>
      <c r="J44" s="35" t="n">
        <f aca="false">INDEX(Monthly!$C$54:$BJ$54,($R$2-1)*12+3)</f>
        <v>57000</v>
      </c>
      <c r="K44" s="35" t="n">
        <f aca="false">INDEX(Monthly!$C$54:$BJ$54,($R$2-1)*12+4)</f>
        <v>56000</v>
      </c>
      <c r="L44" s="35" t="n">
        <f aca="false">INDEX(Monthly!$C$54:$BJ$54,($R$2-1)*12+5)</f>
        <v>55000</v>
      </c>
      <c r="M44" s="35" t="n">
        <f aca="false">INDEX(Monthly!$C$54:$BJ$54,($R$2-1)*12+6)</f>
        <v>54000</v>
      </c>
      <c r="N44" s="35" t="n">
        <f aca="false">INDEX(Monthly!$C$54:$BJ$54,($R$2-1)*12+7)</f>
        <v>53000</v>
      </c>
      <c r="O44" s="35" t="n">
        <f aca="false">INDEX(Monthly!$C$54:$BJ$54,($R$2-1)*12+8)</f>
        <v>52000</v>
      </c>
      <c r="P44" s="35" t="n">
        <f aca="false">INDEX(Monthly!$C$54:$BJ$54,($R$2-1)*12+9)</f>
        <v>51000</v>
      </c>
      <c r="Q44" s="35" t="n">
        <f aca="false">INDEX(Monthly!$C$54:$BJ$54,($R$2-1)*12+10)</f>
        <v>50000</v>
      </c>
      <c r="R44" s="35" t="n">
        <f aca="false">INDEX(Monthly!$C$54:$BJ$54,($R$2-1)*12+11)</f>
        <v>49000</v>
      </c>
      <c r="S44" s="35" t="n">
        <f aca="false">INDEX(Monthly!$C$54:$BJ$54,($R$2-1)*12+12)</f>
        <v>48000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1384887.11404444</v>
      </c>
      <c r="C45" s="37" t="n">
        <f aca="false">'Balance Sheet'!C9</f>
        <v>2535928.73223138</v>
      </c>
      <c r="D45" s="37" t="n">
        <f aca="false">'Balance Sheet'!D9</f>
        <v>4160923.46027906</v>
      </c>
      <c r="E45" s="37" t="n">
        <f aca="false">'Balance Sheet'!E9</f>
        <v>6415640.77237645</v>
      </c>
      <c r="F45" s="37" t="n">
        <f aca="false">'Balance Sheet'!F9</f>
        <v>9507372.78583509</v>
      </c>
      <c r="H45" s="37" t="n">
        <f aca="false">INDEX(Monthly!$C$91:$BJ$91,($R$2-1)*12+1)</f>
        <v>679954.317466667</v>
      </c>
      <c r="I45" s="37" t="n">
        <f aca="false">INDEX(Monthly!$C$91:$BJ$91,($R$2-1)*12+2)</f>
        <v>743951.339377778</v>
      </c>
      <c r="J45" s="37" t="n">
        <f aca="false">INDEX(Monthly!$C$91:$BJ$91,($R$2-1)*12+3)</f>
        <v>807965.916844445</v>
      </c>
      <c r="K45" s="37" t="n">
        <f aca="false">INDEX(Monthly!$C$91:$BJ$91,($R$2-1)*12+4)</f>
        <v>871998.049866667</v>
      </c>
      <c r="L45" s="37" t="n">
        <f aca="false">INDEX(Monthly!$C$91:$BJ$91,($R$2-1)*12+5)</f>
        <v>936047.738444445</v>
      </c>
      <c r="M45" s="37" t="n">
        <f aca="false">INDEX(Monthly!$C$91:$BJ$91,($R$2-1)*12+6)</f>
        <v>1000114.98257778</v>
      </c>
      <c r="N45" s="37" t="n">
        <f aca="false">INDEX(Monthly!$C$91:$BJ$91,($R$2-1)*12+7)</f>
        <v>1064199.78226667</v>
      </c>
      <c r="O45" s="37" t="n">
        <f aca="false">INDEX(Monthly!$C$91:$BJ$91,($R$2-1)*12+8)</f>
        <v>1128302.13751111</v>
      </c>
      <c r="P45" s="37" t="n">
        <f aca="false">INDEX(Monthly!$C$91:$BJ$91,($R$2-1)*12+9)</f>
        <v>1192422.04831111</v>
      </c>
      <c r="Q45" s="37" t="n">
        <f aca="false">INDEX(Monthly!$C$91:$BJ$91,($R$2-1)*12+10)</f>
        <v>1256559.51466667</v>
      </c>
      <c r="R45" s="37" t="n">
        <f aca="false">INDEX(Monthly!$C$91:$BJ$91,($R$2-1)*12+11)</f>
        <v>1320714.53657778</v>
      </c>
      <c r="S45" s="37" t="n">
        <f aca="false">INDEX(Monthly!$C$91:$BJ$91,($R$2-1)*12+12)</f>
        <v>1384887.11404444</v>
      </c>
    </row>
    <row r="46" customFormat="false" ht="15" hidden="false" customHeight="false" outlineLevel="0" collapsed="false">
      <c r="A46" s="51" t="s">
        <v>92</v>
      </c>
      <c r="B46" s="35" t="n">
        <f aca="false">'Balance Sheet'!B10</f>
        <v>112632.74</v>
      </c>
      <c r="C46" s="35" t="n">
        <f aca="false">'Balance Sheet'!C10</f>
        <v>145417.95234</v>
      </c>
      <c r="D46" s="35" t="n">
        <f aca="false">'Balance Sheet'!D10</f>
        <v>188043.59204454</v>
      </c>
      <c r="E46" s="35" t="n">
        <f aca="false">'Balance Sheet'!E10</f>
        <v>243544.956720181</v>
      </c>
      <c r="F46" s="35" t="n">
        <f aca="false">'Balance Sheet'!F10</f>
        <v>315915.366546385</v>
      </c>
      <c r="H46" s="35" t="n">
        <f aca="false">INDEX(Monthly!$C$65:$BJ$65,($R$2-1)*12+1)</f>
        <v>112632.74</v>
      </c>
      <c r="I46" s="35" t="n">
        <f aca="false">INDEX(Monthly!$C$65:$BJ$65,($R$2-1)*12+2)</f>
        <v>112632.74</v>
      </c>
      <c r="J46" s="35" t="n">
        <f aca="false">INDEX(Monthly!$C$65:$BJ$65,($R$2-1)*12+3)</f>
        <v>112632.74</v>
      </c>
      <c r="K46" s="35" t="n">
        <f aca="false">INDEX(Monthly!$C$65:$BJ$65,($R$2-1)*12+4)</f>
        <v>112632.74</v>
      </c>
      <c r="L46" s="35" t="n">
        <f aca="false">INDEX(Monthly!$C$65:$BJ$65,($R$2-1)*12+5)</f>
        <v>112632.74</v>
      </c>
      <c r="M46" s="35" t="n">
        <f aca="false">INDEX(Monthly!$C$65:$BJ$65,($R$2-1)*12+6)</f>
        <v>112632.74</v>
      </c>
      <c r="N46" s="35" t="n">
        <f aca="false">INDEX(Monthly!$C$65:$BJ$65,($R$2-1)*12+7)</f>
        <v>112632.74</v>
      </c>
      <c r="O46" s="35" t="n">
        <f aca="false">INDEX(Monthly!$C$65:$BJ$65,($R$2-1)*12+8)</f>
        <v>112632.74</v>
      </c>
      <c r="P46" s="35" t="n">
        <f aca="false">INDEX(Monthly!$C$65:$BJ$65,($R$2-1)*12+9)</f>
        <v>112632.74</v>
      </c>
      <c r="Q46" s="35" t="n">
        <f aca="false">INDEX(Monthly!$C$65:$BJ$65,($R$2-1)*12+10)</f>
        <v>112632.74</v>
      </c>
      <c r="R46" s="35" t="n">
        <f aca="false">INDEX(Monthly!$C$65:$BJ$65,($R$2-1)*12+11)</f>
        <v>112632.74</v>
      </c>
      <c r="S46" s="35" t="n">
        <f aca="false">INDEX(Monthly!$C$65:$BJ$65,($R$2-1)*12+12)</f>
        <v>112632.74</v>
      </c>
    </row>
    <row r="47" customFormat="false" ht="15" hidden="false" customHeight="false" outlineLevel="0" collapsed="false">
      <c r="A47" s="51" t="s">
        <v>93</v>
      </c>
      <c r="B47" s="35" t="n">
        <f aca="false">'Balance Sheet'!B11</f>
        <v>163333.333333333</v>
      </c>
      <c r="C47" s="35" t="n">
        <f aca="false">'Balance Sheet'!C11</f>
        <v>123333.333333333</v>
      </c>
      <c r="D47" s="35" t="n">
        <f aca="false">'Balance Sheet'!D11</f>
        <v>83333.3333333332</v>
      </c>
      <c r="E47" s="35" t="n">
        <f aca="false">'Balance Sheet'!E11</f>
        <v>43333.3333333332</v>
      </c>
      <c r="F47" s="35" t="n">
        <f aca="false">'Balance Sheet'!F11</f>
        <v>3333.33333333322</v>
      </c>
      <c r="H47" s="35" t="n">
        <f aca="false">INDEX(Monthly!$C$60:$BJ$60,($R$2-1)*12+1)</f>
        <v>200000</v>
      </c>
      <c r="I47" s="35" t="n">
        <f aca="false">INDEX(Monthly!$C$60:$BJ$60,($R$2-1)*12+2)</f>
        <v>196666.666666667</v>
      </c>
      <c r="J47" s="35" t="n">
        <f aca="false">INDEX(Monthly!$C$60:$BJ$60,($R$2-1)*12+3)</f>
        <v>193333.333333333</v>
      </c>
      <c r="K47" s="35" t="n">
        <f aca="false">INDEX(Monthly!$C$60:$BJ$60,($R$2-1)*12+4)</f>
        <v>190000</v>
      </c>
      <c r="L47" s="35" t="n">
        <f aca="false">INDEX(Monthly!$C$60:$BJ$60,($R$2-1)*12+5)</f>
        <v>186666.666666667</v>
      </c>
      <c r="M47" s="35" t="n">
        <f aca="false">INDEX(Monthly!$C$60:$BJ$60,($R$2-1)*12+6)</f>
        <v>183333.333333333</v>
      </c>
      <c r="N47" s="35" t="n">
        <f aca="false">INDEX(Monthly!$C$60:$BJ$60,($R$2-1)*12+7)</f>
        <v>180000</v>
      </c>
      <c r="O47" s="35" t="n">
        <f aca="false">INDEX(Monthly!$C$60:$BJ$60,($R$2-1)*12+8)</f>
        <v>176666.666666667</v>
      </c>
      <c r="P47" s="35" t="n">
        <f aca="false">INDEX(Monthly!$C$60:$BJ$60,($R$2-1)*12+9)</f>
        <v>173333.333333333</v>
      </c>
      <c r="Q47" s="35" t="n">
        <f aca="false">INDEX(Monthly!$C$60:$BJ$60,($R$2-1)*12+10)</f>
        <v>170000</v>
      </c>
      <c r="R47" s="35" t="n">
        <f aca="false">INDEX(Monthly!$C$60:$BJ$60,($R$2-1)*12+11)</f>
        <v>166666.666666667</v>
      </c>
      <c r="S47" s="35" t="n">
        <f aca="false">INDEX(Monthly!$C$60:$BJ$60,($R$2-1)*12+12)</f>
        <v>163333.333333333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275966.073333333</v>
      </c>
      <c r="C48" s="37" t="n">
        <f aca="false">'Balance Sheet'!C12</f>
        <v>268751.285673333</v>
      </c>
      <c r="D48" s="37" t="n">
        <f aca="false">'Balance Sheet'!D12</f>
        <v>271376.925377873</v>
      </c>
      <c r="E48" s="37" t="n">
        <f aca="false">'Balance Sheet'!E12</f>
        <v>286878.290053514</v>
      </c>
      <c r="F48" s="37" t="n">
        <f aca="false">'Balance Sheet'!F12</f>
        <v>319248.699879718</v>
      </c>
      <c r="H48" s="37" t="n">
        <f aca="false">INDEX(Monthly!$C$92:$BJ$92,($R$2-1)*12+1)</f>
        <v>312632.74</v>
      </c>
      <c r="I48" s="37" t="n">
        <f aca="false">INDEX(Monthly!$C$92:$BJ$92,($R$2-1)*12+2)</f>
        <v>309299.406666667</v>
      </c>
      <c r="J48" s="37" t="n">
        <f aca="false">INDEX(Monthly!$C$92:$BJ$92,($R$2-1)*12+3)</f>
        <v>305966.073333333</v>
      </c>
      <c r="K48" s="37" t="n">
        <f aca="false">INDEX(Monthly!$C$92:$BJ$92,($R$2-1)*12+4)</f>
        <v>302632.74</v>
      </c>
      <c r="L48" s="37" t="n">
        <f aca="false">INDEX(Monthly!$C$92:$BJ$92,($R$2-1)*12+5)</f>
        <v>299299.406666667</v>
      </c>
      <c r="M48" s="37" t="n">
        <f aca="false">INDEX(Monthly!$C$92:$BJ$92,($R$2-1)*12+6)</f>
        <v>295966.073333333</v>
      </c>
      <c r="N48" s="37" t="n">
        <f aca="false">INDEX(Monthly!$C$92:$BJ$92,($R$2-1)*12+7)</f>
        <v>292632.74</v>
      </c>
      <c r="O48" s="37" t="n">
        <f aca="false">INDEX(Monthly!$C$92:$BJ$92,($R$2-1)*12+8)</f>
        <v>289299.406666667</v>
      </c>
      <c r="P48" s="37" t="n">
        <f aca="false">INDEX(Monthly!$C$92:$BJ$92,($R$2-1)*12+9)</f>
        <v>285966.073333333</v>
      </c>
      <c r="Q48" s="37" t="n">
        <f aca="false">INDEX(Monthly!$C$92:$BJ$92,($R$2-1)*12+10)</f>
        <v>282632.74</v>
      </c>
      <c r="R48" s="37" t="n">
        <f aca="false">INDEX(Monthly!$C$92:$BJ$92,($R$2-1)*12+11)</f>
        <v>279299.406666667</v>
      </c>
      <c r="S48" s="37" t="n">
        <f aca="false">INDEX(Monthly!$C$92:$BJ$92,($R$2-1)*12+12)</f>
        <v>275966.073333333</v>
      </c>
    </row>
    <row r="49" customFormat="false" ht="15" hidden="false" customHeight="false" outlineLevel="0" collapsed="false">
      <c r="A49" s="51" t="s">
        <v>95</v>
      </c>
      <c r="B49" s="35" t="n">
        <f aca="false">'Balance Sheet'!B13</f>
        <v>300000</v>
      </c>
      <c r="C49" s="35" t="n">
        <f aca="false">'Balance Sheet'!C13</f>
        <v>300000</v>
      </c>
      <c r="D49" s="35" t="n">
        <f aca="false">'Balance Sheet'!D13</f>
        <v>300000</v>
      </c>
      <c r="E49" s="35" t="n">
        <f aca="false">'Balance Sheet'!E13</f>
        <v>300000</v>
      </c>
      <c r="F49" s="35" t="n">
        <f aca="false">'Balance Sheet'!F13</f>
        <v>300000</v>
      </c>
      <c r="H49" s="35" t="n">
        <f aca="false">INDEX(Monthly!$C$89:$BJ$89,($R$2-1)*12+1)</f>
        <v>300000</v>
      </c>
      <c r="I49" s="35" t="n">
        <f aca="false">INDEX(Monthly!$C$89:$BJ$89,($R$2-1)*12+2)</f>
        <v>300000</v>
      </c>
      <c r="J49" s="35" t="n">
        <f aca="false">INDEX(Monthly!$C$89:$BJ$89,($R$2-1)*12+3)</f>
        <v>300000</v>
      </c>
      <c r="K49" s="35" t="n">
        <f aca="false">INDEX(Monthly!$C$89:$BJ$89,($R$2-1)*12+4)</f>
        <v>300000</v>
      </c>
      <c r="L49" s="35" t="n">
        <f aca="false">INDEX(Monthly!$C$89:$BJ$89,($R$2-1)*12+5)</f>
        <v>300000</v>
      </c>
      <c r="M49" s="35" t="n">
        <f aca="false">INDEX(Monthly!$C$89:$BJ$89,($R$2-1)*12+6)</f>
        <v>300000</v>
      </c>
      <c r="N49" s="35" t="n">
        <f aca="false">INDEX(Monthly!$C$89:$BJ$89,($R$2-1)*12+7)</f>
        <v>300000</v>
      </c>
      <c r="O49" s="35" t="n">
        <f aca="false">INDEX(Monthly!$C$89:$BJ$89,($R$2-1)*12+8)</f>
        <v>300000</v>
      </c>
      <c r="P49" s="35" t="n">
        <f aca="false">INDEX(Monthly!$C$89:$BJ$89,($R$2-1)*12+9)</f>
        <v>300000</v>
      </c>
      <c r="Q49" s="35" t="n">
        <f aca="false">INDEX(Monthly!$C$89:$BJ$89,($R$2-1)*12+10)</f>
        <v>300000</v>
      </c>
      <c r="R49" s="35" t="n">
        <f aca="false">INDEX(Monthly!$C$89:$BJ$89,($R$2-1)*12+11)</f>
        <v>300000</v>
      </c>
      <c r="S49" s="35" t="n">
        <f aca="false">INDEX(Monthly!$C$89:$BJ$89,($R$2-1)*12+12)</f>
        <v>300000</v>
      </c>
    </row>
    <row r="50" customFormat="false" ht="15" hidden="false" customHeight="false" outlineLevel="0" collapsed="false">
      <c r="A50" s="51" t="s">
        <v>96</v>
      </c>
      <c r="B50" s="35" t="n">
        <f aca="false">'Balance Sheet'!B14</f>
        <v>808921.040711111</v>
      </c>
      <c r="C50" s="35" t="n">
        <f aca="false">'Balance Sheet'!C14</f>
        <v>1967177.44655805</v>
      </c>
      <c r="D50" s="35" t="n">
        <f aca="false">'Balance Sheet'!D14</f>
        <v>3589546.53490118</v>
      </c>
      <c r="E50" s="35" t="n">
        <f aca="false">'Balance Sheet'!E14</f>
        <v>5828762.48232294</v>
      </c>
      <c r="F50" s="35" t="n">
        <f aca="false">'Balance Sheet'!F14</f>
        <v>8888124.08595538</v>
      </c>
      <c r="H50" s="35" t="n">
        <f aca="false">INDEX(Monthly!$C$90:$BJ$90,($R$2-1)*12+1)</f>
        <v>67321.5774666667</v>
      </c>
      <c r="I50" s="35" t="n">
        <f aca="false">INDEX(Monthly!$C$90:$BJ$90,($R$2-1)*12+2)</f>
        <v>134651.932711111</v>
      </c>
      <c r="J50" s="35" t="n">
        <f aca="false">INDEX(Monthly!$C$90:$BJ$90,($R$2-1)*12+3)</f>
        <v>201999.843511111</v>
      </c>
      <c r="K50" s="35" t="n">
        <f aca="false">INDEX(Monthly!$C$90:$BJ$90,($R$2-1)*12+4)</f>
        <v>269365.309866667</v>
      </c>
      <c r="L50" s="35" t="n">
        <f aca="false">INDEX(Monthly!$C$90:$BJ$90,($R$2-1)*12+5)</f>
        <v>336748.331777778</v>
      </c>
      <c r="M50" s="35" t="n">
        <f aca="false">INDEX(Monthly!$C$90:$BJ$90,($R$2-1)*12+6)</f>
        <v>404148.909244444</v>
      </c>
      <c r="N50" s="35" t="n">
        <f aca="false">INDEX(Monthly!$C$90:$BJ$90,($R$2-1)*12+7)</f>
        <v>471567.042266667</v>
      </c>
      <c r="O50" s="35" t="n">
        <f aca="false">INDEX(Monthly!$C$90:$BJ$90,($R$2-1)*12+8)</f>
        <v>539002.730844444</v>
      </c>
      <c r="P50" s="35" t="n">
        <f aca="false">INDEX(Monthly!$C$90:$BJ$90,($R$2-1)*12+9)</f>
        <v>606455.974977778</v>
      </c>
      <c r="Q50" s="35" t="n">
        <f aca="false">INDEX(Monthly!$C$90:$BJ$90,($R$2-1)*12+10)</f>
        <v>673926.774666667</v>
      </c>
      <c r="R50" s="35" t="n">
        <f aca="false">INDEX(Monthly!$C$90:$BJ$90,($R$2-1)*12+11)</f>
        <v>741415.129911111</v>
      </c>
      <c r="S50" s="35" t="n">
        <f aca="false">INDEX(Monthly!$C$90:$BJ$90,($R$2-1)*12+12)</f>
        <v>808921.040711111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1108921.04071111</v>
      </c>
      <c r="C51" s="37" t="n">
        <f aca="false">'Balance Sheet'!C15</f>
        <v>2267177.44655805</v>
      </c>
      <c r="D51" s="37" t="n">
        <f aca="false">'Balance Sheet'!D15</f>
        <v>3889546.53490118</v>
      </c>
      <c r="E51" s="37" t="n">
        <f aca="false">'Balance Sheet'!E15</f>
        <v>6128762.48232294</v>
      </c>
      <c r="F51" s="37" t="n">
        <f aca="false">'Balance Sheet'!F15</f>
        <v>9188124.08595538</v>
      </c>
      <c r="H51" s="37" t="n">
        <f aca="false">INDEX(Monthly!$C$93:$BJ$93,($R$2-1)*12+1)</f>
        <v>367321.577466667</v>
      </c>
      <c r="I51" s="37" t="n">
        <f aca="false">INDEX(Monthly!$C$93:$BJ$93,($R$2-1)*12+2)</f>
        <v>434651.932711111</v>
      </c>
      <c r="J51" s="37" t="n">
        <f aca="false">INDEX(Monthly!$C$93:$BJ$93,($R$2-1)*12+3)</f>
        <v>501999.843511111</v>
      </c>
      <c r="K51" s="37" t="n">
        <f aca="false">INDEX(Monthly!$C$93:$BJ$93,($R$2-1)*12+4)</f>
        <v>569365.309866667</v>
      </c>
      <c r="L51" s="37" t="n">
        <f aca="false">INDEX(Monthly!$C$93:$BJ$93,($R$2-1)*12+5)</f>
        <v>636748.331777778</v>
      </c>
      <c r="M51" s="37" t="n">
        <f aca="false">INDEX(Monthly!$C$93:$BJ$93,($R$2-1)*12+6)</f>
        <v>704148.909244445</v>
      </c>
      <c r="N51" s="37" t="n">
        <f aca="false">INDEX(Monthly!$C$93:$BJ$93,($R$2-1)*12+7)</f>
        <v>771567.042266667</v>
      </c>
      <c r="O51" s="37" t="n">
        <f aca="false">INDEX(Monthly!$C$93:$BJ$93,($R$2-1)*12+8)</f>
        <v>839002.730844444</v>
      </c>
      <c r="P51" s="37" t="n">
        <f aca="false">INDEX(Monthly!$C$93:$BJ$93,($R$2-1)*12+9)</f>
        <v>906455.974977778</v>
      </c>
      <c r="Q51" s="37" t="n">
        <f aca="false">INDEX(Monthly!$C$93:$BJ$93,($R$2-1)*12+10)</f>
        <v>973926.774666667</v>
      </c>
      <c r="R51" s="37" t="n">
        <f aca="false">INDEX(Monthly!$C$93:$BJ$93,($R$2-1)*12+11)</f>
        <v>1041415.12991111</v>
      </c>
      <c r="S51" s="37" t="n">
        <f aca="false">INDEX(Monthly!$C$93:$BJ$93,($R$2-1)*12+12)</f>
        <v>1108921.04071111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1384887.11404444</v>
      </c>
      <c r="C52" s="41" t="n">
        <f aca="false">'Balance Sheet'!C16</f>
        <v>2535928.73223138</v>
      </c>
      <c r="D52" s="41" t="n">
        <f aca="false">'Balance Sheet'!D16</f>
        <v>4160923.46027906</v>
      </c>
      <c r="E52" s="41" t="n">
        <f aca="false">'Balance Sheet'!E16</f>
        <v>6415640.77237645</v>
      </c>
      <c r="F52" s="41" t="n">
        <f aca="false">'Balance Sheet'!F16</f>
        <v>9507372.7858351</v>
      </c>
      <c r="H52" s="41" t="n">
        <f aca="false">INDEX(Monthly!$C$94:$BJ$94,($R$2-1)*12+1)</f>
        <v>679954.317466667</v>
      </c>
      <c r="I52" s="41" t="n">
        <f aca="false">INDEX(Monthly!$C$94:$BJ$94,($R$2-1)*12+2)</f>
        <v>743951.339377778</v>
      </c>
      <c r="J52" s="41" t="n">
        <f aca="false">INDEX(Monthly!$C$94:$BJ$94,($R$2-1)*12+3)</f>
        <v>807965.916844444</v>
      </c>
      <c r="K52" s="41" t="n">
        <f aca="false">INDEX(Monthly!$C$94:$BJ$94,($R$2-1)*12+4)</f>
        <v>871998.049866667</v>
      </c>
      <c r="L52" s="41" t="n">
        <f aca="false">INDEX(Monthly!$C$94:$BJ$94,($R$2-1)*12+5)</f>
        <v>936047.738444444</v>
      </c>
      <c r="M52" s="41" t="n">
        <f aca="false">INDEX(Monthly!$C$94:$BJ$94,($R$2-1)*12+6)</f>
        <v>1000114.98257778</v>
      </c>
      <c r="N52" s="41" t="n">
        <f aca="false">INDEX(Monthly!$C$94:$BJ$94,($R$2-1)*12+7)</f>
        <v>1064199.78226667</v>
      </c>
      <c r="O52" s="41" t="n">
        <f aca="false">INDEX(Monthly!$C$94:$BJ$94,($R$2-1)*12+8)</f>
        <v>1128302.13751111</v>
      </c>
      <c r="P52" s="41" t="n">
        <f aca="false">INDEX(Monthly!$C$94:$BJ$94,($R$2-1)*12+9)</f>
        <v>1192422.04831111</v>
      </c>
      <c r="Q52" s="41" t="n">
        <f aca="false">INDEX(Monthly!$C$94:$BJ$94,($R$2-1)*12+10)</f>
        <v>1256559.51466667</v>
      </c>
      <c r="R52" s="41" t="n">
        <f aca="false">INDEX(Monthly!$C$94:$BJ$94,($R$2-1)*12+11)</f>
        <v>1320714.53657778</v>
      </c>
      <c r="S52" s="41" t="n">
        <f aca="false">INDEX(Monthly!$C$94:$BJ$94,($R$2-1)*12+12)</f>
        <v>1384887.11404444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2" t="n">
        <f aca="false">MATCH(MIN(Monthly!$C$77:$BJ$77),Monthly!$C$77:$BJ$77,0)</f>
        <v>1</v>
      </c>
    </row>
    <row r="7" customFormat="false" ht="15" hidden="false" customHeight="false" outlineLevel="0" collapsed="false">
      <c r="A7" s="6" t="s">
        <v>104</v>
      </c>
      <c r="B7" s="53" t="n">
        <f aca="false">SUMPRODUCT(--(Monthly!$C$4:$BJ$4&lt;=$B$6),Monthly!$C$50:$BJ$50)</f>
        <v>60000</v>
      </c>
    </row>
    <row r="8" customFormat="false" ht="15" hidden="false" customHeight="false" outlineLevel="0" collapsed="false">
      <c r="A8" s="6" t="s">
        <v>105</v>
      </c>
      <c r="B8" s="53" t="n">
        <f aca="false">-SUMPRODUCT(--(Monthly!$C$4:$BJ$4&lt;=$B$6),Monthly!$C$71:$BJ$71)</f>
        <v>382319.682533333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3" t="n">
        <f aca="false">-SUMPRODUCT(--(Monthly!$C$4:$BJ$4&lt;=$B$6),Monthly!$C$59:$BJ$59)</f>
        <v>-0</v>
      </c>
    </row>
    <row r="10" customFormat="false" ht="15" hidden="false" customHeight="false" outlineLevel="0" collapsed="false">
      <c r="A10" s="4" t="s">
        <v>108</v>
      </c>
      <c r="B10" s="54" t="n">
        <f aca="false">B7+B8+B9</f>
        <v>442319.682533333</v>
      </c>
    </row>
    <row r="11" customFormat="false" ht="15" hidden="false" customHeight="false" outlineLevel="0" collapsed="false">
      <c r="A11" s="6" t="s">
        <v>109</v>
      </c>
      <c r="B11" s="55" t="n">
        <f aca="false">Inputs!$E$69</f>
        <v>188000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4" t="n">
        <f aca="false">B10+B11</f>
        <v>630319.682533333</v>
      </c>
    </row>
    <row r="14" customFormat="false" ht="15" hidden="false" customHeight="false" outlineLevel="0" collapsed="false">
      <c r="A14" s="6" t="s">
        <v>62</v>
      </c>
      <c r="B14" s="55" t="n">
        <f aca="false">Inputs!$E$54</f>
        <v>300000</v>
      </c>
    </row>
    <row r="15" customFormat="false" ht="15" hidden="false" customHeight="false" outlineLevel="0" collapsed="false">
      <c r="A15" s="6" t="s">
        <v>63</v>
      </c>
      <c r="B15" s="55" t="n">
        <f aca="false">Inputs!$E$55</f>
        <v>200000</v>
      </c>
    </row>
    <row r="16" customFormat="false" ht="15" hidden="false" customHeight="false" outlineLevel="0" collapsed="false">
      <c r="A16" s="4" t="s">
        <v>112</v>
      </c>
      <c r="B16" s="54" t="n">
        <f aca="false">B14+B15</f>
        <v>500000</v>
      </c>
    </row>
    <row r="17" customFormat="false" ht="15" hidden="false" customHeight="false" outlineLevel="0" collapsed="false">
      <c r="A17" s="56" t="s">
        <v>65</v>
      </c>
      <c r="B17" s="57" t="n">
        <f aca="false">B16-B12</f>
        <v>-130319.682533333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3" t="n">
        <f aca="false">MIN(Monthly!$C$77:$BJ$77)</f>
        <v>57680.3174666667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2" t="n">
        <f aca="false">IFERROR(MATCH(1,Monthly!$C$78:$BJ$78,0),"Not within horizon")</f>
        <v>1</v>
      </c>
    </row>
    <row r="22" customFormat="false" ht="15" hidden="false" customHeight="false" outlineLevel="0" collapsed="false">
      <c r="A22" s="6" t="s">
        <v>118</v>
      </c>
      <c r="B22" s="52" t="n">
        <f aca="false">IFERROR(MATCH(1,Monthly!$C$81:$BJ$81,0),"Not within horizon")</f>
        <v>1</v>
      </c>
    </row>
    <row r="23" customFormat="false" ht="15" hidden="false" customHeight="false" outlineLevel="0" collapsed="false">
      <c r="A23" s="6" t="s">
        <v>119</v>
      </c>
      <c r="B23" s="52" t="n">
        <f aca="false">IF(MIN(Monthly!$C$83:$BJ$83)&gt;=0,"No investment to pay back",IFERROR(MATCH(1,Monthly!$C$85:$BJ$85,0),"Not within horizon"))</f>
        <v>8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8" t="s">
        <v>122</v>
      </c>
      <c r="B26" s="58" t="n">
        <v>1</v>
      </c>
      <c r="C26" s="58" t="n">
        <v>2</v>
      </c>
      <c r="D26" s="58" t="n">
        <v>3</v>
      </c>
      <c r="E26" s="58" t="n">
        <v>4</v>
      </c>
      <c r="F26" s="58" t="n">
        <v>5</v>
      </c>
    </row>
    <row r="27" customFormat="false" ht="15" hidden="false" customHeight="false" outlineLevel="0" collapsed="false">
      <c r="A27" s="33"/>
      <c r="B27" s="59" t="s">
        <v>123</v>
      </c>
      <c r="C27" s="59" t="s">
        <v>124</v>
      </c>
      <c r="D27" s="59" t="s">
        <v>125</v>
      </c>
      <c r="E27" s="59" t="s">
        <v>126</v>
      </c>
      <c r="F27" s="59" t="s">
        <v>127</v>
      </c>
    </row>
    <row r="28" customFormat="false" ht="15" hidden="false" customHeight="false" outlineLevel="0" collapsed="false">
      <c r="A28" s="4" t="s">
        <v>42</v>
      </c>
      <c r="B28" s="60" t="n">
        <f aca="false">SUMIF(Monthly!$C$5:$BJ$5,B$26,Monthly!$C$22:$BJ$22)</f>
        <v>4506192</v>
      </c>
      <c r="C28" s="60" t="n">
        <f aca="false">SUMIF(Monthly!$C$5:$BJ$5,C$26,Monthly!$C$22:$BJ$22)</f>
        <v>5835961.872</v>
      </c>
      <c r="D28" s="60" t="n">
        <f aca="false">SUMIF(Monthly!$C$5:$BJ$5,D$26,Monthly!$C$22:$BJ$22)</f>
        <v>7569836.035632</v>
      </c>
      <c r="E28" s="60" t="n">
        <f aca="false">SUMIF(Monthly!$C$5:$BJ$5,E$26,Monthly!$C$22:$BJ$22)</f>
        <v>9833787.54974491</v>
      </c>
      <c r="F28" s="60" t="n">
        <f aca="false">SUMIF(Monthly!$C$5:$BJ$5,F$26,Monthly!$C$22:$BJ$22)</f>
        <v>12793894.0222781</v>
      </c>
    </row>
    <row r="29" customFormat="false" ht="15" hidden="false" customHeight="false" outlineLevel="0" collapsed="false">
      <c r="A29" s="6" t="s">
        <v>43</v>
      </c>
      <c r="B29" s="53" t="n">
        <f aca="false">SUMIF(Monthly!$C$5:$BJ$5,B$26,Monthly!$C$29:$BJ$29)</f>
        <v>1803006.24</v>
      </c>
      <c r="C29" s="53" t="n">
        <f aca="false">SUMIF(Monthly!$C$5:$BJ$5,C$26,Monthly!$C$29:$BJ$29)</f>
        <v>2345931.01584</v>
      </c>
      <c r="D29" s="53" t="n">
        <f aca="false">SUMIF(Monthly!$C$5:$BJ$5,D$26,Monthly!$C$29:$BJ$29)</f>
        <v>3056789.82656304</v>
      </c>
      <c r="E29" s="53" t="n">
        <f aca="false">SUMIF(Monthly!$C$5:$BJ$5,E$26,Monthly!$C$29:$BJ$29)</f>
        <v>3988708.58846056</v>
      </c>
      <c r="F29" s="53" t="n">
        <f aca="false">SUMIF(Monthly!$C$5:$BJ$5,F$26,Monthly!$C$29:$BJ$29)</f>
        <v>5211925.22516482</v>
      </c>
    </row>
    <row r="30" customFormat="false" ht="15" hidden="false" customHeight="false" outlineLevel="0" collapsed="false">
      <c r="A30" s="38" t="s">
        <v>128</v>
      </c>
      <c r="B30" s="61" t="n">
        <f aca="false">IF(B28=0,0,B29/B28)</f>
        <v>0.400117491664803</v>
      </c>
      <c r="C30" s="61" t="n">
        <f aca="false">IF(C28=0,0,C29/C28)</f>
        <v>0.401978468552956</v>
      </c>
      <c r="D30" s="61" t="n">
        <f aca="false">IF(D28=0,0,D29/D28)</f>
        <v>0.403811893966318</v>
      </c>
      <c r="E30" s="61" t="n">
        <f aca="false">IF(E28=0,0,E29/E28)</f>
        <v>0.405612646021017</v>
      </c>
      <c r="F30" s="61" t="n">
        <f aca="false">IF(F28=0,0,F29/F28)</f>
        <v>0.407375988584029</v>
      </c>
    </row>
    <row r="31" customFormat="false" ht="15" hidden="false" customHeight="false" outlineLevel="0" collapsed="false">
      <c r="A31" s="6" t="s">
        <v>129</v>
      </c>
      <c r="B31" s="53" t="n">
        <f aca="false">-SUMIF(Monthly!$C$5:$BJ$5,B$26,Monthly!$C$37:$BJ$37)</f>
        <v>752400</v>
      </c>
      <c r="C31" s="53" t="n">
        <f aca="false">-SUMIF(Monthly!$C$5:$BJ$5,C$26,Monthly!$C$37:$BJ$37)</f>
        <v>856317</v>
      </c>
      <c r="D31" s="53" t="n">
        <f aca="false">-SUMIF(Monthly!$C$5:$BJ$5,D$26,Monthly!$C$37:$BJ$37)</f>
        <v>982891.4025</v>
      </c>
      <c r="E31" s="53" t="n">
        <f aca="false">-SUMIF(Monthly!$C$5:$BJ$5,E$26,Monthly!$C$37:$BJ$37)</f>
        <v>1137191.35543725</v>
      </c>
      <c r="F31" s="53" t="n">
        <f aca="false">-SUMIF(Monthly!$C$5:$BJ$5,F$26,Monthly!$C$37:$BJ$37)</f>
        <v>1325448.93364696</v>
      </c>
    </row>
    <row r="32" customFormat="false" ht="15" hidden="false" customHeight="false" outlineLevel="0" collapsed="false">
      <c r="A32" s="4" t="s">
        <v>130</v>
      </c>
      <c r="B32" s="60" t="n">
        <f aca="false">IF(B30&gt;0,B31/B30,"n/a")</f>
        <v>1880447.65768531</v>
      </c>
      <c r="C32" s="60" t="n">
        <f aca="false">IF(C30&gt;0,C31/C30,"n/a")</f>
        <v>2130255.88928326</v>
      </c>
      <c r="D32" s="60" t="n">
        <f aca="false">IF(D30&gt;0,D31/D30,"n/a")</f>
        <v>2434032.81871134</v>
      </c>
      <c r="E32" s="60" t="n">
        <f aca="false">IF(E30&gt;0,E31/E30,"n/a")</f>
        <v>2803638.80809161</v>
      </c>
      <c r="F32" s="60" t="n">
        <f aca="false">IF(F30&gt;0,F31/F30,"n/a")</f>
        <v>3253625.57143832</v>
      </c>
    </row>
    <row r="33" customFormat="false" ht="15" hidden="false" customHeight="false" outlineLevel="0" collapsed="false">
      <c r="A33" s="38" t="s">
        <v>131</v>
      </c>
      <c r="B33" s="61" t="n">
        <f aca="false">IF(AND(ISNUMBER(B32),B28&gt;0),(B28-B32)/B28,"n/a")</f>
        <v>0.582696951731016</v>
      </c>
      <c r="C33" s="61" t="n">
        <f aca="false">IF(AND(ISNUMBER(C32),C28&gt;0),(C28-C32)/C28,"n/a")</f>
        <v>0.634977757564887</v>
      </c>
      <c r="D33" s="61" t="n">
        <f aca="false">IF(AND(ISNUMBER(D32),D28&gt;0),(D28-D32)/D28,"n/a")</f>
        <v>0.678456335480175</v>
      </c>
      <c r="E33" s="61" t="n">
        <f aca="false">IF(AND(ISNUMBER(E32),E28&gt;0),(E28-E32)/E28,"n/a")</f>
        <v>0.714897358326158</v>
      </c>
      <c r="F33" s="61" t="n">
        <f aca="false">IF(AND(ISNUMBER(F32),F28&gt;0),(F28-F32)/F28,"n/a")</f>
        <v>0.74568918846969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2" t="n">
        <f aca="false">Inputs!$E$72</f>
        <v>0.16</v>
      </c>
    </row>
    <row r="7" customFormat="false" ht="15" hidden="false" customHeight="false" outlineLevel="0" collapsed="false">
      <c r="A7" s="38" t="s">
        <v>137</v>
      </c>
      <c r="B7" s="62" t="n">
        <f aca="false">Inputs!$E$73</f>
        <v>0.02</v>
      </c>
    </row>
    <row r="8" customFormat="false" ht="15" hidden="false" customHeight="false" outlineLevel="0" collapsed="false">
      <c r="A8" s="6" t="s">
        <v>138</v>
      </c>
      <c r="B8" s="63" t="n">
        <f aca="false">Inputs!$E$74</f>
        <v>5.5</v>
      </c>
    </row>
    <row r="9" customFormat="false" ht="15" hidden="false" customHeight="false" outlineLevel="0" collapsed="false">
      <c r="A9" s="38" t="s">
        <v>139</v>
      </c>
      <c r="B9" s="62" t="n">
        <f aca="false">Inputs!$E$66</f>
        <v>0.21</v>
      </c>
    </row>
    <row r="10" customFormat="false" ht="15" hidden="false" customHeight="false" outlineLevel="0" collapsed="false">
      <c r="A10" s="38" t="s">
        <v>140</v>
      </c>
      <c r="B10" s="62" t="n">
        <f aca="false">Inputs!$E$75</f>
        <v>0.01</v>
      </c>
    </row>
    <row r="11" customFormat="false" ht="15" hidden="false" customHeight="false" outlineLevel="0" collapsed="false">
      <c r="A11" s="38" t="s">
        <v>141</v>
      </c>
      <c r="B11" s="62" t="n">
        <f aca="false">Inputs!$E$76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8" t="s">
        <v>122</v>
      </c>
      <c r="B14" s="58" t="n">
        <v>1</v>
      </c>
      <c r="C14" s="58" t="n">
        <v>2</v>
      </c>
      <c r="D14" s="58" t="n">
        <v>3</v>
      </c>
      <c r="E14" s="58" t="n">
        <v>4</v>
      </c>
      <c r="F14" s="58" t="n">
        <v>5</v>
      </c>
    </row>
    <row r="15" customFormat="false" ht="15" hidden="false" customHeight="false" outlineLevel="0" collapsed="false">
      <c r="A15" s="33"/>
      <c r="B15" s="59" t="s">
        <v>123</v>
      </c>
      <c r="C15" s="59" t="s">
        <v>124</v>
      </c>
      <c r="D15" s="59" t="s">
        <v>125</v>
      </c>
      <c r="E15" s="59" t="s">
        <v>126</v>
      </c>
      <c r="F15" s="59" t="s">
        <v>127</v>
      </c>
    </row>
    <row r="16" customFormat="false" ht="15" hidden="false" customHeight="false" outlineLevel="0" collapsed="false">
      <c r="A16" s="6" t="s">
        <v>46</v>
      </c>
      <c r="B16" s="53" t="n">
        <f aca="false">SUMIF(Monthly!$C$5:$BJ$5,B$14,Monthly!$C$38:$BJ$38)</f>
        <v>1050606.24</v>
      </c>
      <c r="C16" s="53" t="n">
        <f aca="false">SUMIF(Monthly!$C$5:$BJ$5,C$14,Monthly!$C$38:$BJ$38)</f>
        <v>1489614.01584</v>
      </c>
      <c r="D16" s="53" t="n">
        <f aca="false">SUMIF(Monthly!$C$5:$BJ$5,D$14,Monthly!$C$38:$BJ$38)</f>
        <v>2073898.42406304</v>
      </c>
      <c r="E16" s="53" t="n">
        <f aca="false">SUMIF(Monthly!$C$5:$BJ$5,E$14,Monthly!$C$38:$BJ$38)</f>
        <v>2851517.23302332</v>
      </c>
      <c r="F16" s="53" t="n">
        <f aca="false">SUMIF(Monthly!$C$5:$BJ$5,F$14,Monthly!$C$38:$BJ$38)</f>
        <v>3886476.29151786</v>
      </c>
    </row>
    <row r="17" customFormat="false" ht="15" hidden="false" customHeight="false" outlineLevel="0" collapsed="false">
      <c r="A17" s="4" t="s">
        <v>143</v>
      </c>
      <c r="B17" s="60" t="n">
        <f aca="false">SUMIF(Monthly!$C$5:$BJ$5,B$14,Monthly!$C$86:$BJ$86)</f>
        <v>321857.6696</v>
      </c>
      <c r="C17" s="60" t="n">
        <f aca="false">SUMIF(Monthly!$C$5:$BJ$5,C$14,Monthly!$C$86:$BJ$86)</f>
        <v>1045879.0508536</v>
      </c>
      <c r="D17" s="60" t="n">
        <f aca="false">SUMIF(Monthly!$C$5:$BJ$5,D$14,Monthly!$C$86:$BJ$86)</f>
        <v>1466791.12426034</v>
      </c>
      <c r="E17" s="60" t="n">
        <f aca="false">SUMIF(Monthly!$C$5:$BJ$5,E$14,Monthly!$C$86:$BJ$86)</f>
        <v>2027726.03949995</v>
      </c>
      <c r="F17" s="60" t="n">
        <f aca="false">SUMIF(Monthly!$C$5:$BJ$5,F$14,Monthly!$C$86:$BJ$86)</f>
        <v>2775193.37105867</v>
      </c>
    </row>
    <row r="18" customFormat="false" ht="15" hidden="false" customHeight="false" outlineLevel="0" collapsed="false">
      <c r="A18" s="6" t="s">
        <v>144</v>
      </c>
      <c r="B18" s="64" t="n">
        <f aca="false">1/(1+Inputs!$E$72)^B$14</f>
        <v>0.862068965517241</v>
      </c>
      <c r="C18" s="64" t="n">
        <f aca="false">1/(1+Inputs!$E$72)^C$14</f>
        <v>0.743162901307967</v>
      </c>
      <c r="D18" s="64" t="n">
        <f aca="false">1/(1+Inputs!$E$72)^D$14</f>
        <v>0.640657673541351</v>
      </c>
      <c r="E18" s="64" t="n">
        <f aca="false">1/(1+Inputs!$E$72)^E$14</f>
        <v>0.552291097880475</v>
      </c>
      <c r="F18" s="64" t="n">
        <f aca="false">1/(1+Inputs!$E$72)^F$14</f>
        <v>0.476113015414203</v>
      </c>
    </row>
    <row r="19" customFormat="false" ht="15" hidden="false" customHeight="false" outlineLevel="0" collapsed="false">
      <c r="A19" s="6" t="s">
        <v>145</v>
      </c>
      <c r="B19" s="53" t="n">
        <f aca="false">B17*B18</f>
        <v>277463.508275862</v>
      </c>
      <c r="C19" s="53" t="n">
        <f aca="false">C17*C18</f>
        <v>777258.509849585</v>
      </c>
      <c r="D19" s="53" t="n">
        <f aca="false">D17*D18</f>
        <v>939710.989239733</v>
      </c>
      <c r="E19" s="53" t="n">
        <f aca="false">E17*E18</f>
        <v>1119895.04055625</v>
      </c>
      <c r="F19" s="53" t="n">
        <f aca="false">F17*F18</f>
        <v>1321305.68425225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9" t="s">
        <v>147</v>
      </c>
      <c r="C22" s="59" t="s">
        <v>148</v>
      </c>
    </row>
    <row r="23" customFormat="false" ht="15" hidden="false" customHeight="false" outlineLevel="0" collapsed="false">
      <c r="A23" s="6" t="s">
        <v>149</v>
      </c>
      <c r="B23" s="53" t="n">
        <f aca="false">SUM($B$19:$F$19)</f>
        <v>4435633.73217368</v>
      </c>
      <c r="C23" s="53" t="n">
        <f aca="false">B23</f>
        <v>4435633.73217368</v>
      </c>
    </row>
    <row r="24" customFormat="false" ht="15" hidden="false" customHeight="false" outlineLevel="0" collapsed="false">
      <c r="A24" s="6" t="s">
        <v>150</v>
      </c>
      <c r="B24" s="53" t="n">
        <f aca="false">$F$17</f>
        <v>2775193.37105867</v>
      </c>
      <c r="C24" s="53" t="n">
        <f aca="false">$F$16</f>
        <v>3886476.29151786</v>
      </c>
    </row>
    <row r="25" customFormat="false" ht="15" hidden="false" customHeight="false" outlineLevel="0" collapsed="false">
      <c r="A25" s="6" t="s">
        <v>151</v>
      </c>
      <c r="B25" s="53" t="n">
        <f aca="false">IF($B$6&gt;$B$7,B24*(1+$B$7)/($B$6-$B$7),0)</f>
        <v>20219265.9891417</v>
      </c>
      <c r="C25" s="53" t="n">
        <f aca="false">C24*$B$8</f>
        <v>21375619.6033482</v>
      </c>
    </row>
    <row r="26" customFormat="false" ht="15" hidden="false" customHeight="false" outlineLevel="0" collapsed="false">
      <c r="A26" s="6" t="s">
        <v>152</v>
      </c>
      <c r="B26" s="53" t="n">
        <f aca="false">B25/(1+$B$6)^$F$14</f>
        <v>9626655.6995521</v>
      </c>
      <c r="C26" s="53" t="n">
        <f aca="false">C25/(1+$B$6)^$F$14</f>
        <v>10177210.7056971</v>
      </c>
    </row>
    <row r="27" customFormat="false" ht="15" hidden="false" customHeight="false" outlineLevel="0" collapsed="false">
      <c r="A27" s="4" t="s">
        <v>146</v>
      </c>
      <c r="B27" s="54" t="n">
        <f aca="false">B23+B26</f>
        <v>14062289.4317258</v>
      </c>
      <c r="C27" s="54" t="n">
        <f aca="false">C23+C26</f>
        <v>14612844.4378707</v>
      </c>
    </row>
    <row r="28" customFormat="false" ht="15" hidden="false" customHeight="false" outlineLevel="0" collapsed="false">
      <c r="A28" s="38" t="s">
        <v>153</v>
      </c>
      <c r="B28" s="61" t="n">
        <f aca="false">IF(B27&lt;&gt;0,B26/B27,0)</f>
        <v>0.684572433691594</v>
      </c>
      <c r="C28" s="61" t="n">
        <f aca="false">IF(C27&lt;&gt;0,C26/C27,0)</f>
        <v>0.696456514607227</v>
      </c>
    </row>
    <row r="29" customFormat="false" ht="15" hidden="false" customHeight="false" outlineLevel="0" collapsed="false">
      <c r="A29" s="6" t="s">
        <v>154</v>
      </c>
      <c r="B29" s="65" t="n">
        <f aca="false">IF(C24&gt;0,B25/C24,"n/a")</f>
        <v>5.20246734381728</v>
      </c>
      <c r="C29" s="61" t="n">
        <f aca="false">IF(C25+B24&lt;&gt;0,(C25*$B$6-B24)/(C25+B24),"n/a")</f>
        <v>0.026703273556897</v>
      </c>
    </row>
    <row r="30" customFormat="false" ht="15" hidden="false" customHeight="false" outlineLevel="0" collapsed="false">
      <c r="A30" s="56" t="s">
        <v>155</v>
      </c>
      <c r="B30" s="57" t="n">
        <f aca="false">AVERAGE(B27,C27)</f>
        <v>14337566.9347983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0.14</v>
      </c>
      <c r="B34" s="53" t="n">
        <f aca="false">IF($A34&gt;B$33,SUMPRODUCT($B$17:$F$17/(1+$A34)^$B$14:$F$14)+$F$17*(1+B$33)/($A34-B$33)/(1+$A34)^$F$14,"n/a")</f>
        <v>15917237.473933</v>
      </c>
      <c r="C34" s="53" t="n">
        <f aca="false">IF($A34&gt;C$33,SUMPRODUCT($B$17:$F$17/(1+$A34)^$B$14:$F$14)+$F$17*(1+C$33)/($A34-C$33)/(1+$A34)^$F$14,"n/a")</f>
        <v>16422818.1695922</v>
      </c>
      <c r="D34" s="53" t="n">
        <f aca="false">IF($A34&gt;D$33,SUMPRODUCT($B$17:$F$17/(1+$A34)^$B$14:$F$14)+$F$17*(1+D$33)/($A34-D$33)/(1+$A34)^$F$14,"n/a")</f>
        <v>16970530.5898896</v>
      </c>
      <c r="E34" s="53" t="n">
        <f aca="false">IF($A34&gt;E$33,SUMPRODUCT($B$17:$F$17/(1+$A34)^$B$14:$F$14)+$F$17*(1+E$33)/($A34-E$33)/(1+$A34)^$F$14,"n/a")</f>
        <v>17565870.1771694</v>
      </c>
      <c r="F34" s="53" t="n">
        <f aca="false">IF($A34&gt;F$33,SUMPRODUCT($B$17:$F$17/(1+$A34)^$B$14:$F$14)+$F$17*(1+F$33)/($A34-F$33)/(1+$A34)^$F$14,"n/a")</f>
        <v>18215331.5451111</v>
      </c>
    </row>
    <row r="35" customFormat="false" ht="15" hidden="false" customHeight="false" outlineLevel="0" collapsed="false">
      <c r="A35" s="61" t="n">
        <f aca="false">$B$6+(-1)*$B$10</f>
        <v>0.15</v>
      </c>
      <c r="B35" s="53" t="n">
        <f aca="false">IF($A35&gt;B$33,SUMPRODUCT($B$17:$F$17/(1+$A35)^$B$14:$F$14)+$F$17*(1+B$33)/($A35-B$33)/(1+$A35)^$F$14,"n/a")</f>
        <v>14528264.8096211</v>
      </c>
      <c r="C35" s="53" t="n">
        <f aca="false">IF($A35&gt;C$33,SUMPRODUCT($B$17:$F$17/(1+$A35)^$B$14:$F$14)+$F$17*(1+C$33)/($A35-C$33)/(1+$A35)^$F$14,"n/a")</f>
        <v>14948033.5442907</v>
      </c>
      <c r="D35" s="53" t="n">
        <f aca="false">IF($A35&gt;D$33,SUMPRODUCT($B$17:$F$17/(1+$A35)^$B$14:$F$14)+$F$17*(1+D$33)/($A35-D$33)/(1+$A35)^$F$14,"n/a")</f>
        <v>15400092.1816272</v>
      </c>
      <c r="E35" s="53" t="n">
        <f aca="false">IF($A35&gt;E$33,SUMPRODUCT($B$17:$F$17/(1+$A35)^$B$14:$F$14)+$F$17*(1+E$33)/($A35-E$33)/(1+$A35)^$F$14,"n/a")</f>
        <v>15888315.5099506</v>
      </c>
      <c r="F35" s="53" t="n">
        <f aca="false">IF($A35&gt;F$33,SUMPRODUCT($B$17:$F$17/(1+$A35)^$B$14:$F$14)+$F$17*(1+F$33)/($A35-F$33)/(1+$A35)^$F$14,"n/a")</f>
        <v>16417224.1156343</v>
      </c>
    </row>
    <row r="36" customFormat="false" ht="15" hidden="false" customHeight="false" outlineLevel="0" collapsed="false">
      <c r="A36" s="61" t="n">
        <f aca="false">$B$6+(0)*$B$10</f>
        <v>0.16</v>
      </c>
      <c r="B36" s="53" t="n">
        <f aca="false">IF($A36&gt;B$33,SUMPRODUCT($B$17:$F$17/(1+$A36)^$B$14:$F$14)+$F$17*(1+B$33)/($A36-B$33)/(1+$A36)^$F$14,"n/a")</f>
        <v>13332425.3394722</v>
      </c>
      <c r="C36" s="53" t="n">
        <f aca="false">IF($A36&gt;C$33,SUMPRODUCT($B$17:$F$17/(1+$A36)^$B$14:$F$14)+$F$17*(1+C$33)/($A36-C$33)/(1+$A36)^$F$14,"n/a")</f>
        <v>13684773.5219394</v>
      </c>
      <c r="D36" s="53" t="n">
        <f aca="false">IF($A36&gt;D$33,SUMPRODUCT($B$17:$F$17/(1+$A36)^$B$14:$F$14)+$F$17*(1+D$33)/($A36-D$33)/(1+$A36)^$F$14,"n/a")</f>
        <v>14062289.4317258</v>
      </c>
      <c r="E36" s="53" t="n">
        <f aca="false">IF($A36&gt;E$33,SUMPRODUCT($B$17:$F$17/(1+$A36)^$B$14:$F$14)+$F$17*(1+E$33)/($A36-E$33)/(1+$A36)^$F$14,"n/a")</f>
        <v>14467769.4829778</v>
      </c>
      <c r="F36" s="53" t="n">
        <f aca="false">IF($A36&gt;F$33,SUMPRODUCT($B$17:$F$17/(1+$A36)^$B$14:$F$14)+$F$17*(1+F$33)/($A36-F$33)/(1+$A36)^$F$14,"n/a")</f>
        <v>14904440.307403</v>
      </c>
    </row>
    <row r="37" customFormat="false" ht="15" hidden="false" customHeight="false" outlineLevel="0" collapsed="false">
      <c r="A37" s="61" t="n">
        <f aca="false">$B$6+(1)*$B$10</f>
        <v>0.17</v>
      </c>
      <c r="B37" s="53" t="n">
        <f aca="false">IF($A37&gt;B$33,SUMPRODUCT($B$17:$F$17/(1+$A37)^$B$14:$F$14)+$F$17*(1+B$33)/($A37-B$33)/(1+$A37)^$F$14,"n/a")</f>
        <v>12293176.1109015</v>
      </c>
      <c r="C37" s="53" t="n">
        <f aca="false">IF($A37&gt;C$33,SUMPRODUCT($B$17:$F$17/(1+$A37)^$B$14:$F$14)+$F$17*(1+C$33)/($A37-C$33)/(1+$A37)^$F$14,"n/a")</f>
        <v>12591761.2069341</v>
      </c>
      <c r="D37" s="53" t="n">
        <f aca="false">IF($A37&gt;D$33,SUMPRODUCT($B$17:$F$17/(1+$A37)^$B$14:$F$14)+$F$17*(1+D$33)/($A37-D$33)/(1+$A37)^$F$14,"n/a")</f>
        <v>12910251.9760356</v>
      </c>
      <c r="E37" s="53" t="n">
        <f aca="false">IF($A37&gt;E$33,SUMPRODUCT($B$17:$F$17/(1+$A37)^$B$14:$F$14)+$F$17*(1+E$33)/($A37-E$33)/(1+$A37)^$F$14,"n/a")</f>
        <v>13250707.6257647</v>
      </c>
      <c r="F37" s="53" t="n">
        <f aca="false">IF($A37&gt;F$33,SUMPRODUCT($B$17:$F$17/(1+$A37)^$B$14:$F$14)+$F$17*(1+F$33)/($A37-F$33)/(1+$A37)^$F$14,"n/a")</f>
        <v>13615481.5361888</v>
      </c>
    </row>
    <row r="38" customFormat="false" ht="15" hidden="false" customHeight="false" outlineLevel="0" collapsed="false">
      <c r="A38" s="61" t="n">
        <f aca="false">$B$6+(2)*$B$10</f>
        <v>0.18</v>
      </c>
      <c r="B38" s="53" t="n">
        <f aca="false">IF($A38&gt;B$33,SUMPRODUCT($B$17:$F$17/(1+$A38)^$B$14:$F$14)+$F$17*(1+B$33)/($A38-B$33)/(1+$A38)^$F$14,"n/a")</f>
        <v>11382589.2534038</v>
      </c>
      <c r="C38" s="53" t="n">
        <f aca="false">IF($A38&gt;C$33,SUMPRODUCT($B$17:$F$17/(1+$A38)^$B$14:$F$14)+$F$17*(1+C$33)/($A38-C$33)/(1+$A38)^$F$14,"n/a")</f>
        <v>11637743.2404248</v>
      </c>
      <c r="D38" s="53" t="n">
        <f aca="false">IF($A38&gt;D$33,SUMPRODUCT($B$17:$F$17/(1+$A38)^$B$14:$F$14)+$F$17*(1+D$33)/($A38-D$33)/(1+$A38)^$F$14,"n/a")</f>
        <v>11908844.3516345</v>
      </c>
      <c r="E38" s="53" t="n">
        <f aca="false">IF($A38&gt;E$33,SUMPRODUCT($B$17:$F$17/(1+$A38)^$B$14:$F$14)+$F$17*(1+E$33)/($A38-E$33)/(1+$A38)^$F$14,"n/a")</f>
        <v>12197435.8571159</v>
      </c>
      <c r="F38" s="53" t="n">
        <f aca="false">IF($A38&gt;F$33,SUMPRODUCT($B$17:$F$17/(1+$A38)^$B$14:$F$14)+$F$17*(1+F$33)/($A38-F$33)/(1+$A38)^$F$14,"n/a")</f>
        <v>12505266.796296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9" t="s">
        <v>162</v>
      </c>
      <c r="C6" s="59" t="s">
        <v>163</v>
      </c>
    </row>
    <row r="7" customFormat="false" ht="15" hidden="false" customHeight="false" outlineLevel="0" collapsed="false">
      <c r="A7" s="6" t="s">
        <v>164</v>
      </c>
      <c r="B7" s="67" t="n">
        <f aca="false">Inputs!$E$54</f>
        <v>300000</v>
      </c>
      <c r="C7" s="61" t="n">
        <f aca="false">IF($B$9=0,0,B7/$B$9)</f>
        <v>0.6</v>
      </c>
    </row>
    <row r="8" customFormat="false" ht="15" hidden="false" customHeight="false" outlineLevel="0" collapsed="false">
      <c r="A8" s="6" t="s">
        <v>165</v>
      </c>
      <c r="B8" s="67" t="n">
        <f aca="false">Inputs!$E$55</f>
        <v>200000</v>
      </c>
      <c r="C8" s="61" t="n">
        <f aca="false">IF($B$9=0,0,B8/$B$9)</f>
        <v>0.4</v>
      </c>
    </row>
    <row r="9" customFormat="false" ht="15" hidden="false" customHeight="false" outlineLevel="0" collapsed="false">
      <c r="A9" s="4" t="s">
        <v>166</v>
      </c>
      <c r="B9" s="68" t="n">
        <f aca="false">B7+B8</f>
        <v>500000</v>
      </c>
      <c r="C9" s="69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5" t="n">
        <f aca="false">IF(B7&lt;=0,IF(B8&gt;0,"n/a",0),B8/B7)</f>
        <v>0.666666666666667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7" t="n">
        <f aca="false">'Break-even'!B12</f>
        <v>630319.682533333</v>
      </c>
    </row>
    <row r="12" customFormat="false" ht="15" hidden="false" customHeight="false" outlineLevel="0" collapsed="false">
      <c r="A12" s="56" t="s">
        <v>65</v>
      </c>
      <c r="B12" s="70" t="n">
        <f aca="false">'Break-even'!B17</f>
        <v>-130319.682533333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71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2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9" t="s">
        <v>162</v>
      </c>
      <c r="C17" s="59" t="s">
        <v>163</v>
      </c>
    </row>
    <row r="18" customFormat="false" ht="15" hidden="false" customHeight="false" outlineLevel="0" collapsed="false">
      <c r="A18" s="6" t="s">
        <v>62</v>
      </c>
      <c r="B18" s="72" t="n">
        <f aca="false">SUMPRODUCT(--(Monthly!$C$4:$BJ$4&lt;=$B$16),Monthly!$C$73:$BJ$73)</f>
        <v>300000</v>
      </c>
      <c r="C18" s="61" t="n">
        <f aca="false">IF($B$21=0,0,B18/$B$21)</f>
        <v>0.344716729779552</v>
      </c>
    </row>
    <row r="19" customFormat="false" ht="15" hidden="false" customHeight="false" outlineLevel="0" collapsed="false">
      <c r="A19" s="6" t="s">
        <v>174</v>
      </c>
      <c r="B19" s="72" t="n">
        <f aca="false">SUMPRODUCT(--(Monthly!$C$4:$BJ$4&lt;=$B$16),Monthly!$C$58:$BJ$58)</f>
        <v>200000</v>
      </c>
      <c r="C19" s="61" t="n">
        <f aca="false">IF($B$21=0,0,B19/$B$21)</f>
        <v>0.229811153186368</v>
      </c>
    </row>
    <row r="20" customFormat="false" ht="15" hidden="false" customHeight="false" outlineLevel="0" collapsed="false">
      <c r="A20" s="6" t="s">
        <v>175</v>
      </c>
      <c r="B20" s="72" t="n">
        <f aca="false">MAX(0,SUMPRODUCT(--(Monthly!$C$4:$BJ$4&lt;=$B$16),Monthly!$C$71:$BJ$71))</f>
        <v>370279.780711111</v>
      </c>
      <c r="C20" s="61" t="n">
        <f aca="false">IF($B$21=0,0,B20/$B$21)</f>
        <v>0.42547211703408</v>
      </c>
    </row>
    <row r="21" customFormat="false" ht="15" hidden="false" customHeight="false" outlineLevel="0" collapsed="false">
      <c r="A21" s="4" t="s">
        <v>176</v>
      </c>
      <c r="B21" s="68" t="n">
        <f aca="false">SUM(B18:B20)</f>
        <v>870279.780711111</v>
      </c>
      <c r="C21" s="69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9" t="s">
        <v>162</v>
      </c>
      <c r="C23" s="59" t="s">
        <v>163</v>
      </c>
    </row>
    <row r="24" customFormat="false" ht="15" hidden="false" customHeight="false" outlineLevel="0" collapsed="false">
      <c r="A24" s="6" t="s">
        <v>178</v>
      </c>
      <c r="B24" s="72" t="n">
        <f aca="false">MAX(0,-SUMPRODUCT(--(Monthly!$C$4:$BJ$4&lt;=$B$16),Monthly!$C$71:$BJ$71))</f>
        <v>0</v>
      </c>
      <c r="C24" s="61" t="n">
        <f aca="false">IF($B$28=0,0,B24/$B$28)</f>
        <v>0</v>
      </c>
    </row>
    <row r="25" customFormat="false" ht="15" hidden="false" customHeight="false" outlineLevel="0" collapsed="false">
      <c r="A25" s="6" t="s">
        <v>82</v>
      </c>
      <c r="B25" s="72" t="n">
        <f aca="false">-SUMPRODUCT(--(Monthly!$C$4:$BJ$4&lt;=$B$16),Monthly!$C$72:$BJ$72)</f>
        <v>60000</v>
      </c>
      <c r="C25" s="61" t="n">
        <f aca="false">IF($B$28=0,0,B25/$B$28)</f>
        <v>0.0689433459559104</v>
      </c>
    </row>
    <row r="26" customFormat="false" ht="15" hidden="false" customHeight="false" outlineLevel="0" collapsed="false">
      <c r="A26" s="6" t="s">
        <v>179</v>
      </c>
      <c r="B26" s="72" t="n">
        <f aca="false">-SUMPRODUCT(--(Monthly!$C$4:$BJ$4&lt;=$B$16),Monthly!$C$59:$BJ$59)</f>
        <v>36666.6666666667</v>
      </c>
      <c r="C26" s="61" t="n">
        <f aca="false">IF($B$28=0,0,B26/$B$28)</f>
        <v>0.0421320447508342</v>
      </c>
    </row>
    <row r="27" customFormat="false" ht="15" hidden="false" customHeight="false" outlineLevel="0" collapsed="false">
      <c r="A27" s="6" t="s">
        <v>180</v>
      </c>
      <c r="B27" s="72" t="n">
        <f aca="false">INDEX(Monthly!$C$77:$BJ$77,$B$16)</f>
        <v>773613.114044444</v>
      </c>
      <c r="C27" s="61" t="n">
        <f aca="false">IF($B$28=0,0,B27/$B$28)</f>
        <v>0.888924609293256</v>
      </c>
    </row>
    <row r="28" customFormat="false" ht="15" hidden="false" customHeight="false" outlineLevel="0" collapsed="false">
      <c r="A28" s="4" t="s">
        <v>181</v>
      </c>
      <c r="B28" s="68" t="n">
        <f aca="false">SUM(B24:B27)</f>
        <v>870279.780711111</v>
      </c>
      <c r="C28" s="69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2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9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0.295098360655738</v>
      </c>
      <c r="D6" s="39" t="n">
        <f aca="false">IF(N('P&amp;L'!C5)&lt;=0,"n/a",'P&amp;L'!D5/'P&amp;L'!C5-1)</f>
        <v>0.297101694915254</v>
      </c>
      <c r="E6" s="39" t="n">
        <f aca="false">IF(N('P&amp;L'!D5)&lt;=0,"n/a",'P&amp;L'!E5/'P&amp;L'!D5-1)</f>
        <v>0.299075370121131</v>
      </c>
      <c r="F6" s="39" t="n">
        <f aca="false">IF(N('P&amp;L'!E5)&lt;=0,"n/a",'P&amp;L'!F5/'P&amp;L'!E5-1)</f>
        <v>0.301013872585637</v>
      </c>
      <c r="G6" s="73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0.400117491664803</v>
      </c>
      <c r="C7" s="39" t="n">
        <f aca="false">IF('P&amp;L'!C5&lt;=0,"n/a",'P&amp;L'!C7/'P&amp;L'!C5)</f>
        <v>0.401978468552956</v>
      </c>
      <c r="D7" s="39" t="n">
        <f aca="false">IF('P&amp;L'!D5&lt;=0,"n/a",'P&amp;L'!D7/'P&amp;L'!D5)</f>
        <v>0.403811893966318</v>
      </c>
      <c r="E7" s="39" t="n">
        <f aca="false">IF('P&amp;L'!E5&lt;=0,"n/a",'P&amp;L'!E7/'P&amp;L'!E5)</f>
        <v>0.405612646021017</v>
      </c>
      <c r="F7" s="39" t="n">
        <f aca="false">IF('P&amp;L'!F5&lt;=0,"n/a",'P&amp;L'!F7/'P&amp;L'!F5)</f>
        <v>0.407375988584029</v>
      </c>
      <c r="G7" s="73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IF('P&amp;L'!B5&lt;=0,"n/a",'P&amp;L'!B15/'P&amp;L'!B5)</f>
        <v>0.23314724272734</v>
      </c>
      <c r="C8" s="39" t="n">
        <f aca="false">IF('P&amp;L'!C5&lt;=0,"n/a",'P&amp;L'!C15/'P&amp;L'!C5)</f>
        <v>0.255247386551123</v>
      </c>
      <c r="D8" s="39" t="n">
        <f aca="false">IF('P&amp;L'!D5&lt;=0,"n/a",'P&amp;L'!D15/'P&amp;L'!D5)</f>
        <v>0.273968737803697</v>
      </c>
      <c r="E8" s="39" t="n">
        <f aca="false">IF('P&amp;L'!E5&lt;=0,"n/a",'P&amp;L'!E15/'P&amp;L'!E5)</f>
        <v>0.289971409144108</v>
      </c>
      <c r="F8" s="39" t="n">
        <f aca="false">IF('P&amp;L'!F5&lt;=0,"n/a",'P&amp;L'!F15/'P&amp;L'!F5)</f>
        <v>0.303775870329262</v>
      </c>
      <c r="G8" s="73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IF('P&amp;L'!B5&lt;=0,"n/a",'P&amp;L'!B22/'P&amp;L'!B5)</f>
        <v>0.179513221076934</v>
      </c>
      <c r="C9" s="39" t="n">
        <f aca="false">IF('P&amp;L'!C5&lt;=0,"n/a",'P&amp;L'!C22/'P&amp;L'!C5)</f>
        <v>0.198468809641143</v>
      </c>
      <c r="D9" s="39" t="n">
        <f aca="false">IF('P&amp;L'!D5&lt;=0,"n/a",'P&amp;L'!D22/'P&amp;L'!D5)</f>
        <v>0.214320241641494</v>
      </c>
      <c r="E9" s="39" t="n">
        <f aca="false">IF('P&amp;L'!E5&lt;=0,"n/a",'P&amp;L'!E22/'P&amp;L'!E5)</f>
        <v>0.227706357910878</v>
      </c>
      <c r="F9" s="39" t="n">
        <f aca="false">IF('P&amp;L'!F5&lt;=0,"n/a",'P&amp;L'!F22/'P&amp;L'!F5)</f>
        <v>0.239126695774185</v>
      </c>
      <c r="G9" s="73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IF('P&amp;L'!B5&lt;=0,"n/a",-SUMIF(Headcount!$C$5:$BJ$5,B$5,Headcount!$C$19:$BJ$19)/'P&amp;L'!B5)</f>
        <v>0.571214009522897</v>
      </c>
      <c r="C10" s="39" t="n">
        <f aca="false">IF('P&amp;L'!C5&lt;=0,"n/a",-SUMIF(Headcount!$C$5:$BJ$5,C$5,Headcount!$C$19:$BJ$19)/'P&amp;L'!C5)</f>
        <v>0.567227317896363</v>
      </c>
      <c r="D10" s="39" t="n">
        <f aca="false">IF('P&amp;L'!D5&lt;=0,"n/a",-SUMIF(Headcount!$C$5:$BJ$5,D$5,Headcount!$C$19:$BJ$19)/'P&amp;L'!D5)</f>
        <v>0.563545608969566</v>
      </c>
      <c r="E10" s="39" t="n">
        <f aca="false">IF('P&amp;L'!E5&lt;=0,"n/a",-SUMIF(Headcount!$C$5:$BJ$5,E$5,Headcount!$C$19:$BJ$19)/'P&amp;L'!E5)</f>
        <v>0.56015377877267</v>
      </c>
      <c r="F10" s="39" t="n">
        <f aca="false">IF('P&amp;L'!F5&lt;=0,"n/a",-SUMIF(Headcount!$C$5:$BJ$5,F$5,Headcount!$C$19:$BJ$19)/'P&amp;L'!F5)</f>
        <v>0.557036594419686</v>
      </c>
      <c r="G10" s="73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IF('P&amp;L'!B5&lt;=0,"n/a",-'P&amp;L'!B10/'P&amp;L'!B5)</f>
        <v>0.021304019003185</v>
      </c>
      <c r="C11" s="39" t="n">
        <f aca="false">IF('P&amp;L'!C5&lt;=0,"n/a",-'P&amp;L'!C10/'P&amp;L'!C5)</f>
        <v>0.0164497304995415</v>
      </c>
      <c r="D11" s="39" t="n">
        <f aca="false">IF('P&amp;L'!D5&lt;=0,"n/a",-'P&amp;L'!D10/'P&amp;L'!D5)</f>
        <v>0.0126819127320748</v>
      </c>
      <c r="E11" s="39" t="n">
        <f aca="false">IF('P&amp;L'!E5&lt;=0,"n/a",-'P&amp;L'!E10/'P&amp;L'!E5)</f>
        <v>0.00976226093093604</v>
      </c>
      <c r="F11" s="39" t="n">
        <f aca="false">IF('P&amp;L'!F5&lt;=0,"n/a",-'P&amp;L'!F10/'P&amp;L'!F5)</f>
        <v>0.00750357942881463</v>
      </c>
      <c r="G11" s="73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IF('P&amp;L'!B5&lt;=0,"n/a",-'P&amp;L'!B14/'P&amp;L'!B5)</f>
        <v>0.166970248937462</v>
      </c>
      <c r="C12" s="39" t="n">
        <f aca="false">IF('P&amp;L'!C5&lt;=0,"n/a",-'P&amp;L'!C14/'P&amp;L'!C5)</f>
        <v>0.146731082001832</v>
      </c>
      <c r="D12" s="39" t="n">
        <f aca="false">IF('P&amp;L'!D5&lt;=0,"n/a",-'P&amp;L'!D14/'P&amp;L'!D5)</f>
        <v>0.129843156162621</v>
      </c>
      <c r="E12" s="39" t="n">
        <f aca="false">IF('P&amp;L'!E5&lt;=0,"n/a",-'P&amp;L'!E14/'P&amp;L'!E5)</f>
        <v>0.115641236876909</v>
      </c>
      <c r="F12" s="39" t="n">
        <f aca="false">IF('P&amp;L'!F5&lt;=0,"n/a",-'P&amp;L'!F14/'P&amp;L'!F5)</f>
        <v>0.103600118254767</v>
      </c>
      <c r="G12" s="73"/>
    </row>
    <row r="13" customFormat="false" ht="15" hidden="false" customHeight="false" outlineLevel="0" collapsed="false">
      <c r="A13" s="6" t="s">
        <v>191</v>
      </c>
      <c r="B13" s="74" t="n">
        <f aca="false">IF(('Balance Sheet'!B12-'Balance Sheet'!B11)&lt;=0,"n/a",('Balance Sheet'!B5+'Balance Sheet'!B6+'Balance Sheet'!B7)/('Balance Sheet'!B12-'Balance Sheet'!B11))</f>
        <v>11.8694361341511</v>
      </c>
      <c r="C13" s="74" t="n">
        <f aca="false">IF(('Balance Sheet'!C12-'Balance Sheet'!C11)&lt;=0,"n/a",('Balance Sheet'!C5+'Balance Sheet'!C6+'Balance Sheet'!C7)/('Balance Sheet'!C12-'Balance Sheet'!C11))</f>
        <v>17.1913349899628</v>
      </c>
      <c r="D13" s="74" t="n">
        <f aca="false">IF(('Balance Sheet'!D12-'Balance Sheet'!D11)&lt;=0,"n/a",('Balance Sheet'!D5+'Balance Sheet'!D6+'Balance Sheet'!D7)/('Balance Sheet'!D12-'Balance Sheet'!D11))</f>
        <v>21.9998108699135</v>
      </c>
      <c r="E13" s="74" t="n">
        <f aca="false">IF(('Balance Sheet'!E12-'Balance Sheet'!E11)&lt;=0,"n/a",('Balance Sheet'!E5+'Balance Sheet'!E6+'Balance Sheet'!E7)/('Balance Sheet'!E12-'Balance Sheet'!E11))</f>
        <v>26.2934649052653</v>
      </c>
      <c r="F13" s="74" t="n">
        <f aca="false">IF(('Balance Sheet'!F12-'Balance Sheet'!F11)&lt;=0,"n/a",('Balance Sheet'!F5+'Balance Sheet'!F6+'Balance Sheet'!F7)/('Balance Sheet'!F12-'Balance Sheet'!F11))</f>
        <v>30.0946829202091</v>
      </c>
      <c r="G13" s="75"/>
    </row>
    <row r="14" customFormat="false" ht="15" hidden="false" customHeight="false" outlineLevel="0" collapsed="false">
      <c r="A14" s="6" t="s">
        <v>192</v>
      </c>
      <c r="B14" s="74" t="n">
        <f aca="false">IF('Balance Sheet'!B15&lt;=0,"n/a",'Balance Sheet'!B11/'Balance Sheet'!B15)</f>
        <v>0.147290318550177</v>
      </c>
      <c r="C14" s="74" t="n">
        <f aca="false">IF('Balance Sheet'!C15&lt;=0,"n/a",'Balance Sheet'!C11/'Balance Sheet'!C15)</f>
        <v>0.0543995060997867</v>
      </c>
      <c r="D14" s="74" t="n">
        <f aca="false">IF('Balance Sheet'!D15&lt;=0,"n/a",'Balance Sheet'!D11/'Balance Sheet'!D15)</f>
        <v>0.0214249482775375</v>
      </c>
      <c r="E14" s="74" t="n">
        <f aca="false">IF('Balance Sheet'!E15&lt;=0,"n/a",'Balance Sheet'!E11/'Balance Sheet'!E15)</f>
        <v>0.00707048665343431</v>
      </c>
      <c r="F14" s="74" t="n">
        <f aca="false">IF('Balance Sheet'!F15&lt;=0,"n/a",'Balance Sheet'!F11/'Balance Sheet'!F15)</f>
        <v>0.000362787148078292</v>
      </c>
      <c r="G14" s="75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Sheet'!B9&lt;=0,"n/a",'P&amp;L'!B22/'Balance Sheet'!B9)</f>
        <v>0.584106121363731</v>
      </c>
      <c r="C15" s="39" t="n">
        <f aca="false">IF('Balance Sheet'!C9&lt;=0,"n/a",'P&amp;L'!C22/'Balance Sheet'!C9)</f>
        <v>0.45673854754892</v>
      </c>
      <c r="D15" s="39" t="n">
        <f aca="false">IF('Balance Sheet'!D9&lt;=0,"n/a",'P&amp;L'!D22/'Balance Sheet'!D9)</f>
        <v>0.389906015775241</v>
      </c>
      <c r="E15" s="39" t="n">
        <f aca="false">IF('Balance Sheet'!E9&lt;=0,"n/a",'P&amp;L'!E22/'Balance Sheet'!E9)</f>
        <v>0.349024520989867</v>
      </c>
      <c r="F15" s="39" t="n">
        <f aca="false">IF('Balance Sheet'!F9&lt;=0,"n/a",'P&amp;L'!F22/'Balance Sheet'!F9)</f>
        <v>0.32178832917865</v>
      </c>
      <c r="G15" s="73"/>
    </row>
    <row r="16" customFormat="false" ht="15" hidden="false" customHeight="false" outlineLevel="0" collapsed="false">
      <c r="A16" s="38" t="s">
        <v>194</v>
      </c>
      <c r="B16" s="39" t="n">
        <f aca="false">IF('Balance Sheet'!B15&lt;=0,"n/a",'P&amp;L'!B22/'Balance Sheet'!B15)</f>
        <v>0.729466761846614</v>
      </c>
      <c r="C16" s="39" t="n">
        <f aca="false">IF('Balance Sheet'!C15&lt;=0,"n/a",'P&amp;L'!C22/'Balance Sheet'!C15)</f>
        <v>0.510880349310709</v>
      </c>
      <c r="D16" s="39" t="n">
        <f aca="false">IF('Balance Sheet'!D15&lt;=0,"n/a",'P&amp;L'!D22/'Balance Sheet'!D15)</f>
        <v>0.41711008565793</v>
      </c>
      <c r="E16" s="39" t="n">
        <f aca="false">IF('Balance Sheet'!E15&lt;=0,"n/a",'P&amp;L'!E22/'Balance Sheet'!E15)</f>
        <v>0.36536184162468</v>
      </c>
      <c r="F16" s="39" t="n">
        <f aca="false">IF('Balance Sheet'!F15&lt;=0,"n/a",'P&amp;L'!F22/'Balance Sheet'!F15)</f>
        <v>0.332969121336625</v>
      </c>
      <c r="G16" s="73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49</v>
      </c>
      <c r="B20" s="39" t="n">
        <f aca="false">IF('P&amp;L'!B5&lt;=0,"n/a",'P&amp;L'!B22/'P&amp;L'!B5)</f>
        <v>0.179513221076934</v>
      </c>
      <c r="C20" s="39" t="n">
        <f aca="false">IF('P&amp;L'!C5&lt;=0,"n/a",'P&amp;L'!C22/'P&amp;L'!C5)</f>
        <v>0.198468809641143</v>
      </c>
      <c r="D20" s="39" t="n">
        <f aca="false">IF('P&amp;L'!D5&lt;=0,"n/a",'P&amp;L'!D22/'P&amp;L'!D5)</f>
        <v>0.214320241641494</v>
      </c>
      <c r="E20" s="39" t="n">
        <f aca="false">IF('P&amp;L'!E5&lt;=0,"n/a",'P&amp;L'!E22/'P&amp;L'!E5)</f>
        <v>0.227706357910878</v>
      </c>
      <c r="F20" s="39" t="n">
        <f aca="false">IF('P&amp;L'!F5&lt;=0,"n/a",'P&amp;L'!F22/'P&amp;L'!F5)</f>
        <v>0.239126695774185</v>
      </c>
    </row>
    <row r="21" customFormat="false" ht="15" hidden="false" customHeight="false" outlineLevel="0" collapsed="false">
      <c r="A21" s="51" t="s">
        <v>196</v>
      </c>
      <c r="B21" s="74" t="n">
        <f aca="false">IF('Balance Sheet'!B9&lt;=0,"n/a",'P&amp;L'!B5/'Balance Sheet'!B9)</f>
        <v>3.25383343833712</v>
      </c>
      <c r="C21" s="74" t="n">
        <f aca="false">IF('Balance Sheet'!C9&lt;=0,"n/a",'P&amp;L'!C5/'Balance Sheet'!C9)</f>
        <v>2.30131146740268</v>
      </c>
      <c r="D21" s="74" t="n">
        <f aca="false">IF('Balance Sheet'!D9&lt;=0,"n/a",'P&amp;L'!D5/'Balance Sheet'!D9)</f>
        <v>1.81926827251091</v>
      </c>
      <c r="E21" s="74" t="n">
        <f aca="false">IF('Balance Sheet'!E9&lt;=0,"n/a",'P&amp;L'!E5/'Balance Sheet'!E9)</f>
        <v>1.53278338027993</v>
      </c>
      <c r="F21" s="74" t="n">
        <f aca="false">IF('Balance Sheet'!F9&lt;=0,"n/a",'P&amp;L'!F5/'Balance Sheet'!F9)</f>
        <v>1.34568132653213</v>
      </c>
    </row>
    <row r="22" customFormat="false" ht="15" hidden="false" customHeight="false" outlineLevel="0" collapsed="false">
      <c r="A22" s="51" t="s">
        <v>197</v>
      </c>
      <c r="B22" s="74" t="n">
        <f aca="false">IF('Balance Sheet'!B15&lt;=0,"n/a",'Balance Sheet'!B9/'Balance Sheet'!B15)</f>
        <v>1.24885998479781</v>
      </c>
      <c r="C22" s="74" t="n">
        <f aca="false">IF('Balance Sheet'!C15&lt;=0,"n/a",'Balance Sheet'!C9/'Balance Sheet'!C15)</f>
        <v>1.11854003138631</v>
      </c>
      <c r="D22" s="74" t="n">
        <f aca="false">IF('Balance Sheet'!D15&lt;=0,"n/a",'Balance Sheet'!D9/'Balance Sheet'!D15)</f>
        <v>1.06977083907926</v>
      </c>
      <c r="E22" s="74" t="n">
        <f aca="false">IF('Balance Sheet'!E15&lt;=0,"n/a",'Balance Sheet'!E9/'Balance Sheet'!E15)</f>
        <v>1.04680851817654</v>
      </c>
      <c r="F22" s="74" t="n">
        <f aca="false">IF('Balance Sheet'!F15&lt;=0,"n/a",'Balance Sheet'!F9/'Balance Sheet'!F15)</f>
        <v>1.03474579760712</v>
      </c>
    </row>
    <row r="23" customFormat="false" ht="15" hidden="false" customHeight="false" outlineLevel="0" collapsed="false">
      <c r="A23" s="40" t="s">
        <v>198</v>
      </c>
      <c r="B23" s="76" t="n">
        <f aca="false">IF(AND(ISNUMBER(B20),ISNUMBER(B21),ISNUMBER(B22)),B20*B21*B22,"n/a")</f>
        <v>0.729466761846614</v>
      </c>
      <c r="C23" s="76" t="n">
        <f aca="false">IF(AND(ISNUMBER(C20),ISNUMBER(C21),ISNUMBER(C22)),C20*C21*C22,"n/a")</f>
        <v>0.510880349310709</v>
      </c>
      <c r="D23" s="76" t="n">
        <f aca="false">IF(AND(ISNUMBER(D20),ISNUMBER(D21),ISNUMBER(D22)),D20*D21*D22,"n/a")</f>
        <v>0.41711008565793</v>
      </c>
      <c r="E23" s="76" t="n">
        <f aca="false">IF(AND(ISNUMBER(E20),ISNUMBER(E21),ISNUMBER(E22)),E20*E21*E22,"n/a")</f>
        <v>0.36536184162468</v>
      </c>
      <c r="F23" s="76" t="n">
        <f aca="false">IF(AND(ISNUMBER(F20),ISNUMBER(F21),ISNUMBER(F22)),F20*F21*F22,"n/a")</f>
        <v>0.332969121336625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8" t="s">
        <v>122</v>
      </c>
      <c r="B27" s="58" t="n">
        <v>1</v>
      </c>
      <c r="C27" s="58" t="n">
        <v>2</v>
      </c>
      <c r="D27" s="58" t="n">
        <v>3</v>
      </c>
      <c r="E27" s="58" t="n">
        <v>4</v>
      </c>
      <c r="F27" s="58" t="n">
        <v>5</v>
      </c>
    </row>
    <row r="28" customFormat="false" ht="15" hidden="false" customHeight="false" outlineLevel="0" collapsed="false">
      <c r="A28" s="33"/>
      <c r="B28" s="59" t="s">
        <v>123</v>
      </c>
      <c r="C28" s="59" t="s">
        <v>124</v>
      </c>
      <c r="D28" s="59" t="s">
        <v>125</v>
      </c>
      <c r="E28" s="59" t="s">
        <v>126</v>
      </c>
      <c r="F28" s="59" t="s">
        <v>127</v>
      </c>
      <c r="G28" s="59" t="s">
        <v>186</v>
      </c>
    </row>
    <row r="29" customFormat="false" ht="15" hidden="false" customHeight="false" outlineLevel="0" collapsed="false">
      <c r="A29" s="4" t="s">
        <v>201</v>
      </c>
      <c r="B29" s="77" t="n">
        <f aca="false">INDEX(Monthly!$C$8:$BJ$8,B$27*12)</f>
        <v>16</v>
      </c>
      <c r="C29" s="77" t="n">
        <f aca="false">INDEX(Monthly!$C$8:$BJ$8,C$27*12)</f>
        <v>20.4</v>
      </c>
      <c r="D29" s="77" t="n">
        <f aca="false">INDEX(Monthly!$C$8:$BJ$8,D$27*12)</f>
        <v>26.04</v>
      </c>
      <c r="E29" s="77" t="n">
        <f aca="false">INDEX(Monthly!$C$8:$BJ$8,E$27*12)</f>
        <v>33.276</v>
      </c>
      <c r="F29" s="77" t="n">
        <f aca="false">INDEX(Monthly!$C$8:$BJ$8,F$27*12)</f>
        <v>42.5676</v>
      </c>
      <c r="G29" s="78"/>
    </row>
    <row r="30" customFormat="false" ht="15" hidden="false" customHeight="false" outlineLevel="0" collapsed="false">
      <c r="A30" s="4" t="s">
        <v>56</v>
      </c>
      <c r="B30" s="79" t="n">
        <f aca="false">SUMIF(Monthly!$C$5:$BJ$5,B$27,Monthly!$C$13:$BJ$13)</f>
        <v>24960</v>
      </c>
      <c r="C30" s="79" t="n">
        <f aca="false">SUMIF(Monthly!$C$5:$BJ$5,C$27,Monthly!$C$13:$BJ$13)</f>
        <v>31572</v>
      </c>
      <c r="D30" s="79" t="n">
        <f aca="false">SUMIF(Monthly!$C$5:$BJ$5,D$27,Monthly!$C$13:$BJ$13)</f>
        <v>39992.4</v>
      </c>
      <c r="E30" s="79" t="n">
        <f aca="false">SUMIF(Monthly!$C$5:$BJ$5,E$27,Monthly!$C$13:$BJ$13)</f>
        <v>50728.68</v>
      </c>
      <c r="F30" s="79" t="n">
        <f aca="false">SUMIF(Monthly!$C$5:$BJ$5,F$27,Monthly!$C$13:$BJ$13)</f>
        <v>64433.556</v>
      </c>
      <c r="G30" s="80"/>
    </row>
    <row r="31" customFormat="false" ht="15" hidden="false" customHeight="false" outlineLevel="0" collapsed="false">
      <c r="A31" s="6" t="s">
        <v>202</v>
      </c>
      <c r="B31" s="81" t="n">
        <f aca="false">B30-B32</f>
        <v>20160</v>
      </c>
      <c r="C31" s="81" t="n">
        <f aca="false">C30-C32</f>
        <v>25812</v>
      </c>
      <c r="D31" s="81" t="n">
        <f aca="false">D30-D32</f>
        <v>33080.4</v>
      </c>
      <c r="E31" s="81" t="n">
        <f aca="false">E30-E32</f>
        <v>42434.28</v>
      </c>
      <c r="F31" s="81" t="n">
        <f aca="false">F30-F32</f>
        <v>54480.276</v>
      </c>
      <c r="G31" s="80"/>
    </row>
    <row r="32" customFormat="false" ht="15" hidden="false" customHeight="false" outlineLevel="0" collapsed="false">
      <c r="A32" s="6" t="s">
        <v>203</v>
      </c>
      <c r="B32" s="81" t="n">
        <f aca="false">SUMIF(Monthly!$C$5:$BJ$5,B$27,Monthly!$C$12:$BJ$12)</f>
        <v>4800</v>
      </c>
      <c r="C32" s="81" t="n">
        <f aca="false">SUMIF(Monthly!$C$5:$BJ$5,C$27,Monthly!$C$12:$BJ$12)</f>
        <v>5760</v>
      </c>
      <c r="D32" s="81" t="n">
        <f aca="false">SUMIF(Monthly!$C$5:$BJ$5,D$27,Monthly!$C$12:$BJ$12)</f>
        <v>6912</v>
      </c>
      <c r="E32" s="81" t="n">
        <f aca="false">SUMIF(Monthly!$C$5:$BJ$5,E$27,Monthly!$C$12:$BJ$12)</f>
        <v>8294.4</v>
      </c>
      <c r="F32" s="81" t="n">
        <f aca="false">SUMIF(Monthly!$C$5:$BJ$5,F$27,Monthly!$C$12:$BJ$12)</f>
        <v>9953.28</v>
      </c>
      <c r="G32" s="80"/>
    </row>
    <row r="33" customFormat="false" ht="15" hidden="false" customHeight="false" outlineLevel="0" collapsed="false">
      <c r="A33" s="6" t="s">
        <v>204</v>
      </c>
      <c r="B33" s="81" t="n">
        <f aca="false">SUMIF(Monthly!$C$5:$BJ$5,B$27,Monthly!$C$9:$BJ$9)</f>
        <v>28800</v>
      </c>
      <c r="C33" s="81" t="n">
        <f aca="false">SUMIF(Monthly!$C$5:$BJ$5,C$27,Monthly!$C$9:$BJ$9)</f>
        <v>36720</v>
      </c>
      <c r="D33" s="81" t="n">
        <f aca="false">SUMIF(Monthly!$C$5:$BJ$5,D$27,Monthly!$C$9:$BJ$9)</f>
        <v>46872</v>
      </c>
      <c r="E33" s="81" t="n">
        <f aca="false">SUMIF(Monthly!$C$5:$BJ$5,E$27,Monthly!$C$9:$BJ$9)</f>
        <v>59896.8</v>
      </c>
      <c r="F33" s="81" t="n">
        <f aca="false">SUMIF(Monthly!$C$5:$BJ$5,F$27,Monthly!$C$9:$BJ$9)</f>
        <v>76621.68</v>
      </c>
      <c r="G33" s="80"/>
    </row>
    <row r="34" customFormat="false" ht="15" hidden="false" customHeight="false" outlineLevel="0" collapsed="false">
      <c r="A34" s="38" t="s">
        <v>57</v>
      </c>
      <c r="B34" s="82" t="n">
        <f aca="false">IF(B33=0,0,B31/B33)</f>
        <v>0.7</v>
      </c>
      <c r="C34" s="82" t="n">
        <f aca="false">IF(C33=0,0,C31/C33)</f>
        <v>0.702941176470588</v>
      </c>
      <c r="D34" s="82" t="n">
        <f aca="false">IF(D33=0,0,D31/D33)</f>
        <v>0.705760368663594</v>
      </c>
      <c r="E34" s="82" t="n">
        <f aca="false">IF(E33=0,0,E31/E33)</f>
        <v>0.708456545257844</v>
      </c>
      <c r="F34" s="82" t="n">
        <f aca="false">IF(F33=0,0,F31/F33)</f>
        <v>0.711029515406084</v>
      </c>
      <c r="G34" s="83"/>
    </row>
    <row r="35" customFormat="false" ht="15" hidden="false" customHeight="false" outlineLevel="0" collapsed="false">
      <c r="A35" s="38" t="s">
        <v>205</v>
      </c>
      <c r="B35" s="82" t="n">
        <f aca="false">IF(B30=0,0,B32/B30)</f>
        <v>0.192307692307692</v>
      </c>
      <c r="C35" s="82" t="n">
        <f aca="false">IF(C30=0,0,C32/C30)</f>
        <v>0.182440136830103</v>
      </c>
      <c r="D35" s="82" t="n">
        <f aca="false">IF(D30=0,0,D32/D30)</f>
        <v>0.172832838239265</v>
      </c>
      <c r="E35" s="82" t="n">
        <f aca="false">IF(E30=0,0,E32/E30)</f>
        <v>0.163505141470269</v>
      </c>
      <c r="F35" s="82" t="n">
        <f aca="false">IF(F30=0,0,F32/F30)</f>
        <v>0.154473547913451</v>
      </c>
      <c r="G35" s="83"/>
    </row>
    <row r="36" customFormat="false" ht="15" hidden="false" customHeight="false" outlineLevel="0" collapsed="false">
      <c r="A36" s="6" t="s">
        <v>206</v>
      </c>
      <c r="B36" s="35" t="n">
        <f aca="false">SUMIF(Monthly!$C$5:$BJ$5,B$27,Monthly!$C$19:$BJ$19)</f>
        <v>4941000</v>
      </c>
      <c r="C36" s="35" t="n">
        <f aca="false">SUMIF(Monthly!$C$5:$BJ$5,C$27,Monthly!$C$19:$BJ$19)</f>
        <v>6399081</v>
      </c>
      <c r="D36" s="35" t="n">
        <f aca="false">SUMIF(Monthly!$C$5:$BJ$5,D$27,Monthly!$C$19:$BJ$19)</f>
        <v>8300258.811</v>
      </c>
      <c r="E36" s="35" t="n">
        <f aca="false">SUMIF(Monthly!$C$5:$BJ$5,E$27,Monthly!$C$19:$BJ$19)</f>
        <v>10782661.787001</v>
      </c>
      <c r="F36" s="35" t="n">
        <f aca="false">SUMIF(Monthly!$C$5:$BJ$5,F$27,Monthly!$C$19:$BJ$19)</f>
        <v>14028392.5682873</v>
      </c>
      <c r="G36" s="84"/>
    </row>
    <row r="37" customFormat="false" ht="15" hidden="false" customHeight="false" outlineLevel="0" collapsed="false">
      <c r="A37" s="4" t="s">
        <v>207</v>
      </c>
      <c r="B37" s="85" t="n">
        <f aca="false">SUMIF(Monthly!$C$5:$BJ$5,B$27,Monthly!$C$22:$BJ$22)</f>
        <v>4506192</v>
      </c>
      <c r="C37" s="85" t="n">
        <f aca="false">SUMIF(Monthly!$C$5:$BJ$5,C$27,Monthly!$C$22:$BJ$22)</f>
        <v>5835961.872</v>
      </c>
      <c r="D37" s="85" t="n">
        <f aca="false">SUMIF(Monthly!$C$5:$BJ$5,D$27,Monthly!$C$22:$BJ$22)</f>
        <v>7569836.035632</v>
      </c>
      <c r="E37" s="85" t="n">
        <f aca="false">SUMIF(Monthly!$C$5:$BJ$5,E$27,Monthly!$C$22:$BJ$22)</f>
        <v>9833787.54974491</v>
      </c>
      <c r="F37" s="85" t="n">
        <f aca="false">SUMIF(Monthly!$C$5:$BJ$5,F$27,Monthly!$C$22:$BJ$22)</f>
        <v>12793894.0222781</v>
      </c>
      <c r="G37" s="84"/>
    </row>
    <row r="38" customFormat="false" ht="15" hidden="false" customHeight="false" outlineLevel="0" collapsed="false">
      <c r="A38" s="6" t="s">
        <v>208</v>
      </c>
      <c r="B38" s="35" t="n">
        <f aca="false">SUMIF(Monthly!$C$5:$BJ$5,B$27,Monthly!$C$20:$BJ$20)</f>
        <v>1778760</v>
      </c>
      <c r="C38" s="35" t="n">
        <f aca="false">SUMIF(Monthly!$C$5:$BJ$5,C$27,Monthly!$C$20:$BJ$20)</f>
        <v>2303669.16</v>
      </c>
      <c r="D38" s="35" t="n">
        <f aca="false">SUMIF(Monthly!$C$5:$BJ$5,D$27,Monthly!$C$20:$BJ$20)</f>
        <v>2988093.17196</v>
      </c>
      <c r="E38" s="35" t="n">
        <f aca="false">SUMIF(Monthly!$C$5:$BJ$5,E$27,Monthly!$C$20:$BJ$20)</f>
        <v>3881758.24332036</v>
      </c>
      <c r="F38" s="35" t="n">
        <f aca="false">SUMIF(Monthly!$C$5:$BJ$5,F$27,Monthly!$C$20:$BJ$20)</f>
        <v>5050221.32458344</v>
      </c>
      <c r="G38" s="84"/>
    </row>
    <row r="39" customFormat="false" ht="15" hidden="false" customHeight="false" outlineLevel="0" collapsed="false">
      <c r="A39" s="38" t="s">
        <v>209</v>
      </c>
      <c r="B39" s="82" t="n">
        <f aca="false">IF(B37=0,0,B38/B37)</f>
        <v>0.394736842105263</v>
      </c>
      <c r="C39" s="82" t="n">
        <f aca="false">IF(C37=0,0,C38/C37)</f>
        <v>0.394736842105263</v>
      </c>
      <c r="D39" s="82" t="n">
        <f aca="false">IF(D37=0,0,D38/D37)</f>
        <v>0.394736842105263</v>
      </c>
      <c r="E39" s="82" t="n">
        <f aca="false">IF(E37=0,0,E38/E37)</f>
        <v>0.394736842105263</v>
      </c>
      <c r="F39" s="82" t="n">
        <f aca="false">IF(F37=0,0,F38/F37)</f>
        <v>0.394736842105263</v>
      </c>
      <c r="G39" s="83"/>
    </row>
    <row r="40" customFormat="false" ht="15" hidden="false" customHeight="false" outlineLevel="0" collapsed="false">
      <c r="A40" s="38" t="s">
        <v>210</v>
      </c>
      <c r="B40" s="82" t="n">
        <f aca="false">IF(B36=0,0,B37/B36)</f>
        <v>0.912</v>
      </c>
      <c r="C40" s="82" t="n">
        <f aca="false">IF(C36=0,0,C37/C36)</f>
        <v>0.912</v>
      </c>
      <c r="D40" s="82" t="n">
        <f aca="false">IF(D36=0,0,D37/D36)</f>
        <v>0.912</v>
      </c>
      <c r="E40" s="82" t="n">
        <f aca="false">IF(E36=0,0,E37/E36)</f>
        <v>0.912</v>
      </c>
      <c r="F40" s="82" t="n">
        <f aca="false">IF(F36=0,0,F37/F36)</f>
        <v>0.912</v>
      </c>
      <c r="G40" s="83"/>
    </row>
    <row r="41" customFormat="false" ht="15" hidden="false" customHeight="false" outlineLevel="0" collapsed="false">
      <c r="A41" s="6" t="s">
        <v>211</v>
      </c>
      <c r="B41" s="86" t="n">
        <f aca="false">IF(B30=0,0,B37/B30)</f>
        <v>180.536538461538</v>
      </c>
      <c r="C41" s="86" t="n">
        <f aca="false">IF(C30=0,0,C37/C30)</f>
        <v>184.846125427594</v>
      </c>
      <c r="D41" s="86" t="n">
        <f aca="false">IF(D30=0,0,D37/D30)</f>
        <v>189.281864445045</v>
      </c>
      <c r="E41" s="86" t="n">
        <f aca="false">IF(E30=0,0,E37/E30)</f>
        <v>193.850649174095</v>
      </c>
      <c r="F41" s="86" t="n">
        <f aca="false">IF(F30=0,0,F37/F30)</f>
        <v>198.55949006257</v>
      </c>
      <c r="G41" s="87"/>
    </row>
    <row r="42" customFormat="false" ht="15" hidden="false" customHeight="false" outlineLevel="0" collapsed="false">
      <c r="A42" s="6" t="s">
        <v>212</v>
      </c>
      <c r="B42" s="35" t="n">
        <f aca="false">IF(B29=0,0,B37/B29)</f>
        <v>281637</v>
      </c>
      <c r="C42" s="35" t="n">
        <f aca="false">IF(C29=0,0,C37/C29)</f>
        <v>286076.562352941</v>
      </c>
      <c r="D42" s="35" t="n">
        <f aca="false">IF(D29=0,0,D37/D29)</f>
        <v>290700.308588018</v>
      </c>
      <c r="E42" s="35" t="n">
        <f aca="false">IF(E29=0,0,E37/E29)</f>
        <v>295521.924201975</v>
      </c>
      <c r="F42" s="35" t="n">
        <f aca="false">IF(F29=0,0,F37/F29)</f>
        <v>300554.741687999</v>
      </c>
      <c r="G42" s="84"/>
    </row>
    <row r="43" customFormat="false" ht="15" hidden="false" customHeight="false" outlineLevel="0" collapsed="false">
      <c r="A43" s="6" t="s">
        <v>213</v>
      </c>
      <c r="B43" s="35" t="n">
        <f aca="false">-SUMIF(Monthly!$C$5:$BJ$5,B$27,Monthly!$C$25:$BJ$25)</f>
        <v>2136000</v>
      </c>
      <c r="C43" s="35" t="n">
        <f aca="false">-SUMIF(Monthly!$C$5:$BJ$5,C$27,Monthly!$C$25:$BJ$25)</f>
        <v>2781000</v>
      </c>
      <c r="D43" s="35" t="n">
        <f aca="false">-SUMIF(Monthly!$C$5:$BJ$5,D$27,Monthly!$C$25:$BJ$25)</f>
        <v>3625986.456</v>
      </c>
      <c r="E43" s="35" t="n">
        <f aca="false">-SUMIF(Monthly!$C$5:$BJ$5,E$27,Monthly!$C$25:$BJ$25)</f>
        <v>4734349.0002</v>
      </c>
      <c r="F43" s="35" t="n">
        <f aca="false">-SUMIF(Monthly!$C$5:$BJ$5,F$27,Monthly!$C$25:$BJ$25)</f>
        <v>6189926.58688918</v>
      </c>
      <c r="G43" s="84"/>
    </row>
    <row r="44" customFormat="false" ht="15" hidden="false" customHeight="false" outlineLevel="0" collapsed="false">
      <c r="A44" s="6" t="s">
        <v>214</v>
      </c>
      <c r="B44" s="35" t="n">
        <f aca="false">-SUMIF(Monthly!$C$5:$BJ$5,B$27,Monthly!$C$26:$BJ$26)</f>
        <v>432000</v>
      </c>
      <c r="C44" s="35" t="n">
        <f aca="false">-SUMIF(Monthly!$C$5:$BJ$5,C$27,Monthly!$C$26:$BJ$26)</f>
        <v>533952</v>
      </c>
      <c r="D44" s="35" t="n">
        <f aca="false">-SUMIF(Monthly!$C$5:$BJ$5,D$27,Monthly!$C$26:$BJ$26)</f>
        <v>659964.672</v>
      </c>
      <c r="E44" s="35" t="n">
        <f aca="false">-SUMIF(Monthly!$C$5:$BJ$5,E$27,Monthly!$C$26:$BJ$26)</f>
        <v>815716.334592</v>
      </c>
      <c r="F44" s="35" t="n">
        <f aca="false">-SUMIF(Monthly!$C$5:$BJ$5,F$27,Monthly!$C$26:$BJ$26)</f>
        <v>1008225.38955571</v>
      </c>
      <c r="G44" s="84"/>
    </row>
    <row r="45" customFormat="false" ht="15" hidden="false" customHeight="false" outlineLevel="0" collapsed="false">
      <c r="A45" s="6" t="s">
        <v>215</v>
      </c>
      <c r="B45" s="86" t="n">
        <f aca="false">IF(B31=0,0,B43/B31)</f>
        <v>105.952380952381</v>
      </c>
      <c r="C45" s="86" t="n">
        <f aca="false">IF(C31=0,0,C43/C31)</f>
        <v>107.740585774059</v>
      </c>
      <c r="D45" s="86" t="n">
        <f aca="false">IF(D31=0,0,D43/D31)</f>
        <v>109.61132440962</v>
      </c>
      <c r="E45" s="86" t="n">
        <f aca="false">IF(E31=0,0,E43/E31)</f>
        <v>111.568972071636</v>
      </c>
      <c r="F45" s="86" t="n">
        <f aca="false">IF(F31=0,0,F43/F31)</f>
        <v>113.617753825057</v>
      </c>
      <c r="G45" s="87"/>
    </row>
    <row r="46" customFormat="false" ht="15" hidden="false" customHeight="false" outlineLevel="0" collapsed="false">
      <c r="A46" s="6" t="s">
        <v>216</v>
      </c>
      <c r="B46" s="86" t="n">
        <f aca="false">IF(B32=0,0,B44/B32)</f>
        <v>90</v>
      </c>
      <c r="C46" s="86" t="n">
        <f aca="false">IF(C32=0,0,C44/C32)</f>
        <v>92.7</v>
      </c>
      <c r="D46" s="86" t="n">
        <f aca="false">IF(D32=0,0,D44/D32)</f>
        <v>95.481</v>
      </c>
      <c r="E46" s="86" t="n">
        <f aca="false">IF(E32=0,0,E44/E32)</f>
        <v>98.34543</v>
      </c>
      <c r="F46" s="86" t="n">
        <f aca="false">IF(F32=0,0,F44/F32)</f>
        <v>101.2957929</v>
      </c>
      <c r="G46" s="87"/>
    </row>
    <row r="47" customFormat="false" ht="15" hidden="false" customHeight="false" outlineLevel="0" collapsed="false">
      <c r="A47" s="6" t="s">
        <v>217</v>
      </c>
      <c r="B47" s="35" t="n">
        <f aca="false">SUMIF(Monthly!$C$5:$BJ$5,B$27,Monthly!$C$29:$BJ$29)</f>
        <v>1803006.24</v>
      </c>
      <c r="C47" s="35" t="n">
        <f aca="false">SUMIF(Monthly!$C$5:$BJ$5,C$27,Monthly!$C$29:$BJ$29)</f>
        <v>2345931.01584</v>
      </c>
      <c r="D47" s="35" t="n">
        <f aca="false">SUMIF(Monthly!$C$5:$BJ$5,D$27,Monthly!$C$29:$BJ$29)</f>
        <v>3056789.82656304</v>
      </c>
      <c r="E47" s="35" t="n">
        <f aca="false">SUMIF(Monthly!$C$5:$BJ$5,E$27,Monthly!$C$29:$BJ$29)</f>
        <v>3988708.58846056</v>
      </c>
      <c r="F47" s="35" t="n">
        <f aca="false">SUMIF(Monthly!$C$5:$BJ$5,F$27,Monthly!$C$29:$BJ$29)</f>
        <v>5211925.22516482</v>
      </c>
      <c r="G47" s="84"/>
    </row>
    <row r="48" customFormat="false" ht="15" hidden="false" customHeight="false" outlineLevel="0" collapsed="false">
      <c r="A48" s="38" t="s">
        <v>44</v>
      </c>
      <c r="B48" s="82" t="n">
        <f aca="false">IF(B37=0,0,B47/B37)</f>
        <v>0.400117491664803</v>
      </c>
      <c r="C48" s="82" t="n">
        <f aca="false">IF(C37=0,0,C47/C37)</f>
        <v>0.401978468552956</v>
      </c>
      <c r="D48" s="82" t="n">
        <f aca="false">IF(D37=0,0,D47/D37)</f>
        <v>0.403811893966318</v>
      </c>
      <c r="E48" s="82" t="n">
        <f aca="false">IF(E37=0,0,E47/E37)</f>
        <v>0.405612646021017</v>
      </c>
      <c r="F48" s="82" t="n">
        <f aca="false">IF(F37=0,0,F47/F37)</f>
        <v>0.407375988584029</v>
      </c>
      <c r="G48" s="83"/>
    </row>
    <row r="49" customFormat="false" ht="15" hidden="false" customHeight="false" outlineLevel="0" collapsed="false">
      <c r="A49" s="6" t="s">
        <v>218</v>
      </c>
      <c r="B49" s="35" t="n">
        <f aca="false">INDEX(Monthly!$C$63:$BJ$63,B$27*12)</f>
        <v>563274</v>
      </c>
      <c r="C49" s="35" t="n">
        <f aca="false">INDEX(Monthly!$C$63:$BJ$63,C$27*12)</f>
        <v>729495.234</v>
      </c>
      <c r="D49" s="35" t="n">
        <f aca="false">INDEX(Monthly!$C$63:$BJ$63,D$27*12)</f>
        <v>946229.504454</v>
      </c>
      <c r="E49" s="35" t="n">
        <f aca="false">INDEX(Monthly!$C$63:$BJ$63,E$27*12)</f>
        <v>1229223.44371811</v>
      </c>
      <c r="F49" s="35" t="n">
        <f aca="false">INDEX(Monthly!$C$63:$BJ$63,F$27*12)</f>
        <v>1599236.75278476</v>
      </c>
      <c r="G49" s="8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220</v>
      </c>
    </row>
    <row r="5" customFormat="false" ht="15" hidden="false" customHeight="false" outlineLevel="0" collapsed="false">
      <c r="A5" s="33" t="s">
        <v>221</v>
      </c>
      <c r="B5" s="59" t="s">
        <v>222</v>
      </c>
      <c r="C5" s="59" t="s">
        <v>223</v>
      </c>
      <c r="D5" s="59" t="s">
        <v>224</v>
      </c>
      <c r="E5" s="59" t="s">
        <v>225</v>
      </c>
      <c r="F5" s="33" t="s">
        <v>226</v>
      </c>
      <c r="G5" s="33" t="s">
        <v>227</v>
      </c>
    </row>
    <row r="6" customFormat="false" ht="15.75" hidden="false" customHeight="true" outlineLevel="0" collapsed="false">
      <c r="A6" s="7" t="s">
        <v>228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229</v>
      </c>
      <c r="B7" s="88" t="n">
        <v>1800</v>
      </c>
      <c r="C7" s="88" t="n">
        <v>1800</v>
      </c>
      <c r="D7" s="88" t="n">
        <v>1800</v>
      </c>
      <c r="E7" s="89" t="n">
        <f aca="false">CHOOSE(Dashboard!$B$4,B7,C7,D7)</f>
        <v>1800</v>
      </c>
      <c r="F7" s="38" t="s">
        <v>230</v>
      </c>
      <c r="G7" s="90"/>
    </row>
    <row r="8" customFormat="false" ht="15" hidden="false" customHeight="false" outlineLevel="0" collapsed="false">
      <c r="A8" s="6" t="s">
        <v>231</v>
      </c>
      <c r="B8" s="91" t="n">
        <v>0.5</v>
      </c>
      <c r="C8" s="91" t="n">
        <v>0.55</v>
      </c>
      <c r="D8" s="91" t="n">
        <v>0.6</v>
      </c>
      <c r="E8" s="92" t="n">
        <f aca="false">CHOOSE(Dashboard!$B$4,B8,C8,D8)</f>
        <v>0.55</v>
      </c>
      <c r="F8" s="38" t="s">
        <v>232</v>
      </c>
      <c r="G8" s="90" t="s">
        <v>233</v>
      </c>
    </row>
    <row r="9" customFormat="false" ht="15" hidden="false" customHeight="false" outlineLevel="0" collapsed="false">
      <c r="A9" s="6" t="s">
        <v>234</v>
      </c>
      <c r="B9" s="91" t="n">
        <v>0.68</v>
      </c>
      <c r="C9" s="91" t="n">
        <v>0.75</v>
      </c>
      <c r="D9" s="91" t="n">
        <v>0.8</v>
      </c>
      <c r="E9" s="92" t="n">
        <f aca="false">CHOOSE(Dashboard!$B$4,B9,C9,D9)</f>
        <v>0.75</v>
      </c>
      <c r="F9" s="38" t="s">
        <v>232</v>
      </c>
      <c r="G9" s="90" t="s">
        <v>233</v>
      </c>
    </row>
    <row r="10" customFormat="false" ht="15" hidden="false" customHeight="false" outlineLevel="0" collapsed="false">
      <c r="A10" s="6" t="s">
        <v>235</v>
      </c>
      <c r="B10" s="93" t="n">
        <v>300</v>
      </c>
      <c r="C10" s="93" t="n">
        <v>400</v>
      </c>
      <c r="D10" s="93" t="n">
        <v>500</v>
      </c>
      <c r="E10" s="94" t="n">
        <f aca="false">CHOOSE(Dashboard!$B$4,B10,C10,D10)</f>
        <v>400</v>
      </c>
      <c r="F10" s="38" t="s">
        <v>230</v>
      </c>
      <c r="G10" s="90" t="s">
        <v>233</v>
      </c>
    </row>
    <row r="11" customFormat="false" ht="15" hidden="false" customHeight="false" outlineLevel="0" collapsed="false">
      <c r="A11" s="6" t="s">
        <v>236</v>
      </c>
      <c r="B11" s="91" t="n">
        <v>0.1</v>
      </c>
      <c r="C11" s="91" t="n">
        <v>0.2</v>
      </c>
      <c r="D11" s="91" t="n">
        <v>0.3</v>
      </c>
      <c r="E11" s="92" t="n">
        <f aca="false">CHOOSE(Dashboard!$B$4,B11,C11,D11)</f>
        <v>0.2</v>
      </c>
      <c r="F11" s="38" t="s">
        <v>232</v>
      </c>
      <c r="G11" s="90" t="s">
        <v>233</v>
      </c>
    </row>
    <row r="13" customFormat="false" ht="15.75" hidden="false" customHeight="true" outlineLevel="0" collapsed="false">
      <c r="A13" s="7" t="s">
        <v>237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238</v>
      </c>
      <c r="B14" s="95" t="n">
        <v>300</v>
      </c>
      <c r="C14" s="95" t="n">
        <v>350</v>
      </c>
      <c r="D14" s="95" t="n">
        <v>400</v>
      </c>
      <c r="E14" s="96" t="n">
        <f aca="false">CHOOSE(Dashboard!$B$4,B14,C14,D14)</f>
        <v>350</v>
      </c>
      <c r="F14" s="38" t="s">
        <v>239</v>
      </c>
      <c r="G14" s="90" t="s">
        <v>233</v>
      </c>
    </row>
    <row r="15" customFormat="false" ht="15" hidden="false" customHeight="false" outlineLevel="0" collapsed="false">
      <c r="A15" s="6" t="s">
        <v>240</v>
      </c>
      <c r="B15" s="95" t="n">
        <v>150</v>
      </c>
      <c r="C15" s="95" t="n">
        <v>175</v>
      </c>
      <c r="D15" s="95" t="n">
        <v>200</v>
      </c>
      <c r="E15" s="96" t="n">
        <f aca="false">CHOOSE(Dashboard!$B$4,B15,C15,D15)</f>
        <v>175</v>
      </c>
      <c r="F15" s="38" t="s">
        <v>239</v>
      </c>
      <c r="G15" s="90" t="s">
        <v>233</v>
      </c>
    </row>
    <row r="16" customFormat="false" ht="15" hidden="false" customHeight="false" outlineLevel="0" collapsed="false">
      <c r="A16" s="6" t="s">
        <v>241</v>
      </c>
      <c r="B16" s="95" t="n">
        <v>140</v>
      </c>
      <c r="C16" s="95" t="n">
        <v>150</v>
      </c>
      <c r="D16" s="95" t="n">
        <v>165</v>
      </c>
      <c r="E16" s="96" t="n">
        <f aca="false">CHOOSE(Dashboard!$B$4,B16,C16,D16)</f>
        <v>150</v>
      </c>
      <c r="F16" s="38" t="s">
        <v>239</v>
      </c>
      <c r="G16" s="90" t="s">
        <v>233</v>
      </c>
    </row>
    <row r="17" customFormat="false" ht="15" hidden="false" customHeight="false" outlineLevel="0" collapsed="false">
      <c r="A17" s="6" t="s">
        <v>242</v>
      </c>
      <c r="B17" s="91" t="n">
        <v>0.02</v>
      </c>
      <c r="C17" s="91" t="n">
        <v>0.03</v>
      </c>
      <c r="D17" s="91" t="n">
        <v>0.04</v>
      </c>
      <c r="E17" s="92" t="n">
        <f aca="false">CHOOSE(Dashboard!$B$4,B17,C17,D17)</f>
        <v>0.03</v>
      </c>
      <c r="F17" s="38" t="s">
        <v>232</v>
      </c>
      <c r="G17" s="90" t="s">
        <v>233</v>
      </c>
    </row>
    <row r="19" customFormat="false" ht="15.75" hidden="false" customHeight="true" outlineLevel="0" collapsed="false">
      <c r="A19" s="7" t="s">
        <v>243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244</v>
      </c>
      <c r="B20" s="91" t="n">
        <v>0.4</v>
      </c>
      <c r="C20" s="91" t="n">
        <v>0.4</v>
      </c>
      <c r="D20" s="91" t="n">
        <v>0.4</v>
      </c>
      <c r="E20" s="92" t="n">
        <f aca="false">CHOOSE(Dashboard!$B$4,B20,C20,D20)</f>
        <v>0.4</v>
      </c>
      <c r="F20" s="38" t="s">
        <v>232</v>
      </c>
      <c r="G20" s="90"/>
    </row>
    <row r="21" customFormat="false" ht="15" hidden="false" customHeight="false" outlineLevel="0" collapsed="false">
      <c r="A21" s="6" t="s">
        <v>245</v>
      </c>
      <c r="B21" s="91" t="n">
        <v>0.12</v>
      </c>
      <c r="C21" s="91" t="n">
        <v>0.1</v>
      </c>
      <c r="D21" s="91" t="n">
        <v>0.08</v>
      </c>
      <c r="E21" s="92" t="n">
        <f aca="false">CHOOSE(Dashboard!$B$4,B21,C21,D21)</f>
        <v>0.1</v>
      </c>
      <c r="F21" s="38" t="s">
        <v>232</v>
      </c>
      <c r="G21" s="90" t="s">
        <v>246</v>
      </c>
    </row>
    <row r="22" customFormat="false" ht="15" hidden="false" customHeight="false" outlineLevel="0" collapsed="false">
      <c r="A22" s="6" t="s">
        <v>247</v>
      </c>
      <c r="B22" s="91" t="n">
        <v>0.88</v>
      </c>
      <c r="C22" s="91" t="n">
        <v>0.92</v>
      </c>
      <c r="D22" s="91" t="n">
        <v>0.95</v>
      </c>
      <c r="E22" s="92" t="n">
        <f aca="false">CHOOSE(Dashboard!$B$4,B22,C22,D22)</f>
        <v>0.92</v>
      </c>
      <c r="F22" s="38" t="s">
        <v>232</v>
      </c>
      <c r="G22" s="90" t="s">
        <v>233</v>
      </c>
    </row>
    <row r="24" customFormat="false" ht="15.75" hidden="false" customHeight="true" outlineLevel="0" collapsed="false">
      <c r="A24" s="7" t="s">
        <v>248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249</v>
      </c>
      <c r="B25" s="97" t="n">
        <v>95</v>
      </c>
      <c r="C25" s="97" t="n">
        <v>90</v>
      </c>
      <c r="D25" s="97" t="n">
        <v>85</v>
      </c>
      <c r="E25" s="98" t="n">
        <f aca="false">CHOOSE(Dashboard!$B$4,B25,C25,D25)</f>
        <v>90</v>
      </c>
      <c r="F25" s="38" t="s">
        <v>239</v>
      </c>
      <c r="G25" s="90" t="s">
        <v>246</v>
      </c>
    </row>
    <row r="26" customFormat="false" ht="15" hidden="false" customHeight="false" outlineLevel="0" collapsed="false">
      <c r="A26" s="6" t="s">
        <v>250</v>
      </c>
      <c r="B26" s="91" t="n">
        <v>0.04</v>
      </c>
      <c r="C26" s="91" t="n">
        <v>0.03</v>
      </c>
      <c r="D26" s="91" t="n">
        <v>0.025</v>
      </c>
      <c r="E26" s="92" t="n">
        <f aca="false">CHOOSE(Dashboard!$B$4,B26,C26,D26)</f>
        <v>0.03</v>
      </c>
      <c r="F26" s="38" t="s">
        <v>232</v>
      </c>
      <c r="G26" s="90" t="s">
        <v>246</v>
      </c>
    </row>
    <row r="27" customFormat="false" ht="15" hidden="false" customHeight="false" outlineLevel="0" collapsed="false">
      <c r="A27" s="6" t="s">
        <v>251</v>
      </c>
      <c r="B27" s="95" t="n">
        <v>200</v>
      </c>
      <c r="C27" s="95" t="n">
        <v>200</v>
      </c>
      <c r="D27" s="95" t="n">
        <v>200</v>
      </c>
      <c r="E27" s="96" t="n">
        <f aca="false">CHOOSE(Dashboard!$B$4,B27,C27,D27)</f>
        <v>200</v>
      </c>
      <c r="F27" s="38" t="s">
        <v>252</v>
      </c>
      <c r="G27" s="90"/>
    </row>
    <row r="28" customFormat="false" ht="15" hidden="false" customHeight="false" outlineLevel="0" collapsed="false">
      <c r="A28" s="6" t="s">
        <v>253</v>
      </c>
      <c r="B28" s="95" t="n">
        <v>8000</v>
      </c>
      <c r="C28" s="95" t="n">
        <v>8000</v>
      </c>
      <c r="D28" s="95" t="n">
        <v>8000</v>
      </c>
      <c r="E28" s="96" t="n">
        <f aca="false">CHOOSE(Dashboard!$B$4,B28,C28,D28)</f>
        <v>8000</v>
      </c>
      <c r="F28" s="38" t="s">
        <v>252</v>
      </c>
      <c r="G28" s="90"/>
    </row>
    <row r="29" customFormat="false" ht="15" hidden="false" customHeight="false" outlineLevel="0" collapsed="false">
      <c r="A29" s="6" t="s">
        <v>254</v>
      </c>
      <c r="B29" s="95" t="n">
        <v>8000</v>
      </c>
      <c r="C29" s="95" t="n">
        <v>8000</v>
      </c>
      <c r="D29" s="95" t="n">
        <v>8000</v>
      </c>
      <c r="E29" s="96" t="n">
        <f aca="false">CHOOSE(Dashboard!$B$4,B29,C29,D29)</f>
        <v>8000</v>
      </c>
      <c r="F29" s="38" t="s">
        <v>252</v>
      </c>
      <c r="G29" s="90"/>
    </row>
    <row r="30" customFormat="false" ht="15" hidden="false" customHeight="false" outlineLevel="0" collapsed="false">
      <c r="A30" s="6" t="s">
        <v>255</v>
      </c>
      <c r="B30" s="95" t="n">
        <v>6000</v>
      </c>
      <c r="C30" s="95" t="n">
        <v>6000</v>
      </c>
      <c r="D30" s="95" t="n">
        <v>6000</v>
      </c>
      <c r="E30" s="96" t="n">
        <f aca="false">CHOOSE(Dashboard!$B$4,B30,C30,D30)</f>
        <v>6000</v>
      </c>
      <c r="F30" s="38" t="s">
        <v>252</v>
      </c>
      <c r="G30" s="90"/>
    </row>
    <row r="31" customFormat="false" ht="15" hidden="false" customHeight="false" outlineLevel="0" collapsed="false">
      <c r="A31" s="6" t="s">
        <v>256</v>
      </c>
      <c r="B31" s="95" t="n">
        <v>60000</v>
      </c>
      <c r="C31" s="95" t="n">
        <v>60000</v>
      </c>
      <c r="D31" s="95" t="n">
        <v>60000</v>
      </c>
      <c r="E31" s="96" t="n">
        <f aca="false">CHOOSE(Dashboard!$B$4,B31,C31,D31)</f>
        <v>60000</v>
      </c>
      <c r="F31" s="38" t="s">
        <v>252</v>
      </c>
      <c r="G31" s="90"/>
    </row>
    <row r="33" customFormat="false" ht="15.75" hidden="false" customHeight="true" outlineLevel="0" collapsed="false">
      <c r="A33" s="7" t="s">
        <v>257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258</v>
      </c>
      <c r="B34" s="93" t="n">
        <v>4</v>
      </c>
      <c r="C34" s="93" t="n">
        <v>4</v>
      </c>
      <c r="D34" s="93" t="n">
        <v>4</v>
      </c>
      <c r="E34" s="94" t="n">
        <f aca="false">CHOOSE(Dashboard!$B$4,B34,C34,D34)</f>
        <v>4</v>
      </c>
      <c r="F34" s="38" t="s">
        <v>259</v>
      </c>
      <c r="G34" s="90" t="s">
        <v>233</v>
      </c>
    </row>
    <row r="35" customFormat="false" ht="15" hidden="false" customHeight="false" outlineLevel="0" collapsed="false">
      <c r="A35" s="6" t="s">
        <v>260</v>
      </c>
      <c r="B35" s="95" t="n">
        <v>160000</v>
      </c>
      <c r="C35" s="95" t="n">
        <v>160000</v>
      </c>
      <c r="D35" s="95" t="n">
        <v>160000</v>
      </c>
      <c r="E35" s="96" t="n">
        <f aca="false">CHOOSE(Dashboard!$B$4,B35,C35,D35)</f>
        <v>160000</v>
      </c>
      <c r="F35" s="38" t="s">
        <v>252</v>
      </c>
      <c r="G35" s="90"/>
    </row>
    <row r="36" customFormat="false" ht="15" hidden="false" customHeight="false" outlineLevel="0" collapsed="false">
      <c r="A36" s="6" t="s">
        <v>261</v>
      </c>
      <c r="B36" s="91" t="n">
        <v>0.2</v>
      </c>
      <c r="C36" s="91" t="n">
        <v>0.2</v>
      </c>
      <c r="D36" s="91" t="n">
        <v>0.2</v>
      </c>
      <c r="E36" s="92" t="n">
        <f aca="false">CHOOSE(Dashboard!$B$4,B36,C36,D36)</f>
        <v>0.2</v>
      </c>
      <c r="F36" s="38" t="s">
        <v>232</v>
      </c>
      <c r="G36" s="90" t="s">
        <v>233</v>
      </c>
    </row>
    <row r="37" customFormat="false" ht="15" hidden="false" customHeight="false" outlineLevel="0" collapsed="false">
      <c r="A37" s="6" t="s">
        <v>262</v>
      </c>
      <c r="B37" s="88" t="n">
        <v>1</v>
      </c>
      <c r="C37" s="88" t="n">
        <v>1</v>
      </c>
      <c r="D37" s="88" t="n">
        <v>1</v>
      </c>
      <c r="E37" s="89" t="n">
        <f aca="false">CHOOSE(Dashboard!$B$4,B37,C37,D37)</f>
        <v>1</v>
      </c>
      <c r="F37" s="38" t="s">
        <v>263</v>
      </c>
      <c r="G37" s="90"/>
    </row>
    <row r="38" customFormat="false" ht="15" hidden="false" customHeight="false" outlineLevel="0" collapsed="false">
      <c r="A38" s="6" t="s">
        <v>264</v>
      </c>
      <c r="B38" s="93" t="n">
        <v>12</v>
      </c>
      <c r="C38" s="93" t="n">
        <v>12</v>
      </c>
      <c r="D38" s="93" t="n">
        <v>12</v>
      </c>
      <c r="E38" s="94" t="n">
        <f aca="false">CHOOSE(Dashboard!$B$4,B38,C38,D38)</f>
        <v>12</v>
      </c>
      <c r="F38" s="38" t="s">
        <v>259</v>
      </c>
      <c r="G38" s="90" t="s">
        <v>233</v>
      </c>
    </row>
    <row r="39" customFormat="false" ht="15" hidden="false" customHeight="false" outlineLevel="0" collapsed="false">
      <c r="A39" s="6" t="s">
        <v>265</v>
      </c>
      <c r="B39" s="95" t="n">
        <v>95000</v>
      </c>
      <c r="C39" s="95" t="n">
        <v>95000</v>
      </c>
      <c r="D39" s="95" t="n">
        <v>95000</v>
      </c>
      <c r="E39" s="96" t="n">
        <f aca="false">CHOOSE(Dashboard!$B$4,B39,C39,D39)</f>
        <v>95000</v>
      </c>
      <c r="F39" s="38" t="s">
        <v>252</v>
      </c>
      <c r="G39" s="90"/>
    </row>
    <row r="40" customFormat="false" ht="15" hidden="false" customHeight="false" outlineLevel="0" collapsed="false">
      <c r="A40" s="6" t="s">
        <v>266</v>
      </c>
      <c r="B40" s="91" t="n">
        <v>0.3</v>
      </c>
      <c r="C40" s="91" t="n">
        <v>0.3</v>
      </c>
      <c r="D40" s="91" t="n">
        <v>0.3</v>
      </c>
      <c r="E40" s="92" t="n">
        <f aca="false">CHOOSE(Dashboard!$B$4,B40,C40,D40)</f>
        <v>0.3</v>
      </c>
      <c r="F40" s="38" t="s">
        <v>232</v>
      </c>
      <c r="G40" s="90" t="s">
        <v>233</v>
      </c>
    </row>
    <row r="41" customFormat="false" ht="15" hidden="false" customHeight="false" outlineLevel="0" collapsed="false">
      <c r="A41" s="6" t="s">
        <v>267</v>
      </c>
      <c r="B41" s="88" t="n">
        <v>1</v>
      </c>
      <c r="C41" s="88" t="n">
        <v>1</v>
      </c>
      <c r="D41" s="88" t="n">
        <v>1</v>
      </c>
      <c r="E41" s="89" t="n">
        <f aca="false">CHOOSE(Dashboard!$B$4,B41,C41,D41)</f>
        <v>1</v>
      </c>
      <c r="F41" s="38" t="s">
        <v>263</v>
      </c>
      <c r="G41" s="90"/>
    </row>
    <row r="42" customFormat="false" ht="15" hidden="false" customHeight="false" outlineLevel="0" collapsed="false">
      <c r="A42" s="6" t="s">
        <v>268</v>
      </c>
      <c r="B42" s="93" t="n">
        <v>2</v>
      </c>
      <c r="C42" s="93" t="n">
        <v>2</v>
      </c>
      <c r="D42" s="93" t="n">
        <v>2</v>
      </c>
      <c r="E42" s="94" t="n">
        <f aca="false">CHOOSE(Dashboard!$B$4,B42,C42,D42)</f>
        <v>2</v>
      </c>
      <c r="F42" s="38" t="s">
        <v>259</v>
      </c>
      <c r="G42" s="90" t="s">
        <v>233</v>
      </c>
    </row>
    <row r="43" customFormat="false" ht="15" hidden="false" customHeight="false" outlineLevel="0" collapsed="false">
      <c r="A43" s="6" t="s">
        <v>269</v>
      </c>
      <c r="B43" s="95" t="n">
        <v>85000</v>
      </c>
      <c r="C43" s="95" t="n">
        <v>85000</v>
      </c>
      <c r="D43" s="95" t="n">
        <v>85000</v>
      </c>
      <c r="E43" s="96" t="n">
        <f aca="false">CHOOSE(Dashboard!$B$4,B43,C43,D43)</f>
        <v>85000</v>
      </c>
      <c r="F43" s="38" t="s">
        <v>252</v>
      </c>
      <c r="G43" s="90"/>
    </row>
    <row r="44" customFormat="false" ht="15" hidden="false" customHeight="false" outlineLevel="0" collapsed="false">
      <c r="A44" s="6" t="s">
        <v>270</v>
      </c>
      <c r="B44" s="91" t="n">
        <v>0.2</v>
      </c>
      <c r="C44" s="91" t="n">
        <v>0.2</v>
      </c>
      <c r="D44" s="91" t="n">
        <v>0.2</v>
      </c>
      <c r="E44" s="92" t="n">
        <f aca="false">CHOOSE(Dashboard!$B$4,B44,C44,D44)</f>
        <v>0.2</v>
      </c>
      <c r="F44" s="38" t="s">
        <v>232</v>
      </c>
      <c r="G44" s="90" t="s">
        <v>233</v>
      </c>
    </row>
    <row r="45" customFormat="false" ht="15" hidden="false" customHeight="false" outlineLevel="0" collapsed="false">
      <c r="A45" s="6" t="s">
        <v>271</v>
      </c>
      <c r="B45" s="88" t="n">
        <v>1</v>
      </c>
      <c r="C45" s="88" t="n">
        <v>1</v>
      </c>
      <c r="D45" s="88" t="n">
        <v>1</v>
      </c>
      <c r="E45" s="89" t="n">
        <f aca="false">CHOOSE(Dashboard!$B$4,B45,C45,D45)</f>
        <v>1</v>
      </c>
      <c r="F45" s="38" t="s">
        <v>263</v>
      </c>
      <c r="G45" s="90"/>
    </row>
    <row r="46" customFormat="false" ht="15" hidden="false" customHeight="false" outlineLevel="0" collapsed="false">
      <c r="A46" s="6" t="s">
        <v>272</v>
      </c>
      <c r="B46" s="93" t="n">
        <v>3</v>
      </c>
      <c r="C46" s="93" t="n">
        <v>3</v>
      </c>
      <c r="D46" s="93" t="n">
        <v>3</v>
      </c>
      <c r="E46" s="94" t="n">
        <f aca="false">CHOOSE(Dashboard!$B$4,B46,C46,D46)</f>
        <v>3</v>
      </c>
      <c r="F46" s="38" t="s">
        <v>259</v>
      </c>
      <c r="G46" s="90" t="s">
        <v>233</v>
      </c>
    </row>
    <row r="47" customFormat="false" ht="15" hidden="false" customHeight="false" outlineLevel="0" collapsed="false">
      <c r="A47" s="6" t="s">
        <v>273</v>
      </c>
      <c r="B47" s="95" t="n">
        <v>65000</v>
      </c>
      <c r="C47" s="95" t="n">
        <v>65000</v>
      </c>
      <c r="D47" s="95" t="n">
        <v>65000</v>
      </c>
      <c r="E47" s="96" t="n">
        <f aca="false">CHOOSE(Dashboard!$B$4,B47,C47,D47)</f>
        <v>65000</v>
      </c>
      <c r="F47" s="38" t="s">
        <v>252</v>
      </c>
      <c r="G47" s="90"/>
    </row>
    <row r="48" customFormat="false" ht="15" hidden="false" customHeight="false" outlineLevel="0" collapsed="false">
      <c r="A48" s="6" t="s">
        <v>274</v>
      </c>
      <c r="B48" s="91" t="n">
        <v>0.15</v>
      </c>
      <c r="C48" s="91" t="n">
        <v>0.15</v>
      </c>
      <c r="D48" s="91" t="n">
        <v>0.15</v>
      </c>
      <c r="E48" s="92" t="n">
        <f aca="false">CHOOSE(Dashboard!$B$4,B48,C48,D48)</f>
        <v>0.15</v>
      </c>
      <c r="F48" s="38" t="s">
        <v>232</v>
      </c>
      <c r="G48" s="90" t="s">
        <v>233</v>
      </c>
    </row>
    <row r="49" customFormat="false" ht="15" hidden="false" customHeight="false" outlineLevel="0" collapsed="false">
      <c r="A49" s="6" t="s">
        <v>275</v>
      </c>
      <c r="B49" s="88" t="n">
        <v>1</v>
      </c>
      <c r="C49" s="88" t="n">
        <v>1</v>
      </c>
      <c r="D49" s="88" t="n">
        <v>1</v>
      </c>
      <c r="E49" s="89" t="n">
        <f aca="false">CHOOSE(Dashboard!$B$4,B49,C49,D49)</f>
        <v>1</v>
      </c>
      <c r="F49" s="38" t="s">
        <v>263</v>
      </c>
      <c r="G49" s="90"/>
    </row>
    <row r="50" customFormat="false" ht="15" hidden="false" customHeight="false" outlineLevel="0" collapsed="false">
      <c r="A50" s="6" t="s">
        <v>276</v>
      </c>
      <c r="B50" s="91" t="n">
        <v>0.2</v>
      </c>
      <c r="C50" s="91" t="n">
        <v>0.2</v>
      </c>
      <c r="D50" s="91" t="n">
        <v>0.2</v>
      </c>
      <c r="E50" s="92" t="n">
        <f aca="false">CHOOSE(Dashboard!$B$4,B50,C50,D50)</f>
        <v>0.2</v>
      </c>
      <c r="F50" s="38" t="s">
        <v>232</v>
      </c>
      <c r="G50" s="90"/>
    </row>
    <row r="51" customFormat="false" ht="15" hidden="false" customHeight="false" outlineLevel="0" collapsed="false">
      <c r="A51" s="6" t="s">
        <v>277</v>
      </c>
      <c r="B51" s="91" t="n">
        <v>0.03</v>
      </c>
      <c r="C51" s="91" t="n">
        <v>0.03</v>
      </c>
      <c r="D51" s="91" t="n">
        <v>0.03</v>
      </c>
      <c r="E51" s="92" t="n">
        <f aca="false">CHOOSE(Dashboard!$B$4,B51,C51,D51)</f>
        <v>0.03</v>
      </c>
      <c r="F51" s="38" t="s">
        <v>232</v>
      </c>
      <c r="G51" s="90"/>
    </row>
    <row r="53" customFormat="false" ht="15.75" hidden="false" customHeight="true" outlineLevel="0" collapsed="false">
      <c r="A53" s="7" t="s">
        <v>278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279</v>
      </c>
      <c r="B54" s="95" t="n">
        <v>300000</v>
      </c>
      <c r="C54" s="95" t="n">
        <v>300000</v>
      </c>
      <c r="D54" s="95" t="n">
        <v>300000</v>
      </c>
      <c r="E54" s="96" t="n">
        <f aca="false">CHOOSE(Dashboard!$B$4,B54,C54,D54)</f>
        <v>300000</v>
      </c>
      <c r="F54" s="38" t="s">
        <v>252</v>
      </c>
      <c r="G54" s="90"/>
    </row>
    <row r="55" customFormat="false" ht="15" hidden="false" customHeight="false" outlineLevel="0" collapsed="false">
      <c r="A55" s="6" t="s">
        <v>280</v>
      </c>
      <c r="B55" s="95" t="n">
        <v>200000</v>
      </c>
      <c r="C55" s="95" t="n">
        <v>200000</v>
      </c>
      <c r="D55" s="95" t="n">
        <v>200000</v>
      </c>
      <c r="E55" s="96" t="n">
        <f aca="false">CHOOSE(Dashboard!$B$4,B55,C55,D55)</f>
        <v>200000</v>
      </c>
      <c r="F55" s="38" t="s">
        <v>252</v>
      </c>
      <c r="G55" s="90"/>
    </row>
    <row r="56" customFormat="false" ht="15" hidden="false" customHeight="false" outlineLevel="0" collapsed="false">
      <c r="A56" s="6" t="s">
        <v>281</v>
      </c>
      <c r="B56" s="91" t="n">
        <v>0.08</v>
      </c>
      <c r="C56" s="91" t="n">
        <v>0.08</v>
      </c>
      <c r="D56" s="91" t="n">
        <v>0.08</v>
      </c>
      <c r="E56" s="92" t="n">
        <f aca="false">CHOOSE(Dashboard!$B$4,B56,C56,D56)</f>
        <v>0.08</v>
      </c>
      <c r="F56" s="38" t="s">
        <v>232</v>
      </c>
      <c r="G56" s="90"/>
    </row>
    <row r="57" customFormat="false" ht="15" hidden="false" customHeight="false" outlineLevel="0" collapsed="false">
      <c r="A57" s="6" t="s">
        <v>282</v>
      </c>
      <c r="B57" s="88" t="n">
        <v>5</v>
      </c>
      <c r="C57" s="88" t="n">
        <v>5</v>
      </c>
      <c r="D57" s="88" t="n">
        <v>5</v>
      </c>
      <c r="E57" s="89" t="n">
        <f aca="false">CHOOSE(Dashboard!$B$4,B57,C57,D57)</f>
        <v>5</v>
      </c>
      <c r="F57" s="38" t="s">
        <v>283</v>
      </c>
      <c r="G57" s="90"/>
    </row>
    <row r="59" customFormat="false" ht="15.75" hidden="false" customHeight="true" outlineLevel="0" collapsed="false">
      <c r="A59" s="7" t="s">
        <v>284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285</v>
      </c>
      <c r="B60" s="88" t="n">
        <v>45</v>
      </c>
      <c r="C60" s="88" t="n">
        <v>45</v>
      </c>
      <c r="D60" s="88" t="n">
        <v>45</v>
      </c>
      <c r="E60" s="89" t="n">
        <f aca="false">CHOOSE(Dashboard!$B$4,B60,C60,D60)</f>
        <v>45</v>
      </c>
      <c r="F60" s="38" t="s">
        <v>286</v>
      </c>
      <c r="G60" s="90"/>
    </row>
    <row r="61" customFormat="false" ht="15" hidden="false" customHeight="false" outlineLevel="0" collapsed="false">
      <c r="A61" s="6" t="s">
        <v>287</v>
      </c>
      <c r="B61" s="88" t="n">
        <v>0</v>
      </c>
      <c r="C61" s="88" t="n">
        <v>0</v>
      </c>
      <c r="D61" s="88" t="n">
        <v>0</v>
      </c>
      <c r="E61" s="89" t="n">
        <f aca="false">CHOOSE(Dashboard!$B$4,B61,C61,D61)</f>
        <v>0</v>
      </c>
      <c r="F61" s="38" t="s">
        <v>286</v>
      </c>
      <c r="G61" s="90"/>
    </row>
    <row r="62" customFormat="false" ht="15" hidden="false" customHeight="false" outlineLevel="0" collapsed="false">
      <c r="A62" s="6" t="s">
        <v>288</v>
      </c>
      <c r="B62" s="88" t="n">
        <v>15</v>
      </c>
      <c r="C62" s="88" t="n">
        <v>15</v>
      </c>
      <c r="D62" s="88" t="n">
        <v>15</v>
      </c>
      <c r="E62" s="89" t="n">
        <f aca="false">CHOOSE(Dashboard!$B$4,B62,C62,D62)</f>
        <v>15</v>
      </c>
      <c r="F62" s="38" t="s">
        <v>286</v>
      </c>
      <c r="G62" s="90"/>
    </row>
    <row r="64" customFormat="false" ht="15.75" hidden="false" customHeight="true" outlineLevel="0" collapsed="false">
      <c r="A64" s="7" t="s">
        <v>289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290</v>
      </c>
      <c r="B65" s="88" t="n">
        <v>5</v>
      </c>
      <c r="C65" s="88" t="n">
        <v>5</v>
      </c>
      <c r="D65" s="88" t="n">
        <v>5</v>
      </c>
      <c r="E65" s="89" t="n">
        <f aca="false">CHOOSE(Dashboard!$B$4,B65,C65,D65)</f>
        <v>5</v>
      </c>
      <c r="F65" s="38" t="s">
        <v>283</v>
      </c>
      <c r="G65" s="90"/>
    </row>
    <row r="66" customFormat="false" ht="15" hidden="false" customHeight="false" outlineLevel="0" collapsed="false">
      <c r="A66" s="6" t="s">
        <v>291</v>
      </c>
      <c r="B66" s="91" t="n">
        <v>0.21</v>
      </c>
      <c r="C66" s="91" t="n">
        <v>0.21</v>
      </c>
      <c r="D66" s="91" t="n">
        <v>0.21</v>
      </c>
      <c r="E66" s="92" t="n">
        <f aca="false">CHOOSE(Dashboard!$B$4,B66,C66,D66)</f>
        <v>0.21</v>
      </c>
      <c r="F66" s="38" t="s">
        <v>232</v>
      </c>
      <c r="G66" s="90"/>
    </row>
    <row r="68" customFormat="false" ht="15.75" hidden="false" customHeight="true" outlineLevel="0" collapsed="false">
      <c r="A68" s="7" t="s">
        <v>292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109</v>
      </c>
      <c r="B69" s="95" t="n">
        <v>188000</v>
      </c>
      <c r="C69" s="95" t="n">
        <v>188000</v>
      </c>
      <c r="D69" s="95" t="n">
        <v>188000</v>
      </c>
      <c r="E69" s="96" t="n">
        <f aca="false">CHOOSE(Dashboard!$B$4,B69,C69,D69)</f>
        <v>188000</v>
      </c>
      <c r="F69" s="38" t="s">
        <v>252</v>
      </c>
      <c r="G69" s="90" t="s">
        <v>293</v>
      </c>
    </row>
    <row r="71" customFormat="false" ht="15.75" hidden="false" customHeight="true" outlineLevel="0" collapsed="false">
      <c r="A71" s="7" t="s">
        <v>294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136</v>
      </c>
      <c r="B72" s="91" t="n">
        <v>0.2</v>
      </c>
      <c r="C72" s="91" t="n">
        <v>0.16</v>
      </c>
      <c r="D72" s="91" t="n">
        <v>0.13</v>
      </c>
      <c r="E72" s="92" t="n">
        <f aca="false">CHOOSE(Dashboard!$B$4,B72,C72,D72)</f>
        <v>0.16</v>
      </c>
      <c r="F72" s="38" t="s">
        <v>232</v>
      </c>
      <c r="G72" s="90" t="s">
        <v>246</v>
      </c>
    </row>
    <row r="73" customFormat="false" ht="15" hidden="false" customHeight="false" outlineLevel="0" collapsed="false">
      <c r="A73" s="6" t="s">
        <v>295</v>
      </c>
      <c r="B73" s="91" t="n">
        <v>0.01</v>
      </c>
      <c r="C73" s="91" t="n">
        <v>0.02</v>
      </c>
      <c r="D73" s="91" t="n">
        <v>0.03</v>
      </c>
      <c r="E73" s="92" t="n">
        <f aca="false">CHOOSE(Dashboard!$B$4,B73,C73,D73)</f>
        <v>0.02</v>
      </c>
      <c r="F73" s="38" t="s">
        <v>232</v>
      </c>
      <c r="G73" s="90" t="s">
        <v>233</v>
      </c>
    </row>
    <row r="74" customFormat="false" ht="15" hidden="false" customHeight="false" outlineLevel="0" collapsed="false">
      <c r="A74" s="6" t="s">
        <v>138</v>
      </c>
      <c r="B74" s="99" t="n">
        <v>4</v>
      </c>
      <c r="C74" s="99" t="n">
        <v>5.5</v>
      </c>
      <c r="D74" s="99" t="n">
        <v>7</v>
      </c>
      <c r="E74" s="100" t="n">
        <f aca="false">CHOOSE(Dashboard!$B$4,B74,C74,D74)</f>
        <v>5.5</v>
      </c>
      <c r="F74" s="38" t="s">
        <v>296</v>
      </c>
      <c r="G74" s="90" t="s">
        <v>233</v>
      </c>
    </row>
    <row r="75" customFormat="false" ht="15" hidden="false" customHeight="false" outlineLevel="0" collapsed="false">
      <c r="A75" s="6" t="s">
        <v>297</v>
      </c>
      <c r="B75" s="91" t="n">
        <v>0.01</v>
      </c>
      <c r="C75" s="91" t="n">
        <v>0.01</v>
      </c>
      <c r="D75" s="91" t="n">
        <v>0.01</v>
      </c>
      <c r="E75" s="92" t="n">
        <f aca="false">CHOOSE(Dashboard!$B$4,B75,C75,D75)</f>
        <v>0.01</v>
      </c>
      <c r="F75" s="38" t="s">
        <v>232</v>
      </c>
      <c r="G75" s="90"/>
    </row>
    <row r="76" customFormat="false" ht="15" hidden="false" customHeight="false" outlineLevel="0" collapsed="false">
      <c r="A76" s="6" t="s">
        <v>298</v>
      </c>
      <c r="B76" s="91" t="n">
        <v>0.005</v>
      </c>
      <c r="C76" s="91" t="n">
        <v>0.005</v>
      </c>
      <c r="D76" s="91" t="n">
        <v>0.005</v>
      </c>
      <c r="E76" s="92" t="n">
        <f aca="false">CHOOSE(Dashboard!$B$4,B76,C76,D76)</f>
        <v>0.005</v>
      </c>
      <c r="F76" s="38" t="s">
        <v>232</v>
      </c>
      <c r="G76" s="90"/>
    </row>
    <row r="78" customFormat="false" ht="15" hidden="false" customHeight="false" outlineLevel="0" collapsed="false">
      <c r="A78" s="21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300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4" t="s">
        <v>42</v>
      </c>
      <c r="B5" s="60" t="n">
        <f aca="false">SUMIF(Monthly!$C$5:$BJ$5,B$3,Monthly!$C$22:$BJ$22)</f>
        <v>4506192</v>
      </c>
      <c r="C5" s="60" t="n">
        <f aca="false">SUMIF(Monthly!$C$5:$BJ$5,C$3,Monthly!$C$22:$BJ$22)</f>
        <v>5835961.872</v>
      </c>
      <c r="D5" s="60" t="n">
        <f aca="false">SUMIF(Monthly!$C$5:$BJ$5,D$3,Monthly!$C$22:$BJ$22)</f>
        <v>7569836.035632</v>
      </c>
      <c r="E5" s="60" t="n">
        <f aca="false">SUMIF(Monthly!$C$5:$BJ$5,E$3,Monthly!$C$22:$BJ$22)</f>
        <v>9833787.54974491</v>
      </c>
      <c r="F5" s="60" t="n">
        <f aca="false">SUMIF(Monthly!$C$5:$BJ$5,F$3,Monthly!$C$22:$BJ$22)</f>
        <v>12793894.0222781</v>
      </c>
    </row>
    <row r="6" customFormat="false" ht="15" hidden="false" customHeight="false" outlineLevel="0" collapsed="false">
      <c r="A6" s="6" t="s">
        <v>74</v>
      </c>
      <c r="B6" s="53" t="n">
        <f aca="false">SUMIF(Monthly!$C$5:$BJ$5,B$3,Monthly!$C$28:$BJ$28)</f>
        <v>-2703185.76</v>
      </c>
      <c r="C6" s="53" t="n">
        <f aca="false">SUMIF(Monthly!$C$5:$BJ$5,C$3,Monthly!$C$28:$BJ$28)</f>
        <v>-3490030.85616</v>
      </c>
      <c r="D6" s="53" t="n">
        <f aca="false">SUMIF(Monthly!$C$5:$BJ$5,D$3,Monthly!$C$28:$BJ$28)</f>
        <v>-4513046.20906896</v>
      </c>
      <c r="E6" s="53" t="n">
        <f aca="false">SUMIF(Monthly!$C$5:$BJ$5,E$3,Monthly!$C$28:$BJ$28)</f>
        <v>-5845078.96128435</v>
      </c>
      <c r="F6" s="53" t="n">
        <f aca="false">SUMIF(Monthly!$C$5:$BJ$5,F$3,Monthly!$C$28:$BJ$28)</f>
        <v>-7581968.79711323</v>
      </c>
    </row>
    <row r="7" customFormat="false" ht="15" hidden="false" customHeight="false" outlineLevel="0" collapsed="false">
      <c r="A7" s="101" t="s">
        <v>43</v>
      </c>
      <c r="B7" s="54" t="n">
        <f aca="false">SUMIF(Monthly!$C$5:$BJ$5,B$3,Monthly!$C$29:$BJ$29)</f>
        <v>1803006.24</v>
      </c>
      <c r="C7" s="54" t="n">
        <f aca="false">SUMIF(Monthly!$C$5:$BJ$5,C$3,Monthly!$C$29:$BJ$29)</f>
        <v>2345931.01584</v>
      </c>
      <c r="D7" s="54" t="n">
        <f aca="false">SUMIF(Monthly!$C$5:$BJ$5,D$3,Monthly!$C$29:$BJ$29)</f>
        <v>3056789.82656304</v>
      </c>
      <c r="E7" s="54" t="n">
        <f aca="false">SUMIF(Monthly!$C$5:$BJ$5,E$3,Monthly!$C$29:$BJ$29)</f>
        <v>3988708.58846056</v>
      </c>
      <c r="F7" s="54" t="n">
        <f aca="false">SUMIF(Monthly!$C$5:$BJ$5,F$3,Monthly!$C$29:$BJ$29)</f>
        <v>5211925.22516482</v>
      </c>
    </row>
    <row r="8" customFormat="false" ht="15" hidden="false" customHeight="false" outlineLevel="0" collapsed="false">
      <c r="A8" s="38" t="s">
        <v>44</v>
      </c>
      <c r="B8" s="61" t="n">
        <f aca="false">IF(B5=0,0,B7/B5)</f>
        <v>0.400117491664803</v>
      </c>
      <c r="C8" s="61" t="n">
        <f aca="false">IF(C5=0,0,C7/C5)</f>
        <v>0.401978468552956</v>
      </c>
      <c r="D8" s="61" t="n">
        <f aca="false">IF(D5=0,0,D7/D5)</f>
        <v>0.403811893966318</v>
      </c>
      <c r="E8" s="61" t="n">
        <f aca="false">IF(E5=0,0,E7/E5)</f>
        <v>0.405612646021017</v>
      </c>
      <c r="F8" s="61" t="n">
        <f aca="false">IF(F5=0,0,F7/F5)</f>
        <v>0.407375988584029</v>
      </c>
    </row>
    <row r="9" customFormat="false" ht="15" hidden="false" customHeight="false" outlineLevel="0" collapsed="false">
      <c r="A9" s="6" t="s">
        <v>301</v>
      </c>
      <c r="B9" s="53" t="n">
        <f aca="false">SUMIF(Monthly!$C$5:$BJ$5,B$3,Monthly!$C$32:$BJ$32)</f>
        <v>-438000</v>
      </c>
      <c r="C9" s="53" t="n">
        <f aca="false">SUMIF(Monthly!$C$5:$BJ$5,C$3,Monthly!$C$32:$BJ$32)</f>
        <v>-529317</v>
      </c>
      <c r="D9" s="53" t="n">
        <f aca="false">SUMIF(Monthly!$C$5:$BJ$5,D$3,Monthly!$C$32:$BJ$32)</f>
        <v>-639961.4025</v>
      </c>
      <c r="E9" s="53" t="n">
        <f aca="false">SUMIF(Monthly!$C$5:$BJ$5,E$3,Monthly!$C$32:$BJ$32)</f>
        <v>-774084.255437249</v>
      </c>
      <c r="F9" s="53" t="n">
        <f aca="false">SUMIF(Monthly!$C$5:$BJ$5,F$3,Monthly!$C$32:$BJ$32)</f>
        <v>-936740.56864696</v>
      </c>
    </row>
    <row r="10" customFormat="false" ht="15" hidden="false" customHeight="false" outlineLevel="0" collapsed="false">
      <c r="A10" s="6" t="s">
        <v>302</v>
      </c>
      <c r="B10" s="53" t="n">
        <f aca="false">SUMIF(Monthly!$C$5:$BJ$5,B$3,Monthly!$C$33:$BJ$33)</f>
        <v>-96000</v>
      </c>
      <c r="C10" s="53" t="n">
        <f aca="false">SUMIF(Monthly!$C$5:$BJ$5,C$3,Monthly!$C$33:$BJ$33)</f>
        <v>-96000</v>
      </c>
      <c r="D10" s="53" t="n">
        <f aca="false">SUMIF(Monthly!$C$5:$BJ$5,D$3,Monthly!$C$33:$BJ$33)</f>
        <v>-96000</v>
      </c>
      <c r="E10" s="53" t="n">
        <f aca="false">SUMIF(Monthly!$C$5:$BJ$5,E$3,Monthly!$C$33:$BJ$33)</f>
        <v>-96000</v>
      </c>
      <c r="F10" s="53" t="n">
        <f aca="false">SUMIF(Monthly!$C$5:$BJ$5,F$3,Monthly!$C$33:$BJ$33)</f>
        <v>-96000</v>
      </c>
    </row>
    <row r="11" customFormat="false" ht="15" hidden="false" customHeight="false" outlineLevel="0" collapsed="false">
      <c r="A11" s="6" t="s">
        <v>303</v>
      </c>
      <c r="B11" s="53" t="n">
        <f aca="false">SUMIF(Monthly!$C$5:$BJ$5,B$3,Monthly!$C$34:$BJ$34)</f>
        <v>-50400</v>
      </c>
      <c r="C11" s="53" t="n">
        <f aca="false">SUMIF(Monthly!$C$5:$BJ$5,C$3,Monthly!$C$34:$BJ$34)</f>
        <v>-63000</v>
      </c>
      <c r="D11" s="53" t="n">
        <f aca="false">SUMIF(Monthly!$C$5:$BJ$5,D$3,Monthly!$C$34:$BJ$34)</f>
        <v>-78930</v>
      </c>
      <c r="E11" s="53" t="n">
        <f aca="false">SUMIF(Monthly!$C$5:$BJ$5,E$3,Monthly!$C$34:$BJ$34)</f>
        <v>-99107.1</v>
      </c>
      <c r="F11" s="53" t="n">
        <f aca="false">SUMIF(Monthly!$C$5:$BJ$5,F$3,Monthly!$C$34:$BJ$34)</f>
        <v>-124708.365</v>
      </c>
    </row>
    <row r="12" customFormat="false" ht="15" hidden="false" customHeight="false" outlineLevel="0" collapsed="false">
      <c r="A12" s="6" t="s">
        <v>304</v>
      </c>
      <c r="B12" s="53" t="n">
        <f aca="false">SUMIF(Monthly!$C$5:$BJ$5,B$3,Monthly!$C$35:$BJ$35)</f>
        <v>-96000</v>
      </c>
      <c r="C12" s="53" t="n">
        <f aca="false">SUMIF(Monthly!$C$5:$BJ$5,C$3,Monthly!$C$35:$BJ$35)</f>
        <v>-96000</v>
      </c>
      <c r="D12" s="53" t="n">
        <f aca="false">SUMIF(Monthly!$C$5:$BJ$5,D$3,Monthly!$C$35:$BJ$35)</f>
        <v>-96000</v>
      </c>
      <c r="E12" s="53" t="n">
        <f aca="false">SUMIF(Monthly!$C$5:$BJ$5,E$3,Monthly!$C$35:$BJ$35)</f>
        <v>-96000</v>
      </c>
      <c r="F12" s="53" t="n">
        <f aca="false">SUMIF(Monthly!$C$5:$BJ$5,F$3,Monthly!$C$35:$BJ$35)</f>
        <v>-96000</v>
      </c>
    </row>
    <row r="13" customFormat="false" ht="15" hidden="false" customHeight="false" outlineLevel="0" collapsed="false">
      <c r="A13" s="6" t="s">
        <v>305</v>
      </c>
      <c r="B13" s="53" t="n">
        <f aca="false">SUMIF(Monthly!$C$5:$BJ$5,B$3,Monthly!$C$36:$BJ$36)</f>
        <v>-72000</v>
      </c>
      <c r="C13" s="53" t="n">
        <f aca="false">SUMIF(Monthly!$C$5:$BJ$5,C$3,Monthly!$C$36:$BJ$36)</f>
        <v>-72000</v>
      </c>
      <c r="D13" s="53" t="n">
        <f aca="false">SUMIF(Monthly!$C$5:$BJ$5,D$3,Monthly!$C$36:$BJ$36)</f>
        <v>-72000</v>
      </c>
      <c r="E13" s="53" t="n">
        <f aca="false">SUMIF(Monthly!$C$5:$BJ$5,E$3,Monthly!$C$36:$BJ$36)</f>
        <v>-72000</v>
      </c>
      <c r="F13" s="53" t="n">
        <f aca="false">SUMIF(Monthly!$C$5:$BJ$5,F$3,Monthly!$C$36:$BJ$36)</f>
        <v>-72000</v>
      </c>
    </row>
    <row r="14" customFormat="false" ht="15" hidden="false" customHeight="false" outlineLevel="0" collapsed="false">
      <c r="A14" s="101" t="s">
        <v>75</v>
      </c>
      <c r="B14" s="54" t="n">
        <f aca="false">SUMIF(Monthly!$C$5:$BJ$5,B$3,Monthly!$C$37:$BJ$37)</f>
        <v>-752400</v>
      </c>
      <c r="C14" s="54" t="n">
        <f aca="false">SUMIF(Monthly!$C$5:$BJ$5,C$3,Monthly!$C$37:$BJ$37)</f>
        <v>-856317</v>
      </c>
      <c r="D14" s="54" t="n">
        <f aca="false">SUMIF(Monthly!$C$5:$BJ$5,D$3,Monthly!$C$37:$BJ$37)</f>
        <v>-982891.4025</v>
      </c>
      <c r="E14" s="54" t="n">
        <f aca="false">SUMIF(Monthly!$C$5:$BJ$5,E$3,Monthly!$C$37:$BJ$37)</f>
        <v>-1137191.35543725</v>
      </c>
      <c r="F14" s="54" t="n">
        <f aca="false">SUMIF(Monthly!$C$5:$BJ$5,F$3,Monthly!$C$37:$BJ$37)</f>
        <v>-1325448.93364696</v>
      </c>
    </row>
    <row r="15" customFormat="false" ht="15" hidden="false" customHeight="false" outlineLevel="0" collapsed="false">
      <c r="A15" s="101" t="s">
        <v>46</v>
      </c>
      <c r="B15" s="54" t="n">
        <f aca="false">SUMIF(Monthly!$C$5:$BJ$5,B$3,Monthly!$C$38:$BJ$38)</f>
        <v>1050606.24</v>
      </c>
      <c r="C15" s="54" t="n">
        <f aca="false">SUMIF(Monthly!$C$5:$BJ$5,C$3,Monthly!$C$38:$BJ$38)</f>
        <v>1489614.01584</v>
      </c>
      <c r="D15" s="54" t="n">
        <f aca="false">SUMIF(Monthly!$C$5:$BJ$5,D$3,Monthly!$C$38:$BJ$38)</f>
        <v>2073898.42406304</v>
      </c>
      <c r="E15" s="54" t="n">
        <f aca="false">SUMIF(Monthly!$C$5:$BJ$5,E$3,Monthly!$C$38:$BJ$38)</f>
        <v>2851517.23302332</v>
      </c>
      <c r="F15" s="54" t="n">
        <f aca="false">SUMIF(Monthly!$C$5:$BJ$5,F$3,Monthly!$C$38:$BJ$38)</f>
        <v>3886476.29151786</v>
      </c>
    </row>
    <row r="16" customFormat="false" ht="15" hidden="false" customHeight="false" outlineLevel="0" collapsed="false">
      <c r="A16" s="38" t="s">
        <v>47</v>
      </c>
      <c r="B16" s="61" t="n">
        <f aca="false">IF(B5=0,0,B15/B5)</f>
        <v>0.23314724272734</v>
      </c>
      <c r="C16" s="61" t="n">
        <f aca="false">IF(C5=0,0,C15/C5)</f>
        <v>0.255247386551123</v>
      </c>
      <c r="D16" s="61" t="n">
        <f aca="false">IF(D5=0,0,D15/D5)</f>
        <v>0.273968737803697</v>
      </c>
      <c r="E16" s="61" t="n">
        <f aca="false">IF(E5=0,0,E15/E5)</f>
        <v>0.289971409144108</v>
      </c>
      <c r="F16" s="61" t="n">
        <f aca="false">IF(F5=0,0,F15/F5)</f>
        <v>0.303775870329262</v>
      </c>
    </row>
    <row r="17" customFormat="false" ht="15" hidden="false" customHeight="false" outlineLevel="0" collapsed="false">
      <c r="A17" s="6" t="s">
        <v>76</v>
      </c>
      <c r="B17" s="53" t="n">
        <f aca="false">SUMIF(Monthly!$C$5:$BJ$5,B$3,Monthly!$C$52:$BJ$52)</f>
        <v>-12000</v>
      </c>
      <c r="C17" s="53" t="n">
        <f aca="false">SUMIF(Monthly!$C$5:$BJ$5,C$3,Monthly!$C$52:$BJ$52)</f>
        <v>-12000</v>
      </c>
      <c r="D17" s="53" t="n">
        <f aca="false">SUMIF(Monthly!$C$5:$BJ$5,D$3,Monthly!$C$52:$BJ$52)</f>
        <v>-12000</v>
      </c>
      <c r="E17" s="53" t="n">
        <f aca="false">SUMIF(Monthly!$C$5:$BJ$5,E$3,Monthly!$C$52:$BJ$52)</f>
        <v>-12000</v>
      </c>
      <c r="F17" s="53" t="n">
        <f aca="false">SUMIF(Monthly!$C$5:$BJ$5,F$3,Monthly!$C$52:$BJ$52)</f>
        <v>-12000</v>
      </c>
    </row>
    <row r="18" customFormat="false" ht="15" hidden="false" customHeight="false" outlineLevel="0" collapsed="false">
      <c r="A18" s="4" t="s">
        <v>77</v>
      </c>
      <c r="B18" s="60" t="n">
        <f aca="false">SUMIF(Monthly!$C$5:$BJ$5,B$3,Monthly!$C$41:$BJ$41)</f>
        <v>1038606.24</v>
      </c>
      <c r="C18" s="60" t="n">
        <f aca="false">SUMIF(Monthly!$C$5:$BJ$5,C$3,Monthly!$C$41:$BJ$41)</f>
        <v>1477614.01584</v>
      </c>
      <c r="D18" s="60" t="n">
        <f aca="false">SUMIF(Monthly!$C$5:$BJ$5,D$3,Monthly!$C$41:$BJ$41)</f>
        <v>2061898.42406304</v>
      </c>
      <c r="E18" s="60" t="n">
        <f aca="false">SUMIF(Monthly!$C$5:$BJ$5,E$3,Monthly!$C$41:$BJ$41)</f>
        <v>2839517.23302332</v>
      </c>
      <c r="F18" s="60" t="n">
        <f aca="false">SUMIF(Monthly!$C$5:$BJ$5,F$3,Monthly!$C$41:$BJ$41)</f>
        <v>3874476.29151786</v>
      </c>
    </row>
    <row r="19" customFormat="false" ht="15" hidden="false" customHeight="false" outlineLevel="0" collapsed="false">
      <c r="A19" s="6" t="s">
        <v>78</v>
      </c>
      <c r="B19" s="53" t="n">
        <f aca="false">SUMIF(Monthly!$C$5:$BJ$5,B$3,Monthly!$C$42:$BJ$42)</f>
        <v>-14655.5555555556</v>
      </c>
      <c r="C19" s="53" t="n">
        <f aca="false">SUMIF(Monthly!$C$5:$BJ$5,C$3,Monthly!$C$42:$BJ$42)</f>
        <v>-11466.6666666667</v>
      </c>
      <c r="D19" s="53" t="n">
        <f aca="false">SUMIF(Monthly!$C$5:$BJ$5,D$3,Monthly!$C$42:$BJ$42)</f>
        <v>-8266.66666666666</v>
      </c>
      <c r="E19" s="53" t="n">
        <f aca="false">SUMIF(Monthly!$C$5:$BJ$5,E$3,Monthly!$C$42:$BJ$42)</f>
        <v>-5066.66666666666</v>
      </c>
      <c r="F19" s="53" t="n">
        <f aca="false">SUMIF(Monthly!$C$5:$BJ$5,F$3,Monthly!$C$42:$BJ$42)</f>
        <v>-1866.66666666666</v>
      </c>
    </row>
    <row r="20" customFormat="false" ht="15" hidden="false" customHeight="false" outlineLevel="0" collapsed="false">
      <c r="A20" s="102" t="s">
        <v>79</v>
      </c>
      <c r="B20" s="103" t="n">
        <f aca="false">SUMIF(Monthly!$C$5:$BJ$5,B$3,Monthly!$C$43:$BJ$43)</f>
        <v>1023950.68444444</v>
      </c>
      <c r="C20" s="103" t="n">
        <f aca="false">SUMIF(Monthly!$C$5:$BJ$5,C$3,Monthly!$C$43:$BJ$43)</f>
        <v>1466147.34917334</v>
      </c>
      <c r="D20" s="103" t="n">
        <f aca="false">SUMIF(Monthly!$C$5:$BJ$5,D$3,Monthly!$C$43:$BJ$43)</f>
        <v>2053631.75739637</v>
      </c>
      <c r="E20" s="103" t="n">
        <f aca="false">SUMIF(Monthly!$C$5:$BJ$5,E$3,Monthly!$C$43:$BJ$43)</f>
        <v>2834450.56635665</v>
      </c>
      <c r="F20" s="103" t="n">
        <f aca="false">SUMIF(Monthly!$C$5:$BJ$5,F$3,Monthly!$C$43:$BJ$43)</f>
        <v>3872609.62485119</v>
      </c>
    </row>
    <row r="21" customFormat="false" ht="15" hidden="false" customHeight="false" outlineLevel="0" collapsed="false">
      <c r="A21" s="6" t="s">
        <v>80</v>
      </c>
      <c r="B21" s="53" t="n">
        <f aca="false">SUMIF(Monthly!$C$5:$BJ$5,B$3,Monthly!$C$46:$BJ$46)</f>
        <v>-215029.643733333</v>
      </c>
      <c r="C21" s="53" t="n">
        <f aca="false">SUMIF(Monthly!$C$5:$BJ$5,C$3,Monthly!$C$46:$BJ$46)</f>
        <v>-307890.9433264</v>
      </c>
      <c r="D21" s="53" t="n">
        <f aca="false">SUMIF(Monthly!$C$5:$BJ$5,D$3,Monthly!$C$46:$BJ$46)</f>
        <v>-431262.669053238</v>
      </c>
      <c r="E21" s="53" t="n">
        <f aca="false">SUMIF(Monthly!$C$5:$BJ$5,E$3,Monthly!$C$46:$BJ$46)</f>
        <v>-595234.618934896</v>
      </c>
      <c r="F21" s="53" t="n">
        <f aca="false">SUMIF(Monthly!$C$5:$BJ$5,F$3,Monthly!$C$46:$BJ$46)</f>
        <v>-813248.02121875</v>
      </c>
    </row>
    <row r="22" customFormat="false" ht="15" hidden="false" customHeight="false" outlineLevel="0" collapsed="false">
      <c r="A22" s="56" t="s">
        <v>48</v>
      </c>
      <c r="B22" s="57" t="n">
        <f aca="false">SUMIF(Monthly!$C$5:$BJ$5,B$3,Monthly!$C$47:$BJ$47)</f>
        <v>808921.040711111</v>
      </c>
      <c r="C22" s="57" t="n">
        <f aca="false">SUMIF(Monthly!$C$5:$BJ$5,C$3,Monthly!$C$47:$BJ$47)</f>
        <v>1158256.40584694</v>
      </c>
      <c r="D22" s="57" t="n">
        <f aca="false">SUMIF(Monthly!$C$5:$BJ$5,D$3,Monthly!$C$47:$BJ$47)</f>
        <v>1622369.08834314</v>
      </c>
      <c r="E22" s="57" t="n">
        <f aca="false">SUMIF(Monthly!$C$5:$BJ$5,E$3,Monthly!$C$47:$BJ$47)</f>
        <v>2239215.94742175</v>
      </c>
      <c r="F22" s="57" t="n">
        <f aca="false">SUMIF(Monthly!$C$5:$BJ$5,F$3,Monthly!$C$47:$BJ$47)</f>
        <v>3059361.60363244</v>
      </c>
    </row>
    <row r="23" customFormat="false" ht="15" hidden="false" customHeight="false" outlineLevel="0" collapsed="false">
      <c r="A23" s="38" t="s">
        <v>49</v>
      </c>
      <c r="B23" s="61" t="n">
        <f aca="false">IF(B5=0,0,B22/B5)</f>
        <v>0.179513221076934</v>
      </c>
      <c r="C23" s="61" t="n">
        <f aca="false">IF(C5=0,0,C22/C5)</f>
        <v>0.198468809641143</v>
      </c>
      <c r="D23" s="61" t="n">
        <f aca="false">IF(D5=0,0,D22/D5)</f>
        <v>0.214320241641494</v>
      </c>
      <c r="E23" s="61" t="n">
        <f aca="false">IF(E5=0,0,E22/E5)</f>
        <v>0.227706357910878</v>
      </c>
      <c r="F23" s="61" t="n">
        <f aca="false">IF(F5=0,0,F22/F5)</f>
        <v>0.239126695774185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300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6" t="s">
        <v>48</v>
      </c>
      <c r="B5" s="53" t="n">
        <f aca="false">SUMIF(Monthly!$C$5:$BJ$5,B$3,Monthly!$C$47:$BJ$47)</f>
        <v>808921.040711111</v>
      </c>
      <c r="C5" s="53" t="n">
        <f aca="false">SUMIF(Monthly!$C$5:$BJ$5,C$3,Monthly!$C$47:$BJ$47)</f>
        <v>1158256.40584694</v>
      </c>
      <c r="D5" s="53" t="n">
        <f aca="false">SUMIF(Monthly!$C$5:$BJ$5,D$3,Monthly!$C$47:$BJ$47)</f>
        <v>1622369.08834314</v>
      </c>
      <c r="E5" s="53" t="n">
        <f aca="false">SUMIF(Monthly!$C$5:$BJ$5,E$3,Monthly!$C$47:$BJ$47)</f>
        <v>2239215.94742175</v>
      </c>
      <c r="F5" s="53" t="n">
        <f aca="false">SUMIF(Monthly!$C$5:$BJ$5,F$3,Monthly!$C$47:$BJ$47)</f>
        <v>3059361.60363244</v>
      </c>
    </row>
    <row r="6" customFormat="false" ht="15" hidden="false" customHeight="false" outlineLevel="0" collapsed="false">
      <c r="A6" s="6" t="s">
        <v>306</v>
      </c>
      <c r="B6" s="53" t="n">
        <f aca="false">-SUMIF(Monthly!$C$5:$BJ$5,B$3,Monthly!$C$52:$BJ$52)</f>
        <v>12000</v>
      </c>
      <c r="C6" s="53" t="n">
        <f aca="false">-SUMIF(Monthly!$C$5:$BJ$5,C$3,Monthly!$C$52:$BJ$52)</f>
        <v>12000</v>
      </c>
      <c r="D6" s="53" t="n">
        <f aca="false">-SUMIF(Monthly!$C$5:$BJ$5,D$3,Monthly!$C$52:$BJ$52)</f>
        <v>12000</v>
      </c>
      <c r="E6" s="53" t="n">
        <f aca="false">-SUMIF(Monthly!$C$5:$BJ$5,E$3,Monthly!$C$52:$BJ$52)</f>
        <v>12000</v>
      </c>
      <c r="F6" s="53" t="n">
        <f aca="false">-SUMIF(Monthly!$C$5:$BJ$5,F$3,Monthly!$C$52:$BJ$52)</f>
        <v>12000</v>
      </c>
    </row>
    <row r="7" customFormat="false" ht="15" hidden="false" customHeight="false" outlineLevel="0" collapsed="false">
      <c r="A7" s="6" t="s">
        <v>307</v>
      </c>
      <c r="B7" s="53" t="n">
        <f aca="false">SUMIF(Monthly!$C$5:$BJ$5,B$3,Monthly!$C$66:$BJ$66)</f>
        <v>-563274</v>
      </c>
      <c r="C7" s="53" t="n">
        <f aca="false">SUMIF(Monthly!$C$5:$BJ$5,C$3,Monthly!$C$66:$BJ$66)</f>
        <v>-166221.234</v>
      </c>
      <c r="D7" s="53" t="n">
        <f aca="false">SUMIF(Monthly!$C$5:$BJ$5,D$3,Monthly!$C$66:$BJ$66)</f>
        <v>-216734.270454</v>
      </c>
      <c r="E7" s="53" t="n">
        <f aca="false">SUMIF(Monthly!$C$5:$BJ$5,E$3,Monthly!$C$66:$BJ$66)</f>
        <v>-282993.939264114</v>
      </c>
      <c r="F7" s="53" t="n">
        <f aca="false">SUMIF(Monthly!$C$5:$BJ$5,F$3,Monthly!$C$66:$BJ$66)</f>
        <v>-370013.309066642</v>
      </c>
    </row>
    <row r="8" customFormat="false" ht="15" hidden="false" customHeight="false" outlineLevel="0" collapsed="false">
      <c r="A8" s="6" t="s">
        <v>308</v>
      </c>
      <c r="B8" s="53" t="n">
        <f aca="false">SUMIF(Monthly!$C$5:$BJ$5,B$3,Monthly!$C$67:$BJ$67)</f>
        <v>0</v>
      </c>
      <c r="C8" s="53" t="n">
        <f aca="false">SUMIF(Monthly!$C$5:$BJ$5,C$3,Monthly!$C$67:$BJ$67)</f>
        <v>0</v>
      </c>
      <c r="D8" s="53" t="n">
        <f aca="false">SUMIF(Monthly!$C$5:$BJ$5,D$3,Monthly!$C$67:$BJ$67)</f>
        <v>0</v>
      </c>
      <c r="E8" s="53" t="n">
        <f aca="false">SUMIF(Monthly!$C$5:$BJ$5,E$3,Monthly!$C$67:$BJ$67)</f>
        <v>0</v>
      </c>
      <c r="F8" s="53" t="n">
        <f aca="false">SUMIF(Monthly!$C$5:$BJ$5,F$3,Monthly!$C$67:$BJ$67)</f>
        <v>0</v>
      </c>
    </row>
    <row r="9" customFormat="false" ht="15" hidden="false" customHeight="false" outlineLevel="0" collapsed="false">
      <c r="A9" s="6" t="s">
        <v>309</v>
      </c>
      <c r="B9" s="53" t="n">
        <f aca="false">SUMIF(Monthly!$C$5:$BJ$5,B$3,Monthly!$C$68:$BJ$68)</f>
        <v>112632.74</v>
      </c>
      <c r="C9" s="53" t="n">
        <f aca="false">SUMIF(Monthly!$C$5:$BJ$5,C$3,Monthly!$C$68:$BJ$68)</f>
        <v>32785.21234</v>
      </c>
      <c r="D9" s="53" t="n">
        <f aca="false">SUMIF(Monthly!$C$5:$BJ$5,D$3,Monthly!$C$68:$BJ$68)</f>
        <v>42625.63970454</v>
      </c>
      <c r="E9" s="53" t="n">
        <f aca="false">SUMIF(Monthly!$C$5:$BJ$5,E$3,Monthly!$C$68:$BJ$68)</f>
        <v>55501.3646756412</v>
      </c>
      <c r="F9" s="53" t="n">
        <f aca="false">SUMIF(Monthly!$C$5:$BJ$5,F$3,Monthly!$C$68:$BJ$68)</f>
        <v>72370.4098262035</v>
      </c>
    </row>
    <row r="10" customFormat="false" ht="15" hidden="false" customHeight="false" outlineLevel="0" collapsed="false">
      <c r="A10" s="101" t="s">
        <v>50</v>
      </c>
      <c r="B10" s="54" t="n">
        <f aca="false">SUMIF(Monthly!$C$5:$BJ$5,B$3,Monthly!$C$71:$BJ$71)</f>
        <v>370279.780711111</v>
      </c>
      <c r="C10" s="54" t="n">
        <f aca="false">SUMIF(Monthly!$C$5:$BJ$5,C$3,Monthly!$C$71:$BJ$71)</f>
        <v>1036820.38418694</v>
      </c>
      <c r="D10" s="54" t="n">
        <f aca="false">SUMIF(Monthly!$C$5:$BJ$5,D$3,Monthly!$C$71:$BJ$71)</f>
        <v>1460260.45759368</v>
      </c>
      <c r="E10" s="54" t="n">
        <f aca="false">SUMIF(Monthly!$C$5:$BJ$5,E$3,Monthly!$C$71:$BJ$71)</f>
        <v>2023723.37283328</v>
      </c>
      <c r="F10" s="54" t="n">
        <f aca="false">SUMIF(Monthly!$C$5:$BJ$5,F$3,Monthly!$C$71:$BJ$71)</f>
        <v>2773718.704392</v>
      </c>
    </row>
    <row r="11" customFormat="false" ht="15" hidden="false" customHeight="false" outlineLevel="0" collapsed="false">
      <c r="A11" s="6" t="s">
        <v>82</v>
      </c>
      <c r="B11" s="53" t="n">
        <f aca="false">SUMIF(Monthly!$C$5:$BJ$5,B$3,Monthly!$C$72:$BJ$72)</f>
        <v>-60000</v>
      </c>
      <c r="C11" s="53" t="n">
        <f aca="false">SUMIF(Monthly!$C$5:$BJ$5,C$3,Monthly!$C$72:$BJ$72)</f>
        <v>0</v>
      </c>
      <c r="D11" s="53" t="n">
        <f aca="false">SUMIF(Monthly!$C$5:$BJ$5,D$3,Monthly!$C$72:$BJ$72)</f>
        <v>0</v>
      </c>
      <c r="E11" s="53" t="n">
        <f aca="false">SUMIF(Monthly!$C$5:$BJ$5,E$3,Monthly!$C$72:$BJ$72)</f>
        <v>0</v>
      </c>
      <c r="F11" s="53" t="n">
        <f aca="false">SUMIF(Monthly!$C$5:$BJ$5,F$3,Monthly!$C$72:$BJ$72)</f>
        <v>0</v>
      </c>
    </row>
    <row r="12" customFormat="false" ht="15" hidden="false" customHeight="false" outlineLevel="0" collapsed="false">
      <c r="A12" s="6" t="s">
        <v>62</v>
      </c>
      <c r="B12" s="53" t="n">
        <f aca="false">SUMIF(Monthly!$C$5:$BJ$5,B$3,Monthly!$C$73:$BJ$73)</f>
        <v>300000</v>
      </c>
      <c r="C12" s="53" t="n">
        <f aca="false">SUMIF(Monthly!$C$5:$BJ$5,C$3,Monthly!$C$73:$BJ$73)</f>
        <v>0</v>
      </c>
      <c r="D12" s="53" t="n">
        <f aca="false">SUMIF(Monthly!$C$5:$BJ$5,D$3,Monthly!$C$73:$BJ$73)</f>
        <v>0</v>
      </c>
      <c r="E12" s="53" t="n">
        <f aca="false">SUMIF(Monthly!$C$5:$BJ$5,E$3,Monthly!$C$73:$BJ$73)</f>
        <v>0</v>
      </c>
      <c r="F12" s="53" t="n">
        <f aca="false">SUMIF(Monthly!$C$5:$BJ$5,F$3,Monthly!$C$73:$BJ$73)</f>
        <v>0</v>
      </c>
    </row>
    <row r="13" customFormat="false" ht="15" hidden="false" customHeight="false" outlineLevel="0" collapsed="false">
      <c r="A13" s="6" t="s">
        <v>83</v>
      </c>
      <c r="B13" s="53" t="n">
        <f aca="false">SUMIF(Monthly!$C$5:$BJ$5,B$3,Monthly!$C$58:$BJ$58)</f>
        <v>200000</v>
      </c>
      <c r="C13" s="53" t="n">
        <f aca="false">SUMIF(Monthly!$C$5:$BJ$5,C$3,Monthly!$C$58:$BJ$58)</f>
        <v>0</v>
      </c>
      <c r="D13" s="53" t="n">
        <f aca="false">SUMIF(Monthly!$C$5:$BJ$5,D$3,Monthly!$C$58:$BJ$58)</f>
        <v>0</v>
      </c>
      <c r="E13" s="53" t="n">
        <f aca="false">SUMIF(Monthly!$C$5:$BJ$5,E$3,Monthly!$C$58:$BJ$58)</f>
        <v>0</v>
      </c>
      <c r="F13" s="53" t="n">
        <f aca="false">SUMIF(Monthly!$C$5:$BJ$5,F$3,Monthly!$C$58:$BJ$58)</f>
        <v>0</v>
      </c>
    </row>
    <row r="14" customFormat="false" ht="15" hidden="false" customHeight="false" outlineLevel="0" collapsed="false">
      <c r="A14" s="6" t="s">
        <v>84</v>
      </c>
      <c r="B14" s="53" t="n">
        <f aca="false">SUMIF(Monthly!$C$5:$BJ$5,B$3,Monthly!$C$59:$BJ$59)</f>
        <v>-36666.6666666667</v>
      </c>
      <c r="C14" s="53" t="n">
        <f aca="false">SUMIF(Monthly!$C$5:$BJ$5,C$3,Monthly!$C$59:$BJ$59)</f>
        <v>-40000</v>
      </c>
      <c r="D14" s="53" t="n">
        <f aca="false">SUMIF(Monthly!$C$5:$BJ$5,D$3,Monthly!$C$59:$BJ$59)</f>
        <v>-40000</v>
      </c>
      <c r="E14" s="53" t="n">
        <f aca="false">SUMIF(Monthly!$C$5:$BJ$5,E$3,Monthly!$C$59:$BJ$59)</f>
        <v>-40000</v>
      </c>
      <c r="F14" s="53" t="n">
        <f aca="false">SUMIF(Monthly!$C$5:$BJ$5,F$3,Monthly!$C$59:$BJ$59)</f>
        <v>-40000</v>
      </c>
    </row>
    <row r="15" customFormat="false" ht="15" hidden="false" customHeight="false" outlineLevel="0" collapsed="false">
      <c r="A15" s="101" t="s">
        <v>52</v>
      </c>
      <c r="B15" s="54" t="n">
        <f aca="false">SUMIF(Monthly!$C$5:$BJ$5,B$3,Monthly!$C$74:$BJ$74)</f>
        <v>463333.333333333</v>
      </c>
      <c r="C15" s="54" t="n">
        <f aca="false">SUMIF(Monthly!$C$5:$BJ$5,C$3,Monthly!$C$74:$BJ$74)</f>
        <v>-40000</v>
      </c>
      <c r="D15" s="54" t="n">
        <f aca="false">SUMIF(Monthly!$C$5:$BJ$5,D$3,Monthly!$C$74:$BJ$74)</f>
        <v>-40000</v>
      </c>
      <c r="E15" s="54" t="n">
        <f aca="false">SUMIF(Monthly!$C$5:$BJ$5,E$3,Monthly!$C$74:$BJ$74)</f>
        <v>-40000</v>
      </c>
      <c r="F15" s="54" t="n">
        <f aca="false">SUMIF(Monthly!$C$5:$BJ$5,F$3,Monthly!$C$74:$BJ$74)</f>
        <v>-40000</v>
      </c>
    </row>
    <row r="16" customFormat="false" ht="15" hidden="false" customHeight="false" outlineLevel="0" collapsed="false">
      <c r="A16" s="4" t="s">
        <v>53</v>
      </c>
      <c r="B16" s="60" t="n">
        <f aca="false">SUMIF(Monthly!$C$5:$BJ$5,B$3,Monthly!$C$75:$BJ$75)</f>
        <v>773613.114044444</v>
      </c>
      <c r="C16" s="60" t="n">
        <f aca="false">SUMIF(Monthly!$C$5:$BJ$5,C$3,Monthly!$C$75:$BJ$75)</f>
        <v>996820.384186935</v>
      </c>
      <c r="D16" s="60" t="n">
        <f aca="false">SUMIF(Monthly!$C$5:$BJ$5,D$3,Monthly!$C$75:$BJ$75)</f>
        <v>1420260.45759368</v>
      </c>
      <c r="E16" s="60" t="n">
        <f aca="false">SUMIF(Monthly!$C$5:$BJ$5,E$3,Monthly!$C$75:$BJ$75)</f>
        <v>1983723.37283328</v>
      </c>
      <c r="F16" s="60" t="n">
        <f aca="false">SUMIF(Monthly!$C$5:$BJ$5,F$3,Monthly!$C$75:$BJ$75)</f>
        <v>2733718.704392</v>
      </c>
    </row>
    <row r="17" customFormat="false" ht="15" hidden="false" customHeight="false" outlineLevel="0" collapsed="false">
      <c r="A17" s="6" t="s">
        <v>310</v>
      </c>
      <c r="B17" s="53" t="n">
        <f aca="false">INDEX(Monthly!$C$76:$BJ$76,(B$3-1)*12+1)</f>
        <v>0</v>
      </c>
      <c r="C17" s="53" t="n">
        <f aca="false">INDEX(Monthly!$C$76:$BJ$76,(C$3-1)*12+1)</f>
        <v>773613.114044444</v>
      </c>
      <c r="D17" s="53" t="n">
        <f aca="false">INDEX(Monthly!$C$76:$BJ$76,(D$3-1)*12+1)</f>
        <v>1770433.49823138</v>
      </c>
      <c r="E17" s="53" t="n">
        <f aca="false">INDEX(Monthly!$C$76:$BJ$76,(E$3-1)*12+1)</f>
        <v>3190693.95582506</v>
      </c>
      <c r="F17" s="53" t="n">
        <f aca="false">INDEX(Monthly!$C$76:$BJ$76,(F$3-1)*12+1)</f>
        <v>5174417.32865833</v>
      </c>
    </row>
    <row r="18" customFormat="false" ht="15" hidden="false" customHeight="false" outlineLevel="0" collapsed="false">
      <c r="A18" s="56" t="s">
        <v>85</v>
      </c>
      <c r="B18" s="57" t="n">
        <f aca="false">INDEX(Monthly!$C$77:$BJ$77,B$3*12)</f>
        <v>773613.114044444</v>
      </c>
      <c r="C18" s="57" t="n">
        <f aca="false">INDEX(Monthly!$C$77:$BJ$77,C$3*12)</f>
        <v>1770433.49823138</v>
      </c>
      <c r="D18" s="57" t="n">
        <f aca="false">INDEX(Monthly!$C$77:$BJ$77,D$3*12)</f>
        <v>3190693.95582506</v>
      </c>
      <c r="E18" s="57" t="n">
        <f aca="false">INDEX(Monthly!$C$77:$BJ$77,E$3*12)</f>
        <v>5174417.32865833</v>
      </c>
      <c r="F18" s="57" t="n">
        <f aca="false">INDEX(Monthly!$C$77:$BJ$77,F$3*12)</f>
        <v>7908136.03305034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300</v>
      </c>
    </row>
    <row r="3" customFormat="false" ht="15" hidden="false" customHeight="false" outlineLevel="0" collapsed="false">
      <c r="A3" s="58" t="s">
        <v>122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123</v>
      </c>
      <c r="C4" s="59" t="s">
        <v>124</v>
      </c>
      <c r="D4" s="59" t="s">
        <v>125</v>
      </c>
      <c r="E4" s="59" t="s">
        <v>126</v>
      </c>
      <c r="F4" s="59" t="s">
        <v>127</v>
      </c>
    </row>
    <row r="5" customFormat="false" ht="15" hidden="false" customHeight="false" outlineLevel="0" collapsed="false">
      <c r="A5" s="6" t="s">
        <v>87</v>
      </c>
      <c r="B5" s="53" t="n">
        <f aca="false">INDEX(Monthly!$C$77:$BJ$77,B$3*12)</f>
        <v>773613.114044444</v>
      </c>
      <c r="C5" s="53" t="n">
        <f aca="false">INDEX(Monthly!$C$77:$BJ$77,C$3*12)</f>
        <v>1770433.49823138</v>
      </c>
      <c r="D5" s="53" t="n">
        <f aca="false">INDEX(Monthly!$C$77:$BJ$77,D$3*12)</f>
        <v>3190693.95582506</v>
      </c>
      <c r="E5" s="53" t="n">
        <f aca="false">INDEX(Monthly!$C$77:$BJ$77,E$3*12)</f>
        <v>5174417.32865833</v>
      </c>
      <c r="F5" s="53" t="n">
        <f aca="false">INDEX(Monthly!$C$77:$BJ$77,F$3*12)</f>
        <v>7908136.03305034</v>
      </c>
    </row>
    <row r="6" customFormat="false" ht="15" hidden="false" customHeight="false" outlineLevel="0" collapsed="false">
      <c r="A6" s="6" t="s">
        <v>88</v>
      </c>
      <c r="B6" s="53" t="n">
        <f aca="false">INDEX(Monthly!$C$63:$BJ$63,B$3*12)</f>
        <v>563274</v>
      </c>
      <c r="C6" s="53" t="n">
        <f aca="false">INDEX(Monthly!$C$63:$BJ$63,C$3*12)</f>
        <v>729495.234</v>
      </c>
      <c r="D6" s="53" t="n">
        <f aca="false">INDEX(Monthly!$C$63:$BJ$63,D$3*12)</f>
        <v>946229.504454</v>
      </c>
      <c r="E6" s="53" t="n">
        <f aca="false">INDEX(Monthly!$C$63:$BJ$63,E$3*12)</f>
        <v>1229223.44371811</v>
      </c>
      <c r="F6" s="53" t="n">
        <f aca="false">INDEX(Monthly!$C$63:$BJ$63,F$3*12)</f>
        <v>1599236.75278476</v>
      </c>
    </row>
    <row r="7" customFormat="false" ht="15" hidden="false" customHeight="false" outlineLevel="0" collapsed="false">
      <c r="A7" s="6" t="s">
        <v>89</v>
      </c>
      <c r="B7" s="53" t="n">
        <f aca="false">INDEX(Monthly!$C$64:$BJ$64,B$3*12)</f>
        <v>0</v>
      </c>
      <c r="C7" s="53" t="n">
        <f aca="false">INDEX(Monthly!$C$64:$BJ$64,C$3*12)</f>
        <v>0</v>
      </c>
      <c r="D7" s="53" t="n">
        <f aca="false">INDEX(Monthly!$C$64:$BJ$64,D$3*12)</f>
        <v>0</v>
      </c>
      <c r="E7" s="53" t="n">
        <f aca="false">INDEX(Monthly!$C$64:$BJ$64,E$3*12)</f>
        <v>0</v>
      </c>
      <c r="F7" s="53" t="n">
        <f aca="false">INDEX(Monthly!$C$64:$BJ$64,F$3*12)</f>
        <v>0</v>
      </c>
    </row>
    <row r="8" customFormat="false" ht="15" hidden="false" customHeight="false" outlineLevel="0" collapsed="false">
      <c r="A8" s="6" t="s">
        <v>90</v>
      </c>
      <c r="B8" s="53" t="n">
        <f aca="false">INDEX(Monthly!$C$54:$BJ$54,B$3*12)</f>
        <v>48000</v>
      </c>
      <c r="C8" s="53" t="n">
        <f aca="false">INDEX(Monthly!$C$54:$BJ$54,C$3*12)</f>
        <v>36000</v>
      </c>
      <c r="D8" s="53" t="n">
        <f aca="false">INDEX(Monthly!$C$54:$BJ$54,D$3*12)</f>
        <v>24000</v>
      </c>
      <c r="E8" s="53" t="n">
        <f aca="false">INDEX(Monthly!$C$54:$BJ$54,E$3*12)</f>
        <v>12000</v>
      </c>
      <c r="F8" s="53" t="n">
        <f aca="false">INDEX(Monthly!$C$54:$BJ$54,F$3*12)</f>
        <v>0</v>
      </c>
    </row>
    <row r="9" customFormat="false" ht="15" hidden="false" customHeight="false" outlineLevel="0" collapsed="false">
      <c r="A9" s="101" t="s">
        <v>91</v>
      </c>
      <c r="B9" s="54" t="n">
        <f aca="false">INDEX(Monthly!$C$91:$BJ$91,B$3*12)</f>
        <v>1384887.11404444</v>
      </c>
      <c r="C9" s="54" t="n">
        <f aca="false">INDEX(Monthly!$C$91:$BJ$91,C$3*12)</f>
        <v>2535928.73223138</v>
      </c>
      <c r="D9" s="54" t="n">
        <f aca="false">INDEX(Monthly!$C$91:$BJ$91,D$3*12)</f>
        <v>4160923.46027906</v>
      </c>
      <c r="E9" s="54" t="n">
        <f aca="false">INDEX(Monthly!$C$91:$BJ$91,E$3*12)</f>
        <v>6415640.77237645</v>
      </c>
      <c r="F9" s="54" t="n">
        <f aca="false">INDEX(Monthly!$C$91:$BJ$91,F$3*12)</f>
        <v>9507372.78583509</v>
      </c>
    </row>
    <row r="10" customFormat="false" ht="15" hidden="false" customHeight="false" outlineLevel="0" collapsed="false">
      <c r="A10" s="6" t="s">
        <v>92</v>
      </c>
      <c r="B10" s="53" t="n">
        <f aca="false">INDEX(Monthly!$C$65:$BJ$65,B$3*12)</f>
        <v>112632.74</v>
      </c>
      <c r="C10" s="53" t="n">
        <f aca="false">INDEX(Monthly!$C$65:$BJ$65,C$3*12)</f>
        <v>145417.95234</v>
      </c>
      <c r="D10" s="53" t="n">
        <f aca="false">INDEX(Monthly!$C$65:$BJ$65,D$3*12)</f>
        <v>188043.59204454</v>
      </c>
      <c r="E10" s="53" t="n">
        <f aca="false">INDEX(Monthly!$C$65:$BJ$65,E$3*12)</f>
        <v>243544.956720181</v>
      </c>
      <c r="F10" s="53" t="n">
        <f aca="false">INDEX(Monthly!$C$65:$BJ$65,F$3*12)</f>
        <v>315915.366546385</v>
      </c>
    </row>
    <row r="11" customFormat="false" ht="15" hidden="false" customHeight="false" outlineLevel="0" collapsed="false">
      <c r="A11" s="6" t="s">
        <v>93</v>
      </c>
      <c r="B11" s="53" t="n">
        <f aca="false">INDEX(Monthly!$C$60:$BJ$60,B$3*12)</f>
        <v>163333.333333333</v>
      </c>
      <c r="C11" s="53" t="n">
        <f aca="false">INDEX(Monthly!$C$60:$BJ$60,C$3*12)</f>
        <v>123333.333333333</v>
      </c>
      <c r="D11" s="53" t="n">
        <f aca="false">INDEX(Monthly!$C$60:$BJ$60,D$3*12)</f>
        <v>83333.3333333332</v>
      </c>
      <c r="E11" s="53" t="n">
        <f aca="false">INDEX(Monthly!$C$60:$BJ$60,E$3*12)</f>
        <v>43333.3333333332</v>
      </c>
      <c r="F11" s="53" t="n">
        <f aca="false">INDEX(Monthly!$C$60:$BJ$60,F$3*12)</f>
        <v>3333.33333333322</v>
      </c>
    </row>
    <row r="12" customFormat="false" ht="15" hidden="false" customHeight="false" outlineLevel="0" collapsed="false">
      <c r="A12" s="102" t="s">
        <v>94</v>
      </c>
      <c r="B12" s="103" t="n">
        <f aca="false">INDEX(Monthly!$C$92:$BJ$92,B$3*12)</f>
        <v>275966.073333333</v>
      </c>
      <c r="C12" s="103" t="n">
        <f aca="false">INDEX(Monthly!$C$92:$BJ$92,C$3*12)</f>
        <v>268751.285673333</v>
      </c>
      <c r="D12" s="103" t="n">
        <f aca="false">INDEX(Monthly!$C$92:$BJ$92,D$3*12)</f>
        <v>271376.925377873</v>
      </c>
      <c r="E12" s="103" t="n">
        <f aca="false">INDEX(Monthly!$C$92:$BJ$92,E$3*12)</f>
        <v>286878.290053514</v>
      </c>
      <c r="F12" s="103" t="n">
        <f aca="false">INDEX(Monthly!$C$92:$BJ$92,F$3*12)</f>
        <v>319248.699879718</v>
      </c>
    </row>
    <row r="13" customFormat="false" ht="15" hidden="false" customHeight="false" outlineLevel="0" collapsed="false">
      <c r="A13" s="6" t="s">
        <v>95</v>
      </c>
      <c r="B13" s="53" t="n">
        <f aca="false">INDEX(Monthly!$C$89:$BJ$89,B$3*12)</f>
        <v>300000</v>
      </c>
      <c r="C13" s="53" t="n">
        <f aca="false">INDEX(Monthly!$C$89:$BJ$89,C$3*12)</f>
        <v>300000</v>
      </c>
      <c r="D13" s="53" t="n">
        <f aca="false">INDEX(Monthly!$C$89:$BJ$89,D$3*12)</f>
        <v>300000</v>
      </c>
      <c r="E13" s="53" t="n">
        <f aca="false">INDEX(Monthly!$C$89:$BJ$89,E$3*12)</f>
        <v>300000</v>
      </c>
      <c r="F13" s="53" t="n">
        <f aca="false">INDEX(Monthly!$C$89:$BJ$89,F$3*12)</f>
        <v>300000</v>
      </c>
    </row>
    <row r="14" customFormat="false" ht="15" hidden="false" customHeight="false" outlineLevel="0" collapsed="false">
      <c r="A14" s="6" t="s">
        <v>96</v>
      </c>
      <c r="B14" s="53" t="n">
        <f aca="false">INDEX(Monthly!$C$90:$BJ$90,B$3*12)</f>
        <v>808921.040711111</v>
      </c>
      <c r="C14" s="53" t="n">
        <f aca="false">INDEX(Monthly!$C$90:$BJ$90,C$3*12)</f>
        <v>1967177.44655805</v>
      </c>
      <c r="D14" s="53" t="n">
        <f aca="false">INDEX(Monthly!$C$90:$BJ$90,D$3*12)</f>
        <v>3589546.53490118</v>
      </c>
      <c r="E14" s="53" t="n">
        <f aca="false">INDEX(Monthly!$C$90:$BJ$90,E$3*12)</f>
        <v>5828762.48232294</v>
      </c>
      <c r="F14" s="53" t="n">
        <f aca="false">INDEX(Monthly!$C$90:$BJ$90,F$3*12)</f>
        <v>8888124.08595538</v>
      </c>
    </row>
    <row r="15" customFormat="false" ht="15" hidden="false" customHeight="false" outlineLevel="0" collapsed="false">
      <c r="A15" s="102" t="s">
        <v>97</v>
      </c>
      <c r="B15" s="103" t="n">
        <f aca="false">INDEX(Monthly!$C$93:$BJ$93,B$3*12)</f>
        <v>1108921.04071111</v>
      </c>
      <c r="C15" s="103" t="n">
        <f aca="false">INDEX(Monthly!$C$93:$BJ$93,C$3*12)</f>
        <v>2267177.44655805</v>
      </c>
      <c r="D15" s="103" t="n">
        <f aca="false">INDEX(Monthly!$C$93:$BJ$93,D$3*12)</f>
        <v>3889546.53490118</v>
      </c>
      <c r="E15" s="103" t="n">
        <f aca="false">INDEX(Monthly!$C$93:$BJ$93,E$3*12)</f>
        <v>6128762.48232294</v>
      </c>
      <c r="F15" s="103" t="n">
        <f aca="false">INDEX(Monthly!$C$93:$BJ$93,F$3*12)</f>
        <v>9188124.08595538</v>
      </c>
    </row>
    <row r="16" customFormat="false" ht="15" hidden="false" customHeight="false" outlineLevel="0" collapsed="false">
      <c r="A16" s="56" t="s">
        <v>98</v>
      </c>
      <c r="B16" s="57" t="n">
        <f aca="false">INDEX(Monthly!$C$94:$BJ$94,B$3*12)</f>
        <v>1384887.11404444</v>
      </c>
      <c r="C16" s="57" t="n">
        <f aca="false">INDEX(Monthly!$C$94:$BJ$94,C$3*12)</f>
        <v>2535928.73223138</v>
      </c>
      <c r="D16" s="57" t="n">
        <f aca="false">INDEX(Monthly!$C$94:$BJ$94,D$3*12)</f>
        <v>4160923.46027906</v>
      </c>
      <c r="E16" s="57" t="n">
        <f aca="false">INDEX(Monthly!$C$94:$BJ$94,E$3*12)</f>
        <v>6415640.77237645</v>
      </c>
      <c r="F16" s="57" t="n">
        <f aca="false">INDEX(Monthly!$C$94:$BJ$94,F$3*12)</f>
        <v>9507372.7858351</v>
      </c>
    </row>
    <row r="17" customFormat="false" ht="15" hidden="false" customHeight="false" outlineLevel="0" collapsed="false">
      <c r="A17" s="6" t="s">
        <v>311</v>
      </c>
      <c r="B17" s="53" t="n">
        <f aca="false">INDEX(Monthly!$C$95:$BJ$95,B$3*12)</f>
        <v>0</v>
      </c>
      <c r="C17" s="53" t="n">
        <f aca="false">INDEX(Monthly!$C$95:$BJ$95,C$3*12)</f>
        <v>0</v>
      </c>
      <c r="D17" s="53" t="n">
        <f aca="false">INDEX(Monthly!$C$95:$BJ$95,D$3*12)</f>
        <v>0</v>
      </c>
      <c r="E17" s="53" t="n">
        <f aca="false">INDEX(Monthly!$C$95:$BJ$95,E$3*12)</f>
        <v>0</v>
      </c>
      <c r="F17" s="53" t="n">
        <f aca="false">INDEX(Monthly!$C$95:$BJ$95,F$3*12)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312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313</v>
      </c>
    </row>
    <row r="3" customFormat="false" ht="15" hidden="false" customHeight="false" outlineLevel="0" collapsed="false">
      <c r="A3" s="33" t="s">
        <v>314</v>
      </c>
      <c r="C3" s="59" t="s">
        <v>315</v>
      </c>
      <c r="D3" s="59" t="s">
        <v>316</v>
      </c>
      <c r="E3" s="59" t="s">
        <v>317</v>
      </c>
      <c r="F3" s="59" t="s">
        <v>318</v>
      </c>
      <c r="G3" s="59" t="s">
        <v>319</v>
      </c>
      <c r="H3" s="59" t="s">
        <v>320</v>
      </c>
      <c r="I3" s="59" t="s">
        <v>321</v>
      </c>
      <c r="J3" s="59" t="s">
        <v>322</v>
      </c>
      <c r="K3" s="59" t="s">
        <v>323</v>
      </c>
      <c r="L3" s="59" t="s">
        <v>324</v>
      </c>
      <c r="M3" s="59" t="s">
        <v>325</v>
      </c>
      <c r="N3" s="59" t="s">
        <v>326</v>
      </c>
      <c r="O3" s="59" t="s">
        <v>327</v>
      </c>
      <c r="P3" s="59" t="s">
        <v>328</v>
      </c>
      <c r="Q3" s="59" t="s">
        <v>329</v>
      </c>
      <c r="R3" s="59" t="s">
        <v>330</v>
      </c>
      <c r="S3" s="59" t="s">
        <v>331</v>
      </c>
      <c r="T3" s="59" t="s">
        <v>332</v>
      </c>
      <c r="U3" s="59" t="s">
        <v>333</v>
      </c>
      <c r="V3" s="59" t="s">
        <v>334</v>
      </c>
      <c r="W3" s="59" t="s">
        <v>335</v>
      </c>
      <c r="X3" s="59" t="s">
        <v>336</v>
      </c>
      <c r="Y3" s="59" t="s">
        <v>337</v>
      </c>
      <c r="Z3" s="59" t="s">
        <v>338</v>
      </c>
      <c r="AA3" s="59" t="s">
        <v>339</v>
      </c>
      <c r="AB3" s="59" t="s">
        <v>340</v>
      </c>
      <c r="AC3" s="59" t="s">
        <v>341</v>
      </c>
      <c r="AD3" s="59" t="s">
        <v>342</v>
      </c>
      <c r="AE3" s="59" t="s">
        <v>343</v>
      </c>
      <c r="AF3" s="59" t="s">
        <v>344</v>
      </c>
      <c r="AG3" s="59" t="s">
        <v>345</v>
      </c>
      <c r="AH3" s="59" t="s">
        <v>346</v>
      </c>
      <c r="AI3" s="59" t="s">
        <v>347</v>
      </c>
      <c r="AJ3" s="59" t="s">
        <v>348</v>
      </c>
      <c r="AK3" s="59" t="s">
        <v>349</v>
      </c>
      <c r="AL3" s="59" t="s">
        <v>350</v>
      </c>
      <c r="AM3" s="59" t="s">
        <v>351</v>
      </c>
      <c r="AN3" s="59" t="s">
        <v>352</v>
      </c>
      <c r="AO3" s="59" t="s">
        <v>353</v>
      </c>
      <c r="AP3" s="59" t="s">
        <v>354</v>
      </c>
      <c r="AQ3" s="59" t="s">
        <v>355</v>
      </c>
      <c r="AR3" s="59" t="s">
        <v>356</v>
      </c>
      <c r="AS3" s="59" t="s">
        <v>357</v>
      </c>
      <c r="AT3" s="59" t="s">
        <v>358</v>
      </c>
      <c r="AU3" s="59" t="s">
        <v>359</v>
      </c>
      <c r="AV3" s="59" t="s">
        <v>360</v>
      </c>
      <c r="AW3" s="59" t="s">
        <v>361</v>
      </c>
      <c r="AX3" s="59" t="s">
        <v>362</v>
      </c>
      <c r="AY3" s="59" t="s">
        <v>363</v>
      </c>
      <c r="AZ3" s="59" t="s">
        <v>364</v>
      </c>
      <c r="BA3" s="59" t="s">
        <v>365</v>
      </c>
      <c r="BB3" s="59" t="s">
        <v>366</v>
      </c>
      <c r="BC3" s="59" t="s">
        <v>367</v>
      </c>
      <c r="BD3" s="59" t="s">
        <v>368</v>
      </c>
      <c r="BE3" s="59" t="s">
        <v>369</v>
      </c>
      <c r="BF3" s="59" t="s">
        <v>370</v>
      </c>
      <c r="BG3" s="59" t="s">
        <v>371</v>
      </c>
      <c r="BH3" s="59" t="s">
        <v>372</v>
      </c>
      <c r="BI3" s="59" t="s">
        <v>373</v>
      </c>
      <c r="BJ3" s="59" t="s">
        <v>374</v>
      </c>
    </row>
    <row r="4" customFormat="false" ht="15" hidden="false" customHeight="false" outlineLevel="0" collapsed="false">
      <c r="A4" s="58" t="s">
        <v>375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122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228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376</v>
      </c>
      <c r="C8" s="104" t="n">
        <f aca="false">Headcount!C8+Headcount!C9</f>
        <v>16</v>
      </c>
      <c r="D8" s="104" t="n">
        <f aca="false">Headcount!D8+Headcount!D9</f>
        <v>16</v>
      </c>
      <c r="E8" s="104" t="n">
        <f aca="false">Headcount!E8+Headcount!E9</f>
        <v>16</v>
      </c>
      <c r="F8" s="104" t="n">
        <f aca="false">Headcount!F8+Headcount!F9</f>
        <v>16</v>
      </c>
      <c r="G8" s="104" t="n">
        <f aca="false">Headcount!G8+Headcount!G9</f>
        <v>16</v>
      </c>
      <c r="H8" s="104" t="n">
        <f aca="false">Headcount!H8+Headcount!H9</f>
        <v>16</v>
      </c>
      <c r="I8" s="104" t="n">
        <f aca="false">Headcount!I8+Headcount!I9</f>
        <v>16</v>
      </c>
      <c r="J8" s="104" t="n">
        <f aca="false">Headcount!J8+Headcount!J9</f>
        <v>16</v>
      </c>
      <c r="K8" s="104" t="n">
        <f aca="false">Headcount!K8+Headcount!K9</f>
        <v>16</v>
      </c>
      <c r="L8" s="104" t="n">
        <f aca="false">Headcount!L8+Headcount!L9</f>
        <v>16</v>
      </c>
      <c r="M8" s="104" t="n">
        <f aca="false">Headcount!M8+Headcount!M9</f>
        <v>16</v>
      </c>
      <c r="N8" s="104" t="n">
        <f aca="false">Headcount!N8+Headcount!N9</f>
        <v>16</v>
      </c>
      <c r="O8" s="104" t="n">
        <f aca="false">Headcount!O8+Headcount!O9</f>
        <v>20.4</v>
      </c>
      <c r="P8" s="104" t="n">
        <f aca="false">Headcount!P8+Headcount!P9</f>
        <v>20.4</v>
      </c>
      <c r="Q8" s="104" t="n">
        <f aca="false">Headcount!Q8+Headcount!Q9</f>
        <v>20.4</v>
      </c>
      <c r="R8" s="104" t="n">
        <f aca="false">Headcount!R8+Headcount!R9</f>
        <v>20.4</v>
      </c>
      <c r="S8" s="104" t="n">
        <f aca="false">Headcount!S8+Headcount!S9</f>
        <v>20.4</v>
      </c>
      <c r="T8" s="104" t="n">
        <f aca="false">Headcount!T8+Headcount!T9</f>
        <v>20.4</v>
      </c>
      <c r="U8" s="104" t="n">
        <f aca="false">Headcount!U8+Headcount!U9</f>
        <v>20.4</v>
      </c>
      <c r="V8" s="104" t="n">
        <f aca="false">Headcount!V8+Headcount!V9</f>
        <v>20.4</v>
      </c>
      <c r="W8" s="104" t="n">
        <f aca="false">Headcount!W8+Headcount!W9</f>
        <v>20.4</v>
      </c>
      <c r="X8" s="104" t="n">
        <f aca="false">Headcount!X8+Headcount!X9</f>
        <v>20.4</v>
      </c>
      <c r="Y8" s="104" t="n">
        <f aca="false">Headcount!Y8+Headcount!Y9</f>
        <v>20.4</v>
      </c>
      <c r="Z8" s="104" t="n">
        <f aca="false">Headcount!Z8+Headcount!Z9</f>
        <v>20.4</v>
      </c>
      <c r="AA8" s="104" t="n">
        <f aca="false">Headcount!AA8+Headcount!AA9</f>
        <v>26.04</v>
      </c>
      <c r="AB8" s="104" t="n">
        <f aca="false">Headcount!AB8+Headcount!AB9</f>
        <v>26.04</v>
      </c>
      <c r="AC8" s="104" t="n">
        <f aca="false">Headcount!AC8+Headcount!AC9</f>
        <v>26.04</v>
      </c>
      <c r="AD8" s="104" t="n">
        <f aca="false">Headcount!AD8+Headcount!AD9</f>
        <v>26.04</v>
      </c>
      <c r="AE8" s="104" t="n">
        <f aca="false">Headcount!AE8+Headcount!AE9</f>
        <v>26.04</v>
      </c>
      <c r="AF8" s="104" t="n">
        <f aca="false">Headcount!AF8+Headcount!AF9</f>
        <v>26.04</v>
      </c>
      <c r="AG8" s="104" t="n">
        <f aca="false">Headcount!AG8+Headcount!AG9</f>
        <v>26.04</v>
      </c>
      <c r="AH8" s="104" t="n">
        <f aca="false">Headcount!AH8+Headcount!AH9</f>
        <v>26.04</v>
      </c>
      <c r="AI8" s="104" t="n">
        <f aca="false">Headcount!AI8+Headcount!AI9</f>
        <v>26.04</v>
      </c>
      <c r="AJ8" s="104" t="n">
        <f aca="false">Headcount!AJ8+Headcount!AJ9</f>
        <v>26.04</v>
      </c>
      <c r="AK8" s="104" t="n">
        <f aca="false">Headcount!AK8+Headcount!AK9</f>
        <v>26.04</v>
      </c>
      <c r="AL8" s="104" t="n">
        <f aca="false">Headcount!AL8+Headcount!AL9</f>
        <v>26.04</v>
      </c>
      <c r="AM8" s="104" t="n">
        <f aca="false">Headcount!AM8+Headcount!AM9</f>
        <v>33.276</v>
      </c>
      <c r="AN8" s="104" t="n">
        <f aca="false">Headcount!AN8+Headcount!AN9</f>
        <v>33.276</v>
      </c>
      <c r="AO8" s="104" t="n">
        <f aca="false">Headcount!AO8+Headcount!AO9</f>
        <v>33.276</v>
      </c>
      <c r="AP8" s="104" t="n">
        <f aca="false">Headcount!AP8+Headcount!AP9</f>
        <v>33.276</v>
      </c>
      <c r="AQ8" s="104" t="n">
        <f aca="false">Headcount!AQ8+Headcount!AQ9</f>
        <v>33.276</v>
      </c>
      <c r="AR8" s="104" t="n">
        <f aca="false">Headcount!AR8+Headcount!AR9</f>
        <v>33.276</v>
      </c>
      <c r="AS8" s="104" t="n">
        <f aca="false">Headcount!AS8+Headcount!AS9</f>
        <v>33.276</v>
      </c>
      <c r="AT8" s="104" t="n">
        <f aca="false">Headcount!AT8+Headcount!AT9</f>
        <v>33.276</v>
      </c>
      <c r="AU8" s="104" t="n">
        <f aca="false">Headcount!AU8+Headcount!AU9</f>
        <v>33.276</v>
      </c>
      <c r="AV8" s="104" t="n">
        <f aca="false">Headcount!AV8+Headcount!AV9</f>
        <v>33.276</v>
      </c>
      <c r="AW8" s="104" t="n">
        <f aca="false">Headcount!AW8+Headcount!AW9</f>
        <v>33.276</v>
      </c>
      <c r="AX8" s="104" t="n">
        <f aca="false">Headcount!AX8+Headcount!AX9</f>
        <v>33.276</v>
      </c>
      <c r="AY8" s="104" t="n">
        <f aca="false">Headcount!AY8+Headcount!AY9</f>
        <v>42.5676</v>
      </c>
      <c r="AZ8" s="104" t="n">
        <f aca="false">Headcount!AZ8+Headcount!AZ9</f>
        <v>42.5676</v>
      </c>
      <c r="BA8" s="104" t="n">
        <f aca="false">Headcount!BA8+Headcount!BA9</f>
        <v>42.5676</v>
      </c>
      <c r="BB8" s="104" t="n">
        <f aca="false">Headcount!BB8+Headcount!BB9</f>
        <v>42.5676</v>
      </c>
      <c r="BC8" s="104" t="n">
        <f aca="false">Headcount!BC8+Headcount!BC9</f>
        <v>42.5676</v>
      </c>
      <c r="BD8" s="104" t="n">
        <f aca="false">Headcount!BD8+Headcount!BD9</f>
        <v>42.5676</v>
      </c>
      <c r="BE8" s="104" t="n">
        <f aca="false">Headcount!BE8+Headcount!BE9</f>
        <v>42.5676</v>
      </c>
      <c r="BF8" s="104" t="n">
        <f aca="false">Headcount!BF8+Headcount!BF9</f>
        <v>42.5676</v>
      </c>
      <c r="BG8" s="104" t="n">
        <f aca="false">Headcount!BG8+Headcount!BG9</f>
        <v>42.5676</v>
      </c>
      <c r="BH8" s="104" t="n">
        <f aca="false">Headcount!BH8+Headcount!BH9</f>
        <v>42.5676</v>
      </c>
      <c r="BI8" s="104" t="n">
        <f aca="false">Headcount!BI8+Headcount!BI9</f>
        <v>42.5676</v>
      </c>
      <c r="BJ8" s="104" t="n">
        <f aca="false">Headcount!BJ8+Headcount!BJ9</f>
        <v>42.5676</v>
      </c>
    </row>
    <row r="9" customFormat="false" ht="15" hidden="false" customHeight="false" outlineLevel="0" collapsed="false">
      <c r="A9" s="6" t="s">
        <v>204</v>
      </c>
      <c r="C9" s="105" t="n">
        <f aca="false">C8*Inputs!$E$7/12*1</f>
        <v>2400</v>
      </c>
      <c r="D9" s="105" t="n">
        <f aca="false">D8*Inputs!$E$7/12*1</f>
        <v>2400</v>
      </c>
      <c r="E9" s="105" t="n">
        <f aca="false">E8*Inputs!$E$7/12*1</f>
        <v>2400</v>
      </c>
      <c r="F9" s="105" t="n">
        <f aca="false">F8*Inputs!$E$7/12*1</f>
        <v>2400</v>
      </c>
      <c r="G9" s="105" t="n">
        <f aca="false">G8*Inputs!$E$7/12*1</f>
        <v>2400</v>
      </c>
      <c r="H9" s="105" t="n">
        <f aca="false">H8*Inputs!$E$7/12*1</f>
        <v>2400</v>
      </c>
      <c r="I9" s="105" t="n">
        <f aca="false">I8*Inputs!$E$7/12*1</f>
        <v>2400</v>
      </c>
      <c r="J9" s="105" t="n">
        <f aca="false">J8*Inputs!$E$7/12*1</f>
        <v>2400</v>
      </c>
      <c r="K9" s="105" t="n">
        <f aca="false">K8*Inputs!$E$7/12*1</f>
        <v>2400</v>
      </c>
      <c r="L9" s="105" t="n">
        <f aca="false">L8*Inputs!$E$7/12*1</f>
        <v>2400</v>
      </c>
      <c r="M9" s="105" t="n">
        <f aca="false">M8*Inputs!$E$7/12*1</f>
        <v>2400</v>
      </c>
      <c r="N9" s="105" t="n">
        <f aca="false">N8*Inputs!$E$7/12*1</f>
        <v>2400</v>
      </c>
      <c r="O9" s="105" t="n">
        <f aca="false">O8*Inputs!$E$7/12*1</f>
        <v>3060</v>
      </c>
      <c r="P9" s="105" t="n">
        <f aca="false">P8*Inputs!$E$7/12*1</f>
        <v>3060</v>
      </c>
      <c r="Q9" s="105" t="n">
        <f aca="false">Q8*Inputs!$E$7/12*1</f>
        <v>3060</v>
      </c>
      <c r="R9" s="105" t="n">
        <f aca="false">R8*Inputs!$E$7/12*1</f>
        <v>3060</v>
      </c>
      <c r="S9" s="105" t="n">
        <f aca="false">S8*Inputs!$E$7/12*1</f>
        <v>3060</v>
      </c>
      <c r="T9" s="105" t="n">
        <f aca="false">T8*Inputs!$E$7/12*1</f>
        <v>3060</v>
      </c>
      <c r="U9" s="105" t="n">
        <f aca="false">U8*Inputs!$E$7/12*1</f>
        <v>3060</v>
      </c>
      <c r="V9" s="105" t="n">
        <f aca="false">V8*Inputs!$E$7/12*1</f>
        <v>3060</v>
      </c>
      <c r="W9" s="105" t="n">
        <f aca="false">W8*Inputs!$E$7/12*1</f>
        <v>3060</v>
      </c>
      <c r="X9" s="105" t="n">
        <f aca="false">X8*Inputs!$E$7/12*1</f>
        <v>3060</v>
      </c>
      <c r="Y9" s="105" t="n">
        <f aca="false">Y8*Inputs!$E$7/12*1</f>
        <v>3060</v>
      </c>
      <c r="Z9" s="105" t="n">
        <f aca="false">Z8*Inputs!$E$7/12*1</f>
        <v>3060</v>
      </c>
      <c r="AA9" s="105" t="n">
        <f aca="false">AA8*Inputs!$E$7/12*1</f>
        <v>3906</v>
      </c>
      <c r="AB9" s="105" t="n">
        <f aca="false">AB8*Inputs!$E$7/12*1</f>
        <v>3906</v>
      </c>
      <c r="AC9" s="105" t="n">
        <f aca="false">AC8*Inputs!$E$7/12*1</f>
        <v>3906</v>
      </c>
      <c r="AD9" s="105" t="n">
        <f aca="false">AD8*Inputs!$E$7/12*1</f>
        <v>3906</v>
      </c>
      <c r="AE9" s="105" t="n">
        <f aca="false">AE8*Inputs!$E$7/12*1</f>
        <v>3906</v>
      </c>
      <c r="AF9" s="105" t="n">
        <f aca="false">AF8*Inputs!$E$7/12*1</f>
        <v>3906</v>
      </c>
      <c r="AG9" s="105" t="n">
        <f aca="false">AG8*Inputs!$E$7/12*1</f>
        <v>3906</v>
      </c>
      <c r="AH9" s="105" t="n">
        <f aca="false">AH8*Inputs!$E$7/12*1</f>
        <v>3906</v>
      </c>
      <c r="AI9" s="105" t="n">
        <f aca="false">AI8*Inputs!$E$7/12*1</f>
        <v>3906</v>
      </c>
      <c r="AJ9" s="105" t="n">
        <f aca="false">AJ8*Inputs!$E$7/12*1</f>
        <v>3906</v>
      </c>
      <c r="AK9" s="105" t="n">
        <f aca="false">AK8*Inputs!$E$7/12*1</f>
        <v>3906</v>
      </c>
      <c r="AL9" s="105" t="n">
        <f aca="false">AL8*Inputs!$E$7/12*1</f>
        <v>3906</v>
      </c>
      <c r="AM9" s="105" t="n">
        <f aca="false">AM8*Inputs!$E$7/12*1</f>
        <v>4991.4</v>
      </c>
      <c r="AN9" s="105" t="n">
        <f aca="false">AN8*Inputs!$E$7/12*1</f>
        <v>4991.4</v>
      </c>
      <c r="AO9" s="105" t="n">
        <f aca="false">AO8*Inputs!$E$7/12*1</f>
        <v>4991.4</v>
      </c>
      <c r="AP9" s="105" t="n">
        <f aca="false">AP8*Inputs!$E$7/12*1</f>
        <v>4991.4</v>
      </c>
      <c r="AQ9" s="105" t="n">
        <f aca="false">AQ8*Inputs!$E$7/12*1</f>
        <v>4991.4</v>
      </c>
      <c r="AR9" s="105" t="n">
        <f aca="false">AR8*Inputs!$E$7/12*1</f>
        <v>4991.4</v>
      </c>
      <c r="AS9" s="105" t="n">
        <f aca="false">AS8*Inputs!$E$7/12*1</f>
        <v>4991.4</v>
      </c>
      <c r="AT9" s="105" t="n">
        <f aca="false">AT8*Inputs!$E$7/12*1</f>
        <v>4991.4</v>
      </c>
      <c r="AU9" s="105" t="n">
        <f aca="false">AU8*Inputs!$E$7/12*1</f>
        <v>4991.4</v>
      </c>
      <c r="AV9" s="105" t="n">
        <f aca="false">AV8*Inputs!$E$7/12*1</f>
        <v>4991.4</v>
      </c>
      <c r="AW9" s="105" t="n">
        <f aca="false">AW8*Inputs!$E$7/12*1</f>
        <v>4991.4</v>
      </c>
      <c r="AX9" s="105" t="n">
        <f aca="false">AX8*Inputs!$E$7/12*1</f>
        <v>4991.4</v>
      </c>
      <c r="AY9" s="105" t="n">
        <f aca="false">AY8*Inputs!$E$7/12*1</f>
        <v>6385.14</v>
      </c>
      <c r="AZ9" s="105" t="n">
        <f aca="false">AZ8*Inputs!$E$7/12*1</f>
        <v>6385.14</v>
      </c>
      <c r="BA9" s="105" t="n">
        <f aca="false">BA8*Inputs!$E$7/12*1</f>
        <v>6385.14</v>
      </c>
      <c r="BB9" s="105" t="n">
        <f aca="false">BB8*Inputs!$E$7/12*1</f>
        <v>6385.14</v>
      </c>
      <c r="BC9" s="105" t="n">
        <f aca="false">BC8*Inputs!$E$7/12*1</f>
        <v>6385.14</v>
      </c>
      <c r="BD9" s="105" t="n">
        <f aca="false">BD8*Inputs!$E$7/12*1</f>
        <v>6385.14</v>
      </c>
      <c r="BE9" s="105" t="n">
        <f aca="false">BE8*Inputs!$E$7/12*1</f>
        <v>6385.14</v>
      </c>
      <c r="BF9" s="105" t="n">
        <f aca="false">BF8*Inputs!$E$7/12*1</f>
        <v>6385.14</v>
      </c>
      <c r="BG9" s="105" t="n">
        <f aca="false">BG8*Inputs!$E$7/12*1</f>
        <v>6385.14</v>
      </c>
      <c r="BH9" s="105" t="n">
        <f aca="false">BH8*Inputs!$E$7/12*1</f>
        <v>6385.14</v>
      </c>
      <c r="BI9" s="105" t="n">
        <f aca="false">BI8*Inputs!$E$7/12*1</f>
        <v>6385.14</v>
      </c>
      <c r="BJ9" s="105" t="n">
        <f aca="false">BJ8*Inputs!$E$7/12*1</f>
        <v>6385.14</v>
      </c>
    </row>
    <row r="10" customFormat="false" ht="15" hidden="false" customHeight="false" outlineLevel="0" collapsed="false">
      <c r="A10" s="6" t="s">
        <v>377</v>
      </c>
      <c r="C10" s="105" t="n">
        <f aca="false">Headcount!C8*Inputs!$E$7/12*1*Inputs!$E$8</f>
        <v>330</v>
      </c>
      <c r="D10" s="105" t="n">
        <f aca="false">Headcount!D8*Inputs!$E$7/12*1*Inputs!$E$8</f>
        <v>330</v>
      </c>
      <c r="E10" s="105" t="n">
        <f aca="false">Headcount!E8*Inputs!$E$7/12*1*Inputs!$E$8</f>
        <v>330</v>
      </c>
      <c r="F10" s="105" t="n">
        <f aca="false">Headcount!F8*Inputs!$E$7/12*1*Inputs!$E$8</f>
        <v>330</v>
      </c>
      <c r="G10" s="105" t="n">
        <f aca="false">Headcount!G8*Inputs!$E$7/12*1*Inputs!$E$8</f>
        <v>330</v>
      </c>
      <c r="H10" s="105" t="n">
        <f aca="false">Headcount!H8*Inputs!$E$7/12*1*Inputs!$E$8</f>
        <v>330</v>
      </c>
      <c r="I10" s="105" t="n">
        <f aca="false">Headcount!I8*Inputs!$E$7/12*1*Inputs!$E$8</f>
        <v>330</v>
      </c>
      <c r="J10" s="105" t="n">
        <f aca="false">Headcount!J8*Inputs!$E$7/12*1*Inputs!$E$8</f>
        <v>330</v>
      </c>
      <c r="K10" s="105" t="n">
        <f aca="false">Headcount!K8*Inputs!$E$7/12*1*Inputs!$E$8</f>
        <v>330</v>
      </c>
      <c r="L10" s="105" t="n">
        <f aca="false">Headcount!L8*Inputs!$E$7/12*1*Inputs!$E$8</f>
        <v>330</v>
      </c>
      <c r="M10" s="105" t="n">
        <f aca="false">Headcount!M8*Inputs!$E$7/12*1*Inputs!$E$8</f>
        <v>330</v>
      </c>
      <c r="N10" s="105" t="n">
        <f aca="false">Headcount!N8*Inputs!$E$7/12*1*Inputs!$E$8</f>
        <v>330</v>
      </c>
      <c r="O10" s="105" t="n">
        <f aca="false">Headcount!O8*Inputs!$E$7/12*1*Inputs!$E$8</f>
        <v>396</v>
      </c>
      <c r="P10" s="105" t="n">
        <f aca="false">Headcount!P8*Inputs!$E$7/12*1*Inputs!$E$8</f>
        <v>396</v>
      </c>
      <c r="Q10" s="105" t="n">
        <f aca="false">Headcount!Q8*Inputs!$E$7/12*1*Inputs!$E$8</f>
        <v>396</v>
      </c>
      <c r="R10" s="105" t="n">
        <f aca="false">Headcount!R8*Inputs!$E$7/12*1*Inputs!$E$8</f>
        <v>396</v>
      </c>
      <c r="S10" s="105" t="n">
        <f aca="false">Headcount!S8*Inputs!$E$7/12*1*Inputs!$E$8</f>
        <v>396</v>
      </c>
      <c r="T10" s="105" t="n">
        <f aca="false">Headcount!T8*Inputs!$E$7/12*1*Inputs!$E$8</f>
        <v>396</v>
      </c>
      <c r="U10" s="105" t="n">
        <f aca="false">Headcount!U8*Inputs!$E$7/12*1*Inputs!$E$8</f>
        <v>396</v>
      </c>
      <c r="V10" s="105" t="n">
        <f aca="false">Headcount!V8*Inputs!$E$7/12*1*Inputs!$E$8</f>
        <v>396</v>
      </c>
      <c r="W10" s="105" t="n">
        <f aca="false">Headcount!W8*Inputs!$E$7/12*1*Inputs!$E$8</f>
        <v>396</v>
      </c>
      <c r="X10" s="105" t="n">
        <f aca="false">Headcount!X8*Inputs!$E$7/12*1*Inputs!$E$8</f>
        <v>396</v>
      </c>
      <c r="Y10" s="105" t="n">
        <f aca="false">Headcount!Y8*Inputs!$E$7/12*1*Inputs!$E$8</f>
        <v>396</v>
      </c>
      <c r="Z10" s="105" t="n">
        <f aca="false">Headcount!Z8*Inputs!$E$7/12*1*Inputs!$E$8</f>
        <v>396</v>
      </c>
      <c r="AA10" s="105" t="n">
        <f aca="false">Headcount!AA8*Inputs!$E$7/12*1*Inputs!$E$8</f>
        <v>475.2</v>
      </c>
      <c r="AB10" s="105" t="n">
        <f aca="false">Headcount!AB8*Inputs!$E$7/12*1*Inputs!$E$8</f>
        <v>475.2</v>
      </c>
      <c r="AC10" s="105" t="n">
        <f aca="false">Headcount!AC8*Inputs!$E$7/12*1*Inputs!$E$8</f>
        <v>475.2</v>
      </c>
      <c r="AD10" s="105" t="n">
        <f aca="false">Headcount!AD8*Inputs!$E$7/12*1*Inputs!$E$8</f>
        <v>475.2</v>
      </c>
      <c r="AE10" s="105" t="n">
        <f aca="false">Headcount!AE8*Inputs!$E$7/12*1*Inputs!$E$8</f>
        <v>475.2</v>
      </c>
      <c r="AF10" s="105" t="n">
        <f aca="false">Headcount!AF8*Inputs!$E$7/12*1*Inputs!$E$8</f>
        <v>475.2</v>
      </c>
      <c r="AG10" s="105" t="n">
        <f aca="false">Headcount!AG8*Inputs!$E$7/12*1*Inputs!$E$8</f>
        <v>475.2</v>
      </c>
      <c r="AH10" s="105" t="n">
        <f aca="false">Headcount!AH8*Inputs!$E$7/12*1*Inputs!$E$8</f>
        <v>475.2</v>
      </c>
      <c r="AI10" s="105" t="n">
        <f aca="false">Headcount!AI8*Inputs!$E$7/12*1*Inputs!$E$8</f>
        <v>475.2</v>
      </c>
      <c r="AJ10" s="105" t="n">
        <f aca="false">Headcount!AJ8*Inputs!$E$7/12*1*Inputs!$E$8</f>
        <v>475.2</v>
      </c>
      <c r="AK10" s="105" t="n">
        <f aca="false">Headcount!AK8*Inputs!$E$7/12*1*Inputs!$E$8</f>
        <v>475.2</v>
      </c>
      <c r="AL10" s="105" t="n">
        <f aca="false">Headcount!AL8*Inputs!$E$7/12*1*Inputs!$E$8</f>
        <v>475.2</v>
      </c>
      <c r="AM10" s="105" t="n">
        <f aca="false">Headcount!AM8*Inputs!$E$7/12*1*Inputs!$E$8</f>
        <v>570.24</v>
      </c>
      <c r="AN10" s="105" t="n">
        <f aca="false">Headcount!AN8*Inputs!$E$7/12*1*Inputs!$E$8</f>
        <v>570.24</v>
      </c>
      <c r="AO10" s="105" t="n">
        <f aca="false">Headcount!AO8*Inputs!$E$7/12*1*Inputs!$E$8</f>
        <v>570.24</v>
      </c>
      <c r="AP10" s="105" t="n">
        <f aca="false">Headcount!AP8*Inputs!$E$7/12*1*Inputs!$E$8</f>
        <v>570.24</v>
      </c>
      <c r="AQ10" s="105" t="n">
        <f aca="false">Headcount!AQ8*Inputs!$E$7/12*1*Inputs!$E$8</f>
        <v>570.24</v>
      </c>
      <c r="AR10" s="105" t="n">
        <f aca="false">Headcount!AR8*Inputs!$E$7/12*1*Inputs!$E$8</f>
        <v>570.24</v>
      </c>
      <c r="AS10" s="105" t="n">
        <f aca="false">Headcount!AS8*Inputs!$E$7/12*1*Inputs!$E$8</f>
        <v>570.24</v>
      </c>
      <c r="AT10" s="105" t="n">
        <f aca="false">Headcount!AT8*Inputs!$E$7/12*1*Inputs!$E$8</f>
        <v>570.24</v>
      </c>
      <c r="AU10" s="105" t="n">
        <f aca="false">Headcount!AU8*Inputs!$E$7/12*1*Inputs!$E$8</f>
        <v>570.24</v>
      </c>
      <c r="AV10" s="105" t="n">
        <f aca="false">Headcount!AV8*Inputs!$E$7/12*1*Inputs!$E$8</f>
        <v>570.24</v>
      </c>
      <c r="AW10" s="105" t="n">
        <f aca="false">Headcount!AW8*Inputs!$E$7/12*1*Inputs!$E$8</f>
        <v>570.24</v>
      </c>
      <c r="AX10" s="105" t="n">
        <f aca="false">Headcount!AX8*Inputs!$E$7/12*1*Inputs!$E$8</f>
        <v>570.24</v>
      </c>
      <c r="AY10" s="105" t="n">
        <f aca="false">Headcount!AY8*Inputs!$E$7/12*1*Inputs!$E$8</f>
        <v>684.288</v>
      </c>
      <c r="AZ10" s="105" t="n">
        <f aca="false">Headcount!AZ8*Inputs!$E$7/12*1*Inputs!$E$8</f>
        <v>684.288</v>
      </c>
      <c r="BA10" s="105" t="n">
        <f aca="false">Headcount!BA8*Inputs!$E$7/12*1*Inputs!$E$8</f>
        <v>684.288</v>
      </c>
      <c r="BB10" s="105" t="n">
        <f aca="false">Headcount!BB8*Inputs!$E$7/12*1*Inputs!$E$8</f>
        <v>684.288</v>
      </c>
      <c r="BC10" s="105" t="n">
        <f aca="false">Headcount!BC8*Inputs!$E$7/12*1*Inputs!$E$8</f>
        <v>684.288</v>
      </c>
      <c r="BD10" s="105" t="n">
        <f aca="false">Headcount!BD8*Inputs!$E$7/12*1*Inputs!$E$8</f>
        <v>684.288</v>
      </c>
      <c r="BE10" s="105" t="n">
        <f aca="false">Headcount!BE8*Inputs!$E$7/12*1*Inputs!$E$8</f>
        <v>684.288</v>
      </c>
      <c r="BF10" s="105" t="n">
        <f aca="false">Headcount!BF8*Inputs!$E$7/12*1*Inputs!$E$8</f>
        <v>684.288</v>
      </c>
      <c r="BG10" s="105" t="n">
        <f aca="false">Headcount!BG8*Inputs!$E$7/12*1*Inputs!$E$8</f>
        <v>684.288</v>
      </c>
      <c r="BH10" s="105" t="n">
        <f aca="false">Headcount!BH8*Inputs!$E$7/12*1*Inputs!$E$8</f>
        <v>684.288</v>
      </c>
      <c r="BI10" s="105" t="n">
        <f aca="false">Headcount!BI8*Inputs!$E$7/12*1*Inputs!$E$8</f>
        <v>684.288</v>
      </c>
      <c r="BJ10" s="105" t="n">
        <f aca="false">Headcount!BJ8*Inputs!$E$7/12*1*Inputs!$E$8</f>
        <v>684.288</v>
      </c>
    </row>
    <row r="11" customFormat="false" ht="15" hidden="false" customHeight="false" outlineLevel="0" collapsed="false">
      <c r="A11" s="6" t="s">
        <v>378</v>
      </c>
      <c r="C11" s="105" t="n">
        <f aca="false">Headcount!C9*Inputs!$E$7/12*1*Inputs!$E$9</f>
        <v>1350</v>
      </c>
      <c r="D11" s="105" t="n">
        <f aca="false">Headcount!D9*Inputs!$E$7/12*1*Inputs!$E$9</f>
        <v>1350</v>
      </c>
      <c r="E11" s="105" t="n">
        <f aca="false">Headcount!E9*Inputs!$E$7/12*1*Inputs!$E$9</f>
        <v>1350</v>
      </c>
      <c r="F11" s="105" t="n">
        <f aca="false">Headcount!F9*Inputs!$E$7/12*1*Inputs!$E$9</f>
        <v>1350</v>
      </c>
      <c r="G11" s="105" t="n">
        <f aca="false">Headcount!G9*Inputs!$E$7/12*1*Inputs!$E$9</f>
        <v>1350</v>
      </c>
      <c r="H11" s="105" t="n">
        <f aca="false">Headcount!H9*Inputs!$E$7/12*1*Inputs!$E$9</f>
        <v>1350</v>
      </c>
      <c r="I11" s="105" t="n">
        <f aca="false">Headcount!I9*Inputs!$E$7/12*1*Inputs!$E$9</f>
        <v>1350</v>
      </c>
      <c r="J11" s="105" t="n">
        <f aca="false">Headcount!J9*Inputs!$E$7/12*1*Inputs!$E$9</f>
        <v>1350</v>
      </c>
      <c r="K11" s="105" t="n">
        <f aca="false">Headcount!K9*Inputs!$E$7/12*1*Inputs!$E$9</f>
        <v>1350</v>
      </c>
      <c r="L11" s="105" t="n">
        <f aca="false">Headcount!L9*Inputs!$E$7/12*1*Inputs!$E$9</f>
        <v>1350</v>
      </c>
      <c r="M11" s="105" t="n">
        <f aca="false">Headcount!M9*Inputs!$E$7/12*1*Inputs!$E$9</f>
        <v>1350</v>
      </c>
      <c r="N11" s="105" t="n">
        <f aca="false">Headcount!N9*Inputs!$E$7/12*1*Inputs!$E$9</f>
        <v>1350</v>
      </c>
      <c r="O11" s="105" t="n">
        <f aca="false">Headcount!O9*Inputs!$E$7/12*1*Inputs!$E$9</f>
        <v>1755</v>
      </c>
      <c r="P11" s="105" t="n">
        <f aca="false">Headcount!P9*Inputs!$E$7/12*1*Inputs!$E$9</f>
        <v>1755</v>
      </c>
      <c r="Q11" s="105" t="n">
        <f aca="false">Headcount!Q9*Inputs!$E$7/12*1*Inputs!$E$9</f>
        <v>1755</v>
      </c>
      <c r="R11" s="105" t="n">
        <f aca="false">Headcount!R9*Inputs!$E$7/12*1*Inputs!$E$9</f>
        <v>1755</v>
      </c>
      <c r="S11" s="105" t="n">
        <f aca="false">Headcount!S9*Inputs!$E$7/12*1*Inputs!$E$9</f>
        <v>1755</v>
      </c>
      <c r="T11" s="105" t="n">
        <f aca="false">Headcount!T9*Inputs!$E$7/12*1*Inputs!$E$9</f>
        <v>1755</v>
      </c>
      <c r="U11" s="105" t="n">
        <f aca="false">Headcount!U9*Inputs!$E$7/12*1*Inputs!$E$9</f>
        <v>1755</v>
      </c>
      <c r="V11" s="105" t="n">
        <f aca="false">Headcount!V9*Inputs!$E$7/12*1*Inputs!$E$9</f>
        <v>1755</v>
      </c>
      <c r="W11" s="105" t="n">
        <f aca="false">Headcount!W9*Inputs!$E$7/12*1*Inputs!$E$9</f>
        <v>1755</v>
      </c>
      <c r="X11" s="105" t="n">
        <f aca="false">Headcount!X9*Inputs!$E$7/12*1*Inputs!$E$9</f>
        <v>1755</v>
      </c>
      <c r="Y11" s="105" t="n">
        <f aca="false">Headcount!Y9*Inputs!$E$7/12*1*Inputs!$E$9</f>
        <v>1755</v>
      </c>
      <c r="Z11" s="105" t="n">
        <f aca="false">Headcount!Z9*Inputs!$E$7/12*1*Inputs!$E$9</f>
        <v>1755</v>
      </c>
      <c r="AA11" s="105" t="n">
        <f aca="false">Headcount!AA9*Inputs!$E$7/12*1*Inputs!$E$9</f>
        <v>2281.5</v>
      </c>
      <c r="AB11" s="105" t="n">
        <f aca="false">Headcount!AB9*Inputs!$E$7/12*1*Inputs!$E$9</f>
        <v>2281.5</v>
      </c>
      <c r="AC11" s="105" t="n">
        <f aca="false">Headcount!AC9*Inputs!$E$7/12*1*Inputs!$E$9</f>
        <v>2281.5</v>
      </c>
      <c r="AD11" s="105" t="n">
        <f aca="false">Headcount!AD9*Inputs!$E$7/12*1*Inputs!$E$9</f>
        <v>2281.5</v>
      </c>
      <c r="AE11" s="105" t="n">
        <f aca="false">Headcount!AE9*Inputs!$E$7/12*1*Inputs!$E$9</f>
        <v>2281.5</v>
      </c>
      <c r="AF11" s="105" t="n">
        <f aca="false">Headcount!AF9*Inputs!$E$7/12*1*Inputs!$E$9</f>
        <v>2281.5</v>
      </c>
      <c r="AG11" s="105" t="n">
        <f aca="false">Headcount!AG9*Inputs!$E$7/12*1*Inputs!$E$9</f>
        <v>2281.5</v>
      </c>
      <c r="AH11" s="105" t="n">
        <f aca="false">Headcount!AH9*Inputs!$E$7/12*1*Inputs!$E$9</f>
        <v>2281.5</v>
      </c>
      <c r="AI11" s="105" t="n">
        <f aca="false">Headcount!AI9*Inputs!$E$7/12*1*Inputs!$E$9</f>
        <v>2281.5</v>
      </c>
      <c r="AJ11" s="105" t="n">
        <f aca="false">Headcount!AJ9*Inputs!$E$7/12*1*Inputs!$E$9</f>
        <v>2281.5</v>
      </c>
      <c r="AK11" s="105" t="n">
        <f aca="false">Headcount!AK9*Inputs!$E$7/12*1*Inputs!$E$9</f>
        <v>2281.5</v>
      </c>
      <c r="AL11" s="105" t="n">
        <f aca="false">Headcount!AL9*Inputs!$E$7/12*1*Inputs!$E$9</f>
        <v>2281.5</v>
      </c>
      <c r="AM11" s="105" t="n">
        <f aca="false">Headcount!AM9*Inputs!$E$7/12*1*Inputs!$E$9</f>
        <v>2965.95</v>
      </c>
      <c r="AN11" s="105" t="n">
        <f aca="false">Headcount!AN9*Inputs!$E$7/12*1*Inputs!$E$9</f>
        <v>2965.95</v>
      </c>
      <c r="AO11" s="105" t="n">
        <f aca="false">Headcount!AO9*Inputs!$E$7/12*1*Inputs!$E$9</f>
        <v>2965.95</v>
      </c>
      <c r="AP11" s="105" t="n">
        <f aca="false">Headcount!AP9*Inputs!$E$7/12*1*Inputs!$E$9</f>
        <v>2965.95</v>
      </c>
      <c r="AQ11" s="105" t="n">
        <f aca="false">Headcount!AQ9*Inputs!$E$7/12*1*Inputs!$E$9</f>
        <v>2965.95</v>
      </c>
      <c r="AR11" s="105" t="n">
        <f aca="false">Headcount!AR9*Inputs!$E$7/12*1*Inputs!$E$9</f>
        <v>2965.95</v>
      </c>
      <c r="AS11" s="105" t="n">
        <f aca="false">Headcount!AS9*Inputs!$E$7/12*1*Inputs!$E$9</f>
        <v>2965.95</v>
      </c>
      <c r="AT11" s="105" t="n">
        <f aca="false">Headcount!AT9*Inputs!$E$7/12*1*Inputs!$E$9</f>
        <v>2965.95</v>
      </c>
      <c r="AU11" s="105" t="n">
        <f aca="false">Headcount!AU9*Inputs!$E$7/12*1*Inputs!$E$9</f>
        <v>2965.95</v>
      </c>
      <c r="AV11" s="105" t="n">
        <f aca="false">Headcount!AV9*Inputs!$E$7/12*1*Inputs!$E$9</f>
        <v>2965.95</v>
      </c>
      <c r="AW11" s="105" t="n">
        <f aca="false">Headcount!AW9*Inputs!$E$7/12*1*Inputs!$E$9</f>
        <v>2965.95</v>
      </c>
      <c r="AX11" s="105" t="n">
        <f aca="false">Headcount!AX9*Inputs!$E$7/12*1*Inputs!$E$9</f>
        <v>2965.95</v>
      </c>
      <c r="AY11" s="105" t="n">
        <f aca="false">Headcount!AY9*Inputs!$E$7/12*1*Inputs!$E$9</f>
        <v>3855.735</v>
      </c>
      <c r="AZ11" s="105" t="n">
        <f aca="false">Headcount!AZ9*Inputs!$E$7/12*1*Inputs!$E$9</f>
        <v>3855.735</v>
      </c>
      <c r="BA11" s="105" t="n">
        <f aca="false">Headcount!BA9*Inputs!$E$7/12*1*Inputs!$E$9</f>
        <v>3855.735</v>
      </c>
      <c r="BB11" s="105" t="n">
        <f aca="false">Headcount!BB9*Inputs!$E$7/12*1*Inputs!$E$9</f>
        <v>3855.735</v>
      </c>
      <c r="BC11" s="105" t="n">
        <f aca="false">Headcount!BC9*Inputs!$E$7/12*1*Inputs!$E$9</f>
        <v>3855.735</v>
      </c>
      <c r="BD11" s="105" t="n">
        <f aca="false">Headcount!BD9*Inputs!$E$7/12*1*Inputs!$E$9</f>
        <v>3855.735</v>
      </c>
      <c r="BE11" s="105" t="n">
        <f aca="false">Headcount!BE9*Inputs!$E$7/12*1*Inputs!$E$9</f>
        <v>3855.735</v>
      </c>
      <c r="BF11" s="105" t="n">
        <f aca="false">Headcount!BF9*Inputs!$E$7/12*1*Inputs!$E$9</f>
        <v>3855.735</v>
      </c>
      <c r="BG11" s="105" t="n">
        <f aca="false">Headcount!BG9*Inputs!$E$7/12*1*Inputs!$E$9</f>
        <v>3855.735</v>
      </c>
      <c r="BH11" s="105" t="n">
        <f aca="false">Headcount!BH9*Inputs!$E$7/12*1*Inputs!$E$9</f>
        <v>3855.735</v>
      </c>
      <c r="BI11" s="105" t="n">
        <f aca="false">Headcount!BI9*Inputs!$E$7/12*1*Inputs!$E$9</f>
        <v>3855.735</v>
      </c>
      <c r="BJ11" s="105" t="n">
        <f aca="false">Headcount!BJ9*Inputs!$E$7/12*1*Inputs!$E$9</f>
        <v>3855.735</v>
      </c>
    </row>
    <row r="12" customFormat="false" ht="15" hidden="false" customHeight="false" outlineLevel="0" collapsed="false">
      <c r="A12" s="6" t="s">
        <v>203</v>
      </c>
      <c r="C12" s="105" t="n">
        <f aca="false">Inputs!$E$10*(1+Inputs!$E$11)^(C$5-1)*1</f>
        <v>400</v>
      </c>
      <c r="D12" s="105" t="n">
        <f aca="false">Inputs!$E$10*(1+Inputs!$E$11)^(D$5-1)*1</f>
        <v>400</v>
      </c>
      <c r="E12" s="105" t="n">
        <f aca="false">Inputs!$E$10*(1+Inputs!$E$11)^(E$5-1)*1</f>
        <v>400</v>
      </c>
      <c r="F12" s="105" t="n">
        <f aca="false">Inputs!$E$10*(1+Inputs!$E$11)^(F$5-1)*1</f>
        <v>400</v>
      </c>
      <c r="G12" s="105" t="n">
        <f aca="false">Inputs!$E$10*(1+Inputs!$E$11)^(G$5-1)*1</f>
        <v>400</v>
      </c>
      <c r="H12" s="105" t="n">
        <f aca="false">Inputs!$E$10*(1+Inputs!$E$11)^(H$5-1)*1</f>
        <v>400</v>
      </c>
      <c r="I12" s="105" t="n">
        <f aca="false">Inputs!$E$10*(1+Inputs!$E$11)^(I$5-1)*1</f>
        <v>400</v>
      </c>
      <c r="J12" s="105" t="n">
        <f aca="false">Inputs!$E$10*(1+Inputs!$E$11)^(J$5-1)*1</f>
        <v>400</v>
      </c>
      <c r="K12" s="105" t="n">
        <f aca="false">Inputs!$E$10*(1+Inputs!$E$11)^(K$5-1)*1</f>
        <v>400</v>
      </c>
      <c r="L12" s="105" t="n">
        <f aca="false">Inputs!$E$10*(1+Inputs!$E$11)^(L$5-1)*1</f>
        <v>400</v>
      </c>
      <c r="M12" s="105" t="n">
        <f aca="false">Inputs!$E$10*(1+Inputs!$E$11)^(M$5-1)*1</f>
        <v>400</v>
      </c>
      <c r="N12" s="105" t="n">
        <f aca="false">Inputs!$E$10*(1+Inputs!$E$11)^(N$5-1)*1</f>
        <v>400</v>
      </c>
      <c r="O12" s="105" t="n">
        <f aca="false">Inputs!$E$10*(1+Inputs!$E$11)^(O$5-1)*1</f>
        <v>480</v>
      </c>
      <c r="P12" s="105" t="n">
        <f aca="false">Inputs!$E$10*(1+Inputs!$E$11)^(P$5-1)*1</f>
        <v>480</v>
      </c>
      <c r="Q12" s="105" t="n">
        <f aca="false">Inputs!$E$10*(1+Inputs!$E$11)^(Q$5-1)*1</f>
        <v>480</v>
      </c>
      <c r="R12" s="105" t="n">
        <f aca="false">Inputs!$E$10*(1+Inputs!$E$11)^(R$5-1)*1</f>
        <v>480</v>
      </c>
      <c r="S12" s="105" t="n">
        <f aca="false">Inputs!$E$10*(1+Inputs!$E$11)^(S$5-1)*1</f>
        <v>480</v>
      </c>
      <c r="T12" s="105" t="n">
        <f aca="false">Inputs!$E$10*(1+Inputs!$E$11)^(T$5-1)*1</f>
        <v>480</v>
      </c>
      <c r="U12" s="105" t="n">
        <f aca="false">Inputs!$E$10*(1+Inputs!$E$11)^(U$5-1)*1</f>
        <v>480</v>
      </c>
      <c r="V12" s="105" t="n">
        <f aca="false">Inputs!$E$10*(1+Inputs!$E$11)^(V$5-1)*1</f>
        <v>480</v>
      </c>
      <c r="W12" s="105" t="n">
        <f aca="false">Inputs!$E$10*(1+Inputs!$E$11)^(W$5-1)*1</f>
        <v>480</v>
      </c>
      <c r="X12" s="105" t="n">
        <f aca="false">Inputs!$E$10*(1+Inputs!$E$11)^(X$5-1)*1</f>
        <v>480</v>
      </c>
      <c r="Y12" s="105" t="n">
        <f aca="false">Inputs!$E$10*(1+Inputs!$E$11)^(Y$5-1)*1</f>
        <v>480</v>
      </c>
      <c r="Z12" s="105" t="n">
        <f aca="false">Inputs!$E$10*(1+Inputs!$E$11)^(Z$5-1)*1</f>
        <v>480</v>
      </c>
      <c r="AA12" s="105" t="n">
        <f aca="false">Inputs!$E$10*(1+Inputs!$E$11)^(AA$5-1)*1</f>
        <v>576</v>
      </c>
      <c r="AB12" s="105" t="n">
        <f aca="false">Inputs!$E$10*(1+Inputs!$E$11)^(AB$5-1)*1</f>
        <v>576</v>
      </c>
      <c r="AC12" s="105" t="n">
        <f aca="false">Inputs!$E$10*(1+Inputs!$E$11)^(AC$5-1)*1</f>
        <v>576</v>
      </c>
      <c r="AD12" s="105" t="n">
        <f aca="false">Inputs!$E$10*(1+Inputs!$E$11)^(AD$5-1)*1</f>
        <v>576</v>
      </c>
      <c r="AE12" s="105" t="n">
        <f aca="false">Inputs!$E$10*(1+Inputs!$E$11)^(AE$5-1)*1</f>
        <v>576</v>
      </c>
      <c r="AF12" s="105" t="n">
        <f aca="false">Inputs!$E$10*(1+Inputs!$E$11)^(AF$5-1)*1</f>
        <v>576</v>
      </c>
      <c r="AG12" s="105" t="n">
        <f aca="false">Inputs!$E$10*(1+Inputs!$E$11)^(AG$5-1)*1</f>
        <v>576</v>
      </c>
      <c r="AH12" s="105" t="n">
        <f aca="false">Inputs!$E$10*(1+Inputs!$E$11)^(AH$5-1)*1</f>
        <v>576</v>
      </c>
      <c r="AI12" s="105" t="n">
        <f aca="false">Inputs!$E$10*(1+Inputs!$E$11)^(AI$5-1)*1</f>
        <v>576</v>
      </c>
      <c r="AJ12" s="105" t="n">
        <f aca="false">Inputs!$E$10*(1+Inputs!$E$11)^(AJ$5-1)*1</f>
        <v>576</v>
      </c>
      <c r="AK12" s="105" t="n">
        <f aca="false">Inputs!$E$10*(1+Inputs!$E$11)^(AK$5-1)*1</f>
        <v>576</v>
      </c>
      <c r="AL12" s="105" t="n">
        <f aca="false">Inputs!$E$10*(1+Inputs!$E$11)^(AL$5-1)*1</f>
        <v>576</v>
      </c>
      <c r="AM12" s="105" t="n">
        <f aca="false">Inputs!$E$10*(1+Inputs!$E$11)^(AM$5-1)*1</f>
        <v>691.2</v>
      </c>
      <c r="AN12" s="105" t="n">
        <f aca="false">Inputs!$E$10*(1+Inputs!$E$11)^(AN$5-1)*1</f>
        <v>691.2</v>
      </c>
      <c r="AO12" s="105" t="n">
        <f aca="false">Inputs!$E$10*(1+Inputs!$E$11)^(AO$5-1)*1</f>
        <v>691.2</v>
      </c>
      <c r="AP12" s="105" t="n">
        <f aca="false">Inputs!$E$10*(1+Inputs!$E$11)^(AP$5-1)*1</f>
        <v>691.2</v>
      </c>
      <c r="AQ12" s="105" t="n">
        <f aca="false">Inputs!$E$10*(1+Inputs!$E$11)^(AQ$5-1)*1</f>
        <v>691.2</v>
      </c>
      <c r="AR12" s="105" t="n">
        <f aca="false">Inputs!$E$10*(1+Inputs!$E$11)^(AR$5-1)*1</f>
        <v>691.2</v>
      </c>
      <c r="AS12" s="105" t="n">
        <f aca="false">Inputs!$E$10*(1+Inputs!$E$11)^(AS$5-1)*1</f>
        <v>691.2</v>
      </c>
      <c r="AT12" s="105" t="n">
        <f aca="false">Inputs!$E$10*(1+Inputs!$E$11)^(AT$5-1)*1</f>
        <v>691.2</v>
      </c>
      <c r="AU12" s="105" t="n">
        <f aca="false">Inputs!$E$10*(1+Inputs!$E$11)^(AU$5-1)*1</f>
        <v>691.2</v>
      </c>
      <c r="AV12" s="105" t="n">
        <f aca="false">Inputs!$E$10*(1+Inputs!$E$11)^(AV$5-1)*1</f>
        <v>691.2</v>
      </c>
      <c r="AW12" s="105" t="n">
        <f aca="false">Inputs!$E$10*(1+Inputs!$E$11)^(AW$5-1)*1</f>
        <v>691.2</v>
      </c>
      <c r="AX12" s="105" t="n">
        <f aca="false">Inputs!$E$10*(1+Inputs!$E$11)^(AX$5-1)*1</f>
        <v>691.2</v>
      </c>
      <c r="AY12" s="105" t="n">
        <f aca="false">Inputs!$E$10*(1+Inputs!$E$11)^(AY$5-1)*1</f>
        <v>829.44</v>
      </c>
      <c r="AZ12" s="105" t="n">
        <f aca="false">Inputs!$E$10*(1+Inputs!$E$11)^(AZ$5-1)*1</f>
        <v>829.44</v>
      </c>
      <c r="BA12" s="105" t="n">
        <f aca="false">Inputs!$E$10*(1+Inputs!$E$11)^(BA$5-1)*1</f>
        <v>829.44</v>
      </c>
      <c r="BB12" s="105" t="n">
        <f aca="false">Inputs!$E$10*(1+Inputs!$E$11)^(BB$5-1)*1</f>
        <v>829.44</v>
      </c>
      <c r="BC12" s="105" t="n">
        <f aca="false">Inputs!$E$10*(1+Inputs!$E$11)^(BC$5-1)*1</f>
        <v>829.44</v>
      </c>
      <c r="BD12" s="105" t="n">
        <f aca="false">Inputs!$E$10*(1+Inputs!$E$11)^(BD$5-1)*1</f>
        <v>829.44</v>
      </c>
      <c r="BE12" s="105" t="n">
        <f aca="false">Inputs!$E$10*(1+Inputs!$E$11)^(BE$5-1)*1</f>
        <v>829.44</v>
      </c>
      <c r="BF12" s="105" t="n">
        <f aca="false">Inputs!$E$10*(1+Inputs!$E$11)^(BF$5-1)*1</f>
        <v>829.44</v>
      </c>
      <c r="BG12" s="105" t="n">
        <f aca="false">Inputs!$E$10*(1+Inputs!$E$11)^(BG$5-1)*1</f>
        <v>829.44</v>
      </c>
      <c r="BH12" s="105" t="n">
        <f aca="false">Inputs!$E$10*(1+Inputs!$E$11)^(BH$5-1)*1</f>
        <v>829.44</v>
      </c>
      <c r="BI12" s="105" t="n">
        <f aca="false">Inputs!$E$10*(1+Inputs!$E$11)^(BI$5-1)*1</f>
        <v>829.44</v>
      </c>
      <c r="BJ12" s="105" t="n">
        <f aca="false">Inputs!$E$10*(1+Inputs!$E$11)^(BJ$5-1)*1</f>
        <v>829.44</v>
      </c>
    </row>
    <row r="13" customFormat="false" ht="15" hidden="false" customHeight="false" outlineLevel="0" collapsed="false">
      <c r="A13" s="4" t="s">
        <v>379</v>
      </c>
      <c r="C13" s="106" t="n">
        <f aca="false">C10+C11+C12</f>
        <v>2080</v>
      </c>
      <c r="D13" s="106" t="n">
        <f aca="false">D10+D11+D12</f>
        <v>2080</v>
      </c>
      <c r="E13" s="106" t="n">
        <f aca="false">E10+E11+E12</f>
        <v>2080</v>
      </c>
      <c r="F13" s="106" t="n">
        <f aca="false">F10+F11+F12</f>
        <v>2080</v>
      </c>
      <c r="G13" s="106" t="n">
        <f aca="false">G10+G11+G12</f>
        <v>2080</v>
      </c>
      <c r="H13" s="106" t="n">
        <f aca="false">H10+H11+H12</f>
        <v>2080</v>
      </c>
      <c r="I13" s="106" t="n">
        <f aca="false">I10+I11+I12</f>
        <v>2080</v>
      </c>
      <c r="J13" s="106" t="n">
        <f aca="false">J10+J11+J12</f>
        <v>2080</v>
      </c>
      <c r="K13" s="106" t="n">
        <f aca="false">K10+K11+K12</f>
        <v>2080</v>
      </c>
      <c r="L13" s="106" t="n">
        <f aca="false">L10+L11+L12</f>
        <v>2080</v>
      </c>
      <c r="M13" s="106" t="n">
        <f aca="false">M10+M11+M12</f>
        <v>2080</v>
      </c>
      <c r="N13" s="106" t="n">
        <f aca="false">N10+N11+N12</f>
        <v>2080</v>
      </c>
      <c r="O13" s="106" t="n">
        <f aca="false">O10+O11+O12</f>
        <v>2631</v>
      </c>
      <c r="P13" s="106" t="n">
        <f aca="false">P10+P11+P12</f>
        <v>2631</v>
      </c>
      <c r="Q13" s="106" t="n">
        <f aca="false">Q10+Q11+Q12</f>
        <v>2631</v>
      </c>
      <c r="R13" s="106" t="n">
        <f aca="false">R10+R11+R12</f>
        <v>2631</v>
      </c>
      <c r="S13" s="106" t="n">
        <f aca="false">S10+S11+S12</f>
        <v>2631</v>
      </c>
      <c r="T13" s="106" t="n">
        <f aca="false">T10+T11+T12</f>
        <v>2631</v>
      </c>
      <c r="U13" s="106" t="n">
        <f aca="false">U10+U11+U12</f>
        <v>2631</v>
      </c>
      <c r="V13" s="106" t="n">
        <f aca="false">V10+V11+V12</f>
        <v>2631</v>
      </c>
      <c r="W13" s="106" t="n">
        <f aca="false">W10+W11+W12</f>
        <v>2631</v>
      </c>
      <c r="X13" s="106" t="n">
        <f aca="false">X10+X11+X12</f>
        <v>2631</v>
      </c>
      <c r="Y13" s="106" t="n">
        <f aca="false">Y10+Y11+Y12</f>
        <v>2631</v>
      </c>
      <c r="Z13" s="106" t="n">
        <f aca="false">Z10+Z11+Z12</f>
        <v>2631</v>
      </c>
      <c r="AA13" s="106" t="n">
        <f aca="false">AA10+AA11+AA12</f>
        <v>3332.7</v>
      </c>
      <c r="AB13" s="106" t="n">
        <f aca="false">AB10+AB11+AB12</f>
        <v>3332.7</v>
      </c>
      <c r="AC13" s="106" t="n">
        <f aca="false">AC10+AC11+AC12</f>
        <v>3332.7</v>
      </c>
      <c r="AD13" s="106" t="n">
        <f aca="false">AD10+AD11+AD12</f>
        <v>3332.7</v>
      </c>
      <c r="AE13" s="106" t="n">
        <f aca="false">AE10+AE11+AE12</f>
        <v>3332.7</v>
      </c>
      <c r="AF13" s="106" t="n">
        <f aca="false">AF10+AF11+AF12</f>
        <v>3332.7</v>
      </c>
      <c r="AG13" s="106" t="n">
        <f aca="false">AG10+AG11+AG12</f>
        <v>3332.7</v>
      </c>
      <c r="AH13" s="106" t="n">
        <f aca="false">AH10+AH11+AH12</f>
        <v>3332.7</v>
      </c>
      <c r="AI13" s="106" t="n">
        <f aca="false">AI10+AI11+AI12</f>
        <v>3332.7</v>
      </c>
      <c r="AJ13" s="106" t="n">
        <f aca="false">AJ10+AJ11+AJ12</f>
        <v>3332.7</v>
      </c>
      <c r="AK13" s="106" t="n">
        <f aca="false">AK10+AK11+AK12</f>
        <v>3332.7</v>
      </c>
      <c r="AL13" s="106" t="n">
        <f aca="false">AL10+AL11+AL12</f>
        <v>3332.7</v>
      </c>
      <c r="AM13" s="106" t="n">
        <f aca="false">AM10+AM11+AM12</f>
        <v>4227.39</v>
      </c>
      <c r="AN13" s="106" t="n">
        <f aca="false">AN10+AN11+AN12</f>
        <v>4227.39</v>
      </c>
      <c r="AO13" s="106" t="n">
        <f aca="false">AO10+AO11+AO12</f>
        <v>4227.39</v>
      </c>
      <c r="AP13" s="106" t="n">
        <f aca="false">AP10+AP11+AP12</f>
        <v>4227.39</v>
      </c>
      <c r="AQ13" s="106" t="n">
        <f aca="false">AQ10+AQ11+AQ12</f>
        <v>4227.39</v>
      </c>
      <c r="AR13" s="106" t="n">
        <f aca="false">AR10+AR11+AR12</f>
        <v>4227.39</v>
      </c>
      <c r="AS13" s="106" t="n">
        <f aca="false">AS10+AS11+AS12</f>
        <v>4227.39</v>
      </c>
      <c r="AT13" s="106" t="n">
        <f aca="false">AT10+AT11+AT12</f>
        <v>4227.39</v>
      </c>
      <c r="AU13" s="106" t="n">
        <f aca="false">AU10+AU11+AU12</f>
        <v>4227.39</v>
      </c>
      <c r="AV13" s="106" t="n">
        <f aca="false">AV10+AV11+AV12</f>
        <v>4227.39</v>
      </c>
      <c r="AW13" s="106" t="n">
        <f aca="false">AW10+AW11+AW12</f>
        <v>4227.39</v>
      </c>
      <c r="AX13" s="106" t="n">
        <f aca="false">AX10+AX11+AX12</f>
        <v>4227.39</v>
      </c>
      <c r="AY13" s="106" t="n">
        <f aca="false">AY10+AY11+AY12</f>
        <v>5369.463</v>
      </c>
      <c r="AZ13" s="106" t="n">
        <f aca="false">AZ10+AZ11+AZ12</f>
        <v>5369.463</v>
      </c>
      <c r="BA13" s="106" t="n">
        <f aca="false">BA10+BA11+BA12</f>
        <v>5369.463</v>
      </c>
      <c r="BB13" s="106" t="n">
        <f aca="false">BB10+BB11+BB12</f>
        <v>5369.463</v>
      </c>
      <c r="BC13" s="106" t="n">
        <f aca="false">BC10+BC11+BC12</f>
        <v>5369.463</v>
      </c>
      <c r="BD13" s="106" t="n">
        <f aca="false">BD10+BD11+BD12</f>
        <v>5369.463</v>
      </c>
      <c r="BE13" s="106" t="n">
        <f aca="false">BE10+BE11+BE12</f>
        <v>5369.463</v>
      </c>
      <c r="BF13" s="106" t="n">
        <f aca="false">BF10+BF11+BF12</f>
        <v>5369.463</v>
      </c>
      <c r="BG13" s="106" t="n">
        <f aca="false">BG10+BG11+BG12</f>
        <v>5369.463</v>
      </c>
      <c r="BH13" s="106" t="n">
        <f aca="false">BH10+BH11+BH12</f>
        <v>5369.463</v>
      </c>
      <c r="BI13" s="106" t="n">
        <f aca="false">BI10+BI11+BI12</f>
        <v>5369.463</v>
      </c>
      <c r="BJ13" s="106" t="n">
        <f aca="false">BJ10+BJ11+BJ12</f>
        <v>5369.463</v>
      </c>
    </row>
    <row r="15" customFormat="false" ht="15.75" hidden="false" customHeight="true" outlineLevel="0" collapsed="false">
      <c r="A15" s="7" t="s">
        <v>380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381</v>
      </c>
      <c r="C16" s="107" t="n">
        <f aca="false">Inputs!$E$14*(1+Inputs!$E$17)^(C$5-1)</f>
        <v>350</v>
      </c>
      <c r="D16" s="107" t="n">
        <f aca="false">Inputs!$E$14*(1+Inputs!$E$17)^(D$5-1)</f>
        <v>350</v>
      </c>
      <c r="E16" s="107" t="n">
        <f aca="false">Inputs!$E$14*(1+Inputs!$E$17)^(E$5-1)</f>
        <v>350</v>
      </c>
      <c r="F16" s="107" t="n">
        <f aca="false">Inputs!$E$14*(1+Inputs!$E$17)^(F$5-1)</f>
        <v>350</v>
      </c>
      <c r="G16" s="107" t="n">
        <f aca="false">Inputs!$E$14*(1+Inputs!$E$17)^(G$5-1)</f>
        <v>350</v>
      </c>
      <c r="H16" s="107" t="n">
        <f aca="false">Inputs!$E$14*(1+Inputs!$E$17)^(H$5-1)</f>
        <v>350</v>
      </c>
      <c r="I16" s="107" t="n">
        <f aca="false">Inputs!$E$14*(1+Inputs!$E$17)^(I$5-1)</f>
        <v>350</v>
      </c>
      <c r="J16" s="107" t="n">
        <f aca="false">Inputs!$E$14*(1+Inputs!$E$17)^(J$5-1)</f>
        <v>350</v>
      </c>
      <c r="K16" s="107" t="n">
        <f aca="false">Inputs!$E$14*(1+Inputs!$E$17)^(K$5-1)</f>
        <v>350</v>
      </c>
      <c r="L16" s="107" t="n">
        <f aca="false">Inputs!$E$14*(1+Inputs!$E$17)^(L$5-1)</f>
        <v>350</v>
      </c>
      <c r="M16" s="107" t="n">
        <f aca="false">Inputs!$E$14*(1+Inputs!$E$17)^(M$5-1)</f>
        <v>350</v>
      </c>
      <c r="N16" s="107" t="n">
        <f aca="false">Inputs!$E$14*(1+Inputs!$E$17)^(N$5-1)</f>
        <v>350</v>
      </c>
      <c r="O16" s="107" t="n">
        <f aca="false">Inputs!$E$14*(1+Inputs!$E$17)^(O$5-1)</f>
        <v>360.5</v>
      </c>
      <c r="P16" s="107" t="n">
        <f aca="false">Inputs!$E$14*(1+Inputs!$E$17)^(P$5-1)</f>
        <v>360.5</v>
      </c>
      <c r="Q16" s="107" t="n">
        <f aca="false">Inputs!$E$14*(1+Inputs!$E$17)^(Q$5-1)</f>
        <v>360.5</v>
      </c>
      <c r="R16" s="107" t="n">
        <f aca="false">Inputs!$E$14*(1+Inputs!$E$17)^(R$5-1)</f>
        <v>360.5</v>
      </c>
      <c r="S16" s="107" t="n">
        <f aca="false">Inputs!$E$14*(1+Inputs!$E$17)^(S$5-1)</f>
        <v>360.5</v>
      </c>
      <c r="T16" s="107" t="n">
        <f aca="false">Inputs!$E$14*(1+Inputs!$E$17)^(T$5-1)</f>
        <v>360.5</v>
      </c>
      <c r="U16" s="107" t="n">
        <f aca="false">Inputs!$E$14*(1+Inputs!$E$17)^(U$5-1)</f>
        <v>360.5</v>
      </c>
      <c r="V16" s="107" t="n">
        <f aca="false">Inputs!$E$14*(1+Inputs!$E$17)^(V$5-1)</f>
        <v>360.5</v>
      </c>
      <c r="W16" s="107" t="n">
        <f aca="false">Inputs!$E$14*(1+Inputs!$E$17)^(W$5-1)</f>
        <v>360.5</v>
      </c>
      <c r="X16" s="107" t="n">
        <f aca="false">Inputs!$E$14*(1+Inputs!$E$17)^(X$5-1)</f>
        <v>360.5</v>
      </c>
      <c r="Y16" s="107" t="n">
        <f aca="false">Inputs!$E$14*(1+Inputs!$E$17)^(Y$5-1)</f>
        <v>360.5</v>
      </c>
      <c r="Z16" s="107" t="n">
        <f aca="false">Inputs!$E$14*(1+Inputs!$E$17)^(Z$5-1)</f>
        <v>360.5</v>
      </c>
      <c r="AA16" s="107" t="n">
        <f aca="false">Inputs!$E$14*(1+Inputs!$E$17)^(AA$5-1)</f>
        <v>371.315</v>
      </c>
      <c r="AB16" s="107" t="n">
        <f aca="false">Inputs!$E$14*(1+Inputs!$E$17)^(AB$5-1)</f>
        <v>371.315</v>
      </c>
      <c r="AC16" s="107" t="n">
        <f aca="false">Inputs!$E$14*(1+Inputs!$E$17)^(AC$5-1)</f>
        <v>371.315</v>
      </c>
      <c r="AD16" s="107" t="n">
        <f aca="false">Inputs!$E$14*(1+Inputs!$E$17)^(AD$5-1)</f>
        <v>371.315</v>
      </c>
      <c r="AE16" s="107" t="n">
        <f aca="false">Inputs!$E$14*(1+Inputs!$E$17)^(AE$5-1)</f>
        <v>371.315</v>
      </c>
      <c r="AF16" s="107" t="n">
        <f aca="false">Inputs!$E$14*(1+Inputs!$E$17)^(AF$5-1)</f>
        <v>371.315</v>
      </c>
      <c r="AG16" s="107" t="n">
        <f aca="false">Inputs!$E$14*(1+Inputs!$E$17)^(AG$5-1)</f>
        <v>371.315</v>
      </c>
      <c r="AH16" s="107" t="n">
        <f aca="false">Inputs!$E$14*(1+Inputs!$E$17)^(AH$5-1)</f>
        <v>371.315</v>
      </c>
      <c r="AI16" s="107" t="n">
        <f aca="false">Inputs!$E$14*(1+Inputs!$E$17)^(AI$5-1)</f>
        <v>371.315</v>
      </c>
      <c r="AJ16" s="107" t="n">
        <f aca="false">Inputs!$E$14*(1+Inputs!$E$17)^(AJ$5-1)</f>
        <v>371.315</v>
      </c>
      <c r="AK16" s="107" t="n">
        <f aca="false">Inputs!$E$14*(1+Inputs!$E$17)^(AK$5-1)</f>
        <v>371.315</v>
      </c>
      <c r="AL16" s="107" t="n">
        <f aca="false">Inputs!$E$14*(1+Inputs!$E$17)^(AL$5-1)</f>
        <v>371.315</v>
      </c>
      <c r="AM16" s="107" t="n">
        <f aca="false">Inputs!$E$14*(1+Inputs!$E$17)^(AM$5-1)</f>
        <v>382.45445</v>
      </c>
      <c r="AN16" s="107" t="n">
        <f aca="false">Inputs!$E$14*(1+Inputs!$E$17)^(AN$5-1)</f>
        <v>382.45445</v>
      </c>
      <c r="AO16" s="107" t="n">
        <f aca="false">Inputs!$E$14*(1+Inputs!$E$17)^(AO$5-1)</f>
        <v>382.45445</v>
      </c>
      <c r="AP16" s="107" t="n">
        <f aca="false">Inputs!$E$14*(1+Inputs!$E$17)^(AP$5-1)</f>
        <v>382.45445</v>
      </c>
      <c r="AQ16" s="107" t="n">
        <f aca="false">Inputs!$E$14*(1+Inputs!$E$17)^(AQ$5-1)</f>
        <v>382.45445</v>
      </c>
      <c r="AR16" s="107" t="n">
        <f aca="false">Inputs!$E$14*(1+Inputs!$E$17)^(AR$5-1)</f>
        <v>382.45445</v>
      </c>
      <c r="AS16" s="107" t="n">
        <f aca="false">Inputs!$E$14*(1+Inputs!$E$17)^(AS$5-1)</f>
        <v>382.45445</v>
      </c>
      <c r="AT16" s="107" t="n">
        <f aca="false">Inputs!$E$14*(1+Inputs!$E$17)^(AT$5-1)</f>
        <v>382.45445</v>
      </c>
      <c r="AU16" s="107" t="n">
        <f aca="false">Inputs!$E$14*(1+Inputs!$E$17)^(AU$5-1)</f>
        <v>382.45445</v>
      </c>
      <c r="AV16" s="107" t="n">
        <f aca="false">Inputs!$E$14*(1+Inputs!$E$17)^(AV$5-1)</f>
        <v>382.45445</v>
      </c>
      <c r="AW16" s="107" t="n">
        <f aca="false">Inputs!$E$14*(1+Inputs!$E$17)^(AW$5-1)</f>
        <v>382.45445</v>
      </c>
      <c r="AX16" s="107" t="n">
        <f aca="false">Inputs!$E$14*(1+Inputs!$E$17)^(AX$5-1)</f>
        <v>382.45445</v>
      </c>
      <c r="AY16" s="107" t="n">
        <f aca="false">Inputs!$E$14*(1+Inputs!$E$17)^(AY$5-1)</f>
        <v>393.9280835</v>
      </c>
      <c r="AZ16" s="107" t="n">
        <f aca="false">Inputs!$E$14*(1+Inputs!$E$17)^(AZ$5-1)</f>
        <v>393.9280835</v>
      </c>
      <c r="BA16" s="107" t="n">
        <f aca="false">Inputs!$E$14*(1+Inputs!$E$17)^(BA$5-1)</f>
        <v>393.9280835</v>
      </c>
      <c r="BB16" s="107" t="n">
        <f aca="false">Inputs!$E$14*(1+Inputs!$E$17)^(BB$5-1)</f>
        <v>393.9280835</v>
      </c>
      <c r="BC16" s="107" t="n">
        <f aca="false">Inputs!$E$14*(1+Inputs!$E$17)^(BC$5-1)</f>
        <v>393.9280835</v>
      </c>
      <c r="BD16" s="107" t="n">
        <f aca="false">Inputs!$E$14*(1+Inputs!$E$17)^(BD$5-1)</f>
        <v>393.9280835</v>
      </c>
      <c r="BE16" s="107" t="n">
        <f aca="false">Inputs!$E$14*(1+Inputs!$E$17)^(BE$5-1)</f>
        <v>393.9280835</v>
      </c>
      <c r="BF16" s="107" t="n">
        <f aca="false">Inputs!$E$14*(1+Inputs!$E$17)^(BF$5-1)</f>
        <v>393.9280835</v>
      </c>
      <c r="BG16" s="107" t="n">
        <f aca="false">Inputs!$E$14*(1+Inputs!$E$17)^(BG$5-1)</f>
        <v>393.9280835</v>
      </c>
      <c r="BH16" s="107" t="n">
        <f aca="false">Inputs!$E$14*(1+Inputs!$E$17)^(BH$5-1)</f>
        <v>393.9280835</v>
      </c>
      <c r="BI16" s="107" t="n">
        <f aca="false">Inputs!$E$14*(1+Inputs!$E$17)^(BI$5-1)</f>
        <v>393.9280835</v>
      </c>
      <c r="BJ16" s="107" t="n">
        <f aca="false">Inputs!$E$14*(1+Inputs!$E$17)^(BJ$5-1)</f>
        <v>393.9280835</v>
      </c>
    </row>
    <row r="17" customFormat="false" ht="15" hidden="false" customHeight="false" outlineLevel="0" collapsed="false">
      <c r="A17" s="6" t="s">
        <v>382</v>
      </c>
      <c r="C17" s="107" t="n">
        <f aca="false">Inputs!$E$15*(1+Inputs!$E$17)^(C$5-1)</f>
        <v>175</v>
      </c>
      <c r="D17" s="107" t="n">
        <f aca="false">Inputs!$E$15*(1+Inputs!$E$17)^(D$5-1)</f>
        <v>175</v>
      </c>
      <c r="E17" s="107" t="n">
        <f aca="false">Inputs!$E$15*(1+Inputs!$E$17)^(E$5-1)</f>
        <v>175</v>
      </c>
      <c r="F17" s="107" t="n">
        <f aca="false">Inputs!$E$15*(1+Inputs!$E$17)^(F$5-1)</f>
        <v>175</v>
      </c>
      <c r="G17" s="107" t="n">
        <f aca="false">Inputs!$E$15*(1+Inputs!$E$17)^(G$5-1)</f>
        <v>175</v>
      </c>
      <c r="H17" s="107" t="n">
        <f aca="false">Inputs!$E$15*(1+Inputs!$E$17)^(H$5-1)</f>
        <v>175</v>
      </c>
      <c r="I17" s="107" t="n">
        <f aca="false">Inputs!$E$15*(1+Inputs!$E$17)^(I$5-1)</f>
        <v>175</v>
      </c>
      <c r="J17" s="107" t="n">
        <f aca="false">Inputs!$E$15*(1+Inputs!$E$17)^(J$5-1)</f>
        <v>175</v>
      </c>
      <c r="K17" s="107" t="n">
        <f aca="false">Inputs!$E$15*(1+Inputs!$E$17)^(K$5-1)</f>
        <v>175</v>
      </c>
      <c r="L17" s="107" t="n">
        <f aca="false">Inputs!$E$15*(1+Inputs!$E$17)^(L$5-1)</f>
        <v>175</v>
      </c>
      <c r="M17" s="107" t="n">
        <f aca="false">Inputs!$E$15*(1+Inputs!$E$17)^(M$5-1)</f>
        <v>175</v>
      </c>
      <c r="N17" s="107" t="n">
        <f aca="false">Inputs!$E$15*(1+Inputs!$E$17)^(N$5-1)</f>
        <v>175</v>
      </c>
      <c r="O17" s="107" t="n">
        <f aca="false">Inputs!$E$15*(1+Inputs!$E$17)^(O$5-1)</f>
        <v>180.25</v>
      </c>
      <c r="P17" s="107" t="n">
        <f aca="false">Inputs!$E$15*(1+Inputs!$E$17)^(P$5-1)</f>
        <v>180.25</v>
      </c>
      <c r="Q17" s="107" t="n">
        <f aca="false">Inputs!$E$15*(1+Inputs!$E$17)^(Q$5-1)</f>
        <v>180.25</v>
      </c>
      <c r="R17" s="107" t="n">
        <f aca="false">Inputs!$E$15*(1+Inputs!$E$17)^(R$5-1)</f>
        <v>180.25</v>
      </c>
      <c r="S17" s="107" t="n">
        <f aca="false">Inputs!$E$15*(1+Inputs!$E$17)^(S$5-1)</f>
        <v>180.25</v>
      </c>
      <c r="T17" s="107" t="n">
        <f aca="false">Inputs!$E$15*(1+Inputs!$E$17)^(T$5-1)</f>
        <v>180.25</v>
      </c>
      <c r="U17" s="107" t="n">
        <f aca="false">Inputs!$E$15*(1+Inputs!$E$17)^(U$5-1)</f>
        <v>180.25</v>
      </c>
      <c r="V17" s="107" t="n">
        <f aca="false">Inputs!$E$15*(1+Inputs!$E$17)^(V$5-1)</f>
        <v>180.25</v>
      </c>
      <c r="W17" s="107" t="n">
        <f aca="false">Inputs!$E$15*(1+Inputs!$E$17)^(W$5-1)</f>
        <v>180.25</v>
      </c>
      <c r="X17" s="107" t="n">
        <f aca="false">Inputs!$E$15*(1+Inputs!$E$17)^(X$5-1)</f>
        <v>180.25</v>
      </c>
      <c r="Y17" s="107" t="n">
        <f aca="false">Inputs!$E$15*(1+Inputs!$E$17)^(Y$5-1)</f>
        <v>180.25</v>
      </c>
      <c r="Z17" s="107" t="n">
        <f aca="false">Inputs!$E$15*(1+Inputs!$E$17)^(Z$5-1)</f>
        <v>180.25</v>
      </c>
      <c r="AA17" s="107" t="n">
        <f aca="false">Inputs!$E$15*(1+Inputs!$E$17)^(AA$5-1)</f>
        <v>185.6575</v>
      </c>
      <c r="AB17" s="107" t="n">
        <f aca="false">Inputs!$E$15*(1+Inputs!$E$17)^(AB$5-1)</f>
        <v>185.6575</v>
      </c>
      <c r="AC17" s="107" t="n">
        <f aca="false">Inputs!$E$15*(1+Inputs!$E$17)^(AC$5-1)</f>
        <v>185.6575</v>
      </c>
      <c r="AD17" s="107" t="n">
        <f aca="false">Inputs!$E$15*(1+Inputs!$E$17)^(AD$5-1)</f>
        <v>185.6575</v>
      </c>
      <c r="AE17" s="107" t="n">
        <f aca="false">Inputs!$E$15*(1+Inputs!$E$17)^(AE$5-1)</f>
        <v>185.6575</v>
      </c>
      <c r="AF17" s="107" t="n">
        <f aca="false">Inputs!$E$15*(1+Inputs!$E$17)^(AF$5-1)</f>
        <v>185.6575</v>
      </c>
      <c r="AG17" s="107" t="n">
        <f aca="false">Inputs!$E$15*(1+Inputs!$E$17)^(AG$5-1)</f>
        <v>185.6575</v>
      </c>
      <c r="AH17" s="107" t="n">
        <f aca="false">Inputs!$E$15*(1+Inputs!$E$17)^(AH$5-1)</f>
        <v>185.6575</v>
      </c>
      <c r="AI17" s="107" t="n">
        <f aca="false">Inputs!$E$15*(1+Inputs!$E$17)^(AI$5-1)</f>
        <v>185.6575</v>
      </c>
      <c r="AJ17" s="107" t="n">
        <f aca="false">Inputs!$E$15*(1+Inputs!$E$17)^(AJ$5-1)</f>
        <v>185.6575</v>
      </c>
      <c r="AK17" s="107" t="n">
        <f aca="false">Inputs!$E$15*(1+Inputs!$E$17)^(AK$5-1)</f>
        <v>185.6575</v>
      </c>
      <c r="AL17" s="107" t="n">
        <f aca="false">Inputs!$E$15*(1+Inputs!$E$17)^(AL$5-1)</f>
        <v>185.6575</v>
      </c>
      <c r="AM17" s="107" t="n">
        <f aca="false">Inputs!$E$15*(1+Inputs!$E$17)^(AM$5-1)</f>
        <v>191.227225</v>
      </c>
      <c r="AN17" s="107" t="n">
        <f aca="false">Inputs!$E$15*(1+Inputs!$E$17)^(AN$5-1)</f>
        <v>191.227225</v>
      </c>
      <c r="AO17" s="107" t="n">
        <f aca="false">Inputs!$E$15*(1+Inputs!$E$17)^(AO$5-1)</f>
        <v>191.227225</v>
      </c>
      <c r="AP17" s="107" t="n">
        <f aca="false">Inputs!$E$15*(1+Inputs!$E$17)^(AP$5-1)</f>
        <v>191.227225</v>
      </c>
      <c r="AQ17" s="107" t="n">
        <f aca="false">Inputs!$E$15*(1+Inputs!$E$17)^(AQ$5-1)</f>
        <v>191.227225</v>
      </c>
      <c r="AR17" s="107" t="n">
        <f aca="false">Inputs!$E$15*(1+Inputs!$E$17)^(AR$5-1)</f>
        <v>191.227225</v>
      </c>
      <c r="AS17" s="107" t="n">
        <f aca="false">Inputs!$E$15*(1+Inputs!$E$17)^(AS$5-1)</f>
        <v>191.227225</v>
      </c>
      <c r="AT17" s="107" t="n">
        <f aca="false">Inputs!$E$15*(1+Inputs!$E$17)^(AT$5-1)</f>
        <v>191.227225</v>
      </c>
      <c r="AU17" s="107" t="n">
        <f aca="false">Inputs!$E$15*(1+Inputs!$E$17)^(AU$5-1)</f>
        <v>191.227225</v>
      </c>
      <c r="AV17" s="107" t="n">
        <f aca="false">Inputs!$E$15*(1+Inputs!$E$17)^(AV$5-1)</f>
        <v>191.227225</v>
      </c>
      <c r="AW17" s="107" t="n">
        <f aca="false">Inputs!$E$15*(1+Inputs!$E$17)^(AW$5-1)</f>
        <v>191.227225</v>
      </c>
      <c r="AX17" s="107" t="n">
        <f aca="false">Inputs!$E$15*(1+Inputs!$E$17)^(AX$5-1)</f>
        <v>191.227225</v>
      </c>
      <c r="AY17" s="107" t="n">
        <f aca="false">Inputs!$E$15*(1+Inputs!$E$17)^(AY$5-1)</f>
        <v>196.96404175</v>
      </c>
      <c r="AZ17" s="107" t="n">
        <f aca="false">Inputs!$E$15*(1+Inputs!$E$17)^(AZ$5-1)</f>
        <v>196.96404175</v>
      </c>
      <c r="BA17" s="107" t="n">
        <f aca="false">Inputs!$E$15*(1+Inputs!$E$17)^(BA$5-1)</f>
        <v>196.96404175</v>
      </c>
      <c r="BB17" s="107" t="n">
        <f aca="false">Inputs!$E$15*(1+Inputs!$E$17)^(BB$5-1)</f>
        <v>196.96404175</v>
      </c>
      <c r="BC17" s="107" t="n">
        <f aca="false">Inputs!$E$15*(1+Inputs!$E$17)^(BC$5-1)</f>
        <v>196.96404175</v>
      </c>
      <c r="BD17" s="107" t="n">
        <f aca="false">Inputs!$E$15*(1+Inputs!$E$17)^(BD$5-1)</f>
        <v>196.96404175</v>
      </c>
      <c r="BE17" s="107" t="n">
        <f aca="false">Inputs!$E$15*(1+Inputs!$E$17)^(BE$5-1)</f>
        <v>196.96404175</v>
      </c>
      <c r="BF17" s="107" t="n">
        <f aca="false">Inputs!$E$15*(1+Inputs!$E$17)^(BF$5-1)</f>
        <v>196.96404175</v>
      </c>
      <c r="BG17" s="107" t="n">
        <f aca="false">Inputs!$E$15*(1+Inputs!$E$17)^(BG$5-1)</f>
        <v>196.96404175</v>
      </c>
      <c r="BH17" s="107" t="n">
        <f aca="false">Inputs!$E$15*(1+Inputs!$E$17)^(BH$5-1)</f>
        <v>196.96404175</v>
      </c>
      <c r="BI17" s="107" t="n">
        <f aca="false">Inputs!$E$15*(1+Inputs!$E$17)^(BI$5-1)</f>
        <v>196.96404175</v>
      </c>
      <c r="BJ17" s="107" t="n">
        <f aca="false">Inputs!$E$15*(1+Inputs!$E$17)^(BJ$5-1)</f>
        <v>196.96404175</v>
      </c>
    </row>
    <row r="18" customFormat="false" ht="15" hidden="false" customHeight="false" outlineLevel="0" collapsed="false">
      <c r="A18" s="6" t="s">
        <v>383</v>
      </c>
      <c r="C18" s="107" t="n">
        <f aca="false">Inputs!$E$16*(1+Inputs!$E$17)^(C$5-1)</f>
        <v>150</v>
      </c>
      <c r="D18" s="107" t="n">
        <f aca="false">Inputs!$E$16*(1+Inputs!$E$17)^(D$5-1)</f>
        <v>150</v>
      </c>
      <c r="E18" s="107" t="n">
        <f aca="false">Inputs!$E$16*(1+Inputs!$E$17)^(E$5-1)</f>
        <v>150</v>
      </c>
      <c r="F18" s="107" t="n">
        <f aca="false">Inputs!$E$16*(1+Inputs!$E$17)^(F$5-1)</f>
        <v>150</v>
      </c>
      <c r="G18" s="107" t="n">
        <f aca="false">Inputs!$E$16*(1+Inputs!$E$17)^(G$5-1)</f>
        <v>150</v>
      </c>
      <c r="H18" s="107" t="n">
        <f aca="false">Inputs!$E$16*(1+Inputs!$E$17)^(H$5-1)</f>
        <v>150</v>
      </c>
      <c r="I18" s="107" t="n">
        <f aca="false">Inputs!$E$16*(1+Inputs!$E$17)^(I$5-1)</f>
        <v>150</v>
      </c>
      <c r="J18" s="107" t="n">
        <f aca="false">Inputs!$E$16*(1+Inputs!$E$17)^(J$5-1)</f>
        <v>150</v>
      </c>
      <c r="K18" s="107" t="n">
        <f aca="false">Inputs!$E$16*(1+Inputs!$E$17)^(K$5-1)</f>
        <v>150</v>
      </c>
      <c r="L18" s="107" t="n">
        <f aca="false">Inputs!$E$16*(1+Inputs!$E$17)^(L$5-1)</f>
        <v>150</v>
      </c>
      <c r="M18" s="107" t="n">
        <f aca="false">Inputs!$E$16*(1+Inputs!$E$17)^(M$5-1)</f>
        <v>150</v>
      </c>
      <c r="N18" s="107" t="n">
        <f aca="false">Inputs!$E$16*(1+Inputs!$E$17)^(N$5-1)</f>
        <v>150</v>
      </c>
      <c r="O18" s="107" t="n">
        <f aca="false">Inputs!$E$16*(1+Inputs!$E$17)^(O$5-1)</f>
        <v>154.5</v>
      </c>
      <c r="P18" s="107" t="n">
        <f aca="false">Inputs!$E$16*(1+Inputs!$E$17)^(P$5-1)</f>
        <v>154.5</v>
      </c>
      <c r="Q18" s="107" t="n">
        <f aca="false">Inputs!$E$16*(1+Inputs!$E$17)^(Q$5-1)</f>
        <v>154.5</v>
      </c>
      <c r="R18" s="107" t="n">
        <f aca="false">Inputs!$E$16*(1+Inputs!$E$17)^(R$5-1)</f>
        <v>154.5</v>
      </c>
      <c r="S18" s="107" t="n">
        <f aca="false">Inputs!$E$16*(1+Inputs!$E$17)^(S$5-1)</f>
        <v>154.5</v>
      </c>
      <c r="T18" s="107" t="n">
        <f aca="false">Inputs!$E$16*(1+Inputs!$E$17)^(T$5-1)</f>
        <v>154.5</v>
      </c>
      <c r="U18" s="107" t="n">
        <f aca="false">Inputs!$E$16*(1+Inputs!$E$17)^(U$5-1)</f>
        <v>154.5</v>
      </c>
      <c r="V18" s="107" t="n">
        <f aca="false">Inputs!$E$16*(1+Inputs!$E$17)^(V$5-1)</f>
        <v>154.5</v>
      </c>
      <c r="W18" s="107" t="n">
        <f aca="false">Inputs!$E$16*(1+Inputs!$E$17)^(W$5-1)</f>
        <v>154.5</v>
      </c>
      <c r="X18" s="107" t="n">
        <f aca="false">Inputs!$E$16*(1+Inputs!$E$17)^(X$5-1)</f>
        <v>154.5</v>
      </c>
      <c r="Y18" s="107" t="n">
        <f aca="false">Inputs!$E$16*(1+Inputs!$E$17)^(Y$5-1)</f>
        <v>154.5</v>
      </c>
      <c r="Z18" s="107" t="n">
        <f aca="false">Inputs!$E$16*(1+Inputs!$E$17)^(Z$5-1)</f>
        <v>154.5</v>
      </c>
      <c r="AA18" s="107" t="n">
        <f aca="false">Inputs!$E$16*(1+Inputs!$E$17)^(AA$5-1)</f>
        <v>159.135</v>
      </c>
      <c r="AB18" s="107" t="n">
        <f aca="false">Inputs!$E$16*(1+Inputs!$E$17)^(AB$5-1)</f>
        <v>159.135</v>
      </c>
      <c r="AC18" s="107" t="n">
        <f aca="false">Inputs!$E$16*(1+Inputs!$E$17)^(AC$5-1)</f>
        <v>159.135</v>
      </c>
      <c r="AD18" s="107" t="n">
        <f aca="false">Inputs!$E$16*(1+Inputs!$E$17)^(AD$5-1)</f>
        <v>159.135</v>
      </c>
      <c r="AE18" s="107" t="n">
        <f aca="false">Inputs!$E$16*(1+Inputs!$E$17)^(AE$5-1)</f>
        <v>159.135</v>
      </c>
      <c r="AF18" s="107" t="n">
        <f aca="false">Inputs!$E$16*(1+Inputs!$E$17)^(AF$5-1)</f>
        <v>159.135</v>
      </c>
      <c r="AG18" s="107" t="n">
        <f aca="false">Inputs!$E$16*(1+Inputs!$E$17)^(AG$5-1)</f>
        <v>159.135</v>
      </c>
      <c r="AH18" s="107" t="n">
        <f aca="false">Inputs!$E$16*(1+Inputs!$E$17)^(AH$5-1)</f>
        <v>159.135</v>
      </c>
      <c r="AI18" s="107" t="n">
        <f aca="false">Inputs!$E$16*(1+Inputs!$E$17)^(AI$5-1)</f>
        <v>159.135</v>
      </c>
      <c r="AJ18" s="107" t="n">
        <f aca="false">Inputs!$E$16*(1+Inputs!$E$17)^(AJ$5-1)</f>
        <v>159.135</v>
      </c>
      <c r="AK18" s="107" t="n">
        <f aca="false">Inputs!$E$16*(1+Inputs!$E$17)^(AK$5-1)</f>
        <v>159.135</v>
      </c>
      <c r="AL18" s="107" t="n">
        <f aca="false">Inputs!$E$16*(1+Inputs!$E$17)^(AL$5-1)</f>
        <v>159.135</v>
      </c>
      <c r="AM18" s="107" t="n">
        <f aca="false">Inputs!$E$16*(1+Inputs!$E$17)^(AM$5-1)</f>
        <v>163.90905</v>
      </c>
      <c r="AN18" s="107" t="n">
        <f aca="false">Inputs!$E$16*(1+Inputs!$E$17)^(AN$5-1)</f>
        <v>163.90905</v>
      </c>
      <c r="AO18" s="107" t="n">
        <f aca="false">Inputs!$E$16*(1+Inputs!$E$17)^(AO$5-1)</f>
        <v>163.90905</v>
      </c>
      <c r="AP18" s="107" t="n">
        <f aca="false">Inputs!$E$16*(1+Inputs!$E$17)^(AP$5-1)</f>
        <v>163.90905</v>
      </c>
      <c r="AQ18" s="107" t="n">
        <f aca="false">Inputs!$E$16*(1+Inputs!$E$17)^(AQ$5-1)</f>
        <v>163.90905</v>
      </c>
      <c r="AR18" s="107" t="n">
        <f aca="false">Inputs!$E$16*(1+Inputs!$E$17)^(AR$5-1)</f>
        <v>163.90905</v>
      </c>
      <c r="AS18" s="107" t="n">
        <f aca="false">Inputs!$E$16*(1+Inputs!$E$17)^(AS$5-1)</f>
        <v>163.90905</v>
      </c>
      <c r="AT18" s="107" t="n">
        <f aca="false">Inputs!$E$16*(1+Inputs!$E$17)^(AT$5-1)</f>
        <v>163.90905</v>
      </c>
      <c r="AU18" s="107" t="n">
        <f aca="false">Inputs!$E$16*(1+Inputs!$E$17)^(AU$5-1)</f>
        <v>163.90905</v>
      </c>
      <c r="AV18" s="107" t="n">
        <f aca="false">Inputs!$E$16*(1+Inputs!$E$17)^(AV$5-1)</f>
        <v>163.90905</v>
      </c>
      <c r="AW18" s="107" t="n">
        <f aca="false">Inputs!$E$16*(1+Inputs!$E$17)^(AW$5-1)</f>
        <v>163.90905</v>
      </c>
      <c r="AX18" s="107" t="n">
        <f aca="false">Inputs!$E$16*(1+Inputs!$E$17)^(AX$5-1)</f>
        <v>163.90905</v>
      </c>
      <c r="AY18" s="107" t="n">
        <f aca="false">Inputs!$E$16*(1+Inputs!$E$17)^(AY$5-1)</f>
        <v>168.8263215</v>
      </c>
      <c r="AZ18" s="107" t="n">
        <f aca="false">Inputs!$E$16*(1+Inputs!$E$17)^(AZ$5-1)</f>
        <v>168.8263215</v>
      </c>
      <c r="BA18" s="107" t="n">
        <f aca="false">Inputs!$E$16*(1+Inputs!$E$17)^(BA$5-1)</f>
        <v>168.8263215</v>
      </c>
      <c r="BB18" s="107" t="n">
        <f aca="false">Inputs!$E$16*(1+Inputs!$E$17)^(BB$5-1)</f>
        <v>168.8263215</v>
      </c>
      <c r="BC18" s="107" t="n">
        <f aca="false">Inputs!$E$16*(1+Inputs!$E$17)^(BC$5-1)</f>
        <v>168.8263215</v>
      </c>
      <c r="BD18" s="107" t="n">
        <f aca="false">Inputs!$E$16*(1+Inputs!$E$17)^(BD$5-1)</f>
        <v>168.8263215</v>
      </c>
      <c r="BE18" s="107" t="n">
        <f aca="false">Inputs!$E$16*(1+Inputs!$E$17)^(BE$5-1)</f>
        <v>168.8263215</v>
      </c>
      <c r="BF18" s="107" t="n">
        <f aca="false">Inputs!$E$16*(1+Inputs!$E$17)^(BF$5-1)</f>
        <v>168.8263215</v>
      </c>
      <c r="BG18" s="107" t="n">
        <f aca="false">Inputs!$E$16*(1+Inputs!$E$17)^(BG$5-1)</f>
        <v>168.8263215</v>
      </c>
      <c r="BH18" s="107" t="n">
        <f aca="false">Inputs!$E$16*(1+Inputs!$E$17)^(BH$5-1)</f>
        <v>168.8263215</v>
      </c>
      <c r="BI18" s="107" t="n">
        <f aca="false">Inputs!$E$16*(1+Inputs!$E$17)^(BI$5-1)</f>
        <v>168.8263215</v>
      </c>
      <c r="BJ18" s="107" t="n">
        <f aca="false">Inputs!$E$16*(1+Inputs!$E$17)^(BJ$5-1)</f>
        <v>168.8263215</v>
      </c>
    </row>
    <row r="19" customFormat="false" ht="15" hidden="false" customHeight="false" outlineLevel="0" collapsed="false">
      <c r="A19" s="6" t="s">
        <v>206</v>
      </c>
      <c r="C19" s="53" t="n">
        <f aca="false">C10*C16+C11*C17+C12*C18</f>
        <v>411750</v>
      </c>
      <c r="D19" s="53" t="n">
        <f aca="false">D10*D16+D11*D17+D12*D18</f>
        <v>411750</v>
      </c>
      <c r="E19" s="53" t="n">
        <f aca="false">E10*E16+E11*E17+E12*E18</f>
        <v>411750</v>
      </c>
      <c r="F19" s="53" t="n">
        <f aca="false">F10*F16+F11*F17+F12*F18</f>
        <v>411750</v>
      </c>
      <c r="G19" s="53" t="n">
        <f aca="false">G10*G16+G11*G17+G12*G18</f>
        <v>411750</v>
      </c>
      <c r="H19" s="53" t="n">
        <f aca="false">H10*H16+H11*H17+H12*H18</f>
        <v>411750</v>
      </c>
      <c r="I19" s="53" t="n">
        <f aca="false">I10*I16+I11*I17+I12*I18</f>
        <v>411750</v>
      </c>
      <c r="J19" s="53" t="n">
        <f aca="false">J10*J16+J11*J17+J12*J18</f>
        <v>411750</v>
      </c>
      <c r="K19" s="53" t="n">
        <f aca="false">K10*K16+K11*K17+K12*K18</f>
        <v>411750</v>
      </c>
      <c r="L19" s="53" t="n">
        <f aca="false">L10*L16+L11*L17+L12*L18</f>
        <v>411750</v>
      </c>
      <c r="M19" s="53" t="n">
        <f aca="false">M10*M16+M11*M17+M12*M18</f>
        <v>411750</v>
      </c>
      <c r="N19" s="53" t="n">
        <f aca="false">N10*N16+N11*N17+N12*N18</f>
        <v>411750</v>
      </c>
      <c r="O19" s="53" t="n">
        <f aca="false">O10*O16+O11*O17+O12*O18</f>
        <v>533256.75</v>
      </c>
      <c r="P19" s="53" t="n">
        <f aca="false">P10*P16+P11*P17+P12*P18</f>
        <v>533256.75</v>
      </c>
      <c r="Q19" s="53" t="n">
        <f aca="false">Q10*Q16+Q11*Q17+Q12*Q18</f>
        <v>533256.75</v>
      </c>
      <c r="R19" s="53" t="n">
        <f aca="false">R10*R16+R11*R17+R12*R18</f>
        <v>533256.75</v>
      </c>
      <c r="S19" s="53" t="n">
        <f aca="false">S10*S16+S11*S17+S12*S18</f>
        <v>533256.75</v>
      </c>
      <c r="T19" s="53" t="n">
        <f aca="false">T10*T16+T11*T17+T12*T18</f>
        <v>533256.75</v>
      </c>
      <c r="U19" s="53" t="n">
        <f aca="false">U10*U16+U11*U17+U12*U18</f>
        <v>533256.75</v>
      </c>
      <c r="V19" s="53" t="n">
        <f aca="false">V10*V16+V11*V17+V12*V18</f>
        <v>533256.75</v>
      </c>
      <c r="W19" s="53" t="n">
        <f aca="false">W10*W16+W11*W17+W12*W18</f>
        <v>533256.75</v>
      </c>
      <c r="X19" s="53" t="n">
        <f aca="false">X10*X16+X11*X17+X12*X18</f>
        <v>533256.75</v>
      </c>
      <c r="Y19" s="53" t="n">
        <f aca="false">Y10*Y16+Y11*Y17+Y12*Y18</f>
        <v>533256.75</v>
      </c>
      <c r="Z19" s="53" t="n">
        <f aca="false">Z10*Z16+Z11*Z17+Z12*Z18</f>
        <v>533256.75</v>
      </c>
      <c r="AA19" s="53" t="n">
        <f aca="false">AA10*AA16+AA11*AA17+AA12*AA18</f>
        <v>691688.23425</v>
      </c>
      <c r="AB19" s="53" t="n">
        <f aca="false">AB10*AB16+AB11*AB17+AB12*AB18</f>
        <v>691688.23425</v>
      </c>
      <c r="AC19" s="53" t="n">
        <f aca="false">AC10*AC16+AC11*AC17+AC12*AC18</f>
        <v>691688.23425</v>
      </c>
      <c r="AD19" s="53" t="n">
        <f aca="false">AD10*AD16+AD11*AD17+AD12*AD18</f>
        <v>691688.23425</v>
      </c>
      <c r="AE19" s="53" t="n">
        <f aca="false">AE10*AE16+AE11*AE17+AE12*AE18</f>
        <v>691688.23425</v>
      </c>
      <c r="AF19" s="53" t="n">
        <f aca="false">AF10*AF16+AF11*AF17+AF12*AF18</f>
        <v>691688.23425</v>
      </c>
      <c r="AG19" s="53" t="n">
        <f aca="false">AG10*AG16+AG11*AG17+AG12*AG18</f>
        <v>691688.23425</v>
      </c>
      <c r="AH19" s="53" t="n">
        <f aca="false">AH10*AH16+AH11*AH17+AH12*AH18</f>
        <v>691688.23425</v>
      </c>
      <c r="AI19" s="53" t="n">
        <f aca="false">AI10*AI16+AI11*AI17+AI12*AI18</f>
        <v>691688.23425</v>
      </c>
      <c r="AJ19" s="53" t="n">
        <f aca="false">AJ10*AJ16+AJ11*AJ17+AJ12*AJ18</f>
        <v>691688.23425</v>
      </c>
      <c r="AK19" s="53" t="n">
        <f aca="false">AK10*AK16+AK11*AK17+AK12*AK18</f>
        <v>691688.23425</v>
      </c>
      <c r="AL19" s="53" t="n">
        <f aca="false">AL10*AL16+AL11*AL17+AL12*AL18</f>
        <v>691688.23425</v>
      </c>
      <c r="AM19" s="53" t="n">
        <f aca="false">AM10*AM16+AM11*AM17+AM12*AM18</f>
        <v>898555.14891675</v>
      </c>
      <c r="AN19" s="53" t="n">
        <f aca="false">AN10*AN16+AN11*AN17+AN12*AN18</f>
        <v>898555.14891675</v>
      </c>
      <c r="AO19" s="53" t="n">
        <f aca="false">AO10*AO16+AO11*AO17+AO12*AO18</f>
        <v>898555.14891675</v>
      </c>
      <c r="AP19" s="53" t="n">
        <f aca="false">AP10*AP16+AP11*AP17+AP12*AP18</f>
        <v>898555.14891675</v>
      </c>
      <c r="AQ19" s="53" t="n">
        <f aca="false">AQ10*AQ16+AQ11*AQ17+AQ12*AQ18</f>
        <v>898555.14891675</v>
      </c>
      <c r="AR19" s="53" t="n">
        <f aca="false">AR10*AR16+AR11*AR17+AR12*AR18</f>
        <v>898555.14891675</v>
      </c>
      <c r="AS19" s="53" t="n">
        <f aca="false">AS10*AS16+AS11*AS17+AS12*AS18</f>
        <v>898555.14891675</v>
      </c>
      <c r="AT19" s="53" t="n">
        <f aca="false">AT10*AT16+AT11*AT17+AT12*AT18</f>
        <v>898555.14891675</v>
      </c>
      <c r="AU19" s="53" t="n">
        <f aca="false">AU10*AU16+AU11*AU17+AU12*AU18</f>
        <v>898555.14891675</v>
      </c>
      <c r="AV19" s="53" t="n">
        <f aca="false">AV10*AV16+AV11*AV17+AV12*AV18</f>
        <v>898555.14891675</v>
      </c>
      <c r="AW19" s="53" t="n">
        <f aca="false">AW10*AW16+AW11*AW17+AW12*AW18</f>
        <v>898555.14891675</v>
      </c>
      <c r="AX19" s="53" t="n">
        <f aca="false">AX10*AX16+AX11*AX17+AX12*AX18</f>
        <v>898555.14891675</v>
      </c>
      <c r="AY19" s="53" t="n">
        <f aca="false">AY10*AY16+AY11*AY17+AY12*AY18</f>
        <v>1169032.71402394</v>
      </c>
      <c r="AZ19" s="53" t="n">
        <f aca="false">AZ10*AZ16+AZ11*AZ17+AZ12*AZ18</f>
        <v>1169032.71402394</v>
      </c>
      <c r="BA19" s="53" t="n">
        <f aca="false">BA10*BA16+BA11*BA17+BA12*BA18</f>
        <v>1169032.71402394</v>
      </c>
      <c r="BB19" s="53" t="n">
        <f aca="false">BB10*BB16+BB11*BB17+BB12*BB18</f>
        <v>1169032.71402394</v>
      </c>
      <c r="BC19" s="53" t="n">
        <f aca="false">BC10*BC16+BC11*BC17+BC12*BC18</f>
        <v>1169032.71402394</v>
      </c>
      <c r="BD19" s="53" t="n">
        <f aca="false">BD10*BD16+BD11*BD17+BD12*BD18</f>
        <v>1169032.71402394</v>
      </c>
      <c r="BE19" s="53" t="n">
        <f aca="false">BE10*BE16+BE11*BE17+BE12*BE18</f>
        <v>1169032.71402394</v>
      </c>
      <c r="BF19" s="53" t="n">
        <f aca="false">BF10*BF16+BF11*BF17+BF12*BF18</f>
        <v>1169032.71402394</v>
      </c>
      <c r="BG19" s="53" t="n">
        <f aca="false">BG10*BG16+BG11*BG17+BG12*BG18</f>
        <v>1169032.71402394</v>
      </c>
      <c r="BH19" s="53" t="n">
        <f aca="false">BH10*BH16+BH11*BH17+BH12*BH18</f>
        <v>1169032.71402394</v>
      </c>
      <c r="BI19" s="53" t="n">
        <f aca="false">BI10*BI16+BI11*BI17+BI12*BI18</f>
        <v>1169032.71402394</v>
      </c>
      <c r="BJ19" s="53" t="n">
        <f aca="false">BJ10*BJ16+BJ11*BJ17+BJ12*BJ18</f>
        <v>1169032.71402394</v>
      </c>
    </row>
    <row r="20" customFormat="false" ht="15" hidden="false" customHeight="false" outlineLevel="0" collapsed="false">
      <c r="A20" s="6" t="s">
        <v>208</v>
      </c>
      <c r="C20" s="53" t="n">
        <f aca="false">C19*Inputs!$E$20*(1-Inputs!$E$21)</f>
        <v>148230</v>
      </c>
      <c r="D20" s="53" t="n">
        <f aca="false">D19*Inputs!$E$20*(1-Inputs!$E$21)</f>
        <v>148230</v>
      </c>
      <c r="E20" s="53" t="n">
        <f aca="false">E19*Inputs!$E$20*(1-Inputs!$E$21)</f>
        <v>148230</v>
      </c>
      <c r="F20" s="53" t="n">
        <f aca="false">F19*Inputs!$E$20*(1-Inputs!$E$21)</f>
        <v>148230</v>
      </c>
      <c r="G20" s="53" t="n">
        <f aca="false">G19*Inputs!$E$20*(1-Inputs!$E$21)</f>
        <v>148230</v>
      </c>
      <c r="H20" s="53" t="n">
        <f aca="false">H19*Inputs!$E$20*(1-Inputs!$E$21)</f>
        <v>148230</v>
      </c>
      <c r="I20" s="53" t="n">
        <f aca="false">I19*Inputs!$E$20*(1-Inputs!$E$21)</f>
        <v>148230</v>
      </c>
      <c r="J20" s="53" t="n">
        <f aca="false">J19*Inputs!$E$20*(1-Inputs!$E$21)</f>
        <v>148230</v>
      </c>
      <c r="K20" s="53" t="n">
        <f aca="false">K19*Inputs!$E$20*(1-Inputs!$E$21)</f>
        <v>148230</v>
      </c>
      <c r="L20" s="53" t="n">
        <f aca="false">L19*Inputs!$E$20*(1-Inputs!$E$21)</f>
        <v>148230</v>
      </c>
      <c r="M20" s="53" t="n">
        <f aca="false">M19*Inputs!$E$20*(1-Inputs!$E$21)</f>
        <v>148230</v>
      </c>
      <c r="N20" s="53" t="n">
        <f aca="false">N19*Inputs!$E$20*(1-Inputs!$E$21)</f>
        <v>148230</v>
      </c>
      <c r="O20" s="53" t="n">
        <f aca="false">O19*Inputs!$E$20*(1-Inputs!$E$21)</f>
        <v>191972.43</v>
      </c>
      <c r="P20" s="53" t="n">
        <f aca="false">P19*Inputs!$E$20*(1-Inputs!$E$21)</f>
        <v>191972.43</v>
      </c>
      <c r="Q20" s="53" t="n">
        <f aca="false">Q19*Inputs!$E$20*(1-Inputs!$E$21)</f>
        <v>191972.43</v>
      </c>
      <c r="R20" s="53" t="n">
        <f aca="false">R19*Inputs!$E$20*(1-Inputs!$E$21)</f>
        <v>191972.43</v>
      </c>
      <c r="S20" s="53" t="n">
        <f aca="false">S19*Inputs!$E$20*(1-Inputs!$E$21)</f>
        <v>191972.43</v>
      </c>
      <c r="T20" s="53" t="n">
        <f aca="false">T19*Inputs!$E$20*(1-Inputs!$E$21)</f>
        <v>191972.43</v>
      </c>
      <c r="U20" s="53" t="n">
        <f aca="false">U19*Inputs!$E$20*(1-Inputs!$E$21)</f>
        <v>191972.43</v>
      </c>
      <c r="V20" s="53" t="n">
        <f aca="false">V19*Inputs!$E$20*(1-Inputs!$E$21)</f>
        <v>191972.43</v>
      </c>
      <c r="W20" s="53" t="n">
        <f aca="false">W19*Inputs!$E$20*(1-Inputs!$E$21)</f>
        <v>191972.43</v>
      </c>
      <c r="X20" s="53" t="n">
        <f aca="false">X19*Inputs!$E$20*(1-Inputs!$E$21)</f>
        <v>191972.43</v>
      </c>
      <c r="Y20" s="53" t="n">
        <f aca="false">Y19*Inputs!$E$20*(1-Inputs!$E$21)</f>
        <v>191972.43</v>
      </c>
      <c r="Z20" s="53" t="n">
        <f aca="false">Z19*Inputs!$E$20*(1-Inputs!$E$21)</f>
        <v>191972.43</v>
      </c>
      <c r="AA20" s="53" t="n">
        <f aca="false">AA19*Inputs!$E$20*(1-Inputs!$E$21)</f>
        <v>249007.76433</v>
      </c>
      <c r="AB20" s="53" t="n">
        <f aca="false">AB19*Inputs!$E$20*(1-Inputs!$E$21)</f>
        <v>249007.76433</v>
      </c>
      <c r="AC20" s="53" t="n">
        <f aca="false">AC19*Inputs!$E$20*(1-Inputs!$E$21)</f>
        <v>249007.76433</v>
      </c>
      <c r="AD20" s="53" t="n">
        <f aca="false">AD19*Inputs!$E$20*(1-Inputs!$E$21)</f>
        <v>249007.76433</v>
      </c>
      <c r="AE20" s="53" t="n">
        <f aca="false">AE19*Inputs!$E$20*(1-Inputs!$E$21)</f>
        <v>249007.76433</v>
      </c>
      <c r="AF20" s="53" t="n">
        <f aca="false">AF19*Inputs!$E$20*(1-Inputs!$E$21)</f>
        <v>249007.76433</v>
      </c>
      <c r="AG20" s="53" t="n">
        <f aca="false">AG19*Inputs!$E$20*(1-Inputs!$E$21)</f>
        <v>249007.76433</v>
      </c>
      <c r="AH20" s="53" t="n">
        <f aca="false">AH19*Inputs!$E$20*(1-Inputs!$E$21)</f>
        <v>249007.76433</v>
      </c>
      <c r="AI20" s="53" t="n">
        <f aca="false">AI19*Inputs!$E$20*(1-Inputs!$E$21)</f>
        <v>249007.76433</v>
      </c>
      <c r="AJ20" s="53" t="n">
        <f aca="false">AJ19*Inputs!$E$20*(1-Inputs!$E$21)</f>
        <v>249007.76433</v>
      </c>
      <c r="AK20" s="53" t="n">
        <f aca="false">AK19*Inputs!$E$20*(1-Inputs!$E$21)</f>
        <v>249007.76433</v>
      </c>
      <c r="AL20" s="53" t="n">
        <f aca="false">AL19*Inputs!$E$20*(1-Inputs!$E$21)</f>
        <v>249007.76433</v>
      </c>
      <c r="AM20" s="53" t="n">
        <f aca="false">AM19*Inputs!$E$20*(1-Inputs!$E$21)</f>
        <v>323479.85361003</v>
      </c>
      <c r="AN20" s="53" t="n">
        <f aca="false">AN19*Inputs!$E$20*(1-Inputs!$E$21)</f>
        <v>323479.85361003</v>
      </c>
      <c r="AO20" s="53" t="n">
        <f aca="false">AO19*Inputs!$E$20*(1-Inputs!$E$21)</f>
        <v>323479.85361003</v>
      </c>
      <c r="AP20" s="53" t="n">
        <f aca="false">AP19*Inputs!$E$20*(1-Inputs!$E$21)</f>
        <v>323479.85361003</v>
      </c>
      <c r="AQ20" s="53" t="n">
        <f aca="false">AQ19*Inputs!$E$20*(1-Inputs!$E$21)</f>
        <v>323479.85361003</v>
      </c>
      <c r="AR20" s="53" t="n">
        <f aca="false">AR19*Inputs!$E$20*(1-Inputs!$E$21)</f>
        <v>323479.85361003</v>
      </c>
      <c r="AS20" s="53" t="n">
        <f aca="false">AS19*Inputs!$E$20*(1-Inputs!$E$21)</f>
        <v>323479.85361003</v>
      </c>
      <c r="AT20" s="53" t="n">
        <f aca="false">AT19*Inputs!$E$20*(1-Inputs!$E$21)</f>
        <v>323479.85361003</v>
      </c>
      <c r="AU20" s="53" t="n">
        <f aca="false">AU19*Inputs!$E$20*(1-Inputs!$E$21)</f>
        <v>323479.85361003</v>
      </c>
      <c r="AV20" s="53" t="n">
        <f aca="false">AV19*Inputs!$E$20*(1-Inputs!$E$21)</f>
        <v>323479.85361003</v>
      </c>
      <c r="AW20" s="53" t="n">
        <f aca="false">AW19*Inputs!$E$20*(1-Inputs!$E$21)</f>
        <v>323479.85361003</v>
      </c>
      <c r="AX20" s="53" t="n">
        <f aca="false">AX19*Inputs!$E$20*(1-Inputs!$E$21)</f>
        <v>323479.85361003</v>
      </c>
      <c r="AY20" s="53" t="n">
        <f aca="false">AY19*Inputs!$E$20*(1-Inputs!$E$21)</f>
        <v>420851.77704862</v>
      </c>
      <c r="AZ20" s="53" t="n">
        <f aca="false">AZ19*Inputs!$E$20*(1-Inputs!$E$21)</f>
        <v>420851.77704862</v>
      </c>
      <c r="BA20" s="53" t="n">
        <f aca="false">BA19*Inputs!$E$20*(1-Inputs!$E$21)</f>
        <v>420851.77704862</v>
      </c>
      <c r="BB20" s="53" t="n">
        <f aca="false">BB19*Inputs!$E$20*(1-Inputs!$E$21)</f>
        <v>420851.77704862</v>
      </c>
      <c r="BC20" s="53" t="n">
        <f aca="false">BC19*Inputs!$E$20*(1-Inputs!$E$21)</f>
        <v>420851.77704862</v>
      </c>
      <c r="BD20" s="53" t="n">
        <f aca="false">BD19*Inputs!$E$20*(1-Inputs!$E$21)</f>
        <v>420851.77704862</v>
      </c>
      <c r="BE20" s="53" t="n">
        <f aca="false">BE19*Inputs!$E$20*(1-Inputs!$E$21)</f>
        <v>420851.77704862</v>
      </c>
      <c r="BF20" s="53" t="n">
        <f aca="false">BF19*Inputs!$E$20*(1-Inputs!$E$21)</f>
        <v>420851.77704862</v>
      </c>
      <c r="BG20" s="53" t="n">
        <f aca="false">BG19*Inputs!$E$20*(1-Inputs!$E$21)</f>
        <v>420851.77704862</v>
      </c>
      <c r="BH20" s="53" t="n">
        <f aca="false">BH19*Inputs!$E$20*(1-Inputs!$E$21)</f>
        <v>420851.77704862</v>
      </c>
      <c r="BI20" s="53" t="n">
        <f aca="false">BI19*Inputs!$E$20*(1-Inputs!$E$21)</f>
        <v>420851.77704862</v>
      </c>
      <c r="BJ20" s="53" t="n">
        <f aca="false">BJ19*Inputs!$E$20*(1-Inputs!$E$21)</f>
        <v>420851.77704862</v>
      </c>
    </row>
    <row r="21" customFormat="false" ht="15" hidden="false" customHeight="false" outlineLevel="0" collapsed="false">
      <c r="A21" s="6" t="s">
        <v>384</v>
      </c>
      <c r="C21" s="53" t="n">
        <f aca="false">C19*(1-Inputs!$E$20)*Inputs!$E$22</f>
        <v>227286</v>
      </c>
      <c r="D21" s="53" t="n">
        <f aca="false">D19*(1-Inputs!$E$20)*Inputs!$E$22</f>
        <v>227286</v>
      </c>
      <c r="E21" s="53" t="n">
        <f aca="false">E19*(1-Inputs!$E$20)*Inputs!$E$22</f>
        <v>227286</v>
      </c>
      <c r="F21" s="53" t="n">
        <f aca="false">F19*(1-Inputs!$E$20)*Inputs!$E$22</f>
        <v>227286</v>
      </c>
      <c r="G21" s="53" t="n">
        <f aca="false">G19*(1-Inputs!$E$20)*Inputs!$E$22</f>
        <v>227286</v>
      </c>
      <c r="H21" s="53" t="n">
        <f aca="false">H19*(1-Inputs!$E$20)*Inputs!$E$22</f>
        <v>227286</v>
      </c>
      <c r="I21" s="53" t="n">
        <f aca="false">I19*(1-Inputs!$E$20)*Inputs!$E$22</f>
        <v>227286</v>
      </c>
      <c r="J21" s="53" t="n">
        <f aca="false">J19*(1-Inputs!$E$20)*Inputs!$E$22</f>
        <v>227286</v>
      </c>
      <c r="K21" s="53" t="n">
        <f aca="false">K19*(1-Inputs!$E$20)*Inputs!$E$22</f>
        <v>227286</v>
      </c>
      <c r="L21" s="53" t="n">
        <f aca="false">L19*(1-Inputs!$E$20)*Inputs!$E$22</f>
        <v>227286</v>
      </c>
      <c r="M21" s="53" t="n">
        <f aca="false">M19*(1-Inputs!$E$20)*Inputs!$E$22</f>
        <v>227286</v>
      </c>
      <c r="N21" s="53" t="n">
        <f aca="false">N19*(1-Inputs!$E$20)*Inputs!$E$22</f>
        <v>227286</v>
      </c>
      <c r="O21" s="53" t="n">
        <f aca="false">O19*(1-Inputs!$E$20)*Inputs!$E$22</f>
        <v>294357.726</v>
      </c>
      <c r="P21" s="53" t="n">
        <f aca="false">P19*(1-Inputs!$E$20)*Inputs!$E$22</f>
        <v>294357.726</v>
      </c>
      <c r="Q21" s="53" t="n">
        <f aca="false">Q19*(1-Inputs!$E$20)*Inputs!$E$22</f>
        <v>294357.726</v>
      </c>
      <c r="R21" s="53" t="n">
        <f aca="false">R19*(1-Inputs!$E$20)*Inputs!$E$22</f>
        <v>294357.726</v>
      </c>
      <c r="S21" s="53" t="n">
        <f aca="false">S19*(1-Inputs!$E$20)*Inputs!$E$22</f>
        <v>294357.726</v>
      </c>
      <c r="T21" s="53" t="n">
        <f aca="false">T19*(1-Inputs!$E$20)*Inputs!$E$22</f>
        <v>294357.726</v>
      </c>
      <c r="U21" s="53" t="n">
        <f aca="false">U19*(1-Inputs!$E$20)*Inputs!$E$22</f>
        <v>294357.726</v>
      </c>
      <c r="V21" s="53" t="n">
        <f aca="false">V19*(1-Inputs!$E$20)*Inputs!$E$22</f>
        <v>294357.726</v>
      </c>
      <c r="W21" s="53" t="n">
        <f aca="false">W19*(1-Inputs!$E$20)*Inputs!$E$22</f>
        <v>294357.726</v>
      </c>
      <c r="X21" s="53" t="n">
        <f aca="false">X19*(1-Inputs!$E$20)*Inputs!$E$22</f>
        <v>294357.726</v>
      </c>
      <c r="Y21" s="53" t="n">
        <f aca="false">Y19*(1-Inputs!$E$20)*Inputs!$E$22</f>
        <v>294357.726</v>
      </c>
      <c r="Z21" s="53" t="n">
        <f aca="false">Z19*(1-Inputs!$E$20)*Inputs!$E$22</f>
        <v>294357.726</v>
      </c>
      <c r="AA21" s="53" t="n">
        <f aca="false">AA19*(1-Inputs!$E$20)*Inputs!$E$22</f>
        <v>381811.905306</v>
      </c>
      <c r="AB21" s="53" t="n">
        <f aca="false">AB19*(1-Inputs!$E$20)*Inputs!$E$22</f>
        <v>381811.905306</v>
      </c>
      <c r="AC21" s="53" t="n">
        <f aca="false">AC19*(1-Inputs!$E$20)*Inputs!$E$22</f>
        <v>381811.905306</v>
      </c>
      <c r="AD21" s="53" t="n">
        <f aca="false">AD19*(1-Inputs!$E$20)*Inputs!$E$22</f>
        <v>381811.905306</v>
      </c>
      <c r="AE21" s="53" t="n">
        <f aca="false">AE19*(1-Inputs!$E$20)*Inputs!$E$22</f>
        <v>381811.905306</v>
      </c>
      <c r="AF21" s="53" t="n">
        <f aca="false">AF19*(1-Inputs!$E$20)*Inputs!$E$22</f>
        <v>381811.905306</v>
      </c>
      <c r="AG21" s="53" t="n">
        <f aca="false">AG19*(1-Inputs!$E$20)*Inputs!$E$22</f>
        <v>381811.905306</v>
      </c>
      <c r="AH21" s="53" t="n">
        <f aca="false">AH19*(1-Inputs!$E$20)*Inputs!$E$22</f>
        <v>381811.905306</v>
      </c>
      <c r="AI21" s="53" t="n">
        <f aca="false">AI19*(1-Inputs!$E$20)*Inputs!$E$22</f>
        <v>381811.905306</v>
      </c>
      <c r="AJ21" s="53" t="n">
        <f aca="false">AJ19*(1-Inputs!$E$20)*Inputs!$E$22</f>
        <v>381811.905306</v>
      </c>
      <c r="AK21" s="53" t="n">
        <f aca="false">AK19*(1-Inputs!$E$20)*Inputs!$E$22</f>
        <v>381811.905306</v>
      </c>
      <c r="AL21" s="53" t="n">
        <f aca="false">AL19*(1-Inputs!$E$20)*Inputs!$E$22</f>
        <v>381811.905306</v>
      </c>
      <c r="AM21" s="53" t="n">
        <f aca="false">AM19*(1-Inputs!$E$20)*Inputs!$E$22</f>
        <v>496002.442202046</v>
      </c>
      <c r="AN21" s="53" t="n">
        <f aca="false">AN19*(1-Inputs!$E$20)*Inputs!$E$22</f>
        <v>496002.442202046</v>
      </c>
      <c r="AO21" s="53" t="n">
        <f aca="false">AO19*(1-Inputs!$E$20)*Inputs!$E$22</f>
        <v>496002.442202046</v>
      </c>
      <c r="AP21" s="53" t="n">
        <f aca="false">AP19*(1-Inputs!$E$20)*Inputs!$E$22</f>
        <v>496002.442202046</v>
      </c>
      <c r="AQ21" s="53" t="n">
        <f aca="false">AQ19*(1-Inputs!$E$20)*Inputs!$E$22</f>
        <v>496002.442202046</v>
      </c>
      <c r="AR21" s="53" t="n">
        <f aca="false">AR19*(1-Inputs!$E$20)*Inputs!$E$22</f>
        <v>496002.442202046</v>
      </c>
      <c r="AS21" s="53" t="n">
        <f aca="false">AS19*(1-Inputs!$E$20)*Inputs!$E$22</f>
        <v>496002.442202046</v>
      </c>
      <c r="AT21" s="53" t="n">
        <f aca="false">AT19*(1-Inputs!$E$20)*Inputs!$E$22</f>
        <v>496002.442202046</v>
      </c>
      <c r="AU21" s="53" t="n">
        <f aca="false">AU19*(1-Inputs!$E$20)*Inputs!$E$22</f>
        <v>496002.442202046</v>
      </c>
      <c r="AV21" s="53" t="n">
        <f aca="false">AV19*(1-Inputs!$E$20)*Inputs!$E$22</f>
        <v>496002.442202046</v>
      </c>
      <c r="AW21" s="53" t="n">
        <f aca="false">AW19*(1-Inputs!$E$20)*Inputs!$E$22</f>
        <v>496002.442202046</v>
      </c>
      <c r="AX21" s="53" t="n">
        <f aca="false">AX19*(1-Inputs!$E$20)*Inputs!$E$22</f>
        <v>496002.442202046</v>
      </c>
      <c r="AY21" s="53" t="n">
        <f aca="false">AY19*(1-Inputs!$E$20)*Inputs!$E$22</f>
        <v>645306.058141218</v>
      </c>
      <c r="AZ21" s="53" t="n">
        <f aca="false">AZ19*(1-Inputs!$E$20)*Inputs!$E$22</f>
        <v>645306.058141218</v>
      </c>
      <c r="BA21" s="53" t="n">
        <f aca="false">BA19*(1-Inputs!$E$20)*Inputs!$E$22</f>
        <v>645306.058141218</v>
      </c>
      <c r="BB21" s="53" t="n">
        <f aca="false">BB19*(1-Inputs!$E$20)*Inputs!$E$22</f>
        <v>645306.058141218</v>
      </c>
      <c r="BC21" s="53" t="n">
        <f aca="false">BC19*(1-Inputs!$E$20)*Inputs!$E$22</f>
        <v>645306.058141218</v>
      </c>
      <c r="BD21" s="53" t="n">
        <f aca="false">BD19*(1-Inputs!$E$20)*Inputs!$E$22</f>
        <v>645306.058141218</v>
      </c>
      <c r="BE21" s="53" t="n">
        <f aca="false">BE19*(1-Inputs!$E$20)*Inputs!$E$22</f>
        <v>645306.058141218</v>
      </c>
      <c r="BF21" s="53" t="n">
        <f aca="false">BF19*(1-Inputs!$E$20)*Inputs!$E$22</f>
        <v>645306.058141218</v>
      </c>
      <c r="BG21" s="53" t="n">
        <f aca="false">BG19*(1-Inputs!$E$20)*Inputs!$E$22</f>
        <v>645306.058141218</v>
      </c>
      <c r="BH21" s="53" t="n">
        <f aca="false">BH19*(1-Inputs!$E$20)*Inputs!$E$22</f>
        <v>645306.058141218</v>
      </c>
      <c r="BI21" s="53" t="n">
        <f aca="false">BI19*(1-Inputs!$E$20)*Inputs!$E$22</f>
        <v>645306.058141218</v>
      </c>
      <c r="BJ21" s="53" t="n">
        <f aca="false">BJ19*(1-Inputs!$E$20)*Inputs!$E$22</f>
        <v>645306.058141218</v>
      </c>
    </row>
    <row r="22" customFormat="false" ht="15" hidden="false" customHeight="false" outlineLevel="0" collapsed="false">
      <c r="A22" s="101" t="s">
        <v>207</v>
      </c>
      <c r="C22" s="54" t="n">
        <f aca="false">C20+C21</f>
        <v>375516</v>
      </c>
      <c r="D22" s="54" t="n">
        <f aca="false">D20+D21</f>
        <v>375516</v>
      </c>
      <c r="E22" s="54" t="n">
        <f aca="false">E20+E21</f>
        <v>375516</v>
      </c>
      <c r="F22" s="54" t="n">
        <f aca="false">F20+F21</f>
        <v>375516</v>
      </c>
      <c r="G22" s="54" t="n">
        <f aca="false">G20+G21</f>
        <v>375516</v>
      </c>
      <c r="H22" s="54" t="n">
        <f aca="false">H20+H21</f>
        <v>375516</v>
      </c>
      <c r="I22" s="54" t="n">
        <f aca="false">I20+I21</f>
        <v>375516</v>
      </c>
      <c r="J22" s="54" t="n">
        <f aca="false">J20+J21</f>
        <v>375516</v>
      </c>
      <c r="K22" s="54" t="n">
        <f aca="false">K20+K21</f>
        <v>375516</v>
      </c>
      <c r="L22" s="54" t="n">
        <f aca="false">L20+L21</f>
        <v>375516</v>
      </c>
      <c r="M22" s="54" t="n">
        <f aca="false">M20+M21</f>
        <v>375516</v>
      </c>
      <c r="N22" s="54" t="n">
        <f aca="false">N20+N21</f>
        <v>375516</v>
      </c>
      <c r="O22" s="54" t="n">
        <f aca="false">O20+O21</f>
        <v>486330.156</v>
      </c>
      <c r="P22" s="54" t="n">
        <f aca="false">P20+P21</f>
        <v>486330.156</v>
      </c>
      <c r="Q22" s="54" t="n">
        <f aca="false">Q20+Q21</f>
        <v>486330.156</v>
      </c>
      <c r="R22" s="54" t="n">
        <f aca="false">R20+R21</f>
        <v>486330.156</v>
      </c>
      <c r="S22" s="54" t="n">
        <f aca="false">S20+S21</f>
        <v>486330.156</v>
      </c>
      <c r="T22" s="54" t="n">
        <f aca="false">T20+T21</f>
        <v>486330.156</v>
      </c>
      <c r="U22" s="54" t="n">
        <f aca="false">U20+U21</f>
        <v>486330.156</v>
      </c>
      <c r="V22" s="54" t="n">
        <f aca="false">V20+V21</f>
        <v>486330.156</v>
      </c>
      <c r="W22" s="54" t="n">
        <f aca="false">W20+W21</f>
        <v>486330.156</v>
      </c>
      <c r="X22" s="54" t="n">
        <f aca="false">X20+X21</f>
        <v>486330.156</v>
      </c>
      <c r="Y22" s="54" t="n">
        <f aca="false">Y20+Y21</f>
        <v>486330.156</v>
      </c>
      <c r="Z22" s="54" t="n">
        <f aca="false">Z20+Z21</f>
        <v>486330.156</v>
      </c>
      <c r="AA22" s="54" t="n">
        <f aca="false">AA20+AA21</f>
        <v>630819.669636</v>
      </c>
      <c r="AB22" s="54" t="n">
        <f aca="false">AB20+AB21</f>
        <v>630819.669636</v>
      </c>
      <c r="AC22" s="54" t="n">
        <f aca="false">AC20+AC21</f>
        <v>630819.669636</v>
      </c>
      <c r="AD22" s="54" t="n">
        <f aca="false">AD20+AD21</f>
        <v>630819.669636</v>
      </c>
      <c r="AE22" s="54" t="n">
        <f aca="false">AE20+AE21</f>
        <v>630819.669636</v>
      </c>
      <c r="AF22" s="54" t="n">
        <f aca="false">AF20+AF21</f>
        <v>630819.669636</v>
      </c>
      <c r="AG22" s="54" t="n">
        <f aca="false">AG20+AG21</f>
        <v>630819.669636</v>
      </c>
      <c r="AH22" s="54" t="n">
        <f aca="false">AH20+AH21</f>
        <v>630819.669636</v>
      </c>
      <c r="AI22" s="54" t="n">
        <f aca="false">AI20+AI21</f>
        <v>630819.669636</v>
      </c>
      <c r="AJ22" s="54" t="n">
        <f aca="false">AJ20+AJ21</f>
        <v>630819.669636</v>
      </c>
      <c r="AK22" s="54" t="n">
        <f aca="false">AK20+AK21</f>
        <v>630819.669636</v>
      </c>
      <c r="AL22" s="54" t="n">
        <f aca="false">AL20+AL21</f>
        <v>630819.669636</v>
      </c>
      <c r="AM22" s="54" t="n">
        <f aca="false">AM20+AM21</f>
        <v>819482.295812076</v>
      </c>
      <c r="AN22" s="54" t="n">
        <f aca="false">AN20+AN21</f>
        <v>819482.295812076</v>
      </c>
      <c r="AO22" s="54" t="n">
        <f aca="false">AO20+AO21</f>
        <v>819482.295812076</v>
      </c>
      <c r="AP22" s="54" t="n">
        <f aca="false">AP20+AP21</f>
        <v>819482.295812076</v>
      </c>
      <c r="AQ22" s="54" t="n">
        <f aca="false">AQ20+AQ21</f>
        <v>819482.295812076</v>
      </c>
      <c r="AR22" s="54" t="n">
        <f aca="false">AR20+AR21</f>
        <v>819482.295812076</v>
      </c>
      <c r="AS22" s="54" t="n">
        <f aca="false">AS20+AS21</f>
        <v>819482.295812076</v>
      </c>
      <c r="AT22" s="54" t="n">
        <f aca="false">AT20+AT21</f>
        <v>819482.295812076</v>
      </c>
      <c r="AU22" s="54" t="n">
        <f aca="false">AU20+AU21</f>
        <v>819482.295812076</v>
      </c>
      <c r="AV22" s="54" t="n">
        <f aca="false">AV20+AV21</f>
        <v>819482.295812076</v>
      </c>
      <c r="AW22" s="54" t="n">
        <f aca="false">AW20+AW21</f>
        <v>819482.295812076</v>
      </c>
      <c r="AX22" s="54" t="n">
        <f aca="false">AX20+AX21</f>
        <v>819482.295812076</v>
      </c>
      <c r="AY22" s="54" t="n">
        <f aca="false">AY20+AY21</f>
        <v>1066157.83518984</v>
      </c>
      <c r="AZ22" s="54" t="n">
        <f aca="false">AZ20+AZ21</f>
        <v>1066157.83518984</v>
      </c>
      <c r="BA22" s="54" t="n">
        <f aca="false">BA20+BA21</f>
        <v>1066157.83518984</v>
      </c>
      <c r="BB22" s="54" t="n">
        <f aca="false">BB20+BB21</f>
        <v>1066157.83518984</v>
      </c>
      <c r="BC22" s="54" t="n">
        <f aca="false">BC20+BC21</f>
        <v>1066157.83518984</v>
      </c>
      <c r="BD22" s="54" t="n">
        <f aca="false">BD20+BD21</f>
        <v>1066157.83518984</v>
      </c>
      <c r="BE22" s="54" t="n">
        <f aca="false">BE20+BE21</f>
        <v>1066157.83518984</v>
      </c>
      <c r="BF22" s="54" t="n">
        <f aca="false">BF20+BF21</f>
        <v>1066157.83518984</v>
      </c>
      <c r="BG22" s="54" t="n">
        <f aca="false">BG20+BG21</f>
        <v>1066157.83518984</v>
      </c>
      <c r="BH22" s="54" t="n">
        <f aca="false">BH20+BH21</f>
        <v>1066157.83518984</v>
      </c>
      <c r="BI22" s="54" t="n">
        <f aca="false">BI20+BI21</f>
        <v>1066157.83518984</v>
      </c>
      <c r="BJ22" s="54" t="n">
        <f aca="false">BJ20+BJ21</f>
        <v>1066157.83518984</v>
      </c>
    </row>
    <row r="24" customFormat="false" ht="15.75" hidden="false" customHeight="true" outlineLevel="0" collapsed="false">
      <c r="A24" s="7" t="s">
        <v>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213</v>
      </c>
      <c r="C25" s="53" t="n">
        <f aca="false">Headcount!C15+Headcount!C16</f>
        <v>-178000</v>
      </c>
      <c r="D25" s="53" t="n">
        <f aca="false">Headcount!D15+Headcount!D16</f>
        <v>-178000</v>
      </c>
      <c r="E25" s="53" t="n">
        <f aca="false">Headcount!E15+Headcount!E16</f>
        <v>-178000</v>
      </c>
      <c r="F25" s="53" t="n">
        <f aca="false">Headcount!F15+Headcount!F16</f>
        <v>-178000</v>
      </c>
      <c r="G25" s="53" t="n">
        <f aca="false">Headcount!G15+Headcount!G16</f>
        <v>-178000</v>
      </c>
      <c r="H25" s="53" t="n">
        <f aca="false">Headcount!H15+Headcount!H16</f>
        <v>-178000</v>
      </c>
      <c r="I25" s="53" t="n">
        <f aca="false">Headcount!I15+Headcount!I16</f>
        <v>-178000</v>
      </c>
      <c r="J25" s="53" t="n">
        <f aca="false">Headcount!J15+Headcount!J16</f>
        <v>-178000</v>
      </c>
      <c r="K25" s="53" t="n">
        <f aca="false">Headcount!K15+Headcount!K16</f>
        <v>-178000</v>
      </c>
      <c r="L25" s="53" t="n">
        <f aca="false">Headcount!L15+Headcount!L16</f>
        <v>-178000</v>
      </c>
      <c r="M25" s="53" t="n">
        <f aca="false">Headcount!M15+Headcount!M16</f>
        <v>-178000</v>
      </c>
      <c r="N25" s="53" t="n">
        <f aca="false">Headcount!N15+Headcount!N16</f>
        <v>-178000</v>
      </c>
      <c r="O25" s="53" t="n">
        <f aca="false">Headcount!O15+Headcount!O16</f>
        <v>-231750</v>
      </c>
      <c r="P25" s="53" t="n">
        <f aca="false">Headcount!P15+Headcount!P16</f>
        <v>-231750</v>
      </c>
      <c r="Q25" s="53" t="n">
        <f aca="false">Headcount!Q15+Headcount!Q16</f>
        <v>-231750</v>
      </c>
      <c r="R25" s="53" t="n">
        <f aca="false">Headcount!R15+Headcount!R16</f>
        <v>-231750</v>
      </c>
      <c r="S25" s="53" t="n">
        <f aca="false">Headcount!S15+Headcount!S16</f>
        <v>-231750</v>
      </c>
      <c r="T25" s="53" t="n">
        <f aca="false">Headcount!T15+Headcount!T16</f>
        <v>-231750</v>
      </c>
      <c r="U25" s="53" t="n">
        <f aca="false">Headcount!U15+Headcount!U16</f>
        <v>-231750</v>
      </c>
      <c r="V25" s="53" t="n">
        <f aca="false">Headcount!V15+Headcount!V16</f>
        <v>-231750</v>
      </c>
      <c r="W25" s="53" t="n">
        <f aca="false">Headcount!W15+Headcount!W16</f>
        <v>-231750</v>
      </c>
      <c r="X25" s="53" t="n">
        <f aca="false">Headcount!X15+Headcount!X16</f>
        <v>-231750</v>
      </c>
      <c r="Y25" s="53" t="n">
        <f aca="false">Headcount!Y15+Headcount!Y16</f>
        <v>-231750</v>
      </c>
      <c r="Z25" s="53" t="n">
        <f aca="false">Headcount!Z15+Headcount!Z16</f>
        <v>-231750</v>
      </c>
      <c r="AA25" s="53" t="n">
        <f aca="false">Headcount!AA15+Headcount!AA16</f>
        <v>-302165.538</v>
      </c>
      <c r="AB25" s="53" t="n">
        <f aca="false">Headcount!AB15+Headcount!AB16</f>
        <v>-302165.538</v>
      </c>
      <c r="AC25" s="53" t="n">
        <f aca="false">Headcount!AC15+Headcount!AC16</f>
        <v>-302165.538</v>
      </c>
      <c r="AD25" s="53" t="n">
        <f aca="false">Headcount!AD15+Headcount!AD16</f>
        <v>-302165.538</v>
      </c>
      <c r="AE25" s="53" t="n">
        <f aca="false">Headcount!AE15+Headcount!AE16</f>
        <v>-302165.538</v>
      </c>
      <c r="AF25" s="53" t="n">
        <f aca="false">Headcount!AF15+Headcount!AF16</f>
        <v>-302165.538</v>
      </c>
      <c r="AG25" s="53" t="n">
        <f aca="false">Headcount!AG15+Headcount!AG16</f>
        <v>-302165.538</v>
      </c>
      <c r="AH25" s="53" t="n">
        <f aca="false">Headcount!AH15+Headcount!AH16</f>
        <v>-302165.538</v>
      </c>
      <c r="AI25" s="53" t="n">
        <f aca="false">Headcount!AI15+Headcount!AI16</f>
        <v>-302165.538</v>
      </c>
      <c r="AJ25" s="53" t="n">
        <f aca="false">Headcount!AJ15+Headcount!AJ16</f>
        <v>-302165.538</v>
      </c>
      <c r="AK25" s="53" t="n">
        <f aca="false">Headcount!AK15+Headcount!AK16</f>
        <v>-302165.538</v>
      </c>
      <c r="AL25" s="53" t="n">
        <f aca="false">Headcount!AL15+Headcount!AL16</f>
        <v>-302165.538</v>
      </c>
      <c r="AM25" s="53" t="n">
        <f aca="false">Headcount!AM15+Headcount!AM16</f>
        <v>-394529.08335</v>
      </c>
      <c r="AN25" s="53" t="n">
        <f aca="false">Headcount!AN15+Headcount!AN16</f>
        <v>-394529.08335</v>
      </c>
      <c r="AO25" s="53" t="n">
        <f aca="false">Headcount!AO15+Headcount!AO16</f>
        <v>-394529.08335</v>
      </c>
      <c r="AP25" s="53" t="n">
        <f aca="false">Headcount!AP15+Headcount!AP16</f>
        <v>-394529.08335</v>
      </c>
      <c r="AQ25" s="53" t="n">
        <f aca="false">Headcount!AQ15+Headcount!AQ16</f>
        <v>-394529.08335</v>
      </c>
      <c r="AR25" s="53" t="n">
        <f aca="false">Headcount!AR15+Headcount!AR16</f>
        <v>-394529.08335</v>
      </c>
      <c r="AS25" s="53" t="n">
        <f aca="false">Headcount!AS15+Headcount!AS16</f>
        <v>-394529.08335</v>
      </c>
      <c r="AT25" s="53" t="n">
        <f aca="false">Headcount!AT15+Headcount!AT16</f>
        <v>-394529.08335</v>
      </c>
      <c r="AU25" s="53" t="n">
        <f aca="false">Headcount!AU15+Headcount!AU16</f>
        <v>-394529.08335</v>
      </c>
      <c r="AV25" s="53" t="n">
        <f aca="false">Headcount!AV15+Headcount!AV16</f>
        <v>-394529.08335</v>
      </c>
      <c r="AW25" s="53" t="n">
        <f aca="false">Headcount!AW15+Headcount!AW16</f>
        <v>-394529.08335</v>
      </c>
      <c r="AX25" s="53" t="n">
        <f aca="false">Headcount!AX15+Headcount!AX16</f>
        <v>-394529.08335</v>
      </c>
      <c r="AY25" s="53" t="n">
        <f aca="false">Headcount!AY15+Headcount!AY16</f>
        <v>-515827.215574098</v>
      </c>
      <c r="AZ25" s="53" t="n">
        <f aca="false">Headcount!AZ15+Headcount!AZ16</f>
        <v>-515827.215574098</v>
      </c>
      <c r="BA25" s="53" t="n">
        <f aca="false">Headcount!BA15+Headcount!BA16</f>
        <v>-515827.215574098</v>
      </c>
      <c r="BB25" s="53" t="n">
        <f aca="false">Headcount!BB15+Headcount!BB16</f>
        <v>-515827.215574098</v>
      </c>
      <c r="BC25" s="53" t="n">
        <f aca="false">Headcount!BC15+Headcount!BC16</f>
        <v>-515827.215574098</v>
      </c>
      <c r="BD25" s="53" t="n">
        <f aca="false">Headcount!BD15+Headcount!BD16</f>
        <v>-515827.215574098</v>
      </c>
      <c r="BE25" s="53" t="n">
        <f aca="false">Headcount!BE15+Headcount!BE16</f>
        <v>-515827.215574098</v>
      </c>
      <c r="BF25" s="53" t="n">
        <f aca="false">Headcount!BF15+Headcount!BF16</f>
        <v>-515827.215574098</v>
      </c>
      <c r="BG25" s="53" t="n">
        <f aca="false">Headcount!BG15+Headcount!BG16</f>
        <v>-515827.215574098</v>
      </c>
      <c r="BH25" s="53" t="n">
        <f aca="false">Headcount!BH15+Headcount!BH16</f>
        <v>-515827.215574098</v>
      </c>
      <c r="BI25" s="53" t="n">
        <f aca="false">Headcount!BI15+Headcount!BI16</f>
        <v>-515827.215574098</v>
      </c>
      <c r="BJ25" s="53" t="n">
        <f aca="false">Headcount!BJ15+Headcount!BJ16</f>
        <v>-515827.215574098</v>
      </c>
    </row>
    <row r="26" customFormat="false" ht="15" hidden="false" customHeight="false" outlineLevel="0" collapsed="false">
      <c r="A26" s="6" t="s">
        <v>214</v>
      </c>
      <c r="C26" s="53" t="n">
        <f aca="false">-C12*Inputs!$E$25*(1+Inputs!$E$51)^(C$5-1)</f>
        <v>-36000</v>
      </c>
      <c r="D26" s="53" t="n">
        <f aca="false">-D12*Inputs!$E$25*(1+Inputs!$E$51)^(D$5-1)</f>
        <v>-36000</v>
      </c>
      <c r="E26" s="53" t="n">
        <f aca="false">-E12*Inputs!$E$25*(1+Inputs!$E$51)^(E$5-1)</f>
        <v>-36000</v>
      </c>
      <c r="F26" s="53" t="n">
        <f aca="false">-F12*Inputs!$E$25*(1+Inputs!$E$51)^(F$5-1)</f>
        <v>-36000</v>
      </c>
      <c r="G26" s="53" t="n">
        <f aca="false">-G12*Inputs!$E$25*(1+Inputs!$E$51)^(G$5-1)</f>
        <v>-36000</v>
      </c>
      <c r="H26" s="53" t="n">
        <f aca="false">-H12*Inputs!$E$25*(1+Inputs!$E$51)^(H$5-1)</f>
        <v>-36000</v>
      </c>
      <c r="I26" s="53" t="n">
        <f aca="false">-I12*Inputs!$E$25*(1+Inputs!$E$51)^(I$5-1)</f>
        <v>-36000</v>
      </c>
      <c r="J26" s="53" t="n">
        <f aca="false">-J12*Inputs!$E$25*(1+Inputs!$E$51)^(J$5-1)</f>
        <v>-36000</v>
      </c>
      <c r="K26" s="53" t="n">
        <f aca="false">-K12*Inputs!$E$25*(1+Inputs!$E$51)^(K$5-1)</f>
        <v>-36000</v>
      </c>
      <c r="L26" s="53" t="n">
        <f aca="false">-L12*Inputs!$E$25*(1+Inputs!$E$51)^(L$5-1)</f>
        <v>-36000</v>
      </c>
      <c r="M26" s="53" t="n">
        <f aca="false">-M12*Inputs!$E$25*(1+Inputs!$E$51)^(M$5-1)</f>
        <v>-36000</v>
      </c>
      <c r="N26" s="53" t="n">
        <f aca="false">-N12*Inputs!$E$25*(1+Inputs!$E$51)^(N$5-1)</f>
        <v>-36000</v>
      </c>
      <c r="O26" s="53" t="n">
        <f aca="false">-O12*Inputs!$E$25*(1+Inputs!$E$51)^(O$5-1)</f>
        <v>-44496</v>
      </c>
      <c r="P26" s="53" t="n">
        <f aca="false">-P12*Inputs!$E$25*(1+Inputs!$E$51)^(P$5-1)</f>
        <v>-44496</v>
      </c>
      <c r="Q26" s="53" t="n">
        <f aca="false">-Q12*Inputs!$E$25*(1+Inputs!$E$51)^(Q$5-1)</f>
        <v>-44496</v>
      </c>
      <c r="R26" s="53" t="n">
        <f aca="false">-R12*Inputs!$E$25*(1+Inputs!$E$51)^(R$5-1)</f>
        <v>-44496</v>
      </c>
      <c r="S26" s="53" t="n">
        <f aca="false">-S12*Inputs!$E$25*(1+Inputs!$E$51)^(S$5-1)</f>
        <v>-44496</v>
      </c>
      <c r="T26" s="53" t="n">
        <f aca="false">-T12*Inputs!$E$25*(1+Inputs!$E$51)^(T$5-1)</f>
        <v>-44496</v>
      </c>
      <c r="U26" s="53" t="n">
        <f aca="false">-U12*Inputs!$E$25*(1+Inputs!$E$51)^(U$5-1)</f>
        <v>-44496</v>
      </c>
      <c r="V26" s="53" t="n">
        <f aca="false">-V12*Inputs!$E$25*(1+Inputs!$E$51)^(V$5-1)</f>
        <v>-44496</v>
      </c>
      <c r="W26" s="53" t="n">
        <f aca="false">-W12*Inputs!$E$25*(1+Inputs!$E$51)^(W$5-1)</f>
        <v>-44496</v>
      </c>
      <c r="X26" s="53" t="n">
        <f aca="false">-X12*Inputs!$E$25*(1+Inputs!$E$51)^(X$5-1)</f>
        <v>-44496</v>
      </c>
      <c r="Y26" s="53" t="n">
        <f aca="false">-Y12*Inputs!$E$25*(1+Inputs!$E$51)^(Y$5-1)</f>
        <v>-44496</v>
      </c>
      <c r="Z26" s="53" t="n">
        <f aca="false">-Z12*Inputs!$E$25*(1+Inputs!$E$51)^(Z$5-1)</f>
        <v>-44496</v>
      </c>
      <c r="AA26" s="53" t="n">
        <f aca="false">-AA12*Inputs!$E$25*(1+Inputs!$E$51)^(AA$5-1)</f>
        <v>-54997.056</v>
      </c>
      <c r="AB26" s="53" t="n">
        <f aca="false">-AB12*Inputs!$E$25*(1+Inputs!$E$51)^(AB$5-1)</f>
        <v>-54997.056</v>
      </c>
      <c r="AC26" s="53" t="n">
        <f aca="false">-AC12*Inputs!$E$25*(1+Inputs!$E$51)^(AC$5-1)</f>
        <v>-54997.056</v>
      </c>
      <c r="AD26" s="53" t="n">
        <f aca="false">-AD12*Inputs!$E$25*(1+Inputs!$E$51)^(AD$5-1)</f>
        <v>-54997.056</v>
      </c>
      <c r="AE26" s="53" t="n">
        <f aca="false">-AE12*Inputs!$E$25*(1+Inputs!$E$51)^(AE$5-1)</f>
        <v>-54997.056</v>
      </c>
      <c r="AF26" s="53" t="n">
        <f aca="false">-AF12*Inputs!$E$25*(1+Inputs!$E$51)^(AF$5-1)</f>
        <v>-54997.056</v>
      </c>
      <c r="AG26" s="53" t="n">
        <f aca="false">-AG12*Inputs!$E$25*(1+Inputs!$E$51)^(AG$5-1)</f>
        <v>-54997.056</v>
      </c>
      <c r="AH26" s="53" t="n">
        <f aca="false">-AH12*Inputs!$E$25*(1+Inputs!$E$51)^(AH$5-1)</f>
        <v>-54997.056</v>
      </c>
      <c r="AI26" s="53" t="n">
        <f aca="false">-AI12*Inputs!$E$25*(1+Inputs!$E$51)^(AI$5-1)</f>
        <v>-54997.056</v>
      </c>
      <c r="AJ26" s="53" t="n">
        <f aca="false">-AJ12*Inputs!$E$25*(1+Inputs!$E$51)^(AJ$5-1)</f>
        <v>-54997.056</v>
      </c>
      <c r="AK26" s="53" t="n">
        <f aca="false">-AK12*Inputs!$E$25*(1+Inputs!$E$51)^(AK$5-1)</f>
        <v>-54997.056</v>
      </c>
      <c r="AL26" s="53" t="n">
        <f aca="false">-AL12*Inputs!$E$25*(1+Inputs!$E$51)^(AL$5-1)</f>
        <v>-54997.056</v>
      </c>
      <c r="AM26" s="53" t="n">
        <f aca="false">-AM12*Inputs!$E$25*(1+Inputs!$E$51)^(AM$5-1)</f>
        <v>-67976.361216</v>
      </c>
      <c r="AN26" s="53" t="n">
        <f aca="false">-AN12*Inputs!$E$25*(1+Inputs!$E$51)^(AN$5-1)</f>
        <v>-67976.361216</v>
      </c>
      <c r="AO26" s="53" t="n">
        <f aca="false">-AO12*Inputs!$E$25*(1+Inputs!$E$51)^(AO$5-1)</f>
        <v>-67976.361216</v>
      </c>
      <c r="AP26" s="53" t="n">
        <f aca="false">-AP12*Inputs!$E$25*(1+Inputs!$E$51)^(AP$5-1)</f>
        <v>-67976.361216</v>
      </c>
      <c r="AQ26" s="53" t="n">
        <f aca="false">-AQ12*Inputs!$E$25*(1+Inputs!$E$51)^(AQ$5-1)</f>
        <v>-67976.361216</v>
      </c>
      <c r="AR26" s="53" t="n">
        <f aca="false">-AR12*Inputs!$E$25*(1+Inputs!$E$51)^(AR$5-1)</f>
        <v>-67976.361216</v>
      </c>
      <c r="AS26" s="53" t="n">
        <f aca="false">-AS12*Inputs!$E$25*(1+Inputs!$E$51)^(AS$5-1)</f>
        <v>-67976.361216</v>
      </c>
      <c r="AT26" s="53" t="n">
        <f aca="false">-AT12*Inputs!$E$25*(1+Inputs!$E$51)^(AT$5-1)</f>
        <v>-67976.361216</v>
      </c>
      <c r="AU26" s="53" t="n">
        <f aca="false">-AU12*Inputs!$E$25*(1+Inputs!$E$51)^(AU$5-1)</f>
        <v>-67976.361216</v>
      </c>
      <c r="AV26" s="53" t="n">
        <f aca="false">-AV12*Inputs!$E$25*(1+Inputs!$E$51)^(AV$5-1)</f>
        <v>-67976.361216</v>
      </c>
      <c r="AW26" s="53" t="n">
        <f aca="false">-AW12*Inputs!$E$25*(1+Inputs!$E$51)^(AW$5-1)</f>
        <v>-67976.361216</v>
      </c>
      <c r="AX26" s="53" t="n">
        <f aca="false">-AX12*Inputs!$E$25*(1+Inputs!$E$51)^(AX$5-1)</f>
        <v>-67976.361216</v>
      </c>
      <c r="AY26" s="53" t="n">
        <f aca="false">-AY12*Inputs!$E$25*(1+Inputs!$E$51)^(AY$5-1)</f>
        <v>-84018.782462976</v>
      </c>
      <c r="AZ26" s="53" t="n">
        <f aca="false">-AZ12*Inputs!$E$25*(1+Inputs!$E$51)^(AZ$5-1)</f>
        <v>-84018.782462976</v>
      </c>
      <c r="BA26" s="53" t="n">
        <f aca="false">-BA12*Inputs!$E$25*(1+Inputs!$E$51)^(BA$5-1)</f>
        <v>-84018.782462976</v>
      </c>
      <c r="BB26" s="53" t="n">
        <f aca="false">-BB12*Inputs!$E$25*(1+Inputs!$E$51)^(BB$5-1)</f>
        <v>-84018.782462976</v>
      </c>
      <c r="BC26" s="53" t="n">
        <f aca="false">-BC12*Inputs!$E$25*(1+Inputs!$E$51)^(BC$5-1)</f>
        <v>-84018.782462976</v>
      </c>
      <c r="BD26" s="53" t="n">
        <f aca="false">-BD12*Inputs!$E$25*(1+Inputs!$E$51)^(BD$5-1)</f>
        <v>-84018.782462976</v>
      </c>
      <c r="BE26" s="53" t="n">
        <f aca="false">-BE12*Inputs!$E$25*(1+Inputs!$E$51)^(BE$5-1)</f>
        <v>-84018.782462976</v>
      </c>
      <c r="BF26" s="53" t="n">
        <f aca="false">-BF12*Inputs!$E$25*(1+Inputs!$E$51)^(BF$5-1)</f>
        <v>-84018.782462976</v>
      </c>
      <c r="BG26" s="53" t="n">
        <f aca="false">-BG12*Inputs!$E$25*(1+Inputs!$E$51)^(BG$5-1)</f>
        <v>-84018.782462976</v>
      </c>
      <c r="BH26" s="53" t="n">
        <f aca="false">-BH12*Inputs!$E$25*(1+Inputs!$E$51)^(BH$5-1)</f>
        <v>-84018.782462976</v>
      </c>
      <c r="BI26" s="53" t="n">
        <f aca="false">-BI12*Inputs!$E$25*(1+Inputs!$E$51)^(BI$5-1)</f>
        <v>-84018.782462976</v>
      </c>
      <c r="BJ26" s="53" t="n">
        <f aca="false">-BJ12*Inputs!$E$25*(1+Inputs!$E$51)^(BJ$5-1)</f>
        <v>-84018.782462976</v>
      </c>
    </row>
    <row r="27" customFormat="false" ht="15" hidden="false" customHeight="false" outlineLevel="0" collapsed="false">
      <c r="A27" s="6" t="s">
        <v>385</v>
      </c>
      <c r="C27" s="53" t="n">
        <f aca="false">-C22*Inputs!$E$26</f>
        <v>-11265.48</v>
      </c>
      <c r="D27" s="53" t="n">
        <f aca="false">-D22*Inputs!$E$26</f>
        <v>-11265.48</v>
      </c>
      <c r="E27" s="53" t="n">
        <f aca="false">-E22*Inputs!$E$26</f>
        <v>-11265.48</v>
      </c>
      <c r="F27" s="53" t="n">
        <f aca="false">-F22*Inputs!$E$26</f>
        <v>-11265.48</v>
      </c>
      <c r="G27" s="53" t="n">
        <f aca="false">-G22*Inputs!$E$26</f>
        <v>-11265.48</v>
      </c>
      <c r="H27" s="53" t="n">
        <f aca="false">-H22*Inputs!$E$26</f>
        <v>-11265.48</v>
      </c>
      <c r="I27" s="53" t="n">
        <f aca="false">-I22*Inputs!$E$26</f>
        <v>-11265.48</v>
      </c>
      <c r="J27" s="53" t="n">
        <f aca="false">-J22*Inputs!$E$26</f>
        <v>-11265.48</v>
      </c>
      <c r="K27" s="53" t="n">
        <f aca="false">-K22*Inputs!$E$26</f>
        <v>-11265.48</v>
      </c>
      <c r="L27" s="53" t="n">
        <f aca="false">-L22*Inputs!$E$26</f>
        <v>-11265.48</v>
      </c>
      <c r="M27" s="53" t="n">
        <f aca="false">-M22*Inputs!$E$26</f>
        <v>-11265.48</v>
      </c>
      <c r="N27" s="53" t="n">
        <f aca="false">-N22*Inputs!$E$26</f>
        <v>-11265.48</v>
      </c>
      <c r="O27" s="53" t="n">
        <f aca="false">-O22*Inputs!$E$26</f>
        <v>-14589.90468</v>
      </c>
      <c r="P27" s="53" t="n">
        <f aca="false">-P22*Inputs!$E$26</f>
        <v>-14589.90468</v>
      </c>
      <c r="Q27" s="53" t="n">
        <f aca="false">-Q22*Inputs!$E$26</f>
        <v>-14589.90468</v>
      </c>
      <c r="R27" s="53" t="n">
        <f aca="false">-R22*Inputs!$E$26</f>
        <v>-14589.90468</v>
      </c>
      <c r="S27" s="53" t="n">
        <f aca="false">-S22*Inputs!$E$26</f>
        <v>-14589.90468</v>
      </c>
      <c r="T27" s="53" t="n">
        <f aca="false">-T22*Inputs!$E$26</f>
        <v>-14589.90468</v>
      </c>
      <c r="U27" s="53" t="n">
        <f aca="false">-U22*Inputs!$E$26</f>
        <v>-14589.90468</v>
      </c>
      <c r="V27" s="53" t="n">
        <f aca="false">-V22*Inputs!$E$26</f>
        <v>-14589.90468</v>
      </c>
      <c r="W27" s="53" t="n">
        <f aca="false">-W22*Inputs!$E$26</f>
        <v>-14589.90468</v>
      </c>
      <c r="X27" s="53" t="n">
        <f aca="false">-X22*Inputs!$E$26</f>
        <v>-14589.90468</v>
      </c>
      <c r="Y27" s="53" t="n">
        <f aca="false">-Y22*Inputs!$E$26</f>
        <v>-14589.90468</v>
      </c>
      <c r="Z27" s="53" t="n">
        <f aca="false">-Z22*Inputs!$E$26</f>
        <v>-14589.90468</v>
      </c>
      <c r="AA27" s="53" t="n">
        <f aca="false">-AA22*Inputs!$E$26</f>
        <v>-18924.59008908</v>
      </c>
      <c r="AB27" s="53" t="n">
        <f aca="false">-AB22*Inputs!$E$26</f>
        <v>-18924.59008908</v>
      </c>
      <c r="AC27" s="53" t="n">
        <f aca="false">-AC22*Inputs!$E$26</f>
        <v>-18924.59008908</v>
      </c>
      <c r="AD27" s="53" t="n">
        <f aca="false">-AD22*Inputs!$E$26</f>
        <v>-18924.59008908</v>
      </c>
      <c r="AE27" s="53" t="n">
        <f aca="false">-AE22*Inputs!$E$26</f>
        <v>-18924.59008908</v>
      </c>
      <c r="AF27" s="53" t="n">
        <f aca="false">-AF22*Inputs!$E$26</f>
        <v>-18924.59008908</v>
      </c>
      <c r="AG27" s="53" t="n">
        <f aca="false">-AG22*Inputs!$E$26</f>
        <v>-18924.59008908</v>
      </c>
      <c r="AH27" s="53" t="n">
        <f aca="false">-AH22*Inputs!$E$26</f>
        <v>-18924.59008908</v>
      </c>
      <c r="AI27" s="53" t="n">
        <f aca="false">-AI22*Inputs!$E$26</f>
        <v>-18924.59008908</v>
      </c>
      <c r="AJ27" s="53" t="n">
        <f aca="false">-AJ22*Inputs!$E$26</f>
        <v>-18924.59008908</v>
      </c>
      <c r="AK27" s="53" t="n">
        <f aca="false">-AK22*Inputs!$E$26</f>
        <v>-18924.59008908</v>
      </c>
      <c r="AL27" s="53" t="n">
        <f aca="false">-AL22*Inputs!$E$26</f>
        <v>-18924.59008908</v>
      </c>
      <c r="AM27" s="53" t="n">
        <f aca="false">-AM22*Inputs!$E$26</f>
        <v>-24584.4688743623</v>
      </c>
      <c r="AN27" s="53" t="n">
        <f aca="false">-AN22*Inputs!$E$26</f>
        <v>-24584.4688743623</v>
      </c>
      <c r="AO27" s="53" t="n">
        <f aca="false">-AO22*Inputs!$E$26</f>
        <v>-24584.4688743623</v>
      </c>
      <c r="AP27" s="53" t="n">
        <f aca="false">-AP22*Inputs!$E$26</f>
        <v>-24584.4688743623</v>
      </c>
      <c r="AQ27" s="53" t="n">
        <f aca="false">-AQ22*Inputs!$E$26</f>
        <v>-24584.4688743623</v>
      </c>
      <c r="AR27" s="53" t="n">
        <f aca="false">-AR22*Inputs!$E$26</f>
        <v>-24584.4688743623</v>
      </c>
      <c r="AS27" s="53" t="n">
        <f aca="false">-AS22*Inputs!$E$26</f>
        <v>-24584.4688743623</v>
      </c>
      <c r="AT27" s="53" t="n">
        <f aca="false">-AT22*Inputs!$E$26</f>
        <v>-24584.4688743623</v>
      </c>
      <c r="AU27" s="53" t="n">
        <f aca="false">-AU22*Inputs!$E$26</f>
        <v>-24584.4688743623</v>
      </c>
      <c r="AV27" s="53" t="n">
        <f aca="false">-AV22*Inputs!$E$26</f>
        <v>-24584.4688743623</v>
      </c>
      <c r="AW27" s="53" t="n">
        <f aca="false">-AW22*Inputs!$E$26</f>
        <v>-24584.4688743623</v>
      </c>
      <c r="AX27" s="53" t="n">
        <f aca="false">-AX22*Inputs!$E$26</f>
        <v>-24584.4688743623</v>
      </c>
      <c r="AY27" s="53" t="n">
        <f aca="false">-AY22*Inputs!$E$26</f>
        <v>-31984.7350556951</v>
      </c>
      <c r="AZ27" s="53" t="n">
        <f aca="false">-AZ22*Inputs!$E$26</f>
        <v>-31984.7350556951</v>
      </c>
      <c r="BA27" s="53" t="n">
        <f aca="false">-BA22*Inputs!$E$26</f>
        <v>-31984.7350556951</v>
      </c>
      <c r="BB27" s="53" t="n">
        <f aca="false">-BB22*Inputs!$E$26</f>
        <v>-31984.7350556951</v>
      </c>
      <c r="BC27" s="53" t="n">
        <f aca="false">-BC22*Inputs!$E$26</f>
        <v>-31984.7350556951</v>
      </c>
      <c r="BD27" s="53" t="n">
        <f aca="false">-BD22*Inputs!$E$26</f>
        <v>-31984.7350556951</v>
      </c>
      <c r="BE27" s="53" t="n">
        <f aca="false">-BE22*Inputs!$E$26</f>
        <v>-31984.7350556951</v>
      </c>
      <c r="BF27" s="53" t="n">
        <f aca="false">-BF22*Inputs!$E$26</f>
        <v>-31984.7350556951</v>
      </c>
      <c r="BG27" s="53" t="n">
        <f aca="false">-BG22*Inputs!$E$26</f>
        <v>-31984.7350556951</v>
      </c>
      <c r="BH27" s="53" t="n">
        <f aca="false">-BH22*Inputs!$E$26</f>
        <v>-31984.7350556951</v>
      </c>
      <c r="BI27" s="53" t="n">
        <f aca="false">-BI22*Inputs!$E$26</f>
        <v>-31984.7350556951</v>
      </c>
      <c r="BJ27" s="53" t="n">
        <f aca="false">-BJ22*Inputs!$E$26</f>
        <v>-31984.7350556951</v>
      </c>
    </row>
    <row r="28" customFormat="false" ht="15" hidden="false" customHeight="false" outlineLevel="0" collapsed="false">
      <c r="A28" s="4" t="s">
        <v>74</v>
      </c>
      <c r="C28" s="60" t="n">
        <f aca="false">C25+C26+C27</f>
        <v>-225265.48</v>
      </c>
      <c r="D28" s="60" t="n">
        <f aca="false">D25+D26+D27</f>
        <v>-225265.48</v>
      </c>
      <c r="E28" s="60" t="n">
        <f aca="false">E25+E26+E27</f>
        <v>-225265.48</v>
      </c>
      <c r="F28" s="60" t="n">
        <f aca="false">F25+F26+F27</f>
        <v>-225265.48</v>
      </c>
      <c r="G28" s="60" t="n">
        <f aca="false">G25+G26+G27</f>
        <v>-225265.48</v>
      </c>
      <c r="H28" s="60" t="n">
        <f aca="false">H25+H26+H27</f>
        <v>-225265.48</v>
      </c>
      <c r="I28" s="60" t="n">
        <f aca="false">I25+I26+I27</f>
        <v>-225265.48</v>
      </c>
      <c r="J28" s="60" t="n">
        <f aca="false">J25+J26+J27</f>
        <v>-225265.48</v>
      </c>
      <c r="K28" s="60" t="n">
        <f aca="false">K25+K26+K27</f>
        <v>-225265.48</v>
      </c>
      <c r="L28" s="60" t="n">
        <f aca="false">L25+L26+L27</f>
        <v>-225265.48</v>
      </c>
      <c r="M28" s="60" t="n">
        <f aca="false">M25+M26+M27</f>
        <v>-225265.48</v>
      </c>
      <c r="N28" s="60" t="n">
        <f aca="false">N25+N26+N27</f>
        <v>-225265.48</v>
      </c>
      <c r="O28" s="60" t="n">
        <f aca="false">O25+O26+O27</f>
        <v>-290835.90468</v>
      </c>
      <c r="P28" s="60" t="n">
        <f aca="false">P25+P26+P27</f>
        <v>-290835.90468</v>
      </c>
      <c r="Q28" s="60" t="n">
        <f aca="false">Q25+Q26+Q27</f>
        <v>-290835.90468</v>
      </c>
      <c r="R28" s="60" t="n">
        <f aca="false">R25+R26+R27</f>
        <v>-290835.90468</v>
      </c>
      <c r="S28" s="60" t="n">
        <f aca="false">S25+S26+S27</f>
        <v>-290835.90468</v>
      </c>
      <c r="T28" s="60" t="n">
        <f aca="false">T25+T26+T27</f>
        <v>-290835.90468</v>
      </c>
      <c r="U28" s="60" t="n">
        <f aca="false">U25+U26+U27</f>
        <v>-290835.90468</v>
      </c>
      <c r="V28" s="60" t="n">
        <f aca="false">V25+V26+V27</f>
        <v>-290835.90468</v>
      </c>
      <c r="W28" s="60" t="n">
        <f aca="false">W25+W26+W27</f>
        <v>-290835.90468</v>
      </c>
      <c r="X28" s="60" t="n">
        <f aca="false">X25+X26+X27</f>
        <v>-290835.90468</v>
      </c>
      <c r="Y28" s="60" t="n">
        <f aca="false">Y25+Y26+Y27</f>
        <v>-290835.90468</v>
      </c>
      <c r="Z28" s="60" t="n">
        <f aca="false">Z25+Z26+Z27</f>
        <v>-290835.90468</v>
      </c>
      <c r="AA28" s="60" t="n">
        <f aca="false">AA25+AA26+AA27</f>
        <v>-376087.18408908</v>
      </c>
      <c r="AB28" s="60" t="n">
        <f aca="false">AB25+AB26+AB27</f>
        <v>-376087.18408908</v>
      </c>
      <c r="AC28" s="60" t="n">
        <f aca="false">AC25+AC26+AC27</f>
        <v>-376087.18408908</v>
      </c>
      <c r="AD28" s="60" t="n">
        <f aca="false">AD25+AD26+AD27</f>
        <v>-376087.18408908</v>
      </c>
      <c r="AE28" s="60" t="n">
        <f aca="false">AE25+AE26+AE27</f>
        <v>-376087.18408908</v>
      </c>
      <c r="AF28" s="60" t="n">
        <f aca="false">AF25+AF26+AF27</f>
        <v>-376087.18408908</v>
      </c>
      <c r="AG28" s="60" t="n">
        <f aca="false">AG25+AG26+AG27</f>
        <v>-376087.18408908</v>
      </c>
      <c r="AH28" s="60" t="n">
        <f aca="false">AH25+AH26+AH27</f>
        <v>-376087.18408908</v>
      </c>
      <c r="AI28" s="60" t="n">
        <f aca="false">AI25+AI26+AI27</f>
        <v>-376087.18408908</v>
      </c>
      <c r="AJ28" s="60" t="n">
        <f aca="false">AJ25+AJ26+AJ27</f>
        <v>-376087.18408908</v>
      </c>
      <c r="AK28" s="60" t="n">
        <f aca="false">AK25+AK26+AK27</f>
        <v>-376087.18408908</v>
      </c>
      <c r="AL28" s="60" t="n">
        <f aca="false">AL25+AL26+AL27</f>
        <v>-376087.18408908</v>
      </c>
      <c r="AM28" s="60" t="n">
        <f aca="false">AM25+AM26+AM27</f>
        <v>-487089.913440362</v>
      </c>
      <c r="AN28" s="60" t="n">
        <f aca="false">AN25+AN26+AN27</f>
        <v>-487089.913440362</v>
      </c>
      <c r="AO28" s="60" t="n">
        <f aca="false">AO25+AO26+AO27</f>
        <v>-487089.913440362</v>
      </c>
      <c r="AP28" s="60" t="n">
        <f aca="false">AP25+AP26+AP27</f>
        <v>-487089.913440362</v>
      </c>
      <c r="AQ28" s="60" t="n">
        <f aca="false">AQ25+AQ26+AQ27</f>
        <v>-487089.913440362</v>
      </c>
      <c r="AR28" s="60" t="n">
        <f aca="false">AR25+AR26+AR27</f>
        <v>-487089.913440362</v>
      </c>
      <c r="AS28" s="60" t="n">
        <f aca="false">AS25+AS26+AS27</f>
        <v>-487089.913440362</v>
      </c>
      <c r="AT28" s="60" t="n">
        <f aca="false">AT25+AT26+AT27</f>
        <v>-487089.913440362</v>
      </c>
      <c r="AU28" s="60" t="n">
        <f aca="false">AU25+AU26+AU27</f>
        <v>-487089.913440362</v>
      </c>
      <c r="AV28" s="60" t="n">
        <f aca="false">AV25+AV26+AV27</f>
        <v>-487089.913440362</v>
      </c>
      <c r="AW28" s="60" t="n">
        <f aca="false">AW25+AW26+AW27</f>
        <v>-487089.913440362</v>
      </c>
      <c r="AX28" s="60" t="n">
        <f aca="false">AX25+AX26+AX27</f>
        <v>-487089.913440362</v>
      </c>
      <c r="AY28" s="60" t="n">
        <f aca="false">AY25+AY26+AY27</f>
        <v>-631830.733092769</v>
      </c>
      <c r="AZ28" s="60" t="n">
        <f aca="false">AZ25+AZ26+AZ27</f>
        <v>-631830.733092769</v>
      </c>
      <c r="BA28" s="60" t="n">
        <f aca="false">BA25+BA26+BA27</f>
        <v>-631830.733092769</v>
      </c>
      <c r="BB28" s="60" t="n">
        <f aca="false">BB25+BB26+BB27</f>
        <v>-631830.733092769</v>
      </c>
      <c r="BC28" s="60" t="n">
        <f aca="false">BC25+BC26+BC27</f>
        <v>-631830.733092769</v>
      </c>
      <c r="BD28" s="60" t="n">
        <f aca="false">BD25+BD26+BD27</f>
        <v>-631830.733092769</v>
      </c>
      <c r="BE28" s="60" t="n">
        <f aca="false">BE25+BE26+BE27</f>
        <v>-631830.733092769</v>
      </c>
      <c r="BF28" s="60" t="n">
        <f aca="false">BF25+BF26+BF27</f>
        <v>-631830.733092769</v>
      </c>
      <c r="BG28" s="60" t="n">
        <f aca="false">BG25+BG26+BG27</f>
        <v>-631830.733092769</v>
      </c>
      <c r="BH28" s="60" t="n">
        <f aca="false">BH25+BH26+BH27</f>
        <v>-631830.733092769</v>
      </c>
      <c r="BI28" s="60" t="n">
        <f aca="false">BI25+BI26+BI27</f>
        <v>-631830.733092769</v>
      </c>
      <c r="BJ28" s="60" t="n">
        <f aca="false">BJ25+BJ26+BJ27</f>
        <v>-631830.733092769</v>
      </c>
    </row>
    <row r="29" customFormat="false" ht="15" hidden="false" customHeight="false" outlineLevel="0" collapsed="false">
      <c r="A29" s="101" t="s">
        <v>43</v>
      </c>
      <c r="C29" s="54" t="n">
        <f aca="false">C22+C28</f>
        <v>150250.52</v>
      </c>
      <c r="D29" s="54" t="n">
        <f aca="false">D22+D28</f>
        <v>150250.52</v>
      </c>
      <c r="E29" s="54" t="n">
        <f aca="false">E22+E28</f>
        <v>150250.52</v>
      </c>
      <c r="F29" s="54" t="n">
        <f aca="false">F22+F28</f>
        <v>150250.52</v>
      </c>
      <c r="G29" s="54" t="n">
        <f aca="false">G22+G28</f>
        <v>150250.52</v>
      </c>
      <c r="H29" s="54" t="n">
        <f aca="false">H22+H28</f>
        <v>150250.52</v>
      </c>
      <c r="I29" s="54" t="n">
        <f aca="false">I22+I28</f>
        <v>150250.52</v>
      </c>
      <c r="J29" s="54" t="n">
        <f aca="false">J22+J28</f>
        <v>150250.52</v>
      </c>
      <c r="K29" s="54" t="n">
        <f aca="false">K22+K28</f>
        <v>150250.52</v>
      </c>
      <c r="L29" s="54" t="n">
        <f aca="false">L22+L28</f>
        <v>150250.52</v>
      </c>
      <c r="M29" s="54" t="n">
        <f aca="false">M22+M28</f>
        <v>150250.52</v>
      </c>
      <c r="N29" s="54" t="n">
        <f aca="false">N22+N28</f>
        <v>150250.52</v>
      </c>
      <c r="O29" s="54" t="n">
        <f aca="false">O22+O28</f>
        <v>195494.25132</v>
      </c>
      <c r="P29" s="54" t="n">
        <f aca="false">P22+P28</f>
        <v>195494.25132</v>
      </c>
      <c r="Q29" s="54" t="n">
        <f aca="false">Q22+Q28</f>
        <v>195494.25132</v>
      </c>
      <c r="R29" s="54" t="n">
        <f aca="false">R22+R28</f>
        <v>195494.25132</v>
      </c>
      <c r="S29" s="54" t="n">
        <f aca="false">S22+S28</f>
        <v>195494.25132</v>
      </c>
      <c r="T29" s="54" t="n">
        <f aca="false">T22+T28</f>
        <v>195494.25132</v>
      </c>
      <c r="U29" s="54" t="n">
        <f aca="false">U22+U28</f>
        <v>195494.25132</v>
      </c>
      <c r="V29" s="54" t="n">
        <f aca="false">V22+V28</f>
        <v>195494.25132</v>
      </c>
      <c r="W29" s="54" t="n">
        <f aca="false">W22+W28</f>
        <v>195494.25132</v>
      </c>
      <c r="X29" s="54" t="n">
        <f aca="false">X22+X28</f>
        <v>195494.25132</v>
      </c>
      <c r="Y29" s="54" t="n">
        <f aca="false">Y22+Y28</f>
        <v>195494.25132</v>
      </c>
      <c r="Z29" s="54" t="n">
        <f aca="false">Z22+Z28</f>
        <v>195494.25132</v>
      </c>
      <c r="AA29" s="54" t="n">
        <f aca="false">AA22+AA28</f>
        <v>254732.48554692</v>
      </c>
      <c r="AB29" s="54" t="n">
        <f aca="false">AB22+AB28</f>
        <v>254732.48554692</v>
      </c>
      <c r="AC29" s="54" t="n">
        <f aca="false">AC22+AC28</f>
        <v>254732.48554692</v>
      </c>
      <c r="AD29" s="54" t="n">
        <f aca="false">AD22+AD28</f>
        <v>254732.48554692</v>
      </c>
      <c r="AE29" s="54" t="n">
        <f aca="false">AE22+AE28</f>
        <v>254732.48554692</v>
      </c>
      <c r="AF29" s="54" t="n">
        <f aca="false">AF22+AF28</f>
        <v>254732.48554692</v>
      </c>
      <c r="AG29" s="54" t="n">
        <f aca="false">AG22+AG28</f>
        <v>254732.48554692</v>
      </c>
      <c r="AH29" s="54" t="n">
        <f aca="false">AH22+AH28</f>
        <v>254732.48554692</v>
      </c>
      <c r="AI29" s="54" t="n">
        <f aca="false">AI22+AI28</f>
        <v>254732.48554692</v>
      </c>
      <c r="AJ29" s="54" t="n">
        <f aca="false">AJ22+AJ28</f>
        <v>254732.48554692</v>
      </c>
      <c r="AK29" s="54" t="n">
        <f aca="false">AK22+AK28</f>
        <v>254732.48554692</v>
      </c>
      <c r="AL29" s="54" t="n">
        <f aca="false">AL22+AL28</f>
        <v>254732.48554692</v>
      </c>
      <c r="AM29" s="54" t="n">
        <f aca="false">AM22+AM28</f>
        <v>332392.382371714</v>
      </c>
      <c r="AN29" s="54" t="n">
        <f aca="false">AN22+AN28</f>
        <v>332392.382371714</v>
      </c>
      <c r="AO29" s="54" t="n">
        <f aca="false">AO22+AO28</f>
        <v>332392.382371714</v>
      </c>
      <c r="AP29" s="54" t="n">
        <f aca="false">AP22+AP28</f>
        <v>332392.382371714</v>
      </c>
      <c r="AQ29" s="54" t="n">
        <f aca="false">AQ22+AQ28</f>
        <v>332392.382371714</v>
      </c>
      <c r="AR29" s="54" t="n">
        <f aca="false">AR22+AR28</f>
        <v>332392.382371714</v>
      </c>
      <c r="AS29" s="54" t="n">
        <f aca="false">AS22+AS28</f>
        <v>332392.382371714</v>
      </c>
      <c r="AT29" s="54" t="n">
        <f aca="false">AT22+AT28</f>
        <v>332392.382371714</v>
      </c>
      <c r="AU29" s="54" t="n">
        <f aca="false">AU22+AU28</f>
        <v>332392.382371714</v>
      </c>
      <c r="AV29" s="54" t="n">
        <f aca="false">AV22+AV28</f>
        <v>332392.382371714</v>
      </c>
      <c r="AW29" s="54" t="n">
        <f aca="false">AW22+AW28</f>
        <v>332392.382371714</v>
      </c>
      <c r="AX29" s="54" t="n">
        <f aca="false">AX22+AX28</f>
        <v>332392.382371714</v>
      </c>
      <c r="AY29" s="54" t="n">
        <f aca="false">AY22+AY28</f>
        <v>434327.102097068</v>
      </c>
      <c r="AZ29" s="54" t="n">
        <f aca="false">AZ22+AZ28</f>
        <v>434327.102097068</v>
      </c>
      <c r="BA29" s="54" t="n">
        <f aca="false">BA22+BA28</f>
        <v>434327.102097068</v>
      </c>
      <c r="BB29" s="54" t="n">
        <f aca="false">BB22+BB28</f>
        <v>434327.102097068</v>
      </c>
      <c r="BC29" s="54" t="n">
        <f aca="false">BC22+BC28</f>
        <v>434327.102097068</v>
      </c>
      <c r="BD29" s="54" t="n">
        <f aca="false">BD22+BD28</f>
        <v>434327.102097068</v>
      </c>
      <c r="BE29" s="54" t="n">
        <f aca="false">BE22+BE28</f>
        <v>434327.102097068</v>
      </c>
      <c r="BF29" s="54" t="n">
        <f aca="false">BF22+BF28</f>
        <v>434327.102097068</v>
      </c>
      <c r="BG29" s="54" t="n">
        <f aca="false">BG22+BG28</f>
        <v>434327.102097068</v>
      </c>
      <c r="BH29" s="54" t="n">
        <f aca="false">BH22+BH28</f>
        <v>434327.102097068</v>
      </c>
      <c r="BI29" s="54" t="n">
        <f aca="false">BI22+BI28</f>
        <v>434327.102097068</v>
      </c>
      <c r="BJ29" s="54" t="n">
        <f aca="false">BJ22+BJ28</f>
        <v>434327.102097068</v>
      </c>
    </row>
    <row r="31" customFormat="false" ht="15.75" hidden="false" customHeight="true" outlineLevel="0" collapsed="false">
      <c r="A31" s="7" t="s">
        <v>45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301</v>
      </c>
      <c r="C32" s="53" t="n">
        <f aca="false">Headcount!C19-Headcount!C15-Headcount!C16</f>
        <v>-36500</v>
      </c>
      <c r="D32" s="53" t="n">
        <f aca="false">Headcount!D19-Headcount!D15-Headcount!D16</f>
        <v>-36500</v>
      </c>
      <c r="E32" s="53" t="n">
        <f aca="false">Headcount!E19-Headcount!E15-Headcount!E16</f>
        <v>-36500</v>
      </c>
      <c r="F32" s="53" t="n">
        <f aca="false">Headcount!F19-Headcount!F15-Headcount!F16</f>
        <v>-36500</v>
      </c>
      <c r="G32" s="53" t="n">
        <f aca="false">Headcount!G19-Headcount!G15-Headcount!G16</f>
        <v>-36500</v>
      </c>
      <c r="H32" s="53" t="n">
        <f aca="false">Headcount!H19-Headcount!H15-Headcount!H16</f>
        <v>-36500</v>
      </c>
      <c r="I32" s="53" t="n">
        <f aca="false">Headcount!I19-Headcount!I15-Headcount!I16</f>
        <v>-36500</v>
      </c>
      <c r="J32" s="53" t="n">
        <f aca="false">Headcount!J19-Headcount!J15-Headcount!J16</f>
        <v>-36500</v>
      </c>
      <c r="K32" s="53" t="n">
        <f aca="false">Headcount!K19-Headcount!K15-Headcount!K16</f>
        <v>-36500</v>
      </c>
      <c r="L32" s="53" t="n">
        <f aca="false">Headcount!L19-Headcount!L15-Headcount!L16</f>
        <v>-36500</v>
      </c>
      <c r="M32" s="53" t="n">
        <f aca="false">Headcount!M19-Headcount!M15-Headcount!M16</f>
        <v>-36500</v>
      </c>
      <c r="N32" s="53" t="n">
        <f aca="false">Headcount!N19-Headcount!N15-Headcount!N16</f>
        <v>-36500</v>
      </c>
      <c r="O32" s="53" t="n">
        <f aca="false">Headcount!O19-Headcount!O15-Headcount!O16</f>
        <v>-44109.75</v>
      </c>
      <c r="P32" s="53" t="n">
        <f aca="false">Headcount!P19-Headcount!P15-Headcount!P16</f>
        <v>-44109.75</v>
      </c>
      <c r="Q32" s="53" t="n">
        <f aca="false">Headcount!Q19-Headcount!Q15-Headcount!Q16</f>
        <v>-44109.75</v>
      </c>
      <c r="R32" s="53" t="n">
        <f aca="false">Headcount!R19-Headcount!R15-Headcount!R16</f>
        <v>-44109.75</v>
      </c>
      <c r="S32" s="53" t="n">
        <f aca="false">Headcount!S19-Headcount!S15-Headcount!S16</f>
        <v>-44109.75</v>
      </c>
      <c r="T32" s="53" t="n">
        <f aca="false">Headcount!T19-Headcount!T15-Headcount!T16</f>
        <v>-44109.75</v>
      </c>
      <c r="U32" s="53" t="n">
        <f aca="false">Headcount!U19-Headcount!U15-Headcount!U16</f>
        <v>-44109.75</v>
      </c>
      <c r="V32" s="53" t="n">
        <f aca="false">Headcount!V19-Headcount!V15-Headcount!V16</f>
        <v>-44109.75</v>
      </c>
      <c r="W32" s="53" t="n">
        <f aca="false">Headcount!W19-Headcount!W15-Headcount!W16</f>
        <v>-44109.75</v>
      </c>
      <c r="X32" s="53" t="n">
        <f aca="false">Headcount!X19-Headcount!X15-Headcount!X16</f>
        <v>-44109.75</v>
      </c>
      <c r="Y32" s="53" t="n">
        <f aca="false">Headcount!Y19-Headcount!Y15-Headcount!Y16</f>
        <v>-44109.75</v>
      </c>
      <c r="Z32" s="53" t="n">
        <f aca="false">Headcount!Z19-Headcount!Z15-Headcount!Z16</f>
        <v>-44109.75</v>
      </c>
      <c r="AA32" s="53" t="n">
        <f aca="false">Headcount!AA19-Headcount!AA15-Headcount!AA16</f>
        <v>-53330.116875</v>
      </c>
      <c r="AB32" s="53" t="n">
        <f aca="false">Headcount!AB19-Headcount!AB15-Headcount!AB16</f>
        <v>-53330.116875</v>
      </c>
      <c r="AC32" s="53" t="n">
        <f aca="false">Headcount!AC19-Headcount!AC15-Headcount!AC16</f>
        <v>-53330.116875</v>
      </c>
      <c r="AD32" s="53" t="n">
        <f aca="false">Headcount!AD19-Headcount!AD15-Headcount!AD16</f>
        <v>-53330.116875</v>
      </c>
      <c r="AE32" s="53" t="n">
        <f aca="false">Headcount!AE19-Headcount!AE15-Headcount!AE16</f>
        <v>-53330.116875</v>
      </c>
      <c r="AF32" s="53" t="n">
        <f aca="false">Headcount!AF19-Headcount!AF15-Headcount!AF16</f>
        <v>-53330.116875</v>
      </c>
      <c r="AG32" s="53" t="n">
        <f aca="false">Headcount!AG19-Headcount!AG15-Headcount!AG16</f>
        <v>-53330.116875</v>
      </c>
      <c r="AH32" s="53" t="n">
        <f aca="false">Headcount!AH19-Headcount!AH15-Headcount!AH16</f>
        <v>-53330.116875</v>
      </c>
      <c r="AI32" s="53" t="n">
        <f aca="false">Headcount!AI19-Headcount!AI15-Headcount!AI16</f>
        <v>-53330.116875</v>
      </c>
      <c r="AJ32" s="53" t="n">
        <f aca="false">Headcount!AJ19-Headcount!AJ15-Headcount!AJ16</f>
        <v>-53330.116875</v>
      </c>
      <c r="AK32" s="53" t="n">
        <f aca="false">Headcount!AK19-Headcount!AK15-Headcount!AK16</f>
        <v>-53330.116875</v>
      </c>
      <c r="AL32" s="53" t="n">
        <f aca="false">Headcount!AL19-Headcount!AL15-Headcount!AL16</f>
        <v>-53330.116875</v>
      </c>
      <c r="AM32" s="53" t="n">
        <f aca="false">Headcount!AM19-Headcount!AM15-Headcount!AM16</f>
        <v>-64507.0212864374</v>
      </c>
      <c r="AN32" s="53" t="n">
        <f aca="false">Headcount!AN19-Headcount!AN15-Headcount!AN16</f>
        <v>-64507.0212864374</v>
      </c>
      <c r="AO32" s="53" t="n">
        <f aca="false">Headcount!AO19-Headcount!AO15-Headcount!AO16</f>
        <v>-64507.0212864374</v>
      </c>
      <c r="AP32" s="53" t="n">
        <f aca="false">Headcount!AP19-Headcount!AP15-Headcount!AP16</f>
        <v>-64507.0212864374</v>
      </c>
      <c r="AQ32" s="53" t="n">
        <f aca="false">Headcount!AQ19-Headcount!AQ15-Headcount!AQ16</f>
        <v>-64507.0212864374</v>
      </c>
      <c r="AR32" s="53" t="n">
        <f aca="false">Headcount!AR19-Headcount!AR15-Headcount!AR16</f>
        <v>-64507.0212864374</v>
      </c>
      <c r="AS32" s="53" t="n">
        <f aca="false">Headcount!AS19-Headcount!AS15-Headcount!AS16</f>
        <v>-64507.0212864374</v>
      </c>
      <c r="AT32" s="53" t="n">
        <f aca="false">Headcount!AT19-Headcount!AT15-Headcount!AT16</f>
        <v>-64507.0212864374</v>
      </c>
      <c r="AU32" s="53" t="n">
        <f aca="false">Headcount!AU19-Headcount!AU15-Headcount!AU16</f>
        <v>-64507.0212864374</v>
      </c>
      <c r="AV32" s="53" t="n">
        <f aca="false">Headcount!AV19-Headcount!AV15-Headcount!AV16</f>
        <v>-64507.0212864374</v>
      </c>
      <c r="AW32" s="53" t="n">
        <f aca="false">Headcount!AW19-Headcount!AW15-Headcount!AW16</f>
        <v>-64507.0212864374</v>
      </c>
      <c r="AX32" s="53" t="n">
        <f aca="false">Headcount!AX19-Headcount!AX15-Headcount!AX16</f>
        <v>-64507.0212864374</v>
      </c>
      <c r="AY32" s="53" t="n">
        <f aca="false">Headcount!AY19-Headcount!AY15-Headcount!AY16</f>
        <v>-78061.7140539133</v>
      </c>
      <c r="AZ32" s="53" t="n">
        <f aca="false">Headcount!AZ19-Headcount!AZ15-Headcount!AZ16</f>
        <v>-78061.7140539133</v>
      </c>
      <c r="BA32" s="53" t="n">
        <f aca="false">Headcount!BA19-Headcount!BA15-Headcount!BA16</f>
        <v>-78061.7140539133</v>
      </c>
      <c r="BB32" s="53" t="n">
        <f aca="false">Headcount!BB19-Headcount!BB15-Headcount!BB16</f>
        <v>-78061.7140539133</v>
      </c>
      <c r="BC32" s="53" t="n">
        <f aca="false">Headcount!BC19-Headcount!BC15-Headcount!BC16</f>
        <v>-78061.7140539133</v>
      </c>
      <c r="BD32" s="53" t="n">
        <f aca="false">Headcount!BD19-Headcount!BD15-Headcount!BD16</f>
        <v>-78061.7140539133</v>
      </c>
      <c r="BE32" s="53" t="n">
        <f aca="false">Headcount!BE19-Headcount!BE15-Headcount!BE16</f>
        <v>-78061.7140539133</v>
      </c>
      <c r="BF32" s="53" t="n">
        <f aca="false">Headcount!BF19-Headcount!BF15-Headcount!BF16</f>
        <v>-78061.7140539133</v>
      </c>
      <c r="BG32" s="53" t="n">
        <f aca="false">Headcount!BG19-Headcount!BG15-Headcount!BG16</f>
        <v>-78061.7140539133</v>
      </c>
      <c r="BH32" s="53" t="n">
        <f aca="false">Headcount!BH19-Headcount!BH15-Headcount!BH16</f>
        <v>-78061.7140539133</v>
      </c>
      <c r="BI32" s="53" t="n">
        <f aca="false">Headcount!BI19-Headcount!BI15-Headcount!BI16</f>
        <v>-78061.7140539133</v>
      </c>
      <c r="BJ32" s="53" t="n">
        <f aca="false">Headcount!BJ19-Headcount!BJ15-Headcount!BJ16</f>
        <v>-78061.7140539133</v>
      </c>
    </row>
    <row r="33" customFormat="false" ht="15" hidden="false" customHeight="false" outlineLevel="0" collapsed="false">
      <c r="A33" s="6" t="s">
        <v>302</v>
      </c>
      <c r="C33" s="53" t="n">
        <f aca="false">-Inputs!$E$28*1</f>
        <v>-8000</v>
      </c>
      <c r="D33" s="53" t="n">
        <f aca="false">-Inputs!$E$28*1</f>
        <v>-8000</v>
      </c>
      <c r="E33" s="53" t="n">
        <f aca="false">-Inputs!$E$28*1</f>
        <v>-8000</v>
      </c>
      <c r="F33" s="53" t="n">
        <f aca="false">-Inputs!$E$28*1</f>
        <v>-8000</v>
      </c>
      <c r="G33" s="53" t="n">
        <f aca="false">-Inputs!$E$28*1</f>
        <v>-8000</v>
      </c>
      <c r="H33" s="53" t="n">
        <f aca="false">-Inputs!$E$28*1</f>
        <v>-8000</v>
      </c>
      <c r="I33" s="53" t="n">
        <f aca="false">-Inputs!$E$28*1</f>
        <v>-8000</v>
      </c>
      <c r="J33" s="53" t="n">
        <f aca="false">-Inputs!$E$28*1</f>
        <v>-8000</v>
      </c>
      <c r="K33" s="53" t="n">
        <f aca="false">-Inputs!$E$28*1</f>
        <v>-8000</v>
      </c>
      <c r="L33" s="53" t="n">
        <f aca="false">-Inputs!$E$28*1</f>
        <v>-8000</v>
      </c>
      <c r="M33" s="53" t="n">
        <f aca="false">-Inputs!$E$28*1</f>
        <v>-8000</v>
      </c>
      <c r="N33" s="53" t="n">
        <f aca="false">-Inputs!$E$28*1</f>
        <v>-8000</v>
      </c>
      <c r="O33" s="53" t="n">
        <f aca="false">-Inputs!$E$28*1</f>
        <v>-8000</v>
      </c>
      <c r="P33" s="53" t="n">
        <f aca="false">-Inputs!$E$28*1</f>
        <v>-8000</v>
      </c>
      <c r="Q33" s="53" t="n">
        <f aca="false">-Inputs!$E$28*1</f>
        <v>-8000</v>
      </c>
      <c r="R33" s="53" t="n">
        <f aca="false">-Inputs!$E$28*1</f>
        <v>-8000</v>
      </c>
      <c r="S33" s="53" t="n">
        <f aca="false">-Inputs!$E$28*1</f>
        <v>-8000</v>
      </c>
      <c r="T33" s="53" t="n">
        <f aca="false">-Inputs!$E$28*1</f>
        <v>-8000</v>
      </c>
      <c r="U33" s="53" t="n">
        <f aca="false">-Inputs!$E$28*1</f>
        <v>-8000</v>
      </c>
      <c r="V33" s="53" t="n">
        <f aca="false">-Inputs!$E$28*1</f>
        <v>-8000</v>
      </c>
      <c r="W33" s="53" t="n">
        <f aca="false">-Inputs!$E$28*1</f>
        <v>-8000</v>
      </c>
      <c r="X33" s="53" t="n">
        <f aca="false">-Inputs!$E$28*1</f>
        <v>-8000</v>
      </c>
      <c r="Y33" s="53" t="n">
        <f aca="false">-Inputs!$E$28*1</f>
        <v>-8000</v>
      </c>
      <c r="Z33" s="53" t="n">
        <f aca="false">-Inputs!$E$28*1</f>
        <v>-8000</v>
      </c>
      <c r="AA33" s="53" t="n">
        <f aca="false">-Inputs!$E$28*1</f>
        <v>-8000</v>
      </c>
      <c r="AB33" s="53" t="n">
        <f aca="false">-Inputs!$E$28*1</f>
        <v>-8000</v>
      </c>
      <c r="AC33" s="53" t="n">
        <f aca="false">-Inputs!$E$28*1</f>
        <v>-8000</v>
      </c>
      <c r="AD33" s="53" t="n">
        <f aca="false">-Inputs!$E$28*1</f>
        <v>-8000</v>
      </c>
      <c r="AE33" s="53" t="n">
        <f aca="false">-Inputs!$E$28*1</f>
        <v>-8000</v>
      </c>
      <c r="AF33" s="53" t="n">
        <f aca="false">-Inputs!$E$28*1</f>
        <v>-8000</v>
      </c>
      <c r="AG33" s="53" t="n">
        <f aca="false">-Inputs!$E$28*1</f>
        <v>-8000</v>
      </c>
      <c r="AH33" s="53" t="n">
        <f aca="false">-Inputs!$E$28*1</f>
        <v>-8000</v>
      </c>
      <c r="AI33" s="53" t="n">
        <f aca="false">-Inputs!$E$28*1</f>
        <v>-8000</v>
      </c>
      <c r="AJ33" s="53" t="n">
        <f aca="false">-Inputs!$E$28*1</f>
        <v>-8000</v>
      </c>
      <c r="AK33" s="53" t="n">
        <f aca="false">-Inputs!$E$28*1</f>
        <v>-8000</v>
      </c>
      <c r="AL33" s="53" t="n">
        <f aca="false">-Inputs!$E$28*1</f>
        <v>-8000</v>
      </c>
      <c r="AM33" s="53" t="n">
        <f aca="false">-Inputs!$E$28*1</f>
        <v>-8000</v>
      </c>
      <c r="AN33" s="53" t="n">
        <f aca="false">-Inputs!$E$28*1</f>
        <v>-8000</v>
      </c>
      <c r="AO33" s="53" t="n">
        <f aca="false">-Inputs!$E$28*1</f>
        <v>-8000</v>
      </c>
      <c r="AP33" s="53" t="n">
        <f aca="false">-Inputs!$E$28*1</f>
        <v>-8000</v>
      </c>
      <c r="AQ33" s="53" t="n">
        <f aca="false">-Inputs!$E$28*1</f>
        <v>-8000</v>
      </c>
      <c r="AR33" s="53" t="n">
        <f aca="false">-Inputs!$E$28*1</f>
        <v>-8000</v>
      </c>
      <c r="AS33" s="53" t="n">
        <f aca="false">-Inputs!$E$28*1</f>
        <v>-8000</v>
      </c>
      <c r="AT33" s="53" t="n">
        <f aca="false">-Inputs!$E$28*1</f>
        <v>-8000</v>
      </c>
      <c r="AU33" s="53" t="n">
        <f aca="false">-Inputs!$E$28*1</f>
        <v>-8000</v>
      </c>
      <c r="AV33" s="53" t="n">
        <f aca="false">-Inputs!$E$28*1</f>
        <v>-8000</v>
      </c>
      <c r="AW33" s="53" t="n">
        <f aca="false">-Inputs!$E$28*1</f>
        <v>-8000</v>
      </c>
      <c r="AX33" s="53" t="n">
        <f aca="false">-Inputs!$E$28*1</f>
        <v>-8000</v>
      </c>
      <c r="AY33" s="53" t="n">
        <f aca="false">-Inputs!$E$28*1</f>
        <v>-8000</v>
      </c>
      <c r="AZ33" s="53" t="n">
        <f aca="false">-Inputs!$E$28*1</f>
        <v>-8000</v>
      </c>
      <c r="BA33" s="53" t="n">
        <f aca="false">-Inputs!$E$28*1</f>
        <v>-8000</v>
      </c>
      <c r="BB33" s="53" t="n">
        <f aca="false">-Inputs!$E$28*1</f>
        <v>-8000</v>
      </c>
      <c r="BC33" s="53" t="n">
        <f aca="false">-Inputs!$E$28*1</f>
        <v>-8000</v>
      </c>
      <c r="BD33" s="53" t="n">
        <f aca="false">-Inputs!$E$28*1</f>
        <v>-8000</v>
      </c>
      <c r="BE33" s="53" t="n">
        <f aca="false">-Inputs!$E$28*1</f>
        <v>-8000</v>
      </c>
      <c r="BF33" s="53" t="n">
        <f aca="false">-Inputs!$E$28*1</f>
        <v>-8000</v>
      </c>
      <c r="BG33" s="53" t="n">
        <f aca="false">-Inputs!$E$28*1</f>
        <v>-8000</v>
      </c>
      <c r="BH33" s="53" t="n">
        <f aca="false">-Inputs!$E$28*1</f>
        <v>-8000</v>
      </c>
      <c r="BI33" s="53" t="n">
        <f aca="false">-Inputs!$E$28*1</f>
        <v>-8000</v>
      </c>
      <c r="BJ33" s="53" t="n">
        <f aca="false">-Inputs!$E$28*1</f>
        <v>-8000</v>
      </c>
    </row>
    <row r="34" customFormat="false" ht="15" hidden="false" customHeight="false" outlineLevel="0" collapsed="false">
      <c r="A34" s="6" t="s">
        <v>303</v>
      </c>
      <c r="C34" s="53" t="n">
        <f aca="false">-Headcount!C12*Inputs!$E$27*1</f>
        <v>-4200</v>
      </c>
      <c r="D34" s="53" t="n">
        <f aca="false">-Headcount!D12*Inputs!$E$27*1</f>
        <v>-4200</v>
      </c>
      <c r="E34" s="53" t="n">
        <f aca="false">-Headcount!E12*Inputs!$E$27*1</f>
        <v>-4200</v>
      </c>
      <c r="F34" s="53" t="n">
        <f aca="false">-Headcount!F12*Inputs!$E$27*1</f>
        <v>-4200</v>
      </c>
      <c r="G34" s="53" t="n">
        <f aca="false">-Headcount!G12*Inputs!$E$27*1</f>
        <v>-4200</v>
      </c>
      <c r="H34" s="53" t="n">
        <f aca="false">-Headcount!H12*Inputs!$E$27*1</f>
        <v>-4200</v>
      </c>
      <c r="I34" s="53" t="n">
        <f aca="false">-Headcount!I12*Inputs!$E$27*1</f>
        <v>-4200</v>
      </c>
      <c r="J34" s="53" t="n">
        <f aca="false">-Headcount!J12*Inputs!$E$27*1</f>
        <v>-4200</v>
      </c>
      <c r="K34" s="53" t="n">
        <f aca="false">-Headcount!K12*Inputs!$E$27*1</f>
        <v>-4200</v>
      </c>
      <c r="L34" s="53" t="n">
        <f aca="false">-Headcount!L12*Inputs!$E$27*1</f>
        <v>-4200</v>
      </c>
      <c r="M34" s="53" t="n">
        <f aca="false">-Headcount!M12*Inputs!$E$27*1</f>
        <v>-4200</v>
      </c>
      <c r="N34" s="53" t="n">
        <f aca="false">-Headcount!N12*Inputs!$E$27*1</f>
        <v>-4200</v>
      </c>
      <c r="O34" s="53" t="n">
        <f aca="false">-Headcount!O12*Inputs!$E$27*1</f>
        <v>-5250</v>
      </c>
      <c r="P34" s="53" t="n">
        <f aca="false">-Headcount!P12*Inputs!$E$27*1</f>
        <v>-5250</v>
      </c>
      <c r="Q34" s="53" t="n">
        <f aca="false">-Headcount!Q12*Inputs!$E$27*1</f>
        <v>-5250</v>
      </c>
      <c r="R34" s="53" t="n">
        <f aca="false">-Headcount!R12*Inputs!$E$27*1</f>
        <v>-5250</v>
      </c>
      <c r="S34" s="53" t="n">
        <f aca="false">-Headcount!S12*Inputs!$E$27*1</f>
        <v>-5250</v>
      </c>
      <c r="T34" s="53" t="n">
        <f aca="false">-Headcount!T12*Inputs!$E$27*1</f>
        <v>-5250</v>
      </c>
      <c r="U34" s="53" t="n">
        <f aca="false">-Headcount!U12*Inputs!$E$27*1</f>
        <v>-5250</v>
      </c>
      <c r="V34" s="53" t="n">
        <f aca="false">-Headcount!V12*Inputs!$E$27*1</f>
        <v>-5250</v>
      </c>
      <c r="W34" s="53" t="n">
        <f aca="false">-Headcount!W12*Inputs!$E$27*1</f>
        <v>-5250</v>
      </c>
      <c r="X34" s="53" t="n">
        <f aca="false">-Headcount!X12*Inputs!$E$27*1</f>
        <v>-5250</v>
      </c>
      <c r="Y34" s="53" t="n">
        <f aca="false">-Headcount!Y12*Inputs!$E$27*1</f>
        <v>-5250</v>
      </c>
      <c r="Z34" s="53" t="n">
        <f aca="false">-Headcount!Z12*Inputs!$E$27*1</f>
        <v>-5250</v>
      </c>
      <c r="AA34" s="53" t="n">
        <f aca="false">-Headcount!AA12*Inputs!$E$27*1</f>
        <v>-6577.5</v>
      </c>
      <c r="AB34" s="53" t="n">
        <f aca="false">-Headcount!AB12*Inputs!$E$27*1</f>
        <v>-6577.5</v>
      </c>
      <c r="AC34" s="53" t="n">
        <f aca="false">-Headcount!AC12*Inputs!$E$27*1</f>
        <v>-6577.5</v>
      </c>
      <c r="AD34" s="53" t="n">
        <f aca="false">-Headcount!AD12*Inputs!$E$27*1</f>
        <v>-6577.5</v>
      </c>
      <c r="AE34" s="53" t="n">
        <f aca="false">-Headcount!AE12*Inputs!$E$27*1</f>
        <v>-6577.5</v>
      </c>
      <c r="AF34" s="53" t="n">
        <f aca="false">-Headcount!AF12*Inputs!$E$27*1</f>
        <v>-6577.5</v>
      </c>
      <c r="AG34" s="53" t="n">
        <f aca="false">-Headcount!AG12*Inputs!$E$27*1</f>
        <v>-6577.5</v>
      </c>
      <c r="AH34" s="53" t="n">
        <f aca="false">-Headcount!AH12*Inputs!$E$27*1</f>
        <v>-6577.5</v>
      </c>
      <c r="AI34" s="53" t="n">
        <f aca="false">-Headcount!AI12*Inputs!$E$27*1</f>
        <v>-6577.5</v>
      </c>
      <c r="AJ34" s="53" t="n">
        <f aca="false">-Headcount!AJ12*Inputs!$E$27*1</f>
        <v>-6577.5</v>
      </c>
      <c r="AK34" s="53" t="n">
        <f aca="false">-Headcount!AK12*Inputs!$E$27*1</f>
        <v>-6577.5</v>
      </c>
      <c r="AL34" s="53" t="n">
        <f aca="false">-Headcount!AL12*Inputs!$E$27*1</f>
        <v>-6577.5</v>
      </c>
      <c r="AM34" s="53" t="n">
        <f aca="false">-Headcount!AM12*Inputs!$E$27*1</f>
        <v>-8258.925</v>
      </c>
      <c r="AN34" s="53" t="n">
        <f aca="false">-Headcount!AN12*Inputs!$E$27*1</f>
        <v>-8258.925</v>
      </c>
      <c r="AO34" s="53" t="n">
        <f aca="false">-Headcount!AO12*Inputs!$E$27*1</f>
        <v>-8258.925</v>
      </c>
      <c r="AP34" s="53" t="n">
        <f aca="false">-Headcount!AP12*Inputs!$E$27*1</f>
        <v>-8258.925</v>
      </c>
      <c r="AQ34" s="53" t="n">
        <f aca="false">-Headcount!AQ12*Inputs!$E$27*1</f>
        <v>-8258.925</v>
      </c>
      <c r="AR34" s="53" t="n">
        <f aca="false">-Headcount!AR12*Inputs!$E$27*1</f>
        <v>-8258.925</v>
      </c>
      <c r="AS34" s="53" t="n">
        <f aca="false">-Headcount!AS12*Inputs!$E$27*1</f>
        <v>-8258.925</v>
      </c>
      <c r="AT34" s="53" t="n">
        <f aca="false">-Headcount!AT12*Inputs!$E$27*1</f>
        <v>-8258.925</v>
      </c>
      <c r="AU34" s="53" t="n">
        <f aca="false">-Headcount!AU12*Inputs!$E$27*1</f>
        <v>-8258.925</v>
      </c>
      <c r="AV34" s="53" t="n">
        <f aca="false">-Headcount!AV12*Inputs!$E$27*1</f>
        <v>-8258.925</v>
      </c>
      <c r="AW34" s="53" t="n">
        <f aca="false">-Headcount!AW12*Inputs!$E$27*1</f>
        <v>-8258.925</v>
      </c>
      <c r="AX34" s="53" t="n">
        <f aca="false">-Headcount!AX12*Inputs!$E$27*1</f>
        <v>-8258.925</v>
      </c>
      <c r="AY34" s="53" t="n">
        <f aca="false">-Headcount!AY12*Inputs!$E$27*1</f>
        <v>-10392.36375</v>
      </c>
      <c r="AZ34" s="53" t="n">
        <f aca="false">-Headcount!AZ12*Inputs!$E$27*1</f>
        <v>-10392.36375</v>
      </c>
      <c r="BA34" s="53" t="n">
        <f aca="false">-Headcount!BA12*Inputs!$E$27*1</f>
        <v>-10392.36375</v>
      </c>
      <c r="BB34" s="53" t="n">
        <f aca="false">-Headcount!BB12*Inputs!$E$27*1</f>
        <v>-10392.36375</v>
      </c>
      <c r="BC34" s="53" t="n">
        <f aca="false">-Headcount!BC12*Inputs!$E$27*1</f>
        <v>-10392.36375</v>
      </c>
      <c r="BD34" s="53" t="n">
        <f aca="false">-Headcount!BD12*Inputs!$E$27*1</f>
        <v>-10392.36375</v>
      </c>
      <c r="BE34" s="53" t="n">
        <f aca="false">-Headcount!BE12*Inputs!$E$27*1</f>
        <v>-10392.36375</v>
      </c>
      <c r="BF34" s="53" t="n">
        <f aca="false">-Headcount!BF12*Inputs!$E$27*1</f>
        <v>-10392.36375</v>
      </c>
      <c r="BG34" s="53" t="n">
        <f aca="false">-Headcount!BG12*Inputs!$E$27*1</f>
        <v>-10392.36375</v>
      </c>
      <c r="BH34" s="53" t="n">
        <f aca="false">-Headcount!BH12*Inputs!$E$27*1</f>
        <v>-10392.36375</v>
      </c>
      <c r="BI34" s="53" t="n">
        <f aca="false">-Headcount!BI12*Inputs!$E$27*1</f>
        <v>-10392.36375</v>
      </c>
      <c r="BJ34" s="53" t="n">
        <f aca="false">-Headcount!BJ12*Inputs!$E$27*1</f>
        <v>-10392.36375</v>
      </c>
    </row>
    <row r="35" customFormat="false" ht="15" hidden="false" customHeight="false" outlineLevel="0" collapsed="false">
      <c r="A35" s="6" t="s">
        <v>304</v>
      </c>
      <c r="C35" s="53" t="n">
        <f aca="false">-Inputs!$E$29*1</f>
        <v>-8000</v>
      </c>
      <c r="D35" s="53" t="n">
        <f aca="false">-Inputs!$E$29*1</f>
        <v>-8000</v>
      </c>
      <c r="E35" s="53" t="n">
        <f aca="false">-Inputs!$E$29*1</f>
        <v>-8000</v>
      </c>
      <c r="F35" s="53" t="n">
        <f aca="false">-Inputs!$E$29*1</f>
        <v>-8000</v>
      </c>
      <c r="G35" s="53" t="n">
        <f aca="false">-Inputs!$E$29*1</f>
        <v>-8000</v>
      </c>
      <c r="H35" s="53" t="n">
        <f aca="false">-Inputs!$E$29*1</f>
        <v>-8000</v>
      </c>
      <c r="I35" s="53" t="n">
        <f aca="false">-Inputs!$E$29*1</f>
        <v>-8000</v>
      </c>
      <c r="J35" s="53" t="n">
        <f aca="false">-Inputs!$E$29*1</f>
        <v>-8000</v>
      </c>
      <c r="K35" s="53" t="n">
        <f aca="false">-Inputs!$E$29*1</f>
        <v>-8000</v>
      </c>
      <c r="L35" s="53" t="n">
        <f aca="false">-Inputs!$E$29*1</f>
        <v>-8000</v>
      </c>
      <c r="M35" s="53" t="n">
        <f aca="false">-Inputs!$E$29*1</f>
        <v>-8000</v>
      </c>
      <c r="N35" s="53" t="n">
        <f aca="false">-Inputs!$E$29*1</f>
        <v>-8000</v>
      </c>
      <c r="O35" s="53" t="n">
        <f aca="false">-Inputs!$E$29*1</f>
        <v>-8000</v>
      </c>
      <c r="P35" s="53" t="n">
        <f aca="false">-Inputs!$E$29*1</f>
        <v>-8000</v>
      </c>
      <c r="Q35" s="53" t="n">
        <f aca="false">-Inputs!$E$29*1</f>
        <v>-8000</v>
      </c>
      <c r="R35" s="53" t="n">
        <f aca="false">-Inputs!$E$29*1</f>
        <v>-8000</v>
      </c>
      <c r="S35" s="53" t="n">
        <f aca="false">-Inputs!$E$29*1</f>
        <v>-8000</v>
      </c>
      <c r="T35" s="53" t="n">
        <f aca="false">-Inputs!$E$29*1</f>
        <v>-8000</v>
      </c>
      <c r="U35" s="53" t="n">
        <f aca="false">-Inputs!$E$29*1</f>
        <v>-8000</v>
      </c>
      <c r="V35" s="53" t="n">
        <f aca="false">-Inputs!$E$29*1</f>
        <v>-8000</v>
      </c>
      <c r="W35" s="53" t="n">
        <f aca="false">-Inputs!$E$29*1</f>
        <v>-8000</v>
      </c>
      <c r="X35" s="53" t="n">
        <f aca="false">-Inputs!$E$29*1</f>
        <v>-8000</v>
      </c>
      <c r="Y35" s="53" t="n">
        <f aca="false">-Inputs!$E$29*1</f>
        <v>-8000</v>
      </c>
      <c r="Z35" s="53" t="n">
        <f aca="false">-Inputs!$E$29*1</f>
        <v>-8000</v>
      </c>
      <c r="AA35" s="53" t="n">
        <f aca="false">-Inputs!$E$29*1</f>
        <v>-8000</v>
      </c>
      <c r="AB35" s="53" t="n">
        <f aca="false">-Inputs!$E$29*1</f>
        <v>-8000</v>
      </c>
      <c r="AC35" s="53" t="n">
        <f aca="false">-Inputs!$E$29*1</f>
        <v>-8000</v>
      </c>
      <c r="AD35" s="53" t="n">
        <f aca="false">-Inputs!$E$29*1</f>
        <v>-8000</v>
      </c>
      <c r="AE35" s="53" t="n">
        <f aca="false">-Inputs!$E$29*1</f>
        <v>-8000</v>
      </c>
      <c r="AF35" s="53" t="n">
        <f aca="false">-Inputs!$E$29*1</f>
        <v>-8000</v>
      </c>
      <c r="AG35" s="53" t="n">
        <f aca="false">-Inputs!$E$29*1</f>
        <v>-8000</v>
      </c>
      <c r="AH35" s="53" t="n">
        <f aca="false">-Inputs!$E$29*1</f>
        <v>-8000</v>
      </c>
      <c r="AI35" s="53" t="n">
        <f aca="false">-Inputs!$E$29*1</f>
        <v>-8000</v>
      </c>
      <c r="AJ35" s="53" t="n">
        <f aca="false">-Inputs!$E$29*1</f>
        <v>-8000</v>
      </c>
      <c r="AK35" s="53" t="n">
        <f aca="false">-Inputs!$E$29*1</f>
        <v>-8000</v>
      </c>
      <c r="AL35" s="53" t="n">
        <f aca="false">-Inputs!$E$29*1</f>
        <v>-8000</v>
      </c>
      <c r="AM35" s="53" t="n">
        <f aca="false">-Inputs!$E$29*1</f>
        <v>-8000</v>
      </c>
      <c r="AN35" s="53" t="n">
        <f aca="false">-Inputs!$E$29*1</f>
        <v>-8000</v>
      </c>
      <c r="AO35" s="53" t="n">
        <f aca="false">-Inputs!$E$29*1</f>
        <v>-8000</v>
      </c>
      <c r="AP35" s="53" t="n">
        <f aca="false">-Inputs!$E$29*1</f>
        <v>-8000</v>
      </c>
      <c r="AQ35" s="53" t="n">
        <f aca="false">-Inputs!$E$29*1</f>
        <v>-8000</v>
      </c>
      <c r="AR35" s="53" t="n">
        <f aca="false">-Inputs!$E$29*1</f>
        <v>-8000</v>
      </c>
      <c r="AS35" s="53" t="n">
        <f aca="false">-Inputs!$E$29*1</f>
        <v>-8000</v>
      </c>
      <c r="AT35" s="53" t="n">
        <f aca="false">-Inputs!$E$29*1</f>
        <v>-8000</v>
      </c>
      <c r="AU35" s="53" t="n">
        <f aca="false">-Inputs!$E$29*1</f>
        <v>-8000</v>
      </c>
      <c r="AV35" s="53" t="n">
        <f aca="false">-Inputs!$E$29*1</f>
        <v>-8000</v>
      </c>
      <c r="AW35" s="53" t="n">
        <f aca="false">-Inputs!$E$29*1</f>
        <v>-8000</v>
      </c>
      <c r="AX35" s="53" t="n">
        <f aca="false">-Inputs!$E$29*1</f>
        <v>-8000</v>
      </c>
      <c r="AY35" s="53" t="n">
        <f aca="false">-Inputs!$E$29*1</f>
        <v>-8000</v>
      </c>
      <c r="AZ35" s="53" t="n">
        <f aca="false">-Inputs!$E$29*1</f>
        <v>-8000</v>
      </c>
      <c r="BA35" s="53" t="n">
        <f aca="false">-Inputs!$E$29*1</f>
        <v>-8000</v>
      </c>
      <c r="BB35" s="53" t="n">
        <f aca="false">-Inputs!$E$29*1</f>
        <v>-8000</v>
      </c>
      <c r="BC35" s="53" t="n">
        <f aca="false">-Inputs!$E$29*1</f>
        <v>-8000</v>
      </c>
      <c r="BD35" s="53" t="n">
        <f aca="false">-Inputs!$E$29*1</f>
        <v>-8000</v>
      </c>
      <c r="BE35" s="53" t="n">
        <f aca="false">-Inputs!$E$29*1</f>
        <v>-8000</v>
      </c>
      <c r="BF35" s="53" t="n">
        <f aca="false">-Inputs!$E$29*1</f>
        <v>-8000</v>
      </c>
      <c r="BG35" s="53" t="n">
        <f aca="false">-Inputs!$E$29*1</f>
        <v>-8000</v>
      </c>
      <c r="BH35" s="53" t="n">
        <f aca="false">-Inputs!$E$29*1</f>
        <v>-8000</v>
      </c>
      <c r="BI35" s="53" t="n">
        <f aca="false">-Inputs!$E$29*1</f>
        <v>-8000</v>
      </c>
      <c r="BJ35" s="53" t="n">
        <f aca="false">-Inputs!$E$29*1</f>
        <v>-8000</v>
      </c>
    </row>
    <row r="36" customFormat="false" ht="15" hidden="false" customHeight="false" outlineLevel="0" collapsed="false">
      <c r="A36" s="6" t="s">
        <v>305</v>
      </c>
      <c r="C36" s="53" t="n">
        <f aca="false">-Inputs!$E$30*1</f>
        <v>-6000</v>
      </c>
      <c r="D36" s="53" t="n">
        <f aca="false">-Inputs!$E$30*1</f>
        <v>-6000</v>
      </c>
      <c r="E36" s="53" t="n">
        <f aca="false">-Inputs!$E$30*1</f>
        <v>-6000</v>
      </c>
      <c r="F36" s="53" t="n">
        <f aca="false">-Inputs!$E$30*1</f>
        <v>-6000</v>
      </c>
      <c r="G36" s="53" t="n">
        <f aca="false">-Inputs!$E$30*1</f>
        <v>-6000</v>
      </c>
      <c r="H36" s="53" t="n">
        <f aca="false">-Inputs!$E$30*1</f>
        <v>-6000</v>
      </c>
      <c r="I36" s="53" t="n">
        <f aca="false">-Inputs!$E$30*1</f>
        <v>-6000</v>
      </c>
      <c r="J36" s="53" t="n">
        <f aca="false">-Inputs!$E$30*1</f>
        <v>-6000</v>
      </c>
      <c r="K36" s="53" t="n">
        <f aca="false">-Inputs!$E$30*1</f>
        <v>-6000</v>
      </c>
      <c r="L36" s="53" t="n">
        <f aca="false">-Inputs!$E$30*1</f>
        <v>-6000</v>
      </c>
      <c r="M36" s="53" t="n">
        <f aca="false">-Inputs!$E$30*1</f>
        <v>-6000</v>
      </c>
      <c r="N36" s="53" t="n">
        <f aca="false">-Inputs!$E$30*1</f>
        <v>-6000</v>
      </c>
      <c r="O36" s="53" t="n">
        <f aca="false">-Inputs!$E$30*1</f>
        <v>-6000</v>
      </c>
      <c r="P36" s="53" t="n">
        <f aca="false">-Inputs!$E$30*1</f>
        <v>-6000</v>
      </c>
      <c r="Q36" s="53" t="n">
        <f aca="false">-Inputs!$E$30*1</f>
        <v>-6000</v>
      </c>
      <c r="R36" s="53" t="n">
        <f aca="false">-Inputs!$E$30*1</f>
        <v>-6000</v>
      </c>
      <c r="S36" s="53" t="n">
        <f aca="false">-Inputs!$E$30*1</f>
        <v>-6000</v>
      </c>
      <c r="T36" s="53" t="n">
        <f aca="false">-Inputs!$E$30*1</f>
        <v>-6000</v>
      </c>
      <c r="U36" s="53" t="n">
        <f aca="false">-Inputs!$E$30*1</f>
        <v>-6000</v>
      </c>
      <c r="V36" s="53" t="n">
        <f aca="false">-Inputs!$E$30*1</f>
        <v>-6000</v>
      </c>
      <c r="W36" s="53" t="n">
        <f aca="false">-Inputs!$E$30*1</f>
        <v>-6000</v>
      </c>
      <c r="X36" s="53" t="n">
        <f aca="false">-Inputs!$E$30*1</f>
        <v>-6000</v>
      </c>
      <c r="Y36" s="53" t="n">
        <f aca="false">-Inputs!$E$30*1</f>
        <v>-6000</v>
      </c>
      <c r="Z36" s="53" t="n">
        <f aca="false">-Inputs!$E$30*1</f>
        <v>-6000</v>
      </c>
      <c r="AA36" s="53" t="n">
        <f aca="false">-Inputs!$E$30*1</f>
        <v>-6000</v>
      </c>
      <c r="AB36" s="53" t="n">
        <f aca="false">-Inputs!$E$30*1</f>
        <v>-6000</v>
      </c>
      <c r="AC36" s="53" t="n">
        <f aca="false">-Inputs!$E$30*1</f>
        <v>-6000</v>
      </c>
      <c r="AD36" s="53" t="n">
        <f aca="false">-Inputs!$E$30*1</f>
        <v>-6000</v>
      </c>
      <c r="AE36" s="53" t="n">
        <f aca="false">-Inputs!$E$30*1</f>
        <v>-6000</v>
      </c>
      <c r="AF36" s="53" t="n">
        <f aca="false">-Inputs!$E$30*1</f>
        <v>-6000</v>
      </c>
      <c r="AG36" s="53" t="n">
        <f aca="false">-Inputs!$E$30*1</f>
        <v>-6000</v>
      </c>
      <c r="AH36" s="53" t="n">
        <f aca="false">-Inputs!$E$30*1</f>
        <v>-6000</v>
      </c>
      <c r="AI36" s="53" t="n">
        <f aca="false">-Inputs!$E$30*1</f>
        <v>-6000</v>
      </c>
      <c r="AJ36" s="53" t="n">
        <f aca="false">-Inputs!$E$30*1</f>
        <v>-6000</v>
      </c>
      <c r="AK36" s="53" t="n">
        <f aca="false">-Inputs!$E$30*1</f>
        <v>-6000</v>
      </c>
      <c r="AL36" s="53" t="n">
        <f aca="false">-Inputs!$E$30*1</f>
        <v>-6000</v>
      </c>
      <c r="AM36" s="53" t="n">
        <f aca="false">-Inputs!$E$30*1</f>
        <v>-6000</v>
      </c>
      <c r="AN36" s="53" t="n">
        <f aca="false">-Inputs!$E$30*1</f>
        <v>-6000</v>
      </c>
      <c r="AO36" s="53" t="n">
        <f aca="false">-Inputs!$E$30*1</f>
        <v>-6000</v>
      </c>
      <c r="AP36" s="53" t="n">
        <f aca="false">-Inputs!$E$30*1</f>
        <v>-6000</v>
      </c>
      <c r="AQ36" s="53" t="n">
        <f aca="false">-Inputs!$E$30*1</f>
        <v>-6000</v>
      </c>
      <c r="AR36" s="53" t="n">
        <f aca="false">-Inputs!$E$30*1</f>
        <v>-6000</v>
      </c>
      <c r="AS36" s="53" t="n">
        <f aca="false">-Inputs!$E$30*1</f>
        <v>-6000</v>
      </c>
      <c r="AT36" s="53" t="n">
        <f aca="false">-Inputs!$E$30*1</f>
        <v>-6000</v>
      </c>
      <c r="AU36" s="53" t="n">
        <f aca="false">-Inputs!$E$30*1</f>
        <v>-6000</v>
      </c>
      <c r="AV36" s="53" t="n">
        <f aca="false">-Inputs!$E$30*1</f>
        <v>-6000</v>
      </c>
      <c r="AW36" s="53" t="n">
        <f aca="false">-Inputs!$E$30*1</f>
        <v>-6000</v>
      </c>
      <c r="AX36" s="53" t="n">
        <f aca="false">-Inputs!$E$30*1</f>
        <v>-6000</v>
      </c>
      <c r="AY36" s="53" t="n">
        <f aca="false">-Inputs!$E$30*1</f>
        <v>-6000</v>
      </c>
      <c r="AZ36" s="53" t="n">
        <f aca="false">-Inputs!$E$30*1</f>
        <v>-6000</v>
      </c>
      <c r="BA36" s="53" t="n">
        <f aca="false">-Inputs!$E$30*1</f>
        <v>-6000</v>
      </c>
      <c r="BB36" s="53" t="n">
        <f aca="false">-Inputs!$E$30*1</f>
        <v>-6000</v>
      </c>
      <c r="BC36" s="53" t="n">
        <f aca="false">-Inputs!$E$30*1</f>
        <v>-6000</v>
      </c>
      <c r="BD36" s="53" t="n">
        <f aca="false">-Inputs!$E$30*1</f>
        <v>-6000</v>
      </c>
      <c r="BE36" s="53" t="n">
        <f aca="false">-Inputs!$E$30*1</f>
        <v>-6000</v>
      </c>
      <c r="BF36" s="53" t="n">
        <f aca="false">-Inputs!$E$30*1</f>
        <v>-6000</v>
      </c>
      <c r="BG36" s="53" t="n">
        <f aca="false">-Inputs!$E$30*1</f>
        <v>-6000</v>
      </c>
      <c r="BH36" s="53" t="n">
        <f aca="false">-Inputs!$E$30*1</f>
        <v>-6000</v>
      </c>
      <c r="BI36" s="53" t="n">
        <f aca="false">-Inputs!$E$30*1</f>
        <v>-6000</v>
      </c>
      <c r="BJ36" s="53" t="n">
        <f aca="false">-Inputs!$E$30*1</f>
        <v>-6000</v>
      </c>
    </row>
    <row r="37" customFormat="false" ht="15" hidden="false" customHeight="false" outlineLevel="0" collapsed="false">
      <c r="A37" s="101" t="s">
        <v>75</v>
      </c>
      <c r="C37" s="54" t="n">
        <f aca="false">C32+C33+C34+C35+C36</f>
        <v>-62700</v>
      </c>
      <c r="D37" s="54" t="n">
        <f aca="false">D32+D33+D34+D35+D36</f>
        <v>-62700</v>
      </c>
      <c r="E37" s="54" t="n">
        <f aca="false">E32+E33+E34+E35+E36</f>
        <v>-62700</v>
      </c>
      <c r="F37" s="54" t="n">
        <f aca="false">F32+F33+F34+F35+F36</f>
        <v>-62700</v>
      </c>
      <c r="G37" s="54" t="n">
        <f aca="false">G32+G33+G34+G35+G36</f>
        <v>-62700</v>
      </c>
      <c r="H37" s="54" t="n">
        <f aca="false">H32+H33+H34+H35+H36</f>
        <v>-62700</v>
      </c>
      <c r="I37" s="54" t="n">
        <f aca="false">I32+I33+I34+I35+I36</f>
        <v>-62700</v>
      </c>
      <c r="J37" s="54" t="n">
        <f aca="false">J32+J33+J34+J35+J36</f>
        <v>-62700</v>
      </c>
      <c r="K37" s="54" t="n">
        <f aca="false">K32+K33+K34+K35+K36</f>
        <v>-62700</v>
      </c>
      <c r="L37" s="54" t="n">
        <f aca="false">L32+L33+L34+L35+L36</f>
        <v>-62700</v>
      </c>
      <c r="M37" s="54" t="n">
        <f aca="false">M32+M33+M34+M35+M36</f>
        <v>-62700</v>
      </c>
      <c r="N37" s="54" t="n">
        <f aca="false">N32+N33+N34+N35+N36</f>
        <v>-62700</v>
      </c>
      <c r="O37" s="54" t="n">
        <f aca="false">O32+O33+O34+O35+O36</f>
        <v>-71359.75</v>
      </c>
      <c r="P37" s="54" t="n">
        <f aca="false">P32+P33+P34+P35+P36</f>
        <v>-71359.75</v>
      </c>
      <c r="Q37" s="54" t="n">
        <f aca="false">Q32+Q33+Q34+Q35+Q36</f>
        <v>-71359.75</v>
      </c>
      <c r="R37" s="54" t="n">
        <f aca="false">R32+R33+R34+R35+R36</f>
        <v>-71359.75</v>
      </c>
      <c r="S37" s="54" t="n">
        <f aca="false">S32+S33+S34+S35+S36</f>
        <v>-71359.75</v>
      </c>
      <c r="T37" s="54" t="n">
        <f aca="false">T32+T33+T34+T35+T36</f>
        <v>-71359.75</v>
      </c>
      <c r="U37" s="54" t="n">
        <f aca="false">U32+U33+U34+U35+U36</f>
        <v>-71359.75</v>
      </c>
      <c r="V37" s="54" t="n">
        <f aca="false">V32+V33+V34+V35+V36</f>
        <v>-71359.75</v>
      </c>
      <c r="W37" s="54" t="n">
        <f aca="false">W32+W33+W34+W35+W36</f>
        <v>-71359.75</v>
      </c>
      <c r="X37" s="54" t="n">
        <f aca="false">X32+X33+X34+X35+X36</f>
        <v>-71359.75</v>
      </c>
      <c r="Y37" s="54" t="n">
        <f aca="false">Y32+Y33+Y34+Y35+Y36</f>
        <v>-71359.75</v>
      </c>
      <c r="Z37" s="54" t="n">
        <f aca="false">Z32+Z33+Z34+Z35+Z36</f>
        <v>-71359.75</v>
      </c>
      <c r="AA37" s="54" t="n">
        <f aca="false">AA32+AA33+AA34+AA35+AA36</f>
        <v>-81907.616875</v>
      </c>
      <c r="AB37" s="54" t="n">
        <f aca="false">AB32+AB33+AB34+AB35+AB36</f>
        <v>-81907.616875</v>
      </c>
      <c r="AC37" s="54" t="n">
        <f aca="false">AC32+AC33+AC34+AC35+AC36</f>
        <v>-81907.616875</v>
      </c>
      <c r="AD37" s="54" t="n">
        <f aca="false">AD32+AD33+AD34+AD35+AD36</f>
        <v>-81907.616875</v>
      </c>
      <c r="AE37" s="54" t="n">
        <f aca="false">AE32+AE33+AE34+AE35+AE36</f>
        <v>-81907.616875</v>
      </c>
      <c r="AF37" s="54" t="n">
        <f aca="false">AF32+AF33+AF34+AF35+AF36</f>
        <v>-81907.616875</v>
      </c>
      <c r="AG37" s="54" t="n">
        <f aca="false">AG32+AG33+AG34+AG35+AG36</f>
        <v>-81907.616875</v>
      </c>
      <c r="AH37" s="54" t="n">
        <f aca="false">AH32+AH33+AH34+AH35+AH36</f>
        <v>-81907.616875</v>
      </c>
      <c r="AI37" s="54" t="n">
        <f aca="false">AI32+AI33+AI34+AI35+AI36</f>
        <v>-81907.616875</v>
      </c>
      <c r="AJ37" s="54" t="n">
        <f aca="false">AJ32+AJ33+AJ34+AJ35+AJ36</f>
        <v>-81907.616875</v>
      </c>
      <c r="AK37" s="54" t="n">
        <f aca="false">AK32+AK33+AK34+AK35+AK36</f>
        <v>-81907.616875</v>
      </c>
      <c r="AL37" s="54" t="n">
        <f aca="false">AL32+AL33+AL34+AL35+AL36</f>
        <v>-81907.616875</v>
      </c>
      <c r="AM37" s="54" t="n">
        <f aca="false">AM32+AM33+AM34+AM35+AM36</f>
        <v>-94765.9462864374</v>
      </c>
      <c r="AN37" s="54" t="n">
        <f aca="false">AN32+AN33+AN34+AN35+AN36</f>
        <v>-94765.9462864374</v>
      </c>
      <c r="AO37" s="54" t="n">
        <f aca="false">AO32+AO33+AO34+AO35+AO36</f>
        <v>-94765.9462864374</v>
      </c>
      <c r="AP37" s="54" t="n">
        <f aca="false">AP32+AP33+AP34+AP35+AP36</f>
        <v>-94765.9462864374</v>
      </c>
      <c r="AQ37" s="54" t="n">
        <f aca="false">AQ32+AQ33+AQ34+AQ35+AQ36</f>
        <v>-94765.9462864374</v>
      </c>
      <c r="AR37" s="54" t="n">
        <f aca="false">AR32+AR33+AR34+AR35+AR36</f>
        <v>-94765.9462864374</v>
      </c>
      <c r="AS37" s="54" t="n">
        <f aca="false">AS32+AS33+AS34+AS35+AS36</f>
        <v>-94765.9462864374</v>
      </c>
      <c r="AT37" s="54" t="n">
        <f aca="false">AT32+AT33+AT34+AT35+AT36</f>
        <v>-94765.9462864374</v>
      </c>
      <c r="AU37" s="54" t="n">
        <f aca="false">AU32+AU33+AU34+AU35+AU36</f>
        <v>-94765.9462864374</v>
      </c>
      <c r="AV37" s="54" t="n">
        <f aca="false">AV32+AV33+AV34+AV35+AV36</f>
        <v>-94765.9462864374</v>
      </c>
      <c r="AW37" s="54" t="n">
        <f aca="false">AW32+AW33+AW34+AW35+AW36</f>
        <v>-94765.9462864374</v>
      </c>
      <c r="AX37" s="54" t="n">
        <f aca="false">AX32+AX33+AX34+AX35+AX36</f>
        <v>-94765.9462864374</v>
      </c>
      <c r="AY37" s="54" t="n">
        <f aca="false">AY32+AY33+AY34+AY35+AY36</f>
        <v>-110454.077803913</v>
      </c>
      <c r="AZ37" s="54" t="n">
        <f aca="false">AZ32+AZ33+AZ34+AZ35+AZ36</f>
        <v>-110454.077803913</v>
      </c>
      <c r="BA37" s="54" t="n">
        <f aca="false">BA32+BA33+BA34+BA35+BA36</f>
        <v>-110454.077803913</v>
      </c>
      <c r="BB37" s="54" t="n">
        <f aca="false">BB32+BB33+BB34+BB35+BB36</f>
        <v>-110454.077803913</v>
      </c>
      <c r="BC37" s="54" t="n">
        <f aca="false">BC32+BC33+BC34+BC35+BC36</f>
        <v>-110454.077803913</v>
      </c>
      <c r="BD37" s="54" t="n">
        <f aca="false">BD32+BD33+BD34+BD35+BD36</f>
        <v>-110454.077803913</v>
      </c>
      <c r="BE37" s="54" t="n">
        <f aca="false">BE32+BE33+BE34+BE35+BE36</f>
        <v>-110454.077803913</v>
      </c>
      <c r="BF37" s="54" t="n">
        <f aca="false">BF32+BF33+BF34+BF35+BF36</f>
        <v>-110454.077803913</v>
      </c>
      <c r="BG37" s="54" t="n">
        <f aca="false">BG32+BG33+BG34+BG35+BG36</f>
        <v>-110454.077803913</v>
      </c>
      <c r="BH37" s="54" t="n">
        <f aca="false">BH32+BH33+BH34+BH35+BH36</f>
        <v>-110454.077803913</v>
      </c>
      <c r="BI37" s="54" t="n">
        <f aca="false">BI32+BI33+BI34+BI35+BI36</f>
        <v>-110454.077803913</v>
      </c>
      <c r="BJ37" s="54" t="n">
        <f aca="false">BJ32+BJ33+BJ34+BJ35+BJ36</f>
        <v>-110454.077803913</v>
      </c>
    </row>
    <row r="38" customFormat="false" ht="15" hidden="false" customHeight="false" outlineLevel="0" collapsed="false">
      <c r="A38" s="101" t="s">
        <v>46</v>
      </c>
      <c r="C38" s="54" t="n">
        <f aca="false">C29+C37</f>
        <v>87550.52</v>
      </c>
      <c r="D38" s="54" t="n">
        <f aca="false">D29+D37</f>
        <v>87550.52</v>
      </c>
      <c r="E38" s="54" t="n">
        <f aca="false">E29+E37</f>
        <v>87550.52</v>
      </c>
      <c r="F38" s="54" t="n">
        <f aca="false">F29+F37</f>
        <v>87550.52</v>
      </c>
      <c r="G38" s="54" t="n">
        <f aca="false">G29+G37</f>
        <v>87550.52</v>
      </c>
      <c r="H38" s="54" t="n">
        <f aca="false">H29+H37</f>
        <v>87550.52</v>
      </c>
      <c r="I38" s="54" t="n">
        <f aca="false">I29+I37</f>
        <v>87550.52</v>
      </c>
      <c r="J38" s="54" t="n">
        <f aca="false">J29+J37</f>
        <v>87550.52</v>
      </c>
      <c r="K38" s="54" t="n">
        <f aca="false">K29+K37</f>
        <v>87550.52</v>
      </c>
      <c r="L38" s="54" t="n">
        <f aca="false">L29+L37</f>
        <v>87550.52</v>
      </c>
      <c r="M38" s="54" t="n">
        <f aca="false">M29+M37</f>
        <v>87550.52</v>
      </c>
      <c r="N38" s="54" t="n">
        <f aca="false">N29+N37</f>
        <v>87550.52</v>
      </c>
      <c r="O38" s="54" t="n">
        <f aca="false">O29+O37</f>
        <v>124134.50132</v>
      </c>
      <c r="P38" s="54" t="n">
        <f aca="false">P29+P37</f>
        <v>124134.50132</v>
      </c>
      <c r="Q38" s="54" t="n">
        <f aca="false">Q29+Q37</f>
        <v>124134.50132</v>
      </c>
      <c r="R38" s="54" t="n">
        <f aca="false">R29+R37</f>
        <v>124134.50132</v>
      </c>
      <c r="S38" s="54" t="n">
        <f aca="false">S29+S37</f>
        <v>124134.50132</v>
      </c>
      <c r="T38" s="54" t="n">
        <f aca="false">T29+T37</f>
        <v>124134.50132</v>
      </c>
      <c r="U38" s="54" t="n">
        <f aca="false">U29+U37</f>
        <v>124134.50132</v>
      </c>
      <c r="V38" s="54" t="n">
        <f aca="false">V29+V37</f>
        <v>124134.50132</v>
      </c>
      <c r="W38" s="54" t="n">
        <f aca="false">W29+W37</f>
        <v>124134.50132</v>
      </c>
      <c r="X38" s="54" t="n">
        <f aca="false">X29+X37</f>
        <v>124134.50132</v>
      </c>
      <c r="Y38" s="54" t="n">
        <f aca="false">Y29+Y37</f>
        <v>124134.50132</v>
      </c>
      <c r="Z38" s="54" t="n">
        <f aca="false">Z29+Z37</f>
        <v>124134.50132</v>
      </c>
      <c r="AA38" s="54" t="n">
        <f aca="false">AA29+AA37</f>
        <v>172824.86867192</v>
      </c>
      <c r="AB38" s="54" t="n">
        <f aca="false">AB29+AB37</f>
        <v>172824.86867192</v>
      </c>
      <c r="AC38" s="54" t="n">
        <f aca="false">AC29+AC37</f>
        <v>172824.86867192</v>
      </c>
      <c r="AD38" s="54" t="n">
        <f aca="false">AD29+AD37</f>
        <v>172824.86867192</v>
      </c>
      <c r="AE38" s="54" t="n">
        <f aca="false">AE29+AE37</f>
        <v>172824.86867192</v>
      </c>
      <c r="AF38" s="54" t="n">
        <f aca="false">AF29+AF37</f>
        <v>172824.86867192</v>
      </c>
      <c r="AG38" s="54" t="n">
        <f aca="false">AG29+AG37</f>
        <v>172824.86867192</v>
      </c>
      <c r="AH38" s="54" t="n">
        <f aca="false">AH29+AH37</f>
        <v>172824.86867192</v>
      </c>
      <c r="AI38" s="54" t="n">
        <f aca="false">AI29+AI37</f>
        <v>172824.86867192</v>
      </c>
      <c r="AJ38" s="54" t="n">
        <f aca="false">AJ29+AJ37</f>
        <v>172824.86867192</v>
      </c>
      <c r="AK38" s="54" t="n">
        <f aca="false">AK29+AK37</f>
        <v>172824.86867192</v>
      </c>
      <c r="AL38" s="54" t="n">
        <f aca="false">AL29+AL37</f>
        <v>172824.86867192</v>
      </c>
      <c r="AM38" s="54" t="n">
        <f aca="false">AM29+AM37</f>
        <v>237626.436085276</v>
      </c>
      <c r="AN38" s="54" t="n">
        <f aca="false">AN29+AN37</f>
        <v>237626.436085276</v>
      </c>
      <c r="AO38" s="54" t="n">
        <f aca="false">AO29+AO37</f>
        <v>237626.436085276</v>
      </c>
      <c r="AP38" s="54" t="n">
        <f aca="false">AP29+AP37</f>
        <v>237626.436085276</v>
      </c>
      <c r="AQ38" s="54" t="n">
        <f aca="false">AQ29+AQ37</f>
        <v>237626.436085276</v>
      </c>
      <c r="AR38" s="54" t="n">
        <f aca="false">AR29+AR37</f>
        <v>237626.436085276</v>
      </c>
      <c r="AS38" s="54" t="n">
        <f aca="false">AS29+AS37</f>
        <v>237626.436085276</v>
      </c>
      <c r="AT38" s="54" t="n">
        <f aca="false">AT29+AT37</f>
        <v>237626.436085276</v>
      </c>
      <c r="AU38" s="54" t="n">
        <f aca="false">AU29+AU37</f>
        <v>237626.436085276</v>
      </c>
      <c r="AV38" s="54" t="n">
        <f aca="false">AV29+AV37</f>
        <v>237626.436085276</v>
      </c>
      <c r="AW38" s="54" t="n">
        <f aca="false">AW29+AW37</f>
        <v>237626.436085276</v>
      </c>
      <c r="AX38" s="54" t="n">
        <f aca="false">AX29+AX37</f>
        <v>237626.436085276</v>
      </c>
      <c r="AY38" s="54" t="n">
        <f aca="false">AY29+AY37</f>
        <v>323873.024293155</v>
      </c>
      <c r="AZ38" s="54" t="n">
        <f aca="false">AZ29+AZ37</f>
        <v>323873.024293155</v>
      </c>
      <c r="BA38" s="54" t="n">
        <f aca="false">BA29+BA37</f>
        <v>323873.024293155</v>
      </c>
      <c r="BB38" s="54" t="n">
        <f aca="false">BB29+BB37</f>
        <v>323873.024293155</v>
      </c>
      <c r="BC38" s="54" t="n">
        <f aca="false">BC29+BC37</f>
        <v>323873.024293155</v>
      </c>
      <c r="BD38" s="54" t="n">
        <f aca="false">BD29+BD37</f>
        <v>323873.024293155</v>
      </c>
      <c r="BE38" s="54" t="n">
        <f aca="false">BE29+BE37</f>
        <v>323873.024293155</v>
      </c>
      <c r="BF38" s="54" t="n">
        <f aca="false">BF29+BF37</f>
        <v>323873.024293155</v>
      </c>
      <c r="BG38" s="54" t="n">
        <f aca="false">BG29+BG37</f>
        <v>323873.024293155</v>
      </c>
      <c r="BH38" s="54" t="n">
        <f aca="false">BH29+BH37</f>
        <v>323873.024293155</v>
      </c>
      <c r="BI38" s="54" t="n">
        <f aca="false">BI29+BI37</f>
        <v>323873.024293155</v>
      </c>
      <c r="BJ38" s="54" t="n">
        <f aca="false">BJ29+BJ37</f>
        <v>323873.024293155</v>
      </c>
    </row>
    <row r="40" customFormat="false" ht="15.75" hidden="false" customHeight="true" outlineLevel="0" collapsed="false">
      <c r="A40" s="7" t="s">
        <v>386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4" t="s">
        <v>77</v>
      </c>
      <c r="C41" s="60" t="n">
        <f aca="false">C38+C52</f>
        <v>86550.52</v>
      </c>
      <c r="D41" s="60" t="n">
        <f aca="false">D38+D52</f>
        <v>86550.52</v>
      </c>
      <c r="E41" s="60" t="n">
        <f aca="false">E38+E52</f>
        <v>86550.52</v>
      </c>
      <c r="F41" s="60" t="n">
        <f aca="false">F38+F52</f>
        <v>86550.52</v>
      </c>
      <c r="G41" s="60" t="n">
        <f aca="false">G38+G52</f>
        <v>86550.52</v>
      </c>
      <c r="H41" s="60" t="n">
        <f aca="false">H38+H52</f>
        <v>86550.52</v>
      </c>
      <c r="I41" s="60" t="n">
        <f aca="false">I38+I52</f>
        <v>86550.52</v>
      </c>
      <c r="J41" s="60" t="n">
        <f aca="false">J38+J52</f>
        <v>86550.52</v>
      </c>
      <c r="K41" s="60" t="n">
        <f aca="false">K38+K52</f>
        <v>86550.52</v>
      </c>
      <c r="L41" s="60" t="n">
        <f aca="false">L38+L52</f>
        <v>86550.52</v>
      </c>
      <c r="M41" s="60" t="n">
        <f aca="false">M38+M52</f>
        <v>86550.52</v>
      </c>
      <c r="N41" s="60" t="n">
        <f aca="false">N38+N52</f>
        <v>86550.52</v>
      </c>
      <c r="O41" s="60" t="n">
        <f aca="false">O38+O52</f>
        <v>123134.50132</v>
      </c>
      <c r="P41" s="60" t="n">
        <f aca="false">P38+P52</f>
        <v>123134.50132</v>
      </c>
      <c r="Q41" s="60" t="n">
        <f aca="false">Q38+Q52</f>
        <v>123134.50132</v>
      </c>
      <c r="R41" s="60" t="n">
        <f aca="false">R38+R52</f>
        <v>123134.50132</v>
      </c>
      <c r="S41" s="60" t="n">
        <f aca="false">S38+S52</f>
        <v>123134.50132</v>
      </c>
      <c r="T41" s="60" t="n">
        <f aca="false">T38+T52</f>
        <v>123134.50132</v>
      </c>
      <c r="U41" s="60" t="n">
        <f aca="false">U38+U52</f>
        <v>123134.50132</v>
      </c>
      <c r="V41" s="60" t="n">
        <f aca="false">V38+V52</f>
        <v>123134.50132</v>
      </c>
      <c r="W41" s="60" t="n">
        <f aca="false">W38+W52</f>
        <v>123134.50132</v>
      </c>
      <c r="X41" s="60" t="n">
        <f aca="false">X38+X52</f>
        <v>123134.50132</v>
      </c>
      <c r="Y41" s="60" t="n">
        <f aca="false">Y38+Y52</f>
        <v>123134.50132</v>
      </c>
      <c r="Z41" s="60" t="n">
        <f aca="false">Z38+Z52</f>
        <v>123134.50132</v>
      </c>
      <c r="AA41" s="60" t="n">
        <f aca="false">AA38+AA52</f>
        <v>171824.86867192</v>
      </c>
      <c r="AB41" s="60" t="n">
        <f aca="false">AB38+AB52</f>
        <v>171824.86867192</v>
      </c>
      <c r="AC41" s="60" t="n">
        <f aca="false">AC38+AC52</f>
        <v>171824.86867192</v>
      </c>
      <c r="AD41" s="60" t="n">
        <f aca="false">AD38+AD52</f>
        <v>171824.86867192</v>
      </c>
      <c r="AE41" s="60" t="n">
        <f aca="false">AE38+AE52</f>
        <v>171824.86867192</v>
      </c>
      <c r="AF41" s="60" t="n">
        <f aca="false">AF38+AF52</f>
        <v>171824.86867192</v>
      </c>
      <c r="AG41" s="60" t="n">
        <f aca="false">AG38+AG52</f>
        <v>171824.86867192</v>
      </c>
      <c r="AH41" s="60" t="n">
        <f aca="false">AH38+AH52</f>
        <v>171824.86867192</v>
      </c>
      <c r="AI41" s="60" t="n">
        <f aca="false">AI38+AI52</f>
        <v>171824.86867192</v>
      </c>
      <c r="AJ41" s="60" t="n">
        <f aca="false">AJ38+AJ52</f>
        <v>171824.86867192</v>
      </c>
      <c r="AK41" s="60" t="n">
        <f aca="false">AK38+AK52</f>
        <v>171824.86867192</v>
      </c>
      <c r="AL41" s="60" t="n">
        <f aca="false">AL38+AL52</f>
        <v>171824.86867192</v>
      </c>
      <c r="AM41" s="60" t="n">
        <f aca="false">AM38+AM52</f>
        <v>236626.436085276</v>
      </c>
      <c r="AN41" s="60" t="n">
        <f aca="false">AN38+AN52</f>
        <v>236626.436085276</v>
      </c>
      <c r="AO41" s="60" t="n">
        <f aca="false">AO38+AO52</f>
        <v>236626.436085276</v>
      </c>
      <c r="AP41" s="60" t="n">
        <f aca="false">AP38+AP52</f>
        <v>236626.436085276</v>
      </c>
      <c r="AQ41" s="60" t="n">
        <f aca="false">AQ38+AQ52</f>
        <v>236626.436085276</v>
      </c>
      <c r="AR41" s="60" t="n">
        <f aca="false">AR38+AR52</f>
        <v>236626.436085276</v>
      </c>
      <c r="AS41" s="60" t="n">
        <f aca="false">AS38+AS52</f>
        <v>236626.436085276</v>
      </c>
      <c r="AT41" s="60" t="n">
        <f aca="false">AT38+AT52</f>
        <v>236626.436085276</v>
      </c>
      <c r="AU41" s="60" t="n">
        <f aca="false">AU38+AU52</f>
        <v>236626.436085276</v>
      </c>
      <c r="AV41" s="60" t="n">
        <f aca="false">AV38+AV52</f>
        <v>236626.436085276</v>
      </c>
      <c r="AW41" s="60" t="n">
        <f aca="false">AW38+AW52</f>
        <v>236626.436085276</v>
      </c>
      <c r="AX41" s="60" t="n">
        <f aca="false">AX38+AX52</f>
        <v>236626.436085276</v>
      </c>
      <c r="AY41" s="60" t="n">
        <f aca="false">AY38+AY52</f>
        <v>322873.024293155</v>
      </c>
      <c r="AZ41" s="60" t="n">
        <f aca="false">AZ38+AZ52</f>
        <v>322873.024293155</v>
      </c>
      <c r="BA41" s="60" t="n">
        <f aca="false">BA38+BA52</f>
        <v>322873.024293155</v>
      </c>
      <c r="BB41" s="60" t="n">
        <f aca="false">BB38+BB52</f>
        <v>322873.024293155</v>
      </c>
      <c r="BC41" s="60" t="n">
        <f aca="false">BC38+BC52</f>
        <v>322873.024293155</v>
      </c>
      <c r="BD41" s="60" t="n">
        <f aca="false">BD38+BD52</f>
        <v>322873.024293155</v>
      </c>
      <c r="BE41" s="60" t="n">
        <f aca="false">BE38+BE52</f>
        <v>322873.024293155</v>
      </c>
      <c r="BF41" s="60" t="n">
        <f aca="false">BF38+BF52</f>
        <v>322873.024293155</v>
      </c>
      <c r="BG41" s="60" t="n">
        <f aca="false">BG38+BG52</f>
        <v>322873.024293155</v>
      </c>
      <c r="BH41" s="60" t="n">
        <f aca="false">BH38+BH52</f>
        <v>322873.024293155</v>
      </c>
      <c r="BI41" s="60" t="n">
        <f aca="false">BI38+BI52</f>
        <v>322873.024293155</v>
      </c>
      <c r="BJ41" s="60" t="n">
        <f aca="false">BJ38+BJ52</f>
        <v>322873.024293155</v>
      </c>
    </row>
    <row r="42" customFormat="false" ht="15" hidden="false" customHeight="false" outlineLevel="0" collapsed="false">
      <c r="A42" s="6" t="s">
        <v>387</v>
      </c>
      <c r="C42" s="53" t="n">
        <f aca="false">-(C57+C58+C60)/2*Inputs!$E$56/12</f>
        <v>-1333.33333333333</v>
      </c>
      <c r="D42" s="53" t="n">
        <f aca="false">-(D57+D58+D60)/2*Inputs!$E$56/12</f>
        <v>-1322.22222222222</v>
      </c>
      <c r="E42" s="53" t="n">
        <f aca="false">-(E57+E58+E60)/2*Inputs!$E$56/12</f>
        <v>-1300</v>
      </c>
      <c r="F42" s="53" t="n">
        <f aca="false">-(F57+F58+F60)/2*Inputs!$E$56/12</f>
        <v>-1277.77777777778</v>
      </c>
      <c r="G42" s="53" t="n">
        <f aca="false">-(G57+G58+G60)/2*Inputs!$E$56/12</f>
        <v>-1255.55555555556</v>
      </c>
      <c r="H42" s="53" t="n">
        <f aca="false">-(H57+H58+H60)/2*Inputs!$E$56/12</f>
        <v>-1233.33333333333</v>
      </c>
      <c r="I42" s="53" t="n">
        <f aca="false">-(I57+I58+I60)/2*Inputs!$E$56/12</f>
        <v>-1211.11111111111</v>
      </c>
      <c r="J42" s="53" t="n">
        <f aca="false">-(J57+J58+J60)/2*Inputs!$E$56/12</f>
        <v>-1188.88888888889</v>
      </c>
      <c r="K42" s="53" t="n">
        <f aca="false">-(K57+K58+K60)/2*Inputs!$E$56/12</f>
        <v>-1166.66666666667</v>
      </c>
      <c r="L42" s="53" t="n">
        <f aca="false">-(L57+L58+L60)/2*Inputs!$E$56/12</f>
        <v>-1144.44444444444</v>
      </c>
      <c r="M42" s="53" t="n">
        <f aca="false">-(M57+M58+M60)/2*Inputs!$E$56/12</f>
        <v>-1122.22222222222</v>
      </c>
      <c r="N42" s="53" t="n">
        <f aca="false">-(N57+N58+N60)/2*Inputs!$E$56/12</f>
        <v>-1100</v>
      </c>
      <c r="O42" s="53" t="n">
        <f aca="false">-(O57+O58+O60)/2*Inputs!$E$56/12</f>
        <v>-1077.77777777778</v>
      </c>
      <c r="P42" s="53" t="n">
        <f aca="false">-(P57+P58+P60)/2*Inputs!$E$56/12</f>
        <v>-1055.55555555555</v>
      </c>
      <c r="Q42" s="53" t="n">
        <f aca="false">-(Q57+Q58+Q60)/2*Inputs!$E$56/12</f>
        <v>-1033.33333333333</v>
      </c>
      <c r="R42" s="53" t="n">
        <f aca="false">-(R57+R58+R60)/2*Inputs!$E$56/12</f>
        <v>-1011.11111111111</v>
      </c>
      <c r="S42" s="53" t="n">
        <f aca="false">-(S57+S58+S60)/2*Inputs!$E$56/12</f>
        <v>-988.888888888888</v>
      </c>
      <c r="T42" s="53" t="n">
        <f aca="false">-(T57+T58+T60)/2*Inputs!$E$56/12</f>
        <v>-966.666666666666</v>
      </c>
      <c r="U42" s="53" t="n">
        <f aca="false">-(U57+U58+U60)/2*Inputs!$E$56/12</f>
        <v>-944.444444444443</v>
      </c>
      <c r="V42" s="53" t="n">
        <f aca="false">-(V57+V58+V60)/2*Inputs!$E$56/12</f>
        <v>-922.222222222221</v>
      </c>
      <c r="W42" s="53" t="n">
        <f aca="false">-(W57+W58+W60)/2*Inputs!$E$56/12</f>
        <v>-899.999999999999</v>
      </c>
      <c r="X42" s="53" t="n">
        <f aca="false">-(X57+X58+X60)/2*Inputs!$E$56/12</f>
        <v>-877.777777777777</v>
      </c>
      <c r="Y42" s="53" t="n">
        <f aca="false">-(Y57+Y58+Y60)/2*Inputs!$E$56/12</f>
        <v>-855.555555555554</v>
      </c>
      <c r="Z42" s="53" t="n">
        <f aca="false">-(Z57+Z58+Z60)/2*Inputs!$E$56/12</f>
        <v>-833.333333333332</v>
      </c>
      <c r="AA42" s="53" t="n">
        <f aca="false">-(AA57+AA58+AA60)/2*Inputs!$E$56/12</f>
        <v>-811.11111111111</v>
      </c>
      <c r="AB42" s="53" t="n">
        <f aca="false">-(AB57+AB58+AB60)/2*Inputs!$E$56/12</f>
        <v>-788.888888888888</v>
      </c>
      <c r="AC42" s="53" t="n">
        <f aca="false">-(AC57+AC58+AC60)/2*Inputs!$E$56/12</f>
        <v>-766.666666666666</v>
      </c>
      <c r="AD42" s="53" t="n">
        <f aca="false">-(AD57+AD58+AD60)/2*Inputs!$E$56/12</f>
        <v>-744.444444444443</v>
      </c>
      <c r="AE42" s="53" t="n">
        <f aca="false">-(AE57+AE58+AE60)/2*Inputs!$E$56/12</f>
        <v>-722.222222222221</v>
      </c>
      <c r="AF42" s="53" t="n">
        <f aca="false">-(AF57+AF58+AF60)/2*Inputs!$E$56/12</f>
        <v>-699.999999999999</v>
      </c>
      <c r="AG42" s="53" t="n">
        <f aca="false">-(AG57+AG58+AG60)/2*Inputs!$E$56/12</f>
        <v>-677.777777777777</v>
      </c>
      <c r="AH42" s="53" t="n">
        <f aca="false">-(AH57+AH58+AH60)/2*Inputs!$E$56/12</f>
        <v>-655.555555555555</v>
      </c>
      <c r="AI42" s="53" t="n">
        <f aca="false">-(AI57+AI58+AI60)/2*Inputs!$E$56/12</f>
        <v>-633.333333333332</v>
      </c>
      <c r="AJ42" s="53" t="n">
        <f aca="false">-(AJ57+AJ58+AJ60)/2*Inputs!$E$56/12</f>
        <v>-611.11111111111</v>
      </c>
      <c r="AK42" s="53" t="n">
        <f aca="false">-(AK57+AK58+AK60)/2*Inputs!$E$56/12</f>
        <v>-588.888888888888</v>
      </c>
      <c r="AL42" s="53" t="n">
        <f aca="false">-(AL57+AL58+AL60)/2*Inputs!$E$56/12</f>
        <v>-566.666666666666</v>
      </c>
      <c r="AM42" s="53" t="n">
        <f aca="false">-(AM57+AM58+AM60)/2*Inputs!$E$56/12</f>
        <v>-544.444444444444</v>
      </c>
      <c r="AN42" s="53" t="n">
        <f aca="false">-(AN57+AN58+AN60)/2*Inputs!$E$56/12</f>
        <v>-522.222222222222</v>
      </c>
      <c r="AO42" s="53" t="n">
        <f aca="false">-(AO57+AO58+AO60)/2*Inputs!$E$56/12</f>
        <v>-499.999999999999</v>
      </c>
      <c r="AP42" s="53" t="n">
        <f aca="false">-(AP57+AP58+AP60)/2*Inputs!$E$56/12</f>
        <v>-477.777777777777</v>
      </c>
      <c r="AQ42" s="53" t="n">
        <f aca="false">-(AQ57+AQ58+AQ60)/2*Inputs!$E$56/12</f>
        <v>-455.555555555555</v>
      </c>
      <c r="AR42" s="53" t="n">
        <f aca="false">-(AR57+AR58+AR60)/2*Inputs!$E$56/12</f>
        <v>-433.333333333333</v>
      </c>
      <c r="AS42" s="53" t="n">
        <f aca="false">-(AS57+AS58+AS60)/2*Inputs!$E$56/12</f>
        <v>-411.11111111111</v>
      </c>
      <c r="AT42" s="53" t="n">
        <f aca="false">-(AT57+AT58+AT60)/2*Inputs!$E$56/12</f>
        <v>-388.888888888888</v>
      </c>
      <c r="AU42" s="53" t="n">
        <f aca="false">-(AU57+AU58+AU60)/2*Inputs!$E$56/12</f>
        <v>-366.666666666666</v>
      </c>
      <c r="AV42" s="53" t="n">
        <f aca="false">-(AV57+AV58+AV60)/2*Inputs!$E$56/12</f>
        <v>-344.444444444444</v>
      </c>
      <c r="AW42" s="53" t="n">
        <f aca="false">-(AW57+AW58+AW60)/2*Inputs!$E$56/12</f>
        <v>-322.222222222222</v>
      </c>
      <c r="AX42" s="53" t="n">
        <f aca="false">-(AX57+AX58+AX60)/2*Inputs!$E$56/12</f>
        <v>-299.999999999999</v>
      </c>
      <c r="AY42" s="53" t="n">
        <f aca="false">-(AY57+AY58+AY60)/2*Inputs!$E$56/12</f>
        <v>-277.777777777777</v>
      </c>
      <c r="AZ42" s="53" t="n">
        <f aca="false">-(AZ57+AZ58+AZ60)/2*Inputs!$E$56/12</f>
        <v>-255.555555555555</v>
      </c>
      <c r="BA42" s="53" t="n">
        <f aca="false">-(BA57+BA58+BA60)/2*Inputs!$E$56/12</f>
        <v>-233.333333333333</v>
      </c>
      <c r="BB42" s="53" t="n">
        <f aca="false">-(BB57+BB58+BB60)/2*Inputs!$E$56/12</f>
        <v>-211.11111111111</v>
      </c>
      <c r="BC42" s="53" t="n">
        <f aca="false">-(BC57+BC58+BC60)/2*Inputs!$E$56/12</f>
        <v>-188.888888888888</v>
      </c>
      <c r="BD42" s="53" t="n">
        <f aca="false">-(BD57+BD58+BD60)/2*Inputs!$E$56/12</f>
        <v>-166.666666666666</v>
      </c>
      <c r="BE42" s="53" t="n">
        <f aca="false">-(BE57+BE58+BE60)/2*Inputs!$E$56/12</f>
        <v>-144.444444444444</v>
      </c>
      <c r="BF42" s="53" t="n">
        <f aca="false">-(BF57+BF58+BF60)/2*Inputs!$E$56/12</f>
        <v>-122.222222222221</v>
      </c>
      <c r="BG42" s="53" t="n">
        <f aca="false">-(BG57+BG58+BG60)/2*Inputs!$E$56/12</f>
        <v>-99.9999999999992</v>
      </c>
      <c r="BH42" s="53" t="n">
        <f aca="false">-(BH57+BH58+BH60)/2*Inputs!$E$56/12</f>
        <v>-77.777777777777</v>
      </c>
      <c r="BI42" s="53" t="n">
        <f aca="false">-(BI57+BI58+BI60)/2*Inputs!$E$56/12</f>
        <v>-55.5555555555548</v>
      </c>
      <c r="BJ42" s="53" t="n">
        <f aca="false">-(BJ57+BJ58+BJ60)/2*Inputs!$E$56/12</f>
        <v>-33.3333333333326</v>
      </c>
    </row>
    <row r="43" customFormat="false" ht="15" hidden="false" customHeight="false" outlineLevel="0" collapsed="false">
      <c r="A43" s="101" t="s">
        <v>79</v>
      </c>
      <c r="C43" s="54" t="n">
        <f aca="false">C41+C42</f>
        <v>85217.1866666667</v>
      </c>
      <c r="D43" s="54" t="n">
        <f aca="false">D41+D42</f>
        <v>85228.2977777778</v>
      </c>
      <c r="E43" s="54" t="n">
        <f aca="false">E41+E42</f>
        <v>85250.52</v>
      </c>
      <c r="F43" s="54" t="n">
        <f aca="false">F41+F42</f>
        <v>85272.7422222222</v>
      </c>
      <c r="G43" s="54" t="n">
        <f aca="false">G41+G42</f>
        <v>85294.9644444444</v>
      </c>
      <c r="H43" s="54" t="n">
        <f aca="false">H41+H42</f>
        <v>85317.1866666667</v>
      </c>
      <c r="I43" s="54" t="n">
        <f aca="false">I41+I42</f>
        <v>85339.4088888889</v>
      </c>
      <c r="J43" s="54" t="n">
        <f aca="false">J41+J42</f>
        <v>85361.6311111111</v>
      </c>
      <c r="K43" s="54" t="n">
        <f aca="false">K41+K42</f>
        <v>85383.8533333333</v>
      </c>
      <c r="L43" s="54" t="n">
        <f aca="false">L41+L42</f>
        <v>85406.0755555556</v>
      </c>
      <c r="M43" s="54" t="n">
        <f aca="false">M41+M42</f>
        <v>85428.2977777778</v>
      </c>
      <c r="N43" s="54" t="n">
        <f aca="false">N41+N42</f>
        <v>85450.52</v>
      </c>
      <c r="O43" s="54" t="n">
        <f aca="false">O41+O42</f>
        <v>122056.723542222</v>
      </c>
      <c r="P43" s="54" t="n">
        <f aca="false">P41+P42</f>
        <v>122078.945764445</v>
      </c>
      <c r="Q43" s="54" t="n">
        <f aca="false">Q41+Q42</f>
        <v>122101.167986667</v>
      </c>
      <c r="R43" s="54" t="n">
        <f aca="false">R41+R42</f>
        <v>122123.390208889</v>
      </c>
      <c r="S43" s="54" t="n">
        <f aca="false">S41+S42</f>
        <v>122145.612431111</v>
      </c>
      <c r="T43" s="54" t="n">
        <f aca="false">T41+T42</f>
        <v>122167.834653334</v>
      </c>
      <c r="U43" s="54" t="n">
        <f aca="false">U41+U42</f>
        <v>122190.056875556</v>
      </c>
      <c r="V43" s="54" t="n">
        <f aca="false">V41+V42</f>
        <v>122212.279097778</v>
      </c>
      <c r="W43" s="54" t="n">
        <f aca="false">W41+W42</f>
        <v>122234.50132</v>
      </c>
      <c r="X43" s="54" t="n">
        <f aca="false">X41+X42</f>
        <v>122256.723542222</v>
      </c>
      <c r="Y43" s="54" t="n">
        <f aca="false">Y41+Y42</f>
        <v>122278.945764445</v>
      </c>
      <c r="Z43" s="54" t="n">
        <f aca="false">Z41+Z42</f>
        <v>122301.167986667</v>
      </c>
      <c r="AA43" s="54" t="n">
        <f aca="false">AA41+AA42</f>
        <v>171013.757560809</v>
      </c>
      <c r="AB43" s="54" t="n">
        <f aca="false">AB41+AB42</f>
        <v>171035.979783031</v>
      </c>
      <c r="AC43" s="54" t="n">
        <f aca="false">AC41+AC42</f>
        <v>171058.202005253</v>
      </c>
      <c r="AD43" s="54" t="n">
        <f aca="false">AD41+AD42</f>
        <v>171080.424227476</v>
      </c>
      <c r="AE43" s="54" t="n">
        <f aca="false">AE41+AE42</f>
        <v>171102.646449698</v>
      </c>
      <c r="AF43" s="54" t="n">
        <f aca="false">AF41+AF42</f>
        <v>171124.86867192</v>
      </c>
      <c r="AG43" s="54" t="n">
        <f aca="false">AG41+AG42</f>
        <v>171147.090894142</v>
      </c>
      <c r="AH43" s="54" t="n">
        <f aca="false">AH41+AH42</f>
        <v>171169.313116365</v>
      </c>
      <c r="AI43" s="54" t="n">
        <f aca="false">AI41+AI42</f>
        <v>171191.535338587</v>
      </c>
      <c r="AJ43" s="54" t="n">
        <f aca="false">AJ41+AJ42</f>
        <v>171213.757560809</v>
      </c>
      <c r="AK43" s="54" t="n">
        <f aca="false">AK41+AK42</f>
        <v>171235.979783031</v>
      </c>
      <c r="AL43" s="54" t="n">
        <f aca="false">AL41+AL42</f>
        <v>171258.202005253</v>
      </c>
      <c r="AM43" s="54" t="n">
        <f aca="false">AM41+AM42</f>
        <v>236081.991640832</v>
      </c>
      <c r="AN43" s="54" t="n">
        <f aca="false">AN41+AN42</f>
        <v>236104.213863054</v>
      </c>
      <c r="AO43" s="54" t="n">
        <f aca="false">AO41+AO42</f>
        <v>236126.436085276</v>
      </c>
      <c r="AP43" s="54" t="n">
        <f aca="false">AP41+AP42</f>
        <v>236148.658307499</v>
      </c>
      <c r="AQ43" s="54" t="n">
        <f aca="false">AQ41+AQ42</f>
        <v>236170.880529721</v>
      </c>
      <c r="AR43" s="54" t="n">
        <f aca="false">AR41+AR42</f>
        <v>236193.102751943</v>
      </c>
      <c r="AS43" s="54" t="n">
        <f aca="false">AS41+AS42</f>
        <v>236215.324974165</v>
      </c>
      <c r="AT43" s="54" t="n">
        <f aca="false">AT41+AT42</f>
        <v>236237.547196387</v>
      </c>
      <c r="AU43" s="54" t="n">
        <f aca="false">AU41+AU42</f>
        <v>236259.76941861</v>
      </c>
      <c r="AV43" s="54" t="n">
        <f aca="false">AV41+AV42</f>
        <v>236281.991640832</v>
      </c>
      <c r="AW43" s="54" t="n">
        <f aca="false">AW41+AW42</f>
        <v>236304.213863054</v>
      </c>
      <c r="AX43" s="54" t="n">
        <f aca="false">AX41+AX42</f>
        <v>236326.436085276</v>
      </c>
      <c r="AY43" s="54" t="n">
        <f aca="false">AY41+AY42</f>
        <v>322595.246515377</v>
      </c>
      <c r="AZ43" s="54" t="n">
        <f aca="false">AZ41+AZ42</f>
        <v>322617.468737599</v>
      </c>
      <c r="BA43" s="54" t="n">
        <f aca="false">BA41+BA42</f>
        <v>322639.690959822</v>
      </c>
      <c r="BB43" s="54" t="n">
        <f aca="false">BB41+BB42</f>
        <v>322661.913182044</v>
      </c>
      <c r="BC43" s="54" t="n">
        <f aca="false">BC41+BC42</f>
        <v>322684.135404266</v>
      </c>
      <c r="BD43" s="54" t="n">
        <f aca="false">BD41+BD42</f>
        <v>322706.357626488</v>
      </c>
      <c r="BE43" s="54" t="n">
        <f aca="false">BE41+BE42</f>
        <v>322728.57984871</v>
      </c>
      <c r="BF43" s="54" t="n">
        <f aca="false">BF41+BF42</f>
        <v>322750.802070933</v>
      </c>
      <c r="BG43" s="54" t="n">
        <f aca="false">BG41+BG42</f>
        <v>322773.024293155</v>
      </c>
      <c r="BH43" s="54" t="n">
        <f aca="false">BH41+BH42</f>
        <v>322795.246515377</v>
      </c>
      <c r="BI43" s="54" t="n">
        <f aca="false">BI41+BI42</f>
        <v>322817.468737599</v>
      </c>
      <c r="BJ43" s="54" t="n">
        <f aca="false">BJ41+BJ42</f>
        <v>322839.690959822</v>
      </c>
    </row>
    <row r="44" customFormat="false" ht="15" hidden="false" customHeight="false" outlineLevel="0" collapsed="false">
      <c r="A44" s="108" t="s">
        <v>388</v>
      </c>
      <c r="C44" s="53" t="n">
        <f aca="false">C43</f>
        <v>85217.1866666667</v>
      </c>
      <c r="D44" s="53" t="n">
        <f aca="false">C44+D43</f>
        <v>170445.484444444</v>
      </c>
      <c r="E44" s="53" t="n">
        <f aca="false">D44+E43</f>
        <v>255696.004444444</v>
      </c>
      <c r="F44" s="53" t="n">
        <f aca="false">E44+F43</f>
        <v>340968.746666667</v>
      </c>
      <c r="G44" s="53" t="n">
        <f aca="false">F44+G43</f>
        <v>426263.711111111</v>
      </c>
      <c r="H44" s="53" t="n">
        <f aca="false">G44+H43</f>
        <v>511580.897777778</v>
      </c>
      <c r="I44" s="53" t="n">
        <f aca="false">H44+I43</f>
        <v>596920.306666667</v>
      </c>
      <c r="J44" s="53" t="n">
        <f aca="false">I44+J43</f>
        <v>682281.937777778</v>
      </c>
      <c r="K44" s="53" t="n">
        <f aca="false">J44+K43</f>
        <v>767665.791111111</v>
      </c>
      <c r="L44" s="53" t="n">
        <f aca="false">K44+L43</f>
        <v>853071.866666667</v>
      </c>
      <c r="M44" s="53" t="n">
        <f aca="false">L44+M43</f>
        <v>938500.164444444</v>
      </c>
      <c r="N44" s="53" t="n">
        <f aca="false">M44+N43</f>
        <v>1023950.68444444</v>
      </c>
      <c r="O44" s="53" t="n">
        <f aca="false">N44+O43</f>
        <v>1146007.40798667</v>
      </c>
      <c r="P44" s="53" t="n">
        <f aca="false">O44+P43</f>
        <v>1268086.35375111</v>
      </c>
      <c r="Q44" s="53" t="n">
        <f aca="false">P44+Q43</f>
        <v>1390187.52173778</v>
      </c>
      <c r="R44" s="53" t="n">
        <f aca="false">Q44+R43</f>
        <v>1512310.91194667</v>
      </c>
      <c r="S44" s="53" t="n">
        <f aca="false">R44+S43</f>
        <v>1634456.52437778</v>
      </c>
      <c r="T44" s="53" t="n">
        <f aca="false">S44+T43</f>
        <v>1756624.35903111</v>
      </c>
      <c r="U44" s="53" t="n">
        <f aca="false">T44+U43</f>
        <v>1878814.41590667</v>
      </c>
      <c r="V44" s="53" t="n">
        <f aca="false">U44+V43</f>
        <v>2001026.69500445</v>
      </c>
      <c r="W44" s="53" t="n">
        <f aca="false">V44+W43</f>
        <v>2123261.19632445</v>
      </c>
      <c r="X44" s="53" t="n">
        <f aca="false">W44+X43</f>
        <v>2245517.91986667</v>
      </c>
      <c r="Y44" s="53" t="n">
        <f aca="false">X44+Y43</f>
        <v>2367796.86563111</v>
      </c>
      <c r="Z44" s="53" t="n">
        <f aca="false">Y44+Z43</f>
        <v>2490098.03361778</v>
      </c>
      <c r="AA44" s="53" t="n">
        <f aca="false">Z44+AA43</f>
        <v>2661111.79117859</v>
      </c>
      <c r="AB44" s="53" t="n">
        <f aca="false">AA44+AB43</f>
        <v>2832147.77096162</v>
      </c>
      <c r="AC44" s="53" t="n">
        <f aca="false">AB44+AC43</f>
        <v>3003205.97296687</v>
      </c>
      <c r="AD44" s="53" t="n">
        <f aca="false">AC44+AD43</f>
        <v>3174286.39719435</v>
      </c>
      <c r="AE44" s="53" t="n">
        <f aca="false">AD44+AE43</f>
        <v>3345389.04364405</v>
      </c>
      <c r="AF44" s="53" t="n">
        <f aca="false">AE44+AF43</f>
        <v>3516513.91231597</v>
      </c>
      <c r="AG44" s="53" t="n">
        <f aca="false">AF44+AG43</f>
        <v>3687661.00321011</v>
      </c>
      <c r="AH44" s="53" t="n">
        <f aca="false">AG44+AH43</f>
        <v>3858830.31632647</v>
      </c>
      <c r="AI44" s="53" t="n">
        <f aca="false">AH44+AI43</f>
        <v>4030021.85166506</v>
      </c>
      <c r="AJ44" s="53" t="n">
        <f aca="false">AI44+AJ43</f>
        <v>4201235.60922587</v>
      </c>
      <c r="AK44" s="53" t="n">
        <f aca="false">AJ44+AK43</f>
        <v>4372471.5890089</v>
      </c>
      <c r="AL44" s="53" t="n">
        <f aca="false">AK44+AL43</f>
        <v>4543729.79101415</v>
      </c>
      <c r="AM44" s="53" t="n">
        <f aca="false">AL44+AM43</f>
        <v>4779811.78265499</v>
      </c>
      <c r="AN44" s="53" t="n">
        <f aca="false">AM44+AN43</f>
        <v>5015915.99651804</v>
      </c>
      <c r="AO44" s="53" t="n">
        <f aca="false">AN44+AO43</f>
        <v>5252042.43260332</v>
      </c>
      <c r="AP44" s="53" t="n">
        <f aca="false">AO44+AP43</f>
        <v>5488191.09091082</v>
      </c>
      <c r="AQ44" s="53" t="n">
        <f aca="false">AP44+AQ43</f>
        <v>5724361.97144054</v>
      </c>
      <c r="AR44" s="53" t="n">
        <f aca="false">AQ44+AR43</f>
        <v>5960555.07419248</v>
      </c>
      <c r="AS44" s="53" t="n">
        <f aca="false">AR44+AS43</f>
        <v>6196770.39916664</v>
      </c>
      <c r="AT44" s="53" t="n">
        <f aca="false">AS44+AT43</f>
        <v>6433007.94636303</v>
      </c>
      <c r="AU44" s="53" t="n">
        <f aca="false">AT44+AU43</f>
        <v>6669267.71578164</v>
      </c>
      <c r="AV44" s="53" t="n">
        <f aca="false">AU44+AV43</f>
        <v>6905549.70742247</v>
      </c>
      <c r="AW44" s="53" t="n">
        <f aca="false">AV44+AW43</f>
        <v>7141853.92128553</v>
      </c>
      <c r="AX44" s="53" t="n">
        <f aca="false">AW44+AX43</f>
        <v>7378180.3573708</v>
      </c>
      <c r="AY44" s="53" t="n">
        <f aca="false">AX44+AY43</f>
        <v>7700775.60388618</v>
      </c>
      <c r="AZ44" s="53" t="n">
        <f aca="false">AY44+AZ43</f>
        <v>8023393.07262378</v>
      </c>
      <c r="BA44" s="53" t="n">
        <f aca="false">AZ44+BA43</f>
        <v>8346032.7635836</v>
      </c>
      <c r="BB44" s="53" t="n">
        <f aca="false">BA44+BB43</f>
        <v>8668694.67676565</v>
      </c>
      <c r="BC44" s="53" t="n">
        <f aca="false">BB44+BC43</f>
        <v>8991378.81216991</v>
      </c>
      <c r="BD44" s="53" t="n">
        <f aca="false">BC44+BD43</f>
        <v>9314085.1697964</v>
      </c>
      <c r="BE44" s="53" t="n">
        <f aca="false">BD44+BE43</f>
        <v>9636813.74964511</v>
      </c>
      <c r="BF44" s="53" t="n">
        <f aca="false">BE44+BF43</f>
        <v>9959564.55171604</v>
      </c>
      <c r="BG44" s="53" t="n">
        <f aca="false">BF44+BG43</f>
        <v>10282337.5760092</v>
      </c>
      <c r="BH44" s="53" t="n">
        <f aca="false">BG44+BH43</f>
        <v>10605132.8225246</v>
      </c>
      <c r="BI44" s="53" t="n">
        <f aca="false">BH44+BI43</f>
        <v>10927950.2912622</v>
      </c>
      <c r="BJ44" s="53" t="n">
        <f aca="false">BI44+BJ43</f>
        <v>11250789.982222</v>
      </c>
    </row>
    <row r="45" customFormat="false" ht="15" hidden="false" customHeight="false" outlineLevel="0" collapsed="false">
      <c r="A45" s="108" t="s">
        <v>389</v>
      </c>
      <c r="C45" s="53" t="n">
        <f aca="false">MAX(0,C44)</f>
        <v>85217.1866666667</v>
      </c>
      <c r="D45" s="53" t="n">
        <f aca="false">MAX(C45,D44)</f>
        <v>170445.484444444</v>
      </c>
      <c r="E45" s="53" t="n">
        <f aca="false">MAX(D45,E44)</f>
        <v>255696.004444444</v>
      </c>
      <c r="F45" s="53" t="n">
        <f aca="false">MAX(E45,F44)</f>
        <v>340968.746666667</v>
      </c>
      <c r="G45" s="53" t="n">
        <f aca="false">MAX(F45,G44)</f>
        <v>426263.711111111</v>
      </c>
      <c r="H45" s="53" t="n">
        <f aca="false">MAX(G45,H44)</f>
        <v>511580.897777778</v>
      </c>
      <c r="I45" s="53" t="n">
        <f aca="false">MAX(H45,I44)</f>
        <v>596920.306666667</v>
      </c>
      <c r="J45" s="53" t="n">
        <f aca="false">MAX(I45,J44)</f>
        <v>682281.937777778</v>
      </c>
      <c r="K45" s="53" t="n">
        <f aca="false">MAX(J45,K44)</f>
        <v>767665.791111111</v>
      </c>
      <c r="L45" s="53" t="n">
        <f aca="false">MAX(K45,L44)</f>
        <v>853071.866666667</v>
      </c>
      <c r="M45" s="53" t="n">
        <f aca="false">MAX(L45,M44)</f>
        <v>938500.164444444</v>
      </c>
      <c r="N45" s="53" t="n">
        <f aca="false">MAX(M45,N44)</f>
        <v>1023950.68444444</v>
      </c>
      <c r="O45" s="53" t="n">
        <f aca="false">MAX(N45,O44)</f>
        <v>1146007.40798667</v>
      </c>
      <c r="P45" s="53" t="n">
        <f aca="false">MAX(O45,P44)</f>
        <v>1268086.35375111</v>
      </c>
      <c r="Q45" s="53" t="n">
        <f aca="false">MAX(P45,Q44)</f>
        <v>1390187.52173778</v>
      </c>
      <c r="R45" s="53" t="n">
        <f aca="false">MAX(Q45,R44)</f>
        <v>1512310.91194667</v>
      </c>
      <c r="S45" s="53" t="n">
        <f aca="false">MAX(R45,S44)</f>
        <v>1634456.52437778</v>
      </c>
      <c r="T45" s="53" t="n">
        <f aca="false">MAX(S45,T44)</f>
        <v>1756624.35903111</v>
      </c>
      <c r="U45" s="53" t="n">
        <f aca="false">MAX(T45,U44)</f>
        <v>1878814.41590667</v>
      </c>
      <c r="V45" s="53" t="n">
        <f aca="false">MAX(U45,V44)</f>
        <v>2001026.69500445</v>
      </c>
      <c r="W45" s="53" t="n">
        <f aca="false">MAX(V45,W44)</f>
        <v>2123261.19632445</v>
      </c>
      <c r="X45" s="53" t="n">
        <f aca="false">MAX(W45,X44)</f>
        <v>2245517.91986667</v>
      </c>
      <c r="Y45" s="53" t="n">
        <f aca="false">MAX(X45,Y44)</f>
        <v>2367796.86563111</v>
      </c>
      <c r="Z45" s="53" t="n">
        <f aca="false">MAX(Y45,Z44)</f>
        <v>2490098.03361778</v>
      </c>
      <c r="AA45" s="53" t="n">
        <f aca="false">MAX(Z45,AA44)</f>
        <v>2661111.79117859</v>
      </c>
      <c r="AB45" s="53" t="n">
        <f aca="false">MAX(AA45,AB44)</f>
        <v>2832147.77096162</v>
      </c>
      <c r="AC45" s="53" t="n">
        <f aca="false">MAX(AB45,AC44)</f>
        <v>3003205.97296687</v>
      </c>
      <c r="AD45" s="53" t="n">
        <f aca="false">MAX(AC45,AD44)</f>
        <v>3174286.39719435</v>
      </c>
      <c r="AE45" s="53" t="n">
        <f aca="false">MAX(AD45,AE44)</f>
        <v>3345389.04364405</v>
      </c>
      <c r="AF45" s="53" t="n">
        <f aca="false">MAX(AE45,AF44)</f>
        <v>3516513.91231597</v>
      </c>
      <c r="AG45" s="53" t="n">
        <f aca="false">MAX(AF45,AG44)</f>
        <v>3687661.00321011</v>
      </c>
      <c r="AH45" s="53" t="n">
        <f aca="false">MAX(AG45,AH44)</f>
        <v>3858830.31632647</v>
      </c>
      <c r="AI45" s="53" t="n">
        <f aca="false">MAX(AH45,AI44)</f>
        <v>4030021.85166506</v>
      </c>
      <c r="AJ45" s="53" t="n">
        <f aca="false">MAX(AI45,AJ44)</f>
        <v>4201235.60922587</v>
      </c>
      <c r="AK45" s="53" t="n">
        <f aca="false">MAX(AJ45,AK44)</f>
        <v>4372471.5890089</v>
      </c>
      <c r="AL45" s="53" t="n">
        <f aca="false">MAX(AK45,AL44)</f>
        <v>4543729.79101415</v>
      </c>
      <c r="AM45" s="53" t="n">
        <f aca="false">MAX(AL45,AM44)</f>
        <v>4779811.78265499</v>
      </c>
      <c r="AN45" s="53" t="n">
        <f aca="false">MAX(AM45,AN44)</f>
        <v>5015915.99651804</v>
      </c>
      <c r="AO45" s="53" t="n">
        <f aca="false">MAX(AN45,AO44)</f>
        <v>5252042.43260332</v>
      </c>
      <c r="AP45" s="53" t="n">
        <f aca="false">MAX(AO45,AP44)</f>
        <v>5488191.09091082</v>
      </c>
      <c r="AQ45" s="53" t="n">
        <f aca="false">MAX(AP45,AQ44)</f>
        <v>5724361.97144054</v>
      </c>
      <c r="AR45" s="53" t="n">
        <f aca="false">MAX(AQ45,AR44)</f>
        <v>5960555.07419248</v>
      </c>
      <c r="AS45" s="53" t="n">
        <f aca="false">MAX(AR45,AS44)</f>
        <v>6196770.39916664</v>
      </c>
      <c r="AT45" s="53" t="n">
        <f aca="false">MAX(AS45,AT44)</f>
        <v>6433007.94636303</v>
      </c>
      <c r="AU45" s="53" t="n">
        <f aca="false">MAX(AT45,AU44)</f>
        <v>6669267.71578164</v>
      </c>
      <c r="AV45" s="53" t="n">
        <f aca="false">MAX(AU45,AV44)</f>
        <v>6905549.70742247</v>
      </c>
      <c r="AW45" s="53" t="n">
        <f aca="false">MAX(AV45,AW44)</f>
        <v>7141853.92128553</v>
      </c>
      <c r="AX45" s="53" t="n">
        <f aca="false">MAX(AW45,AX44)</f>
        <v>7378180.3573708</v>
      </c>
      <c r="AY45" s="53" t="n">
        <f aca="false">MAX(AX45,AY44)</f>
        <v>7700775.60388618</v>
      </c>
      <c r="AZ45" s="53" t="n">
        <f aca="false">MAX(AY45,AZ44)</f>
        <v>8023393.07262378</v>
      </c>
      <c r="BA45" s="53" t="n">
        <f aca="false">MAX(AZ45,BA44)</f>
        <v>8346032.7635836</v>
      </c>
      <c r="BB45" s="53" t="n">
        <f aca="false">MAX(BA45,BB44)</f>
        <v>8668694.67676565</v>
      </c>
      <c r="BC45" s="53" t="n">
        <f aca="false">MAX(BB45,BC44)</f>
        <v>8991378.81216991</v>
      </c>
      <c r="BD45" s="53" t="n">
        <f aca="false">MAX(BC45,BD44)</f>
        <v>9314085.1697964</v>
      </c>
      <c r="BE45" s="53" t="n">
        <f aca="false">MAX(BD45,BE44)</f>
        <v>9636813.74964511</v>
      </c>
      <c r="BF45" s="53" t="n">
        <f aca="false">MAX(BE45,BF44)</f>
        <v>9959564.55171604</v>
      </c>
      <c r="BG45" s="53" t="n">
        <f aca="false">MAX(BF45,BG44)</f>
        <v>10282337.5760092</v>
      </c>
      <c r="BH45" s="53" t="n">
        <f aca="false">MAX(BG45,BH44)</f>
        <v>10605132.8225246</v>
      </c>
      <c r="BI45" s="53" t="n">
        <f aca="false">MAX(BH45,BI44)</f>
        <v>10927950.2912622</v>
      </c>
      <c r="BJ45" s="53" t="n">
        <f aca="false">MAX(BI45,BJ44)</f>
        <v>11250789.982222</v>
      </c>
    </row>
    <row r="46" customFormat="false" ht="15" hidden="false" customHeight="false" outlineLevel="0" collapsed="false">
      <c r="A46" s="6" t="s">
        <v>80</v>
      </c>
      <c r="C46" s="53" t="n">
        <f aca="false">-C45*Inputs!$E$66</f>
        <v>-17895.6092</v>
      </c>
      <c r="D46" s="53" t="n">
        <f aca="false">-(D45-C45)*Inputs!$E$66</f>
        <v>-17897.9425333333</v>
      </c>
      <c r="E46" s="53" t="n">
        <f aca="false">-(E45-D45)*Inputs!$E$66</f>
        <v>-17902.6092</v>
      </c>
      <c r="F46" s="53" t="n">
        <f aca="false">-(F45-E45)*Inputs!$E$66</f>
        <v>-17907.2758666667</v>
      </c>
      <c r="G46" s="53" t="n">
        <f aca="false">-(G45-F45)*Inputs!$E$66</f>
        <v>-17911.9425333333</v>
      </c>
      <c r="H46" s="53" t="n">
        <f aca="false">-(H45-G45)*Inputs!$E$66</f>
        <v>-17916.6092</v>
      </c>
      <c r="I46" s="53" t="n">
        <f aca="false">-(I45-H45)*Inputs!$E$66</f>
        <v>-17921.2758666667</v>
      </c>
      <c r="J46" s="53" t="n">
        <f aca="false">-(J45-I45)*Inputs!$E$66</f>
        <v>-17925.9425333333</v>
      </c>
      <c r="K46" s="53" t="n">
        <f aca="false">-(K45-J45)*Inputs!$E$66</f>
        <v>-17930.6092</v>
      </c>
      <c r="L46" s="53" t="n">
        <f aca="false">-(L45-K45)*Inputs!$E$66</f>
        <v>-17935.2758666667</v>
      </c>
      <c r="M46" s="53" t="n">
        <f aca="false">-(M45-L45)*Inputs!$E$66</f>
        <v>-17939.9425333333</v>
      </c>
      <c r="N46" s="53" t="n">
        <f aca="false">-(N45-M45)*Inputs!$E$66</f>
        <v>-17944.6092</v>
      </c>
      <c r="O46" s="53" t="n">
        <f aca="false">-(O45-N45)*Inputs!$E$66</f>
        <v>-25631.9119438667</v>
      </c>
      <c r="P46" s="53" t="n">
        <f aca="false">-(P45-O45)*Inputs!$E$66</f>
        <v>-25636.5786105334</v>
      </c>
      <c r="Q46" s="53" t="n">
        <f aca="false">-(Q45-P45)*Inputs!$E$66</f>
        <v>-25641.2452772</v>
      </c>
      <c r="R46" s="53" t="n">
        <f aca="false">-(R45-Q45)*Inputs!$E$66</f>
        <v>-25645.9119438667</v>
      </c>
      <c r="S46" s="53" t="n">
        <f aca="false">-(S45-R45)*Inputs!$E$66</f>
        <v>-25650.5786105334</v>
      </c>
      <c r="T46" s="53" t="n">
        <f aca="false">-(T45-S45)*Inputs!$E$66</f>
        <v>-25655.2452772</v>
      </c>
      <c r="U46" s="53" t="n">
        <f aca="false">-(U45-T45)*Inputs!$E$66</f>
        <v>-25659.9119438667</v>
      </c>
      <c r="V46" s="53" t="n">
        <f aca="false">-(V45-U45)*Inputs!$E$66</f>
        <v>-25664.5786105334</v>
      </c>
      <c r="W46" s="53" t="n">
        <f aca="false">-(W45-V45)*Inputs!$E$66</f>
        <v>-25669.2452772</v>
      </c>
      <c r="X46" s="53" t="n">
        <f aca="false">-(X45-W45)*Inputs!$E$66</f>
        <v>-25673.9119438667</v>
      </c>
      <c r="Y46" s="53" t="n">
        <f aca="false">-(Y45-X45)*Inputs!$E$66</f>
        <v>-25678.5786105334</v>
      </c>
      <c r="Z46" s="53" t="n">
        <f aca="false">-(Z45-Y45)*Inputs!$E$66</f>
        <v>-25683.2452772</v>
      </c>
      <c r="AA46" s="53" t="n">
        <f aca="false">-(AA45-Z45)*Inputs!$E$66</f>
        <v>-35912.8890877699</v>
      </c>
      <c r="AB46" s="53" t="n">
        <f aca="false">-(AB45-AA45)*Inputs!$E$66</f>
        <v>-35917.5557544365</v>
      </c>
      <c r="AC46" s="53" t="n">
        <f aca="false">-(AC45-AB45)*Inputs!$E$66</f>
        <v>-35922.2224211032</v>
      </c>
      <c r="AD46" s="53" t="n">
        <f aca="false">-(AD45-AC45)*Inputs!$E$66</f>
        <v>-35926.8890877699</v>
      </c>
      <c r="AE46" s="53" t="n">
        <f aca="false">-(AE45-AD45)*Inputs!$E$66</f>
        <v>-35931.5557544365</v>
      </c>
      <c r="AF46" s="53" t="n">
        <f aca="false">-(AF45-AE45)*Inputs!$E$66</f>
        <v>-35936.2224211032</v>
      </c>
      <c r="AG46" s="53" t="n">
        <f aca="false">-(AG45-AF45)*Inputs!$E$66</f>
        <v>-35940.8890877699</v>
      </c>
      <c r="AH46" s="53" t="n">
        <f aca="false">-(AH45-AG45)*Inputs!$E$66</f>
        <v>-35945.5557544366</v>
      </c>
      <c r="AI46" s="53" t="n">
        <f aca="false">-(AI45-AH45)*Inputs!$E$66</f>
        <v>-35950.2224211032</v>
      </c>
      <c r="AJ46" s="53" t="n">
        <f aca="false">-(AJ45-AI45)*Inputs!$E$66</f>
        <v>-35954.8890877699</v>
      </c>
      <c r="AK46" s="53" t="n">
        <f aca="false">-(AK45-AJ45)*Inputs!$E$66</f>
        <v>-35959.5557544365</v>
      </c>
      <c r="AL46" s="53" t="n">
        <f aca="false">-(AL45-AK45)*Inputs!$E$66</f>
        <v>-35964.2224211032</v>
      </c>
      <c r="AM46" s="53" t="n">
        <f aca="false">-(AM45-AL45)*Inputs!$E$66</f>
        <v>-49577.2182445748</v>
      </c>
      <c r="AN46" s="53" t="n">
        <f aca="false">-(AN45-AM45)*Inputs!$E$66</f>
        <v>-49581.8849112414</v>
      </c>
      <c r="AO46" s="53" t="n">
        <f aca="false">-(AO45-AN45)*Inputs!$E$66</f>
        <v>-49586.551577908</v>
      </c>
      <c r="AP46" s="53" t="n">
        <f aca="false">-(AP45-AO45)*Inputs!$E$66</f>
        <v>-49591.2182445746</v>
      </c>
      <c r="AQ46" s="53" t="n">
        <f aca="false">-(AQ45-AP45)*Inputs!$E$66</f>
        <v>-49595.8849112413</v>
      </c>
      <c r="AR46" s="53" t="n">
        <f aca="false">-(AR45-AQ45)*Inputs!$E$66</f>
        <v>-49600.5515779081</v>
      </c>
      <c r="AS46" s="53" t="n">
        <f aca="false">-(AS45-AR45)*Inputs!$E$66</f>
        <v>-49605.2182445747</v>
      </c>
      <c r="AT46" s="53" t="n">
        <f aca="false">-(AT45-AS45)*Inputs!$E$66</f>
        <v>-49609.8849112413</v>
      </c>
      <c r="AU46" s="53" t="n">
        <f aca="false">-(AU45-AT45)*Inputs!$E$66</f>
        <v>-49614.551577908</v>
      </c>
      <c r="AV46" s="53" t="n">
        <f aca="false">-(AV45-AU45)*Inputs!$E$66</f>
        <v>-49619.2182445748</v>
      </c>
      <c r="AW46" s="53" t="n">
        <f aca="false">-(AW45-AV45)*Inputs!$E$66</f>
        <v>-49623.8849112414</v>
      </c>
      <c r="AX46" s="53" t="n">
        <f aca="false">-(AX45-AW45)*Inputs!$E$66</f>
        <v>-49628.551577908</v>
      </c>
      <c r="AY46" s="53" t="n">
        <f aca="false">-(AY45-AX45)*Inputs!$E$66</f>
        <v>-67745.0017682293</v>
      </c>
      <c r="AZ46" s="53" t="n">
        <f aca="false">-(AZ45-AY45)*Inputs!$E$66</f>
        <v>-67749.6684348959</v>
      </c>
      <c r="BA46" s="53" t="n">
        <f aca="false">-(BA45-AZ45)*Inputs!$E$66</f>
        <v>-67754.3351015625</v>
      </c>
      <c r="BB46" s="53" t="n">
        <f aca="false">-(BB45-BA45)*Inputs!$E$66</f>
        <v>-67759.0017682291</v>
      </c>
      <c r="BC46" s="53" t="n">
        <f aca="false">-(BC45-BB45)*Inputs!$E$66</f>
        <v>-67763.6684348959</v>
      </c>
      <c r="BD46" s="53" t="n">
        <f aca="false">-(BD45-BC45)*Inputs!$E$66</f>
        <v>-67768.3351015626</v>
      </c>
      <c r="BE46" s="53" t="n">
        <f aca="false">-(BE45-BD45)*Inputs!$E$66</f>
        <v>-67773.0017682292</v>
      </c>
      <c r="BF46" s="53" t="n">
        <f aca="false">-(BF45-BE45)*Inputs!$E$66</f>
        <v>-67777.6684348958</v>
      </c>
      <c r="BG46" s="53" t="n">
        <f aca="false">-(BG45-BF45)*Inputs!$E$66</f>
        <v>-67782.3351015624</v>
      </c>
      <c r="BH46" s="53" t="n">
        <f aca="false">-(BH45-BG45)*Inputs!$E$66</f>
        <v>-67787.0017682291</v>
      </c>
      <c r="BI46" s="53" t="n">
        <f aca="false">-(BI45-BH45)*Inputs!$E$66</f>
        <v>-67791.6684348957</v>
      </c>
      <c r="BJ46" s="53" t="n">
        <f aca="false">-(BJ45-BI45)*Inputs!$E$66</f>
        <v>-67796.3351015627</v>
      </c>
    </row>
    <row r="47" customFormat="false" ht="15" hidden="false" customHeight="false" outlineLevel="0" collapsed="false">
      <c r="A47" s="101" t="s">
        <v>48</v>
      </c>
      <c r="C47" s="54" t="n">
        <f aca="false">C43+C46</f>
        <v>67321.5774666667</v>
      </c>
      <c r="D47" s="54" t="n">
        <f aca="false">D43+D46</f>
        <v>67330.3552444445</v>
      </c>
      <c r="E47" s="54" t="n">
        <f aca="false">E43+E46</f>
        <v>67347.9108</v>
      </c>
      <c r="F47" s="54" t="n">
        <f aca="false">F43+F46</f>
        <v>67365.4663555556</v>
      </c>
      <c r="G47" s="54" t="n">
        <f aca="false">G43+G46</f>
        <v>67383.0219111111</v>
      </c>
      <c r="H47" s="54" t="n">
        <f aca="false">H43+H46</f>
        <v>67400.5774666667</v>
      </c>
      <c r="I47" s="54" t="n">
        <f aca="false">I43+I46</f>
        <v>67418.1330222222</v>
      </c>
      <c r="J47" s="54" t="n">
        <f aca="false">J43+J46</f>
        <v>67435.6885777778</v>
      </c>
      <c r="K47" s="54" t="n">
        <f aca="false">K43+K46</f>
        <v>67453.2441333333</v>
      </c>
      <c r="L47" s="54" t="n">
        <f aca="false">L43+L46</f>
        <v>67470.7996888889</v>
      </c>
      <c r="M47" s="54" t="n">
        <f aca="false">M43+M46</f>
        <v>67488.3552444444</v>
      </c>
      <c r="N47" s="54" t="n">
        <f aca="false">N43+N46</f>
        <v>67505.9108</v>
      </c>
      <c r="O47" s="54" t="n">
        <f aca="false">O43+O46</f>
        <v>96424.8115983557</v>
      </c>
      <c r="P47" s="54" t="n">
        <f aca="false">P43+P46</f>
        <v>96442.3671539113</v>
      </c>
      <c r="Q47" s="54" t="n">
        <f aca="false">Q43+Q46</f>
        <v>96459.9227094669</v>
      </c>
      <c r="R47" s="54" t="n">
        <f aca="false">R43+R46</f>
        <v>96477.4782650224</v>
      </c>
      <c r="S47" s="54" t="n">
        <f aca="false">S43+S46</f>
        <v>96495.033820578</v>
      </c>
      <c r="T47" s="54" t="n">
        <f aca="false">T43+T46</f>
        <v>96512.5893761335</v>
      </c>
      <c r="U47" s="54" t="n">
        <f aca="false">U43+U46</f>
        <v>96530.1449316891</v>
      </c>
      <c r="V47" s="54" t="n">
        <f aca="false">V43+V46</f>
        <v>96547.7004872446</v>
      </c>
      <c r="W47" s="54" t="n">
        <f aca="false">W43+W46</f>
        <v>96565.2560428002</v>
      </c>
      <c r="X47" s="54" t="n">
        <f aca="false">X43+X46</f>
        <v>96582.8115983558</v>
      </c>
      <c r="Y47" s="54" t="n">
        <f aca="false">Y43+Y46</f>
        <v>96600.3671539113</v>
      </c>
      <c r="Z47" s="54" t="n">
        <f aca="false">Z43+Z46</f>
        <v>96617.9227094669</v>
      </c>
      <c r="AA47" s="54" t="n">
        <f aca="false">AA43+AA46</f>
        <v>135100.868473039</v>
      </c>
      <c r="AB47" s="54" t="n">
        <f aca="false">AB43+AB46</f>
        <v>135118.424028595</v>
      </c>
      <c r="AC47" s="54" t="n">
        <f aca="false">AC43+AC46</f>
        <v>135135.97958415</v>
      </c>
      <c r="AD47" s="54" t="n">
        <f aca="false">AD43+AD46</f>
        <v>135153.535139706</v>
      </c>
      <c r="AE47" s="54" t="n">
        <f aca="false">AE43+AE46</f>
        <v>135171.090695261</v>
      </c>
      <c r="AF47" s="54" t="n">
        <f aca="false">AF43+AF46</f>
        <v>135188.646250817</v>
      </c>
      <c r="AG47" s="54" t="n">
        <f aca="false">AG43+AG46</f>
        <v>135206.201806372</v>
      </c>
      <c r="AH47" s="54" t="n">
        <f aca="false">AH43+AH46</f>
        <v>135223.757361928</v>
      </c>
      <c r="AI47" s="54" t="n">
        <f aca="false">AI43+AI46</f>
        <v>135241.312917484</v>
      </c>
      <c r="AJ47" s="54" t="n">
        <f aca="false">AJ43+AJ46</f>
        <v>135258.868473039</v>
      </c>
      <c r="AK47" s="54" t="n">
        <f aca="false">AK43+AK46</f>
        <v>135276.424028595</v>
      </c>
      <c r="AL47" s="54" t="n">
        <f aca="false">AL43+AL46</f>
        <v>135293.97958415</v>
      </c>
      <c r="AM47" s="54" t="n">
        <f aca="false">AM43+AM46</f>
        <v>186504.773396257</v>
      </c>
      <c r="AN47" s="54" t="n">
        <f aca="false">AN43+AN46</f>
        <v>186522.328951813</v>
      </c>
      <c r="AO47" s="54" t="n">
        <f aca="false">AO43+AO46</f>
        <v>186539.884507368</v>
      </c>
      <c r="AP47" s="54" t="n">
        <f aca="false">AP43+AP46</f>
        <v>186557.440062924</v>
      </c>
      <c r="AQ47" s="54" t="n">
        <f aca="false">AQ43+AQ46</f>
        <v>186574.995618479</v>
      </c>
      <c r="AR47" s="54" t="n">
        <f aca="false">AR43+AR46</f>
        <v>186592.551174035</v>
      </c>
      <c r="AS47" s="54" t="n">
        <f aca="false">AS43+AS46</f>
        <v>186610.10672959</v>
      </c>
      <c r="AT47" s="54" t="n">
        <f aca="false">AT43+AT46</f>
        <v>186627.662285146</v>
      </c>
      <c r="AU47" s="54" t="n">
        <f aca="false">AU43+AU46</f>
        <v>186645.217840702</v>
      </c>
      <c r="AV47" s="54" t="n">
        <f aca="false">AV43+AV46</f>
        <v>186662.773396257</v>
      </c>
      <c r="AW47" s="54" t="n">
        <f aca="false">AW43+AW46</f>
        <v>186680.328951813</v>
      </c>
      <c r="AX47" s="54" t="n">
        <f aca="false">AX43+AX46</f>
        <v>186697.884507368</v>
      </c>
      <c r="AY47" s="54" t="n">
        <f aca="false">AY43+AY46</f>
        <v>254850.244747148</v>
      </c>
      <c r="AZ47" s="54" t="n">
        <f aca="false">AZ43+AZ46</f>
        <v>254867.800302703</v>
      </c>
      <c r="BA47" s="54" t="n">
        <f aca="false">BA43+BA46</f>
        <v>254885.355858259</v>
      </c>
      <c r="BB47" s="54" t="n">
        <f aca="false">BB43+BB46</f>
        <v>254902.911413815</v>
      </c>
      <c r="BC47" s="54" t="n">
        <f aca="false">BC43+BC46</f>
        <v>254920.46696937</v>
      </c>
      <c r="BD47" s="54" t="n">
        <f aca="false">BD43+BD46</f>
        <v>254938.022524926</v>
      </c>
      <c r="BE47" s="54" t="n">
        <f aca="false">BE43+BE46</f>
        <v>254955.578080481</v>
      </c>
      <c r="BF47" s="54" t="n">
        <f aca="false">BF43+BF46</f>
        <v>254973.133636037</v>
      </c>
      <c r="BG47" s="54" t="n">
        <f aca="false">BG43+BG46</f>
        <v>254990.689191592</v>
      </c>
      <c r="BH47" s="54" t="n">
        <f aca="false">BH43+BH46</f>
        <v>255008.244747148</v>
      </c>
      <c r="BI47" s="54" t="n">
        <f aca="false">BI43+BI46</f>
        <v>255025.800302704</v>
      </c>
      <c r="BJ47" s="54" t="n">
        <f aca="false">BJ43+BJ46</f>
        <v>255043.355858259</v>
      </c>
    </row>
    <row r="49" customFormat="false" ht="15.75" hidden="false" customHeight="true" outlineLevel="0" collapsed="false">
      <c r="A49" s="7" t="s">
        <v>390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customFormat="false" ht="15" hidden="false" customHeight="false" outlineLevel="0" collapsed="false">
      <c r="A50" s="6" t="s">
        <v>82</v>
      </c>
      <c r="C50" s="53" t="n">
        <f aca="false">IF(C$4=1,Inputs!$E$31,0)</f>
        <v>60000</v>
      </c>
      <c r="D50" s="53" t="n">
        <f aca="false">IF(D$4=1,Inputs!$E$31,0)</f>
        <v>0</v>
      </c>
      <c r="E50" s="53" t="n">
        <f aca="false">IF(E$4=1,Inputs!$E$31,0)</f>
        <v>0</v>
      </c>
      <c r="F50" s="53" t="n">
        <f aca="false">IF(F$4=1,Inputs!$E$31,0)</f>
        <v>0</v>
      </c>
      <c r="G50" s="53" t="n">
        <f aca="false">IF(G$4=1,Inputs!$E$31,0)</f>
        <v>0</v>
      </c>
      <c r="H50" s="53" t="n">
        <f aca="false">IF(H$4=1,Inputs!$E$31,0)</f>
        <v>0</v>
      </c>
      <c r="I50" s="53" t="n">
        <f aca="false">IF(I$4=1,Inputs!$E$31,0)</f>
        <v>0</v>
      </c>
      <c r="J50" s="53" t="n">
        <f aca="false">IF(J$4=1,Inputs!$E$31,0)</f>
        <v>0</v>
      </c>
      <c r="K50" s="53" t="n">
        <f aca="false">IF(K$4=1,Inputs!$E$31,0)</f>
        <v>0</v>
      </c>
      <c r="L50" s="53" t="n">
        <f aca="false">IF(L$4=1,Inputs!$E$31,0)</f>
        <v>0</v>
      </c>
      <c r="M50" s="53" t="n">
        <f aca="false">IF(M$4=1,Inputs!$E$31,0)</f>
        <v>0</v>
      </c>
      <c r="N50" s="53" t="n">
        <f aca="false">IF(N$4=1,Inputs!$E$31,0)</f>
        <v>0</v>
      </c>
      <c r="O50" s="53" t="n">
        <f aca="false">IF(O$4=1,Inputs!$E$31,0)</f>
        <v>0</v>
      </c>
      <c r="P50" s="53" t="n">
        <f aca="false">IF(P$4=1,Inputs!$E$31,0)</f>
        <v>0</v>
      </c>
      <c r="Q50" s="53" t="n">
        <f aca="false">IF(Q$4=1,Inputs!$E$31,0)</f>
        <v>0</v>
      </c>
      <c r="R50" s="53" t="n">
        <f aca="false">IF(R$4=1,Inputs!$E$31,0)</f>
        <v>0</v>
      </c>
      <c r="S50" s="53" t="n">
        <f aca="false">IF(S$4=1,Inputs!$E$31,0)</f>
        <v>0</v>
      </c>
      <c r="T50" s="53" t="n">
        <f aca="false">IF(T$4=1,Inputs!$E$31,0)</f>
        <v>0</v>
      </c>
      <c r="U50" s="53" t="n">
        <f aca="false">IF(U$4=1,Inputs!$E$31,0)</f>
        <v>0</v>
      </c>
      <c r="V50" s="53" t="n">
        <f aca="false">IF(V$4=1,Inputs!$E$31,0)</f>
        <v>0</v>
      </c>
      <c r="W50" s="53" t="n">
        <f aca="false">IF(W$4=1,Inputs!$E$31,0)</f>
        <v>0</v>
      </c>
      <c r="X50" s="53" t="n">
        <f aca="false">IF(X$4=1,Inputs!$E$31,0)</f>
        <v>0</v>
      </c>
      <c r="Y50" s="53" t="n">
        <f aca="false">IF(Y$4=1,Inputs!$E$31,0)</f>
        <v>0</v>
      </c>
      <c r="Z50" s="53" t="n">
        <f aca="false">IF(Z$4=1,Inputs!$E$31,0)</f>
        <v>0</v>
      </c>
      <c r="AA50" s="53" t="n">
        <f aca="false">IF(AA$4=1,Inputs!$E$31,0)</f>
        <v>0</v>
      </c>
      <c r="AB50" s="53" t="n">
        <f aca="false">IF(AB$4=1,Inputs!$E$31,0)</f>
        <v>0</v>
      </c>
      <c r="AC50" s="53" t="n">
        <f aca="false">IF(AC$4=1,Inputs!$E$31,0)</f>
        <v>0</v>
      </c>
      <c r="AD50" s="53" t="n">
        <f aca="false">IF(AD$4=1,Inputs!$E$31,0)</f>
        <v>0</v>
      </c>
      <c r="AE50" s="53" t="n">
        <f aca="false">IF(AE$4=1,Inputs!$E$31,0)</f>
        <v>0</v>
      </c>
      <c r="AF50" s="53" t="n">
        <f aca="false">IF(AF$4=1,Inputs!$E$31,0)</f>
        <v>0</v>
      </c>
      <c r="AG50" s="53" t="n">
        <f aca="false">IF(AG$4=1,Inputs!$E$31,0)</f>
        <v>0</v>
      </c>
      <c r="AH50" s="53" t="n">
        <f aca="false">IF(AH$4=1,Inputs!$E$31,0)</f>
        <v>0</v>
      </c>
      <c r="AI50" s="53" t="n">
        <f aca="false">IF(AI$4=1,Inputs!$E$31,0)</f>
        <v>0</v>
      </c>
      <c r="AJ50" s="53" t="n">
        <f aca="false">IF(AJ$4=1,Inputs!$E$31,0)</f>
        <v>0</v>
      </c>
      <c r="AK50" s="53" t="n">
        <f aca="false">IF(AK$4=1,Inputs!$E$31,0)</f>
        <v>0</v>
      </c>
      <c r="AL50" s="53" t="n">
        <f aca="false">IF(AL$4=1,Inputs!$E$31,0)</f>
        <v>0</v>
      </c>
      <c r="AM50" s="53" t="n">
        <f aca="false">IF(AM$4=1,Inputs!$E$31,0)</f>
        <v>0</v>
      </c>
      <c r="AN50" s="53" t="n">
        <f aca="false">IF(AN$4=1,Inputs!$E$31,0)</f>
        <v>0</v>
      </c>
      <c r="AO50" s="53" t="n">
        <f aca="false">IF(AO$4=1,Inputs!$E$31,0)</f>
        <v>0</v>
      </c>
      <c r="AP50" s="53" t="n">
        <f aca="false">IF(AP$4=1,Inputs!$E$31,0)</f>
        <v>0</v>
      </c>
      <c r="AQ50" s="53" t="n">
        <f aca="false">IF(AQ$4=1,Inputs!$E$31,0)</f>
        <v>0</v>
      </c>
      <c r="AR50" s="53" t="n">
        <f aca="false">IF(AR$4=1,Inputs!$E$31,0)</f>
        <v>0</v>
      </c>
      <c r="AS50" s="53" t="n">
        <f aca="false">IF(AS$4=1,Inputs!$E$31,0)</f>
        <v>0</v>
      </c>
      <c r="AT50" s="53" t="n">
        <f aca="false">IF(AT$4=1,Inputs!$E$31,0)</f>
        <v>0</v>
      </c>
      <c r="AU50" s="53" t="n">
        <f aca="false">IF(AU$4=1,Inputs!$E$31,0)</f>
        <v>0</v>
      </c>
      <c r="AV50" s="53" t="n">
        <f aca="false">IF(AV$4=1,Inputs!$E$31,0)</f>
        <v>0</v>
      </c>
      <c r="AW50" s="53" t="n">
        <f aca="false">IF(AW$4=1,Inputs!$E$31,0)</f>
        <v>0</v>
      </c>
      <c r="AX50" s="53" t="n">
        <f aca="false">IF(AX$4=1,Inputs!$E$31,0)</f>
        <v>0</v>
      </c>
      <c r="AY50" s="53" t="n">
        <f aca="false">IF(AY$4=1,Inputs!$E$31,0)</f>
        <v>0</v>
      </c>
      <c r="AZ50" s="53" t="n">
        <f aca="false">IF(AZ$4=1,Inputs!$E$31,0)</f>
        <v>0</v>
      </c>
      <c r="BA50" s="53" t="n">
        <f aca="false">IF(BA$4=1,Inputs!$E$31,0)</f>
        <v>0</v>
      </c>
      <c r="BB50" s="53" t="n">
        <f aca="false">IF(BB$4=1,Inputs!$E$31,0)</f>
        <v>0</v>
      </c>
      <c r="BC50" s="53" t="n">
        <f aca="false">IF(BC$4=1,Inputs!$E$31,0)</f>
        <v>0</v>
      </c>
      <c r="BD50" s="53" t="n">
        <f aca="false">IF(BD$4=1,Inputs!$E$31,0)</f>
        <v>0</v>
      </c>
      <c r="BE50" s="53" t="n">
        <f aca="false">IF(BE$4=1,Inputs!$E$31,0)</f>
        <v>0</v>
      </c>
      <c r="BF50" s="53" t="n">
        <f aca="false">IF(BF$4=1,Inputs!$E$31,0)</f>
        <v>0</v>
      </c>
      <c r="BG50" s="53" t="n">
        <f aca="false">IF(BG$4=1,Inputs!$E$31,0)</f>
        <v>0</v>
      </c>
      <c r="BH50" s="53" t="n">
        <f aca="false">IF(BH$4=1,Inputs!$E$31,0)</f>
        <v>0</v>
      </c>
      <c r="BI50" s="53" t="n">
        <f aca="false">IF(BI$4=1,Inputs!$E$31,0)</f>
        <v>0</v>
      </c>
      <c r="BJ50" s="53" t="n">
        <f aca="false">IF(BJ$4=1,Inputs!$E$31,0)</f>
        <v>0</v>
      </c>
    </row>
    <row r="51" customFormat="false" ht="15" hidden="false" customHeight="false" outlineLevel="0" collapsed="false">
      <c r="A51" s="6" t="s">
        <v>391</v>
      </c>
      <c r="C51" s="53" t="n">
        <f aca="false">C50</f>
        <v>60000</v>
      </c>
      <c r="D51" s="53" t="n">
        <f aca="false">C51+D50</f>
        <v>60000</v>
      </c>
      <c r="E51" s="53" t="n">
        <f aca="false">D51+E50</f>
        <v>60000</v>
      </c>
      <c r="F51" s="53" t="n">
        <f aca="false">E51+F50</f>
        <v>60000</v>
      </c>
      <c r="G51" s="53" t="n">
        <f aca="false">F51+G50</f>
        <v>60000</v>
      </c>
      <c r="H51" s="53" t="n">
        <f aca="false">G51+H50</f>
        <v>60000</v>
      </c>
      <c r="I51" s="53" t="n">
        <f aca="false">H51+I50</f>
        <v>60000</v>
      </c>
      <c r="J51" s="53" t="n">
        <f aca="false">I51+J50</f>
        <v>60000</v>
      </c>
      <c r="K51" s="53" t="n">
        <f aca="false">J51+K50</f>
        <v>60000</v>
      </c>
      <c r="L51" s="53" t="n">
        <f aca="false">K51+L50</f>
        <v>60000</v>
      </c>
      <c r="M51" s="53" t="n">
        <f aca="false">L51+M50</f>
        <v>60000</v>
      </c>
      <c r="N51" s="53" t="n">
        <f aca="false">M51+N50</f>
        <v>60000</v>
      </c>
      <c r="O51" s="53" t="n">
        <f aca="false">N51+O50</f>
        <v>60000</v>
      </c>
      <c r="P51" s="53" t="n">
        <f aca="false">O51+P50</f>
        <v>60000</v>
      </c>
      <c r="Q51" s="53" t="n">
        <f aca="false">P51+Q50</f>
        <v>60000</v>
      </c>
      <c r="R51" s="53" t="n">
        <f aca="false">Q51+R50</f>
        <v>60000</v>
      </c>
      <c r="S51" s="53" t="n">
        <f aca="false">R51+S50</f>
        <v>60000</v>
      </c>
      <c r="T51" s="53" t="n">
        <f aca="false">S51+T50</f>
        <v>60000</v>
      </c>
      <c r="U51" s="53" t="n">
        <f aca="false">T51+U50</f>
        <v>60000</v>
      </c>
      <c r="V51" s="53" t="n">
        <f aca="false">U51+V50</f>
        <v>60000</v>
      </c>
      <c r="W51" s="53" t="n">
        <f aca="false">V51+W50</f>
        <v>60000</v>
      </c>
      <c r="X51" s="53" t="n">
        <f aca="false">W51+X50</f>
        <v>60000</v>
      </c>
      <c r="Y51" s="53" t="n">
        <f aca="false">X51+Y50</f>
        <v>60000</v>
      </c>
      <c r="Z51" s="53" t="n">
        <f aca="false">Y51+Z50</f>
        <v>60000</v>
      </c>
      <c r="AA51" s="53" t="n">
        <f aca="false">Z51+AA50</f>
        <v>60000</v>
      </c>
      <c r="AB51" s="53" t="n">
        <f aca="false">AA51+AB50</f>
        <v>60000</v>
      </c>
      <c r="AC51" s="53" t="n">
        <f aca="false">AB51+AC50</f>
        <v>60000</v>
      </c>
      <c r="AD51" s="53" t="n">
        <f aca="false">AC51+AD50</f>
        <v>60000</v>
      </c>
      <c r="AE51" s="53" t="n">
        <f aca="false">AD51+AE50</f>
        <v>60000</v>
      </c>
      <c r="AF51" s="53" t="n">
        <f aca="false">AE51+AF50</f>
        <v>60000</v>
      </c>
      <c r="AG51" s="53" t="n">
        <f aca="false">AF51+AG50</f>
        <v>60000</v>
      </c>
      <c r="AH51" s="53" t="n">
        <f aca="false">AG51+AH50</f>
        <v>60000</v>
      </c>
      <c r="AI51" s="53" t="n">
        <f aca="false">AH51+AI50</f>
        <v>60000</v>
      </c>
      <c r="AJ51" s="53" t="n">
        <f aca="false">AI51+AJ50</f>
        <v>60000</v>
      </c>
      <c r="AK51" s="53" t="n">
        <f aca="false">AJ51+AK50</f>
        <v>60000</v>
      </c>
      <c r="AL51" s="53" t="n">
        <f aca="false">AK51+AL50</f>
        <v>60000</v>
      </c>
      <c r="AM51" s="53" t="n">
        <f aca="false">AL51+AM50</f>
        <v>60000</v>
      </c>
      <c r="AN51" s="53" t="n">
        <f aca="false">AM51+AN50</f>
        <v>60000</v>
      </c>
      <c r="AO51" s="53" t="n">
        <f aca="false">AN51+AO50</f>
        <v>60000</v>
      </c>
      <c r="AP51" s="53" t="n">
        <f aca="false">AO51+AP50</f>
        <v>60000</v>
      </c>
      <c r="AQ51" s="53" t="n">
        <f aca="false">AP51+AQ50</f>
        <v>60000</v>
      </c>
      <c r="AR51" s="53" t="n">
        <f aca="false">AQ51+AR50</f>
        <v>60000</v>
      </c>
      <c r="AS51" s="53" t="n">
        <f aca="false">AR51+AS50</f>
        <v>60000</v>
      </c>
      <c r="AT51" s="53" t="n">
        <f aca="false">AS51+AT50</f>
        <v>60000</v>
      </c>
      <c r="AU51" s="53" t="n">
        <f aca="false">AT51+AU50</f>
        <v>60000</v>
      </c>
      <c r="AV51" s="53" t="n">
        <f aca="false">AU51+AV50</f>
        <v>60000</v>
      </c>
      <c r="AW51" s="53" t="n">
        <f aca="false">AV51+AW50</f>
        <v>60000</v>
      </c>
      <c r="AX51" s="53" t="n">
        <f aca="false">AW51+AX50</f>
        <v>60000</v>
      </c>
      <c r="AY51" s="53" t="n">
        <f aca="false">AX51+AY50</f>
        <v>60000</v>
      </c>
      <c r="AZ51" s="53" t="n">
        <f aca="false">AY51+AZ50</f>
        <v>60000</v>
      </c>
      <c r="BA51" s="53" t="n">
        <f aca="false">AZ51+BA50</f>
        <v>60000</v>
      </c>
      <c r="BB51" s="53" t="n">
        <f aca="false">BA51+BB50</f>
        <v>60000</v>
      </c>
      <c r="BC51" s="53" t="n">
        <f aca="false">BB51+BC50</f>
        <v>60000</v>
      </c>
      <c r="BD51" s="53" t="n">
        <f aca="false">BC51+BD50</f>
        <v>60000</v>
      </c>
      <c r="BE51" s="53" t="n">
        <f aca="false">BD51+BE50</f>
        <v>60000</v>
      </c>
      <c r="BF51" s="53" t="n">
        <f aca="false">BE51+BF50</f>
        <v>60000</v>
      </c>
      <c r="BG51" s="53" t="n">
        <f aca="false">BF51+BG50</f>
        <v>60000</v>
      </c>
      <c r="BH51" s="53" t="n">
        <f aca="false">BG51+BH50</f>
        <v>60000</v>
      </c>
      <c r="BI51" s="53" t="n">
        <f aca="false">BH51+BI50</f>
        <v>60000</v>
      </c>
      <c r="BJ51" s="53" t="n">
        <f aca="false">BI51+BJ50</f>
        <v>60000</v>
      </c>
    </row>
    <row r="52" customFormat="false" ht="15" hidden="false" customHeight="false" outlineLevel="0" collapsed="false">
      <c r="A52" s="6" t="s">
        <v>76</v>
      </c>
      <c r="C52" s="53" t="n">
        <f aca="false">-MIN(C51/MAX(1,Inputs!$E$65*12),C50)</f>
        <v>-1000</v>
      </c>
      <c r="D52" s="53" t="n">
        <f aca="false">-MIN(D51/MAX(1,Inputs!$E$65*12),C54+D50)</f>
        <v>-1000</v>
      </c>
      <c r="E52" s="53" t="n">
        <f aca="false">-MIN(E51/MAX(1,Inputs!$E$65*12),D54+E50)</f>
        <v>-1000</v>
      </c>
      <c r="F52" s="53" t="n">
        <f aca="false">-MIN(F51/MAX(1,Inputs!$E$65*12),E54+F50)</f>
        <v>-1000</v>
      </c>
      <c r="G52" s="53" t="n">
        <f aca="false">-MIN(G51/MAX(1,Inputs!$E$65*12),F54+G50)</f>
        <v>-1000</v>
      </c>
      <c r="H52" s="53" t="n">
        <f aca="false">-MIN(H51/MAX(1,Inputs!$E$65*12),G54+H50)</f>
        <v>-1000</v>
      </c>
      <c r="I52" s="53" t="n">
        <f aca="false">-MIN(I51/MAX(1,Inputs!$E$65*12),H54+I50)</f>
        <v>-1000</v>
      </c>
      <c r="J52" s="53" t="n">
        <f aca="false">-MIN(J51/MAX(1,Inputs!$E$65*12),I54+J50)</f>
        <v>-1000</v>
      </c>
      <c r="K52" s="53" t="n">
        <f aca="false">-MIN(K51/MAX(1,Inputs!$E$65*12),J54+K50)</f>
        <v>-1000</v>
      </c>
      <c r="L52" s="53" t="n">
        <f aca="false">-MIN(L51/MAX(1,Inputs!$E$65*12),K54+L50)</f>
        <v>-1000</v>
      </c>
      <c r="M52" s="53" t="n">
        <f aca="false">-MIN(M51/MAX(1,Inputs!$E$65*12),L54+M50)</f>
        <v>-1000</v>
      </c>
      <c r="N52" s="53" t="n">
        <f aca="false">-MIN(N51/MAX(1,Inputs!$E$65*12),M54+N50)</f>
        <v>-1000</v>
      </c>
      <c r="O52" s="53" t="n">
        <f aca="false">-MIN(O51/MAX(1,Inputs!$E$65*12),N54+O50)</f>
        <v>-1000</v>
      </c>
      <c r="P52" s="53" t="n">
        <f aca="false">-MIN(P51/MAX(1,Inputs!$E$65*12),O54+P50)</f>
        <v>-1000</v>
      </c>
      <c r="Q52" s="53" t="n">
        <f aca="false">-MIN(Q51/MAX(1,Inputs!$E$65*12),P54+Q50)</f>
        <v>-1000</v>
      </c>
      <c r="R52" s="53" t="n">
        <f aca="false">-MIN(R51/MAX(1,Inputs!$E$65*12),Q54+R50)</f>
        <v>-1000</v>
      </c>
      <c r="S52" s="53" t="n">
        <f aca="false">-MIN(S51/MAX(1,Inputs!$E$65*12),R54+S50)</f>
        <v>-1000</v>
      </c>
      <c r="T52" s="53" t="n">
        <f aca="false">-MIN(T51/MAX(1,Inputs!$E$65*12),S54+T50)</f>
        <v>-1000</v>
      </c>
      <c r="U52" s="53" t="n">
        <f aca="false">-MIN(U51/MAX(1,Inputs!$E$65*12),T54+U50)</f>
        <v>-1000</v>
      </c>
      <c r="V52" s="53" t="n">
        <f aca="false">-MIN(V51/MAX(1,Inputs!$E$65*12),U54+V50)</f>
        <v>-1000</v>
      </c>
      <c r="W52" s="53" t="n">
        <f aca="false">-MIN(W51/MAX(1,Inputs!$E$65*12),V54+W50)</f>
        <v>-1000</v>
      </c>
      <c r="X52" s="53" t="n">
        <f aca="false">-MIN(X51/MAX(1,Inputs!$E$65*12),W54+X50)</f>
        <v>-1000</v>
      </c>
      <c r="Y52" s="53" t="n">
        <f aca="false">-MIN(Y51/MAX(1,Inputs!$E$65*12),X54+Y50)</f>
        <v>-1000</v>
      </c>
      <c r="Z52" s="53" t="n">
        <f aca="false">-MIN(Z51/MAX(1,Inputs!$E$65*12),Y54+Z50)</f>
        <v>-1000</v>
      </c>
      <c r="AA52" s="53" t="n">
        <f aca="false">-MIN(AA51/MAX(1,Inputs!$E$65*12),Z54+AA50)</f>
        <v>-1000</v>
      </c>
      <c r="AB52" s="53" t="n">
        <f aca="false">-MIN(AB51/MAX(1,Inputs!$E$65*12),AA54+AB50)</f>
        <v>-1000</v>
      </c>
      <c r="AC52" s="53" t="n">
        <f aca="false">-MIN(AC51/MAX(1,Inputs!$E$65*12),AB54+AC50)</f>
        <v>-1000</v>
      </c>
      <c r="AD52" s="53" t="n">
        <f aca="false">-MIN(AD51/MAX(1,Inputs!$E$65*12),AC54+AD50)</f>
        <v>-1000</v>
      </c>
      <c r="AE52" s="53" t="n">
        <f aca="false">-MIN(AE51/MAX(1,Inputs!$E$65*12),AD54+AE50)</f>
        <v>-1000</v>
      </c>
      <c r="AF52" s="53" t="n">
        <f aca="false">-MIN(AF51/MAX(1,Inputs!$E$65*12),AE54+AF50)</f>
        <v>-1000</v>
      </c>
      <c r="AG52" s="53" t="n">
        <f aca="false">-MIN(AG51/MAX(1,Inputs!$E$65*12),AF54+AG50)</f>
        <v>-1000</v>
      </c>
      <c r="AH52" s="53" t="n">
        <f aca="false">-MIN(AH51/MAX(1,Inputs!$E$65*12),AG54+AH50)</f>
        <v>-1000</v>
      </c>
      <c r="AI52" s="53" t="n">
        <f aca="false">-MIN(AI51/MAX(1,Inputs!$E$65*12),AH54+AI50)</f>
        <v>-1000</v>
      </c>
      <c r="AJ52" s="53" t="n">
        <f aca="false">-MIN(AJ51/MAX(1,Inputs!$E$65*12),AI54+AJ50)</f>
        <v>-1000</v>
      </c>
      <c r="AK52" s="53" t="n">
        <f aca="false">-MIN(AK51/MAX(1,Inputs!$E$65*12),AJ54+AK50)</f>
        <v>-1000</v>
      </c>
      <c r="AL52" s="53" t="n">
        <f aca="false">-MIN(AL51/MAX(1,Inputs!$E$65*12),AK54+AL50)</f>
        <v>-1000</v>
      </c>
      <c r="AM52" s="53" t="n">
        <f aca="false">-MIN(AM51/MAX(1,Inputs!$E$65*12),AL54+AM50)</f>
        <v>-1000</v>
      </c>
      <c r="AN52" s="53" t="n">
        <f aca="false">-MIN(AN51/MAX(1,Inputs!$E$65*12),AM54+AN50)</f>
        <v>-1000</v>
      </c>
      <c r="AO52" s="53" t="n">
        <f aca="false">-MIN(AO51/MAX(1,Inputs!$E$65*12),AN54+AO50)</f>
        <v>-1000</v>
      </c>
      <c r="AP52" s="53" t="n">
        <f aca="false">-MIN(AP51/MAX(1,Inputs!$E$65*12),AO54+AP50)</f>
        <v>-1000</v>
      </c>
      <c r="AQ52" s="53" t="n">
        <f aca="false">-MIN(AQ51/MAX(1,Inputs!$E$65*12),AP54+AQ50)</f>
        <v>-1000</v>
      </c>
      <c r="AR52" s="53" t="n">
        <f aca="false">-MIN(AR51/MAX(1,Inputs!$E$65*12),AQ54+AR50)</f>
        <v>-1000</v>
      </c>
      <c r="AS52" s="53" t="n">
        <f aca="false">-MIN(AS51/MAX(1,Inputs!$E$65*12),AR54+AS50)</f>
        <v>-1000</v>
      </c>
      <c r="AT52" s="53" t="n">
        <f aca="false">-MIN(AT51/MAX(1,Inputs!$E$65*12),AS54+AT50)</f>
        <v>-1000</v>
      </c>
      <c r="AU52" s="53" t="n">
        <f aca="false">-MIN(AU51/MAX(1,Inputs!$E$65*12),AT54+AU50)</f>
        <v>-1000</v>
      </c>
      <c r="AV52" s="53" t="n">
        <f aca="false">-MIN(AV51/MAX(1,Inputs!$E$65*12),AU54+AV50)</f>
        <v>-1000</v>
      </c>
      <c r="AW52" s="53" t="n">
        <f aca="false">-MIN(AW51/MAX(1,Inputs!$E$65*12),AV54+AW50)</f>
        <v>-1000</v>
      </c>
      <c r="AX52" s="53" t="n">
        <f aca="false">-MIN(AX51/MAX(1,Inputs!$E$65*12),AW54+AX50)</f>
        <v>-1000</v>
      </c>
      <c r="AY52" s="53" t="n">
        <f aca="false">-MIN(AY51/MAX(1,Inputs!$E$65*12),AX54+AY50)</f>
        <v>-1000</v>
      </c>
      <c r="AZ52" s="53" t="n">
        <f aca="false">-MIN(AZ51/MAX(1,Inputs!$E$65*12),AY54+AZ50)</f>
        <v>-1000</v>
      </c>
      <c r="BA52" s="53" t="n">
        <f aca="false">-MIN(BA51/MAX(1,Inputs!$E$65*12),AZ54+BA50)</f>
        <v>-1000</v>
      </c>
      <c r="BB52" s="53" t="n">
        <f aca="false">-MIN(BB51/MAX(1,Inputs!$E$65*12),BA54+BB50)</f>
        <v>-1000</v>
      </c>
      <c r="BC52" s="53" t="n">
        <f aca="false">-MIN(BC51/MAX(1,Inputs!$E$65*12),BB54+BC50)</f>
        <v>-1000</v>
      </c>
      <c r="BD52" s="53" t="n">
        <f aca="false">-MIN(BD51/MAX(1,Inputs!$E$65*12),BC54+BD50)</f>
        <v>-1000</v>
      </c>
      <c r="BE52" s="53" t="n">
        <f aca="false">-MIN(BE51/MAX(1,Inputs!$E$65*12),BD54+BE50)</f>
        <v>-1000</v>
      </c>
      <c r="BF52" s="53" t="n">
        <f aca="false">-MIN(BF51/MAX(1,Inputs!$E$65*12),BE54+BF50)</f>
        <v>-1000</v>
      </c>
      <c r="BG52" s="53" t="n">
        <f aca="false">-MIN(BG51/MAX(1,Inputs!$E$65*12),BF54+BG50)</f>
        <v>-1000</v>
      </c>
      <c r="BH52" s="53" t="n">
        <f aca="false">-MIN(BH51/MAX(1,Inputs!$E$65*12),BG54+BH50)</f>
        <v>-1000</v>
      </c>
      <c r="BI52" s="53" t="n">
        <f aca="false">-MIN(BI51/MAX(1,Inputs!$E$65*12),BH54+BI50)</f>
        <v>-1000</v>
      </c>
      <c r="BJ52" s="53" t="n">
        <f aca="false">-MIN(BJ51/MAX(1,Inputs!$E$65*12),BI54+BJ50)</f>
        <v>-1000</v>
      </c>
    </row>
    <row r="53" customFormat="false" ht="15" hidden="false" customHeight="false" outlineLevel="0" collapsed="false">
      <c r="A53" s="6" t="s">
        <v>392</v>
      </c>
      <c r="C53" s="53" t="n">
        <f aca="false">C52</f>
        <v>-1000</v>
      </c>
      <c r="D53" s="53" t="n">
        <f aca="false">C53+D52</f>
        <v>-2000</v>
      </c>
      <c r="E53" s="53" t="n">
        <f aca="false">D53+E52</f>
        <v>-3000</v>
      </c>
      <c r="F53" s="53" t="n">
        <f aca="false">E53+F52</f>
        <v>-4000</v>
      </c>
      <c r="G53" s="53" t="n">
        <f aca="false">F53+G52</f>
        <v>-5000</v>
      </c>
      <c r="H53" s="53" t="n">
        <f aca="false">G53+H52</f>
        <v>-6000</v>
      </c>
      <c r="I53" s="53" t="n">
        <f aca="false">H53+I52</f>
        <v>-7000</v>
      </c>
      <c r="J53" s="53" t="n">
        <f aca="false">I53+J52</f>
        <v>-8000</v>
      </c>
      <c r="K53" s="53" t="n">
        <f aca="false">J53+K52</f>
        <v>-9000</v>
      </c>
      <c r="L53" s="53" t="n">
        <f aca="false">K53+L52</f>
        <v>-10000</v>
      </c>
      <c r="M53" s="53" t="n">
        <f aca="false">L53+M52</f>
        <v>-11000</v>
      </c>
      <c r="N53" s="53" t="n">
        <f aca="false">M53+N52</f>
        <v>-12000</v>
      </c>
      <c r="O53" s="53" t="n">
        <f aca="false">N53+O52</f>
        <v>-13000</v>
      </c>
      <c r="P53" s="53" t="n">
        <f aca="false">O53+P52</f>
        <v>-14000</v>
      </c>
      <c r="Q53" s="53" t="n">
        <f aca="false">P53+Q52</f>
        <v>-15000</v>
      </c>
      <c r="R53" s="53" t="n">
        <f aca="false">Q53+R52</f>
        <v>-16000</v>
      </c>
      <c r="S53" s="53" t="n">
        <f aca="false">R53+S52</f>
        <v>-17000</v>
      </c>
      <c r="T53" s="53" t="n">
        <f aca="false">S53+T52</f>
        <v>-18000</v>
      </c>
      <c r="U53" s="53" t="n">
        <f aca="false">T53+U52</f>
        <v>-19000</v>
      </c>
      <c r="V53" s="53" t="n">
        <f aca="false">U53+V52</f>
        <v>-20000</v>
      </c>
      <c r="W53" s="53" t="n">
        <f aca="false">V53+W52</f>
        <v>-21000</v>
      </c>
      <c r="X53" s="53" t="n">
        <f aca="false">W53+X52</f>
        <v>-22000</v>
      </c>
      <c r="Y53" s="53" t="n">
        <f aca="false">X53+Y52</f>
        <v>-23000</v>
      </c>
      <c r="Z53" s="53" t="n">
        <f aca="false">Y53+Z52</f>
        <v>-24000</v>
      </c>
      <c r="AA53" s="53" t="n">
        <f aca="false">Z53+AA52</f>
        <v>-25000</v>
      </c>
      <c r="AB53" s="53" t="n">
        <f aca="false">AA53+AB52</f>
        <v>-26000</v>
      </c>
      <c r="AC53" s="53" t="n">
        <f aca="false">AB53+AC52</f>
        <v>-27000</v>
      </c>
      <c r="AD53" s="53" t="n">
        <f aca="false">AC53+AD52</f>
        <v>-28000</v>
      </c>
      <c r="AE53" s="53" t="n">
        <f aca="false">AD53+AE52</f>
        <v>-29000</v>
      </c>
      <c r="AF53" s="53" t="n">
        <f aca="false">AE53+AF52</f>
        <v>-30000</v>
      </c>
      <c r="AG53" s="53" t="n">
        <f aca="false">AF53+AG52</f>
        <v>-31000</v>
      </c>
      <c r="AH53" s="53" t="n">
        <f aca="false">AG53+AH52</f>
        <v>-32000</v>
      </c>
      <c r="AI53" s="53" t="n">
        <f aca="false">AH53+AI52</f>
        <v>-33000</v>
      </c>
      <c r="AJ53" s="53" t="n">
        <f aca="false">AI53+AJ52</f>
        <v>-34000</v>
      </c>
      <c r="AK53" s="53" t="n">
        <f aca="false">AJ53+AK52</f>
        <v>-35000</v>
      </c>
      <c r="AL53" s="53" t="n">
        <f aca="false">AK53+AL52</f>
        <v>-36000</v>
      </c>
      <c r="AM53" s="53" t="n">
        <f aca="false">AL53+AM52</f>
        <v>-37000</v>
      </c>
      <c r="AN53" s="53" t="n">
        <f aca="false">AM53+AN52</f>
        <v>-38000</v>
      </c>
      <c r="AO53" s="53" t="n">
        <f aca="false">AN53+AO52</f>
        <v>-39000</v>
      </c>
      <c r="AP53" s="53" t="n">
        <f aca="false">AO53+AP52</f>
        <v>-40000</v>
      </c>
      <c r="AQ53" s="53" t="n">
        <f aca="false">AP53+AQ52</f>
        <v>-41000</v>
      </c>
      <c r="AR53" s="53" t="n">
        <f aca="false">AQ53+AR52</f>
        <v>-42000</v>
      </c>
      <c r="AS53" s="53" t="n">
        <f aca="false">AR53+AS52</f>
        <v>-43000</v>
      </c>
      <c r="AT53" s="53" t="n">
        <f aca="false">AS53+AT52</f>
        <v>-44000</v>
      </c>
      <c r="AU53" s="53" t="n">
        <f aca="false">AT53+AU52</f>
        <v>-45000</v>
      </c>
      <c r="AV53" s="53" t="n">
        <f aca="false">AU53+AV52</f>
        <v>-46000</v>
      </c>
      <c r="AW53" s="53" t="n">
        <f aca="false">AV53+AW52</f>
        <v>-47000</v>
      </c>
      <c r="AX53" s="53" t="n">
        <f aca="false">AW53+AX52</f>
        <v>-48000</v>
      </c>
      <c r="AY53" s="53" t="n">
        <f aca="false">AX53+AY52</f>
        <v>-49000</v>
      </c>
      <c r="AZ53" s="53" t="n">
        <f aca="false">AY53+AZ52</f>
        <v>-50000</v>
      </c>
      <c r="BA53" s="53" t="n">
        <f aca="false">AZ53+BA52</f>
        <v>-51000</v>
      </c>
      <c r="BB53" s="53" t="n">
        <f aca="false">BA53+BB52</f>
        <v>-52000</v>
      </c>
      <c r="BC53" s="53" t="n">
        <f aca="false">BB53+BC52</f>
        <v>-53000</v>
      </c>
      <c r="BD53" s="53" t="n">
        <f aca="false">BC53+BD52</f>
        <v>-54000</v>
      </c>
      <c r="BE53" s="53" t="n">
        <f aca="false">BD53+BE52</f>
        <v>-55000</v>
      </c>
      <c r="BF53" s="53" t="n">
        <f aca="false">BE53+BF52</f>
        <v>-56000</v>
      </c>
      <c r="BG53" s="53" t="n">
        <f aca="false">BF53+BG52</f>
        <v>-57000</v>
      </c>
      <c r="BH53" s="53" t="n">
        <f aca="false">BG53+BH52</f>
        <v>-58000</v>
      </c>
      <c r="BI53" s="53" t="n">
        <f aca="false">BH53+BI52</f>
        <v>-59000</v>
      </c>
      <c r="BJ53" s="53" t="n">
        <f aca="false">BI53+BJ52</f>
        <v>-60000</v>
      </c>
    </row>
    <row r="54" customFormat="false" ht="15" hidden="false" customHeight="false" outlineLevel="0" collapsed="false">
      <c r="A54" s="4" t="s">
        <v>90</v>
      </c>
      <c r="C54" s="60" t="n">
        <f aca="false">C51+C53</f>
        <v>59000</v>
      </c>
      <c r="D54" s="60" t="n">
        <f aca="false">D51+D53</f>
        <v>58000</v>
      </c>
      <c r="E54" s="60" t="n">
        <f aca="false">E51+E53</f>
        <v>57000</v>
      </c>
      <c r="F54" s="60" t="n">
        <f aca="false">F51+F53</f>
        <v>56000</v>
      </c>
      <c r="G54" s="60" t="n">
        <f aca="false">G51+G53</f>
        <v>55000</v>
      </c>
      <c r="H54" s="60" t="n">
        <f aca="false">H51+H53</f>
        <v>54000</v>
      </c>
      <c r="I54" s="60" t="n">
        <f aca="false">I51+I53</f>
        <v>53000</v>
      </c>
      <c r="J54" s="60" t="n">
        <f aca="false">J51+J53</f>
        <v>52000</v>
      </c>
      <c r="K54" s="60" t="n">
        <f aca="false">K51+K53</f>
        <v>51000</v>
      </c>
      <c r="L54" s="60" t="n">
        <f aca="false">L51+L53</f>
        <v>50000</v>
      </c>
      <c r="M54" s="60" t="n">
        <f aca="false">M51+M53</f>
        <v>49000</v>
      </c>
      <c r="N54" s="60" t="n">
        <f aca="false">N51+N53</f>
        <v>48000</v>
      </c>
      <c r="O54" s="60" t="n">
        <f aca="false">O51+O53</f>
        <v>47000</v>
      </c>
      <c r="P54" s="60" t="n">
        <f aca="false">P51+P53</f>
        <v>46000</v>
      </c>
      <c r="Q54" s="60" t="n">
        <f aca="false">Q51+Q53</f>
        <v>45000</v>
      </c>
      <c r="R54" s="60" t="n">
        <f aca="false">R51+R53</f>
        <v>44000</v>
      </c>
      <c r="S54" s="60" t="n">
        <f aca="false">S51+S53</f>
        <v>43000</v>
      </c>
      <c r="T54" s="60" t="n">
        <f aca="false">T51+T53</f>
        <v>42000</v>
      </c>
      <c r="U54" s="60" t="n">
        <f aca="false">U51+U53</f>
        <v>41000</v>
      </c>
      <c r="V54" s="60" t="n">
        <f aca="false">V51+V53</f>
        <v>40000</v>
      </c>
      <c r="W54" s="60" t="n">
        <f aca="false">W51+W53</f>
        <v>39000</v>
      </c>
      <c r="X54" s="60" t="n">
        <f aca="false">X51+X53</f>
        <v>38000</v>
      </c>
      <c r="Y54" s="60" t="n">
        <f aca="false">Y51+Y53</f>
        <v>37000</v>
      </c>
      <c r="Z54" s="60" t="n">
        <f aca="false">Z51+Z53</f>
        <v>36000</v>
      </c>
      <c r="AA54" s="60" t="n">
        <f aca="false">AA51+AA53</f>
        <v>35000</v>
      </c>
      <c r="AB54" s="60" t="n">
        <f aca="false">AB51+AB53</f>
        <v>34000</v>
      </c>
      <c r="AC54" s="60" t="n">
        <f aca="false">AC51+AC53</f>
        <v>33000</v>
      </c>
      <c r="AD54" s="60" t="n">
        <f aca="false">AD51+AD53</f>
        <v>32000</v>
      </c>
      <c r="AE54" s="60" t="n">
        <f aca="false">AE51+AE53</f>
        <v>31000</v>
      </c>
      <c r="AF54" s="60" t="n">
        <f aca="false">AF51+AF53</f>
        <v>30000</v>
      </c>
      <c r="AG54" s="60" t="n">
        <f aca="false">AG51+AG53</f>
        <v>29000</v>
      </c>
      <c r="AH54" s="60" t="n">
        <f aca="false">AH51+AH53</f>
        <v>28000</v>
      </c>
      <c r="AI54" s="60" t="n">
        <f aca="false">AI51+AI53</f>
        <v>27000</v>
      </c>
      <c r="AJ54" s="60" t="n">
        <f aca="false">AJ51+AJ53</f>
        <v>26000</v>
      </c>
      <c r="AK54" s="60" t="n">
        <f aca="false">AK51+AK53</f>
        <v>25000</v>
      </c>
      <c r="AL54" s="60" t="n">
        <f aca="false">AL51+AL53</f>
        <v>24000</v>
      </c>
      <c r="AM54" s="60" t="n">
        <f aca="false">AM51+AM53</f>
        <v>23000</v>
      </c>
      <c r="AN54" s="60" t="n">
        <f aca="false">AN51+AN53</f>
        <v>22000</v>
      </c>
      <c r="AO54" s="60" t="n">
        <f aca="false">AO51+AO53</f>
        <v>21000</v>
      </c>
      <c r="AP54" s="60" t="n">
        <f aca="false">AP51+AP53</f>
        <v>20000</v>
      </c>
      <c r="AQ54" s="60" t="n">
        <f aca="false">AQ51+AQ53</f>
        <v>19000</v>
      </c>
      <c r="AR54" s="60" t="n">
        <f aca="false">AR51+AR53</f>
        <v>18000</v>
      </c>
      <c r="AS54" s="60" t="n">
        <f aca="false">AS51+AS53</f>
        <v>17000</v>
      </c>
      <c r="AT54" s="60" t="n">
        <f aca="false">AT51+AT53</f>
        <v>16000</v>
      </c>
      <c r="AU54" s="60" t="n">
        <f aca="false">AU51+AU53</f>
        <v>15000</v>
      </c>
      <c r="AV54" s="60" t="n">
        <f aca="false">AV51+AV53</f>
        <v>14000</v>
      </c>
      <c r="AW54" s="60" t="n">
        <f aca="false">AW51+AW53</f>
        <v>13000</v>
      </c>
      <c r="AX54" s="60" t="n">
        <f aca="false">AX51+AX53</f>
        <v>12000</v>
      </c>
      <c r="AY54" s="60" t="n">
        <f aca="false">AY51+AY53</f>
        <v>11000</v>
      </c>
      <c r="AZ54" s="60" t="n">
        <f aca="false">AZ51+AZ53</f>
        <v>10000</v>
      </c>
      <c r="BA54" s="60" t="n">
        <f aca="false">BA51+BA53</f>
        <v>9000</v>
      </c>
      <c r="BB54" s="60" t="n">
        <f aca="false">BB51+BB53</f>
        <v>8000</v>
      </c>
      <c r="BC54" s="60" t="n">
        <f aca="false">BC51+BC53</f>
        <v>7000</v>
      </c>
      <c r="BD54" s="60" t="n">
        <f aca="false">BD51+BD53</f>
        <v>6000</v>
      </c>
      <c r="BE54" s="60" t="n">
        <f aca="false">BE51+BE53</f>
        <v>5000</v>
      </c>
      <c r="BF54" s="60" t="n">
        <f aca="false">BF51+BF53</f>
        <v>4000</v>
      </c>
      <c r="BG54" s="60" t="n">
        <f aca="false">BG51+BG53</f>
        <v>3000</v>
      </c>
      <c r="BH54" s="60" t="n">
        <f aca="false">BH51+BH53</f>
        <v>2000</v>
      </c>
      <c r="BI54" s="60" t="n">
        <f aca="false">BI51+BI53</f>
        <v>1000</v>
      </c>
      <c r="BJ54" s="60" t="n">
        <f aca="false">BJ51+BJ53</f>
        <v>0</v>
      </c>
    </row>
    <row r="56" customFormat="false" ht="15.75" hidden="false" customHeight="true" outlineLevel="0" collapsed="false">
      <c r="A56" s="7" t="s">
        <v>393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394</v>
      </c>
      <c r="C57" s="53" t="n">
        <f aca="false">0</f>
        <v>0</v>
      </c>
      <c r="D57" s="53" t="n">
        <f aca="false">C60</f>
        <v>200000</v>
      </c>
      <c r="E57" s="53" t="n">
        <f aca="false">D60</f>
        <v>196666.666666667</v>
      </c>
      <c r="F57" s="53" t="n">
        <f aca="false">E60</f>
        <v>193333.333333333</v>
      </c>
      <c r="G57" s="53" t="n">
        <f aca="false">F60</f>
        <v>190000</v>
      </c>
      <c r="H57" s="53" t="n">
        <f aca="false">G60</f>
        <v>186666.666666667</v>
      </c>
      <c r="I57" s="53" t="n">
        <f aca="false">H60</f>
        <v>183333.333333333</v>
      </c>
      <c r="J57" s="53" t="n">
        <f aca="false">I60</f>
        <v>180000</v>
      </c>
      <c r="K57" s="53" t="n">
        <f aca="false">J60</f>
        <v>176666.666666667</v>
      </c>
      <c r="L57" s="53" t="n">
        <f aca="false">K60</f>
        <v>173333.333333333</v>
      </c>
      <c r="M57" s="53" t="n">
        <f aca="false">L60</f>
        <v>170000</v>
      </c>
      <c r="N57" s="53" t="n">
        <f aca="false">M60</f>
        <v>166666.666666667</v>
      </c>
      <c r="O57" s="53" t="n">
        <f aca="false">N60</f>
        <v>163333.333333333</v>
      </c>
      <c r="P57" s="53" t="n">
        <f aca="false">O60</f>
        <v>160000</v>
      </c>
      <c r="Q57" s="53" t="n">
        <f aca="false">P60</f>
        <v>156666.666666667</v>
      </c>
      <c r="R57" s="53" t="n">
        <f aca="false">Q60</f>
        <v>153333.333333333</v>
      </c>
      <c r="S57" s="53" t="n">
        <f aca="false">R60</f>
        <v>150000</v>
      </c>
      <c r="T57" s="53" t="n">
        <f aca="false">S60</f>
        <v>146666.666666667</v>
      </c>
      <c r="U57" s="53" t="n">
        <f aca="false">T60</f>
        <v>143333.333333333</v>
      </c>
      <c r="V57" s="53" t="n">
        <f aca="false">U60</f>
        <v>140000</v>
      </c>
      <c r="W57" s="53" t="n">
        <f aca="false">V60</f>
        <v>136666.666666666</v>
      </c>
      <c r="X57" s="53" t="n">
        <f aca="false">W60</f>
        <v>133333.333333333</v>
      </c>
      <c r="Y57" s="53" t="n">
        <f aca="false">X60</f>
        <v>130000</v>
      </c>
      <c r="Z57" s="53" t="n">
        <f aca="false">Y60</f>
        <v>126666.666666666</v>
      </c>
      <c r="AA57" s="53" t="n">
        <f aca="false">Z60</f>
        <v>123333.333333333</v>
      </c>
      <c r="AB57" s="53" t="n">
        <f aca="false">AA60</f>
        <v>120000</v>
      </c>
      <c r="AC57" s="53" t="n">
        <f aca="false">AB60</f>
        <v>116666.666666667</v>
      </c>
      <c r="AD57" s="53" t="n">
        <f aca="false">AC60</f>
        <v>113333.333333333</v>
      </c>
      <c r="AE57" s="53" t="n">
        <f aca="false">AD60</f>
        <v>110000</v>
      </c>
      <c r="AF57" s="53" t="n">
        <f aca="false">AE60</f>
        <v>106666.666666667</v>
      </c>
      <c r="AG57" s="53" t="n">
        <f aca="false">AF60</f>
        <v>103333.333333333</v>
      </c>
      <c r="AH57" s="53" t="n">
        <f aca="false">AG60</f>
        <v>99999.9999999999</v>
      </c>
      <c r="AI57" s="53" t="n">
        <f aca="false">AH60</f>
        <v>96666.6666666665</v>
      </c>
      <c r="AJ57" s="53" t="n">
        <f aca="false">AI60</f>
        <v>93333.3333333332</v>
      </c>
      <c r="AK57" s="53" t="n">
        <f aca="false">AJ60</f>
        <v>89999.9999999999</v>
      </c>
      <c r="AL57" s="53" t="n">
        <f aca="false">AK60</f>
        <v>86666.6666666665</v>
      </c>
      <c r="AM57" s="53" t="n">
        <f aca="false">AL60</f>
        <v>83333.3333333332</v>
      </c>
      <c r="AN57" s="53" t="n">
        <f aca="false">AM60</f>
        <v>79999.9999999999</v>
      </c>
      <c r="AO57" s="53" t="n">
        <f aca="false">AN60</f>
        <v>76666.6666666666</v>
      </c>
      <c r="AP57" s="53" t="n">
        <f aca="false">AO60</f>
        <v>73333.3333333332</v>
      </c>
      <c r="AQ57" s="53" t="n">
        <f aca="false">AP60</f>
        <v>69999.9999999999</v>
      </c>
      <c r="AR57" s="53" t="n">
        <f aca="false">AQ60</f>
        <v>66666.6666666666</v>
      </c>
      <c r="AS57" s="53" t="n">
        <f aca="false">AR60</f>
        <v>63333.3333333332</v>
      </c>
      <c r="AT57" s="53" t="n">
        <f aca="false">AS60</f>
        <v>59999.9999999999</v>
      </c>
      <c r="AU57" s="53" t="n">
        <f aca="false">AT60</f>
        <v>56666.6666666666</v>
      </c>
      <c r="AV57" s="53" t="n">
        <f aca="false">AU60</f>
        <v>53333.3333333332</v>
      </c>
      <c r="AW57" s="53" t="n">
        <f aca="false">AV60</f>
        <v>49999.9999999999</v>
      </c>
      <c r="AX57" s="53" t="n">
        <f aca="false">AW60</f>
        <v>46666.6666666666</v>
      </c>
      <c r="AY57" s="53" t="n">
        <f aca="false">AX60</f>
        <v>43333.3333333332</v>
      </c>
      <c r="AZ57" s="53" t="n">
        <f aca="false">AY60</f>
        <v>39999.9999999999</v>
      </c>
      <c r="BA57" s="53" t="n">
        <f aca="false">AZ60</f>
        <v>36666.6666666666</v>
      </c>
      <c r="BB57" s="53" t="n">
        <f aca="false">BA60</f>
        <v>33333.3333333332</v>
      </c>
      <c r="BC57" s="53" t="n">
        <f aca="false">BB60</f>
        <v>29999.9999999999</v>
      </c>
      <c r="BD57" s="53" t="n">
        <f aca="false">BC60</f>
        <v>26666.6666666665</v>
      </c>
      <c r="BE57" s="53" t="n">
        <f aca="false">BD60</f>
        <v>23333.3333333332</v>
      </c>
      <c r="BF57" s="53" t="n">
        <f aca="false">BE60</f>
        <v>19999.9999999999</v>
      </c>
      <c r="BG57" s="53" t="n">
        <f aca="false">BF60</f>
        <v>16666.6666666666</v>
      </c>
      <c r="BH57" s="53" t="n">
        <f aca="false">BG60</f>
        <v>13333.3333333332</v>
      </c>
      <c r="BI57" s="53" t="n">
        <f aca="false">BH60</f>
        <v>9999.99999999988</v>
      </c>
      <c r="BJ57" s="53" t="n">
        <f aca="false">BI60</f>
        <v>6666.66666666655</v>
      </c>
    </row>
    <row r="58" customFormat="false" ht="15" hidden="false" customHeight="false" outlineLevel="0" collapsed="false">
      <c r="A58" s="6" t="s">
        <v>83</v>
      </c>
      <c r="C58" s="53" t="n">
        <f aca="false">IF(C$4=1,Inputs!$E$55,0)</f>
        <v>200000</v>
      </c>
      <c r="D58" s="53" t="n">
        <f aca="false">IF(D$4=1,Inputs!$E$55,0)</f>
        <v>0</v>
      </c>
      <c r="E58" s="53" t="n">
        <f aca="false">IF(E$4=1,Inputs!$E$55,0)</f>
        <v>0</v>
      </c>
      <c r="F58" s="53" t="n">
        <f aca="false">IF(F$4=1,Inputs!$E$55,0)</f>
        <v>0</v>
      </c>
      <c r="G58" s="53" t="n">
        <f aca="false">IF(G$4=1,Inputs!$E$55,0)</f>
        <v>0</v>
      </c>
      <c r="H58" s="53" t="n">
        <f aca="false">IF(H$4=1,Inputs!$E$55,0)</f>
        <v>0</v>
      </c>
      <c r="I58" s="53" t="n">
        <f aca="false">IF(I$4=1,Inputs!$E$55,0)</f>
        <v>0</v>
      </c>
      <c r="J58" s="53" t="n">
        <f aca="false">IF(J$4=1,Inputs!$E$55,0)</f>
        <v>0</v>
      </c>
      <c r="K58" s="53" t="n">
        <f aca="false">IF(K$4=1,Inputs!$E$55,0)</f>
        <v>0</v>
      </c>
      <c r="L58" s="53" t="n">
        <f aca="false">IF(L$4=1,Inputs!$E$55,0)</f>
        <v>0</v>
      </c>
      <c r="M58" s="53" t="n">
        <f aca="false">IF(M$4=1,Inputs!$E$55,0)</f>
        <v>0</v>
      </c>
      <c r="N58" s="53" t="n">
        <f aca="false">IF(N$4=1,Inputs!$E$55,0)</f>
        <v>0</v>
      </c>
      <c r="O58" s="53" t="n">
        <f aca="false">IF(O$4=1,Inputs!$E$55,0)</f>
        <v>0</v>
      </c>
      <c r="P58" s="53" t="n">
        <f aca="false">IF(P$4=1,Inputs!$E$55,0)</f>
        <v>0</v>
      </c>
      <c r="Q58" s="53" t="n">
        <f aca="false">IF(Q$4=1,Inputs!$E$55,0)</f>
        <v>0</v>
      </c>
      <c r="R58" s="53" t="n">
        <f aca="false">IF(R$4=1,Inputs!$E$55,0)</f>
        <v>0</v>
      </c>
      <c r="S58" s="53" t="n">
        <f aca="false">IF(S$4=1,Inputs!$E$55,0)</f>
        <v>0</v>
      </c>
      <c r="T58" s="53" t="n">
        <f aca="false">IF(T$4=1,Inputs!$E$55,0)</f>
        <v>0</v>
      </c>
      <c r="U58" s="53" t="n">
        <f aca="false">IF(U$4=1,Inputs!$E$55,0)</f>
        <v>0</v>
      </c>
      <c r="V58" s="53" t="n">
        <f aca="false">IF(V$4=1,Inputs!$E$55,0)</f>
        <v>0</v>
      </c>
      <c r="W58" s="53" t="n">
        <f aca="false">IF(W$4=1,Inputs!$E$55,0)</f>
        <v>0</v>
      </c>
      <c r="X58" s="53" t="n">
        <f aca="false">IF(X$4=1,Inputs!$E$55,0)</f>
        <v>0</v>
      </c>
      <c r="Y58" s="53" t="n">
        <f aca="false">IF(Y$4=1,Inputs!$E$55,0)</f>
        <v>0</v>
      </c>
      <c r="Z58" s="53" t="n">
        <f aca="false">IF(Z$4=1,Inputs!$E$55,0)</f>
        <v>0</v>
      </c>
      <c r="AA58" s="53" t="n">
        <f aca="false">IF(AA$4=1,Inputs!$E$55,0)</f>
        <v>0</v>
      </c>
      <c r="AB58" s="53" t="n">
        <f aca="false">IF(AB$4=1,Inputs!$E$55,0)</f>
        <v>0</v>
      </c>
      <c r="AC58" s="53" t="n">
        <f aca="false">IF(AC$4=1,Inputs!$E$55,0)</f>
        <v>0</v>
      </c>
      <c r="AD58" s="53" t="n">
        <f aca="false">IF(AD$4=1,Inputs!$E$55,0)</f>
        <v>0</v>
      </c>
      <c r="AE58" s="53" t="n">
        <f aca="false">IF(AE$4=1,Inputs!$E$55,0)</f>
        <v>0</v>
      </c>
      <c r="AF58" s="53" t="n">
        <f aca="false">IF(AF$4=1,Inputs!$E$55,0)</f>
        <v>0</v>
      </c>
      <c r="AG58" s="53" t="n">
        <f aca="false">IF(AG$4=1,Inputs!$E$55,0)</f>
        <v>0</v>
      </c>
      <c r="AH58" s="53" t="n">
        <f aca="false">IF(AH$4=1,Inputs!$E$55,0)</f>
        <v>0</v>
      </c>
      <c r="AI58" s="53" t="n">
        <f aca="false">IF(AI$4=1,Inputs!$E$55,0)</f>
        <v>0</v>
      </c>
      <c r="AJ58" s="53" t="n">
        <f aca="false">IF(AJ$4=1,Inputs!$E$55,0)</f>
        <v>0</v>
      </c>
      <c r="AK58" s="53" t="n">
        <f aca="false">IF(AK$4=1,Inputs!$E$55,0)</f>
        <v>0</v>
      </c>
      <c r="AL58" s="53" t="n">
        <f aca="false">IF(AL$4=1,Inputs!$E$55,0)</f>
        <v>0</v>
      </c>
      <c r="AM58" s="53" t="n">
        <f aca="false">IF(AM$4=1,Inputs!$E$55,0)</f>
        <v>0</v>
      </c>
      <c r="AN58" s="53" t="n">
        <f aca="false">IF(AN$4=1,Inputs!$E$55,0)</f>
        <v>0</v>
      </c>
      <c r="AO58" s="53" t="n">
        <f aca="false">IF(AO$4=1,Inputs!$E$55,0)</f>
        <v>0</v>
      </c>
      <c r="AP58" s="53" t="n">
        <f aca="false">IF(AP$4=1,Inputs!$E$55,0)</f>
        <v>0</v>
      </c>
      <c r="AQ58" s="53" t="n">
        <f aca="false">IF(AQ$4=1,Inputs!$E$55,0)</f>
        <v>0</v>
      </c>
      <c r="AR58" s="53" t="n">
        <f aca="false">IF(AR$4=1,Inputs!$E$55,0)</f>
        <v>0</v>
      </c>
      <c r="AS58" s="53" t="n">
        <f aca="false">IF(AS$4=1,Inputs!$E$55,0)</f>
        <v>0</v>
      </c>
      <c r="AT58" s="53" t="n">
        <f aca="false">IF(AT$4=1,Inputs!$E$55,0)</f>
        <v>0</v>
      </c>
      <c r="AU58" s="53" t="n">
        <f aca="false">IF(AU$4=1,Inputs!$E$55,0)</f>
        <v>0</v>
      </c>
      <c r="AV58" s="53" t="n">
        <f aca="false">IF(AV$4=1,Inputs!$E$55,0)</f>
        <v>0</v>
      </c>
      <c r="AW58" s="53" t="n">
        <f aca="false">IF(AW$4=1,Inputs!$E$55,0)</f>
        <v>0</v>
      </c>
      <c r="AX58" s="53" t="n">
        <f aca="false">IF(AX$4=1,Inputs!$E$55,0)</f>
        <v>0</v>
      </c>
      <c r="AY58" s="53" t="n">
        <f aca="false">IF(AY$4=1,Inputs!$E$55,0)</f>
        <v>0</v>
      </c>
      <c r="AZ58" s="53" t="n">
        <f aca="false">IF(AZ$4=1,Inputs!$E$55,0)</f>
        <v>0</v>
      </c>
      <c r="BA58" s="53" t="n">
        <f aca="false">IF(BA$4=1,Inputs!$E$55,0)</f>
        <v>0</v>
      </c>
      <c r="BB58" s="53" t="n">
        <f aca="false">IF(BB$4=1,Inputs!$E$55,0)</f>
        <v>0</v>
      </c>
      <c r="BC58" s="53" t="n">
        <f aca="false">IF(BC$4=1,Inputs!$E$55,0)</f>
        <v>0</v>
      </c>
      <c r="BD58" s="53" t="n">
        <f aca="false">IF(BD$4=1,Inputs!$E$55,0)</f>
        <v>0</v>
      </c>
      <c r="BE58" s="53" t="n">
        <f aca="false">IF(BE$4=1,Inputs!$E$55,0)</f>
        <v>0</v>
      </c>
      <c r="BF58" s="53" t="n">
        <f aca="false">IF(BF$4=1,Inputs!$E$55,0)</f>
        <v>0</v>
      </c>
      <c r="BG58" s="53" t="n">
        <f aca="false">IF(BG$4=1,Inputs!$E$55,0)</f>
        <v>0</v>
      </c>
      <c r="BH58" s="53" t="n">
        <f aca="false">IF(BH$4=1,Inputs!$E$55,0)</f>
        <v>0</v>
      </c>
      <c r="BI58" s="53" t="n">
        <f aca="false">IF(BI$4=1,Inputs!$E$55,0)</f>
        <v>0</v>
      </c>
      <c r="BJ58" s="53" t="n">
        <f aca="false">IF(BJ$4=1,Inputs!$E$55,0)</f>
        <v>0</v>
      </c>
    </row>
    <row r="59" customFormat="false" ht="15" hidden="false" customHeight="false" outlineLevel="0" collapsed="false">
      <c r="A59" s="6" t="s">
        <v>84</v>
      </c>
      <c r="C59" s="53" t="n">
        <f aca="false">-MIN(C57,Inputs!$E$55/MAX(1,Inputs!$E$57*12))</f>
        <v>-0</v>
      </c>
      <c r="D59" s="53" t="n">
        <f aca="false">-MIN(D57,Inputs!$E$55/MAX(1,Inputs!$E$57*12))</f>
        <v>-3333.33333333333</v>
      </c>
      <c r="E59" s="53" t="n">
        <f aca="false">-MIN(E57,Inputs!$E$55/MAX(1,Inputs!$E$57*12))</f>
        <v>-3333.33333333333</v>
      </c>
      <c r="F59" s="53" t="n">
        <f aca="false">-MIN(F57,Inputs!$E$55/MAX(1,Inputs!$E$57*12))</f>
        <v>-3333.33333333333</v>
      </c>
      <c r="G59" s="53" t="n">
        <f aca="false">-MIN(G57,Inputs!$E$55/MAX(1,Inputs!$E$57*12))</f>
        <v>-3333.33333333333</v>
      </c>
      <c r="H59" s="53" t="n">
        <f aca="false">-MIN(H57,Inputs!$E$55/MAX(1,Inputs!$E$57*12))</f>
        <v>-3333.33333333333</v>
      </c>
      <c r="I59" s="53" t="n">
        <f aca="false">-MIN(I57,Inputs!$E$55/MAX(1,Inputs!$E$57*12))</f>
        <v>-3333.33333333333</v>
      </c>
      <c r="J59" s="53" t="n">
        <f aca="false">-MIN(J57,Inputs!$E$55/MAX(1,Inputs!$E$57*12))</f>
        <v>-3333.33333333333</v>
      </c>
      <c r="K59" s="53" t="n">
        <f aca="false">-MIN(K57,Inputs!$E$55/MAX(1,Inputs!$E$57*12))</f>
        <v>-3333.33333333333</v>
      </c>
      <c r="L59" s="53" t="n">
        <f aca="false">-MIN(L57,Inputs!$E$55/MAX(1,Inputs!$E$57*12))</f>
        <v>-3333.33333333333</v>
      </c>
      <c r="M59" s="53" t="n">
        <f aca="false">-MIN(M57,Inputs!$E$55/MAX(1,Inputs!$E$57*12))</f>
        <v>-3333.33333333333</v>
      </c>
      <c r="N59" s="53" t="n">
        <f aca="false">-MIN(N57,Inputs!$E$55/MAX(1,Inputs!$E$57*12))</f>
        <v>-3333.33333333333</v>
      </c>
      <c r="O59" s="53" t="n">
        <f aca="false">-MIN(O57,Inputs!$E$55/MAX(1,Inputs!$E$57*12))</f>
        <v>-3333.33333333333</v>
      </c>
      <c r="P59" s="53" t="n">
        <f aca="false">-MIN(P57,Inputs!$E$55/MAX(1,Inputs!$E$57*12))</f>
        <v>-3333.33333333333</v>
      </c>
      <c r="Q59" s="53" t="n">
        <f aca="false">-MIN(Q57,Inputs!$E$55/MAX(1,Inputs!$E$57*12))</f>
        <v>-3333.33333333333</v>
      </c>
      <c r="R59" s="53" t="n">
        <f aca="false">-MIN(R57,Inputs!$E$55/MAX(1,Inputs!$E$57*12))</f>
        <v>-3333.33333333333</v>
      </c>
      <c r="S59" s="53" t="n">
        <f aca="false">-MIN(S57,Inputs!$E$55/MAX(1,Inputs!$E$57*12))</f>
        <v>-3333.33333333333</v>
      </c>
      <c r="T59" s="53" t="n">
        <f aca="false">-MIN(T57,Inputs!$E$55/MAX(1,Inputs!$E$57*12))</f>
        <v>-3333.33333333333</v>
      </c>
      <c r="U59" s="53" t="n">
        <f aca="false">-MIN(U57,Inputs!$E$55/MAX(1,Inputs!$E$57*12))</f>
        <v>-3333.33333333333</v>
      </c>
      <c r="V59" s="53" t="n">
        <f aca="false">-MIN(V57,Inputs!$E$55/MAX(1,Inputs!$E$57*12))</f>
        <v>-3333.33333333333</v>
      </c>
      <c r="W59" s="53" t="n">
        <f aca="false">-MIN(W57,Inputs!$E$55/MAX(1,Inputs!$E$57*12))</f>
        <v>-3333.33333333333</v>
      </c>
      <c r="X59" s="53" t="n">
        <f aca="false">-MIN(X57,Inputs!$E$55/MAX(1,Inputs!$E$57*12))</f>
        <v>-3333.33333333333</v>
      </c>
      <c r="Y59" s="53" t="n">
        <f aca="false">-MIN(Y57,Inputs!$E$55/MAX(1,Inputs!$E$57*12))</f>
        <v>-3333.33333333333</v>
      </c>
      <c r="Z59" s="53" t="n">
        <f aca="false">-MIN(Z57,Inputs!$E$55/MAX(1,Inputs!$E$57*12))</f>
        <v>-3333.33333333333</v>
      </c>
      <c r="AA59" s="53" t="n">
        <f aca="false">-MIN(AA57,Inputs!$E$55/MAX(1,Inputs!$E$57*12))</f>
        <v>-3333.33333333333</v>
      </c>
      <c r="AB59" s="53" t="n">
        <f aca="false">-MIN(AB57,Inputs!$E$55/MAX(1,Inputs!$E$57*12))</f>
        <v>-3333.33333333333</v>
      </c>
      <c r="AC59" s="53" t="n">
        <f aca="false">-MIN(AC57,Inputs!$E$55/MAX(1,Inputs!$E$57*12))</f>
        <v>-3333.33333333333</v>
      </c>
      <c r="AD59" s="53" t="n">
        <f aca="false">-MIN(AD57,Inputs!$E$55/MAX(1,Inputs!$E$57*12))</f>
        <v>-3333.33333333333</v>
      </c>
      <c r="AE59" s="53" t="n">
        <f aca="false">-MIN(AE57,Inputs!$E$55/MAX(1,Inputs!$E$57*12))</f>
        <v>-3333.33333333333</v>
      </c>
      <c r="AF59" s="53" t="n">
        <f aca="false">-MIN(AF57,Inputs!$E$55/MAX(1,Inputs!$E$57*12))</f>
        <v>-3333.33333333333</v>
      </c>
      <c r="AG59" s="53" t="n">
        <f aca="false">-MIN(AG57,Inputs!$E$55/MAX(1,Inputs!$E$57*12))</f>
        <v>-3333.33333333333</v>
      </c>
      <c r="AH59" s="53" t="n">
        <f aca="false">-MIN(AH57,Inputs!$E$55/MAX(1,Inputs!$E$57*12))</f>
        <v>-3333.33333333333</v>
      </c>
      <c r="AI59" s="53" t="n">
        <f aca="false">-MIN(AI57,Inputs!$E$55/MAX(1,Inputs!$E$57*12))</f>
        <v>-3333.33333333333</v>
      </c>
      <c r="AJ59" s="53" t="n">
        <f aca="false">-MIN(AJ57,Inputs!$E$55/MAX(1,Inputs!$E$57*12))</f>
        <v>-3333.33333333333</v>
      </c>
      <c r="AK59" s="53" t="n">
        <f aca="false">-MIN(AK57,Inputs!$E$55/MAX(1,Inputs!$E$57*12))</f>
        <v>-3333.33333333333</v>
      </c>
      <c r="AL59" s="53" t="n">
        <f aca="false">-MIN(AL57,Inputs!$E$55/MAX(1,Inputs!$E$57*12))</f>
        <v>-3333.33333333333</v>
      </c>
      <c r="AM59" s="53" t="n">
        <f aca="false">-MIN(AM57,Inputs!$E$55/MAX(1,Inputs!$E$57*12))</f>
        <v>-3333.33333333333</v>
      </c>
      <c r="AN59" s="53" t="n">
        <f aca="false">-MIN(AN57,Inputs!$E$55/MAX(1,Inputs!$E$57*12))</f>
        <v>-3333.33333333333</v>
      </c>
      <c r="AO59" s="53" t="n">
        <f aca="false">-MIN(AO57,Inputs!$E$55/MAX(1,Inputs!$E$57*12))</f>
        <v>-3333.33333333333</v>
      </c>
      <c r="AP59" s="53" t="n">
        <f aca="false">-MIN(AP57,Inputs!$E$55/MAX(1,Inputs!$E$57*12))</f>
        <v>-3333.33333333333</v>
      </c>
      <c r="AQ59" s="53" t="n">
        <f aca="false">-MIN(AQ57,Inputs!$E$55/MAX(1,Inputs!$E$57*12))</f>
        <v>-3333.33333333333</v>
      </c>
      <c r="AR59" s="53" t="n">
        <f aca="false">-MIN(AR57,Inputs!$E$55/MAX(1,Inputs!$E$57*12))</f>
        <v>-3333.33333333333</v>
      </c>
      <c r="AS59" s="53" t="n">
        <f aca="false">-MIN(AS57,Inputs!$E$55/MAX(1,Inputs!$E$57*12))</f>
        <v>-3333.33333333333</v>
      </c>
      <c r="AT59" s="53" t="n">
        <f aca="false">-MIN(AT57,Inputs!$E$55/MAX(1,Inputs!$E$57*12))</f>
        <v>-3333.33333333333</v>
      </c>
      <c r="AU59" s="53" t="n">
        <f aca="false">-MIN(AU57,Inputs!$E$55/MAX(1,Inputs!$E$57*12))</f>
        <v>-3333.33333333333</v>
      </c>
      <c r="AV59" s="53" t="n">
        <f aca="false">-MIN(AV57,Inputs!$E$55/MAX(1,Inputs!$E$57*12))</f>
        <v>-3333.33333333333</v>
      </c>
      <c r="AW59" s="53" t="n">
        <f aca="false">-MIN(AW57,Inputs!$E$55/MAX(1,Inputs!$E$57*12))</f>
        <v>-3333.33333333333</v>
      </c>
      <c r="AX59" s="53" t="n">
        <f aca="false">-MIN(AX57,Inputs!$E$55/MAX(1,Inputs!$E$57*12))</f>
        <v>-3333.33333333333</v>
      </c>
      <c r="AY59" s="53" t="n">
        <f aca="false">-MIN(AY57,Inputs!$E$55/MAX(1,Inputs!$E$57*12))</f>
        <v>-3333.33333333333</v>
      </c>
      <c r="AZ59" s="53" t="n">
        <f aca="false">-MIN(AZ57,Inputs!$E$55/MAX(1,Inputs!$E$57*12))</f>
        <v>-3333.33333333333</v>
      </c>
      <c r="BA59" s="53" t="n">
        <f aca="false">-MIN(BA57,Inputs!$E$55/MAX(1,Inputs!$E$57*12))</f>
        <v>-3333.33333333333</v>
      </c>
      <c r="BB59" s="53" t="n">
        <f aca="false">-MIN(BB57,Inputs!$E$55/MAX(1,Inputs!$E$57*12))</f>
        <v>-3333.33333333333</v>
      </c>
      <c r="BC59" s="53" t="n">
        <f aca="false">-MIN(BC57,Inputs!$E$55/MAX(1,Inputs!$E$57*12))</f>
        <v>-3333.33333333333</v>
      </c>
      <c r="BD59" s="53" t="n">
        <f aca="false">-MIN(BD57,Inputs!$E$55/MAX(1,Inputs!$E$57*12))</f>
        <v>-3333.33333333333</v>
      </c>
      <c r="BE59" s="53" t="n">
        <f aca="false">-MIN(BE57,Inputs!$E$55/MAX(1,Inputs!$E$57*12))</f>
        <v>-3333.33333333333</v>
      </c>
      <c r="BF59" s="53" t="n">
        <f aca="false">-MIN(BF57,Inputs!$E$55/MAX(1,Inputs!$E$57*12))</f>
        <v>-3333.33333333333</v>
      </c>
      <c r="BG59" s="53" t="n">
        <f aca="false">-MIN(BG57,Inputs!$E$55/MAX(1,Inputs!$E$57*12))</f>
        <v>-3333.33333333333</v>
      </c>
      <c r="BH59" s="53" t="n">
        <f aca="false">-MIN(BH57,Inputs!$E$55/MAX(1,Inputs!$E$57*12))</f>
        <v>-3333.33333333333</v>
      </c>
      <c r="BI59" s="53" t="n">
        <f aca="false">-MIN(BI57,Inputs!$E$55/MAX(1,Inputs!$E$57*12))</f>
        <v>-3333.33333333333</v>
      </c>
      <c r="BJ59" s="53" t="n">
        <f aca="false">-MIN(BJ57,Inputs!$E$55/MAX(1,Inputs!$E$57*12))</f>
        <v>-3333.33333333333</v>
      </c>
    </row>
    <row r="60" customFormat="false" ht="15" hidden="false" customHeight="false" outlineLevel="0" collapsed="false">
      <c r="A60" s="4" t="s">
        <v>395</v>
      </c>
      <c r="C60" s="60" t="n">
        <f aca="false">C57+C58+C59</f>
        <v>200000</v>
      </c>
      <c r="D60" s="60" t="n">
        <f aca="false">D57+D58+D59</f>
        <v>196666.666666667</v>
      </c>
      <c r="E60" s="60" t="n">
        <f aca="false">E57+E58+E59</f>
        <v>193333.333333333</v>
      </c>
      <c r="F60" s="60" t="n">
        <f aca="false">F57+F58+F59</f>
        <v>190000</v>
      </c>
      <c r="G60" s="60" t="n">
        <f aca="false">G57+G58+G59</f>
        <v>186666.666666667</v>
      </c>
      <c r="H60" s="60" t="n">
        <f aca="false">H57+H58+H59</f>
        <v>183333.333333333</v>
      </c>
      <c r="I60" s="60" t="n">
        <f aca="false">I57+I58+I59</f>
        <v>180000</v>
      </c>
      <c r="J60" s="60" t="n">
        <f aca="false">J57+J58+J59</f>
        <v>176666.666666667</v>
      </c>
      <c r="K60" s="60" t="n">
        <f aca="false">K57+K58+K59</f>
        <v>173333.333333333</v>
      </c>
      <c r="L60" s="60" t="n">
        <f aca="false">L57+L58+L59</f>
        <v>170000</v>
      </c>
      <c r="M60" s="60" t="n">
        <f aca="false">M57+M58+M59</f>
        <v>166666.666666667</v>
      </c>
      <c r="N60" s="60" t="n">
        <f aca="false">N57+N58+N59</f>
        <v>163333.333333333</v>
      </c>
      <c r="O60" s="60" t="n">
        <f aca="false">O57+O58+O59</f>
        <v>160000</v>
      </c>
      <c r="P60" s="60" t="n">
        <f aca="false">P57+P58+P59</f>
        <v>156666.666666667</v>
      </c>
      <c r="Q60" s="60" t="n">
        <f aca="false">Q57+Q58+Q59</f>
        <v>153333.333333333</v>
      </c>
      <c r="R60" s="60" t="n">
        <f aca="false">R57+R58+R59</f>
        <v>150000</v>
      </c>
      <c r="S60" s="60" t="n">
        <f aca="false">S57+S58+S59</f>
        <v>146666.666666667</v>
      </c>
      <c r="T60" s="60" t="n">
        <f aca="false">T57+T58+T59</f>
        <v>143333.333333333</v>
      </c>
      <c r="U60" s="60" t="n">
        <f aca="false">U57+U58+U59</f>
        <v>140000</v>
      </c>
      <c r="V60" s="60" t="n">
        <f aca="false">V57+V58+V59</f>
        <v>136666.666666666</v>
      </c>
      <c r="W60" s="60" t="n">
        <f aca="false">W57+W58+W59</f>
        <v>133333.333333333</v>
      </c>
      <c r="X60" s="60" t="n">
        <f aca="false">X57+X58+X59</f>
        <v>130000</v>
      </c>
      <c r="Y60" s="60" t="n">
        <f aca="false">Y57+Y58+Y59</f>
        <v>126666.666666666</v>
      </c>
      <c r="Z60" s="60" t="n">
        <f aca="false">Z57+Z58+Z59</f>
        <v>123333.333333333</v>
      </c>
      <c r="AA60" s="60" t="n">
        <f aca="false">AA57+AA58+AA59</f>
        <v>120000</v>
      </c>
      <c r="AB60" s="60" t="n">
        <f aca="false">AB57+AB58+AB59</f>
        <v>116666.666666667</v>
      </c>
      <c r="AC60" s="60" t="n">
        <f aca="false">AC57+AC58+AC59</f>
        <v>113333.333333333</v>
      </c>
      <c r="AD60" s="60" t="n">
        <f aca="false">AD57+AD58+AD59</f>
        <v>110000</v>
      </c>
      <c r="AE60" s="60" t="n">
        <f aca="false">AE57+AE58+AE59</f>
        <v>106666.666666667</v>
      </c>
      <c r="AF60" s="60" t="n">
        <f aca="false">AF57+AF58+AF59</f>
        <v>103333.333333333</v>
      </c>
      <c r="AG60" s="60" t="n">
        <f aca="false">AG57+AG58+AG59</f>
        <v>99999.9999999999</v>
      </c>
      <c r="AH60" s="60" t="n">
        <f aca="false">AH57+AH58+AH59</f>
        <v>96666.6666666665</v>
      </c>
      <c r="AI60" s="60" t="n">
        <f aca="false">AI57+AI58+AI59</f>
        <v>93333.3333333332</v>
      </c>
      <c r="AJ60" s="60" t="n">
        <f aca="false">AJ57+AJ58+AJ59</f>
        <v>89999.9999999999</v>
      </c>
      <c r="AK60" s="60" t="n">
        <f aca="false">AK57+AK58+AK59</f>
        <v>86666.6666666665</v>
      </c>
      <c r="AL60" s="60" t="n">
        <f aca="false">AL57+AL58+AL59</f>
        <v>83333.3333333332</v>
      </c>
      <c r="AM60" s="60" t="n">
        <f aca="false">AM57+AM58+AM59</f>
        <v>79999.9999999999</v>
      </c>
      <c r="AN60" s="60" t="n">
        <f aca="false">AN57+AN58+AN59</f>
        <v>76666.6666666666</v>
      </c>
      <c r="AO60" s="60" t="n">
        <f aca="false">AO57+AO58+AO59</f>
        <v>73333.3333333332</v>
      </c>
      <c r="AP60" s="60" t="n">
        <f aca="false">AP57+AP58+AP59</f>
        <v>69999.9999999999</v>
      </c>
      <c r="AQ60" s="60" t="n">
        <f aca="false">AQ57+AQ58+AQ59</f>
        <v>66666.6666666666</v>
      </c>
      <c r="AR60" s="60" t="n">
        <f aca="false">AR57+AR58+AR59</f>
        <v>63333.3333333332</v>
      </c>
      <c r="AS60" s="60" t="n">
        <f aca="false">AS57+AS58+AS59</f>
        <v>59999.9999999999</v>
      </c>
      <c r="AT60" s="60" t="n">
        <f aca="false">AT57+AT58+AT59</f>
        <v>56666.6666666666</v>
      </c>
      <c r="AU60" s="60" t="n">
        <f aca="false">AU57+AU58+AU59</f>
        <v>53333.3333333332</v>
      </c>
      <c r="AV60" s="60" t="n">
        <f aca="false">AV57+AV58+AV59</f>
        <v>49999.9999999999</v>
      </c>
      <c r="AW60" s="60" t="n">
        <f aca="false">AW57+AW58+AW59</f>
        <v>46666.6666666666</v>
      </c>
      <c r="AX60" s="60" t="n">
        <f aca="false">AX57+AX58+AX59</f>
        <v>43333.3333333332</v>
      </c>
      <c r="AY60" s="60" t="n">
        <f aca="false">AY57+AY58+AY59</f>
        <v>39999.9999999999</v>
      </c>
      <c r="AZ60" s="60" t="n">
        <f aca="false">AZ57+AZ58+AZ59</f>
        <v>36666.6666666666</v>
      </c>
      <c r="BA60" s="60" t="n">
        <f aca="false">BA57+BA58+BA59</f>
        <v>33333.3333333332</v>
      </c>
      <c r="BB60" s="60" t="n">
        <f aca="false">BB57+BB58+BB59</f>
        <v>29999.9999999999</v>
      </c>
      <c r="BC60" s="60" t="n">
        <f aca="false">BC57+BC58+BC59</f>
        <v>26666.6666666665</v>
      </c>
      <c r="BD60" s="60" t="n">
        <f aca="false">BD57+BD58+BD59</f>
        <v>23333.3333333332</v>
      </c>
      <c r="BE60" s="60" t="n">
        <f aca="false">BE57+BE58+BE59</f>
        <v>19999.9999999999</v>
      </c>
      <c r="BF60" s="60" t="n">
        <f aca="false">BF57+BF58+BF59</f>
        <v>16666.6666666666</v>
      </c>
      <c r="BG60" s="60" t="n">
        <f aca="false">BG57+BG58+BG59</f>
        <v>13333.3333333332</v>
      </c>
      <c r="BH60" s="60" t="n">
        <f aca="false">BH57+BH58+BH59</f>
        <v>9999.99999999988</v>
      </c>
      <c r="BI60" s="60" t="n">
        <f aca="false">BI57+BI58+BI59</f>
        <v>6666.66666666655</v>
      </c>
      <c r="BJ60" s="60" t="n">
        <f aca="false">BJ57+BJ58+BJ59</f>
        <v>3333.33333333322</v>
      </c>
    </row>
    <row r="62" customFormat="false" ht="15.75" hidden="false" customHeight="true" outlineLevel="0" collapsed="false">
      <c r="A62" s="7" t="s">
        <v>284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88</v>
      </c>
      <c r="C63" s="53" t="n">
        <f aca="false">C22*Inputs!$E$60/30</f>
        <v>563274</v>
      </c>
      <c r="D63" s="53" t="n">
        <f aca="false">D22*Inputs!$E$60/30</f>
        <v>563274</v>
      </c>
      <c r="E63" s="53" t="n">
        <f aca="false">E22*Inputs!$E$60/30</f>
        <v>563274</v>
      </c>
      <c r="F63" s="53" t="n">
        <f aca="false">F22*Inputs!$E$60/30</f>
        <v>563274</v>
      </c>
      <c r="G63" s="53" t="n">
        <f aca="false">G22*Inputs!$E$60/30</f>
        <v>563274</v>
      </c>
      <c r="H63" s="53" t="n">
        <f aca="false">H22*Inputs!$E$60/30</f>
        <v>563274</v>
      </c>
      <c r="I63" s="53" t="n">
        <f aca="false">I22*Inputs!$E$60/30</f>
        <v>563274</v>
      </c>
      <c r="J63" s="53" t="n">
        <f aca="false">J22*Inputs!$E$60/30</f>
        <v>563274</v>
      </c>
      <c r="K63" s="53" t="n">
        <f aca="false">K22*Inputs!$E$60/30</f>
        <v>563274</v>
      </c>
      <c r="L63" s="53" t="n">
        <f aca="false">L22*Inputs!$E$60/30</f>
        <v>563274</v>
      </c>
      <c r="M63" s="53" t="n">
        <f aca="false">M22*Inputs!$E$60/30</f>
        <v>563274</v>
      </c>
      <c r="N63" s="53" t="n">
        <f aca="false">N22*Inputs!$E$60/30</f>
        <v>563274</v>
      </c>
      <c r="O63" s="53" t="n">
        <f aca="false">O22*Inputs!$E$60/30</f>
        <v>729495.234</v>
      </c>
      <c r="P63" s="53" t="n">
        <f aca="false">P22*Inputs!$E$60/30</f>
        <v>729495.234</v>
      </c>
      <c r="Q63" s="53" t="n">
        <f aca="false">Q22*Inputs!$E$60/30</f>
        <v>729495.234</v>
      </c>
      <c r="R63" s="53" t="n">
        <f aca="false">R22*Inputs!$E$60/30</f>
        <v>729495.234</v>
      </c>
      <c r="S63" s="53" t="n">
        <f aca="false">S22*Inputs!$E$60/30</f>
        <v>729495.234</v>
      </c>
      <c r="T63" s="53" t="n">
        <f aca="false">T22*Inputs!$E$60/30</f>
        <v>729495.234</v>
      </c>
      <c r="U63" s="53" t="n">
        <f aca="false">U22*Inputs!$E$60/30</f>
        <v>729495.234</v>
      </c>
      <c r="V63" s="53" t="n">
        <f aca="false">V22*Inputs!$E$60/30</f>
        <v>729495.234</v>
      </c>
      <c r="W63" s="53" t="n">
        <f aca="false">W22*Inputs!$E$60/30</f>
        <v>729495.234</v>
      </c>
      <c r="X63" s="53" t="n">
        <f aca="false">X22*Inputs!$E$60/30</f>
        <v>729495.234</v>
      </c>
      <c r="Y63" s="53" t="n">
        <f aca="false">Y22*Inputs!$E$60/30</f>
        <v>729495.234</v>
      </c>
      <c r="Z63" s="53" t="n">
        <f aca="false">Z22*Inputs!$E$60/30</f>
        <v>729495.234</v>
      </c>
      <c r="AA63" s="53" t="n">
        <f aca="false">AA22*Inputs!$E$60/30</f>
        <v>946229.504454</v>
      </c>
      <c r="AB63" s="53" t="n">
        <f aca="false">AB22*Inputs!$E$60/30</f>
        <v>946229.504454</v>
      </c>
      <c r="AC63" s="53" t="n">
        <f aca="false">AC22*Inputs!$E$60/30</f>
        <v>946229.504454</v>
      </c>
      <c r="AD63" s="53" t="n">
        <f aca="false">AD22*Inputs!$E$60/30</f>
        <v>946229.504454</v>
      </c>
      <c r="AE63" s="53" t="n">
        <f aca="false">AE22*Inputs!$E$60/30</f>
        <v>946229.504454</v>
      </c>
      <c r="AF63" s="53" t="n">
        <f aca="false">AF22*Inputs!$E$60/30</f>
        <v>946229.504454</v>
      </c>
      <c r="AG63" s="53" t="n">
        <f aca="false">AG22*Inputs!$E$60/30</f>
        <v>946229.504454</v>
      </c>
      <c r="AH63" s="53" t="n">
        <f aca="false">AH22*Inputs!$E$60/30</f>
        <v>946229.504454</v>
      </c>
      <c r="AI63" s="53" t="n">
        <f aca="false">AI22*Inputs!$E$60/30</f>
        <v>946229.504454</v>
      </c>
      <c r="AJ63" s="53" t="n">
        <f aca="false">AJ22*Inputs!$E$60/30</f>
        <v>946229.504454</v>
      </c>
      <c r="AK63" s="53" t="n">
        <f aca="false">AK22*Inputs!$E$60/30</f>
        <v>946229.504454</v>
      </c>
      <c r="AL63" s="53" t="n">
        <f aca="false">AL22*Inputs!$E$60/30</f>
        <v>946229.504454</v>
      </c>
      <c r="AM63" s="53" t="n">
        <f aca="false">AM22*Inputs!$E$60/30</f>
        <v>1229223.44371811</v>
      </c>
      <c r="AN63" s="53" t="n">
        <f aca="false">AN22*Inputs!$E$60/30</f>
        <v>1229223.44371811</v>
      </c>
      <c r="AO63" s="53" t="n">
        <f aca="false">AO22*Inputs!$E$60/30</f>
        <v>1229223.44371811</v>
      </c>
      <c r="AP63" s="53" t="n">
        <f aca="false">AP22*Inputs!$E$60/30</f>
        <v>1229223.44371811</v>
      </c>
      <c r="AQ63" s="53" t="n">
        <f aca="false">AQ22*Inputs!$E$60/30</f>
        <v>1229223.44371811</v>
      </c>
      <c r="AR63" s="53" t="n">
        <f aca="false">AR22*Inputs!$E$60/30</f>
        <v>1229223.44371811</v>
      </c>
      <c r="AS63" s="53" t="n">
        <f aca="false">AS22*Inputs!$E$60/30</f>
        <v>1229223.44371811</v>
      </c>
      <c r="AT63" s="53" t="n">
        <f aca="false">AT22*Inputs!$E$60/30</f>
        <v>1229223.44371811</v>
      </c>
      <c r="AU63" s="53" t="n">
        <f aca="false">AU22*Inputs!$E$60/30</f>
        <v>1229223.44371811</v>
      </c>
      <c r="AV63" s="53" t="n">
        <f aca="false">AV22*Inputs!$E$60/30</f>
        <v>1229223.44371811</v>
      </c>
      <c r="AW63" s="53" t="n">
        <f aca="false">AW22*Inputs!$E$60/30</f>
        <v>1229223.44371811</v>
      </c>
      <c r="AX63" s="53" t="n">
        <f aca="false">AX22*Inputs!$E$60/30</f>
        <v>1229223.44371811</v>
      </c>
      <c r="AY63" s="53" t="n">
        <f aca="false">AY22*Inputs!$E$60/30</f>
        <v>1599236.75278476</v>
      </c>
      <c r="AZ63" s="53" t="n">
        <f aca="false">AZ22*Inputs!$E$60/30</f>
        <v>1599236.75278476</v>
      </c>
      <c r="BA63" s="53" t="n">
        <f aca="false">BA22*Inputs!$E$60/30</f>
        <v>1599236.75278476</v>
      </c>
      <c r="BB63" s="53" t="n">
        <f aca="false">BB22*Inputs!$E$60/30</f>
        <v>1599236.75278476</v>
      </c>
      <c r="BC63" s="53" t="n">
        <f aca="false">BC22*Inputs!$E$60/30</f>
        <v>1599236.75278476</v>
      </c>
      <c r="BD63" s="53" t="n">
        <f aca="false">BD22*Inputs!$E$60/30</f>
        <v>1599236.75278476</v>
      </c>
      <c r="BE63" s="53" t="n">
        <f aca="false">BE22*Inputs!$E$60/30</f>
        <v>1599236.75278476</v>
      </c>
      <c r="BF63" s="53" t="n">
        <f aca="false">BF22*Inputs!$E$60/30</f>
        <v>1599236.75278476</v>
      </c>
      <c r="BG63" s="53" t="n">
        <f aca="false">BG22*Inputs!$E$60/30</f>
        <v>1599236.75278476</v>
      </c>
      <c r="BH63" s="53" t="n">
        <f aca="false">BH22*Inputs!$E$60/30</f>
        <v>1599236.75278476</v>
      </c>
      <c r="BI63" s="53" t="n">
        <f aca="false">BI22*Inputs!$E$60/30</f>
        <v>1599236.75278476</v>
      </c>
      <c r="BJ63" s="53" t="n">
        <f aca="false">BJ22*Inputs!$E$60/30</f>
        <v>1599236.75278476</v>
      </c>
    </row>
    <row r="64" customFormat="false" ht="15" hidden="false" customHeight="false" outlineLevel="0" collapsed="false">
      <c r="A64" s="6" t="s">
        <v>89</v>
      </c>
      <c r="C64" s="53" t="n">
        <f aca="false">-C28*Inputs!$E$61/30</f>
        <v>0</v>
      </c>
      <c r="D64" s="53" t="n">
        <f aca="false">-D28*Inputs!$E$61/30</f>
        <v>0</v>
      </c>
      <c r="E64" s="53" t="n">
        <f aca="false">-E28*Inputs!$E$61/30</f>
        <v>0</v>
      </c>
      <c r="F64" s="53" t="n">
        <f aca="false">-F28*Inputs!$E$61/30</f>
        <v>0</v>
      </c>
      <c r="G64" s="53" t="n">
        <f aca="false">-G28*Inputs!$E$61/30</f>
        <v>0</v>
      </c>
      <c r="H64" s="53" t="n">
        <f aca="false">-H28*Inputs!$E$61/30</f>
        <v>0</v>
      </c>
      <c r="I64" s="53" t="n">
        <f aca="false">-I28*Inputs!$E$61/30</f>
        <v>0</v>
      </c>
      <c r="J64" s="53" t="n">
        <f aca="false">-J28*Inputs!$E$61/30</f>
        <v>0</v>
      </c>
      <c r="K64" s="53" t="n">
        <f aca="false">-K28*Inputs!$E$61/30</f>
        <v>0</v>
      </c>
      <c r="L64" s="53" t="n">
        <f aca="false">-L28*Inputs!$E$61/30</f>
        <v>0</v>
      </c>
      <c r="M64" s="53" t="n">
        <f aca="false">-M28*Inputs!$E$61/30</f>
        <v>0</v>
      </c>
      <c r="N64" s="53" t="n">
        <f aca="false">-N28*Inputs!$E$61/30</f>
        <v>0</v>
      </c>
      <c r="O64" s="53" t="n">
        <f aca="false">-O28*Inputs!$E$61/30</f>
        <v>0</v>
      </c>
      <c r="P64" s="53" t="n">
        <f aca="false">-P28*Inputs!$E$61/30</f>
        <v>0</v>
      </c>
      <c r="Q64" s="53" t="n">
        <f aca="false">-Q28*Inputs!$E$61/30</f>
        <v>0</v>
      </c>
      <c r="R64" s="53" t="n">
        <f aca="false">-R28*Inputs!$E$61/30</f>
        <v>0</v>
      </c>
      <c r="S64" s="53" t="n">
        <f aca="false">-S28*Inputs!$E$61/30</f>
        <v>0</v>
      </c>
      <c r="T64" s="53" t="n">
        <f aca="false">-T28*Inputs!$E$61/30</f>
        <v>0</v>
      </c>
      <c r="U64" s="53" t="n">
        <f aca="false">-U28*Inputs!$E$61/30</f>
        <v>0</v>
      </c>
      <c r="V64" s="53" t="n">
        <f aca="false">-V28*Inputs!$E$61/30</f>
        <v>0</v>
      </c>
      <c r="W64" s="53" t="n">
        <f aca="false">-W28*Inputs!$E$61/30</f>
        <v>0</v>
      </c>
      <c r="X64" s="53" t="n">
        <f aca="false">-X28*Inputs!$E$61/30</f>
        <v>0</v>
      </c>
      <c r="Y64" s="53" t="n">
        <f aca="false">-Y28*Inputs!$E$61/30</f>
        <v>0</v>
      </c>
      <c r="Z64" s="53" t="n">
        <f aca="false">-Z28*Inputs!$E$61/30</f>
        <v>0</v>
      </c>
      <c r="AA64" s="53" t="n">
        <f aca="false">-AA28*Inputs!$E$61/30</f>
        <v>0</v>
      </c>
      <c r="AB64" s="53" t="n">
        <f aca="false">-AB28*Inputs!$E$61/30</f>
        <v>0</v>
      </c>
      <c r="AC64" s="53" t="n">
        <f aca="false">-AC28*Inputs!$E$61/30</f>
        <v>0</v>
      </c>
      <c r="AD64" s="53" t="n">
        <f aca="false">-AD28*Inputs!$E$61/30</f>
        <v>0</v>
      </c>
      <c r="AE64" s="53" t="n">
        <f aca="false">-AE28*Inputs!$E$61/30</f>
        <v>0</v>
      </c>
      <c r="AF64" s="53" t="n">
        <f aca="false">-AF28*Inputs!$E$61/30</f>
        <v>0</v>
      </c>
      <c r="AG64" s="53" t="n">
        <f aca="false">-AG28*Inputs!$E$61/30</f>
        <v>0</v>
      </c>
      <c r="AH64" s="53" t="n">
        <f aca="false">-AH28*Inputs!$E$61/30</f>
        <v>0</v>
      </c>
      <c r="AI64" s="53" t="n">
        <f aca="false">-AI28*Inputs!$E$61/30</f>
        <v>0</v>
      </c>
      <c r="AJ64" s="53" t="n">
        <f aca="false">-AJ28*Inputs!$E$61/30</f>
        <v>0</v>
      </c>
      <c r="AK64" s="53" t="n">
        <f aca="false">-AK28*Inputs!$E$61/30</f>
        <v>0</v>
      </c>
      <c r="AL64" s="53" t="n">
        <f aca="false">-AL28*Inputs!$E$61/30</f>
        <v>0</v>
      </c>
      <c r="AM64" s="53" t="n">
        <f aca="false">-AM28*Inputs!$E$61/30</f>
        <v>0</v>
      </c>
      <c r="AN64" s="53" t="n">
        <f aca="false">-AN28*Inputs!$E$61/30</f>
        <v>0</v>
      </c>
      <c r="AO64" s="53" t="n">
        <f aca="false">-AO28*Inputs!$E$61/30</f>
        <v>0</v>
      </c>
      <c r="AP64" s="53" t="n">
        <f aca="false">-AP28*Inputs!$E$61/30</f>
        <v>0</v>
      </c>
      <c r="AQ64" s="53" t="n">
        <f aca="false">-AQ28*Inputs!$E$61/30</f>
        <v>0</v>
      </c>
      <c r="AR64" s="53" t="n">
        <f aca="false">-AR28*Inputs!$E$61/30</f>
        <v>0</v>
      </c>
      <c r="AS64" s="53" t="n">
        <f aca="false">-AS28*Inputs!$E$61/30</f>
        <v>0</v>
      </c>
      <c r="AT64" s="53" t="n">
        <f aca="false">-AT28*Inputs!$E$61/30</f>
        <v>0</v>
      </c>
      <c r="AU64" s="53" t="n">
        <f aca="false">-AU28*Inputs!$E$61/30</f>
        <v>0</v>
      </c>
      <c r="AV64" s="53" t="n">
        <f aca="false">-AV28*Inputs!$E$61/30</f>
        <v>0</v>
      </c>
      <c r="AW64" s="53" t="n">
        <f aca="false">-AW28*Inputs!$E$61/30</f>
        <v>0</v>
      </c>
      <c r="AX64" s="53" t="n">
        <f aca="false">-AX28*Inputs!$E$61/30</f>
        <v>0</v>
      </c>
      <c r="AY64" s="53" t="n">
        <f aca="false">-AY28*Inputs!$E$61/30</f>
        <v>0</v>
      </c>
      <c r="AZ64" s="53" t="n">
        <f aca="false">-AZ28*Inputs!$E$61/30</f>
        <v>0</v>
      </c>
      <c r="BA64" s="53" t="n">
        <f aca="false">-BA28*Inputs!$E$61/30</f>
        <v>0</v>
      </c>
      <c r="BB64" s="53" t="n">
        <f aca="false">-BB28*Inputs!$E$61/30</f>
        <v>0</v>
      </c>
      <c r="BC64" s="53" t="n">
        <f aca="false">-BC28*Inputs!$E$61/30</f>
        <v>0</v>
      </c>
      <c r="BD64" s="53" t="n">
        <f aca="false">-BD28*Inputs!$E$61/30</f>
        <v>0</v>
      </c>
      <c r="BE64" s="53" t="n">
        <f aca="false">-BE28*Inputs!$E$61/30</f>
        <v>0</v>
      </c>
      <c r="BF64" s="53" t="n">
        <f aca="false">-BF28*Inputs!$E$61/30</f>
        <v>0</v>
      </c>
      <c r="BG64" s="53" t="n">
        <f aca="false">-BG28*Inputs!$E$61/30</f>
        <v>0</v>
      </c>
      <c r="BH64" s="53" t="n">
        <f aca="false">-BH28*Inputs!$E$61/30</f>
        <v>0</v>
      </c>
      <c r="BI64" s="53" t="n">
        <f aca="false">-BI28*Inputs!$E$61/30</f>
        <v>0</v>
      </c>
      <c r="BJ64" s="53" t="n">
        <f aca="false">-BJ28*Inputs!$E$61/30</f>
        <v>0</v>
      </c>
    </row>
    <row r="65" customFormat="false" ht="15" hidden="false" customHeight="false" outlineLevel="0" collapsed="false">
      <c r="A65" s="6" t="s">
        <v>92</v>
      </c>
      <c r="C65" s="53" t="n">
        <f aca="false">-C28*Inputs!$E$62/30</f>
        <v>112632.74</v>
      </c>
      <c r="D65" s="53" t="n">
        <f aca="false">-D28*Inputs!$E$62/30</f>
        <v>112632.74</v>
      </c>
      <c r="E65" s="53" t="n">
        <f aca="false">-E28*Inputs!$E$62/30</f>
        <v>112632.74</v>
      </c>
      <c r="F65" s="53" t="n">
        <f aca="false">-F28*Inputs!$E$62/30</f>
        <v>112632.74</v>
      </c>
      <c r="G65" s="53" t="n">
        <f aca="false">-G28*Inputs!$E$62/30</f>
        <v>112632.74</v>
      </c>
      <c r="H65" s="53" t="n">
        <f aca="false">-H28*Inputs!$E$62/30</f>
        <v>112632.74</v>
      </c>
      <c r="I65" s="53" t="n">
        <f aca="false">-I28*Inputs!$E$62/30</f>
        <v>112632.74</v>
      </c>
      <c r="J65" s="53" t="n">
        <f aca="false">-J28*Inputs!$E$62/30</f>
        <v>112632.74</v>
      </c>
      <c r="K65" s="53" t="n">
        <f aca="false">-K28*Inputs!$E$62/30</f>
        <v>112632.74</v>
      </c>
      <c r="L65" s="53" t="n">
        <f aca="false">-L28*Inputs!$E$62/30</f>
        <v>112632.74</v>
      </c>
      <c r="M65" s="53" t="n">
        <f aca="false">-M28*Inputs!$E$62/30</f>
        <v>112632.74</v>
      </c>
      <c r="N65" s="53" t="n">
        <f aca="false">-N28*Inputs!$E$62/30</f>
        <v>112632.74</v>
      </c>
      <c r="O65" s="53" t="n">
        <f aca="false">-O28*Inputs!$E$62/30</f>
        <v>145417.95234</v>
      </c>
      <c r="P65" s="53" t="n">
        <f aca="false">-P28*Inputs!$E$62/30</f>
        <v>145417.95234</v>
      </c>
      <c r="Q65" s="53" t="n">
        <f aca="false">-Q28*Inputs!$E$62/30</f>
        <v>145417.95234</v>
      </c>
      <c r="R65" s="53" t="n">
        <f aca="false">-R28*Inputs!$E$62/30</f>
        <v>145417.95234</v>
      </c>
      <c r="S65" s="53" t="n">
        <f aca="false">-S28*Inputs!$E$62/30</f>
        <v>145417.95234</v>
      </c>
      <c r="T65" s="53" t="n">
        <f aca="false">-T28*Inputs!$E$62/30</f>
        <v>145417.95234</v>
      </c>
      <c r="U65" s="53" t="n">
        <f aca="false">-U28*Inputs!$E$62/30</f>
        <v>145417.95234</v>
      </c>
      <c r="V65" s="53" t="n">
        <f aca="false">-V28*Inputs!$E$62/30</f>
        <v>145417.95234</v>
      </c>
      <c r="W65" s="53" t="n">
        <f aca="false">-W28*Inputs!$E$62/30</f>
        <v>145417.95234</v>
      </c>
      <c r="X65" s="53" t="n">
        <f aca="false">-X28*Inputs!$E$62/30</f>
        <v>145417.95234</v>
      </c>
      <c r="Y65" s="53" t="n">
        <f aca="false">-Y28*Inputs!$E$62/30</f>
        <v>145417.95234</v>
      </c>
      <c r="Z65" s="53" t="n">
        <f aca="false">-Z28*Inputs!$E$62/30</f>
        <v>145417.95234</v>
      </c>
      <c r="AA65" s="53" t="n">
        <f aca="false">-AA28*Inputs!$E$62/30</f>
        <v>188043.59204454</v>
      </c>
      <c r="AB65" s="53" t="n">
        <f aca="false">-AB28*Inputs!$E$62/30</f>
        <v>188043.59204454</v>
      </c>
      <c r="AC65" s="53" t="n">
        <f aca="false">-AC28*Inputs!$E$62/30</f>
        <v>188043.59204454</v>
      </c>
      <c r="AD65" s="53" t="n">
        <f aca="false">-AD28*Inputs!$E$62/30</f>
        <v>188043.59204454</v>
      </c>
      <c r="AE65" s="53" t="n">
        <f aca="false">-AE28*Inputs!$E$62/30</f>
        <v>188043.59204454</v>
      </c>
      <c r="AF65" s="53" t="n">
        <f aca="false">-AF28*Inputs!$E$62/30</f>
        <v>188043.59204454</v>
      </c>
      <c r="AG65" s="53" t="n">
        <f aca="false">-AG28*Inputs!$E$62/30</f>
        <v>188043.59204454</v>
      </c>
      <c r="AH65" s="53" t="n">
        <f aca="false">-AH28*Inputs!$E$62/30</f>
        <v>188043.59204454</v>
      </c>
      <c r="AI65" s="53" t="n">
        <f aca="false">-AI28*Inputs!$E$62/30</f>
        <v>188043.59204454</v>
      </c>
      <c r="AJ65" s="53" t="n">
        <f aca="false">-AJ28*Inputs!$E$62/30</f>
        <v>188043.59204454</v>
      </c>
      <c r="AK65" s="53" t="n">
        <f aca="false">-AK28*Inputs!$E$62/30</f>
        <v>188043.59204454</v>
      </c>
      <c r="AL65" s="53" t="n">
        <f aca="false">-AL28*Inputs!$E$62/30</f>
        <v>188043.59204454</v>
      </c>
      <c r="AM65" s="53" t="n">
        <f aca="false">-AM28*Inputs!$E$62/30</f>
        <v>243544.956720181</v>
      </c>
      <c r="AN65" s="53" t="n">
        <f aca="false">-AN28*Inputs!$E$62/30</f>
        <v>243544.956720181</v>
      </c>
      <c r="AO65" s="53" t="n">
        <f aca="false">-AO28*Inputs!$E$62/30</f>
        <v>243544.956720181</v>
      </c>
      <c r="AP65" s="53" t="n">
        <f aca="false">-AP28*Inputs!$E$62/30</f>
        <v>243544.956720181</v>
      </c>
      <c r="AQ65" s="53" t="n">
        <f aca="false">-AQ28*Inputs!$E$62/30</f>
        <v>243544.956720181</v>
      </c>
      <c r="AR65" s="53" t="n">
        <f aca="false">-AR28*Inputs!$E$62/30</f>
        <v>243544.956720181</v>
      </c>
      <c r="AS65" s="53" t="n">
        <f aca="false">-AS28*Inputs!$E$62/30</f>
        <v>243544.956720181</v>
      </c>
      <c r="AT65" s="53" t="n">
        <f aca="false">-AT28*Inputs!$E$62/30</f>
        <v>243544.956720181</v>
      </c>
      <c r="AU65" s="53" t="n">
        <f aca="false">-AU28*Inputs!$E$62/30</f>
        <v>243544.956720181</v>
      </c>
      <c r="AV65" s="53" t="n">
        <f aca="false">-AV28*Inputs!$E$62/30</f>
        <v>243544.956720181</v>
      </c>
      <c r="AW65" s="53" t="n">
        <f aca="false">-AW28*Inputs!$E$62/30</f>
        <v>243544.956720181</v>
      </c>
      <c r="AX65" s="53" t="n">
        <f aca="false">-AX28*Inputs!$E$62/30</f>
        <v>243544.956720181</v>
      </c>
      <c r="AY65" s="53" t="n">
        <f aca="false">-AY28*Inputs!$E$62/30</f>
        <v>315915.366546385</v>
      </c>
      <c r="AZ65" s="53" t="n">
        <f aca="false">-AZ28*Inputs!$E$62/30</f>
        <v>315915.366546385</v>
      </c>
      <c r="BA65" s="53" t="n">
        <f aca="false">-BA28*Inputs!$E$62/30</f>
        <v>315915.366546385</v>
      </c>
      <c r="BB65" s="53" t="n">
        <f aca="false">-BB28*Inputs!$E$62/30</f>
        <v>315915.366546385</v>
      </c>
      <c r="BC65" s="53" t="n">
        <f aca="false">-BC28*Inputs!$E$62/30</f>
        <v>315915.366546385</v>
      </c>
      <c r="BD65" s="53" t="n">
        <f aca="false">-BD28*Inputs!$E$62/30</f>
        <v>315915.366546385</v>
      </c>
      <c r="BE65" s="53" t="n">
        <f aca="false">-BE28*Inputs!$E$62/30</f>
        <v>315915.366546385</v>
      </c>
      <c r="BF65" s="53" t="n">
        <f aca="false">-BF28*Inputs!$E$62/30</f>
        <v>315915.366546385</v>
      </c>
      <c r="BG65" s="53" t="n">
        <f aca="false">-BG28*Inputs!$E$62/30</f>
        <v>315915.366546385</v>
      </c>
      <c r="BH65" s="53" t="n">
        <f aca="false">-BH28*Inputs!$E$62/30</f>
        <v>315915.366546385</v>
      </c>
      <c r="BI65" s="53" t="n">
        <f aca="false">-BI28*Inputs!$E$62/30</f>
        <v>315915.366546385</v>
      </c>
      <c r="BJ65" s="53" t="n">
        <f aca="false">-BJ28*Inputs!$E$62/30</f>
        <v>315915.366546385</v>
      </c>
    </row>
    <row r="66" customFormat="false" ht="15" hidden="false" customHeight="false" outlineLevel="0" collapsed="false">
      <c r="A66" s="6" t="s">
        <v>307</v>
      </c>
      <c r="C66" s="53" t="n">
        <f aca="false">-C63</f>
        <v>-563274</v>
      </c>
      <c r="D66" s="53" t="n">
        <f aca="false">C63-D63</f>
        <v>0</v>
      </c>
      <c r="E66" s="53" t="n">
        <f aca="false">D63-E63</f>
        <v>0</v>
      </c>
      <c r="F66" s="53" t="n">
        <f aca="false">E63-F63</f>
        <v>0</v>
      </c>
      <c r="G66" s="53" t="n">
        <f aca="false">F63-G63</f>
        <v>0</v>
      </c>
      <c r="H66" s="53" t="n">
        <f aca="false">G63-H63</f>
        <v>0</v>
      </c>
      <c r="I66" s="53" t="n">
        <f aca="false">H63-I63</f>
        <v>0</v>
      </c>
      <c r="J66" s="53" t="n">
        <f aca="false">I63-J63</f>
        <v>0</v>
      </c>
      <c r="K66" s="53" t="n">
        <f aca="false">J63-K63</f>
        <v>0</v>
      </c>
      <c r="L66" s="53" t="n">
        <f aca="false">K63-L63</f>
        <v>0</v>
      </c>
      <c r="M66" s="53" t="n">
        <f aca="false">L63-M63</f>
        <v>0</v>
      </c>
      <c r="N66" s="53" t="n">
        <f aca="false">M63-N63</f>
        <v>0</v>
      </c>
      <c r="O66" s="53" t="n">
        <f aca="false">N63-O63</f>
        <v>-166221.234</v>
      </c>
      <c r="P66" s="53" t="n">
        <f aca="false">O63-P63</f>
        <v>0</v>
      </c>
      <c r="Q66" s="53" t="n">
        <f aca="false">P63-Q63</f>
        <v>0</v>
      </c>
      <c r="R66" s="53" t="n">
        <f aca="false">Q63-R63</f>
        <v>0</v>
      </c>
      <c r="S66" s="53" t="n">
        <f aca="false">R63-S63</f>
        <v>0</v>
      </c>
      <c r="T66" s="53" t="n">
        <f aca="false">S63-T63</f>
        <v>0</v>
      </c>
      <c r="U66" s="53" t="n">
        <f aca="false">T63-U63</f>
        <v>0</v>
      </c>
      <c r="V66" s="53" t="n">
        <f aca="false">U63-V63</f>
        <v>0</v>
      </c>
      <c r="W66" s="53" t="n">
        <f aca="false">V63-W63</f>
        <v>0</v>
      </c>
      <c r="X66" s="53" t="n">
        <f aca="false">W63-X63</f>
        <v>0</v>
      </c>
      <c r="Y66" s="53" t="n">
        <f aca="false">X63-Y63</f>
        <v>0</v>
      </c>
      <c r="Z66" s="53" t="n">
        <f aca="false">Y63-Z63</f>
        <v>0</v>
      </c>
      <c r="AA66" s="53" t="n">
        <f aca="false">Z63-AA63</f>
        <v>-216734.270454</v>
      </c>
      <c r="AB66" s="53" t="n">
        <f aca="false">AA63-AB63</f>
        <v>0</v>
      </c>
      <c r="AC66" s="53" t="n">
        <f aca="false">AB63-AC63</f>
        <v>0</v>
      </c>
      <c r="AD66" s="53" t="n">
        <f aca="false">AC63-AD63</f>
        <v>0</v>
      </c>
      <c r="AE66" s="53" t="n">
        <f aca="false">AD63-AE63</f>
        <v>0</v>
      </c>
      <c r="AF66" s="53" t="n">
        <f aca="false">AE63-AF63</f>
        <v>0</v>
      </c>
      <c r="AG66" s="53" t="n">
        <f aca="false">AF63-AG63</f>
        <v>0</v>
      </c>
      <c r="AH66" s="53" t="n">
        <f aca="false">AG63-AH63</f>
        <v>0</v>
      </c>
      <c r="AI66" s="53" t="n">
        <f aca="false">AH63-AI63</f>
        <v>0</v>
      </c>
      <c r="AJ66" s="53" t="n">
        <f aca="false">AI63-AJ63</f>
        <v>0</v>
      </c>
      <c r="AK66" s="53" t="n">
        <f aca="false">AJ63-AK63</f>
        <v>0</v>
      </c>
      <c r="AL66" s="53" t="n">
        <f aca="false">AK63-AL63</f>
        <v>0</v>
      </c>
      <c r="AM66" s="53" t="n">
        <f aca="false">AL63-AM63</f>
        <v>-282993.939264114</v>
      </c>
      <c r="AN66" s="53" t="n">
        <f aca="false">AM63-AN63</f>
        <v>0</v>
      </c>
      <c r="AO66" s="53" t="n">
        <f aca="false">AN63-AO63</f>
        <v>0</v>
      </c>
      <c r="AP66" s="53" t="n">
        <f aca="false">AO63-AP63</f>
        <v>0</v>
      </c>
      <c r="AQ66" s="53" t="n">
        <f aca="false">AP63-AQ63</f>
        <v>0</v>
      </c>
      <c r="AR66" s="53" t="n">
        <f aca="false">AQ63-AR63</f>
        <v>0</v>
      </c>
      <c r="AS66" s="53" t="n">
        <f aca="false">AR63-AS63</f>
        <v>0</v>
      </c>
      <c r="AT66" s="53" t="n">
        <f aca="false">AS63-AT63</f>
        <v>0</v>
      </c>
      <c r="AU66" s="53" t="n">
        <f aca="false">AT63-AU63</f>
        <v>0</v>
      </c>
      <c r="AV66" s="53" t="n">
        <f aca="false">AU63-AV63</f>
        <v>0</v>
      </c>
      <c r="AW66" s="53" t="n">
        <f aca="false">AV63-AW63</f>
        <v>0</v>
      </c>
      <c r="AX66" s="53" t="n">
        <f aca="false">AW63-AX63</f>
        <v>0</v>
      </c>
      <c r="AY66" s="53" t="n">
        <f aca="false">AX63-AY63</f>
        <v>-370013.309066642</v>
      </c>
      <c r="AZ66" s="53" t="n">
        <f aca="false">AY63-AZ63</f>
        <v>0</v>
      </c>
      <c r="BA66" s="53" t="n">
        <f aca="false">AZ63-BA63</f>
        <v>0</v>
      </c>
      <c r="BB66" s="53" t="n">
        <f aca="false">BA63-BB63</f>
        <v>0</v>
      </c>
      <c r="BC66" s="53" t="n">
        <f aca="false">BB63-BC63</f>
        <v>0</v>
      </c>
      <c r="BD66" s="53" t="n">
        <f aca="false">BC63-BD63</f>
        <v>0</v>
      </c>
      <c r="BE66" s="53" t="n">
        <f aca="false">BD63-BE63</f>
        <v>0</v>
      </c>
      <c r="BF66" s="53" t="n">
        <f aca="false">BE63-BF63</f>
        <v>0</v>
      </c>
      <c r="BG66" s="53" t="n">
        <f aca="false">BF63-BG63</f>
        <v>0</v>
      </c>
      <c r="BH66" s="53" t="n">
        <f aca="false">BG63-BH63</f>
        <v>0</v>
      </c>
      <c r="BI66" s="53" t="n">
        <f aca="false">BH63-BI63</f>
        <v>0</v>
      </c>
      <c r="BJ66" s="53" t="n">
        <f aca="false">BI63-BJ63</f>
        <v>0</v>
      </c>
    </row>
    <row r="67" customFormat="false" ht="15" hidden="false" customHeight="false" outlineLevel="0" collapsed="false">
      <c r="A67" s="6" t="s">
        <v>308</v>
      </c>
      <c r="C67" s="53" t="n">
        <f aca="false">-C64</f>
        <v>-0</v>
      </c>
      <c r="D67" s="53" t="n">
        <f aca="false">C64-D64</f>
        <v>0</v>
      </c>
      <c r="E67" s="53" t="n">
        <f aca="false">D64-E64</f>
        <v>0</v>
      </c>
      <c r="F67" s="53" t="n">
        <f aca="false">E64-F64</f>
        <v>0</v>
      </c>
      <c r="G67" s="53" t="n">
        <f aca="false">F64-G64</f>
        <v>0</v>
      </c>
      <c r="H67" s="53" t="n">
        <f aca="false">G64-H64</f>
        <v>0</v>
      </c>
      <c r="I67" s="53" t="n">
        <f aca="false">H64-I64</f>
        <v>0</v>
      </c>
      <c r="J67" s="53" t="n">
        <f aca="false">I64-J64</f>
        <v>0</v>
      </c>
      <c r="K67" s="53" t="n">
        <f aca="false">J64-K64</f>
        <v>0</v>
      </c>
      <c r="L67" s="53" t="n">
        <f aca="false">K64-L64</f>
        <v>0</v>
      </c>
      <c r="M67" s="53" t="n">
        <f aca="false">L64-M64</f>
        <v>0</v>
      </c>
      <c r="N67" s="53" t="n">
        <f aca="false">M64-N64</f>
        <v>0</v>
      </c>
      <c r="O67" s="53" t="n">
        <f aca="false">N64-O64</f>
        <v>0</v>
      </c>
      <c r="P67" s="53" t="n">
        <f aca="false">O64-P64</f>
        <v>0</v>
      </c>
      <c r="Q67" s="53" t="n">
        <f aca="false">P64-Q64</f>
        <v>0</v>
      </c>
      <c r="R67" s="53" t="n">
        <f aca="false">Q64-R64</f>
        <v>0</v>
      </c>
      <c r="S67" s="53" t="n">
        <f aca="false">R64-S64</f>
        <v>0</v>
      </c>
      <c r="T67" s="53" t="n">
        <f aca="false">S64-T64</f>
        <v>0</v>
      </c>
      <c r="U67" s="53" t="n">
        <f aca="false">T64-U64</f>
        <v>0</v>
      </c>
      <c r="V67" s="53" t="n">
        <f aca="false">U64-V64</f>
        <v>0</v>
      </c>
      <c r="W67" s="53" t="n">
        <f aca="false">V64-W64</f>
        <v>0</v>
      </c>
      <c r="X67" s="53" t="n">
        <f aca="false">W64-X64</f>
        <v>0</v>
      </c>
      <c r="Y67" s="53" t="n">
        <f aca="false">X64-Y64</f>
        <v>0</v>
      </c>
      <c r="Z67" s="53" t="n">
        <f aca="false">Y64-Z64</f>
        <v>0</v>
      </c>
      <c r="AA67" s="53" t="n">
        <f aca="false">Z64-AA64</f>
        <v>0</v>
      </c>
      <c r="AB67" s="53" t="n">
        <f aca="false">AA64-AB64</f>
        <v>0</v>
      </c>
      <c r="AC67" s="53" t="n">
        <f aca="false">AB64-AC64</f>
        <v>0</v>
      </c>
      <c r="AD67" s="53" t="n">
        <f aca="false">AC64-AD64</f>
        <v>0</v>
      </c>
      <c r="AE67" s="53" t="n">
        <f aca="false">AD64-AE64</f>
        <v>0</v>
      </c>
      <c r="AF67" s="53" t="n">
        <f aca="false">AE64-AF64</f>
        <v>0</v>
      </c>
      <c r="AG67" s="53" t="n">
        <f aca="false">AF64-AG64</f>
        <v>0</v>
      </c>
      <c r="AH67" s="53" t="n">
        <f aca="false">AG64-AH64</f>
        <v>0</v>
      </c>
      <c r="AI67" s="53" t="n">
        <f aca="false">AH64-AI64</f>
        <v>0</v>
      </c>
      <c r="AJ67" s="53" t="n">
        <f aca="false">AI64-AJ64</f>
        <v>0</v>
      </c>
      <c r="AK67" s="53" t="n">
        <f aca="false">AJ64-AK64</f>
        <v>0</v>
      </c>
      <c r="AL67" s="53" t="n">
        <f aca="false">AK64-AL64</f>
        <v>0</v>
      </c>
      <c r="AM67" s="53" t="n">
        <f aca="false">AL64-AM64</f>
        <v>0</v>
      </c>
      <c r="AN67" s="53" t="n">
        <f aca="false">AM64-AN64</f>
        <v>0</v>
      </c>
      <c r="AO67" s="53" t="n">
        <f aca="false">AN64-AO64</f>
        <v>0</v>
      </c>
      <c r="AP67" s="53" t="n">
        <f aca="false">AO64-AP64</f>
        <v>0</v>
      </c>
      <c r="AQ67" s="53" t="n">
        <f aca="false">AP64-AQ64</f>
        <v>0</v>
      </c>
      <c r="AR67" s="53" t="n">
        <f aca="false">AQ64-AR64</f>
        <v>0</v>
      </c>
      <c r="AS67" s="53" t="n">
        <f aca="false">AR64-AS64</f>
        <v>0</v>
      </c>
      <c r="AT67" s="53" t="n">
        <f aca="false">AS64-AT64</f>
        <v>0</v>
      </c>
      <c r="AU67" s="53" t="n">
        <f aca="false">AT64-AU64</f>
        <v>0</v>
      </c>
      <c r="AV67" s="53" t="n">
        <f aca="false">AU64-AV64</f>
        <v>0</v>
      </c>
      <c r="AW67" s="53" t="n">
        <f aca="false">AV64-AW64</f>
        <v>0</v>
      </c>
      <c r="AX67" s="53" t="n">
        <f aca="false">AW64-AX64</f>
        <v>0</v>
      </c>
      <c r="AY67" s="53" t="n">
        <f aca="false">AX64-AY64</f>
        <v>0</v>
      </c>
      <c r="AZ67" s="53" t="n">
        <f aca="false">AY64-AZ64</f>
        <v>0</v>
      </c>
      <c r="BA67" s="53" t="n">
        <f aca="false">AZ64-BA64</f>
        <v>0</v>
      </c>
      <c r="BB67" s="53" t="n">
        <f aca="false">BA64-BB64</f>
        <v>0</v>
      </c>
      <c r="BC67" s="53" t="n">
        <f aca="false">BB64-BC64</f>
        <v>0</v>
      </c>
      <c r="BD67" s="53" t="n">
        <f aca="false">BC64-BD64</f>
        <v>0</v>
      </c>
      <c r="BE67" s="53" t="n">
        <f aca="false">BD64-BE64</f>
        <v>0</v>
      </c>
      <c r="BF67" s="53" t="n">
        <f aca="false">BE64-BF64</f>
        <v>0</v>
      </c>
      <c r="BG67" s="53" t="n">
        <f aca="false">BF64-BG64</f>
        <v>0</v>
      </c>
      <c r="BH67" s="53" t="n">
        <f aca="false">BG64-BH64</f>
        <v>0</v>
      </c>
      <c r="BI67" s="53" t="n">
        <f aca="false">BH64-BI64</f>
        <v>0</v>
      </c>
      <c r="BJ67" s="53" t="n">
        <f aca="false">BI64-BJ64</f>
        <v>0</v>
      </c>
    </row>
    <row r="68" customFormat="false" ht="15" hidden="false" customHeight="false" outlineLevel="0" collapsed="false">
      <c r="A68" s="6" t="s">
        <v>309</v>
      </c>
      <c r="C68" s="53" t="n">
        <f aca="false">C65</f>
        <v>112632.74</v>
      </c>
      <c r="D68" s="53" t="n">
        <f aca="false">D65-C65</f>
        <v>0</v>
      </c>
      <c r="E68" s="53" t="n">
        <f aca="false">E65-D65</f>
        <v>0</v>
      </c>
      <c r="F68" s="53" t="n">
        <f aca="false">F65-E65</f>
        <v>0</v>
      </c>
      <c r="G68" s="53" t="n">
        <f aca="false">G65-F65</f>
        <v>0</v>
      </c>
      <c r="H68" s="53" t="n">
        <f aca="false">H65-G65</f>
        <v>0</v>
      </c>
      <c r="I68" s="53" t="n">
        <f aca="false">I65-H65</f>
        <v>0</v>
      </c>
      <c r="J68" s="53" t="n">
        <f aca="false">J65-I65</f>
        <v>0</v>
      </c>
      <c r="K68" s="53" t="n">
        <f aca="false">K65-J65</f>
        <v>0</v>
      </c>
      <c r="L68" s="53" t="n">
        <f aca="false">L65-K65</f>
        <v>0</v>
      </c>
      <c r="M68" s="53" t="n">
        <f aca="false">M65-L65</f>
        <v>0</v>
      </c>
      <c r="N68" s="53" t="n">
        <f aca="false">N65-M65</f>
        <v>0</v>
      </c>
      <c r="O68" s="53" t="n">
        <f aca="false">O65-N65</f>
        <v>32785.21234</v>
      </c>
      <c r="P68" s="53" t="n">
        <f aca="false">P65-O65</f>
        <v>0</v>
      </c>
      <c r="Q68" s="53" t="n">
        <f aca="false">Q65-P65</f>
        <v>0</v>
      </c>
      <c r="R68" s="53" t="n">
        <f aca="false">R65-Q65</f>
        <v>0</v>
      </c>
      <c r="S68" s="53" t="n">
        <f aca="false">S65-R65</f>
        <v>0</v>
      </c>
      <c r="T68" s="53" t="n">
        <f aca="false">T65-S65</f>
        <v>0</v>
      </c>
      <c r="U68" s="53" t="n">
        <f aca="false">U65-T65</f>
        <v>0</v>
      </c>
      <c r="V68" s="53" t="n">
        <f aca="false">V65-U65</f>
        <v>0</v>
      </c>
      <c r="W68" s="53" t="n">
        <f aca="false">W65-V65</f>
        <v>0</v>
      </c>
      <c r="X68" s="53" t="n">
        <f aca="false">X65-W65</f>
        <v>0</v>
      </c>
      <c r="Y68" s="53" t="n">
        <f aca="false">Y65-X65</f>
        <v>0</v>
      </c>
      <c r="Z68" s="53" t="n">
        <f aca="false">Z65-Y65</f>
        <v>0</v>
      </c>
      <c r="AA68" s="53" t="n">
        <f aca="false">AA65-Z65</f>
        <v>42625.63970454</v>
      </c>
      <c r="AB68" s="53" t="n">
        <f aca="false">AB65-AA65</f>
        <v>0</v>
      </c>
      <c r="AC68" s="53" t="n">
        <f aca="false">AC65-AB65</f>
        <v>0</v>
      </c>
      <c r="AD68" s="53" t="n">
        <f aca="false">AD65-AC65</f>
        <v>0</v>
      </c>
      <c r="AE68" s="53" t="n">
        <f aca="false">AE65-AD65</f>
        <v>0</v>
      </c>
      <c r="AF68" s="53" t="n">
        <f aca="false">AF65-AE65</f>
        <v>0</v>
      </c>
      <c r="AG68" s="53" t="n">
        <f aca="false">AG65-AF65</f>
        <v>0</v>
      </c>
      <c r="AH68" s="53" t="n">
        <f aca="false">AH65-AG65</f>
        <v>0</v>
      </c>
      <c r="AI68" s="53" t="n">
        <f aca="false">AI65-AH65</f>
        <v>0</v>
      </c>
      <c r="AJ68" s="53" t="n">
        <f aca="false">AJ65-AI65</f>
        <v>0</v>
      </c>
      <c r="AK68" s="53" t="n">
        <f aca="false">AK65-AJ65</f>
        <v>0</v>
      </c>
      <c r="AL68" s="53" t="n">
        <f aca="false">AL65-AK65</f>
        <v>0</v>
      </c>
      <c r="AM68" s="53" t="n">
        <f aca="false">AM65-AL65</f>
        <v>55501.3646756412</v>
      </c>
      <c r="AN68" s="53" t="n">
        <f aca="false">AN65-AM65</f>
        <v>0</v>
      </c>
      <c r="AO68" s="53" t="n">
        <f aca="false">AO65-AN65</f>
        <v>0</v>
      </c>
      <c r="AP68" s="53" t="n">
        <f aca="false">AP65-AO65</f>
        <v>0</v>
      </c>
      <c r="AQ68" s="53" t="n">
        <f aca="false">AQ65-AP65</f>
        <v>0</v>
      </c>
      <c r="AR68" s="53" t="n">
        <f aca="false">AR65-AQ65</f>
        <v>0</v>
      </c>
      <c r="AS68" s="53" t="n">
        <f aca="false">AS65-AR65</f>
        <v>0</v>
      </c>
      <c r="AT68" s="53" t="n">
        <f aca="false">AT65-AS65</f>
        <v>0</v>
      </c>
      <c r="AU68" s="53" t="n">
        <f aca="false">AU65-AT65</f>
        <v>0</v>
      </c>
      <c r="AV68" s="53" t="n">
        <f aca="false">AV65-AU65</f>
        <v>0</v>
      </c>
      <c r="AW68" s="53" t="n">
        <f aca="false">AW65-AV65</f>
        <v>0</v>
      </c>
      <c r="AX68" s="53" t="n">
        <f aca="false">AX65-AW65</f>
        <v>0</v>
      </c>
      <c r="AY68" s="53" t="n">
        <f aca="false">AY65-AX65</f>
        <v>72370.4098262035</v>
      </c>
      <c r="AZ68" s="53" t="n">
        <f aca="false">AZ65-AY65</f>
        <v>0</v>
      </c>
      <c r="BA68" s="53" t="n">
        <f aca="false">BA65-AZ65</f>
        <v>0</v>
      </c>
      <c r="BB68" s="53" t="n">
        <f aca="false">BB65-BA65</f>
        <v>0</v>
      </c>
      <c r="BC68" s="53" t="n">
        <f aca="false">BC65-BB65</f>
        <v>0</v>
      </c>
      <c r="BD68" s="53" t="n">
        <f aca="false">BD65-BC65</f>
        <v>0</v>
      </c>
      <c r="BE68" s="53" t="n">
        <f aca="false">BE65-BD65</f>
        <v>0</v>
      </c>
      <c r="BF68" s="53" t="n">
        <f aca="false">BF65-BE65</f>
        <v>0</v>
      </c>
      <c r="BG68" s="53" t="n">
        <f aca="false">BG65-BF65</f>
        <v>0</v>
      </c>
      <c r="BH68" s="53" t="n">
        <f aca="false">BH65-BG65</f>
        <v>0</v>
      </c>
      <c r="BI68" s="53" t="n">
        <f aca="false">BI65-BH65</f>
        <v>0</v>
      </c>
      <c r="BJ68" s="53" t="n">
        <f aca="false">BJ65-BI65</f>
        <v>0</v>
      </c>
    </row>
    <row r="70" customFormat="false" ht="15.75" hidden="false" customHeight="true" outlineLevel="0" collapsed="false">
      <c r="A70" s="7" t="s">
        <v>396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4" t="s">
        <v>50</v>
      </c>
      <c r="C71" s="60" t="n">
        <f aca="false">C47-C52+C66+C67+C68</f>
        <v>-382319.682533333</v>
      </c>
      <c r="D71" s="60" t="n">
        <f aca="false">D47-D52+D66+D67+D68</f>
        <v>68330.3552444445</v>
      </c>
      <c r="E71" s="60" t="n">
        <f aca="false">E47-E52+E66+E67+E68</f>
        <v>68347.9108</v>
      </c>
      <c r="F71" s="60" t="n">
        <f aca="false">F47-F52+F66+F67+F68</f>
        <v>68365.4663555556</v>
      </c>
      <c r="G71" s="60" t="n">
        <f aca="false">G47-G52+G66+G67+G68</f>
        <v>68383.0219111111</v>
      </c>
      <c r="H71" s="60" t="n">
        <f aca="false">H47-H52+H66+H67+H68</f>
        <v>68400.5774666667</v>
      </c>
      <c r="I71" s="60" t="n">
        <f aca="false">I47-I52+I66+I67+I68</f>
        <v>68418.1330222222</v>
      </c>
      <c r="J71" s="60" t="n">
        <f aca="false">J47-J52+J66+J67+J68</f>
        <v>68435.6885777778</v>
      </c>
      <c r="K71" s="60" t="n">
        <f aca="false">K47-K52+K66+K67+K68</f>
        <v>68453.2441333333</v>
      </c>
      <c r="L71" s="60" t="n">
        <f aca="false">L47-L52+L66+L67+L68</f>
        <v>68470.7996888889</v>
      </c>
      <c r="M71" s="60" t="n">
        <f aca="false">M47-M52+M66+M67+M68</f>
        <v>68488.3552444444</v>
      </c>
      <c r="N71" s="60" t="n">
        <f aca="false">N47-N52+N66+N67+N68</f>
        <v>68505.9108</v>
      </c>
      <c r="O71" s="60" t="n">
        <f aca="false">O47-O52+O66+O67+O68</f>
        <v>-36011.2100616446</v>
      </c>
      <c r="P71" s="60" t="n">
        <f aca="false">P47-P52+P66+P67+P68</f>
        <v>97442.3671539113</v>
      </c>
      <c r="Q71" s="60" t="n">
        <f aca="false">Q47-Q52+Q66+Q67+Q68</f>
        <v>97459.9227094669</v>
      </c>
      <c r="R71" s="60" t="n">
        <f aca="false">R47-R52+R66+R67+R68</f>
        <v>97477.4782650224</v>
      </c>
      <c r="S71" s="60" t="n">
        <f aca="false">S47-S52+S66+S67+S68</f>
        <v>97495.033820578</v>
      </c>
      <c r="T71" s="60" t="n">
        <f aca="false">T47-T52+T66+T67+T68</f>
        <v>97512.5893761335</v>
      </c>
      <c r="U71" s="60" t="n">
        <f aca="false">U47-U52+U66+U67+U68</f>
        <v>97530.1449316891</v>
      </c>
      <c r="V71" s="60" t="n">
        <f aca="false">V47-V52+V66+V67+V68</f>
        <v>97547.7004872446</v>
      </c>
      <c r="W71" s="60" t="n">
        <f aca="false">W47-W52+W66+W67+W68</f>
        <v>97565.2560428002</v>
      </c>
      <c r="X71" s="60" t="n">
        <f aca="false">X47-X52+X66+X67+X68</f>
        <v>97582.8115983558</v>
      </c>
      <c r="Y71" s="60" t="n">
        <f aca="false">Y47-Y52+Y66+Y67+Y68</f>
        <v>97600.3671539113</v>
      </c>
      <c r="Z71" s="60" t="n">
        <f aca="false">Z47-Z52+Z66+Z67+Z68</f>
        <v>97617.9227094669</v>
      </c>
      <c r="AA71" s="60" t="n">
        <f aca="false">AA47-AA52+AA66+AA67+AA68</f>
        <v>-38007.7622764207</v>
      </c>
      <c r="AB71" s="60" t="n">
        <f aca="false">AB47-AB52+AB66+AB67+AB68</f>
        <v>136118.424028595</v>
      </c>
      <c r="AC71" s="60" t="n">
        <f aca="false">AC47-AC52+AC66+AC67+AC68</f>
        <v>136135.97958415</v>
      </c>
      <c r="AD71" s="60" t="n">
        <f aca="false">AD47-AD52+AD66+AD67+AD68</f>
        <v>136153.535139706</v>
      </c>
      <c r="AE71" s="60" t="n">
        <f aca="false">AE47-AE52+AE66+AE67+AE68</f>
        <v>136171.090695261</v>
      </c>
      <c r="AF71" s="60" t="n">
        <f aca="false">AF47-AF52+AF66+AF67+AF68</f>
        <v>136188.646250817</v>
      </c>
      <c r="AG71" s="60" t="n">
        <f aca="false">AG47-AG52+AG66+AG67+AG68</f>
        <v>136206.201806372</v>
      </c>
      <c r="AH71" s="60" t="n">
        <f aca="false">AH47-AH52+AH66+AH67+AH68</f>
        <v>136223.757361928</v>
      </c>
      <c r="AI71" s="60" t="n">
        <f aca="false">AI47-AI52+AI66+AI67+AI68</f>
        <v>136241.312917484</v>
      </c>
      <c r="AJ71" s="60" t="n">
        <f aca="false">AJ47-AJ52+AJ66+AJ67+AJ68</f>
        <v>136258.868473039</v>
      </c>
      <c r="AK71" s="60" t="n">
        <f aca="false">AK47-AK52+AK66+AK67+AK68</f>
        <v>136276.424028595</v>
      </c>
      <c r="AL71" s="60" t="n">
        <f aca="false">AL47-AL52+AL66+AL67+AL68</f>
        <v>136293.97958415</v>
      </c>
      <c r="AM71" s="60" t="n">
        <f aca="false">AM47-AM52+AM66+AM67+AM68</f>
        <v>-39987.8011922158</v>
      </c>
      <c r="AN71" s="60" t="n">
        <f aca="false">AN47-AN52+AN66+AN67+AN68</f>
        <v>187522.328951813</v>
      </c>
      <c r="AO71" s="60" t="n">
        <f aca="false">AO47-AO52+AO66+AO67+AO68</f>
        <v>187539.884507368</v>
      </c>
      <c r="AP71" s="60" t="n">
        <f aca="false">AP47-AP52+AP66+AP67+AP68</f>
        <v>187557.440062924</v>
      </c>
      <c r="AQ71" s="60" t="n">
        <f aca="false">AQ47-AQ52+AQ66+AQ67+AQ68</f>
        <v>187574.995618479</v>
      </c>
      <c r="AR71" s="60" t="n">
        <f aca="false">AR47-AR52+AR66+AR67+AR68</f>
        <v>187592.551174035</v>
      </c>
      <c r="AS71" s="60" t="n">
        <f aca="false">AS47-AS52+AS66+AS67+AS68</f>
        <v>187610.10672959</v>
      </c>
      <c r="AT71" s="60" t="n">
        <f aca="false">AT47-AT52+AT66+AT67+AT68</f>
        <v>187627.662285146</v>
      </c>
      <c r="AU71" s="60" t="n">
        <f aca="false">AU47-AU52+AU66+AU67+AU68</f>
        <v>187645.217840702</v>
      </c>
      <c r="AV71" s="60" t="n">
        <f aca="false">AV47-AV52+AV66+AV67+AV68</f>
        <v>187662.773396257</v>
      </c>
      <c r="AW71" s="60" t="n">
        <f aca="false">AW47-AW52+AW66+AW67+AW68</f>
        <v>187680.328951813</v>
      </c>
      <c r="AX71" s="60" t="n">
        <f aca="false">AX47-AX52+AX66+AX67+AX68</f>
        <v>187697.884507368</v>
      </c>
      <c r="AY71" s="60" t="n">
        <f aca="false">AY47-AY52+AY66+AY67+AY68</f>
        <v>-41792.6544932909</v>
      </c>
      <c r="AZ71" s="60" t="n">
        <f aca="false">AZ47-AZ52+AZ66+AZ67+AZ68</f>
        <v>255867.800302703</v>
      </c>
      <c r="BA71" s="60" t="n">
        <f aca="false">BA47-BA52+BA66+BA67+BA68</f>
        <v>255885.355858259</v>
      </c>
      <c r="BB71" s="60" t="n">
        <f aca="false">BB47-BB52+BB66+BB67+BB68</f>
        <v>255902.911413815</v>
      </c>
      <c r="BC71" s="60" t="n">
        <f aca="false">BC47-BC52+BC66+BC67+BC68</f>
        <v>255920.46696937</v>
      </c>
      <c r="BD71" s="60" t="n">
        <f aca="false">BD47-BD52+BD66+BD67+BD68</f>
        <v>255938.022524926</v>
      </c>
      <c r="BE71" s="60" t="n">
        <f aca="false">BE47-BE52+BE66+BE67+BE68</f>
        <v>255955.578080481</v>
      </c>
      <c r="BF71" s="60" t="n">
        <f aca="false">BF47-BF52+BF66+BF67+BF68</f>
        <v>255973.133636037</v>
      </c>
      <c r="BG71" s="60" t="n">
        <f aca="false">BG47-BG52+BG66+BG67+BG68</f>
        <v>255990.689191592</v>
      </c>
      <c r="BH71" s="60" t="n">
        <f aca="false">BH47-BH52+BH66+BH67+BH68</f>
        <v>256008.244747148</v>
      </c>
      <c r="BI71" s="60" t="n">
        <f aca="false">BI47-BI52+BI66+BI67+BI68</f>
        <v>256025.800302704</v>
      </c>
      <c r="BJ71" s="60" t="n">
        <f aca="false">BJ47-BJ52+BJ66+BJ67+BJ68</f>
        <v>256043.355858259</v>
      </c>
    </row>
    <row r="72" customFormat="false" ht="15" hidden="false" customHeight="false" outlineLevel="0" collapsed="false">
      <c r="A72" s="6" t="s">
        <v>397</v>
      </c>
      <c r="C72" s="53" t="n">
        <f aca="false">-C50</f>
        <v>-60000</v>
      </c>
      <c r="D72" s="53" t="n">
        <f aca="false">-D50</f>
        <v>-0</v>
      </c>
      <c r="E72" s="53" t="n">
        <f aca="false">-E50</f>
        <v>-0</v>
      </c>
      <c r="F72" s="53" t="n">
        <f aca="false">-F50</f>
        <v>-0</v>
      </c>
      <c r="G72" s="53" t="n">
        <f aca="false">-G50</f>
        <v>-0</v>
      </c>
      <c r="H72" s="53" t="n">
        <f aca="false">-H50</f>
        <v>-0</v>
      </c>
      <c r="I72" s="53" t="n">
        <f aca="false">-I50</f>
        <v>-0</v>
      </c>
      <c r="J72" s="53" t="n">
        <f aca="false">-J50</f>
        <v>-0</v>
      </c>
      <c r="K72" s="53" t="n">
        <f aca="false">-K50</f>
        <v>-0</v>
      </c>
      <c r="L72" s="53" t="n">
        <f aca="false">-L50</f>
        <v>-0</v>
      </c>
      <c r="M72" s="53" t="n">
        <f aca="false">-M50</f>
        <v>-0</v>
      </c>
      <c r="N72" s="53" t="n">
        <f aca="false">-N50</f>
        <v>-0</v>
      </c>
      <c r="O72" s="53" t="n">
        <f aca="false">-O50</f>
        <v>-0</v>
      </c>
      <c r="P72" s="53" t="n">
        <f aca="false">-P50</f>
        <v>-0</v>
      </c>
      <c r="Q72" s="53" t="n">
        <f aca="false">-Q50</f>
        <v>-0</v>
      </c>
      <c r="R72" s="53" t="n">
        <f aca="false">-R50</f>
        <v>-0</v>
      </c>
      <c r="S72" s="53" t="n">
        <f aca="false">-S50</f>
        <v>-0</v>
      </c>
      <c r="T72" s="53" t="n">
        <f aca="false">-T50</f>
        <v>-0</v>
      </c>
      <c r="U72" s="53" t="n">
        <f aca="false">-U50</f>
        <v>-0</v>
      </c>
      <c r="V72" s="53" t="n">
        <f aca="false">-V50</f>
        <v>-0</v>
      </c>
      <c r="W72" s="53" t="n">
        <f aca="false">-W50</f>
        <v>-0</v>
      </c>
      <c r="X72" s="53" t="n">
        <f aca="false">-X50</f>
        <v>-0</v>
      </c>
      <c r="Y72" s="53" t="n">
        <f aca="false">-Y50</f>
        <v>-0</v>
      </c>
      <c r="Z72" s="53" t="n">
        <f aca="false">-Z50</f>
        <v>-0</v>
      </c>
      <c r="AA72" s="53" t="n">
        <f aca="false">-AA50</f>
        <v>-0</v>
      </c>
      <c r="AB72" s="53" t="n">
        <f aca="false">-AB50</f>
        <v>-0</v>
      </c>
      <c r="AC72" s="53" t="n">
        <f aca="false">-AC50</f>
        <v>-0</v>
      </c>
      <c r="AD72" s="53" t="n">
        <f aca="false">-AD50</f>
        <v>-0</v>
      </c>
      <c r="AE72" s="53" t="n">
        <f aca="false">-AE50</f>
        <v>-0</v>
      </c>
      <c r="AF72" s="53" t="n">
        <f aca="false">-AF50</f>
        <v>-0</v>
      </c>
      <c r="AG72" s="53" t="n">
        <f aca="false">-AG50</f>
        <v>-0</v>
      </c>
      <c r="AH72" s="53" t="n">
        <f aca="false">-AH50</f>
        <v>-0</v>
      </c>
      <c r="AI72" s="53" t="n">
        <f aca="false">-AI50</f>
        <v>-0</v>
      </c>
      <c r="AJ72" s="53" t="n">
        <f aca="false">-AJ50</f>
        <v>-0</v>
      </c>
      <c r="AK72" s="53" t="n">
        <f aca="false">-AK50</f>
        <v>-0</v>
      </c>
      <c r="AL72" s="53" t="n">
        <f aca="false">-AL50</f>
        <v>-0</v>
      </c>
      <c r="AM72" s="53" t="n">
        <f aca="false">-AM50</f>
        <v>-0</v>
      </c>
      <c r="AN72" s="53" t="n">
        <f aca="false">-AN50</f>
        <v>-0</v>
      </c>
      <c r="AO72" s="53" t="n">
        <f aca="false">-AO50</f>
        <v>-0</v>
      </c>
      <c r="AP72" s="53" t="n">
        <f aca="false">-AP50</f>
        <v>-0</v>
      </c>
      <c r="AQ72" s="53" t="n">
        <f aca="false">-AQ50</f>
        <v>-0</v>
      </c>
      <c r="AR72" s="53" t="n">
        <f aca="false">-AR50</f>
        <v>-0</v>
      </c>
      <c r="AS72" s="53" t="n">
        <f aca="false">-AS50</f>
        <v>-0</v>
      </c>
      <c r="AT72" s="53" t="n">
        <f aca="false">-AT50</f>
        <v>-0</v>
      </c>
      <c r="AU72" s="53" t="n">
        <f aca="false">-AU50</f>
        <v>-0</v>
      </c>
      <c r="AV72" s="53" t="n">
        <f aca="false">-AV50</f>
        <v>-0</v>
      </c>
      <c r="AW72" s="53" t="n">
        <f aca="false">-AW50</f>
        <v>-0</v>
      </c>
      <c r="AX72" s="53" t="n">
        <f aca="false">-AX50</f>
        <v>-0</v>
      </c>
      <c r="AY72" s="53" t="n">
        <f aca="false">-AY50</f>
        <v>-0</v>
      </c>
      <c r="AZ72" s="53" t="n">
        <f aca="false">-AZ50</f>
        <v>-0</v>
      </c>
      <c r="BA72" s="53" t="n">
        <f aca="false">-BA50</f>
        <v>-0</v>
      </c>
      <c r="BB72" s="53" t="n">
        <f aca="false">-BB50</f>
        <v>-0</v>
      </c>
      <c r="BC72" s="53" t="n">
        <f aca="false">-BC50</f>
        <v>-0</v>
      </c>
      <c r="BD72" s="53" t="n">
        <f aca="false">-BD50</f>
        <v>-0</v>
      </c>
      <c r="BE72" s="53" t="n">
        <f aca="false">-BE50</f>
        <v>-0</v>
      </c>
      <c r="BF72" s="53" t="n">
        <f aca="false">-BF50</f>
        <v>-0</v>
      </c>
      <c r="BG72" s="53" t="n">
        <f aca="false">-BG50</f>
        <v>-0</v>
      </c>
      <c r="BH72" s="53" t="n">
        <f aca="false">-BH50</f>
        <v>-0</v>
      </c>
      <c r="BI72" s="53" t="n">
        <f aca="false">-BI50</f>
        <v>-0</v>
      </c>
      <c r="BJ72" s="53" t="n">
        <f aca="false">-BJ50</f>
        <v>-0</v>
      </c>
    </row>
    <row r="73" customFormat="false" ht="15" hidden="false" customHeight="false" outlineLevel="0" collapsed="false">
      <c r="A73" s="6" t="s">
        <v>62</v>
      </c>
      <c r="C73" s="53" t="n">
        <f aca="false">IF(C$4=1,Inputs!$E$54,0)</f>
        <v>300000</v>
      </c>
      <c r="D73" s="53" t="n">
        <f aca="false">IF(D$4=1,Inputs!$E$54,0)</f>
        <v>0</v>
      </c>
      <c r="E73" s="53" t="n">
        <f aca="false">IF(E$4=1,Inputs!$E$54,0)</f>
        <v>0</v>
      </c>
      <c r="F73" s="53" t="n">
        <f aca="false">IF(F$4=1,Inputs!$E$54,0)</f>
        <v>0</v>
      </c>
      <c r="G73" s="53" t="n">
        <f aca="false">IF(G$4=1,Inputs!$E$54,0)</f>
        <v>0</v>
      </c>
      <c r="H73" s="53" t="n">
        <f aca="false">IF(H$4=1,Inputs!$E$54,0)</f>
        <v>0</v>
      </c>
      <c r="I73" s="53" t="n">
        <f aca="false">IF(I$4=1,Inputs!$E$54,0)</f>
        <v>0</v>
      </c>
      <c r="J73" s="53" t="n">
        <f aca="false">IF(J$4=1,Inputs!$E$54,0)</f>
        <v>0</v>
      </c>
      <c r="K73" s="53" t="n">
        <f aca="false">IF(K$4=1,Inputs!$E$54,0)</f>
        <v>0</v>
      </c>
      <c r="L73" s="53" t="n">
        <f aca="false">IF(L$4=1,Inputs!$E$54,0)</f>
        <v>0</v>
      </c>
      <c r="M73" s="53" t="n">
        <f aca="false">IF(M$4=1,Inputs!$E$54,0)</f>
        <v>0</v>
      </c>
      <c r="N73" s="53" t="n">
        <f aca="false">IF(N$4=1,Inputs!$E$54,0)</f>
        <v>0</v>
      </c>
      <c r="O73" s="53" t="n">
        <f aca="false">IF(O$4=1,Inputs!$E$54,0)</f>
        <v>0</v>
      </c>
      <c r="P73" s="53" t="n">
        <f aca="false">IF(P$4=1,Inputs!$E$54,0)</f>
        <v>0</v>
      </c>
      <c r="Q73" s="53" t="n">
        <f aca="false">IF(Q$4=1,Inputs!$E$54,0)</f>
        <v>0</v>
      </c>
      <c r="R73" s="53" t="n">
        <f aca="false">IF(R$4=1,Inputs!$E$54,0)</f>
        <v>0</v>
      </c>
      <c r="S73" s="53" t="n">
        <f aca="false">IF(S$4=1,Inputs!$E$54,0)</f>
        <v>0</v>
      </c>
      <c r="T73" s="53" t="n">
        <f aca="false">IF(T$4=1,Inputs!$E$54,0)</f>
        <v>0</v>
      </c>
      <c r="U73" s="53" t="n">
        <f aca="false">IF(U$4=1,Inputs!$E$54,0)</f>
        <v>0</v>
      </c>
      <c r="V73" s="53" t="n">
        <f aca="false">IF(V$4=1,Inputs!$E$54,0)</f>
        <v>0</v>
      </c>
      <c r="W73" s="53" t="n">
        <f aca="false">IF(W$4=1,Inputs!$E$54,0)</f>
        <v>0</v>
      </c>
      <c r="X73" s="53" t="n">
        <f aca="false">IF(X$4=1,Inputs!$E$54,0)</f>
        <v>0</v>
      </c>
      <c r="Y73" s="53" t="n">
        <f aca="false">IF(Y$4=1,Inputs!$E$54,0)</f>
        <v>0</v>
      </c>
      <c r="Z73" s="53" t="n">
        <f aca="false">IF(Z$4=1,Inputs!$E$54,0)</f>
        <v>0</v>
      </c>
      <c r="AA73" s="53" t="n">
        <f aca="false">IF(AA$4=1,Inputs!$E$54,0)</f>
        <v>0</v>
      </c>
      <c r="AB73" s="53" t="n">
        <f aca="false">IF(AB$4=1,Inputs!$E$54,0)</f>
        <v>0</v>
      </c>
      <c r="AC73" s="53" t="n">
        <f aca="false">IF(AC$4=1,Inputs!$E$54,0)</f>
        <v>0</v>
      </c>
      <c r="AD73" s="53" t="n">
        <f aca="false">IF(AD$4=1,Inputs!$E$54,0)</f>
        <v>0</v>
      </c>
      <c r="AE73" s="53" t="n">
        <f aca="false">IF(AE$4=1,Inputs!$E$54,0)</f>
        <v>0</v>
      </c>
      <c r="AF73" s="53" t="n">
        <f aca="false">IF(AF$4=1,Inputs!$E$54,0)</f>
        <v>0</v>
      </c>
      <c r="AG73" s="53" t="n">
        <f aca="false">IF(AG$4=1,Inputs!$E$54,0)</f>
        <v>0</v>
      </c>
      <c r="AH73" s="53" t="n">
        <f aca="false">IF(AH$4=1,Inputs!$E$54,0)</f>
        <v>0</v>
      </c>
      <c r="AI73" s="53" t="n">
        <f aca="false">IF(AI$4=1,Inputs!$E$54,0)</f>
        <v>0</v>
      </c>
      <c r="AJ73" s="53" t="n">
        <f aca="false">IF(AJ$4=1,Inputs!$E$54,0)</f>
        <v>0</v>
      </c>
      <c r="AK73" s="53" t="n">
        <f aca="false">IF(AK$4=1,Inputs!$E$54,0)</f>
        <v>0</v>
      </c>
      <c r="AL73" s="53" t="n">
        <f aca="false">IF(AL$4=1,Inputs!$E$54,0)</f>
        <v>0</v>
      </c>
      <c r="AM73" s="53" t="n">
        <f aca="false">IF(AM$4=1,Inputs!$E$54,0)</f>
        <v>0</v>
      </c>
      <c r="AN73" s="53" t="n">
        <f aca="false">IF(AN$4=1,Inputs!$E$54,0)</f>
        <v>0</v>
      </c>
      <c r="AO73" s="53" t="n">
        <f aca="false">IF(AO$4=1,Inputs!$E$54,0)</f>
        <v>0</v>
      </c>
      <c r="AP73" s="53" t="n">
        <f aca="false">IF(AP$4=1,Inputs!$E$54,0)</f>
        <v>0</v>
      </c>
      <c r="AQ73" s="53" t="n">
        <f aca="false">IF(AQ$4=1,Inputs!$E$54,0)</f>
        <v>0</v>
      </c>
      <c r="AR73" s="53" t="n">
        <f aca="false">IF(AR$4=1,Inputs!$E$54,0)</f>
        <v>0</v>
      </c>
      <c r="AS73" s="53" t="n">
        <f aca="false">IF(AS$4=1,Inputs!$E$54,0)</f>
        <v>0</v>
      </c>
      <c r="AT73" s="53" t="n">
        <f aca="false">IF(AT$4=1,Inputs!$E$54,0)</f>
        <v>0</v>
      </c>
      <c r="AU73" s="53" t="n">
        <f aca="false">IF(AU$4=1,Inputs!$E$54,0)</f>
        <v>0</v>
      </c>
      <c r="AV73" s="53" t="n">
        <f aca="false">IF(AV$4=1,Inputs!$E$54,0)</f>
        <v>0</v>
      </c>
      <c r="AW73" s="53" t="n">
        <f aca="false">IF(AW$4=1,Inputs!$E$54,0)</f>
        <v>0</v>
      </c>
      <c r="AX73" s="53" t="n">
        <f aca="false">IF(AX$4=1,Inputs!$E$54,0)</f>
        <v>0</v>
      </c>
      <c r="AY73" s="53" t="n">
        <f aca="false">IF(AY$4=1,Inputs!$E$54,0)</f>
        <v>0</v>
      </c>
      <c r="AZ73" s="53" t="n">
        <f aca="false">IF(AZ$4=1,Inputs!$E$54,0)</f>
        <v>0</v>
      </c>
      <c r="BA73" s="53" t="n">
        <f aca="false">IF(BA$4=1,Inputs!$E$54,0)</f>
        <v>0</v>
      </c>
      <c r="BB73" s="53" t="n">
        <f aca="false">IF(BB$4=1,Inputs!$E$54,0)</f>
        <v>0</v>
      </c>
      <c r="BC73" s="53" t="n">
        <f aca="false">IF(BC$4=1,Inputs!$E$54,0)</f>
        <v>0</v>
      </c>
      <c r="BD73" s="53" t="n">
        <f aca="false">IF(BD$4=1,Inputs!$E$54,0)</f>
        <v>0</v>
      </c>
      <c r="BE73" s="53" t="n">
        <f aca="false">IF(BE$4=1,Inputs!$E$54,0)</f>
        <v>0</v>
      </c>
      <c r="BF73" s="53" t="n">
        <f aca="false">IF(BF$4=1,Inputs!$E$54,0)</f>
        <v>0</v>
      </c>
      <c r="BG73" s="53" t="n">
        <f aca="false">IF(BG$4=1,Inputs!$E$54,0)</f>
        <v>0</v>
      </c>
      <c r="BH73" s="53" t="n">
        <f aca="false">IF(BH$4=1,Inputs!$E$54,0)</f>
        <v>0</v>
      </c>
      <c r="BI73" s="53" t="n">
        <f aca="false">IF(BI$4=1,Inputs!$E$54,0)</f>
        <v>0</v>
      </c>
      <c r="BJ73" s="53" t="n">
        <f aca="false">IF(BJ$4=1,Inputs!$E$54,0)</f>
        <v>0</v>
      </c>
    </row>
    <row r="74" customFormat="false" ht="15" hidden="false" customHeight="false" outlineLevel="0" collapsed="false">
      <c r="A74" s="6" t="s">
        <v>52</v>
      </c>
      <c r="C74" s="53" t="n">
        <f aca="false">C73+C58+C59</f>
        <v>500000</v>
      </c>
      <c r="D74" s="53" t="n">
        <f aca="false">D73+D58+D59</f>
        <v>-3333.33333333333</v>
      </c>
      <c r="E74" s="53" t="n">
        <f aca="false">E73+E58+E59</f>
        <v>-3333.33333333333</v>
      </c>
      <c r="F74" s="53" t="n">
        <f aca="false">F73+F58+F59</f>
        <v>-3333.33333333333</v>
      </c>
      <c r="G74" s="53" t="n">
        <f aca="false">G73+G58+G59</f>
        <v>-3333.33333333333</v>
      </c>
      <c r="H74" s="53" t="n">
        <f aca="false">H73+H58+H59</f>
        <v>-3333.33333333333</v>
      </c>
      <c r="I74" s="53" t="n">
        <f aca="false">I73+I58+I59</f>
        <v>-3333.33333333333</v>
      </c>
      <c r="J74" s="53" t="n">
        <f aca="false">J73+J58+J59</f>
        <v>-3333.33333333333</v>
      </c>
      <c r="K74" s="53" t="n">
        <f aca="false">K73+K58+K59</f>
        <v>-3333.33333333333</v>
      </c>
      <c r="L74" s="53" t="n">
        <f aca="false">L73+L58+L59</f>
        <v>-3333.33333333333</v>
      </c>
      <c r="M74" s="53" t="n">
        <f aca="false">M73+M58+M59</f>
        <v>-3333.33333333333</v>
      </c>
      <c r="N74" s="53" t="n">
        <f aca="false">N73+N58+N59</f>
        <v>-3333.33333333333</v>
      </c>
      <c r="O74" s="53" t="n">
        <f aca="false">O73+O58+O59</f>
        <v>-3333.33333333333</v>
      </c>
      <c r="P74" s="53" t="n">
        <f aca="false">P73+P58+P59</f>
        <v>-3333.33333333333</v>
      </c>
      <c r="Q74" s="53" t="n">
        <f aca="false">Q73+Q58+Q59</f>
        <v>-3333.33333333333</v>
      </c>
      <c r="R74" s="53" t="n">
        <f aca="false">R73+R58+R59</f>
        <v>-3333.33333333333</v>
      </c>
      <c r="S74" s="53" t="n">
        <f aca="false">S73+S58+S59</f>
        <v>-3333.33333333333</v>
      </c>
      <c r="T74" s="53" t="n">
        <f aca="false">T73+T58+T59</f>
        <v>-3333.33333333333</v>
      </c>
      <c r="U74" s="53" t="n">
        <f aca="false">U73+U58+U59</f>
        <v>-3333.33333333333</v>
      </c>
      <c r="V74" s="53" t="n">
        <f aca="false">V73+V58+V59</f>
        <v>-3333.33333333333</v>
      </c>
      <c r="W74" s="53" t="n">
        <f aca="false">W73+W58+W59</f>
        <v>-3333.33333333333</v>
      </c>
      <c r="X74" s="53" t="n">
        <f aca="false">X73+X58+X59</f>
        <v>-3333.33333333333</v>
      </c>
      <c r="Y74" s="53" t="n">
        <f aca="false">Y73+Y58+Y59</f>
        <v>-3333.33333333333</v>
      </c>
      <c r="Z74" s="53" t="n">
        <f aca="false">Z73+Z58+Z59</f>
        <v>-3333.33333333333</v>
      </c>
      <c r="AA74" s="53" t="n">
        <f aca="false">AA73+AA58+AA59</f>
        <v>-3333.33333333333</v>
      </c>
      <c r="AB74" s="53" t="n">
        <f aca="false">AB73+AB58+AB59</f>
        <v>-3333.33333333333</v>
      </c>
      <c r="AC74" s="53" t="n">
        <f aca="false">AC73+AC58+AC59</f>
        <v>-3333.33333333333</v>
      </c>
      <c r="AD74" s="53" t="n">
        <f aca="false">AD73+AD58+AD59</f>
        <v>-3333.33333333333</v>
      </c>
      <c r="AE74" s="53" t="n">
        <f aca="false">AE73+AE58+AE59</f>
        <v>-3333.33333333333</v>
      </c>
      <c r="AF74" s="53" t="n">
        <f aca="false">AF73+AF58+AF59</f>
        <v>-3333.33333333333</v>
      </c>
      <c r="AG74" s="53" t="n">
        <f aca="false">AG73+AG58+AG59</f>
        <v>-3333.33333333333</v>
      </c>
      <c r="AH74" s="53" t="n">
        <f aca="false">AH73+AH58+AH59</f>
        <v>-3333.33333333333</v>
      </c>
      <c r="AI74" s="53" t="n">
        <f aca="false">AI73+AI58+AI59</f>
        <v>-3333.33333333333</v>
      </c>
      <c r="AJ74" s="53" t="n">
        <f aca="false">AJ73+AJ58+AJ59</f>
        <v>-3333.33333333333</v>
      </c>
      <c r="AK74" s="53" t="n">
        <f aca="false">AK73+AK58+AK59</f>
        <v>-3333.33333333333</v>
      </c>
      <c r="AL74" s="53" t="n">
        <f aca="false">AL73+AL58+AL59</f>
        <v>-3333.33333333333</v>
      </c>
      <c r="AM74" s="53" t="n">
        <f aca="false">AM73+AM58+AM59</f>
        <v>-3333.33333333333</v>
      </c>
      <c r="AN74" s="53" t="n">
        <f aca="false">AN73+AN58+AN59</f>
        <v>-3333.33333333333</v>
      </c>
      <c r="AO74" s="53" t="n">
        <f aca="false">AO73+AO58+AO59</f>
        <v>-3333.33333333333</v>
      </c>
      <c r="AP74" s="53" t="n">
        <f aca="false">AP73+AP58+AP59</f>
        <v>-3333.33333333333</v>
      </c>
      <c r="AQ74" s="53" t="n">
        <f aca="false">AQ73+AQ58+AQ59</f>
        <v>-3333.33333333333</v>
      </c>
      <c r="AR74" s="53" t="n">
        <f aca="false">AR73+AR58+AR59</f>
        <v>-3333.33333333333</v>
      </c>
      <c r="AS74" s="53" t="n">
        <f aca="false">AS73+AS58+AS59</f>
        <v>-3333.33333333333</v>
      </c>
      <c r="AT74" s="53" t="n">
        <f aca="false">AT73+AT58+AT59</f>
        <v>-3333.33333333333</v>
      </c>
      <c r="AU74" s="53" t="n">
        <f aca="false">AU73+AU58+AU59</f>
        <v>-3333.33333333333</v>
      </c>
      <c r="AV74" s="53" t="n">
        <f aca="false">AV73+AV58+AV59</f>
        <v>-3333.33333333333</v>
      </c>
      <c r="AW74" s="53" t="n">
        <f aca="false">AW73+AW58+AW59</f>
        <v>-3333.33333333333</v>
      </c>
      <c r="AX74" s="53" t="n">
        <f aca="false">AX73+AX58+AX59</f>
        <v>-3333.33333333333</v>
      </c>
      <c r="AY74" s="53" t="n">
        <f aca="false">AY73+AY58+AY59</f>
        <v>-3333.33333333333</v>
      </c>
      <c r="AZ74" s="53" t="n">
        <f aca="false">AZ73+AZ58+AZ59</f>
        <v>-3333.33333333333</v>
      </c>
      <c r="BA74" s="53" t="n">
        <f aca="false">BA73+BA58+BA59</f>
        <v>-3333.33333333333</v>
      </c>
      <c r="BB74" s="53" t="n">
        <f aca="false">BB73+BB58+BB59</f>
        <v>-3333.33333333333</v>
      </c>
      <c r="BC74" s="53" t="n">
        <f aca="false">BC73+BC58+BC59</f>
        <v>-3333.33333333333</v>
      </c>
      <c r="BD74" s="53" t="n">
        <f aca="false">BD73+BD58+BD59</f>
        <v>-3333.33333333333</v>
      </c>
      <c r="BE74" s="53" t="n">
        <f aca="false">BE73+BE58+BE59</f>
        <v>-3333.33333333333</v>
      </c>
      <c r="BF74" s="53" t="n">
        <f aca="false">BF73+BF58+BF59</f>
        <v>-3333.33333333333</v>
      </c>
      <c r="BG74" s="53" t="n">
        <f aca="false">BG73+BG58+BG59</f>
        <v>-3333.33333333333</v>
      </c>
      <c r="BH74" s="53" t="n">
        <f aca="false">BH73+BH58+BH59</f>
        <v>-3333.33333333333</v>
      </c>
      <c r="BI74" s="53" t="n">
        <f aca="false">BI73+BI58+BI59</f>
        <v>-3333.33333333333</v>
      </c>
      <c r="BJ74" s="53" t="n">
        <f aca="false">BJ73+BJ58+BJ59</f>
        <v>-3333.33333333333</v>
      </c>
    </row>
    <row r="75" customFormat="false" ht="15" hidden="false" customHeight="false" outlineLevel="0" collapsed="false">
      <c r="A75" s="101" t="s">
        <v>398</v>
      </c>
      <c r="C75" s="54" t="n">
        <f aca="false">C71+C72+C74</f>
        <v>57680.3174666667</v>
      </c>
      <c r="D75" s="54" t="n">
        <f aca="false">D71+D72+D74</f>
        <v>64997.0219111111</v>
      </c>
      <c r="E75" s="54" t="n">
        <f aca="false">E71+E72+E74</f>
        <v>65014.5774666667</v>
      </c>
      <c r="F75" s="54" t="n">
        <f aca="false">F71+F72+F74</f>
        <v>65032.1330222222</v>
      </c>
      <c r="G75" s="54" t="n">
        <f aca="false">G71+G72+G74</f>
        <v>65049.6885777778</v>
      </c>
      <c r="H75" s="54" t="n">
        <f aca="false">H71+H72+H74</f>
        <v>65067.2441333333</v>
      </c>
      <c r="I75" s="54" t="n">
        <f aca="false">I71+I72+I74</f>
        <v>65084.7996888889</v>
      </c>
      <c r="J75" s="54" t="n">
        <f aca="false">J71+J72+J74</f>
        <v>65102.3552444444</v>
      </c>
      <c r="K75" s="54" t="n">
        <f aca="false">K71+K72+K74</f>
        <v>65119.9108</v>
      </c>
      <c r="L75" s="54" t="n">
        <f aca="false">L71+L72+L74</f>
        <v>65137.4663555556</v>
      </c>
      <c r="M75" s="54" t="n">
        <f aca="false">M71+M72+M74</f>
        <v>65155.0219111111</v>
      </c>
      <c r="N75" s="54" t="n">
        <f aca="false">N71+N72+N74</f>
        <v>65172.5774666667</v>
      </c>
      <c r="O75" s="54" t="n">
        <f aca="false">O71+O72+O74</f>
        <v>-39344.5433949779</v>
      </c>
      <c r="P75" s="54" t="n">
        <f aca="false">P71+P72+P74</f>
        <v>94109.033820578</v>
      </c>
      <c r="Q75" s="54" t="n">
        <f aca="false">Q71+Q72+Q74</f>
        <v>94126.5893761335</v>
      </c>
      <c r="R75" s="54" t="n">
        <f aca="false">R71+R72+R74</f>
        <v>94144.1449316891</v>
      </c>
      <c r="S75" s="54" t="n">
        <f aca="false">S71+S72+S74</f>
        <v>94161.7004872446</v>
      </c>
      <c r="T75" s="54" t="n">
        <f aca="false">T71+T72+T74</f>
        <v>94179.2560428002</v>
      </c>
      <c r="U75" s="54" t="n">
        <f aca="false">U71+U72+U74</f>
        <v>94196.8115983557</v>
      </c>
      <c r="V75" s="54" t="n">
        <f aca="false">V71+V72+V74</f>
        <v>94214.3671539113</v>
      </c>
      <c r="W75" s="54" t="n">
        <f aca="false">W71+W72+W74</f>
        <v>94231.9227094669</v>
      </c>
      <c r="X75" s="54" t="n">
        <f aca="false">X71+X72+X74</f>
        <v>94249.4782650224</v>
      </c>
      <c r="Y75" s="54" t="n">
        <f aca="false">Y71+Y72+Y74</f>
        <v>94267.0338205779</v>
      </c>
      <c r="Z75" s="54" t="n">
        <f aca="false">Z71+Z72+Z74</f>
        <v>94284.5893761335</v>
      </c>
      <c r="AA75" s="54" t="n">
        <f aca="false">AA71+AA72+AA74</f>
        <v>-41341.095609754</v>
      </c>
      <c r="AB75" s="54" t="n">
        <f aca="false">AB71+AB72+AB74</f>
        <v>132785.090695261</v>
      </c>
      <c r="AC75" s="54" t="n">
        <f aca="false">AC71+AC72+AC74</f>
        <v>132802.646250817</v>
      </c>
      <c r="AD75" s="54" t="n">
        <f aca="false">AD71+AD72+AD74</f>
        <v>132820.201806372</v>
      </c>
      <c r="AE75" s="54" t="n">
        <f aca="false">AE71+AE72+AE74</f>
        <v>132837.757361928</v>
      </c>
      <c r="AF75" s="54" t="n">
        <f aca="false">AF71+AF72+AF74</f>
        <v>132855.312917483</v>
      </c>
      <c r="AG75" s="54" t="n">
        <f aca="false">AG71+AG72+AG74</f>
        <v>132872.868473039</v>
      </c>
      <c r="AH75" s="54" t="n">
        <f aca="false">AH71+AH72+AH74</f>
        <v>132890.424028595</v>
      </c>
      <c r="AI75" s="54" t="n">
        <f aca="false">AI71+AI72+AI74</f>
        <v>132907.97958415</v>
      </c>
      <c r="AJ75" s="54" t="n">
        <f aca="false">AJ71+AJ72+AJ74</f>
        <v>132925.535139706</v>
      </c>
      <c r="AK75" s="54" t="n">
        <f aca="false">AK71+AK72+AK74</f>
        <v>132943.090695261</v>
      </c>
      <c r="AL75" s="54" t="n">
        <f aca="false">AL71+AL72+AL74</f>
        <v>132960.646250817</v>
      </c>
      <c r="AM75" s="54" t="n">
        <f aca="false">AM71+AM72+AM74</f>
        <v>-43321.1345255491</v>
      </c>
      <c r="AN75" s="54" t="n">
        <f aca="false">AN71+AN72+AN74</f>
        <v>184188.995618479</v>
      </c>
      <c r="AO75" s="54" t="n">
        <f aca="false">AO71+AO72+AO74</f>
        <v>184206.551174035</v>
      </c>
      <c r="AP75" s="54" t="n">
        <f aca="false">AP71+AP72+AP74</f>
        <v>184224.106729591</v>
      </c>
      <c r="AQ75" s="54" t="n">
        <f aca="false">AQ71+AQ72+AQ74</f>
        <v>184241.662285146</v>
      </c>
      <c r="AR75" s="54" t="n">
        <f aca="false">AR71+AR72+AR74</f>
        <v>184259.217840702</v>
      </c>
      <c r="AS75" s="54" t="n">
        <f aca="false">AS71+AS72+AS74</f>
        <v>184276.773396257</v>
      </c>
      <c r="AT75" s="54" t="n">
        <f aca="false">AT71+AT72+AT74</f>
        <v>184294.328951813</v>
      </c>
      <c r="AU75" s="54" t="n">
        <f aca="false">AU71+AU72+AU74</f>
        <v>184311.884507368</v>
      </c>
      <c r="AV75" s="54" t="n">
        <f aca="false">AV71+AV72+AV74</f>
        <v>184329.440062924</v>
      </c>
      <c r="AW75" s="54" t="n">
        <f aca="false">AW71+AW72+AW74</f>
        <v>184346.995618479</v>
      </c>
      <c r="AX75" s="54" t="n">
        <f aca="false">AX71+AX72+AX74</f>
        <v>184364.551174035</v>
      </c>
      <c r="AY75" s="54" t="n">
        <f aca="false">AY71+AY72+AY74</f>
        <v>-45125.9878266242</v>
      </c>
      <c r="AZ75" s="54" t="n">
        <f aca="false">AZ71+AZ72+AZ74</f>
        <v>252534.46696937</v>
      </c>
      <c r="BA75" s="54" t="n">
        <f aca="false">BA71+BA72+BA74</f>
        <v>252552.022524926</v>
      </c>
      <c r="BB75" s="54" t="n">
        <f aca="false">BB71+BB72+BB74</f>
        <v>252569.578080481</v>
      </c>
      <c r="BC75" s="54" t="n">
        <f aca="false">BC71+BC72+BC74</f>
        <v>252587.133636037</v>
      </c>
      <c r="BD75" s="54" t="n">
        <f aca="false">BD71+BD72+BD74</f>
        <v>252604.689191592</v>
      </c>
      <c r="BE75" s="54" t="n">
        <f aca="false">BE71+BE72+BE74</f>
        <v>252622.244747148</v>
      </c>
      <c r="BF75" s="54" t="n">
        <f aca="false">BF71+BF72+BF74</f>
        <v>252639.800302704</v>
      </c>
      <c r="BG75" s="54" t="n">
        <f aca="false">BG71+BG72+BG74</f>
        <v>252657.355858259</v>
      </c>
      <c r="BH75" s="54" t="n">
        <f aca="false">BH71+BH72+BH74</f>
        <v>252674.911413815</v>
      </c>
      <c r="BI75" s="54" t="n">
        <f aca="false">BI71+BI72+BI74</f>
        <v>252692.46696937</v>
      </c>
      <c r="BJ75" s="54" t="n">
        <f aca="false">BJ71+BJ72+BJ74</f>
        <v>252710.022524926</v>
      </c>
    </row>
    <row r="76" customFormat="false" ht="15" hidden="false" customHeight="false" outlineLevel="0" collapsed="false">
      <c r="A76" s="6" t="s">
        <v>310</v>
      </c>
      <c r="C76" s="53" t="n">
        <f aca="false">0</f>
        <v>0</v>
      </c>
      <c r="D76" s="53" t="n">
        <f aca="false">C77</f>
        <v>57680.3174666667</v>
      </c>
      <c r="E76" s="53" t="n">
        <f aca="false">D77</f>
        <v>122677.339377778</v>
      </c>
      <c r="F76" s="53" t="n">
        <f aca="false">E77</f>
        <v>187691.916844444</v>
      </c>
      <c r="G76" s="53" t="n">
        <f aca="false">F77</f>
        <v>252724.049866667</v>
      </c>
      <c r="H76" s="53" t="n">
        <f aca="false">G77</f>
        <v>317773.738444444</v>
      </c>
      <c r="I76" s="53" t="n">
        <f aca="false">H77</f>
        <v>382840.982577778</v>
      </c>
      <c r="J76" s="53" t="n">
        <f aca="false">I77</f>
        <v>447925.782266667</v>
      </c>
      <c r="K76" s="53" t="n">
        <f aca="false">J77</f>
        <v>513028.137511111</v>
      </c>
      <c r="L76" s="53" t="n">
        <f aca="false">K77</f>
        <v>578148.048311111</v>
      </c>
      <c r="M76" s="53" t="n">
        <f aca="false">L77</f>
        <v>643285.514666667</v>
      </c>
      <c r="N76" s="53" t="n">
        <f aca="false">M77</f>
        <v>708440.536577778</v>
      </c>
      <c r="O76" s="53" t="n">
        <f aca="false">N77</f>
        <v>773613.114044444</v>
      </c>
      <c r="P76" s="53" t="n">
        <f aca="false">O77</f>
        <v>734268.570649467</v>
      </c>
      <c r="Q76" s="53" t="n">
        <f aca="false">P77</f>
        <v>828377.604470045</v>
      </c>
      <c r="R76" s="53" t="n">
        <f aca="false">Q77</f>
        <v>922504.193846178</v>
      </c>
      <c r="S76" s="53" t="n">
        <f aca="false">R77</f>
        <v>1016648.33877787</v>
      </c>
      <c r="T76" s="53" t="n">
        <f aca="false">S77</f>
        <v>1110810.03926511</v>
      </c>
      <c r="U76" s="53" t="n">
        <f aca="false">T77</f>
        <v>1204989.29530791</v>
      </c>
      <c r="V76" s="53" t="n">
        <f aca="false">U77</f>
        <v>1299186.10690627</v>
      </c>
      <c r="W76" s="53" t="n">
        <f aca="false">V77</f>
        <v>1393400.47406018</v>
      </c>
      <c r="X76" s="53" t="n">
        <f aca="false">W77</f>
        <v>1487632.39676965</v>
      </c>
      <c r="Y76" s="53" t="n">
        <f aca="false">X77</f>
        <v>1581881.87503467</v>
      </c>
      <c r="Z76" s="53" t="n">
        <f aca="false">Y77</f>
        <v>1676148.90885525</v>
      </c>
      <c r="AA76" s="53" t="n">
        <f aca="false">Z77</f>
        <v>1770433.49823138</v>
      </c>
      <c r="AB76" s="53" t="n">
        <f aca="false">AA77</f>
        <v>1729092.40262163</v>
      </c>
      <c r="AC76" s="53" t="n">
        <f aca="false">AB77</f>
        <v>1861877.49331689</v>
      </c>
      <c r="AD76" s="53" t="n">
        <f aca="false">AC77</f>
        <v>1994680.1395677</v>
      </c>
      <c r="AE76" s="53" t="n">
        <f aca="false">AD77</f>
        <v>2127500.34137408</v>
      </c>
      <c r="AF76" s="53" t="n">
        <f aca="false">AE77</f>
        <v>2260338.098736</v>
      </c>
      <c r="AG76" s="53" t="n">
        <f aca="false">AF77</f>
        <v>2393193.41165349</v>
      </c>
      <c r="AH76" s="53" t="n">
        <f aca="false">AG77</f>
        <v>2526066.28012653</v>
      </c>
      <c r="AI76" s="53" t="n">
        <f aca="false">AH77</f>
        <v>2658956.70415512</v>
      </c>
      <c r="AJ76" s="53" t="n">
        <f aca="false">AI77</f>
        <v>2791864.68373927</v>
      </c>
      <c r="AK76" s="53" t="n">
        <f aca="false">AJ77</f>
        <v>2924790.21887898</v>
      </c>
      <c r="AL76" s="53" t="n">
        <f aca="false">AK77</f>
        <v>3057733.30957424</v>
      </c>
      <c r="AM76" s="53" t="n">
        <f aca="false">AL77</f>
        <v>3190693.95582506</v>
      </c>
      <c r="AN76" s="53" t="n">
        <f aca="false">AM77</f>
        <v>3147372.82129951</v>
      </c>
      <c r="AO76" s="53" t="n">
        <f aca="false">AN77</f>
        <v>3331561.81691799</v>
      </c>
      <c r="AP76" s="53" t="n">
        <f aca="false">AO77</f>
        <v>3515768.36809202</v>
      </c>
      <c r="AQ76" s="53" t="n">
        <f aca="false">AP77</f>
        <v>3699992.47482161</v>
      </c>
      <c r="AR76" s="53" t="n">
        <f aca="false">AQ77</f>
        <v>3884234.13710676</v>
      </c>
      <c r="AS76" s="53" t="n">
        <f aca="false">AR77</f>
        <v>4068493.35494746</v>
      </c>
      <c r="AT76" s="53" t="n">
        <f aca="false">AS77</f>
        <v>4252770.12834372</v>
      </c>
      <c r="AU76" s="53" t="n">
        <f aca="false">AT77</f>
        <v>4437064.45729553</v>
      </c>
      <c r="AV76" s="53" t="n">
        <f aca="false">AU77</f>
        <v>4621376.3418029</v>
      </c>
      <c r="AW76" s="53" t="n">
        <f aca="false">AV77</f>
        <v>4805705.78186582</v>
      </c>
      <c r="AX76" s="53" t="n">
        <f aca="false">AW77</f>
        <v>4990052.7774843</v>
      </c>
      <c r="AY76" s="53" t="n">
        <f aca="false">AX77</f>
        <v>5174417.32865833</v>
      </c>
      <c r="AZ76" s="53" t="n">
        <f aca="false">AY77</f>
        <v>5129291.34083171</v>
      </c>
      <c r="BA76" s="53" t="n">
        <f aca="false">AZ77</f>
        <v>5381825.80780108</v>
      </c>
      <c r="BB76" s="53" t="n">
        <f aca="false">BA77</f>
        <v>5634377.83032601</v>
      </c>
      <c r="BC76" s="53" t="n">
        <f aca="false">BB77</f>
        <v>5886947.40840649</v>
      </c>
      <c r="BD76" s="53" t="n">
        <f aca="false">BC77</f>
        <v>6139534.54204252</v>
      </c>
      <c r="BE76" s="53" t="n">
        <f aca="false">BD77</f>
        <v>6392139.23123412</v>
      </c>
      <c r="BF76" s="53" t="n">
        <f aca="false">BE77</f>
        <v>6644761.47598126</v>
      </c>
      <c r="BG76" s="53" t="n">
        <f aca="false">BF77</f>
        <v>6897401.27628397</v>
      </c>
      <c r="BH76" s="53" t="n">
        <f aca="false">BG77</f>
        <v>7150058.63214223</v>
      </c>
      <c r="BI76" s="53" t="n">
        <f aca="false">BH77</f>
        <v>7402733.54355604</v>
      </c>
      <c r="BJ76" s="53" t="n">
        <f aca="false">BI77</f>
        <v>7655426.01052541</v>
      </c>
    </row>
    <row r="77" customFormat="false" ht="15" hidden="false" customHeight="false" outlineLevel="0" collapsed="false">
      <c r="A77" s="101" t="s">
        <v>85</v>
      </c>
      <c r="C77" s="54" t="n">
        <f aca="false">C76+C75</f>
        <v>57680.3174666667</v>
      </c>
      <c r="D77" s="54" t="n">
        <f aca="false">D76+D75</f>
        <v>122677.339377778</v>
      </c>
      <c r="E77" s="54" t="n">
        <f aca="false">E76+E75</f>
        <v>187691.916844444</v>
      </c>
      <c r="F77" s="54" t="n">
        <f aca="false">F76+F75</f>
        <v>252724.049866667</v>
      </c>
      <c r="G77" s="54" t="n">
        <f aca="false">G76+G75</f>
        <v>317773.738444444</v>
      </c>
      <c r="H77" s="54" t="n">
        <f aca="false">H76+H75</f>
        <v>382840.982577778</v>
      </c>
      <c r="I77" s="54" t="n">
        <f aca="false">I76+I75</f>
        <v>447925.782266667</v>
      </c>
      <c r="J77" s="54" t="n">
        <f aca="false">J76+J75</f>
        <v>513028.137511111</v>
      </c>
      <c r="K77" s="54" t="n">
        <f aca="false">K76+K75</f>
        <v>578148.048311111</v>
      </c>
      <c r="L77" s="54" t="n">
        <f aca="false">L76+L75</f>
        <v>643285.514666667</v>
      </c>
      <c r="M77" s="54" t="n">
        <f aca="false">M76+M75</f>
        <v>708440.536577778</v>
      </c>
      <c r="N77" s="54" t="n">
        <f aca="false">N76+N75</f>
        <v>773613.114044444</v>
      </c>
      <c r="O77" s="54" t="n">
        <f aca="false">O76+O75</f>
        <v>734268.570649467</v>
      </c>
      <c r="P77" s="54" t="n">
        <f aca="false">P76+P75</f>
        <v>828377.604470045</v>
      </c>
      <c r="Q77" s="54" t="n">
        <f aca="false">Q76+Q75</f>
        <v>922504.193846178</v>
      </c>
      <c r="R77" s="54" t="n">
        <f aca="false">R76+R75</f>
        <v>1016648.33877787</v>
      </c>
      <c r="S77" s="54" t="n">
        <f aca="false">S76+S75</f>
        <v>1110810.03926511</v>
      </c>
      <c r="T77" s="54" t="n">
        <f aca="false">T76+T75</f>
        <v>1204989.29530791</v>
      </c>
      <c r="U77" s="54" t="n">
        <f aca="false">U76+U75</f>
        <v>1299186.10690627</v>
      </c>
      <c r="V77" s="54" t="n">
        <f aca="false">V76+V75</f>
        <v>1393400.47406018</v>
      </c>
      <c r="W77" s="54" t="n">
        <f aca="false">W76+W75</f>
        <v>1487632.39676965</v>
      </c>
      <c r="X77" s="54" t="n">
        <f aca="false">X76+X75</f>
        <v>1581881.87503467</v>
      </c>
      <c r="Y77" s="54" t="n">
        <f aca="false">Y76+Y75</f>
        <v>1676148.90885525</v>
      </c>
      <c r="Z77" s="54" t="n">
        <f aca="false">Z76+Z75</f>
        <v>1770433.49823138</v>
      </c>
      <c r="AA77" s="54" t="n">
        <f aca="false">AA76+AA75</f>
        <v>1729092.40262163</v>
      </c>
      <c r="AB77" s="54" t="n">
        <f aca="false">AB76+AB75</f>
        <v>1861877.49331689</v>
      </c>
      <c r="AC77" s="54" t="n">
        <f aca="false">AC76+AC75</f>
        <v>1994680.1395677</v>
      </c>
      <c r="AD77" s="54" t="n">
        <f aca="false">AD76+AD75</f>
        <v>2127500.34137408</v>
      </c>
      <c r="AE77" s="54" t="n">
        <f aca="false">AE76+AE75</f>
        <v>2260338.098736</v>
      </c>
      <c r="AF77" s="54" t="n">
        <f aca="false">AF76+AF75</f>
        <v>2393193.41165349</v>
      </c>
      <c r="AG77" s="54" t="n">
        <f aca="false">AG76+AG75</f>
        <v>2526066.28012653</v>
      </c>
      <c r="AH77" s="54" t="n">
        <f aca="false">AH76+AH75</f>
        <v>2658956.70415512</v>
      </c>
      <c r="AI77" s="54" t="n">
        <f aca="false">AI76+AI75</f>
        <v>2791864.68373927</v>
      </c>
      <c r="AJ77" s="54" t="n">
        <f aca="false">AJ76+AJ75</f>
        <v>2924790.21887898</v>
      </c>
      <c r="AK77" s="54" t="n">
        <f aca="false">AK76+AK75</f>
        <v>3057733.30957424</v>
      </c>
      <c r="AL77" s="54" t="n">
        <f aca="false">AL76+AL75</f>
        <v>3190693.95582506</v>
      </c>
      <c r="AM77" s="54" t="n">
        <f aca="false">AM76+AM75</f>
        <v>3147372.82129951</v>
      </c>
      <c r="AN77" s="54" t="n">
        <f aca="false">AN76+AN75</f>
        <v>3331561.81691799</v>
      </c>
      <c r="AO77" s="54" t="n">
        <f aca="false">AO76+AO75</f>
        <v>3515768.36809202</v>
      </c>
      <c r="AP77" s="54" t="n">
        <f aca="false">AP76+AP75</f>
        <v>3699992.47482161</v>
      </c>
      <c r="AQ77" s="54" t="n">
        <f aca="false">AQ76+AQ75</f>
        <v>3884234.13710676</v>
      </c>
      <c r="AR77" s="54" t="n">
        <f aca="false">AR76+AR75</f>
        <v>4068493.35494746</v>
      </c>
      <c r="AS77" s="54" t="n">
        <f aca="false">AS76+AS75</f>
        <v>4252770.12834372</v>
      </c>
      <c r="AT77" s="54" t="n">
        <f aca="false">AT76+AT75</f>
        <v>4437064.45729553</v>
      </c>
      <c r="AU77" s="54" t="n">
        <f aca="false">AU76+AU75</f>
        <v>4621376.3418029</v>
      </c>
      <c r="AV77" s="54" t="n">
        <f aca="false">AV76+AV75</f>
        <v>4805705.78186582</v>
      </c>
      <c r="AW77" s="54" t="n">
        <f aca="false">AW76+AW75</f>
        <v>4990052.7774843</v>
      </c>
      <c r="AX77" s="54" t="n">
        <f aca="false">AX76+AX75</f>
        <v>5174417.32865833</v>
      </c>
      <c r="AY77" s="54" t="n">
        <f aca="false">AY76+AY75</f>
        <v>5129291.34083171</v>
      </c>
      <c r="AZ77" s="54" t="n">
        <f aca="false">AZ76+AZ75</f>
        <v>5381825.80780108</v>
      </c>
      <c r="BA77" s="54" t="n">
        <f aca="false">BA76+BA75</f>
        <v>5634377.83032601</v>
      </c>
      <c r="BB77" s="54" t="n">
        <f aca="false">BB76+BB75</f>
        <v>5886947.40840649</v>
      </c>
      <c r="BC77" s="54" t="n">
        <f aca="false">BC76+BC75</f>
        <v>6139534.54204252</v>
      </c>
      <c r="BD77" s="54" t="n">
        <f aca="false">BD76+BD75</f>
        <v>6392139.23123412</v>
      </c>
      <c r="BE77" s="54" t="n">
        <f aca="false">BE76+BE75</f>
        <v>6644761.47598126</v>
      </c>
      <c r="BF77" s="54" t="n">
        <f aca="false">BF76+BF75</f>
        <v>6897401.27628397</v>
      </c>
      <c r="BG77" s="54" t="n">
        <f aca="false">BG76+BG75</f>
        <v>7150058.63214223</v>
      </c>
      <c r="BH77" s="54" t="n">
        <f aca="false">BH76+BH75</f>
        <v>7402733.54355604</v>
      </c>
      <c r="BI77" s="54" t="n">
        <f aca="false">BI76+BI75</f>
        <v>7655426.01052541</v>
      </c>
      <c r="BJ77" s="54" t="n">
        <f aca="false">BJ76+BJ75</f>
        <v>7908136.03305034</v>
      </c>
    </row>
    <row r="78" customFormat="false" ht="15" hidden="false" customHeight="false" outlineLevel="0" collapsed="false">
      <c r="A78" s="108" t="s">
        <v>399</v>
      </c>
      <c r="C78" s="105" t="n">
        <f aca="false">IF(C38&gt;0,1,0)</f>
        <v>1</v>
      </c>
      <c r="D78" s="105" t="n">
        <f aca="false">IF(D38&gt;0,1,0)</f>
        <v>1</v>
      </c>
      <c r="E78" s="105" t="n">
        <f aca="false">IF(E38&gt;0,1,0)</f>
        <v>1</v>
      </c>
      <c r="F78" s="105" t="n">
        <f aca="false">IF(F38&gt;0,1,0)</f>
        <v>1</v>
      </c>
      <c r="G78" s="105" t="n">
        <f aca="false">IF(G38&gt;0,1,0)</f>
        <v>1</v>
      </c>
      <c r="H78" s="105" t="n">
        <f aca="false">IF(H38&gt;0,1,0)</f>
        <v>1</v>
      </c>
      <c r="I78" s="105" t="n">
        <f aca="false">IF(I38&gt;0,1,0)</f>
        <v>1</v>
      </c>
      <c r="J78" s="105" t="n">
        <f aca="false">IF(J38&gt;0,1,0)</f>
        <v>1</v>
      </c>
      <c r="K78" s="105" t="n">
        <f aca="false">IF(K38&gt;0,1,0)</f>
        <v>1</v>
      </c>
      <c r="L78" s="105" t="n">
        <f aca="false">IF(L38&gt;0,1,0)</f>
        <v>1</v>
      </c>
      <c r="M78" s="105" t="n">
        <f aca="false">IF(M38&gt;0,1,0)</f>
        <v>1</v>
      </c>
      <c r="N78" s="105" t="n">
        <f aca="false">IF(N38&gt;0,1,0)</f>
        <v>1</v>
      </c>
      <c r="O78" s="105" t="n">
        <f aca="false">IF(O38&gt;0,1,0)</f>
        <v>1</v>
      </c>
      <c r="P78" s="105" t="n">
        <f aca="false">IF(P38&gt;0,1,0)</f>
        <v>1</v>
      </c>
      <c r="Q78" s="105" t="n">
        <f aca="false">IF(Q38&gt;0,1,0)</f>
        <v>1</v>
      </c>
      <c r="R78" s="105" t="n">
        <f aca="false">IF(R38&gt;0,1,0)</f>
        <v>1</v>
      </c>
      <c r="S78" s="105" t="n">
        <f aca="false">IF(S38&gt;0,1,0)</f>
        <v>1</v>
      </c>
      <c r="T78" s="105" t="n">
        <f aca="false">IF(T38&gt;0,1,0)</f>
        <v>1</v>
      </c>
      <c r="U78" s="105" t="n">
        <f aca="false">IF(U38&gt;0,1,0)</f>
        <v>1</v>
      </c>
      <c r="V78" s="105" t="n">
        <f aca="false">IF(V38&gt;0,1,0)</f>
        <v>1</v>
      </c>
      <c r="W78" s="105" t="n">
        <f aca="false">IF(W38&gt;0,1,0)</f>
        <v>1</v>
      </c>
      <c r="X78" s="105" t="n">
        <f aca="false">IF(X38&gt;0,1,0)</f>
        <v>1</v>
      </c>
      <c r="Y78" s="105" t="n">
        <f aca="false">IF(Y38&gt;0,1,0)</f>
        <v>1</v>
      </c>
      <c r="Z78" s="105" t="n">
        <f aca="false">IF(Z38&gt;0,1,0)</f>
        <v>1</v>
      </c>
      <c r="AA78" s="105" t="n">
        <f aca="false">IF(AA38&gt;0,1,0)</f>
        <v>1</v>
      </c>
      <c r="AB78" s="105" t="n">
        <f aca="false">IF(AB38&gt;0,1,0)</f>
        <v>1</v>
      </c>
      <c r="AC78" s="105" t="n">
        <f aca="false">IF(AC38&gt;0,1,0)</f>
        <v>1</v>
      </c>
      <c r="AD78" s="105" t="n">
        <f aca="false">IF(AD38&gt;0,1,0)</f>
        <v>1</v>
      </c>
      <c r="AE78" s="105" t="n">
        <f aca="false">IF(AE38&gt;0,1,0)</f>
        <v>1</v>
      </c>
      <c r="AF78" s="105" t="n">
        <f aca="false">IF(AF38&gt;0,1,0)</f>
        <v>1</v>
      </c>
      <c r="AG78" s="105" t="n">
        <f aca="false">IF(AG38&gt;0,1,0)</f>
        <v>1</v>
      </c>
      <c r="AH78" s="105" t="n">
        <f aca="false">IF(AH38&gt;0,1,0)</f>
        <v>1</v>
      </c>
      <c r="AI78" s="105" t="n">
        <f aca="false">IF(AI38&gt;0,1,0)</f>
        <v>1</v>
      </c>
      <c r="AJ78" s="105" t="n">
        <f aca="false">IF(AJ38&gt;0,1,0)</f>
        <v>1</v>
      </c>
      <c r="AK78" s="105" t="n">
        <f aca="false">IF(AK38&gt;0,1,0)</f>
        <v>1</v>
      </c>
      <c r="AL78" s="105" t="n">
        <f aca="false">IF(AL38&gt;0,1,0)</f>
        <v>1</v>
      </c>
      <c r="AM78" s="105" t="n">
        <f aca="false">IF(AM38&gt;0,1,0)</f>
        <v>1</v>
      </c>
      <c r="AN78" s="105" t="n">
        <f aca="false">IF(AN38&gt;0,1,0)</f>
        <v>1</v>
      </c>
      <c r="AO78" s="105" t="n">
        <f aca="false">IF(AO38&gt;0,1,0)</f>
        <v>1</v>
      </c>
      <c r="AP78" s="105" t="n">
        <f aca="false">IF(AP38&gt;0,1,0)</f>
        <v>1</v>
      </c>
      <c r="AQ78" s="105" t="n">
        <f aca="false">IF(AQ38&gt;0,1,0)</f>
        <v>1</v>
      </c>
      <c r="AR78" s="105" t="n">
        <f aca="false">IF(AR38&gt;0,1,0)</f>
        <v>1</v>
      </c>
      <c r="AS78" s="105" t="n">
        <f aca="false">IF(AS38&gt;0,1,0)</f>
        <v>1</v>
      </c>
      <c r="AT78" s="105" t="n">
        <f aca="false">IF(AT38&gt;0,1,0)</f>
        <v>1</v>
      </c>
      <c r="AU78" s="105" t="n">
        <f aca="false">IF(AU38&gt;0,1,0)</f>
        <v>1</v>
      </c>
      <c r="AV78" s="105" t="n">
        <f aca="false">IF(AV38&gt;0,1,0)</f>
        <v>1</v>
      </c>
      <c r="AW78" s="105" t="n">
        <f aca="false">IF(AW38&gt;0,1,0)</f>
        <v>1</v>
      </c>
      <c r="AX78" s="105" t="n">
        <f aca="false">IF(AX38&gt;0,1,0)</f>
        <v>1</v>
      </c>
      <c r="AY78" s="105" t="n">
        <f aca="false">IF(AY38&gt;0,1,0)</f>
        <v>1</v>
      </c>
      <c r="AZ78" s="105" t="n">
        <f aca="false">IF(AZ38&gt;0,1,0)</f>
        <v>1</v>
      </c>
      <c r="BA78" s="105" t="n">
        <f aca="false">IF(BA38&gt;0,1,0)</f>
        <v>1</v>
      </c>
      <c r="BB78" s="105" t="n">
        <f aca="false">IF(BB38&gt;0,1,0)</f>
        <v>1</v>
      </c>
      <c r="BC78" s="105" t="n">
        <f aca="false">IF(BC38&gt;0,1,0)</f>
        <v>1</v>
      </c>
      <c r="BD78" s="105" t="n">
        <f aca="false">IF(BD38&gt;0,1,0)</f>
        <v>1</v>
      </c>
      <c r="BE78" s="105" t="n">
        <f aca="false">IF(BE38&gt;0,1,0)</f>
        <v>1</v>
      </c>
      <c r="BF78" s="105" t="n">
        <f aca="false">IF(BF38&gt;0,1,0)</f>
        <v>1</v>
      </c>
      <c r="BG78" s="105" t="n">
        <f aca="false">IF(BG38&gt;0,1,0)</f>
        <v>1</v>
      </c>
      <c r="BH78" s="105" t="n">
        <f aca="false">IF(BH38&gt;0,1,0)</f>
        <v>1</v>
      </c>
      <c r="BI78" s="105" t="n">
        <f aca="false">IF(BI38&gt;0,1,0)</f>
        <v>1</v>
      </c>
      <c r="BJ78" s="105" t="n">
        <f aca="false">IF(BJ38&gt;0,1,0)</f>
        <v>1</v>
      </c>
    </row>
    <row r="80" customFormat="false" ht="15.75" hidden="false" customHeight="true" outlineLevel="0" collapsed="false">
      <c r="A80" s="7" t="s">
        <v>400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108" t="s">
        <v>401</v>
      </c>
      <c r="C81" s="105" t="n">
        <f aca="false">IF(C47&gt;0,1,0)</f>
        <v>1</v>
      </c>
      <c r="D81" s="105" t="n">
        <f aca="false">IF(D47&gt;0,1,0)</f>
        <v>1</v>
      </c>
      <c r="E81" s="105" t="n">
        <f aca="false">IF(E47&gt;0,1,0)</f>
        <v>1</v>
      </c>
      <c r="F81" s="105" t="n">
        <f aca="false">IF(F47&gt;0,1,0)</f>
        <v>1</v>
      </c>
      <c r="G81" s="105" t="n">
        <f aca="false">IF(G47&gt;0,1,0)</f>
        <v>1</v>
      </c>
      <c r="H81" s="105" t="n">
        <f aca="false">IF(H47&gt;0,1,0)</f>
        <v>1</v>
      </c>
      <c r="I81" s="105" t="n">
        <f aca="false">IF(I47&gt;0,1,0)</f>
        <v>1</v>
      </c>
      <c r="J81" s="105" t="n">
        <f aca="false">IF(J47&gt;0,1,0)</f>
        <v>1</v>
      </c>
      <c r="K81" s="105" t="n">
        <f aca="false">IF(K47&gt;0,1,0)</f>
        <v>1</v>
      </c>
      <c r="L81" s="105" t="n">
        <f aca="false">IF(L47&gt;0,1,0)</f>
        <v>1</v>
      </c>
      <c r="M81" s="105" t="n">
        <f aca="false">IF(M47&gt;0,1,0)</f>
        <v>1</v>
      </c>
      <c r="N81" s="105" t="n">
        <f aca="false">IF(N47&gt;0,1,0)</f>
        <v>1</v>
      </c>
      <c r="O81" s="105" t="n">
        <f aca="false">IF(O47&gt;0,1,0)</f>
        <v>1</v>
      </c>
      <c r="P81" s="105" t="n">
        <f aca="false">IF(P47&gt;0,1,0)</f>
        <v>1</v>
      </c>
      <c r="Q81" s="105" t="n">
        <f aca="false">IF(Q47&gt;0,1,0)</f>
        <v>1</v>
      </c>
      <c r="R81" s="105" t="n">
        <f aca="false">IF(R47&gt;0,1,0)</f>
        <v>1</v>
      </c>
      <c r="S81" s="105" t="n">
        <f aca="false">IF(S47&gt;0,1,0)</f>
        <v>1</v>
      </c>
      <c r="T81" s="105" t="n">
        <f aca="false">IF(T47&gt;0,1,0)</f>
        <v>1</v>
      </c>
      <c r="U81" s="105" t="n">
        <f aca="false">IF(U47&gt;0,1,0)</f>
        <v>1</v>
      </c>
      <c r="V81" s="105" t="n">
        <f aca="false">IF(V47&gt;0,1,0)</f>
        <v>1</v>
      </c>
      <c r="W81" s="105" t="n">
        <f aca="false">IF(W47&gt;0,1,0)</f>
        <v>1</v>
      </c>
      <c r="X81" s="105" t="n">
        <f aca="false">IF(X47&gt;0,1,0)</f>
        <v>1</v>
      </c>
      <c r="Y81" s="105" t="n">
        <f aca="false">IF(Y47&gt;0,1,0)</f>
        <v>1</v>
      </c>
      <c r="Z81" s="105" t="n">
        <f aca="false">IF(Z47&gt;0,1,0)</f>
        <v>1</v>
      </c>
      <c r="AA81" s="105" t="n">
        <f aca="false">IF(AA47&gt;0,1,0)</f>
        <v>1</v>
      </c>
      <c r="AB81" s="105" t="n">
        <f aca="false">IF(AB47&gt;0,1,0)</f>
        <v>1</v>
      </c>
      <c r="AC81" s="105" t="n">
        <f aca="false">IF(AC47&gt;0,1,0)</f>
        <v>1</v>
      </c>
      <c r="AD81" s="105" t="n">
        <f aca="false">IF(AD47&gt;0,1,0)</f>
        <v>1</v>
      </c>
      <c r="AE81" s="105" t="n">
        <f aca="false">IF(AE47&gt;0,1,0)</f>
        <v>1</v>
      </c>
      <c r="AF81" s="105" t="n">
        <f aca="false">IF(AF47&gt;0,1,0)</f>
        <v>1</v>
      </c>
      <c r="AG81" s="105" t="n">
        <f aca="false">IF(AG47&gt;0,1,0)</f>
        <v>1</v>
      </c>
      <c r="AH81" s="105" t="n">
        <f aca="false">IF(AH47&gt;0,1,0)</f>
        <v>1</v>
      </c>
      <c r="AI81" s="105" t="n">
        <f aca="false">IF(AI47&gt;0,1,0)</f>
        <v>1</v>
      </c>
      <c r="AJ81" s="105" t="n">
        <f aca="false">IF(AJ47&gt;0,1,0)</f>
        <v>1</v>
      </c>
      <c r="AK81" s="105" t="n">
        <f aca="false">IF(AK47&gt;0,1,0)</f>
        <v>1</v>
      </c>
      <c r="AL81" s="105" t="n">
        <f aca="false">IF(AL47&gt;0,1,0)</f>
        <v>1</v>
      </c>
      <c r="AM81" s="105" t="n">
        <f aca="false">IF(AM47&gt;0,1,0)</f>
        <v>1</v>
      </c>
      <c r="AN81" s="105" t="n">
        <f aca="false">IF(AN47&gt;0,1,0)</f>
        <v>1</v>
      </c>
      <c r="AO81" s="105" t="n">
        <f aca="false">IF(AO47&gt;0,1,0)</f>
        <v>1</v>
      </c>
      <c r="AP81" s="105" t="n">
        <f aca="false">IF(AP47&gt;0,1,0)</f>
        <v>1</v>
      </c>
      <c r="AQ81" s="105" t="n">
        <f aca="false">IF(AQ47&gt;0,1,0)</f>
        <v>1</v>
      </c>
      <c r="AR81" s="105" t="n">
        <f aca="false">IF(AR47&gt;0,1,0)</f>
        <v>1</v>
      </c>
      <c r="AS81" s="105" t="n">
        <f aca="false">IF(AS47&gt;0,1,0)</f>
        <v>1</v>
      </c>
      <c r="AT81" s="105" t="n">
        <f aca="false">IF(AT47&gt;0,1,0)</f>
        <v>1</v>
      </c>
      <c r="AU81" s="105" t="n">
        <f aca="false">IF(AU47&gt;0,1,0)</f>
        <v>1</v>
      </c>
      <c r="AV81" s="105" t="n">
        <f aca="false">IF(AV47&gt;0,1,0)</f>
        <v>1</v>
      </c>
      <c r="AW81" s="105" t="n">
        <f aca="false">IF(AW47&gt;0,1,0)</f>
        <v>1</v>
      </c>
      <c r="AX81" s="105" t="n">
        <f aca="false">IF(AX47&gt;0,1,0)</f>
        <v>1</v>
      </c>
      <c r="AY81" s="105" t="n">
        <f aca="false">IF(AY47&gt;0,1,0)</f>
        <v>1</v>
      </c>
      <c r="AZ81" s="105" t="n">
        <f aca="false">IF(AZ47&gt;0,1,0)</f>
        <v>1</v>
      </c>
      <c r="BA81" s="105" t="n">
        <f aca="false">IF(BA47&gt;0,1,0)</f>
        <v>1</v>
      </c>
      <c r="BB81" s="105" t="n">
        <f aca="false">IF(BB47&gt;0,1,0)</f>
        <v>1</v>
      </c>
      <c r="BC81" s="105" t="n">
        <f aca="false">IF(BC47&gt;0,1,0)</f>
        <v>1</v>
      </c>
      <c r="BD81" s="105" t="n">
        <f aca="false">IF(BD47&gt;0,1,0)</f>
        <v>1</v>
      </c>
      <c r="BE81" s="105" t="n">
        <f aca="false">IF(BE47&gt;0,1,0)</f>
        <v>1</v>
      </c>
      <c r="BF81" s="105" t="n">
        <f aca="false">IF(BF47&gt;0,1,0)</f>
        <v>1</v>
      </c>
      <c r="BG81" s="105" t="n">
        <f aca="false">IF(BG47&gt;0,1,0)</f>
        <v>1</v>
      </c>
      <c r="BH81" s="105" t="n">
        <f aca="false">IF(BH47&gt;0,1,0)</f>
        <v>1</v>
      </c>
      <c r="BI81" s="105" t="n">
        <f aca="false">IF(BI47&gt;0,1,0)</f>
        <v>1</v>
      </c>
      <c r="BJ81" s="105" t="n">
        <f aca="false">IF(BJ47&gt;0,1,0)</f>
        <v>1</v>
      </c>
    </row>
    <row r="82" customFormat="false" ht="15" hidden="false" customHeight="false" outlineLevel="0" collapsed="false">
      <c r="A82" s="6" t="s">
        <v>402</v>
      </c>
      <c r="C82" s="53" t="n">
        <f aca="false">C71+C72</f>
        <v>-442319.682533333</v>
      </c>
      <c r="D82" s="53" t="n">
        <f aca="false">D71+D72</f>
        <v>68330.3552444445</v>
      </c>
      <c r="E82" s="53" t="n">
        <f aca="false">E71+E72</f>
        <v>68347.9108</v>
      </c>
      <c r="F82" s="53" t="n">
        <f aca="false">F71+F72</f>
        <v>68365.4663555556</v>
      </c>
      <c r="G82" s="53" t="n">
        <f aca="false">G71+G72</f>
        <v>68383.0219111111</v>
      </c>
      <c r="H82" s="53" t="n">
        <f aca="false">H71+H72</f>
        <v>68400.5774666667</v>
      </c>
      <c r="I82" s="53" t="n">
        <f aca="false">I71+I72</f>
        <v>68418.1330222222</v>
      </c>
      <c r="J82" s="53" t="n">
        <f aca="false">J71+J72</f>
        <v>68435.6885777778</v>
      </c>
      <c r="K82" s="53" t="n">
        <f aca="false">K71+K72</f>
        <v>68453.2441333333</v>
      </c>
      <c r="L82" s="53" t="n">
        <f aca="false">L71+L72</f>
        <v>68470.7996888889</v>
      </c>
      <c r="M82" s="53" t="n">
        <f aca="false">M71+M72</f>
        <v>68488.3552444444</v>
      </c>
      <c r="N82" s="53" t="n">
        <f aca="false">N71+N72</f>
        <v>68505.9108</v>
      </c>
      <c r="O82" s="53" t="n">
        <f aca="false">O71+O72</f>
        <v>-36011.2100616446</v>
      </c>
      <c r="P82" s="53" t="n">
        <f aca="false">P71+P72</f>
        <v>97442.3671539113</v>
      </c>
      <c r="Q82" s="53" t="n">
        <f aca="false">Q71+Q72</f>
        <v>97459.9227094669</v>
      </c>
      <c r="R82" s="53" t="n">
        <f aca="false">R71+R72</f>
        <v>97477.4782650224</v>
      </c>
      <c r="S82" s="53" t="n">
        <f aca="false">S71+S72</f>
        <v>97495.033820578</v>
      </c>
      <c r="T82" s="53" t="n">
        <f aca="false">T71+T72</f>
        <v>97512.5893761335</v>
      </c>
      <c r="U82" s="53" t="n">
        <f aca="false">U71+U72</f>
        <v>97530.1449316891</v>
      </c>
      <c r="V82" s="53" t="n">
        <f aca="false">V71+V72</f>
        <v>97547.7004872446</v>
      </c>
      <c r="W82" s="53" t="n">
        <f aca="false">W71+W72</f>
        <v>97565.2560428002</v>
      </c>
      <c r="X82" s="53" t="n">
        <f aca="false">X71+X72</f>
        <v>97582.8115983558</v>
      </c>
      <c r="Y82" s="53" t="n">
        <f aca="false">Y71+Y72</f>
        <v>97600.3671539113</v>
      </c>
      <c r="Z82" s="53" t="n">
        <f aca="false">Z71+Z72</f>
        <v>97617.9227094669</v>
      </c>
      <c r="AA82" s="53" t="n">
        <f aca="false">AA71+AA72</f>
        <v>-38007.7622764207</v>
      </c>
      <c r="AB82" s="53" t="n">
        <f aca="false">AB71+AB72</f>
        <v>136118.424028595</v>
      </c>
      <c r="AC82" s="53" t="n">
        <f aca="false">AC71+AC72</f>
        <v>136135.97958415</v>
      </c>
      <c r="AD82" s="53" t="n">
        <f aca="false">AD71+AD72</f>
        <v>136153.535139706</v>
      </c>
      <c r="AE82" s="53" t="n">
        <f aca="false">AE71+AE72</f>
        <v>136171.090695261</v>
      </c>
      <c r="AF82" s="53" t="n">
        <f aca="false">AF71+AF72</f>
        <v>136188.646250817</v>
      </c>
      <c r="AG82" s="53" t="n">
        <f aca="false">AG71+AG72</f>
        <v>136206.201806372</v>
      </c>
      <c r="AH82" s="53" t="n">
        <f aca="false">AH71+AH72</f>
        <v>136223.757361928</v>
      </c>
      <c r="AI82" s="53" t="n">
        <f aca="false">AI71+AI72</f>
        <v>136241.312917484</v>
      </c>
      <c r="AJ82" s="53" t="n">
        <f aca="false">AJ71+AJ72</f>
        <v>136258.868473039</v>
      </c>
      <c r="AK82" s="53" t="n">
        <f aca="false">AK71+AK72</f>
        <v>136276.424028595</v>
      </c>
      <c r="AL82" s="53" t="n">
        <f aca="false">AL71+AL72</f>
        <v>136293.97958415</v>
      </c>
      <c r="AM82" s="53" t="n">
        <f aca="false">AM71+AM72</f>
        <v>-39987.8011922158</v>
      </c>
      <c r="AN82" s="53" t="n">
        <f aca="false">AN71+AN72</f>
        <v>187522.328951813</v>
      </c>
      <c r="AO82" s="53" t="n">
        <f aca="false">AO71+AO72</f>
        <v>187539.884507368</v>
      </c>
      <c r="AP82" s="53" t="n">
        <f aca="false">AP71+AP72</f>
        <v>187557.440062924</v>
      </c>
      <c r="AQ82" s="53" t="n">
        <f aca="false">AQ71+AQ72</f>
        <v>187574.995618479</v>
      </c>
      <c r="AR82" s="53" t="n">
        <f aca="false">AR71+AR72</f>
        <v>187592.551174035</v>
      </c>
      <c r="AS82" s="53" t="n">
        <f aca="false">AS71+AS72</f>
        <v>187610.10672959</v>
      </c>
      <c r="AT82" s="53" t="n">
        <f aca="false">AT71+AT72</f>
        <v>187627.662285146</v>
      </c>
      <c r="AU82" s="53" t="n">
        <f aca="false">AU71+AU72</f>
        <v>187645.217840702</v>
      </c>
      <c r="AV82" s="53" t="n">
        <f aca="false">AV71+AV72</f>
        <v>187662.773396257</v>
      </c>
      <c r="AW82" s="53" t="n">
        <f aca="false">AW71+AW72</f>
        <v>187680.328951813</v>
      </c>
      <c r="AX82" s="53" t="n">
        <f aca="false">AX71+AX72</f>
        <v>187697.884507368</v>
      </c>
      <c r="AY82" s="53" t="n">
        <f aca="false">AY71+AY72</f>
        <v>-41792.6544932909</v>
      </c>
      <c r="AZ82" s="53" t="n">
        <f aca="false">AZ71+AZ72</f>
        <v>255867.800302703</v>
      </c>
      <c r="BA82" s="53" t="n">
        <f aca="false">BA71+BA72</f>
        <v>255885.355858259</v>
      </c>
      <c r="BB82" s="53" t="n">
        <f aca="false">BB71+BB72</f>
        <v>255902.911413815</v>
      </c>
      <c r="BC82" s="53" t="n">
        <f aca="false">BC71+BC72</f>
        <v>255920.46696937</v>
      </c>
      <c r="BD82" s="53" t="n">
        <f aca="false">BD71+BD72</f>
        <v>255938.022524926</v>
      </c>
      <c r="BE82" s="53" t="n">
        <f aca="false">BE71+BE72</f>
        <v>255955.578080481</v>
      </c>
      <c r="BF82" s="53" t="n">
        <f aca="false">BF71+BF72</f>
        <v>255973.133636037</v>
      </c>
      <c r="BG82" s="53" t="n">
        <f aca="false">BG71+BG72</f>
        <v>255990.689191592</v>
      </c>
      <c r="BH82" s="53" t="n">
        <f aca="false">BH71+BH72</f>
        <v>256008.244747148</v>
      </c>
      <c r="BI82" s="53" t="n">
        <f aca="false">BI71+BI72</f>
        <v>256025.800302704</v>
      </c>
      <c r="BJ82" s="53" t="n">
        <f aca="false">BJ71+BJ72</f>
        <v>256043.355858259</v>
      </c>
    </row>
    <row r="83" customFormat="false" ht="15" hidden="false" customHeight="false" outlineLevel="0" collapsed="false">
      <c r="A83" s="6" t="s">
        <v>403</v>
      </c>
      <c r="C83" s="53" t="n">
        <f aca="false">C82</f>
        <v>-442319.682533333</v>
      </c>
      <c r="D83" s="53" t="n">
        <f aca="false">C83+D82</f>
        <v>-373989.327288889</v>
      </c>
      <c r="E83" s="53" t="n">
        <f aca="false">D83+E82</f>
        <v>-305641.416488889</v>
      </c>
      <c r="F83" s="53" t="n">
        <f aca="false">E83+F82</f>
        <v>-237275.950133333</v>
      </c>
      <c r="G83" s="53" t="n">
        <f aca="false">F83+G82</f>
        <v>-168892.928222222</v>
      </c>
      <c r="H83" s="53" t="n">
        <f aca="false">G83+H82</f>
        <v>-100492.350755556</v>
      </c>
      <c r="I83" s="53" t="n">
        <f aca="false">H83+I82</f>
        <v>-32074.2177333333</v>
      </c>
      <c r="J83" s="53" t="n">
        <f aca="false">I83+J82</f>
        <v>36361.4708444445</v>
      </c>
      <c r="K83" s="53" t="n">
        <f aca="false">J83+K82</f>
        <v>104814.714977778</v>
      </c>
      <c r="L83" s="53" t="n">
        <f aca="false">K83+L82</f>
        <v>173285.514666667</v>
      </c>
      <c r="M83" s="53" t="n">
        <f aca="false">L83+M82</f>
        <v>241773.869911111</v>
      </c>
      <c r="N83" s="53" t="n">
        <f aca="false">M83+N82</f>
        <v>310279.780711111</v>
      </c>
      <c r="O83" s="53" t="n">
        <f aca="false">N83+O82</f>
        <v>274268.570649467</v>
      </c>
      <c r="P83" s="53" t="n">
        <f aca="false">O83+P82</f>
        <v>371710.937803378</v>
      </c>
      <c r="Q83" s="53" t="n">
        <f aca="false">P83+Q82</f>
        <v>469170.860512845</v>
      </c>
      <c r="R83" s="53" t="n">
        <f aca="false">Q83+R82</f>
        <v>566648.338777867</v>
      </c>
      <c r="S83" s="53" t="n">
        <f aca="false">R83+S82</f>
        <v>664143.372598445</v>
      </c>
      <c r="T83" s="53" t="n">
        <f aca="false">S83+T82</f>
        <v>761655.961974579</v>
      </c>
      <c r="U83" s="53" t="n">
        <f aca="false">T83+U82</f>
        <v>859186.106906268</v>
      </c>
      <c r="V83" s="53" t="n">
        <f aca="false">U83+V82</f>
        <v>956733.807393512</v>
      </c>
      <c r="W83" s="53" t="n">
        <f aca="false">V83+W82</f>
        <v>1054299.06343631</v>
      </c>
      <c r="X83" s="53" t="n">
        <f aca="false">W83+X82</f>
        <v>1151881.87503467</v>
      </c>
      <c r="Y83" s="53" t="n">
        <f aca="false">X83+Y82</f>
        <v>1249482.24218858</v>
      </c>
      <c r="Z83" s="53" t="n">
        <f aca="false">Y83+Z82</f>
        <v>1347100.16489805</v>
      </c>
      <c r="AA83" s="53" t="n">
        <f aca="false">Z83+AA82</f>
        <v>1309092.40262163</v>
      </c>
      <c r="AB83" s="53" t="n">
        <f aca="false">AA83+AB82</f>
        <v>1445210.82665022</v>
      </c>
      <c r="AC83" s="53" t="n">
        <f aca="false">AB83+AC82</f>
        <v>1581346.80623437</v>
      </c>
      <c r="AD83" s="53" t="n">
        <f aca="false">AC83+AD82</f>
        <v>1717500.34137408</v>
      </c>
      <c r="AE83" s="53" t="n">
        <f aca="false">AD83+AE82</f>
        <v>1853671.43206934</v>
      </c>
      <c r="AF83" s="53" t="n">
        <f aca="false">AE83+AF82</f>
        <v>1989860.07832015</v>
      </c>
      <c r="AG83" s="53" t="n">
        <f aca="false">AF83+AG82</f>
        <v>2126066.28012653</v>
      </c>
      <c r="AH83" s="53" t="n">
        <f aca="false">AG83+AH82</f>
        <v>2262290.03748846</v>
      </c>
      <c r="AI83" s="53" t="n">
        <f aca="false">AH83+AI82</f>
        <v>2398531.35040594</v>
      </c>
      <c r="AJ83" s="53" t="n">
        <f aca="false">AI83+AJ82</f>
        <v>2534790.21887898</v>
      </c>
      <c r="AK83" s="53" t="n">
        <f aca="false">AJ83+AK82</f>
        <v>2671066.64290757</v>
      </c>
      <c r="AL83" s="53" t="n">
        <f aca="false">AK83+AL82</f>
        <v>2807360.62249172</v>
      </c>
      <c r="AM83" s="53" t="n">
        <f aca="false">AL83+AM82</f>
        <v>2767372.82129951</v>
      </c>
      <c r="AN83" s="53" t="n">
        <f aca="false">AM83+AN82</f>
        <v>2954895.15025132</v>
      </c>
      <c r="AO83" s="53" t="n">
        <f aca="false">AN83+AO82</f>
        <v>3142435.03475869</v>
      </c>
      <c r="AP83" s="53" t="n">
        <f aca="false">AO83+AP82</f>
        <v>3329992.47482161</v>
      </c>
      <c r="AQ83" s="53" t="n">
        <f aca="false">AP83+AQ82</f>
        <v>3517567.47044009</v>
      </c>
      <c r="AR83" s="53" t="n">
        <f aca="false">AQ83+AR82</f>
        <v>3705160.02161413</v>
      </c>
      <c r="AS83" s="53" t="n">
        <f aca="false">AR83+AS82</f>
        <v>3892770.12834372</v>
      </c>
      <c r="AT83" s="53" t="n">
        <f aca="false">AS83+AT82</f>
        <v>4080397.79062886</v>
      </c>
      <c r="AU83" s="53" t="n">
        <f aca="false">AT83+AU82</f>
        <v>4268043.00846956</v>
      </c>
      <c r="AV83" s="53" t="n">
        <f aca="false">AU83+AV82</f>
        <v>4455705.78186582</v>
      </c>
      <c r="AW83" s="53" t="n">
        <f aca="false">AV83+AW82</f>
        <v>4643386.11081763</v>
      </c>
      <c r="AX83" s="53" t="n">
        <f aca="false">AW83+AX82</f>
        <v>4831083.995325</v>
      </c>
      <c r="AY83" s="53" t="n">
        <f aca="false">AX83+AY82</f>
        <v>4789291.34083171</v>
      </c>
      <c r="AZ83" s="53" t="n">
        <f aca="false">AY83+AZ82</f>
        <v>5045159.14113442</v>
      </c>
      <c r="BA83" s="53" t="n">
        <f aca="false">AZ83+BA82</f>
        <v>5301044.49699267</v>
      </c>
      <c r="BB83" s="53" t="n">
        <f aca="false">BA83+BB82</f>
        <v>5556947.40840649</v>
      </c>
      <c r="BC83" s="53" t="n">
        <f aca="false">BB83+BC82</f>
        <v>5812867.87537586</v>
      </c>
      <c r="BD83" s="53" t="n">
        <f aca="false">BC83+BD82</f>
        <v>6068805.89790078</v>
      </c>
      <c r="BE83" s="53" t="n">
        <f aca="false">BD83+BE82</f>
        <v>6324761.47598127</v>
      </c>
      <c r="BF83" s="53" t="n">
        <f aca="false">BE83+BF82</f>
        <v>6580734.6096173</v>
      </c>
      <c r="BG83" s="53" t="n">
        <f aca="false">BF83+BG82</f>
        <v>6836725.2988089</v>
      </c>
      <c r="BH83" s="53" t="n">
        <f aca="false">BG83+BH82</f>
        <v>7092733.54355604</v>
      </c>
      <c r="BI83" s="53" t="n">
        <f aca="false">BH83+BI82</f>
        <v>7348759.34385875</v>
      </c>
      <c r="BJ83" s="53" t="n">
        <f aca="false">BI83+BJ82</f>
        <v>7604802.69971701</v>
      </c>
    </row>
    <row r="84" customFormat="false" ht="15" hidden="false" customHeight="false" outlineLevel="0" collapsed="false">
      <c r="A84" s="108" t="s">
        <v>404</v>
      </c>
      <c r="C84" s="53" t="n">
        <f aca="false">C83</f>
        <v>-442319.682533333</v>
      </c>
      <c r="D84" s="53" t="n">
        <f aca="false">MIN(C84,D83)</f>
        <v>-442319.682533333</v>
      </c>
      <c r="E84" s="53" t="n">
        <f aca="false">MIN(D84,E83)</f>
        <v>-442319.682533333</v>
      </c>
      <c r="F84" s="53" t="n">
        <f aca="false">MIN(E84,F83)</f>
        <v>-442319.682533333</v>
      </c>
      <c r="G84" s="53" t="n">
        <f aca="false">MIN(F84,G83)</f>
        <v>-442319.682533333</v>
      </c>
      <c r="H84" s="53" t="n">
        <f aca="false">MIN(G84,H83)</f>
        <v>-442319.682533333</v>
      </c>
      <c r="I84" s="53" t="n">
        <f aca="false">MIN(H84,I83)</f>
        <v>-442319.682533333</v>
      </c>
      <c r="J84" s="53" t="n">
        <f aca="false">MIN(I84,J83)</f>
        <v>-442319.682533333</v>
      </c>
      <c r="K84" s="53" t="n">
        <f aca="false">MIN(J84,K83)</f>
        <v>-442319.682533333</v>
      </c>
      <c r="L84" s="53" t="n">
        <f aca="false">MIN(K84,L83)</f>
        <v>-442319.682533333</v>
      </c>
      <c r="M84" s="53" t="n">
        <f aca="false">MIN(L84,M83)</f>
        <v>-442319.682533333</v>
      </c>
      <c r="N84" s="53" t="n">
        <f aca="false">MIN(M84,N83)</f>
        <v>-442319.682533333</v>
      </c>
      <c r="O84" s="53" t="n">
        <f aca="false">MIN(N84,O83)</f>
        <v>-442319.682533333</v>
      </c>
      <c r="P84" s="53" t="n">
        <f aca="false">MIN(O84,P83)</f>
        <v>-442319.682533333</v>
      </c>
      <c r="Q84" s="53" t="n">
        <f aca="false">MIN(P84,Q83)</f>
        <v>-442319.682533333</v>
      </c>
      <c r="R84" s="53" t="n">
        <f aca="false">MIN(Q84,R83)</f>
        <v>-442319.682533333</v>
      </c>
      <c r="S84" s="53" t="n">
        <f aca="false">MIN(R84,S83)</f>
        <v>-442319.682533333</v>
      </c>
      <c r="T84" s="53" t="n">
        <f aca="false">MIN(S84,T83)</f>
        <v>-442319.682533333</v>
      </c>
      <c r="U84" s="53" t="n">
        <f aca="false">MIN(T84,U83)</f>
        <v>-442319.682533333</v>
      </c>
      <c r="V84" s="53" t="n">
        <f aca="false">MIN(U84,V83)</f>
        <v>-442319.682533333</v>
      </c>
      <c r="W84" s="53" t="n">
        <f aca="false">MIN(V84,W83)</f>
        <v>-442319.682533333</v>
      </c>
      <c r="X84" s="53" t="n">
        <f aca="false">MIN(W84,X83)</f>
        <v>-442319.682533333</v>
      </c>
      <c r="Y84" s="53" t="n">
        <f aca="false">MIN(X84,Y83)</f>
        <v>-442319.682533333</v>
      </c>
      <c r="Z84" s="53" t="n">
        <f aca="false">MIN(Y84,Z83)</f>
        <v>-442319.682533333</v>
      </c>
      <c r="AA84" s="53" t="n">
        <f aca="false">MIN(Z84,AA83)</f>
        <v>-442319.682533333</v>
      </c>
      <c r="AB84" s="53" t="n">
        <f aca="false">MIN(AA84,AB83)</f>
        <v>-442319.682533333</v>
      </c>
      <c r="AC84" s="53" t="n">
        <f aca="false">MIN(AB84,AC83)</f>
        <v>-442319.682533333</v>
      </c>
      <c r="AD84" s="53" t="n">
        <f aca="false">MIN(AC84,AD83)</f>
        <v>-442319.682533333</v>
      </c>
      <c r="AE84" s="53" t="n">
        <f aca="false">MIN(AD84,AE83)</f>
        <v>-442319.682533333</v>
      </c>
      <c r="AF84" s="53" t="n">
        <f aca="false">MIN(AE84,AF83)</f>
        <v>-442319.682533333</v>
      </c>
      <c r="AG84" s="53" t="n">
        <f aca="false">MIN(AF84,AG83)</f>
        <v>-442319.682533333</v>
      </c>
      <c r="AH84" s="53" t="n">
        <f aca="false">MIN(AG84,AH83)</f>
        <v>-442319.682533333</v>
      </c>
      <c r="AI84" s="53" t="n">
        <f aca="false">MIN(AH84,AI83)</f>
        <v>-442319.682533333</v>
      </c>
      <c r="AJ84" s="53" t="n">
        <f aca="false">MIN(AI84,AJ83)</f>
        <v>-442319.682533333</v>
      </c>
      <c r="AK84" s="53" t="n">
        <f aca="false">MIN(AJ84,AK83)</f>
        <v>-442319.682533333</v>
      </c>
      <c r="AL84" s="53" t="n">
        <f aca="false">MIN(AK84,AL83)</f>
        <v>-442319.682533333</v>
      </c>
      <c r="AM84" s="53" t="n">
        <f aca="false">MIN(AL84,AM83)</f>
        <v>-442319.682533333</v>
      </c>
      <c r="AN84" s="53" t="n">
        <f aca="false">MIN(AM84,AN83)</f>
        <v>-442319.682533333</v>
      </c>
      <c r="AO84" s="53" t="n">
        <f aca="false">MIN(AN84,AO83)</f>
        <v>-442319.682533333</v>
      </c>
      <c r="AP84" s="53" t="n">
        <f aca="false">MIN(AO84,AP83)</f>
        <v>-442319.682533333</v>
      </c>
      <c r="AQ84" s="53" t="n">
        <f aca="false">MIN(AP84,AQ83)</f>
        <v>-442319.682533333</v>
      </c>
      <c r="AR84" s="53" t="n">
        <f aca="false">MIN(AQ84,AR83)</f>
        <v>-442319.682533333</v>
      </c>
      <c r="AS84" s="53" t="n">
        <f aca="false">MIN(AR84,AS83)</f>
        <v>-442319.682533333</v>
      </c>
      <c r="AT84" s="53" t="n">
        <f aca="false">MIN(AS84,AT83)</f>
        <v>-442319.682533333</v>
      </c>
      <c r="AU84" s="53" t="n">
        <f aca="false">MIN(AT84,AU83)</f>
        <v>-442319.682533333</v>
      </c>
      <c r="AV84" s="53" t="n">
        <f aca="false">MIN(AU84,AV83)</f>
        <v>-442319.682533333</v>
      </c>
      <c r="AW84" s="53" t="n">
        <f aca="false">MIN(AV84,AW83)</f>
        <v>-442319.682533333</v>
      </c>
      <c r="AX84" s="53" t="n">
        <f aca="false">MIN(AW84,AX83)</f>
        <v>-442319.682533333</v>
      </c>
      <c r="AY84" s="53" t="n">
        <f aca="false">MIN(AX84,AY83)</f>
        <v>-442319.682533333</v>
      </c>
      <c r="AZ84" s="53" t="n">
        <f aca="false">MIN(AY84,AZ83)</f>
        <v>-442319.682533333</v>
      </c>
      <c r="BA84" s="53" t="n">
        <f aca="false">MIN(AZ84,BA83)</f>
        <v>-442319.682533333</v>
      </c>
      <c r="BB84" s="53" t="n">
        <f aca="false">MIN(BA84,BB83)</f>
        <v>-442319.682533333</v>
      </c>
      <c r="BC84" s="53" t="n">
        <f aca="false">MIN(BB84,BC83)</f>
        <v>-442319.682533333</v>
      </c>
      <c r="BD84" s="53" t="n">
        <f aca="false">MIN(BC84,BD83)</f>
        <v>-442319.682533333</v>
      </c>
      <c r="BE84" s="53" t="n">
        <f aca="false">MIN(BD84,BE83)</f>
        <v>-442319.682533333</v>
      </c>
      <c r="BF84" s="53" t="n">
        <f aca="false">MIN(BE84,BF83)</f>
        <v>-442319.682533333</v>
      </c>
      <c r="BG84" s="53" t="n">
        <f aca="false">MIN(BF84,BG83)</f>
        <v>-442319.682533333</v>
      </c>
      <c r="BH84" s="53" t="n">
        <f aca="false">MIN(BG84,BH83)</f>
        <v>-442319.682533333</v>
      </c>
      <c r="BI84" s="53" t="n">
        <f aca="false">MIN(BH84,BI83)</f>
        <v>-442319.682533333</v>
      </c>
      <c r="BJ84" s="53" t="n">
        <f aca="false">MIN(BI84,BJ83)</f>
        <v>-442319.682533333</v>
      </c>
    </row>
    <row r="85" customFormat="false" ht="15" hidden="false" customHeight="false" outlineLevel="0" collapsed="false">
      <c r="A85" s="108" t="s">
        <v>405</v>
      </c>
      <c r="C85" s="105" t="n">
        <f aca="false">IF(AND(C83&gt;=0,C84&lt;0),1,0)</f>
        <v>0</v>
      </c>
      <c r="D85" s="105" t="n">
        <f aca="false">IF(AND(D83&gt;=0,D84&lt;0),1,0)</f>
        <v>0</v>
      </c>
      <c r="E85" s="105" t="n">
        <f aca="false">IF(AND(E83&gt;=0,E84&lt;0),1,0)</f>
        <v>0</v>
      </c>
      <c r="F85" s="105" t="n">
        <f aca="false">IF(AND(F83&gt;=0,F84&lt;0),1,0)</f>
        <v>0</v>
      </c>
      <c r="G85" s="105" t="n">
        <f aca="false">IF(AND(G83&gt;=0,G84&lt;0),1,0)</f>
        <v>0</v>
      </c>
      <c r="H85" s="105" t="n">
        <f aca="false">IF(AND(H83&gt;=0,H84&lt;0),1,0)</f>
        <v>0</v>
      </c>
      <c r="I85" s="105" t="n">
        <f aca="false">IF(AND(I83&gt;=0,I84&lt;0),1,0)</f>
        <v>0</v>
      </c>
      <c r="J85" s="105" t="n">
        <f aca="false">IF(AND(J83&gt;=0,J84&lt;0),1,0)</f>
        <v>1</v>
      </c>
      <c r="K85" s="105" t="n">
        <f aca="false">IF(AND(K83&gt;=0,K84&lt;0),1,0)</f>
        <v>1</v>
      </c>
      <c r="L85" s="105" t="n">
        <f aca="false">IF(AND(L83&gt;=0,L84&lt;0),1,0)</f>
        <v>1</v>
      </c>
      <c r="M85" s="105" t="n">
        <f aca="false">IF(AND(M83&gt;=0,M84&lt;0),1,0)</f>
        <v>1</v>
      </c>
      <c r="N85" s="105" t="n">
        <f aca="false">IF(AND(N83&gt;=0,N84&lt;0),1,0)</f>
        <v>1</v>
      </c>
      <c r="O85" s="105" t="n">
        <f aca="false">IF(AND(O83&gt;=0,O84&lt;0),1,0)</f>
        <v>1</v>
      </c>
      <c r="P85" s="105" t="n">
        <f aca="false">IF(AND(P83&gt;=0,P84&lt;0),1,0)</f>
        <v>1</v>
      </c>
      <c r="Q85" s="105" t="n">
        <f aca="false">IF(AND(Q83&gt;=0,Q84&lt;0),1,0)</f>
        <v>1</v>
      </c>
      <c r="R85" s="105" t="n">
        <f aca="false">IF(AND(R83&gt;=0,R84&lt;0),1,0)</f>
        <v>1</v>
      </c>
      <c r="S85" s="105" t="n">
        <f aca="false">IF(AND(S83&gt;=0,S84&lt;0),1,0)</f>
        <v>1</v>
      </c>
      <c r="T85" s="105" t="n">
        <f aca="false">IF(AND(T83&gt;=0,T84&lt;0),1,0)</f>
        <v>1</v>
      </c>
      <c r="U85" s="105" t="n">
        <f aca="false">IF(AND(U83&gt;=0,U84&lt;0),1,0)</f>
        <v>1</v>
      </c>
      <c r="V85" s="105" t="n">
        <f aca="false">IF(AND(V83&gt;=0,V84&lt;0),1,0)</f>
        <v>1</v>
      </c>
      <c r="W85" s="105" t="n">
        <f aca="false">IF(AND(W83&gt;=0,W84&lt;0),1,0)</f>
        <v>1</v>
      </c>
      <c r="X85" s="105" t="n">
        <f aca="false">IF(AND(X83&gt;=0,X84&lt;0),1,0)</f>
        <v>1</v>
      </c>
      <c r="Y85" s="105" t="n">
        <f aca="false">IF(AND(Y83&gt;=0,Y84&lt;0),1,0)</f>
        <v>1</v>
      </c>
      <c r="Z85" s="105" t="n">
        <f aca="false">IF(AND(Z83&gt;=0,Z84&lt;0),1,0)</f>
        <v>1</v>
      </c>
      <c r="AA85" s="105" t="n">
        <f aca="false">IF(AND(AA83&gt;=0,AA84&lt;0),1,0)</f>
        <v>1</v>
      </c>
      <c r="AB85" s="105" t="n">
        <f aca="false">IF(AND(AB83&gt;=0,AB84&lt;0),1,0)</f>
        <v>1</v>
      </c>
      <c r="AC85" s="105" t="n">
        <f aca="false">IF(AND(AC83&gt;=0,AC84&lt;0),1,0)</f>
        <v>1</v>
      </c>
      <c r="AD85" s="105" t="n">
        <f aca="false">IF(AND(AD83&gt;=0,AD84&lt;0),1,0)</f>
        <v>1</v>
      </c>
      <c r="AE85" s="105" t="n">
        <f aca="false">IF(AND(AE83&gt;=0,AE84&lt;0),1,0)</f>
        <v>1</v>
      </c>
      <c r="AF85" s="105" t="n">
        <f aca="false">IF(AND(AF83&gt;=0,AF84&lt;0),1,0)</f>
        <v>1</v>
      </c>
      <c r="AG85" s="105" t="n">
        <f aca="false">IF(AND(AG83&gt;=0,AG84&lt;0),1,0)</f>
        <v>1</v>
      </c>
      <c r="AH85" s="105" t="n">
        <f aca="false">IF(AND(AH83&gt;=0,AH84&lt;0),1,0)</f>
        <v>1</v>
      </c>
      <c r="AI85" s="105" t="n">
        <f aca="false">IF(AND(AI83&gt;=0,AI84&lt;0),1,0)</f>
        <v>1</v>
      </c>
      <c r="AJ85" s="105" t="n">
        <f aca="false">IF(AND(AJ83&gt;=0,AJ84&lt;0),1,0)</f>
        <v>1</v>
      </c>
      <c r="AK85" s="105" t="n">
        <f aca="false">IF(AND(AK83&gt;=0,AK84&lt;0),1,0)</f>
        <v>1</v>
      </c>
      <c r="AL85" s="105" t="n">
        <f aca="false">IF(AND(AL83&gt;=0,AL84&lt;0),1,0)</f>
        <v>1</v>
      </c>
      <c r="AM85" s="105" t="n">
        <f aca="false">IF(AND(AM83&gt;=0,AM84&lt;0),1,0)</f>
        <v>1</v>
      </c>
      <c r="AN85" s="105" t="n">
        <f aca="false">IF(AND(AN83&gt;=0,AN84&lt;0),1,0)</f>
        <v>1</v>
      </c>
      <c r="AO85" s="105" t="n">
        <f aca="false">IF(AND(AO83&gt;=0,AO84&lt;0),1,0)</f>
        <v>1</v>
      </c>
      <c r="AP85" s="105" t="n">
        <f aca="false">IF(AND(AP83&gt;=0,AP84&lt;0),1,0)</f>
        <v>1</v>
      </c>
      <c r="AQ85" s="105" t="n">
        <f aca="false">IF(AND(AQ83&gt;=0,AQ84&lt;0),1,0)</f>
        <v>1</v>
      </c>
      <c r="AR85" s="105" t="n">
        <f aca="false">IF(AND(AR83&gt;=0,AR84&lt;0),1,0)</f>
        <v>1</v>
      </c>
      <c r="AS85" s="105" t="n">
        <f aca="false">IF(AND(AS83&gt;=0,AS84&lt;0),1,0)</f>
        <v>1</v>
      </c>
      <c r="AT85" s="105" t="n">
        <f aca="false">IF(AND(AT83&gt;=0,AT84&lt;0),1,0)</f>
        <v>1</v>
      </c>
      <c r="AU85" s="105" t="n">
        <f aca="false">IF(AND(AU83&gt;=0,AU84&lt;0),1,0)</f>
        <v>1</v>
      </c>
      <c r="AV85" s="105" t="n">
        <f aca="false">IF(AND(AV83&gt;=0,AV84&lt;0),1,0)</f>
        <v>1</v>
      </c>
      <c r="AW85" s="105" t="n">
        <f aca="false">IF(AND(AW83&gt;=0,AW84&lt;0),1,0)</f>
        <v>1</v>
      </c>
      <c r="AX85" s="105" t="n">
        <f aca="false">IF(AND(AX83&gt;=0,AX84&lt;0),1,0)</f>
        <v>1</v>
      </c>
      <c r="AY85" s="105" t="n">
        <f aca="false">IF(AND(AY83&gt;=0,AY84&lt;0),1,0)</f>
        <v>1</v>
      </c>
      <c r="AZ85" s="105" t="n">
        <f aca="false">IF(AND(AZ83&gt;=0,AZ84&lt;0),1,0)</f>
        <v>1</v>
      </c>
      <c r="BA85" s="105" t="n">
        <f aca="false">IF(AND(BA83&gt;=0,BA84&lt;0),1,0)</f>
        <v>1</v>
      </c>
      <c r="BB85" s="105" t="n">
        <f aca="false">IF(AND(BB83&gt;=0,BB84&lt;0),1,0)</f>
        <v>1</v>
      </c>
      <c r="BC85" s="105" t="n">
        <f aca="false">IF(AND(BC83&gt;=0,BC84&lt;0),1,0)</f>
        <v>1</v>
      </c>
      <c r="BD85" s="105" t="n">
        <f aca="false">IF(AND(BD83&gt;=0,BD84&lt;0),1,0)</f>
        <v>1</v>
      </c>
      <c r="BE85" s="105" t="n">
        <f aca="false">IF(AND(BE83&gt;=0,BE84&lt;0),1,0)</f>
        <v>1</v>
      </c>
      <c r="BF85" s="105" t="n">
        <f aca="false">IF(AND(BF83&gt;=0,BF84&lt;0),1,0)</f>
        <v>1</v>
      </c>
      <c r="BG85" s="105" t="n">
        <f aca="false">IF(AND(BG83&gt;=0,BG84&lt;0),1,0)</f>
        <v>1</v>
      </c>
      <c r="BH85" s="105" t="n">
        <f aca="false">IF(AND(BH83&gt;=0,BH84&lt;0),1,0)</f>
        <v>1</v>
      </c>
      <c r="BI85" s="105" t="n">
        <f aca="false">IF(AND(BI83&gt;=0,BI84&lt;0),1,0)</f>
        <v>1</v>
      </c>
      <c r="BJ85" s="105" t="n">
        <f aca="false">IF(AND(BJ83&gt;=0,BJ84&lt;0),1,0)</f>
        <v>1</v>
      </c>
    </row>
    <row r="86" customFormat="false" ht="15" hidden="false" customHeight="false" outlineLevel="0" collapsed="false">
      <c r="A86" s="6" t="s">
        <v>406</v>
      </c>
      <c r="C86" s="53" t="n">
        <f aca="false">C71-C42*(1-Inputs!$E$66)+C72</f>
        <v>-441266.3492</v>
      </c>
      <c r="D86" s="53" t="n">
        <f aca="false">D71-D42*(1-Inputs!$E$66)+D72</f>
        <v>69374.9108</v>
      </c>
      <c r="E86" s="53" t="n">
        <f aca="false">E71-E42*(1-Inputs!$E$66)+E72</f>
        <v>69374.9108</v>
      </c>
      <c r="F86" s="53" t="n">
        <f aca="false">F71-F42*(1-Inputs!$E$66)+F72</f>
        <v>69374.9108</v>
      </c>
      <c r="G86" s="53" t="n">
        <f aca="false">G71-G42*(1-Inputs!$E$66)+G72</f>
        <v>69374.9108</v>
      </c>
      <c r="H86" s="53" t="n">
        <f aca="false">H71-H42*(1-Inputs!$E$66)+H72</f>
        <v>69374.9108</v>
      </c>
      <c r="I86" s="53" t="n">
        <f aca="false">I71-I42*(1-Inputs!$E$66)+I72</f>
        <v>69374.9108</v>
      </c>
      <c r="J86" s="53" t="n">
        <f aca="false">J71-J42*(1-Inputs!$E$66)+J72</f>
        <v>69374.9108</v>
      </c>
      <c r="K86" s="53" t="n">
        <f aca="false">K71-K42*(1-Inputs!$E$66)+K72</f>
        <v>69374.9108</v>
      </c>
      <c r="L86" s="53" t="n">
        <f aca="false">L71-L42*(1-Inputs!$E$66)+L72</f>
        <v>69374.9108</v>
      </c>
      <c r="M86" s="53" t="n">
        <f aca="false">M71-M42*(1-Inputs!$E$66)+M72</f>
        <v>69374.9108</v>
      </c>
      <c r="N86" s="53" t="n">
        <f aca="false">N71-N42*(1-Inputs!$E$66)+N72</f>
        <v>69374.9108</v>
      </c>
      <c r="O86" s="53" t="n">
        <f aca="false">O71-O42*(1-Inputs!$E$66)+O72</f>
        <v>-35159.7656172002</v>
      </c>
      <c r="P86" s="53" t="n">
        <f aca="false">P71-P42*(1-Inputs!$E$66)+P72</f>
        <v>98276.2560428002</v>
      </c>
      <c r="Q86" s="53" t="n">
        <f aca="false">Q71-Q42*(1-Inputs!$E$66)+Q72</f>
        <v>98276.2560428002</v>
      </c>
      <c r="R86" s="53" t="n">
        <f aca="false">R71-R42*(1-Inputs!$E$66)+R72</f>
        <v>98276.2560428002</v>
      </c>
      <c r="S86" s="53" t="n">
        <f aca="false">S71-S42*(1-Inputs!$E$66)+S72</f>
        <v>98276.2560428002</v>
      </c>
      <c r="T86" s="53" t="n">
        <f aca="false">T71-T42*(1-Inputs!$E$66)+T72</f>
        <v>98276.2560428002</v>
      </c>
      <c r="U86" s="53" t="n">
        <f aca="false">U71-U42*(1-Inputs!$E$66)+U72</f>
        <v>98276.2560428002</v>
      </c>
      <c r="V86" s="53" t="n">
        <f aca="false">V71-V42*(1-Inputs!$E$66)+V72</f>
        <v>98276.2560428002</v>
      </c>
      <c r="W86" s="53" t="n">
        <f aca="false">W71-W42*(1-Inputs!$E$66)+W72</f>
        <v>98276.2560428002</v>
      </c>
      <c r="X86" s="53" t="n">
        <f aca="false">X71-X42*(1-Inputs!$E$66)+X72</f>
        <v>98276.2560428002</v>
      </c>
      <c r="Y86" s="53" t="n">
        <f aca="false">Y71-Y42*(1-Inputs!$E$66)+Y72</f>
        <v>98276.2560428002</v>
      </c>
      <c r="Z86" s="53" t="n">
        <f aca="false">Z71-Z42*(1-Inputs!$E$66)+Z72</f>
        <v>98276.2560428002</v>
      </c>
      <c r="AA86" s="53" t="n">
        <f aca="false">AA71-AA42*(1-Inputs!$E$66)+AA72</f>
        <v>-37366.9844986429</v>
      </c>
      <c r="AB86" s="53" t="n">
        <f aca="false">AB71-AB42*(1-Inputs!$E$66)+AB72</f>
        <v>136741.646250817</v>
      </c>
      <c r="AC86" s="53" t="n">
        <f aca="false">AC71-AC42*(1-Inputs!$E$66)+AC72</f>
        <v>136741.646250817</v>
      </c>
      <c r="AD86" s="53" t="n">
        <f aca="false">AD71-AD42*(1-Inputs!$E$66)+AD72</f>
        <v>136741.646250817</v>
      </c>
      <c r="AE86" s="53" t="n">
        <f aca="false">AE71-AE42*(1-Inputs!$E$66)+AE72</f>
        <v>136741.646250817</v>
      </c>
      <c r="AF86" s="53" t="n">
        <f aca="false">AF71-AF42*(1-Inputs!$E$66)+AF72</f>
        <v>136741.646250817</v>
      </c>
      <c r="AG86" s="53" t="n">
        <f aca="false">AG71-AG42*(1-Inputs!$E$66)+AG72</f>
        <v>136741.646250817</v>
      </c>
      <c r="AH86" s="53" t="n">
        <f aca="false">AH71-AH42*(1-Inputs!$E$66)+AH72</f>
        <v>136741.646250817</v>
      </c>
      <c r="AI86" s="53" t="n">
        <f aca="false">AI71-AI42*(1-Inputs!$E$66)+AI72</f>
        <v>136741.646250817</v>
      </c>
      <c r="AJ86" s="53" t="n">
        <f aca="false">AJ71-AJ42*(1-Inputs!$E$66)+AJ72</f>
        <v>136741.646250817</v>
      </c>
      <c r="AK86" s="53" t="n">
        <f aca="false">AK71-AK42*(1-Inputs!$E$66)+AK72</f>
        <v>136741.646250817</v>
      </c>
      <c r="AL86" s="53" t="n">
        <f aca="false">AL71-AL42*(1-Inputs!$E$66)+AL72</f>
        <v>136741.646250817</v>
      </c>
      <c r="AM86" s="53" t="n">
        <f aca="false">AM71-AM42*(1-Inputs!$E$66)+AM72</f>
        <v>-39557.6900811047</v>
      </c>
      <c r="AN86" s="53" t="n">
        <f aca="false">AN71-AN42*(1-Inputs!$E$66)+AN72</f>
        <v>187934.884507368</v>
      </c>
      <c r="AO86" s="53" t="n">
        <f aca="false">AO71-AO42*(1-Inputs!$E$66)+AO72</f>
        <v>187934.884507368</v>
      </c>
      <c r="AP86" s="53" t="n">
        <f aca="false">AP71-AP42*(1-Inputs!$E$66)+AP72</f>
        <v>187934.884507368</v>
      </c>
      <c r="AQ86" s="53" t="n">
        <f aca="false">AQ71-AQ42*(1-Inputs!$E$66)+AQ72</f>
        <v>187934.884507368</v>
      </c>
      <c r="AR86" s="53" t="n">
        <f aca="false">AR71-AR42*(1-Inputs!$E$66)+AR72</f>
        <v>187934.884507368</v>
      </c>
      <c r="AS86" s="53" t="n">
        <f aca="false">AS71-AS42*(1-Inputs!$E$66)+AS72</f>
        <v>187934.884507368</v>
      </c>
      <c r="AT86" s="53" t="n">
        <f aca="false">AT71-AT42*(1-Inputs!$E$66)+AT72</f>
        <v>187934.884507368</v>
      </c>
      <c r="AU86" s="53" t="n">
        <f aca="false">AU71-AU42*(1-Inputs!$E$66)+AU72</f>
        <v>187934.884507368</v>
      </c>
      <c r="AV86" s="53" t="n">
        <f aca="false">AV71-AV42*(1-Inputs!$E$66)+AV72</f>
        <v>187934.884507368</v>
      </c>
      <c r="AW86" s="53" t="n">
        <f aca="false">AW71-AW42*(1-Inputs!$E$66)+AW72</f>
        <v>187934.884507368</v>
      </c>
      <c r="AX86" s="53" t="n">
        <f aca="false">AX71-AX42*(1-Inputs!$E$66)+AX72</f>
        <v>187934.884507368</v>
      </c>
      <c r="AY86" s="53" t="n">
        <f aca="false">AY71-AY42*(1-Inputs!$E$66)+AY72</f>
        <v>-41573.2100488465</v>
      </c>
      <c r="AZ86" s="53" t="n">
        <f aca="false">AZ71-AZ42*(1-Inputs!$E$66)+AZ72</f>
        <v>256069.689191592</v>
      </c>
      <c r="BA86" s="53" t="n">
        <f aca="false">BA71-BA42*(1-Inputs!$E$66)+BA72</f>
        <v>256069.689191592</v>
      </c>
      <c r="BB86" s="53" t="n">
        <f aca="false">BB71-BB42*(1-Inputs!$E$66)+BB72</f>
        <v>256069.689191592</v>
      </c>
      <c r="BC86" s="53" t="n">
        <f aca="false">BC71-BC42*(1-Inputs!$E$66)+BC72</f>
        <v>256069.689191592</v>
      </c>
      <c r="BD86" s="53" t="n">
        <f aca="false">BD71-BD42*(1-Inputs!$E$66)+BD72</f>
        <v>256069.689191592</v>
      </c>
      <c r="BE86" s="53" t="n">
        <f aca="false">BE71-BE42*(1-Inputs!$E$66)+BE72</f>
        <v>256069.689191592</v>
      </c>
      <c r="BF86" s="53" t="n">
        <f aca="false">BF71-BF42*(1-Inputs!$E$66)+BF72</f>
        <v>256069.689191592</v>
      </c>
      <c r="BG86" s="53" t="n">
        <f aca="false">BG71-BG42*(1-Inputs!$E$66)+BG72</f>
        <v>256069.689191592</v>
      </c>
      <c r="BH86" s="53" t="n">
        <f aca="false">BH71-BH42*(1-Inputs!$E$66)+BH72</f>
        <v>256069.689191593</v>
      </c>
      <c r="BI86" s="53" t="n">
        <f aca="false">BI71-BI42*(1-Inputs!$E$66)+BI72</f>
        <v>256069.689191593</v>
      </c>
      <c r="BJ86" s="53" t="n">
        <f aca="false">BJ71-BJ42*(1-Inputs!$E$66)+BJ72</f>
        <v>256069.689191592</v>
      </c>
    </row>
    <row r="88" customFormat="false" ht="15.75" hidden="false" customHeight="true" outlineLevel="0" collapsed="false">
      <c r="A88" s="7" t="s">
        <v>407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6" t="s">
        <v>95</v>
      </c>
      <c r="C89" s="53" t="n">
        <f aca="false">C73</f>
        <v>300000</v>
      </c>
      <c r="D89" s="53" t="n">
        <f aca="false">C89+D73</f>
        <v>300000</v>
      </c>
      <c r="E89" s="53" t="n">
        <f aca="false">D89+E73</f>
        <v>300000</v>
      </c>
      <c r="F89" s="53" t="n">
        <f aca="false">E89+F73</f>
        <v>300000</v>
      </c>
      <c r="G89" s="53" t="n">
        <f aca="false">F89+G73</f>
        <v>300000</v>
      </c>
      <c r="H89" s="53" t="n">
        <f aca="false">G89+H73</f>
        <v>300000</v>
      </c>
      <c r="I89" s="53" t="n">
        <f aca="false">H89+I73</f>
        <v>300000</v>
      </c>
      <c r="J89" s="53" t="n">
        <f aca="false">I89+J73</f>
        <v>300000</v>
      </c>
      <c r="K89" s="53" t="n">
        <f aca="false">J89+K73</f>
        <v>300000</v>
      </c>
      <c r="L89" s="53" t="n">
        <f aca="false">K89+L73</f>
        <v>300000</v>
      </c>
      <c r="M89" s="53" t="n">
        <f aca="false">L89+M73</f>
        <v>300000</v>
      </c>
      <c r="N89" s="53" t="n">
        <f aca="false">M89+N73</f>
        <v>300000</v>
      </c>
      <c r="O89" s="53" t="n">
        <f aca="false">N89+O73</f>
        <v>300000</v>
      </c>
      <c r="P89" s="53" t="n">
        <f aca="false">O89+P73</f>
        <v>300000</v>
      </c>
      <c r="Q89" s="53" t="n">
        <f aca="false">P89+Q73</f>
        <v>300000</v>
      </c>
      <c r="R89" s="53" t="n">
        <f aca="false">Q89+R73</f>
        <v>300000</v>
      </c>
      <c r="S89" s="53" t="n">
        <f aca="false">R89+S73</f>
        <v>300000</v>
      </c>
      <c r="T89" s="53" t="n">
        <f aca="false">S89+T73</f>
        <v>300000</v>
      </c>
      <c r="U89" s="53" t="n">
        <f aca="false">T89+U73</f>
        <v>300000</v>
      </c>
      <c r="V89" s="53" t="n">
        <f aca="false">U89+V73</f>
        <v>300000</v>
      </c>
      <c r="W89" s="53" t="n">
        <f aca="false">V89+W73</f>
        <v>300000</v>
      </c>
      <c r="X89" s="53" t="n">
        <f aca="false">W89+X73</f>
        <v>300000</v>
      </c>
      <c r="Y89" s="53" t="n">
        <f aca="false">X89+Y73</f>
        <v>300000</v>
      </c>
      <c r="Z89" s="53" t="n">
        <f aca="false">Y89+Z73</f>
        <v>300000</v>
      </c>
      <c r="AA89" s="53" t="n">
        <f aca="false">Z89+AA73</f>
        <v>300000</v>
      </c>
      <c r="AB89" s="53" t="n">
        <f aca="false">AA89+AB73</f>
        <v>300000</v>
      </c>
      <c r="AC89" s="53" t="n">
        <f aca="false">AB89+AC73</f>
        <v>300000</v>
      </c>
      <c r="AD89" s="53" t="n">
        <f aca="false">AC89+AD73</f>
        <v>300000</v>
      </c>
      <c r="AE89" s="53" t="n">
        <f aca="false">AD89+AE73</f>
        <v>300000</v>
      </c>
      <c r="AF89" s="53" t="n">
        <f aca="false">AE89+AF73</f>
        <v>300000</v>
      </c>
      <c r="AG89" s="53" t="n">
        <f aca="false">AF89+AG73</f>
        <v>300000</v>
      </c>
      <c r="AH89" s="53" t="n">
        <f aca="false">AG89+AH73</f>
        <v>300000</v>
      </c>
      <c r="AI89" s="53" t="n">
        <f aca="false">AH89+AI73</f>
        <v>300000</v>
      </c>
      <c r="AJ89" s="53" t="n">
        <f aca="false">AI89+AJ73</f>
        <v>300000</v>
      </c>
      <c r="AK89" s="53" t="n">
        <f aca="false">AJ89+AK73</f>
        <v>300000</v>
      </c>
      <c r="AL89" s="53" t="n">
        <f aca="false">AK89+AL73</f>
        <v>300000</v>
      </c>
      <c r="AM89" s="53" t="n">
        <f aca="false">AL89+AM73</f>
        <v>300000</v>
      </c>
      <c r="AN89" s="53" t="n">
        <f aca="false">AM89+AN73</f>
        <v>300000</v>
      </c>
      <c r="AO89" s="53" t="n">
        <f aca="false">AN89+AO73</f>
        <v>300000</v>
      </c>
      <c r="AP89" s="53" t="n">
        <f aca="false">AO89+AP73</f>
        <v>300000</v>
      </c>
      <c r="AQ89" s="53" t="n">
        <f aca="false">AP89+AQ73</f>
        <v>300000</v>
      </c>
      <c r="AR89" s="53" t="n">
        <f aca="false">AQ89+AR73</f>
        <v>300000</v>
      </c>
      <c r="AS89" s="53" t="n">
        <f aca="false">AR89+AS73</f>
        <v>300000</v>
      </c>
      <c r="AT89" s="53" t="n">
        <f aca="false">AS89+AT73</f>
        <v>300000</v>
      </c>
      <c r="AU89" s="53" t="n">
        <f aca="false">AT89+AU73</f>
        <v>300000</v>
      </c>
      <c r="AV89" s="53" t="n">
        <f aca="false">AU89+AV73</f>
        <v>300000</v>
      </c>
      <c r="AW89" s="53" t="n">
        <f aca="false">AV89+AW73</f>
        <v>300000</v>
      </c>
      <c r="AX89" s="53" t="n">
        <f aca="false">AW89+AX73</f>
        <v>300000</v>
      </c>
      <c r="AY89" s="53" t="n">
        <f aca="false">AX89+AY73</f>
        <v>300000</v>
      </c>
      <c r="AZ89" s="53" t="n">
        <f aca="false">AY89+AZ73</f>
        <v>300000</v>
      </c>
      <c r="BA89" s="53" t="n">
        <f aca="false">AZ89+BA73</f>
        <v>300000</v>
      </c>
      <c r="BB89" s="53" t="n">
        <f aca="false">BA89+BB73</f>
        <v>300000</v>
      </c>
      <c r="BC89" s="53" t="n">
        <f aca="false">BB89+BC73</f>
        <v>300000</v>
      </c>
      <c r="BD89" s="53" t="n">
        <f aca="false">BC89+BD73</f>
        <v>300000</v>
      </c>
      <c r="BE89" s="53" t="n">
        <f aca="false">BD89+BE73</f>
        <v>300000</v>
      </c>
      <c r="BF89" s="53" t="n">
        <f aca="false">BE89+BF73</f>
        <v>300000</v>
      </c>
      <c r="BG89" s="53" t="n">
        <f aca="false">BF89+BG73</f>
        <v>300000</v>
      </c>
      <c r="BH89" s="53" t="n">
        <f aca="false">BG89+BH73</f>
        <v>300000</v>
      </c>
      <c r="BI89" s="53" t="n">
        <f aca="false">BH89+BI73</f>
        <v>300000</v>
      </c>
      <c r="BJ89" s="53" t="n">
        <f aca="false">BI89+BJ73</f>
        <v>300000</v>
      </c>
    </row>
    <row r="90" customFormat="false" ht="15" hidden="false" customHeight="false" outlineLevel="0" collapsed="false">
      <c r="A90" s="6" t="s">
        <v>96</v>
      </c>
      <c r="C90" s="53" t="n">
        <f aca="false">C47</f>
        <v>67321.5774666667</v>
      </c>
      <c r="D90" s="53" t="n">
        <f aca="false">C90+D47</f>
        <v>134651.932711111</v>
      </c>
      <c r="E90" s="53" t="n">
        <f aca="false">D90+E47</f>
        <v>201999.843511111</v>
      </c>
      <c r="F90" s="53" t="n">
        <f aca="false">E90+F47</f>
        <v>269365.309866667</v>
      </c>
      <c r="G90" s="53" t="n">
        <f aca="false">F90+G47</f>
        <v>336748.331777778</v>
      </c>
      <c r="H90" s="53" t="n">
        <f aca="false">G90+H47</f>
        <v>404148.909244444</v>
      </c>
      <c r="I90" s="53" t="n">
        <f aca="false">H90+I47</f>
        <v>471567.042266667</v>
      </c>
      <c r="J90" s="53" t="n">
        <f aca="false">I90+J47</f>
        <v>539002.730844444</v>
      </c>
      <c r="K90" s="53" t="n">
        <f aca="false">J90+K47</f>
        <v>606455.974977778</v>
      </c>
      <c r="L90" s="53" t="n">
        <f aca="false">K90+L47</f>
        <v>673926.774666667</v>
      </c>
      <c r="M90" s="53" t="n">
        <f aca="false">L90+M47</f>
        <v>741415.129911111</v>
      </c>
      <c r="N90" s="53" t="n">
        <f aca="false">M90+N47</f>
        <v>808921.040711111</v>
      </c>
      <c r="O90" s="53" t="n">
        <f aca="false">N90+O47</f>
        <v>905345.852309467</v>
      </c>
      <c r="P90" s="53" t="n">
        <f aca="false">O90+P47</f>
        <v>1001788.21946338</v>
      </c>
      <c r="Q90" s="53" t="n">
        <f aca="false">P90+Q47</f>
        <v>1098248.14217284</v>
      </c>
      <c r="R90" s="53" t="n">
        <f aca="false">Q90+R47</f>
        <v>1194725.62043787</v>
      </c>
      <c r="S90" s="53" t="n">
        <f aca="false">R90+S47</f>
        <v>1291220.65425845</v>
      </c>
      <c r="T90" s="53" t="n">
        <f aca="false">S90+T47</f>
        <v>1387733.24363458</v>
      </c>
      <c r="U90" s="53" t="n">
        <f aca="false">T90+U47</f>
        <v>1484263.38856627</v>
      </c>
      <c r="V90" s="53" t="n">
        <f aca="false">U90+V47</f>
        <v>1580811.08905351</v>
      </c>
      <c r="W90" s="53" t="n">
        <f aca="false">V90+W47</f>
        <v>1677376.34509631</v>
      </c>
      <c r="X90" s="53" t="n">
        <f aca="false">W90+X47</f>
        <v>1773959.15669467</v>
      </c>
      <c r="Y90" s="53" t="n">
        <f aca="false">X90+Y47</f>
        <v>1870559.52384858</v>
      </c>
      <c r="Z90" s="53" t="n">
        <f aca="false">Y90+Z47</f>
        <v>1967177.44655805</v>
      </c>
      <c r="AA90" s="53" t="n">
        <f aca="false">Z90+AA47</f>
        <v>2102278.31503109</v>
      </c>
      <c r="AB90" s="53" t="n">
        <f aca="false">AA90+AB47</f>
        <v>2237396.73905968</v>
      </c>
      <c r="AC90" s="53" t="n">
        <f aca="false">AB90+AC47</f>
        <v>2372532.71864383</v>
      </c>
      <c r="AD90" s="53" t="n">
        <f aca="false">AC90+AD47</f>
        <v>2507686.25378354</v>
      </c>
      <c r="AE90" s="53" t="n">
        <f aca="false">AD90+AE47</f>
        <v>2642857.3444788</v>
      </c>
      <c r="AF90" s="53" t="n">
        <f aca="false">AE90+AF47</f>
        <v>2778045.99072961</v>
      </c>
      <c r="AG90" s="53" t="n">
        <f aca="false">AF90+AG47</f>
        <v>2913252.19253599</v>
      </c>
      <c r="AH90" s="53" t="n">
        <f aca="false">AG90+AH47</f>
        <v>3048475.94989792</v>
      </c>
      <c r="AI90" s="53" t="n">
        <f aca="false">AH90+AI47</f>
        <v>3183717.2628154</v>
      </c>
      <c r="AJ90" s="53" t="n">
        <f aca="false">AI90+AJ47</f>
        <v>3318976.13128844</v>
      </c>
      <c r="AK90" s="53" t="n">
        <f aca="false">AJ90+AK47</f>
        <v>3454252.55531703</v>
      </c>
      <c r="AL90" s="53" t="n">
        <f aca="false">AK90+AL47</f>
        <v>3589546.53490118</v>
      </c>
      <c r="AM90" s="53" t="n">
        <f aca="false">AL90+AM47</f>
        <v>3776051.30829744</v>
      </c>
      <c r="AN90" s="53" t="n">
        <f aca="false">AM90+AN47</f>
        <v>3962573.63724925</v>
      </c>
      <c r="AO90" s="53" t="n">
        <f aca="false">AN90+AO47</f>
        <v>4149113.52175662</v>
      </c>
      <c r="AP90" s="53" t="n">
        <f aca="false">AO90+AP47</f>
        <v>4335670.96181954</v>
      </c>
      <c r="AQ90" s="53" t="n">
        <f aca="false">AP90+AQ47</f>
        <v>4522245.95743802</v>
      </c>
      <c r="AR90" s="53" t="n">
        <f aca="false">AQ90+AR47</f>
        <v>4708838.50861206</v>
      </c>
      <c r="AS90" s="53" t="n">
        <f aca="false">AR90+AS47</f>
        <v>4895448.61534165</v>
      </c>
      <c r="AT90" s="53" t="n">
        <f aca="false">AS90+AT47</f>
        <v>5082076.2776268</v>
      </c>
      <c r="AU90" s="53" t="n">
        <f aca="false">AT90+AU47</f>
        <v>5268721.4954675</v>
      </c>
      <c r="AV90" s="53" t="n">
        <f aca="false">AU90+AV47</f>
        <v>5455384.26886375</v>
      </c>
      <c r="AW90" s="53" t="n">
        <f aca="false">AV90+AW47</f>
        <v>5642064.59781557</v>
      </c>
      <c r="AX90" s="53" t="n">
        <f aca="false">AW90+AX47</f>
        <v>5828762.48232294</v>
      </c>
      <c r="AY90" s="53" t="n">
        <f aca="false">AX90+AY47</f>
        <v>6083612.72707008</v>
      </c>
      <c r="AZ90" s="53" t="n">
        <f aca="false">AY90+AZ47</f>
        <v>6338480.52737279</v>
      </c>
      <c r="BA90" s="53" t="n">
        <f aca="false">AZ90+BA47</f>
        <v>6593365.88323105</v>
      </c>
      <c r="BB90" s="53" t="n">
        <f aca="false">BA90+BB47</f>
        <v>6848268.79464486</v>
      </c>
      <c r="BC90" s="53" t="n">
        <f aca="false">BB90+BC47</f>
        <v>7103189.26161423</v>
      </c>
      <c r="BD90" s="53" t="n">
        <f aca="false">BC90+BD47</f>
        <v>7358127.28413916</v>
      </c>
      <c r="BE90" s="53" t="n">
        <f aca="false">BD90+BE47</f>
        <v>7613082.86221964</v>
      </c>
      <c r="BF90" s="53" t="n">
        <f aca="false">BE90+BF47</f>
        <v>7868055.99585567</v>
      </c>
      <c r="BG90" s="53" t="n">
        <f aca="false">BF90+BG47</f>
        <v>8123046.68504727</v>
      </c>
      <c r="BH90" s="53" t="n">
        <f aca="false">BG90+BH47</f>
        <v>8378054.92979442</v>
      </c>
      <c r="BI90" s="53" t="n">
        <f aca="false">BH90+BI47</f>
        <v>8633080.73009712</v>
      </c>
      <c r="BJ90" s="53" t="n">
        <f aca="false">BI90+BJ47</f>
        <v>8888124.08595538</v>
      </c>
    </row>
    <row r="91" customFormat="false" ht="15" hidden="false" customHeight="false" outlineLevel="0" collapsed="false">
      <c r="A91" s="4" t="s">
        <v>91</v>
      </c>
      <c r="C91" s="60" t="n">
        <f aca="false">C77+C63+C64+C54</f>
        <v>679954.317466667</v>
      </c>
      <c r="D91" s="60" t="n">
        <f aca="false">D77+D63+D64+D54</f>
        <v>743951.339377778</v>
      </c>
      <c r="E91" s="60" t="n">
        <f aca="false">E77+E63+E64+E54</f>
        <v>807965.916844445</v>
      </c>
      <c r="F91" s="60" t="n">
        <f aca="false">F77+F63+F64+F54</f>
        <v>871998.049866667</v>
      </c>
      <c r="G91" s="60" t="n">
        <f aca="false">G77+G63+G64+G54</f>
        <v>936047.738444445</v>
      </c>
      <c r="H91" s="60" t="n">
        <f aca="false">H77+H63+H64+H54</f>
        <v>1000114.98257778</v>
      </c>
      <c r="I91" s="60" t="n">
        <f aca="false">I77+I63+I64+I54</f>
        <v>1064199.78226667</v>
      </c>
      <c r="J91" s="60" t="n">
        <f aca="false">J77+J63+J64+J54</f>
        <v>1128302.13751111</v>
      </c>
      <c r="K91" s="60" t="n">
        <f aca="false">K77+K63+K64+K54</f>
        <v>1192422.04831111</v>
      </c>
      <c r="L91" s="60" t="n">
        <f aca="false">L77+L63+L64+L54</f>
        <v>1256559.51466667</v>
      </c>
      <c r="M91" s="60" t="n">
        <f aca="false">M77+M63+M64+M54</f>
        <v>1320714.53657778</v>
      </c>
      <c r="N91" s="60" t="n">
        <f aca="false">N77+N63+N64+N54</f>
        <v>1384887.11404444</v>
      </c>
      <c r="O91" s="60" t="n">
        <f aca="false">O77+O63+O64+O54</f>
        <v>1510763.80464947</v>
      </c>
      <c r="P91" s="60" t="n">
        <f aca="false">P77+P63+P64+P54</f>
        <v>1603872.83847004</v>
      </c>
      <c r="Q91" s="60" t="n">
        <f aca="false">Q77+Q63+Q64+Q54</f>
        <v>1696999.42784618</v>
      </c>
      <c r="R91" s="60" t="n">
        <f aca="false">R77+R63+R64+R54</f>
        <v>1790143.57277787</v>
      </c>
      <c r="S91" s="60" t="n">
        <f aca="false">S77+S63+S64+S54</f>
        <v>1883305.27326511</v>
      </c>
      <c r="T91" s="60" t="n">
        <f aca="false">T77+T63+T64+T54</f>
        <v>1976484.52930791</v>
      </c>
      <c r="U91" s="60" t="n">
        <f aca="false">U77+U63+U64+U54</f>
        <v>2069681.34090627</v>
      </c>
      <c r="V91" s="60" t="n">
        <f aca="false">V77+V63+V64+V54</f>
        <v>2162895.70806018</v>
      </c>
      <c r="W91" s="60" t="n">
        <f aca="false">W77+W63+W64+W54</f>
        <v>2256127.63076965</v>
      </c>
      <c r="X91" s="60" t="n">
        <f aca="false">X77+X63+X64+X54</f>
        <v>2349377.10903467</v>
      </c>
      <c r="Y91" s="60" t="n">
        <f aca="false">Y77+Y63+Y64+Y54</f>
        <v>2442644.14285525</v>
      </c>
      <c r="Z91" s="60" t="n">
        <f aca="false">Z77+Z63+Z64+Z54</f>
        <v>2535928.73223138</v>
      </c>
      <c r="AA91" s="60" t="n">
        <f aca="false">AA77+AA63+AA64+AA54</f>
        <v>2710321.90707563</v>
      </c>
      <c r="AB91" s="60" t="n">
        <f aca="false">AB77+AB63+AB64+AB54</f>
        <v>2842106.99777089</v>
      </c>
      <c r="AC91" s="60" t="n">
        <f aca="false">AC77+AC63+AC64+AC54</f>
        <v>2973909.6440217</v>
      </c>
      <c r="AD91" s="60" t="n">
        <f aca="false">AD77+AD63+AD64+AD54</f>
        <v>3105729.84582808</v>
      </c>
      <c r="AE91" s="60" t="n">
        <f aca="false">AE77+AE63+AE64+AE54</f>
        <v>3237567.60319</v>
      </c>
      <c r="AF91" s="60" t="n">
        <f aca="false">AF77+AF63+AF64+AF54</f>
        <v>3369422.91610749</v>
      </c>
      <c r="AG91" s="60" t="n">
        <f aca="false">AG77+AG63+AG64+AG54</f>
        <v>3501295.78458053</v>
      </c>
      <c r="AH91" s="60" t="n">
        <f aca="false">AH77+AH63+AH64+AH54</f>
        <v>3633186.20860912</v>
      </c>
      <c r="AI91" s="60" t="n">
        <f aca="false">AI77+AI63+AI64+AI54</f>
        <v>3765094.18819327</v>
      </c>
      <c r="AJ91" s="60" t="n">
        <f aca="false">AJ77+AJ63+AJ64+AJ54</f>
        <v>3897019.72333298</v>
      </c>
      <c r="AK91" s="60" t="n">
        <f aca="false">AK77+AK63+AK64+AK54</f>
        <v>4028962.81402824</v>
      </c>
      <c r="AL91" s="60" t="n">
        <f aca="false">AL77+AL63+AL64+AL54</f>
        <v>4160923.46027906</v>
      </c>
      <c r="AM91" s="60" t="n">
        <f aca="false">AM77+AM63+AM64+AM54</f>
        <v>4399596.26501762</v>
      </c>
      <c r="AN91" s="60" t="n">
        <f aca="false">AN77+AN63+AN64+AN54</f>
        <v>4582785.2606361</v>
      </c>
      <c r="AO91" s="60" t="n">
        <f aca="false">AO77+AO63+AO64+AO54</f>
        <v>4765991.81181013</v>
      </c>
      <c r="AP91" s="60" t="n">
        <f aca="false">AP77+AP63+AP64+AP54</f>
        <v>4949215.91853973</v>
      </c>
      <c r="AQ91" s="60" t="n">
        <f aca="false">AQ77+AQ63+AQ64+AQ54</f>
        <v>5132457.58082487</v>
      </c>
      <c r="AR91" s="60" t="n">
        <f aca="false">AR77+AR63+AR64+AR54</f>
        <v>5315716.79866557</v>
      </c>
      <c r="AS91" s="60" t="n">
        <f aca="false">AS77+AS63+AS64+AS54</f>
        <v>5498993.57206183</v>
      </c>
      <c r="AT91" s="60" t="n">
        <f aca="false">AT77+AT63+AT64+AT54</f>
        <v>5682287.90101364</v>
      </c>
      <c r="AU91" s="60" t="n">
        <f aca="false">AU77+AU63+AU64+AU54</f>
        <v>5865599.78552101</v>
      </c>
      <c r="AV91" s="60" t="n">
        <f aca="false">AV77+AV63+AV64+AV54</f>
        <v>6048929.22558393</v>
      </c>
      <c r="AW91" s="60" t="n">
        <f aca="false">AW77+AW63+AW64+AW54</f>
        <v>6232276.22120241</v>
      </c>
      <c r="AX91" s="60" t="n">
        <f aca="false">AX77+AX63+AX64+AX54</f>
        <v>6415640.77237645</v>
      </c>
      <c r="AY91" s="60" t="n">
        <f aca="false">AY77+AY63+AY64+AY54</f>
        <v>6739528.09361647</v>
      </c>
      <c r="AZ91" s="60" t="n">
        <f aca="false">AZ77+AZ63+AZ64+AZ54</f>
        <v>6991062.56058584</v>
      </c>
      <c r="BA91" s="60" t="n">
        <f aca="false">BA77+BA63+BA64+BA54</f>
        <v>7242614.58311076</v>
      </c>
      <c r="BB91" s="60" t="n">
        <f aca="false">BB77+BB63+BB64+BB54</f>
        <v>7494184.16119124</v>
      </c>
      <c r="BC91" s="60" t="n">
        <f aca="false">BC77+BC63+BC64+BC54</f>
        <v>7745771.29482728</v>
      </c>
      <c r="BD91" s="60" t="n">
        <f aca="false">BD77+BD63+BD64+BD54</f>
        <v>7997375.98401887</v>
      </c>
      <c r="BE91" s="60" t="n">
        <f aca="false">BE77+BE63+BE64+BE54</f>
        <v>8248998.22876602</v>
      </c>
      <c r="BF91" s="60" t="n">
        <f aca="false">BF77+BF63+BF64+BF54</f>
        <v>8500638.02906872</v>
      </c>
      <c r="BG91" s="60" t="n">
        <f aca="false">BG77+BG63+BG64+BG54</f>
        <v>8752295.38492698</v>
      </c>
      <c r="BH91" s="60" t="n">
        <f aca="false">BH77+BH63+BH64+BH54</f>
        <v>9003970.2963408</v>
      </c>
      <c r="BI91" s="60" t="n">
        <f aca="false">BI77+BI63+BI64+BI54</f>
        <v>9255662.76331017</v>
      </c>
      <c r="BJ91" s="60" t="n">
        <f aca="false">BJ77+BJ63+BJ64+BJ54</f>
        <v>9507372.78583509</v>
      </c>
    </row>
    <row r="92" customFormat="false" ht="15" hidden="false" customHeight="false" outlineLevel="0" collapsed="false">
      <c r="A92" s="6" t="s">
        <v>94</v>
      </c>
      <c r="C92" s="53" t="n">
        <f aca="false">C65+C60</f>
        <v>312632.74</v>
      </c>
      <c r="D92" s="53" t="n">
        <f aca="false">D65+D60</f>
        <v>309299.406666667</v>
      </c>
      <c r="E92" s="53" t="n">
        <f aca="false">E65+E60</f>
        <v>305966.073333333</v>
      </c>
      <c r="F92" s="53" t="n">
        <f aca="false">F65+F60</f>
        <v>302632.74</v>
      </c>
      <c r="G92" s="53" t="n">
        <f aca="false">G65+G60</f>
        <v>299299.406666667</v>
      </c>
      <c r="H92" s="53" t="n">
        <f aca="false">H65+H60</f>
        <v>295966.073333333</v>
      </c>
      <c r="I92" s="53" t="n">
        <f aca="false">I65+I60</f>
        <v>292632.74</v>
      </c>
      <c r="J92" s="53" t="n">
        <f aca="false">J65+J60</f>
        <v>289299.406666667</v>
      </c>
      <c r="K92" s="53" t="n">
        <f aca="false">K65+K60</f>
        <v>285966.073333333</v>
      </c>
      <c r="L92" s="53" t="n">
        <f aca="false">L65+L60</f>
        <v>282632.74</v>
      </c>
      <c r="M92" s="53" t="n">
        <f aca="false">M65+M60</f>
        <v>279299.406666667</v>
      </c>
      <c r="N92" s="53" t="n">
        <f aca="false">N65+N60</f>
        <v>275966.073333333</v>
      </c>
      <c r="O92" s="53" t="n">
        <f aca="false">O65+O60</f>
        <v>305417.95234</v>
      </c>
      <c r="P92" s="53" t="n">
        <f aca="false">P65+P60</f>
        <v>302084.619006667</v>
      </c>
      <c r="Q92" s="53" t="n">
        <f aca="false">Q65+Q60</f>
        <v>298751.285673333</v>
      </c>
      <c r="R92" s="53" t="n">
        <f aca="false">R65+R60</f>
        <v>295417.95234</v>
      </c>
      <c r="S92" s="53" t="n">
        <f aca="false">S65+S60</f>
        <v>292084.619006667</v>
      </c>
      <c r="T92" s="53" t="n">
        <f aca="false">T65+T60</f>
        <v>288751.285673333</v>
      </c>
      <c r="U92" s="53" t="n">
        <f aca="false">U65+U60</f>
        <v>285417.95234</v>
      </c>
      <c r="V92" s="53" t="n">
        <f aca="false">V65+V60</f>
        <v>282084.619006667</v>
      </c>
      <c r="W92" s="53" t="n">
        <f aca="false">W65+W60</f>
        <v>278751.285673333</v>
      </c>
      <c r="X92" s="53" t="n">
        <f aca="false">X65+X60</f>
        <v>275417.95234</v>
      </c>
      <c r="Y92" s="53" t="n">
        <f aca="false">Y65+Y60</f>
        <v>272084.619006667</v>
      </c>
      <c r="Z92" s="53" t="n">
        <f aca="false">Z65+Z60</f>
        <v>268751.285673333</v>
      </c>
      <c r="AA92" s="53" t="n">
        <f aca="false">AA65+AA60</f>
        <v>308043.59204454</v>
      </c>
      <c r="AB92" s="53" t="n">
        <f aca="false">AB65+AB60</f>
        <v>304710.258711206</v>
      </c>
      <c r="AC92" s="53" t="n">
        <f aca="false">AC65+AC60</f>
        <v>301376.925377873</v>
      </c>
      <c r="AD92" s="53" t="n">
        <f aca="false">AD65+AD60</f>
        <v>298043.59204454</v>
      </c>
      <c r="AE92" s="53" t="n">
        <f aca="false">AE65+AE60</f>
        <v>294710.258711207</v>
      </c>
      <c r="AF92" s="53" t="n">
        <f aca="false">AF65+AF60</f>
        <v>291376.925377873</v>
      </c>
      <c r="AG92" s="53" t="n">
        <f aca="false">AG65+AG60</f>
        <v>288043.59204454</v>
      </c>
      <c r="AH92" s="53" t="n">
        <f aca="false">AH65+AH60</f>
        <v>284710.258711207</v>
      </c>
      <c r="AI92" s="53" t="n">
        <f aca="false">AI65+AI60</f>
        <v>281376.925377873</v>
      </c>
      <c r="AJ92" s="53" t="n">
        <f aca="false">AJ65+AJ60</f>
        <v>278043.59204454</v>
      </c>
      <c r="AK92" s="53" t="n">
        <f aca="false">AK65+AK60</f>
        <v>274710.258711207</v>
      </c>
      <c r="AL92" s="53" t="n">
        <f aca="false">AL65+AL60</f>
        <v>271376.925377873</v>
      </c>
      <c r="AM92" s="53" t="n">
        <f aca="false">AM65+AM60</f>
        <v>323544.956720181</v>
      </c>
      <c r="AN92" s="53" t="n">
        <f aca="false">AN65+AN60</f>
        <v>320211.623386848</v>
      </c>
      <c r="AO92" s="53" t="n">
        <f aca="false">AO65+AO60</f>
        <v>316878.290053514</v>
      </c>
      <c r="AP92" s="53" t="n">
        <f aca="false">AP65+AP60</f>
        <v>313544.956720181</v>
      </c>
      <c r="AQ92" s="53" t="n">
        <f aca="false">AQ65+AQ60</f>
        <v>310211.623386848</v>
      </c>
      <c r="AR92" s="53" t="n">
        <f aca="false">AR65+AR60</f>
        <v>306878.290053514</v>
      </c>
      <c r="AS92" s="53" t="n">
        <f aca="false">AS65+AS60</f>
        <v>303544.956720181</v>
      </c>
      <c r="AT92" s="53" t="n">
        <f aca="false">AT65+AT60</f>
        <v>300211.623386848</v>
      </c>
      <c r="AU92" s="53" t="n">
        <f aca="false">AU65+AU60</f>
        <v>296878.290053514</v>
      </c>
      <c r="AV92" s="53" t="n">
        <f aca="false">AV65+AV60</f>
        <v>293544.956720181</v>
      </c>
      <c r="AW92" s="53" t="n">
        <f aca="false">AW65+AW60</f>
        <v>290211.623386848</v>
      </c>
      <c r="AX92" s="53" t="n">
        <f aca="false">AX65+AX60</f>
        <v>286878.290053514</v>
      </c>
      <c r="AY92" s="53" t="n">
        <f aca="false">AY65+AY60</f>
        <v>355915.366546385</v>
      </c>
      <c r="AZ92" s="53" t="n">
        <f aca="false">AZ65+AZ60</f>
        <v>352582.033213051</v>
      </c>
      <c r="BA92" s="53" t="n">
        <f aca="false">BA65+BA60</f>
        <v>349248.699879718</v>
      </c>
      <c r="BB92" s="53" t="n">
        <f aca="false">BB65+BB60</f>
        <v>345915.366546385</v>
      </c>
      <c r="BC92" s="53" t="n">
        <f aca="false">BC65+BC60</f>
        <v>342582.033213051</v>
      </c>
      <c r="BD92" s="53" t="n">
        <f aca="false">BD65+BD60</f>
        <v>339248.699879718</v>
      </c>
      <c r="BE92" s="53" t="n">
        <f aca="false">BE65+BE60</f>
        <v>335915.366546385</v>
      </c>
      <c r="BF92" s="53" t="n">
        <f aca="false">BF65+BF60</f>
        <v>332582.033213051</v>
      </c>
      <c r="BG92" s="53" t="n">
        <f aca="false">BG65+BG60</f>
        <v>329248.699879718</v>
      </c>
      <c r="BH92" s="53" t="n">
        <f aca="false">BH65+BH60</f>
        <v>325915.366546385</v>
      </c>
      <c r="BI92" s="53" t="n">
        <f aca="false">BI65+BI60</f>
        <v>322582.033213051</v>
      </c>
      <c r="BJ92" s="53" t="n">
        <f aca="false">BJ65+BJ60</f>
        <v>319248.699879718</v>
      </c>
    </row>
    <row r="93" customFormat="false" ht="15" hidden="false" customHeight="false" outlineLevel="0" collapsed="false">
      <c r="A93" s="6" t="s">
        <v>97</v>
      </c>
      <c r="C93" s="53" t="n">
        <f aca="false">C89+C90</f>
        <v>367321.577466667</v>
      </c>
      <c r="D93" s="53" t="n">
        <f aca="false">D89+D90</f>
        <v>434651.932711111</v>
      </c>
      <c r="E93" s="53" t="n">
        <f aca="false">E89+E90</f>
        <v>501999.843511111</v>
      </c>
      <c r="F93" s="53" t="n">
        <f aca="false">F89+F90</f>
        <v>569365.309866667</v>
      </c>
      <c r="G93" s="53" t="n">
        <f aca="false">G89+G90</f>
        <v>636748.331777778</v>
      </c>
      <c r="H93" s="53" t="n">
        <f aca="false">H89+H90</f>
        <v>704148.909244445</v>
      </c>
      <c r="I93" s="53" t="n">
        <f aca="false">I89+I90</f>
        <v>771567.042266667</v>
      </c>
      <c r="J93" s="53" t="n">
        <f aca="false">J89+J90</f>
        <v>839002.730844444</v>
      </c>
      <c r="K93" s="53" t="n">
        <f aca="false">K89+K90</f>
        <v>906455.974977778</v>
      </c>
      <c r="L93" s="53" t="n">
        <f aca="false">L89+L90</f>
        <v>973926.774666667</v>
      </c>
      <c r="M93" s="53" t="n">
        <f aca="false">M89+M90</f>
        <v>1041415.12991111</v>
      </c>
      <c r="N93" s="53" t="n">
        <f aca="false">N89+N90</f>
        <v>1108921.04071111</v>
      </c>
      <c r="O93" s="53" t="n">
        <f aca="false">O89+O90</f>
        <v>1205345.85230947</v>
      </c>
      <c r="P93" s="53" t="n">
        <f aca="false">P89+P90</f>
        <v>1301788.21946338</v>
      </c>
      <c r="Q93" s="53" t="n">
        <f aca="false">Q89+Q90</f>
        <v>1398248.14217284</v>
      </c>
      <c r="R93" s="53" t="n">
        <f aca="false">R89+R90</f>
        <v>1494725.62043787</v>
      </c>
      <c r="S93" s="53" t="n">
        <f aca="false">S89+S90</f>
        <v>1591220.65425845</v>
      </c>
      <c r="T93" s="53" t="n">
        <f aca="false">T89+T90</f>
        <v>1687733.24363458</v>
      </c>
      <c r="U93" s="53" t="n">
        <f aca="false">U89+U90</f>
        <v>1784263.38856627</v>
      </c>
      <c r="V93" s="53" t="n">
        <f aca="false">V89+V90</f>
        <v>1880811.08905351</v>
      </c>
      <c r="W93" s="53" t="n">
        <f aca="false">W89+W90</f>
        <v>1977376.34509631</v>
      </c>
      <c r="X93" s="53" t="n">
        <f aca="false">X89+X90</f>
        <v>2073959.15669467</v>
      </c>
      <c r="Y93" s="53" t="n">
        <f aca="false">Y89+Y90</f>
        <v>2170559.52384858</v>
      </c>
      <c r="Z93" s="53" t="n">
        <f aca="false">Z89+Z90</f>
        <v>2267177.44655805</v>
      </c>
      <c r="AA93" s="53" t="n">
        <f aca="false">AA89+AA90</f>
        <v>2402278.31503109</v>
      </c>
      <c r="AB93" s="53" t="n">
        <f aca="false">AB89+AB90</f>
        <v>2537396.73905968</v>
      </c>
      <c r="AC93" s="53" t="n">
        <f aca="false">AC89+AC90</f>
        <v>2672532.71864383</v>
      </c>
      <c r="AD93" s="53" t="n">
        <f aca="false">AD89+AD90</f>
        <v>2807686.25378354</v>
      </c>
      <c r="AE93" s="53" t="n">
        <f aca="false">AE89+AE90</f>
        <v>2942857.3444788</v>
      </c>
      <c r="AF93" s="53" t="n">
        <f aca="false">AF89+AF90</f>
        <v>3078045.99072961</v>
      </c>
      <c r="AG93" s="53" t="n">
        <f aca="false">AG89+AG90</f>
        <v>3213252.19253599</v>
      </c>
      <c r="AH93" s="53" t="n">
        <f aca="false">AH89+AH90</f>
        <v>3348475.94989792</v>
      </c>
      <c r="AI93" s="53" t="n">
        <f aca="false">AI89+AI90</f>
        <v>3483717.2628154</v>
      </c>
      <c r="AJ93" s="53" t="n">
        <f aca="false">AJ89+AJ90</f>
        <v>3618976.13128844</v>
      </c>
      <c r="AK93" s="53" t="n">
        <f aca="false">AK89+AK90</f>
        <v>3754252.55531703</v>
      </c>
      <c r="AL93" s="53" t="n">
        <f aca="false">AL89+AL90</f>
        <v>3889546.53490118</v>
      </c>
      <c r="AM93" s="53" t="n">
        <f aca="false">AM89+AM90</f>
        <v>4076051.30829744</v>
      </c>
      <c r="AN93" s="53" t="n">
        <f aca="false">AN89+AN90</f>
        <v>4262573.63724925</v>
      </c>
      <c r="AO93" s="53" t="n">
        <f aca="false">AO89+AO90</f>
        <v>4449113.52175662</v>
      </c>
      <c r="AP93" s="53" t="n">
        <f aca="false">AP89+AP90</f>
        <v>4635670.96181954</v>
      </c>
      <c r="AQ93" s="53" t="n">
        <f aca="false">AQ89+AQ90</f>
        <v>4822245.95743802</v>
      </c>
      <c r="AR93" s="53" t="n">
        <f aca="false">AR89+AR90</f>
        <v>5008838.50861206</v>
      </c>
      <c r="AS93" s="53" t="n">
        <f aca="false">AS89+AS90</f>
        <v>5195448.61534165</v>
      </c>
      <c r="AT93" s="53" t="n">
        <f aca="false">AT89+AT90</f>
        <v>5382076.2776268</v>
      </c>
      <c r="AU93" s="53" t="n">
        <f aca="false">AU89+AU90</f>
        <v>5568721.4954675</v>
      </c>
      <c r="AV93" s="53" t="n">
        <f aca="false">AV89+AV90</f>
        <v>5755384.26886375</v>
      </c>
      <c r="AW93" s="53" t="n">
        <f aca="false">AW89+AW90</f>
        <v>5942064.59781557</v>
      </c>
      <c r="AX93" s="53" t="n">
        <f aca="false">AX89+AX90</f>
        <v>6128762.48232294</v>
      </c>
      <c r="AY93" s="53" t="n">
        <f aca="false">AY89+AY90</f>
        <v>6383612.72707008</v>
      </c>
      <c r="AZ93" s="53" t="n">
        <f aca="false">AZ89+AZ90</f>
        <v>6638480.52737279</v>
      </c>
      <c r="BA93" s="53" t="n">
        <f aca="false">BA89+BA90</f>
        <v>6893365.88323105</v>
      </c>
      <c r="BB93" s="53" t="n">
        <f aca="false">BB89+BB90</f>
        <v>7148268.79464486</v>
      </c>
      <c r="BC93" s="53" t="n">
        <f aca="false">BC89+BC90</f>
        <v>7403189.26161423</v>
      </c>
      <c r="BD93" s="53" t="n">
        <f aca="false">BD89+BD90</f>
        <v>7658127.28413916</v>
      </c>
      <c r="BE93" s="53" t="n">
        <f aca="false">BE89+BE90</f>
        <v>7913082.86221964</v>
      </c>
      <c r="BF93" s="53" t="n">
        <f aca="false">BF89+BF90</f>
        <v>8168055.99585567</v>
      </c>
      <c r="BG93" s="53" t="n">
        <f aca="false">BG89+BG90</f>
        <v>8423046.68504727</v>
      </c>
      <c r="BH93" s="53" t="n">
        <f aca="false">BH89+BH90</f>
        <v>8678054.92979442</v>
      </c>
      <c r="BI93" s="53" t="n">
        <f aca="false">BI89+BI90</f>
        <v>8933080.73009712</v>
      </c>
      <c r="BJ93" s="53" t="n">
        <f aca="false">BJ89+BJ90</f>
        <v>9188124.08595538</v>
      </c>
    </row>
    <row r="94" customFormat="false" ht="15" hidden="false" customHeight="false" outlineLevel="0" collapsed="false">
      <c r="A94" s="4" t="s">
        <v>98</v>
      </c>
      <c r="C94" s="60" t="n">
        <f aca="false">C92+C93</f>
        <v>679954.317466667</v>
      </c>
      <c r="D94" s="60" t="n">
        <f aca="false">D92+D93</f>
        <v>743951.339377778</v>
      </c>
      <c r="E94" s="60" t="n">
        <f aca="false">E92+E93</f>
        <v>807965.916844444</v>
      </c>
      <c r="F94" s="60" t="n">
        <f aca="false">F92+F93</f>
        <v>871998.049866667</v>
      </c>
      <c r="G94" s="60" t="n">
        <f aca="false">G92+G93</f>
        <v>936047.738444444</v>
      </c>
      <c r="H94" s="60" t="n">
        <f aca="false">H92+H93</f>
        <v>1000114.98257778</v>
      </c>
      <c r="I94" s="60" t="n">
        <f aca="false">I92+I93</f>
        <v>1064199.78226667</v>
      </c>
      <c r="J94" s="60" t="n">
        <f aca="false">J92+J93</f>
        <v>1128302.13751111</v>
      </c>
      <c r="K94" s="60" t="n">
        <f aca="false">K92+K93</f>
        <v>1192422.04831111</v>
      </c>
      <c r="L94" s="60" t="n">
        <f aca="false">L92+L93</f>
        <v>1256559.51466667</v>
      </c>
      <c r="M94" s="60" t="n">
        <f aca="false">M92+M93</f>
        <v>1320714.53657778</v>
      </c>
      <c r="N94" s="60" t="n">
        <f aca="false">N92+N93</f>
        <v>1384887.11404444</v>
      </c>
      <c r="O94" s="60" t="n">
        <f aca="false">O92+O93</f>
        <v>1510763.80464947</v>
      </c>
      <c r="P94" s="60" t="n">
        <f aca="false">P92+P93</f>
        <v>1603872.83847004</v>
      </c>
      <c r="Q94" s="60" t="n">
        <f aca="false">Q92+Q93</f>
        <v>1696999.42784618</v>
      </c>
      <c r="R94" s="60" t="n">
        <f aca="false">R92+R93</f>
        <v>1790143.57277787</v>
      </c>
      <c r="S94" s="60" t="n">
        <f aca="false">S92+S93</f>
        <v>1883305.27326511</v>
      </c>
      <c r="T94" s="60" t="n">
        <f aca="false">T92+T93</f>
        <v>1976484.52930791</v>
      </c>
      <c r="U94" s="60" t="n">
        <f aca="false">U92+U93</f>
        <v>2069681.34090627</v>
      </c>
      <c r="V94" s="60" t="n">
        <f aca="false">V92+V93</f>
        <v>2162895.70806018</v>
      </c>
      <c r="W94" s="60" t="n">
        <f aca="false">W92+W93</f>
        <v>2256127.63076965</v>
      </c>
      <c r="X94" s="60" t="n">
        <f aca="false">X92+X93</f>
        <v>2349377.10903467</v>
      </c>
      <c r="Y94" s="60" t="n">
        <f aca="false">Y92+Y93</f>
        <v>2442644.14285525</v>
      </c>
      <c r="Z94" s="60" t="n">
        <f aca="false">Z92+Z93</f>
        <v>2535928.73223138</v>
      </c>
      <c r="AA94" s="60" t="n">
        <f aca="false">AA92+AA93</f>
        <v>2710321.90707563</v>
      </c>
      <c r="AB94" s="60" t="n">
        <f aca="false">AB92+AB93</f>
        <v>2842106.99777089</v>
      </c>
      <c r="AC94" s="60" t="n">
        <f aca="false">AC92+AC93</f>
        <v>2973909.6440217</v>
      </c>
      <c r="AD94" s="60" t="n">
        <f aca="false">AD92+AD93</f>
        <v>3105729.84582808</v>
      </c>
      <c r="AE94" s="60" t="n">
        <f aca="false">AE92+AE93</f>
        <v>3237567.60319</v>
      </c>
      <c r="AF94" s="60" t="n">
        <f aca="false">AF92+AF93</f>
        <v>3369422.91610749</v>
      </c>
      <c r="AG94" s="60" t="n">
        <f aca="false">AG92+AG93</f>
        <v>3501295.78458053</v>
      </c>
      <c r="AH94" s="60" t="n">
        <f aca="false">AH92+AH93</f>
        <v>3633186.20860912</v>
      </c>
      <c r="AI94" s="60" t="n">
        <f aca="false">AI92+AI93</f>
        <v>3765094.18819327</v>
      </c>
      <c r="AJ94" s="60" t="n">
        <f aca="false">AJ92+AJ93</f>
        <v>3897019.72333298</v>
      </c>
      <c r="AK94" s="60" t="n">
        <f aca="false">AK92+AK93</f>
        <v>4028962.81402824</v>
      </c>
      <c r="AL94" s="60" t="n">
        <f aca="false">AL92+AL93</f>
        <v>4160923.46027906</v>
      </c>
      <c r="AM94" s="60" t="n">
        <f aca="false">AM92+AM93</f>
        <v>4399596.26501762</v>
      </c>
      <c r="AN94" s="60" t="n">
        <f aca="false">AN92+AN93</f>
        <v>4582785.2606361</v>
      </c>
      <c r="AO94" s="60" t="n">
        <f aca="false">AO92+AO93</f>
        <v>4765991.81181014</v>
      </c>
      <c r="AP94" s="60" t="n">
        <f aca="false">AP92+AP93</f>
        <v>4949215.91853973</v>
      </c>
      <c r="AQ94" s="60" t="n">
        <f aca="false">AQ92+AQ93</f>
        <v>5132457.58082487</v>
      </c>
      <c r="AR94" s="60" t="n">
        <f aca="false">AR92+AR93</f>
        <v>5315716.79866557</v>
      </c>
      <c r="AS94" s="60" t="n">
        <f aca="false">AS92+AS93</f>
        <v>5498993.57206183</v>
      </c>
      <c r="AT94" s="60" t="n">
        <f aca="false">AT92+AT93</f>
        <v>5682287.90101364</v>
      </c>
      <c r="AU94" s="60" t="n">
        <f aca="false">AU92+AU93</f>
        <v>5865599.78552101</v>
      </c>
      <c r="AV94" s="60" t="n">
        <f aca="false">AV92+AV93</f>
        <v>6048929.22558394</v>
      </c>
      <c r="AW94" s="60" t="n">
        <f aca="false">AW92+AW93</f>
        <v>6232276.22120241</v>
      </c>
      <c r="AX94" s="60" t="n">
        <f aca="false">AX92+AX93</f>
        <v>6415640.77237645</v>
      </c>
      <c r="AY94" s="60" t="n">
        <f aca="false">AY92+AY93</f>
        <v>6739528.09361647</v>
      </c>
      <c r="AZ94" s="60" t="n">
        <f aca="false">AZ92+AZ93</f>
        <v>6991062.56058584</v>
      </c>
      <c r="BA94" s="60" t="n">
        <f aca="false">BA92+BA93</f>
        <v>7242614.58311076</v>
      </c>
      <c r="BB94" s="60" t="n">
        <f aca="false">BB92+BB93</f>
        <v>7494184.16119125</v>
      </c>
      <c r="BC94" s="60" t="n">
        <f aca="false">BC92+BC93</f>
        <v>7745771.29482728</v>
      </c>
      <c r="BD94" s="60" t="n">
        <f aca="false">BD92+BD93</f>
        <v>7997375.98401887</v>
      </c>
      <c r="BE94" s="60" t="n">
        <f aca="false">BE92+BE93</f>
        <v>8248998.22876602</v>
      </c>
      <c r="BF94" s="60" t="n">
        <f aca="false">BF92+BF93</f>
        <v>8500638.02906873</v>
      </c>
      <c r="BG94" s="60" t="n">
        <f aca="false">BG92+BG93</f>
        <v>8752295.38492698</v>
      </c>
      <c r="BH94" s="60" t="n">
        <f aca="false">BH92+BH93</f>
        <v>9003970.2963408</v>
      </c>
      <c r="BI94" s="60" t="n">
        <f aca="false">BI92+BI93</f>
        <v>9255662.76331017</v>
      </c>
      <c r="BJ94" s="60" t="n">
        <f aca="false">BJ92+BJ93</f>
        <v>9507372.7858351</v>
      </c>
    </row>
    <row r="95" customFormat="false" ht="15" hidden="false" customHeight="false" outlineLevel="0" collapsed="false">
      <c r="A95" s="6" t="s">
        <v>408</v>
      </c>
      <c r="C95" s="53" t="n">
        <f aca="false">C91-C94</f>
        <v>0</v>
      </c>
      <c r="D95" s="53" t="n">
        <f aca="false">D91-D94</f>
        <v>0</v>
      </c>
      <c r="E95" s="53" t="n">
        <f aca="false">E91-E94</f>
        <v>0</v>
      </c>
      <c r="F95" s="53" t="n">
        <f aca="false">F91-F94</f>
        <v>0</v>
      </c>
      <c r="G95" s="53" t="n">
        <f aca="false">G91-G94</f>
        <v>0</v>
      </c>
      <c r="H95" s="53" t="n">
        <f aca="false">H91-H94</f>
        <v>0</v>
      </c>
      <c r="I95" s="53" t="n">
        <f aca="false">I91-I94</f>
        <v>0</v>
      </c>
      <c r="J95" s="53" t="n">
        <f aca="false">J91-J94</f>
        <v>0</v>
      </c>
      <c r="K95" s="53" t="n">
        <f aca="false">K91-K94</f>
        <v>0</v>
      </c>
      <c r="L95" s="53" t="n">
        <f aca="false">L91-L94</f>
        <v>0</v>
      </c>
      <c r="M95" s="53" t="n">
        <f aca="false">M91-M94</f>
        <v>0</v>
      </c>
      <c r="N95" s="53" t="n">
        <f aca="false">N91-N94</f>
        <v>0</v>
      </c>
      <c r="O95" s="53" t="n">
        <f aca="false">O91-O94</f>
        <v>0</v>
      </c>
      <c r="P95" s="53" t="n">
        <f aca="false">P91-P94</f>
        <v>0</v>
      </c>
      <c r="Q95" s="53" t="n">
        <f aca="false">Q91-Q94</f>
        <v>0</v>
      </c>
      <c r="R95" s="53" t="n">
        <f aca="false">R91-R94</f>
        <v>0</v>
      </c>
      <c r="S95" s="53" t="n">
        <f aca="false">S91-S94</f>
        <v>0</v>
      </c>
      <c r="T95" s="53" t="n">
        <f aca="false">T91-T94</f>
        <v>0</v>
      </c>
      <c r="U95" s="53" t="n">
        <f aca="false">U91-U94</f>
        <v>0</v>
      </c>
      <c r="V95" s="53" t="n">
        <f aca="false">V91-V94</f>
        <v>0</v>
      </c>
      <c r="W95" s="53" t="n">
        <f aca="false">W91-W94</f>
        <v>0</v>
      </c>
      <c r="X95" s="53" t="n">
        <f aca="false">X91-X94</f>
        <v>0</v>
      </c>
      <c r="Y95" s="53" t="n">
        <f aca="false">Y91-Y94</f>
        <v>0</v>
      </c>
      <c r="Z95" s="53" t="n">
        <f aca="false">Z91-Z94</f>
        <v>0</v>
      </c>
      <c r="AA95" s="53" t="n">
        <f aca="false">AA91-AA94</f>
        <v>0</v>
      </c>
      <c r="AB95" s="53" t="n">
        <f aca="false">AB91-AB94</f>
        <v>0</v>
      </c>
      <c r="AC95" s="53" t="n">
        <f aca="false">AC91-AC94</f>
        <v>0</v>
      </c>
      <c r="AD95" s="53" t="n">
        <f aca="false">AD91-AD94</f>
        <v>0</v>
      </c>
      <c r="AE95" s="53" t="n">
        <f aca="false">AE91-AE94</f>
        <v>0</v>
      </c>
      <c r="AF95" s="53" t="n">
        <f aca="false">AF91-AF94</f>
        <v>0</v>
      </c>
      <c r="AG95" s="53" t="n">
        <f aca="false">AG91-AG94</f>
        <v>0</v>
      </c>
      <c r="AH95" s="53" t="n">
        <f aca="false">AH91-AH94</f>
        <v>0</v>
      </c>
      <c r="AI95" s="53" t="n">
        <f aca="false">AI91-AI94</f>
        <v>0</v>
      </c>
      <c r="AJ95" s="53" t="n">
        <f aca="false">AJ91-AJ94</f>
        <v>0</v>
      </c>
      <c r="AK95" s="53" t="n">
        <f aca="false">AK91-AK94</f>
        <v>0</v>
      </c>
      <c r="AL95" s="53" t="n">
        <f aca="false">AL91-AL94</f>
        <v>0</v>
      </c>
      <c r="AM95" s="53" t="n">
        <f aca="false">AM91-AM94</f>
        <v>0</v>
      </c>
      <c r="AN95" s="53" t="n">
        <f aca="false">AN91-AN94</f>
        <v>0</v>
      </c>
      <c r="AO95" s="53" t="n">
        <f aca="false">AO91-AO94</f>
        <v>0</v>
      </c>
      <c r="AP95" s="53" t="n">
        <f aca="false">AP91-AP94</f>
        <v>0</v>
      </c>
      <c r="AQ95" s="53" t="n">
        <f aca="false">AQ91-AQ94</f>
        <v>0</v>
      </c>
      <c r="AR95" s="53" t="n">
        <f aca="false">AR91-AR94</f>
        <v>0</v>
      </c>
      <c r="AS95" s="53" t="n">
        <f aca="false">AS91-AS94</f>
        <v>0</v>
      </c>
      <c r="AT95" s="53" t="n">
        <f aca="false">AT91-AT94</f>
        <v>0</v>
      </c>
      <c r="AU95" s="53" t="n">
        <f aca="false">AU91-AU94</f>
        <v>0</v>
      </c>
      <c r="AV95" s="53" t="n">
        <f aca="false">AV91-AV94</f>
        <v>0</v>
      </c>
      <c r="AW95" s="53" t="n">
        <f aca="false">AW91-AW94</f>
        <v>0</v>
      </c>
      <c r="AX95" s="53" t="n">
        <f aca="false">AX91-AX94</f>
        <v>0</v>
      </c>
      <c r="AY95" s="53" t="n">
        <f aca="false">AY91-AY94</f>
        <v>0</v>
      </c>
      <c r="AZ95" s="53" t="n">
        <f aca="false">AZ91-AZ94</f>
        <v>0</v>
      </c>
      <c r="BA95" s="53" t="n">
        <f aca="false">BA91-BA94</f>
        <v>0</v>
      </c>
      <c r="BB95" s="53" t="n">
        <f aca="false">BB91-BB94</f>
        <v>0</v>
      </c>
      <c r="BC95" s="53" t="n">
        <f aca="false">BC91-BC94</f>
        <v>0</v>
      </c>
      <c r="BD95" s="53" t="n">
        <f aca="false">BD91-BD94</f>
        <v>0</v>
      </c>
      <c r="BE95" s="53" t="n">
        <f aca="false">BE91-BE94</f>
        <v>0</v>
      </c>
      <c r="BF95" s="53" t="n">
        <f aca="false">BF91-BF94</f>
        <v>0</v>
      </c>
      <c r="BG95" s="53" t="n">
        <f aca="false">BG91-BG94</f>
        <v>0</v>
      </c>
      <c r="BH95" s="53" t="n">
        <f aca="false">BH91-BH94</f>
        <v>0</v>
      </c>
      <c r="BI95" s="53" t="n">
        <f aca="false">BI91-BI94</f>
        <v>0</v>
      </c>
      <c r="BJ95" s="53" t="n">
        <f aca="false">BJ91-BJ94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313</v>
      </c>
    </row>
    <row r="3" customFormat="false" ht="15" hidden="false" customHeight="false" outlineLevel="0" collapsed="false">
      <c r="A3" s="33" t="s">
        <v>314</v>
      </c>
      <c r="C3" s="59" t="s">
        <v>315</v>
      </c>
      <c r="D3" s="59" t="s">
        <v>316</v>
      </c>
      <c r="E3" s="59" t="s">
        <v>317</v>
      </c>
      <c r="F3" s="59" t="s">
        <v>318</v>
      </c>
      <c r="G3" s="59" t="s">
        <v>319</v>
      </c>
      <c r="H3" s="59" t="s">
        <v>320</v>
      </c>
      <c r="I3" s="59" t="s">
        <v>321</v>
      </c>
      <c r="J3" s="59" t="s">
        <v>322</v>
      </c>
      <c r="K3" s="59" t="s">
        <v>323</v>
      </c>
      <c r="L3" s="59" t="s">
        <v>324</v>
      </c>
      <c r="M3" s="59" t="s">
        <v>325</v>
      </c>
      <c r="N3" s="59" t="s">
        <v>326</v>
      </c>
      <c r="O3" s="59" t="s">
        <v>327</v>
      </c>
      <c r="P3" s="59" t="s">
        <v>328</v>
      </c>
      <c r="Q3" s="59" t="s">
        <v>329</v>
      </c>
      <c r="R3" s="59" t="s">
        <v>330</v>
      </c>
      <c r="S3" s="59" t="s">
        <v>331</v>
      </c>
      <c r="T3" s="59" t="s">
        <v>332</v>
      </c>
      <c r="U3" s="59" t="s">
        <v>333</v>
      </c>
      <c r="V3" s="59" t="s">
        <v>334</v>
      </c>
      <c r="W3" s="59" t="s">
        <v>335</v>
      </c>
      <c r="X3" s="59" t="s">
        <v>336</v>
      </c>
      <c r="Y3" s="59" t="s">
        <v>337</v>
      </c>
      <c r="Z3" s="59" t="s">
        <v>338</v>
      </c>
      <c r="AA3" s="59" t="s">
        <v>339</v>
      </c>
      <c r="AB3" s="59" t="s">
        <v>340</v>
      </c>
      <c r="AC3" s="59" t="s">
        <v>341</v>
      </c>
      <c r="AD3" s="59" t="s">
        <v>342</v>
      </c>
      <c r="AE3" s="59" t="s">
        <v>343</v>
      </c>
      <c r="AF3" s="59" t="s">
        <v>344</v>
      </c>
      <c r="AG3" s="59" t="s">
        <v>345</v>
      </c>
      <c r="AH3" s="59" t="s">
        <v>346</v>
      </c>
      <c r="AI3" s="59" t="s">
        <v>347</v>
      </c>
      <c r="AJ3" s="59" t="s">
        <v>348</v>
      </c>
      <c r="AK3" s="59" t="s">
        <v>349</v>
      </c>
      <c r="AL3" s="59" t="s">
        <v>350</v>
      </c>
      <c r="AM3" s="59" t="s">
        <v>351</v>
      </c>
      <c r="AN3" s="59" t="s">
        <v>352</v>
      </c>
      <c r="AO3" s="59" t="s">
        <v>353</v>
      </c>
      <c r="AP3" s="59" t="s">
        <v>354</v>
      </c>
      <c r="AQ3" s="59" t="s">
        <v>355</v>
      </c>
      <c r="AR3" s="59" t="s">
        <v>356</v>
      </c>
      <c r="AS3" s="59" t="s">
        <v>357</v>
      </c>
      <c r="AT3" s="59" t="s">
        <v>358</v>
      </c>
      <c r="AU3" s="59" t="s">
        <v>359</v>
      </c>
      <c r="AV3" s="59" t="s">
        <v>360</v>
      </c>
      <c r="AW3" s="59" t="s">
        <v>361</v>
      </c>
      <c r="AX3" s="59" t="s">
        <v>362</v>
      </c>
      <c r="AY3" s="59" t="s">
        <v>363</v>
      </c>
      <c r="AZ3" s="59" t="s">
        <v>364</v>
      </c>
      <c r="BA3" s="59" t="s">
        <v>365</v>
      </c>
      <c r="BB3" s="59" t="s">
        <v>366</v>
      </c>
      <c r="BC3" s="59" t="s">
        <v>367</v>
      </c>
      <c r="BD3" s="59" t="s">
        <v>368</v>
      </c>
      <c r="BE3" s="59" t="s">
        <v>369</v>
      </c>
      <c r="BF3" s="59" t="s">
        <v>370</v>
      </c>
      <c r="BG3" s="59" t="s">
        <v>371</v>
      </c>
      <c r="BH3" s="59" t="s">
        <v>372</v>
      </c>
      <c r="BI3" s="59" t="s">
        <v>373</v>
      </c>
      <c r="BJ3" s="59" t="s">
        <v>374</v>
      </c>
    </row>
    <row r="4" customFormat="false" ht="15" hidden="false" customHeight="false" outlineLevel="0" collapsed="false">
      <c r="A4" s="58" t="s">
        <v>375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122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04" t="n">
        <f aca="false">Inputs!$E$34*(1+Inputs!$E$36)^(C$5-1)*MAX(0,MIN(1,C$4*1-Inputs!$E$37+1))/1</f>
        <v>4</v>
      </c>
      <c r="D8" s="104" t="n">
        <f aca="false">Inputs!$E$34*(1+Inputs!$E$36)^(D$5-1)*MAX(0,MIN(1,D$4*1-Inputs!$E$37+1))/1</f>
        <v>4</v>
      </c>
      <c r="E8" s="104" t="n">
        <f aca="false">Inputs!$E$34*(1+Inputs!$E$36)^(E$5-1)*MAX(0,MIN(1,E$4*1-Inputs!$E$37+1))/1</f>
        <v>4</v>
      </c>
      <c r="F8" s="104" t="n">
        <f aca="false">Inputs!$E$34*(1+Inputs!$E$36)^(F$5-1)*MAX(0,MIN(1,F$4*1-Inputs!$E$37+1))/1</f>
        <v>4</v>
      </c>
      <c r="G8" s="104" t="n">
        <f aca="false">Inputs!$E$34*(1+Inputs!$E$36)^(G$5-1)*MAX(0,MIN(1,G$4*1-Inputs!$E$37+1))/1</f>
        <v>4</v>
      </c>
      <c r="H8" s="104" t="n">
        <f aca="false">Inputs!$E$34*(1+Inputs!$E$36)^(H$5-1)*MAX(0,MIN(1,H$4*1-Inputs!$E$37+1))/1</f>
        <v>4</v>
      </c>
      <c r="I8" s="104" t="n">
        <f aca="false">Inputs!$E$34*(1+Inputs!$E$36)^(I$5-1)*MAX(0,MIN(1,I$4*1-Inputs!$E$37+1))/1</f>
        <v>4</v>
      </c>
      <c r="J8" s="104" t="n">
        <f aca="false">Inputs!$E$34*(1+Inputs!$E$36)^(J$5-1)*MAX(0,MIN(1,J$4*1-Inputs!$E$37+1))/1</f>
        <v>4</v>
      </c>
      <c r="K8" s="104" t="n">
        <f aca="false">Inputs!$E$34*(1+Inputs!$E$36)^(K$5-1)*MAX(0,MIN(1,K$4*1-Inputs!$E$37+1))/1</f>
        <v>4</v>
      </c>
      <c r="L8" s="104" t="n">
        <f aca="false">Inputs!$E$34*(1+Inputs!$E$36)^(L$5-1)*MAX(0,MIN(1,L$4*1-Inputs!$E$37+1))/1</f>
        <v>4</v>
      </c>
      <c r="M8" s="104" t="n">
        <f aca="false">Inputs!$E$34*(1+Inputs!$E$36)^(M$5-1)*MAX(0,MIN(1,M$4*1-Inputs!$E$37+1))/1</f>
        <v>4</v>
      </c>
      <c r="N8" s="104" t="n">
        <f aca="false">Inputs!$E$34*(1+Inputs!$E$36)^(N$5-1)*MAX(0,MIN(1,N$4*1-Inputs!$E$37+1))/1</f>
        <v>4</v>
      </c>
      <c r="O8" s="104" t="n">
        <f aca="false">Inputs!$E$34*(1+Inputs!$E$36)^(O$5-1)*MAX(0,MIN(1,O$4*1-Inputs!$E$37+1))/1</f>
        <v>4.8</v>
      </c>
      <c r="P8" s="104" t="n">
        <f aca="false">Inputs!$E$34*(1+Inputs!$E$36)^(P$5-1)*MAX(0,MIN(1,P$4*1-Inputs!$E$37+1))/1</f>
        <v>4.8</v>
      </c>
      <c r="Q8" s="104" t="n">
        <f aca="false">Inputs!$E$34*(1+Inputs!$E$36)^(Q$5-1)*MAX(0,MIN(1,Q$4*1-Inputs!$E$37+1))/1</f>
        <v>4.8</v>
      </c>
      <c r="R8" s="104" t="n">
        <f aca="false">Inputs!$E$34*(1+Inputs!$E$36)^(R$5-1)*MAX(0,MIN(1,R$4*1-Inputs!$E$37+1))/1</f>
        <v>4.8</v>
      </c>
      <c r="S8" s="104" t="n">
        <f aca="false">Inputs!$E$34*(1+Inputs!$E$36)^(S$5-1)*MAX(0,MIN(1,S$4*1-Inputs!$E$37+1))/1</f>
        <v>4.8</v>
      </c>
      <c r="T8" s="104" t="n">
        <f aca="false">Inputs!$E$34*(1+Inputs!$E$36)^(T$5-1)*MAX(0,MIN(1,T$4*1-Inputs!$E$37+1))/1</f>
        <v>4.8</v>
      </c>
      <c r="U8" s="104" t="n">
        <f aca="false">Inputs!$E$34*(1+Inputs!$E$36)^(U$5-1)*MAX(0,MIN(1,U$4*1-Inputs!$E$37+1))/1</f>
        <v>4.8</v>
      </c>
      <c r="V8" s="104" t="n">
        <f aca="false">Inputs!$E$34*(1+Inputs!$E$36)^(V$5-1)*MAX(0,MIN(1,V$4*1-Inputs!$E$37+1))/1</f>
        <v>4.8</v>
      </c>
      <c r="W8" s="104" t="n">
        <f aca="false">Inputs!$E$34*(1+Inputs!$E$36)^(W$5-1)*MAX(0,MIN(1,W$4*1-Inputs!$E$37+1))/1</f>
        <v>4.8</v>
      </c>
      <c r="X8" s="104" t="n">
        <f aca="false">Inputs!$E$34*(1+Inputs!$E$36)^(X$5-1)*MAX(0,MIN(1,X$4*1-Inputs!$E$37+1))/1</f>
        <v>4.8</v>
      </c>
      <c r="Y8" s="104" t="n">
        <f aca="false">Inputs!$E$34*(1+Inputs!$E$36)^(Y$5-1)*MAX(0,MIN(1,Y$4*1-Inputs!$E$37+1))/1</f>
        <v>4.8</v>
      </c>
      <c r="Z8" s="104" t="n">
        <f aca="false">Inputs!$E$34*(1+Inputs!$E$36)^(Z$5-1)*MAX(0,MIN(1,Z$4*1-Inputs!$E$37+1))/1</f>
        <v>4.8</v>
      </c>
      <c r="AA8" s="104" t="n">
        <f aca="false">Inputs!$E$34*(1+Inputs!$E$36)^(AA$5-1)*MAX(0,MIN(1,AA$4*1-Inputs!$E$37+1))/1</f>
        <v>5.76</v>
      </c>
      <c r="AB8" s="104" t="n">
        <f aca="false">Inputs!$E$34*(1+Inputs!$E$36)^(AB$5-1)*MAX(0,MIN(1,AB$4*1-Inputs!$E$37+1))/1</f>
        <v>5.76</v>
      </c>
      <c r="AC8" s="104" t="n">
        <f aca="false">Inputs!$E$34*(1+Inputs!$E$36)^(AC$5-1)*MAX(0,MIN(1,AC$4*1-Inputs!$E$37+1))/1</f>
        <v>5.76</v>
      </c>
      <c r="AD8" s="104" t="n">
        <f aca="false">Inputs!$E$34*(1+Inputs!$E$36)^(AD$5-1)*MAX(0,MIN(1,AD$4*1-Inputs!$E$37+1))/1</f>
        <v>5.76</v>
      </c>
      <c r="AE8" s="104" t="n">
        <f aca="false">Inputs!$E$34*(1+Inputs!$E$36)^(AE$5-1)*MAX(0,MIN(1,AE$4*1-Inputs!$E$37+1))/1</f>
        <v>5.76</v>
      </c>
      <c r="AF8" s="104" t="n">
        <f aca="false">Inputs!$E$34*(1+Inputs!$E$36)^(AF$5-1)*MAX(0,MIN(1,AF$4*1-Inputs!$E$37+1))/1</f>
        <v>5.76</v>
      </c>
      <c r="AG8" s="104" t="n">
        <f aca="false">Inputs!$E$34*(1+Inputs!$E$36)^(AG$5-1)*MAX(0,MIN(1,AG$4*1-Inputs!$E$37+1))/1</f>
        <v>5.76</v>
      </c>
      <c r="AH8" s="104" t="n">
        <f aca="false">Inputs!$E$34*(1+Inputs!$E$36)^(AH$5-1)*MAX(0,MIN(1,AH$4*1-Inputs!$E$37+1))/1</f>
        <v>5.76</v>
      </c>
      <c r="AI8" s="104" t="n">
        <f aca="false">Inputs!$E$34*(1+Inputs!$E$36)^(AI$5-1)*MAX(0,MIN(1,AI$4*1-Inputs!$E$37+1))/1</f>
        <v>5.76</v>
      </c>
      <c r="AJ8" s="104" t="n">
        <f aca="false">Inputs!$E$34*(1+Inputs!$E$36)^(AJ$5-1)*MAX(0,MIN(1,AJ$4*1-Inputs!$E$37+1))/1</f>
        <v>5.76</v>
      </c>
      <c r="AK8" s="104" t="n">
        <f aca="false">Inputs!$E$34*(1+Inputs!$E$36)^(AK$5-1)*MAX(0,MIN(1,AK$4*1-Inputs!$E$37+1))/1</f>
        <v>5.76</v>
      </c>
      <c r="AL8" s="104" t="n">
        <f aca="false">Inputs!$E$34*(1+Inputs!$E$36)^(AL$5-1)*MAX(0,MIN(1,AL$4*1-Inputs!$E$37+1))/1</f>
        <v>5.76</v>
      </c>
      <c r="AM8" s="104" t="n">
        <f aca="false">Inputs!$E$34*(1+Inputs!$E$36)^(AM$5-1)*MAX(0,MIN(1,AM$4*1-Inputs!$E$37+1))/1</f>
        <v>6.912</v>
      </c>
      <c r="AN8" s="104" t="n">
        <f aca="false">Inputs!$E$34*(1+Inputs!$E$36)^(AN$5-1)*MAX(0,MIN(1,AN$4*1-Inputs!$E$37+1))/1</f>
        <v>6.912</v>
      </c>
      <c r="AO8" s="104" t="n">
        <f aca="false">Inputs!$E$34*(1+Inputs!$E$36)^(AO$5-1)*MAX(0,MIN(1,AO$4*1-Inputs!$E$37+1))/1</f>
        <v>6.912</v>
      </c>
      <c r="AP8" s="104" t="n">
        <f aca="false">Inputs!$E$34*(1+Inputs!$E$36)^(AP$5-1)*MAX(0,MIN(1,AP$4*1-Inputs!$E$37+1))/1</f>
        <v>6.912</v>
      </c>
      <c r="AQ8" s="104" t="n">
        <f aca="false">Inputs!$E$34*(1+Inputs!$E$36)^(AQ$5-1)*MAX(0,MIN(1,AQ$4*1-Inputs!$E$37+1))/1</f>
        <v>6.912</v>
      </c>
      <c r="AR8" s="104" t="n">
        <f aca="false">Inputs!$E$34*(1+Inputs!$E$36)^(AR$5-1)*MAX(0,MIN(1,AR$4*1-Inputs!$E$37+1))/1</f>
        <v>6.912</v>
      </c>
      <c r="AS8" s="104" t="n">
        <f aca="false">Inputs!$E$34*(1+Inputs!$E$36)^(AS$5-1)*MAX(0,MIN(1,AS$4*1-Inputs!$E$37+1))/1</f>
        <v>6.912</v>
      </c>
      <c r="AT8" s="104" t="n">
        <f aca="false">Inputs!$E$34*(1+Inputs!$E$36)^(AT$5-1)*MAX(0,MIN(1,AT$4*1-Inputs!$E$37+1))/1</f>
        <v>6.912</v>
      </c>
      <c r="AU8" s="104" t="n">
        <f aca="false">Inputs!$E$34*(1+Inputs!$E$36)^(AU$5-1)*MAX(0,MIN(1,AU$4*1-Inputs!$E$37+1))/1</f>
        <v>6.912</v>
      </c>
      <c r="AV8" s="104" t="n">
        <f aca="false">Inputs!$E$34*(1+Inputs!$E$36)^(AV$5-1)*MAX(0,MIN(1,AV$4*1-Inputs!$E$37+1))/1</f>
        <v>6.912</v>
      </c>
      <c r="AW8" s="104" t="n">
        <f aca="false">Inputs!$E$34*(1+Inputs!$E$36)^(AW$5-1)*MAX(0,MIN(1,AW$4*1-Inputs!$E$37+1))/1</f>
        <v>6.912</v>
      </c>
      <c r="AX8" s="104" t="n">
        <f aca="false">Inputs!$E$34*(1+Inputs!$E$36)^(AX$5-1)*MAX(0,MIN(1,AX$4*1-Inputs!$E$37+1))/1</f>
        <v>6.912</v>
      </c>
      <c r="AY8" s="104" t="n">
        <f aca="false">Inputs!$E$34*(1+Inputs!$E$36)^(AY$5-1)*MAX(0,MIN(1,AY$4*1-Inputs!$E$37+1))/1</f>
        <v>8.2944</v>
      </c>
      <c r="AZ8" s="104" t="n">
        <f aca="false">Inputs!$E$34*(1+Inputs!$E$36)^(AZ$5-1)*MAX(0,MIN(1,AZ$4*1-Inputs!$E$37+1))/1</f>
        <v>8.2944</v>
      </c>
      <c r="BA8" s="104" t="n">
        <f aca="false">Inputs!$E$34*(1+Inputs!$E$36)^(BA$5-1)*MAX(0,MIN(1,BA$4*1-Inputs!$E$37+1))/1</f>
        <v>8.2944</v>
      </c>
      <c r="BB8" s="104" t="n">
        <f aca="false">Inputs!$E$34*(1+Inputs!$E$36)^(BB$5-1)*MAX(0,MIN(1,BB$4*1-Inputs!$E$37+1))/1</f>
        <v>8.2944</v>
      </c>
      <c r="BC8" s="104" t="n">
        <f aca="false">Inputs!$E$34*(1+Inputs!$E$36)^(BC$5-1)*MAX(0,MIN(1,BC$4*1-Inputs!$E$37+1))/1</f>
        <v>8.2944</v>
      </c>
      <c r="BD8" s="104" t="n">
        <f aca="false">Inputs!$E$34*(1+Inputs!$E$36)^(BD$5-1)*MAX(0,MIN(1,BD$4*1-Inputs!$E$37+1))/1</f>
        <v>8.2944</v>
      </c>
      <c r="BE8" s="104" t="n">
        <f aca="false">Inputs!$E$34*(1+Inputs!$E$36)^(BE$5-1)*MAX(0,MIN(1,BE$4*1-Inputs!$E$37+1))/1</f>
        <v>8.2944</v>
      </c>
      <c r="BF8" s="104" t="n">
        <f aca="false">Inputs!$E$34*(1+Inputs!$E$36)^(BF$5-1)*MAX(0,MIN(1,BF$4*1-Inputs!$E$37+1))/1</f>
        <v>8.2944</v>
      </c>
      <c r="BG8" s="104" t="n">
        <f aca="false">Inputs!$E$34*(1+Inputs!$E$36)^(BG$5-1)*MAX(0,MIN(1,BG$4*1-Inputs!$E$37+1))/1</f>
        <v>8.2944</v>
      </c>
      <c r="BH8" s="104" t="n">
        <f aca="false">Inputs!$E$34*(1+Inputs!$E$36)^(BH$5-1)*MAX(0,MIN(1,BH$4*1-Inputs!$E$37+1))/1</f>
        <v>8.2944</v>
      </c>
      <c r="BI8" s="104" t="n">
        <f aca="false">Inputs!$E$34*(1+Inputs!$E$36)^(BI$5-1)*MAX(0,MIN(1,BI$4*1-Inputs!$E$37+1))/1</f>
        <v>8.2944</v>
      </c>
      <c r="BJ8" s="104" t="n">
        <f aca="false">Inputs!$E$34*(1+Inputs!$E$36)^(BJ$5-1)*MAX(0,MIN(1,BJ$4*1-Inputs!$E$37+1))/1</f>
        <v>8.2944</v>
      </c>
    </row>
    <row r="9" customFormat="false" ht="15" hidden="false" customHeight="false" outlineLevel="0" collapsed="false">
      <c r="A9" s="6" t="s">
        <v>412</v>
      </c>
      <c r="C9" s="104" t="n">
        <f aca="false">Inputs!$E$38*(1+Inputs!$E$40)^(C$5-1)*MAX(0,MIN(1,C$4*1-Inputs!$E$41+1))/1</f>
        <v>12</v>
      </c>
      <c r="D9" s="104" t="n">
        <f aca="false">Inputs!$E$38*(1+Inputs!$E$40)^(D$5-1)*MAX(0,MIN(1,D$4*1-Inputs!$E$41+1))/1</f>
        <v>12</v>
      </c>
      <c r="E9" s="104" t="n">
        <f aca="false">Inputs!$E$38*(1+Inputs!$E$40)^(E$5-1)*MAX(0,MIN(1,E$4*1-Inputs!$E$41+1))/1</f>
        <v>12</v>
      </c>
      <c r="F9" s="104" t="n">
        <f aca="false">Inputs!$E$38*(1+Inputs!$E$40)^(F$5-1)*MAX(0,MIN(1,F$4*1-Inputs!$E$41+1))/1</f>
        <v>12</v>
      </c>
      <c r="G9" s="104" t="n">
        <f aca="false">Inputs!$E$38*(1+Inputs!$E$40)^(G$5-1)*MAX(0,MIN(1,G$4*1-Inputs!$E$41+1))/1</f>
        <v>12</v>
      </c>
      <c r="H9" s="104" t="n">
        <f aca="false">Inputs!$E$38*(1+Inputs!$E$40)^(H$5-1)*MAX(0,MIN(1,H$4*1-Inputs!$E$41+1))/1</f>
        <v>12</v>
      </c>
      <c r="I9" s="104" t="n">
        <f aca="false">Inputs!$E$38*(1+Inputs!$E$40)^(I$5-1)*MAX(0,MIN(1,I$4*1-Inputs!$E$41+1))/1</f>
        <v>12</v>
      </c>
      <c r="J9" s="104" t="n">
        <f aca="false">Inputs!$E$38*(1+Inputs!$E$40)^(J$5-1)*MAX(0,MIN(1,J$4*1-Inputs!$E$41+1))/1</f>
        <v>12</v>
      </c>
      <c r="K9" s="104" t="n">
        <f aca="false">Inputs!$E$38*(1+Inputs!$E$40)^(K$5-1)*MAX(0,MIN(1,K$4*1-Inputs!$E$41+1))/1</f>
        <v>12</v>
      </c>
      <c r="L9" s="104" t="n">
        <f aca="false">Inputs!$E$38*(1+Inputs!$E$40)^(L$5-1)*MAX(0,MIN(1,L$4*1-Inputs!$E$41+1))/1</f>
        <v>12</v>
      </c>
      <c r="M9" s="104" t="n">
        <f aca="false">Inputs!$E$38*(1+Inputs!$E$40)^(M$5-1)*MAX(0,MIN(1,M$4*1-Inputs!$E$41+1))/1</f>
        <v>12</v>
      </c>
      <c r="N9" s="104" t="n">
        <f aca="false">Inputs!$E$38*(1+Inputs!$E$40)^(N$5-1)*MAX(0,MIN(1,N$4*1-Inputs!$E$41+1))/1</f>
        <v>12</v>
      </c>
      <c r="O9" s="104" t="n">
        <f aca="false">Inputs!$E$38*(1+Inputs!$E$40)^(O$5-1)*MAX(0,MIN(1,O$4*1-Inputs!$E$41+1))/1</f>
        <v>15.6</v>
      </c>
      <c r="P9" s="104" t="n">
        <f aca="false">Inputs!$E$38*(1+Inputs!$E$40)^(P$5-1)*MAX(0,MIN(1,P$4*1-Inputs!$E$41+1))/1</f>
        <v>15.6</v>
      </c>
      <c r="Q9" s="104" t="n">
        <f aca="false">Inputs!$E$38*(1+Inputs!$E$40)^(Q$5-1)*MAX(0,MIN(1,Q$4*1-Inputs!$E$41+1))/1</f>
        <v>15.6</v>
      </c>
      <c r="R9" s="104" t="n">
        <f aca="false">Inputs!$E$38*(1+Inputs!$E$40)^(R$5-1)*MAX(0,MIN(1,R$4*1-Inputs!$E$41+1))/1</f>
        <v>15.6</v>
      </c>
      <c r="S9" s="104" t="n">
        <f aca="false">Inputs!$E$38*(1+Inputs!$E$40)^(S$5-1)*MAX(0,MIN(1,S$4*1-Inputs!$E$41+1))/1</f>
        <v>15.6</v>
      </c>
      <c r="T9" s="104" t="n">
        <f aca="false">Inputs!$E$38*(1+Inputs!$E$40)^(T$5-1)*MAX(0,MIN(1,T$4*1-Inputs!$E$41+1))/1</f>
        <v>15.6</v>
      </c>
      <c r="U9" s="104" t="n">
        <f aca="false">Inputs!$E$38*(1+Inputs!$E$40)^(U$5-1)*MAX(0,MIN(1,U$4*1-Inputs!$E$41+1))/1</f>
        <v>15.6</v>
      </c>
      <c r="V9" s="104" t="n">
        <f aca="false">Inputs!$E$38*(1+Inputs!$E$40)^(V$5-1)*MAX(0,MIN(1,V$4*1-Inputs!$E$41+1))/1</f>
        <v>15.6</v>
      </c>
      <c r="W9" s="104" t="n">
        <f aca="false">Inputs!$E$38*(1+Inputs!$E$40)^(W$5-1)*MAX(0,MIN(1,W$4*1-Inputs!$E$41+1))/1</f>
        <v>15.6</v>
      </c>
      <c r="X9" s="104" t="n">
        <f aca="false">Inputs!$E$38*(1+Inputs!$E$40)^(X$5-1)*MAX(0,MIN(1,X$4*1-Inputs!$E$41+1))/1</f>
        <v>15.6</v>
      </c>
      <c r="Y9" s="104" t="n">
        <f aca="false">Inputs!$E$38*(1+Inputs!$E$40)^(Y$5-1)*MAX(0,MIN(1,Y$4*1-Inputs!$E$41+1))/1</f>
        <v>15.6</v>
      </c>
      <c r="Z9" s="104" t="n">
        <f aca="false">Inputs!$E$38*(1+Inputs!$E$40)^(Z$5-1)*MAX(0,MIN(1,Z$4*1-Inputs!$E$41+1))/1</f>
        <v>15.6</v>
      </c>
      <c r="AA9" s="104" t="n">
        <f aca="false">Inputs!$E$38*(1+Inputs!$E$40)^(AA$5-1)*MAX(0,MIN(1,AA$4*1-Inputs!$E$41+1))/1</f>
        <v>20.28</v>
      </c>
      <c r="AB9" s="104" t="n">
        <f aca="false">Inputs!$E$38*(1+Inputs!$E$40)^(AB$5-1)*MAX(0,MIN(1,AB$4*1-Inputs!$E$41+1))/1</f>
        <v>20.28</v>
      </c>
      <c r="AC9" s="104" t="n">
        <f aca="false">Inputs!$E$38*(1+Inputs!$E$40)^(AC$5-1)*MAX(0,MIN(1,AC$4*1-Inputs!$E$41+1))/1</f>
        <v>20.28</v>
      </c>
      <c r="AD9" s="104" t="n">
        <f aca="false">Inputs!$E$38*(1+Inputs!$E$40)^(AD$5-1)*MAX(0,MIN(1,AD$4*1-Inputs!$E$41+1))/1</f>
        <v>20.28</v>
      </c>
      <c r="AE9" s="104" t="n">
        <f aca="false">Inputs!$E$38*(1+Inputs!$E$40)^(AE$5-1)*MAX(0,MIN(1,AE$4*1-Inputs!$E$41+1))/1</f>
        <v>20.28</v>
      </c>
      <c r="AF9" s="104" t="n">
        <f aca="false">Inputs!$E$38*(1+Inputs!$E$40)^(AF$5-1)*MAX(0,MIN(1,AF$4*1-Inputs!$E$41+1))/1</f>
        <v>20.28</v>
      </c>
      <c r="AG9" s="104" t="n">
        <f aca="false">Inputs!$E$38*(1+Inputs!$E$40)^(AG$5-1)*MAX(0,MIN(1,AG$4*1-Inputs!$E$41+1))/1</f>
        <v>20.28</v>
      </c>
      <c r="AH9" s="104" t="n">
        <f aca="false">Inputs!$E$38*(1+Inputs!$E$40)^(AH$5-1)*MAX(0,MIN(1,AH$4*1-Inputs!$E$41+1))/1</f>
        <v>20.28</v>
      </c>
      <c r="AI9" s="104" t="n">
        <f aca="false">Inputs!$E$38*(1+Inputs!$E$40)^(AI$5-1)*MAX(0,MIN(1,AI$4*1-Inputs!$E$41+1))/1</f>
        <v>20.28</v>
      </c>
      <c r="AJ9" s="104" t="n">
        <f aca="false">Inputs!$E$38*(1+Inputs!$E$40)^(AJ$5-1)*MAX(0,MIN(1,AJ$4*1-Inputs!$E$41+1))/1</f>
        <v>20.28</v>
      </c>
      <c r="AK9" s="104" t="n">
        <f aca="false">Inputs!$E$38*(1+Inputs!$E$40)^(AK$5-1)*MAX(0,MIN(1,AK$4*1-Inputs!$E$41+1))/1</f>
        <v>20.28</v>
      </c>
      <c r="AL9" s="104" t="n">
        <f aca="false">Inputs!$E$38*(1+Inputs!$E$40)^(AL$5-1)*MAX(0,MIN(1,AL$4*1-Inputs!$E$41+1))/1</f>
        <v>20.28</v>
      </c>
      <c r="AM9" s="104" t="n">
        <f aca="false">Inputs!$E$38*(1+Inputs!$E$40)^(AM$5-1)*MAX(0,MIN(1,AM$4*1-Inputs!$E$41+1))/1</f>
        <v>26.364</v>
      </c>
      <c r="AN9" s="104" t="n">
        <f aca="false">Inputs!$E$38*(1+Inputs!$E$40)^(AN$5-1)*MAX(0,MIN(1,AN$4*1-Inputs!$E$41+1))/1</f>
        <v>26.364</v>
      </c>
      <c r="AO9" s="104" t="n">
        <f aca="false">Inputs!$E$38*(1+Inputs!$E$40)^(AO$5-1)*MAX(0,MIN(1,AO$4*1-Inputs!$E$41+1))/1</f>
        <v>26.364</v>
      </c>
      <c r="AP9" s="104" t="n">
        <f aca="false">Inputs!$E$38*(1+Inputs!$E$40)^(AP$5-1)*MAX(0,MIN(1,AP$4*1-Inputs!$E$41+1))/1</f>
        <v>26.364</v>
      </c>
      <c r="AQ9" s="104" t="n">
        <f aca="false">Inputs!$E$38*(1+Inputs!$E$40)^(AQ$5-1)*MAX(0,MIN(1,AQ$4*1-Inputs!$E$41+1))/1</f>
        <v>26.364</v>
      </c>
      <c r="AR9" s="104" t="n">
        <f aca="false">Inputs!$E$38*(1+Inputs!$E$40)^(AR$5-1)*MAX(0,MIN(1,AR$4*1-Inputs!$E$41+1))/1</f>
        <v>26.364</v>
      </c>
      <c r="AS9" s="104" t="n">
        <f aca="false">Inputs!$E$38*(1+Inputs!$E$40)^(AS$5-1)*MAX(0,MIN(1,AS$4*1-Inputs!$E$41+1))/1</f>
        <v>26.364</v>
      </c>
      <c r="AT9" s="104" t="n">
        <f aca="false">Inputs!$E$38*(1+Inputs!$E$40)^(AT$5-1)*MAX(0,MIN(1,AT$4*1-Inputs!$E$41+1))/1</f>
        <v>26.364</v>
      </c>
      <c r="AU9" s="104" t="n">
        <f aca="false">Inputs!$E$38*(1+Inputs!$E$40)^(AU$5-1)*MAX(0,MIN(1,AU$4*1-Inputs!$E$41+1))/1</f>
        <v>26.364</v>
      </c>
      <c r="AV9" s="104" t="n">
        <f aca="false">Inputs!$E$38*(1+Inputs!$E$40)^(AV$5-1)*MAX(0,MIN(1,AV$4*1-Inputs!$E$41+1))/1</f>
        <v>26.364</v>
      </c>
      <c r="AW9" s="104" t="n">
        <f aca="false">Inputs!$E$38*(1+Inputs!$E$40)^(AW$5-1)*MAX(0,MIN(1,AW$4*1-Inputs!$E$41+1))/1</f>
        <v>26.364</v>
      </c>
      <c r="AX9" s="104" t="n">
        <f aca="false">Inputs!$E$38*(1+Inputs!$E$40)^(AX$5-1)*MAX(0,MIN(1,AX$4*1-Inputs!$E$41+1))/1</f>
        <v>26.364</v>
      </c>
      <c r="AY9" s="104" t="n">
        <f aca="false">Inputs!$E$38*(1+Inputs!$E$40)^(AY$5-1)*MAX(0,MIN(1,AY$4*1-Inputs!$E$41+1))/1</f>
        <v>34.2732</v>
      </c>
      <c r="AZ9" s="104" t="n">
        <f aca="false">Inputs!$E$38*(1+Inputs!$E$40)^(AZ$5-1)*MAX(0,MIN(1,AZ$4*1-Inputs!$E$41+1))/1</f>
        <v>34.2732</v>
      </c>
      <c r="BA9" s="104" t="n">
        <f aca="false">Inputs!$E$38*(1+Inputs!$E$40)^(BA$5-1)*MAX(0,MIN(1,BA$4*1-Inputs!$E$41+1))/1</f>
        <v>34.2732</v>
      </c>
      <c r="BB9" s="104" t="n">
        <f aca="false">Inputs!$E$38*(1+Inputs!$E$40)^(BB$5-1)*MAX(0,MIN(1,BB$4*1-Inputs!$E$41+1))/1</f>
        <v>34.2732</v>
      </c>
      <c r="BC9" s="104" t="n">
        <f aca="false">Inputs!$E$38*(1+Inputs!$E$40)^(BC$5-1)*MAX(0,MIN(1,BC$4*1-Inputs!$E$41+1))/1</f>
        <v>34.2732</v>
      </c>
      <c r="BD9" s="104" t="n">
        <f aca="false">Inputs!$E$38*(1+Inputs!$E$40)^(BD$5-1)*MAX(0,MIN(1,BD$4*1-Inputs!$E$41+1))/1</f>
        <v>34.2732</v>
      </c>
      <c r="BE9" s="104" t="n">
        <f aca="false">Inputs!$E$38*(1+Inputs!$E$40)^(BE$5-1)*MAX(0,MIN(1,BE$4*1-Inputs!$E$41+1))/1</f>
        <v>34.2732</v>
      </c>
      <c r="BF9" s="104" t="n">
        <f aca="false">Inputs!$E$38*(1+Inputs!$E$40)^(BF$5-1)*MAX(0,MIN(1,BF$4*1-Inputs!$E$41+1))/1</f>
        <v>34.2732</v>
      </c>
      <c r="BG9" s="104" t="n">
        <f aca="false">Inputs!$E$38*(1+Inputs!$E$40)^(BG$5-1)*MAX(0,MIN(1,BG$4*1-Inputs!$E$41+1))/1</f>
        <v>34.2732</v>
      </c>
      <c r="BH9" s="104" t="n">
        <f aca="false">Inputs!$E$38*(1+Inputs!$E$40)^(BH$5-1)*MAX(0,MIN(1,BH$4*1-Inputs!$E$41+1))/1</f>
        <v>34.2732</v>
      </c>
      <c r="BI9" s="104" t="n">
        <f aca="false">Inputs!$E$38*(1+Inputs!$E$40)^(BI$5-1)*MAX(0,MIN(1,BI$4*1-Inputs!$E$41+1))/1</f>
        <v>34.2732</v>
      </c>
      <c r="BJ9" s="104" t="n">
        <f aca="false">Inputs!$E$38*(1+Inputs!$E$40)^(BJ$5-1)*MAX(0,MIN(1,BJ$4*1-Inputs!$E$41+1))/1</f>
        <v>34.2732</v>
      </c>
    </row>
    <row r="10" customFormat="false" ht="15" hidden="false" customHeight="false" outlineLevel="0" collapsed="false">
      <c r="A10" s="6" t="s">
        <v>413</v>
      </c>
      <c r="C10" s="104" t="n">
        <f aca="false">Inputs!$E$42*(1+Inputs!$E$44)^(C$5-1)*MAX(0,MIN(1,C$4*1-Inputs!$E$45+1))/1</f>
        <v>2</v>
      </c>
      <c r="D10" s="104" t="n">
        <f aca="false">Inputs!$E$42*(1+Inputs!$E$44)^(D$5-1)*MAX(0,MIN(1,D$4*1-Inputs!$E$45+1))/1</f>
        <v>2</v>
      </c>
      <c r="E10" s="104" t="n">
        <f aca="false">Inputs!$E$42*(1+Inputs!$E$44)^(E$5-1)*MAX(0,MIN(1,E$4*1-Inputs!$E$45+1))/1</f>
        <v>2</v>
      </c>
      <c r="F10" s="104" t="n">
        <f aca="false">Inputs!$E$42*(1+Inputs!$E$44)^(F$5-1)*MAX(0,MIN(1,F$4*1-Inputs!$E$45+1))/1</f>
        <v>2</v>
      </c>
      <c r="G10" s="104" t="n">
        <f aca="false">Inputs!$E$42*(1+Inputs!$E$44)^(G$5-1)*MAX(0,MIN(1,G$4*1-Inputs!$E$45+1))/1</f>
        <v>2</v>
      </c>
      <c r="H10" s="104" t="n">
        <f aca="false">Inputs!$E$42*(1+Inputs!$E$44)^(H$5-1)*MAX(0,MIN(1,H$4*1-Inputs!$E$45+1))/1</f>
        <v>2</v>
      </c>
      <c r="I10" s="104" t="n">
        <f aca="false">Inputs!$E$42*(1+Inputs!$E$44)^(I$5-1)*MAX(0,MIN(1,I$4*1-Inputs!$E$45+1))/1</f>
        <v>2</v>
      </c>
      <c r="J10" s="104" t="n">
        <f aca="false">Inputs!$E$42*(1+Inputs!$E$44)^(J$5-1)*MAX(0,MIN(1,J$4*1-Inputs!$E$45+1))/1</f>
        <v>2</v>
      </c>
      <c r="K10" s="104" t="n">
        <f aca="false">Inputs!$E$42*(1+Inputs!$E$44)^(K$5-1)*MAX(0,MIN(1,K$4*1-Inputs!$E$45+1))/1</f>
        <v>2</v>
      </c>
      <c r="L10" s="104" t="n">
        <f aca="false">Inputs!$E$42*(1+Inputs!$E$44)^(L$5-1)*MAX(0,MIN(1,L$4*1-Inputs!$E$45+1))/1</f>
        <v>2</v>
      </c>
      <c r="M10" s="104" t="n">
        <f aca="false">Inputs!$E$42*(1+Inputs!$E$44)^(M$5-1)*MAX(0,MIN(1,M$4*1-Inputs!$E$45+1))/1</f>
        <v>2</v>
      </c>
      <c r="N10" s="104" t="n">
        <f aca="false">Inputs!$E$42*(1+Inputs!$E$44)^(N$5-1)*MAX(0,MIN(1,N$4*1-Inputs!$E$45+1))/1</f>
        <v>2</v>
      </c>
      <c r="O10" s="104" t="n">
        <f aca="false">Inputs!$E$42*(1+Inputs!$E$44)^(O$5-1)*MAX(0,MIN(1,O$4*1-Inputs!$E$45+1))/1</f>
        <v>2.4</v>
      </c>
      <c r="P10" s="104" t="n">
        <f aca="false">Inputs!$E$42*(1+Inputs!$E$44)^(P$5-1)*MAX(0,MIN(1,P$4*1-Inputs!$E$45+1))/1</f>
        <v>2.4</v>
      </c>
      <c r="Q10" s="104" t="n">
        <f aca="false">Inputs!$E$42*(1+Inputs!$E$44)^(Q$5-1)*MAX(0,MIN(1,Q$4*1-Inputs!$E$45+1))/1</f>
        <v>2.4</v>
      </c>
      <c r="R10" s="104" t="n">
        <f aca="false">Inputs!$E$42*(1+Inputs!$E$44)^(R$5-1)*MAX(0,MIN(1,R$4*1-Inputs!$E$45+1))/1</f>
        <v>2.4</v>
      </c>
      <c r="S10" s="104" t="n">
        <f aca="false">Inputs!$E$42*(1+Inputs!$E$44)^(S$5-1)*MAX(0,MIN(1,S$4*1-Inputs!$E$45+1))/1</f>
        <v>2.4</v>
      </c>
      <c r="T10" s="104" t="n">
        <f aca="false">Inputs!$E$42*(1+Inputs!$E$44)^(T$5-1)*MAX(0,MIN(1,T$4*1-Inputs!$E$45+1))/1</f>
        <v>2.4</v>
      </c>
      <c r="U10" s="104" t="n">
        <f aca="false">Inputs!$E$42*(1+Inputs!$E$44)^(U$5-1)*MAX(0,MIN(1,U$4*1-Inputs!$E$45+1))/1</f>
        <v>2.4</v>
      </c>
      <c r="V10" s="104" t="n">
        <f aca="false">Inputs!$E$42*(1+Inputs!$E$44)^(V$5-1)*MAX(0,MIN(1,V$4*1-Inputs!$E$45+1))/1</f>
        <v>2.4</v>
      </c>
      <c r="W10" s="104" t="n">
        <f aca="false">Inputs!$E$42*(1+Inputs!$E$44)^(W$5-1)*MAX(0,MIN(1,W$4*1-Inputs!$E$45+1))/1</f>
        <v>2.4</v>
      </c>
      <c r="X10" s="104" t="n">
        <f aca="false">Inputs!$E$42*(1+Inputs!$E$44)^(X$5-1)*MAX(0,MIN(1,X$4*1-Inputs!$E$45+1))/1</f>
        <v>2.4</v>
      </c>
      <c r="Y10" s="104" t="n">
        <f aca="false">Inputs!$E$42*(1+Inputs!$E$44)^(Y$5-1)*MAX(0,MIN(1,Y$4*1-Inputs!$E$45+1))/1</f>
        <v>2.4</v>
      </c>
      <c r="Z10" s="104" t="n">
        <f aca="false">Inputs!$E$42*(1+Inputs!$E$44)^(Z$5-1)*MAX(0,MIN(1,Z$4*1-Inputs!$E$45+1))/1</f>
        <v>2.4</v>
      </c>
      <c r="AA10" s="104" t="n">
        <f aca="false">Inputs!$E$42*(1+Inputs!$E$44)^(AA$5-1)*MAX(0,MIN(1,AA$4*1-Inputs!$E$45+1))/1</f>
        <v>2.88</v>
      </c>
      <c r="AB10" s="104" t="n">
        <f aca="false">Inputs!$E$42*(1+Inputs!$E$44)^(AB$5-1)*MAX(0,MIN(1,AB$4*1-Inputs!$E$45+1))/1</f>
        <v>2.88</v>
      </c>
      <c r="AC10" s="104" t="n">
        <f aca="false">Inputs!$E$42*(1+Inputs!$E$44)^(AC$5-1)*MAX(0,MIN(1,AC$4*1-Inputs!$E$45+1))/1</f>
        <v>2.88</v>
      </c>
      <c r="AD10" s="104" t="n">
        <f aca="false">Inputs!$E$42*(1+Inputs!$E$44)^(AD$5-1)*MAX(0,MIN(1,AD$4*1-Inputs!$E$45+1))/1</f>
        <v>2.88</v>
      </c>
      <c r="AE10" s="104" t="n">
        <f aca="false">Inputs!$E$42*(1+Inputs!$E$44)^(AE$5-1)*MAX(0,MIN(1,AE$4*1-Inputs!$E$45+1))/1</f>
        <v>2.88</v>
      </c>
      <c r="AF10" s="104" t="n">
        <f aca="false">Inputs!$E$42*(1+Inputs!$E$44)^(AF$5-1)*MAX(0,MIN(1,AF$4*1-Inputs!$E$45+1))/1</f>
        <v>2.88</v>
      </c>
      <c r="AG10" s="104" t="n">
        <f aca="false">Inputs!$E$42*(1+Inputs!$E$44)^(AG$5-1)*MAX(0,MIN(1,AG$4*1-Inputs!$E$45+1))/1</f>
        <v>2.88</v>
      </c>
      <c r="AH10" s="104" t="n">
        <f aca="false">Inputs!$E$42*(1+Inputs!$E$44)^(AH$5-1)*MAX(0,MIN(1,AH$4*1-Inputs!$E$45+1))/1</f>
        <v>2.88</v>
      </c>
      <c r="AI10" s="104" t="n">
        <f aca="false">Inputs!$E$42*(1+Inputs!$E$44)^(AI$5-1)*MAX(0,MIN(1,AI$4*1-Inputs!$E$45+1))/1</f>
        <v>2.88</v>
      </c>
      <c r="AJ10" s="104" t="n">
        <f aca="false">Inputs!$E$42*(1+Inputs!$E$44)^(AJ$5-1)*MAX(0,MIN(1,AJ$4*1-Inputs!$E$45+1))/1</f>
        <v>2.88</v>
      </c>
      <c r="AK10" s="104" t="n">
        <f aca="false">Inputs!$E$42*(1+Inputs!$E$44)^(AK$5-1)*MAX(0,MIN(1,AK$4*1-Inputs!$E$45+1))/1</f>
        <v>2.88</v>
      </c>
      <c r="AL10" s="104" t="n">
        <f aca="false">Inputs!$E$42*(1+Inputs!$E$44)^(AL$5-1)*MAX(0,MIN(1,AL$4*1-Inputs!$E$45+1))/1</f>
        <v>2.88</v>
      </c>
      <c r="AM10" s="104" t="n">
        <f aca="false">Inputs!$E$42*(1+Inputs!$E$44)^(AM$5-1)*MAX(0,MIN(1,AM$4*1-Inputs!$E$45+1))/1</f>
        <v>3.456</v>
      </c>
      <c r="AN10" s="104" t="n">
        <f aca="false">Inputs!$E$42*(1+Inputs!$E$44)^(AN$5-1)*MAX(0,MIN(1,AN$4*1-Inputs!$E$45+1))/1</f>
        <v>3.456</v>
      </c>
      <c r="AO10" s="104" t="n">
        <f aca="false">Inputs!$E$42*(1+Inputs!$E$44)^(AO$5-1)*MAX(0,MIN(1,AO$4*1-Inputs!$E$45+1))/1</f>
        <v>3.456</v>
      </c>
      <c r="AP10" s="104" t="n">
        <f aca="false">Inputs!$E$42*(1+Inputs!$E$44)^(AP$5-1)*MAX(0,MIN(1,AP$4*1-Inputs!$E$45+1))/1</f>
        <v>3.456</v>
      </c>
      <c r="AQ10" s="104" t="n">
        <f aca="false">Inputs!$E$42*(1+Inputs!$E$44)^(AQ$5-1)*MAX(0,MIN(1,AQ$4*1-Inputs!$E$45+1))/1</f>
        <v>3.456</v>
      </c>
      <c r="AR10" s="104" t="n">
        <f aca="false">Inputs!$E$42*(1+Inputs!$E$44)^(AR$5-1)*MAX(0,MIN(1,AR$4*1-Inputs!$E$45+1))/1</f>
        <v>3.456</v>
      </c>
      <c r="AS10" s="104" t="n">
        <f aca="false">Inputs!$E$42*(1+Inputs!$E$44)^(AS$5-1)*MAX(0,MIN(1,AS$4*1-Inputs!$E$45+1))/1</f>
        <v>3.456</v>
      </c>
      <c r="AT10" s="104" t="n">
        <f aca="false">Inputs!$E$42*(1+Inputs!$E$44)^(AT$5-1)*MAX(0,MIN(1,AT$4*1-Inputs!$E$45+1))/1</f>
        <v>3.456</v>
      </c>
      <c r="AU10" s="104" t="n">
        <f aca="false">Inputs!$E$42*(1+Inputs!$E$44)^(AU$5-1)*MAX(0,MIN(1,AU$4*1-Inputs!$E$45+1))/1</f>
        <v>3.456</v>
      </c>
      <c r="AV10" s="104" t="n">
        <f aca="false">Inputs!$E$42*(1+Inputs!$E$44)^(AV$5-1)*MAX(0,MIN(1,AV$4*1-Inputs!$E$45+1))/1</f>
        <v>3.456</v>
      </c>
      <c r="AW10" s="104" t="n">
        <f aca="false">Inputs!$E$42*(1+Inputs!$E$44)^(AW$5-1)*MAX(0,MIN(1,AW$4*1-Inputs!$E$45+1))/1</f>
        <v>3.456</v>
      </c>
      <c r="AX10" s="104" t="n">
        <f aca="false">Inputs!$E$42*(1+Inputs!$E$44)^(AX$5-1)*MAX(0,MIN(1,AX$4*1-Inputs!$E$45+1))/1</f>
        <v>3.456</v>
      </c>
      <c r="AY10" s="104" t="n">
        <f aca="false">Inputs!$E$42*(1+Inputs!$E$44)^(AY$5-1)*MAX(0,MIN(1,AY$4*1-Inputs!$E$45+1))/1</f>
        <v>4.1472</v>
      </c>
      <c r="AZ10" s="104" t="n">
        <f aca="false">Inputs!$E$42*(1+Inputs!$E$44)^(AZ$5-1)*MAX(0,MIN(1,AZ$4*1-Inputs!$E$45+1))/1</f>
        <v>4.1472</v>
      </c>
      <c r="BA10" s="104" t="n">
        <f aca="false">Inputs!$E$42*(1+Inputs!$E$44)^(BA$5-1)*MAX(0,MIN(1,BA$4*1-Inputs!$E$45+1))/1</f>
        <v>4.1472</v>
      </c>
      <c r="BB10" s="104" t="n">
        <f aca="false">Inputs!$E$42*(1+Inputs!$E$44)^(BB$5-1)*MAX(0,MIN(1,BB$4*1-Inputs!$E$45+1))/1</f>
        <v>4.1472</v>
      </c>
      <c r="BC10" s="104" t="n">
        <f aca="false">Inputs!$E$42*(1+Inputs!$E$44)^(BC$5-1)*MAX(0,MIN(1,BC$4*1-Inputs!$E$45+1))/1</f>
        <v>4.1472</v>
      </c>
      <c r="BD10" s="104" t="n">
        <f aca="false">Inputs!$E$42*(1+Inputs!$E$44)^(BD$5-1)*MAX(0,MIN(1,BD$4*1-Inputs!$E$45+1))/1</f>
        <v>4.1472</v>
      </c>
      <c r="BE10" s="104" t="n">
        <f aca="false">Inputs!$E$42*(1+Inputs!$E$44)^(BE$5-1)*MAX(0,MIN(1,BE$4*1-Inputs!$E$45+1))/1</f>
        <v>4.1472</v>
      </c>
      <c r="BF10" s="104" t="n">
        <f aca="false">Inputs!$E$42*(1+Inputs!$E$44)^(BF$5-1)*MAX(0,MIN(1,BF$4*1-Inputs!$E$45+1))/1</f>
        <v>4.1472</v>
      </c>
      <c r="BG10" s="104" t="n">
        <f aca="false">Inputs!$E$42*(1+Inputs!$E$44)^(BG$5-1)*MAX(0,MIN(1,BG$4*1-Inputs!$E$45+1))/1</f>
        <v>4.1472</v>
      </c>
      <c r="BH10" s="104" t="n">
        <f aca="false">Inputs!$E$42*(1+Inputs!$E$44)^(BH$5-1)*MAX(0,MIN(1,BH$4*1-Inputs!$E$45+1))/1</f>
        <v>4.1472</v>
      </c>
      <c r="BI10" s="104" t="n">
        <f aca="false">Inputs!$E$42*(1+Inputs!$E$44)^(BI$5-1)*MAX(0,MIN(1,BI$4*1-Inputs!$E$45+1))/1</f>
        <v>4.1472</v>
      </c>
      <c r="BJ10" s="104" t="n">
        <f aca="false">Inputs!$E$42*(1+Inputs!$E$44)^(BJ$5-1)*MAX(0,MIN(1,BJ$4*1-Inputs!$E$45+1))/1</f>
        <v>4.1472</v>
      </c>
    </row>
    <row r="11" customFormat="false" ht="15" hidden="false" customHeight="false" outlineLevel="0" collapsed="false">
      <c r="A11" s="6" t="s">
        <v>414</v>
      </c>
      <c r="C11" s="104" t="n">
        <f aca="false">Inputs!$E$46*(1+Inputs!$E$48)^(C$5-1)*MAX(0,MIN(1,C$4*1-Inputs!$E$49+1))/1</f>
        <v>3</v>
      </c>
      <c r="D11" s="104" t="n">
        <f aca="false">Inputs!$E$46*(1+Inputs!$E$48)^(D$5-1)*MAX(0,MIN(1,D$4*1-Inputs!$E$49+1))/1</f>
        <v>3</v>
      </c>
      <c r="E11" s="104" t="n">
        <f aca="false">Inputs!$E$46*(1+Inputs!$E$48)^(E$5-1)*MAX(0,MIN(1,E$4*1-Inputs!$E$49+1))/1</f>
        <v>3</v>
      </c>
      <c r="F11" s="104" t="n">
        <f aca="false">Inputs!$E$46*(1+Inputs!$E$48)^(F$5-1)*MAX(0,MIN(1,F$4*1-Inputs!$E$49+1))/1</f>
        <v>3</v>
      </c>
      <c r="G11" s="104" t="n">
        <f aca="false">Inputs!$E$46*(1+Inputs!$E$48)^(G$5-1)*MAX(0,MIN(1,G$4*1-Inputs!$E$49+1))/1</f>
        <v>3</v>
      </c>
      <c r="H11" s="104" t="n">
        <f aca="false">Inputs!$E$46*(1+Inputs!$E$48)^(H$5-1)*MAX(0,MIN(1,H$4*1-Inputs!$E$49+1))/1</f>
        <v>3</v>
      </c>
      <c r="I11" s="104" t="n">
        <f aca="false">Inputs!$E$46*(1+Inputs!$E$48)^(I$5-1)*MAX(0,MIN(1,I$4*1-Inputs!$E$49+1))/1</f>
        <v>3</v>
      </c>
      <c r="J11" s="104" t="n">
        <f aca="false">Inputs!$E$46*(1+Inputs!$E$48)^(J$5-1)*MAX(0,MIN(1,J$4*1-Inputs!$E$49+1))/1</f>
        <v>3</v>
      </c>
      <c r="K11" s="104" t="n">
        <f aca="false">Inputs!$E$46*(1+Inputs!$E$48)^(K$5-1)*MAX(0,MIN(1,K$4*1-Inputs!$E$49+1))/1</f>
        <v>3</v>
      </c>
      <c r="L11" s="104" t="n">
        <f aca="false">Inputs!$E$46*(1+Inputs!$E$48)^(L$5-1)*MAX(0,MIN(1,L$4*1-Inputs!$E$49+1))/1</f>
        <v>3</v>
      </c>
      <c r="M11" s="104" t="n">
        <f aca="false">Inputs!$E$46*(1+Inputs!$E$48)^(M$5-1)*MAX(0,MIN(1,M$4*1-Inputs!$E$49+1))/1</f>
        <v>3</v>
      </c>
      <c r="N11" s="104" t="n">
        <f aca="false">Inputs!$E$46*(1+Inputs!$E$48)^(N$5-1)*MAX(0,MIN(1,N$4*1-Inputs!$E$49+1))/1</f>
        <v>3</v>
      </c>
      <c r="O11" s="104" t="n">
        <f aca="false">Inputs!$E$46*(1+Inputs!$E$48)^(O$5-1)*MAX(0,MIN(1,O$4*1-Inputs!$E$49+1))/1</f>
        <v>3.45</v>
      </c>
      <c r="P11" s="104" t="n">
        <f aca="false">Inputs!$E$46*(1+Inputs!$E$48)^(P$5-1)*MAX(0,MIN(1,P$4*1-Inputs!$E$49+1))/1</f>
        <v>3.45</v>
      </c>
      <c r="Q11" s="104" t="n">
        <f aca="false">Inputs!$E$46*(1+Inputs!$E$48)^(Q$5-1)*MAX(0,MIN(1,Q$4*1-Inputs!$E$49+1))/1</f>
        <v>3.45</v>
      </c>
      <c r="R11" s="104" t="n">
        <f aca="false">Inputs!$E$46*(1+Inputs!$E$48)^(R$5-1)*MAX(0,MIN(1,R$4*1-Inputs!$E$49+1))/1</f>
        <v>3.45</v>
      </c>
      <c r="S11" s="104" t="n">
        <f aca="false">Inputs!$E$46*(1+Inputs!$E$48)^(S$5-1)*MAX(0,MIN(1,S$4*1-Inputs!$E$49+1))/1</f>
        <v>3.45</v>
      </c>
      <c r="T11" s="104" t="n">
        <f aca="false">Inputs!$E$46*(1+Inputs!$E$48)^(T$5-1)*MAX(0,MIN(1,T$4*1-Inputs!$E$49+1))/1</f>
        <v>3.45</v>
      </c>
      <c r="U11" s="104" t="n">
        <f aca="false">Inputs!$E$46*(1+Inputs!$E$48)^(U$5-1)*MAX(0,MIN(1,U$4*1-Inputs!$E$49+1))/1</f>
        <v>3.45</v>
      </c>
      <c r="V11" s="104" t="n">
        <f aca="false">Inputs!$E$46*(1+Inputs!$E$48)^(V$5-1)*MAX(0,MIN(1,V$4*1-Inputs!$E$49+1))/1</f>
        <v>3.45</v>
      </c>
      <c r="W11" s="104" t="n">
        <f aca="false">Inputs!$E$46*(1+Inputs!$E$48)^(W$5-1)*MAX(0,MIN(1,W$4*1-Inputs!$E$49+1))/1</f>
        <v>3.45</v>
      </c>
      <c r="X11" s="104" t="n">
        <f aca="false">Inputs!$E$46*(1+Inputs!$E$48)^(X$5-1)*MAX(0,MIN(1,X$4*1-Inputs!$E$49+1))/1</f>
        <v>3.45</v>
      </c>
      <c r="Y11" s="104" t="n">
        <f aca="false">Inputs!$E$46*(1+Inputs!$E$48)^(Y$5-1)*MAX(0,MIN(1,Y$4*1-Inputs!$E$49+1))/1</f>
        <v>3.45</v>
      </c>
      <c r="Z11" s="104" t="n">
        <f aca="false">Inputs!$E$46*(1+Inputs!$E$48)^(Z$5-1)*MAX(0,MIN(1,Z$4*1-Inputs!$E$49+1))/1</f>
        <v>3.45</v>
      </c>
      <c r="AA11" s="104" t="n">
        <f aca="false">Inputs!$E$46*(1+Inputs!$E$48)^(AA$5-1)*MAX(0,MIN(1,AA$4*1-Inputs!$E$49+1))/1</f>
        <v>3.9675</v>
      </c>
      <c r="AB11" s="104" t="n">
        <f aca="false">Inputs!$E$46*(1+Inputs!$E$48)^(AB$5-1)*MAX(0,MIN(1,AB$4*1-Inputs!$E$49+1))/1</f>
        <v>3.9675</v>
      </c>
      <c r="AC11" s="104" t="n">
        <f aca="false">Inputs!$E$46*(1+Inputs!$E$48)^(AC$5-1)*MAX(0,MIN(1,AC$4*1-Inputs!$E$49+1))/1</f>
        <v>3.9675</v>
      </c>
      <c r="AD11" s="104" t="n">
        <f aca="false">Inputs!$E$46*(1+Inputs!$E$48)^(AD$5-1)*MAX(0,MIN(1,AD$4*1-Inputs!$E$49+1))/1</f>
        <v>3.9675</v>
      </c>
      <c r="AE11" s="104" t="n">
        <f aca="false">Inputs!$E$46*(1+Inputs!$E$48)^(AE$5-1)*MAX(0,MIN(1,AE$4*1-Inputs!$E$49+1))/1</f>
        <v>3.9675</v>
      </c>
      <c r="AF11" s="104" t="n">
        <f aca="false">Inputs!$E$46*(1+Inputs!$E$48)^(AF$5-1)*MAX(0,MIN(1,AF$4*1-Inputs!$E$49+1))/1</f>
        <v>3.9675</v>
      </c>
      <c r="AG11" s="104" t="n">
        <f aca="false">Inputs!$E$46*(1+Inputs!$E$48)^(AG$5-1)*MAX(0,MIN(1,AG$4*1-Inputs!$E$49+1))/1</f>
        <v>3.9675</v>
      </c>
      <c r="AH11" s="104" t="n">
        <f aca="false">Inputs!$E$46*(1+Inputs!$E$48)^(AH$5-1)*MAX(0,MIN(1,AH$4*1-Inputs!$E$49+1))/1</f>
        <v>3.9675</v>
      </c>
      <c r="AI11" s="104" t="n">
        <f aca="false">Inputs!$E$46*(1+Inputs!$E$48)^(AI$5-1)*MAX(0,MIN(1,AI$4*1-Inputs!$E$49+1))/1</f>
        <v>3.9675</v>
      </c>
      <c r="AJ11" s="104" t="n">
        <f aca="false">Inputs!$E$46*(1+Inputs!$E$48)^(AJ$5-1)*MAX(0,MIN(1,AJ$4*1-Inputs!$E$49+1))/1</f>
        <v>3.9675</v>
      </c>
      <c r="AK11" s="104" t="n">
        <f aca="false">Inputs!$E$46*(1+Inputs!$E$48)^(AK$5-1)*MAX(0,MIN(1,AK$4*1-Inputs!$E$49+1))/1</f>
        <v>3.9675</v>
      </c>
      <c r="AL11" s="104" t="n">
        <f aca="false">Inputs!$E$46*(1+Inputs!$E$48)^(AL$5-1)*MAX(0,MIN(1,AL$4*1-Inputs!$E$49+1))/1</f>
        <v>3.9675</v>
      </c>
      <c r="AM11" s="104" t="n">
        <f aca="false">Inputs!$E$46*(1+Inputs!$E$48)^(AM$5-1)*MAX(0,MIN(1,AM$4*1-Inputs!$E$49+1))/1</f>
        <v>4.562625</v>
      </c>
      <c r="AN11" s="104" t="n">
        <f aca="false">Inputs!$E$46*(1+Inputs!$E$48)^(AN$5-1)*MAX(0,MIN(1,AN$4*1-Inputs!$E$49+1))/1</f>
        <v>4.562625</v>
      </c>
      <c r="AO11" s="104" t="n">
        <f aca="false">Inputs!$E$46*(1+Inputs!$E$48)^(AO$5-1)*MAX(0,MIN(1,AO$4*1-Inputs!$E$49+1))/1</f>
        <v>4.562625</v>
      </c>
      <c r="AP11" s="104" t="n">
        <f aca="false">Inputs!$E$46*(1+Inputs!$E$48)^(AP$5-1)*MAX(0,MIN(1,AP$4*1-Inputs!$E$49+1))/1</f>
        <v>4.562625</v>
      </c>
      <c r="AQ11" s="104" t="n">
        <f aca="false">Inputs!$E$46*(1+Inputs!$E$48)^(AQ$5-1)*MAX(0,MIN(1,AQ$4*1-Inputs!$E$49+1))/1</f>
        <v>4.562625</v>
      </c>
      <c r="AR11" s="104" t="n">
        <f aca="false">Inputs!$E$46*(1+Inputs!$E$48)^(AR$5-1)*MAX(0,MIN(1,AR$4*1-Inputs!$E$49+1))/1</f>
        <v>4.562625</v>
      </c>
      <c r="AS11" s="104" t="n">
        <f aca="false">Inputs!$E$46*(1+Inputs!$E$48)^(AS$5-1)*MAX(0,MIN(1,AS$4*1-Inputs!$E$49+1))/1</f>
        <v>4.562625</v>
      </c>
      <c r="AT11" s="104" t="n">
        <f aca="false">Inputs!$E$46*(1+Inputs!$E$48)^(AT$5-1)*MAX(0,MIN(1,AT$4*1-Inputs!$E$49+1))/1</f>
        <v>4.562625</v>
      </c>
      <c r="AU11" s="104" t="n">
        <f aca="false">Inputs!$E$46*(1+Inputs!$E$48)^(AU$5-1)*MAX(0,MIN(1,AU$4*1-Inputs!$E$49+1))/1</f>
        <v>4.562625</v>
      </c>
      <c r="AV11" s="104" t="n">
        <f aca="false">Inputs!$E$46*(1+Inputs!$E$48)^(AV$5-1)*MAX(0,MIN(1,AV$4*1-Inputs!$E$49+1))/1</f>
        <v>4.562625</v>
      </c>
      <c r="AW11" s="104" t="n">
        <f aca="false">Inputs!$E$46*(1+Inputs!$E$48)^(AW$5-1)*MAX(0,MIN(1,AW$4*1-Inputs!$E$49+1))/1</f>
        <v>4.562625</v>
      </c>
      <c r="AX11" s="104" t="n">
        <f aca="false">Inputs!$E$46*(1+Inputs!$E$48)^(AX$5-1)*MAX(0,MIN(1,AX$4*1-Inputs!$E$49+1))/1</f>
        <v>4.562625</v>
      </c>
      <c r="AY11" s="104" t="n">
        <f aca="false">Inputs!$E$46*(1+Inputs!$E$48)^(AY$5-1)*MAX(0,MIN(1,AY$4*1-Inputs!$E$49+1))/1</f>
        <v>5.24701875</v>
      </c>
      <c r="AZ11" s="104" t="n">
        <f aca="false">Inputs!$E$46*(1+Inputs!$E$48)^(AZ$5-1)*MAX(0,MIN(1,AZ$4*1-Inputs!$E$49+1))/1</f>
        <v>5.24701875</v>
      </c>
      <c r="BA11" s="104" t="n">
        <f aca="false">Inputs!$E$46*(1+Inputs!$E$48)^(BA$5-1)*MAX(0,MIN(1,BA$4*1-Inputs!$E$49+1))/1</f>
        <v>5.24701875</v>
      </c>
      <c r="BB11" s="104" t="n">
        <f aca="false">Inputs!$E$46*(1+Inputs!$E$48)^(BB$5-1)*MAX(0,MIN(1,BB$4*1-Inputs!$E$49+1))/1</f>
        <v>5.24701875</v>
      </c>
      <c r="BC11" s="104" t="n">
        <f aca="false">Inputs!$E$46*(1+Inputs!$E$48)^(BC$5-1)*MAX(0,MIN(1,BC$4*1-Inputs!$E$49+1))/1</f>
        <v>5.24701875</v>
      </c>
      <c r="BD11" s="104" t="n">
        <f aca="false">Inputs!$E$46*(1+Inputs!$E$48)^(BD$5-1)*MAX(0,MIN(1,BD$4*1-Inputs!$E$49+1))/1</f>
        <v>5.24701875</v>
      </c>
      <c r="BE11" s="104" t="n">
        <f aca="false">Inputs!$E$46*(1+Inputs!$E$48)^(BE$5-1)*MAX(0,MIN(1,BE$4*1-Inputs!$E$49+1))/1</f>
        <v>5.24701875</v>
      </c>
      <c r="BF11" s="104" t="n">
        <f aca="false">Inputs!$E$46*(1+Inputs!$E$48)^(BF$5-1)*MAX(0,MIN(1,BF$4*1-Inputs!$E$49+1))/1</f>
        <v>5.24701875</v>
      </c>
      <c r="BG11" s="104" t="n">
        <f aca="false">Inputs!$E$46*(1+Inputs!$E$48)^(BG$5-1)*MAX(0,MIN(1,BG$4*1-Inputs!$E$49+1))/1</f>
        <v>5.24701875</v>
      </c>
      <c r="BH11" s="104" t="n">
        <f aca="false">Inputs!$E$46*(1+Inputs!$E$48)^(BH$5-1)*MAX(0,MIN(1,BH$4*1-Inputs!$E$49+1))/1</f>
        <v>5.24701875</v>
      </c>
      <c r="BI11" s="104" t="n">
        <f aca="false">Inputs!$E$46*(1+Inputs!$E$48)^(BI$5-1)*MAX(0,MIN(1,BI$4*1-Inputs!$E$49+1))/1</f>
        <v>5.24701875</v>
      </c>
      <c r="BJ11" s="104" t="n">
        <f aca="false">Inputs!$E$46*(1+Inputs!$E$48)^(BJ$5-1)*MAX(0,MIN(1,BJ$4*1-Inputs!$E$49+1))/1</f>
        <v>5.24701875</v>
      </c>
    </row>
    <row r="12" customFormat="false" ht="15" hidden="false" customHeight="false" outlineLevel="0" collapsed="false">
      <c r="A12" s="101" t="s">
        <v>415</v>
      </c>
      <c r="C12" s="109" t="n">
        <f aca="false">C8+C9+C10+C11</f>
        <v>21</v>
      </c>
      <c r="D12" s="109" t="n">
        <f aca="false">D8+D9+D10+D11</f>
        <v>21</v>
      </c>
      <c r="E12" s="109" t="n">
        <f aca="false">E8+E9+E10+E11</f>
        <v>21</v>
      </c>
      <c r="F12" s="109" t="n">
        <f aca="false">F8+F9+F10+F11</f>
        <v>21</v>
      </c>
      <c r="G12" s="109" t="n">
        <f aca="false">G8+G9+G10+G11</f>
        <v>21</v>
      </c>
      <c r="H12" s="109" t="n">
        <f aca="false">H8+H9+H10+H11</f>
        <v>21</v>
      </c>
      <c r="I12" s="109" t="n">
        <f aca="false">I8+I9+I10+I11</f>
        <v>21</v>
      </c>
      <c r="J12" s="109" t="n">
        <f aca="false">J8+J9+J10+J11</f>
        <v>21</v>
      </c>
      <c r="K12" s="109" t="n">
        <f aca="false">K8+K9+K10+K11</f>
        <v>21</v>
      </c>
      <c r="L12" s="109" t="n">
        <f aca="false">L8+L9+L10+L11</f>
        <v>21</v>
      </c>
      <c r="M12" s="109" t="n">
        <f aca="false">M8+M9+M10+M11</f>
        <v>21</v>
      </c>
      <c r="N12" s="109" t="n">
        <f aca="false">N8+N9+N10+N11</f>
        <v>21</v>
      </c>
      <c r="O12" s="109" t="n">
        <f aca="false">O8+O9+O10+O11</f>
        <v>26.25</v>
      </c>
      <c r="P12" s="109" t="n">
        <f aca="false">P8+P9+P10+P11</f>
        <v>26.25</v>
      </c>
      <c r="Q12" s="109" t="n">
        <f aca="false">Q8+Q9+Q10+Q11</f>
        <v>26.25</v>
      </c>
      <c r="R12" s="109" t="n">
        <f aca="false">R8+R9+R10+R11</f>
        <v>26.25</v>
      </c>
      <c r="S12" s="109" t="n">
        <f aca="false">S8+S9+S10+S11</f>
        <v>26.25</v>
      </c>
      <c r="T12" s="109" t="n">
        <f aca="false">T8+T9+T10+T11</f>
        <v>26.25</v>
      </c>
      <c r="U12" s="109" t="n">
        <f aca="false">U8+U9+U10+U11</f>
        <v>26.25</v>
      </c>
      <c r="V12" s="109" t="n">
        <f aca="false">V8+V9+V10+V11</f>
        <v>26.25</v>
      </c>
      <c r="W12" s="109" t="n">
        <f aca="false">W8+W9+W10+W11</f>
        <v>26.25</v>
      </c>
      <c r="X12" s="109" t="n">
        <f aca="false">X8+X9+X10+X11</f>
        <v>26.25</v>
      </c>
      <c r="Y12" s="109" t="n">
        <f aca="false">Y8+Y9+Y10+Y11</f>
        <v>26.25</v>
      </c>
      <c r="Z12" s="109" t="n">
        <f aca="false">Z8+Z9+Z10+Z11</f>
        <v>26.25</v>
      </c>
      <c r="AA12" s="109" t="n">
        <f aca="false">AA8+AA9+AA10+AA11</f>
        <v>32.8875</v>
      </c>
      <c r="AB12" s="109" t="n">
        <f aca="false">AB8+AB9+AB10+AB11</f>
        <v>32.8875</v>
      </c>
      <c r="AC12" s="109" t="n">
        <f aca="false">AC8+AC9+AC10+AC11</f>
        <v>32.8875</v>
      </c>
      <c r="AD12" s="109" t="n">
        <f aca="false">AD8+AD9+AD10+AD11</f>
        <v>32.8875</v>
      </c>
      <c r="AE12" s="109" t="n">
        <f aca="false">AE8+AE9+AE10+AE11</f>
        <v>32.8875</v>
      </c>
      <c r="AF12" s="109" t="n">
        <f aca="false">AF8+AF9+AF10+AF11</f>
        <v>32.8875</v>
      </c>
      <c r="AG12" s="109" t="n">
        <f aca="false">AG8+AG9+AG10+AG11</f>
        <v>32.8875</v>
      </c>
      <c r="AH12" s="109" t="n">
        <f aca="false">AH8+AH9+AH10+AH11</f>
        <v>32.8875</v>
      </c>
      <c r="AI12" s="109" t="n">
        <f aca="false">AI8+AI9+AI10+AI11</f>
        <v>32.8875</v>
      </c>
      <c r="AJ12" s="109" t="n">
        <f aca="false">AJ8+AJ9+AJ10+AJ11</f>
        <v>32.8875</v>
      </c>
      <c r="AK12" s="109" t="n">
        <f aca="false">AK8+AK9+AK10+AK11</f>
        <v>32.8875</v>
      </c>
      <c r="AL12" s="109" t="n">
        <f aca="false">AL8+AL9+AL10+AL11</f>
        <v>32.8875</v>
      </c>
      <c r="AM12" s="109" t="n">
        <f aca="false">AM8+AM9+AM10+AM11</f>
        <v>41.294625</v>
      </c>
      <c r="AN12" s="109" t="n">
        <f aca="false">AN8+AN9+AN10+AN11</f>
        <v>41.294625</v>
      </c>
      <c r="AO12" s="109" t="n">
        <f aca="false">AO8+AO9+AO10+AO11</f>
        <v>41.294625</v>
      </c>
      <c r="AP12" s="109" t="n">
        <f aca="false">AP8+AP9+AP10+AP11</f>
        <v>41.294625</v>
      </c>
      <c r="AQ12" s="109" t="n">
        <f aca="false">AQ8+AQ9+AQ10+AQ11</f>
        <v>41.294625</v>
      </c>
      <c r="AR12" s="109" t="n">
        <f aca="false">AR8+AR9+AR10+AR11</f>
        <v>41.294625</v>
      </c>
      <c r="AS12" s="109" t="n">
        <f aca="false">AS8+AS9+AS10+AS11</f>
        <v>41.294625</v>
      </c>
      <c r="AT12" s="109" t="n">
        <f aca="false">AT8+AT9+AT10+AT11</f>
        <v>41.294625</v>
      </c>
      <c r="AU12" s="109" t="n">
        <f aca="false">AU8+AU9+AU10+AU11</f>
        <v>41.294625</v>
      </c>
      <c r="AV12" s="109" t="n">
        <f aca="false">AV8+AV9+AV10+AV11</f>
        <v>41.294625</v>
      </c>
      <c r="AW12" s="109" t="n">
        <f aca="false">AW8+AW9+AW10+AW11</f>
        <v>41.294625</v>
      </c>
      <c r="AX12" s="109" t="n">
        <f aca="false">AX8+AX9+AX10+AX11</f>
        <v>41.294625</v>
      </c>
      <c r="AY12" s="109" t="n">
        <f aca="false">AY8+AY9+AY10+AY11</f>
        <v>51.96181875</v>
      </c>
      <c r="AZ12" s="109" t="n">
        <f aca="false">AZ8+AZ9+AZ10+AZ11</f>
        <v>51.96181875</v>
      </c>
      <c r="BA12" s="109" t="n">
        <f aca="false">BA8+BA9+BA10+BA11</f>
        <v>51.96181875</v>
      </c>
      <c r="BB12" s="109" t="n">
        <f aca="false">BB8+BB9+BB10+BB11</f>
        <v>51.96181875</v>
      </c>
      <c r="BC12" s="109" t="n">
        <f aca="false">BC8+BC9+BC10+BC11</f>
        <v>51.96181875</v>
      </c>
      <c r="BD12" s="109" t="n">
        <f aca="false">BD8+BD9+BD10+BD11</f>
        <v>51.96181875</v>
      </c>
      <c r="BE12" s="109" t="n">
        <f aca="false">BE8+BE9+BE10+BE11</f>
        <v>51.96181875</v>
      </c>
      <c r="BF12" s="109" t="n">
        <f aca="false">BF8+BF9+BF10+BF11</f>
        <v>51.96181875</v>
      </c>
      <c r="BG12" s="109" t="n">
        <f aca="false">BG8+BG9+BG10+BG11</f>
        <v>51.96181875</v>
      </c>
      <c r="BH12" s="109" t="n">
        <f aca="false">BH8+BH9+BH10+BH11</f>
        <v>51.96181875</v>
      </c>
      <c r="BI12" s="109" t="n">
        <f aca="false">BI8+BI9+BI10+BI11</f>
        <v>51.96181875</v>
      </c>
      <c r="BJ12" s="109" t="n">
        <f aca="false">BJ8+BJ9+BJ10+BJ11</f>
        <v>51.96181875</v>
      </c>
    </row>
    <row r="14" customFormat="false" ht="15.75" hidden="false" customHeight="true" outlineLevel="0" collapsed="false">
      <c r="A14" s="7" t="s">
        <v>416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417</v>
      </c>
      <c r="C15" s="53" t="n">
        <f aca="false">-C8*Inputs!$E$35/12*1*(1+Inputs!$E$50)*(1+Inputs!$E$51)^(C$5-1)</f>
        <v>-64000</v>
      </c>
      <c r="D15" s="53" t="n">
        <f aca="false">-D8*Inputs!$E$35/12*1*(1+Inputs!$E$50)*(1+Inputs!$E$51)^(D$5-1)</f>
        <v>-64000</v>
      </c>
      <c r="E15" s="53" t="n">
        <f aca="false">-E8*Inputs!$E$35/12*1*(1+Inputs!$E$50)*(1+Inputs!$E$51)^(E$5-1)</f>
        <v>-64000</v>
      </c>
      <c r="F15" s="53" t="n">
        <f aca="false">-F8*Inputs!$E$35/12*1*(1+Inputs!$E$50)*(1+Inputs!$E$51)^(F$5-1)</f>
        <v>-64000</v>
      </c>
      <c r="G15" s="53" t="n">
        <f aca="false">-G8*Inputs!$E$35/12*1*(1+Inputs!$E$50)*(1+Inputs!$E$51)^(G$5-1)</f>
        <v>-64000</v>
      </c>
      <c r="H15" s="53" t="n">
        <f aca="false">-H8*Inputs!$E$35/12*1*(1+Inputs!$E$50)*(1+Inputs!$E$51)^(H$5-1)</f>
        <v>-64000</v>
      </c>
      <c r="I15" s="53" t="n">
        <f aca="false">-I8*Inputs!$E$35/12*1*(1+Inputs!$E$50)*(1+Inputs!$E$51)^(I$5-1)</f>
        <v>-64000</v>
      </c>
      <c r="J15" s="53" t="n">
        <f aca="false">-J8*Inputs!$E$35/12*1*(1+Inputs!$E$50)*(1+Inputs!$E$51)^(J$5-1)</f>
        <v>-64000</v>
      </c>
      <c r="K15" s="53" t="n">
        <f aca="false">-K8*Inputs!$E$35/12*1*(1+Inputs!$E$50)*(1+Inputs!$E$51)^(K$5-1)</f>
        <v>-64000</v>
      </c>
      <c r="L15" s="53" t="n">
        <f aca="false">-L8*Inputs!$E$35/12*1*(1+Inputs!$E$50)*(1+Inputs!$E$51)^(L$5-1)</f>
        <v>-64000</v>
      </c>
      <c r="M15" s="53" t="n">
        <f aca="false">-M8*Inputs!$E$35/12*1*(1+Inputs!$E$50)*(1+Inputs!$E$51)^(M$5-1)</f>
        <v>-64000</v>
      </c>
      <c r="N15" s="53" t="n">
        <f aca="false">-N8*Inputs!$E$35/12*1*(1+Inputs!$E$50)*(1+Inputs!$E$51)^(N$5-1)</f>
        <v>-64000</v>
      </c>
      <c r="O15" s="53" t="n">
        <f aca="false">-O8*Inputs!$E$35/12*1*(1+Inputs!$E$50)*(1+Inputs!$E$51)^(O$5-1)</f>
        <v>-79104</v>
      </c>
      <c r="P15" s="53" t="n">
        <f aca="false">-P8*Inputs!$E$35/12*1*(1+Inputs!$E$50)*(1+Inputs!$E$51)^(P$5-1)</f>
        <v>-79104</v>
      </c>
      <c r="Q15" s="53" t="n">
        <f aca="false">-Q8*Inputs!$E$35/12*1*(1+Inputs!$E$50)*(1+Inputs!$E$51)^(Q$5-1)</f>
        <v>-79104</v>
      </c>
      <c r="R15" s="53" t="n">
        <f aca="false">-R8*Inputs!$E$35/12*1*(1+Inputs!$E$50)*(1+Inputs!$E$51)^(R$5-1)</f>
        <v>-79104</v>
      </c>
      <c r="S15" s="53" t="n">
        <f aca="false">-S8*Inputs!$E$35/12*1*(1+Inputs!$E$50)*(1+Inputs!$E$51)^(S$5-1)</f>
        <v>-79104</v>
      </c>
      <c r="T15" s="53" t="n">
        <f aca="false">-T8*Inputs!$E$35/12*1*(1+Inputs!$E$50)*(1+Inputs!$E$51)^(T$5-1)</f>
        <v>-79104</v>
      </c>
      <c r="U15" s="53" t="n">
        <f aca="false">-U8*Inputs!$E$35/12*1*(1+Inputs!$E$50)*(1+Inputs!$E$51)^(U$5-1)</f>
        <v>-79104</v>
      </c>
      <c r="V15" s="53" t="n">
        <f aca="false">-V8*Inputs!$E$35/12*1*(1+Inputs!$E$50)*(1+Inputs!$E$51)^(V$5-1)</f>
        <v>-79104</v>
      </c>
      <c r="W15" s="53" t="n">
        <f aca="false">-W8*Inputs!$E$35/12*1*(1+Inputs!$E$50)*(1+Inputs!$E$51)^(W$5-1)</f>
        <v>-79104</v>
      </c>
      <c r="X15" s="53" t="n">
        <f aca="false">-X8*Inputs!$E$35/12*1*(1+Inputs!$E$50)*(1+Inputs!$E$51)^(X$5-1)</f>
        <v>-79104</v>
      </c>
      <c r="Y15" s="53" t="n">
        <f aca="false">-Y8*Inputs!$E$35/12*1*(1+Inputs!$E$50)*(1+Inputs!$E$51)^(Y$5-1)</f>
        <v>-79104</v>
      </c>
      <c r="Z15" s="53" t="n">
        <f aca="false">-Z8*Inputs!$E$35/12*1*(1+Inputs!$E$50)*(1+Inputs!$E$51)^(Z$5-1)</f>
        <v>-79104</v>
      </c>
      <c r="AA15" s="53" t="n">
        <f aca="false">-AA8*Inputs!$E$35/12*1*(1+Inputs!$E$50)*(1+Inputs!$E$51)^(AA$5-1)</f>
        <v>-97772.544</v>
      </c>
      <c r="AB15" s="53" t="n">
        <f aca="false">-AB8*Inputs!$E$35/12*1*(1+Inputs!$E$50)*(1+Inputs!$E$51)^(AB$5-1)</f>
        <v>-97772.544</v>
      </c>
      <c r="AC15" s="53" t="n">
        <f aca="false">-AC8*Inputs!$E$35/12*1*(1+Inputs!$E$50)*(1+Inputs!$E$51)^(AC$5-1)</f>
        <v>-97772.544</v>
      </c>
      <c r="AD15" s="53" t="n">
        <f aca="false">-AD8*Inputs!$E$35/12*1*(1+Inputs!$E$50)*(1+Inputs!$E$51)^(AD$5-1)</f>
        <v>-97772.544</v>
      </c>
      <c r="AE15" s="53" t="n">
        <f aca="false">-AE8*Inputs!$E$35/12*1*(1+Inputs!$E$50)*(1+Inputs!$E$51)^(AE$5-1)</f>
        <v>-97772.544</v>
      </c>
      <c r="AF15" s="53" t="n">
        <f aca="false">-AF8*Inputs!$E$35/12*1*(1+Inputs!$E$50)*(1+Inputs!$E$51)^(AF$5-1)</f>
        <v>-97772.544</v>
      </c>
      <c r="AG15" s="53" t="n">
        <f aca="false">-AG8*Inputs!$E$35/12*1*(1+Inputs!$E$50)*(1+Inputs!$E$51)^(AG$5-1)</f>
        <v>-97772.544</v>
      </c>
      <c r="AH15" s="53" t="n">
        <f aca="false">-AH8*Inputs!$E$35/12*1*(1+Inputs!$E$50)*(1+Inputs!$E$51)^(AH$5-1)</f>
        <v>-97772.544</v>
      </c>
      <c r="AI15" s="53" t="n">
        <f aca="false">-AI8*Inputs!$E$35/12*1*(1+Inputs!$E$50)*(1+Inputs!$E$51)^(AI$5-1)</f>
        <v>-97772.544</v>
      </c>
      <c r="AJ15" s="53" t="n">
        <f aca="false">-AJ8*Inputs!$E$35/12*1*(1+Inputs!$E$50)*(1+Inputs!$E$51)^(AJ$5-1)</f>
        <v>-97772.544</v>
      </c>
      <c r="AK15" s="53" t="n">
        <f aca="false">-AK8*Inputs!$E$35/12*1*(1+Inputs!$E$50)*(1+Inputs!$E$51)^(AK$5-1)</f>
        <v>-97772.544</v>
      </c>
      <c r="AL15" s="53" t="n">
        <f aca="false">-AL8*Inputs!$E$35/12*1*(1+Inputs!$E$50)*(1+Inputs!$E$51)^(AL$5-1)</f>
        <v>-97772.544</v>
      </c>
      <c r="AM15" s="53" t="n">
        <f aca="false">-AM8*Inputs!$E$35/12*1*(1+Inputs!$E$50)*(1+Inputs!$E$51)^(AM$5-1)</f>
        <v>-120846.864384</v>
      </c>
      <c r="AN15" s="53" t="n">
        <f aca="false">-AN8*Inputs!$E$35/12*1*(1+Inputs!$E$50)*(1+Inputs!$E$51)^(AN$5-1)</f>
        <v>-120846.864384</v>
      </c>
      <c r="AO15" s="53" t="n">
        <f aca="false">-AO8*Inputs!$E$35/12*1*(1+Inputs!$E$50)*(1+Inputs!$E$51)^(AO$5-1)</f>
        <v>-120846.864384</v>
      </c>
      <c r="AP15" s="53" t="n">
        <f aca="false">-AP8*Inputs!$E$35/12*1*(1+Inputs!$E$50)*(1+Inputs!$E$51)^(AP$5-1)</f>
        <v>-120846.864384</v>
      </c>
      <c r="AQ15" s="53" t="n">
        <f aca="false">-AQ8*Inputs!$E$35/12*1*(1+Inputs!$E$50)*(1+Inputs!$E$51)^(AQ$5-1)</f>
        <v>-120846.864384</v>
      </c>
      <c r="AR15" s="53" t="n">
        <f aca="false">-AR8*Inputs!$E$35/12*1*(1+Inputs!$E$50)*(1+Inputs!$E$51)^(AR$5-1)</f>
        <v>-120846.864384</v>
      </c>
      <c r="AS15" s="53" t="n">
        <f aca="false">-AS8*Inputs!$E$35/12*1*(1+Inputs!$E$50)*(1+Inputs!$E$51)^(AS$5-1)</f>
        <v>-120846.864384</v>
      </c>
      <c r="AT15" s="53" t="n">
        <f aca="false">-AT8*Inputs!$E$35/12*1*(1+Inputs!$E$50)*(1+Inputs!$E$51)^(AT$5-1)</f>
        <v>-120846.864384</v>
      </c>
      <c r="AU15" s="53" t="n">
        <f aca="false">-AU8*Inputs!$E$35/12*1*(1+Inputs!$E$50)*(1+Inputs!$E$51)^(AU$5-1)</f>
        <v>-120846.864384</v>
      </c>
      <c r="AV15" s="53" t="n">
        <f aca="false">-AV8*Inputs!$E$35/12*1*(1+Inputs!$E$50)*(1+Inputs!$E$51)^(AV$5-1)</f>
        <v>-120846.864384</v>
      </c>
      <c r="AW15" s="53" t="n">
        <f aca="false">-AW8*Inputs!$E$35/12*1*(1+Inputs!$E$50)*(1+Inputs!$E$51)^(AW$5-1)</f>
        <v>-120846.864384</v>
      </c>
      <c r="AX15" s="53" t="n">
        <f aca="false">-AX8*Inputs!$E$35/12*1*(1+Inputs!$E$50)*(1+Inputs!$E$51)^(AX$5-1)</f>
        <v>-120846.864384</v>
      </c>
      <c r="AY15" s="53" t="n">
        <f aca="false">-AY8*Inputs!$E$35/12*1*(1+Inputs!$E$50)*(1+Inputs!$E$51)^(AY$5-1)</f>
        <v>-149366.724378624</v>
      </c>
      <c r="AZ15" s="53" t="n">
        <f aca="false">-AZ8*Inputs!$E$35/12*1*(1+Inputs!$E$50)*(1+Inputs!$E$51)^(AZ$5-1)</f>
        <v>-149366.724378624</v>
      </c>
      <c r="BA15" s="53" t="n">
        <f aca="false">-BA8*Inputs!$E$35/12*1*(1+Inputs!$E$50)*(1+Inputs!$E$51)^(BA$5-1)</f>
        <v>-149366.724378624</v>
      </c>
      <c r="BB15" s="53" t="n">
        <f aca="false">-BB8*Inputs!$E$35/12*1*(1+Inputs!$E$50)*(1+Inputs!$E$51)^(BB$5-1)</f>
        <v>-149366.724378624</v>
      </c>
      <c r="BC15" s="53" t="n">
        <f aca="false">-BC8*Inputs!$E$35/12*1*(1+Inputs!$E$50)*(1+Inputs!$E$51)^(BC$5-1)</f>
        <v>-149366.724378624</v>
      </c>
      <c r="BD15" s="53" t="n">
        <f aca="false">-BD8*Inputs!$E$35/12*1*(1+Inputs!$E$50)*(1+Inputs!$E$51)^(BD$5-1)</f>
        <v>-149366.724378624</v>
      </c>
      <c r="BE15" s="53" t="n">
        <f aca="false">-BE8*Inputs!$E$35/12*1*(1+Inputs!$E$50)*(1+Inputs!$E$51)^(BE$5-1)</f>
        <v>-149366.724378624</v>
      </c>
      <c r="BF15" s="53" t="n">
        <f aca="false">-BF8*Inputs!$E$35/12*1*(1+Inputs!$E$50)*(1+Inputs!$E$51)^(BF$5-1)</f>
        <v>-149366.724378624</v>
      </c>
      <c r="BG15" s="53" t="n">
        <f aca="false">-BG8*Inputs!$E$35/12*1*(1+Inputs!$E$50)*(1+Inputs!$E$51)^(BG$5-1)</f>
        <v>-149366.724378624</v>
      </c>
      <c r="BH15" s="53" t="n">
        <f aca="false">-BH8*Inputs!$E$35/12*1*(1+Inputs!$E$50)*(1+Inputs!$E$51)^(BH$5-1)</f>
        <v>-149366.724378624</v>
      </c>
      <c r="BI15" s="53" t="n">
        <f aca="false">-BI8*Inputs!$E$35/12*1*(1+Inputs!$E$50)*(1+Inputs!$E$51)^(BI$5-1)</f>
        <v>-149366.724378624</v>
      </c>
      <c r="BJ15" s="53" t="n">
        <f aca="false">-BJ8*Inputs!$E$35/12*1*(1+Inputs!$E$50)*(1+Inputs!$E$51)^(BJ$5-1)</f>
        <v>-149366.724378624</v>
      </c>
    </row>
    <row r="16" customFormat="false" ht="15" hidden="false" customHeight="false" outlineLevel="0" collapsed="false">
      <c r="A16" s="6" t="s">
        <v>418</v>
      </c>
      <c r="C16" s="53" t="n">
        <f aca="false">-C9*Inputs!$E$39/12*1*(1+Inputs!$E$50)*(1+Inputs!$E$51)^(C$5-1)</f>
        <v>-114000</v>
      </c>
      <c r="D16" s="53" t="n">
        <f aca="false">-D9*Inputs!$E$39/12*1*(1+Inputs!$E$50)*(1+Inputs!$E$51)^(D$5-1)</f>
        <v>-114000</v>
      </c>
      <c r="E16" s="53" t="n">
        <f aca="false">-E9*Inputs!$E$39/12*1*(1+Inputs!$E$50)*(1+Inputs!$E$51)^(E$5-1)</f>
        <v>-114000</v>
      </c>
      <c r="F16" s="53" t="n">
        <f aca="false">-F9*Inputs!$E$39/12*1*(1+Inputs!$E$50)*(1+Inputs!$E$51)^(F$5-1)</f>
        <v>-114000</v>
      </c>
      <c r="G16" s="53" t="n">
        <f aca="false">-G9*Inputs!$E$39/12*1*(1+Inputs!$E$50)*(1+Inputs!$E$51)^(G$5-1)</f>
        <v>-114000</v>
      </c>
      <c r="H16" s="53" t="n">
        <f aca="false">-H9*Inputs!$E$39/12*1*(1+Inputs!$E$50)*(1+Inputs!$E$51)^(H$5-1)</f>
        <v>-114000</v>
      </c>
      <c r="I16" s="53" t="n">
        <f aca="false">-I9*Inputs!$E$39/12*1*(1+Inputs!$E$50)*(1+Inputs!$E$51)^(I$5-1)</f>
        <v>-114000</v>
      </c>
      <c r="J16" s="53" t="n">
        <f aca="false">-J9*Inputs!$E$39/12*1*(1+Inputs!$E$50)*(1+Inputs!$E$51)^(J$5-1)</f>
        <v>-114000</v>
      </c>
      <c r="K16" s="53" t="n">
        <f aca="false">-K9*Inputs!$E$39/12*1*(1+Inputs!$E$50)*(1+Inputs!$E$51)^(K$5-1)</f>
        <v>-114000</v>
      </c>
      <c r="L16" s="53" t="n">
        <f aca="false">-L9*Inputs!$E$39/12*1*(1+Inputs!$E$50)*(1+Inputs!$E$51)^(L$5-1)</f>
        <v>-114000</v>
      </c>
      <c r="M16" s="53" t="n">
        <f aca="false">-M9*Inputs!$E$39/12*1*(1+Inputs!$E$50)*(1+Inputs!$E$51)^(M$5-1)</f>
        <v>-114000</v>
      </c>
      <c r="N16" s="53" t="n">
        <f aca="false">-N9*Inputs!$E$39/12*1*(1+Inputs!$E$50)*(1+Inputs!$E$51)^(N$5-1)</f>
        <v>-114000</v>
      </c>
      <c r="O16" s="53" t="n">
        <f aca="false">-O9*Inputs!$E$39/12*1*(1+Inputs!$E$50)*(1+Inputs!$E$51)^(O$5-1)</f>
        <v>-152646</v>
      </c>
      <c r="P16" s="53" t="n">
        <f aca="false">-P9*Inputs!$E$39/12*1*(1+Inputs!$E$50)*(1+Inputs!$E$51)^(P$5-1)</f>
        <v>-152646</v>
      </c>
      <c r="Q16" s="53" t="n">
        <f aca="false">-Q9*Inputs!$E$39/12*1*(1+Inputs!$E$50)*(1+Inputs!$E$51)^(Q$5-1)</f>
        <v>-152646</v>
      </c>
      <c r="R16" s="53" t="n">
        <f aca="false">-R9*Inputs!$E$39/12*1*(1+Inputs!$E$50)*(1+Inputs!$E$51)^(R$5-1)</f>
        <v>-152646</v>
      </c>
      <c r="S16" s="53" t="n">
        <f aca="false">-S9*Inputs!$E$39/12*1*(1+Inputs!$E$50)*(1+Inputs!$E$51)^(S$5-1)</f>
        <v>-152646</v>
      </c>
      <c r="T16" s="53" t="n">
        <f aca="false">-T9*Inputs!$E$39/12*1*(1+Inputs!$E$50)*(1+Inputs!$E$51)^(T$5-1)</f>
        <v>-152646</v>
      </c>
      <c r="U16" s="53" t="n">
        <f aca="false">-U9*Inputs!$E$39/12*1*(1+Inputs!$E$50)*(1+Inputs!$E$51)^(U$5-1)</f>
        <v>-152646</v>
      </c>
      <c r="V16" s="53" t="n">
        <f aca="false">-V9*Inputs!$E$39/12*1*(1+Inputs!$E$50)*(1+Inputs!$E$51)^(V$5-1)</f>
        <v>-152646</v>
      </c>
      <c r="W16" s="53" t="n">
        <f aca="false">-W9*Inputs!$E$39/12*1*(1+Inputs!$E$50)*(1+Inputs!$E$51)^(W$5-1)</f>
        <v>-152646</v>
      </c>
      <c r="X16" s="53" t="n">
        <f aca="false">-X9*Inputs!$E$39/12*1*(1+Inputs!$E$50)*(1+Inputs!$E$51)^(X$5-1)</f>
        <v>-152646</v>
      </c>
      <c r="Y16" s="53" t="n">
        <f aca="false">-Y9*Inputs!$E$39/12*1*(1+Inputs!$E$50)*(1+Inputs!$E$51)^(Y$5-1)</f>
        <v>-152646</v>
      </c>
      <c r="Z16" s="53" t="n">
        <f aca="false">-Z9*Inputs!$E$39/12*1*(1+Inputs!$E$50)*(1+Inputs!$E$51)^(Z$5-1)</f>
        <v>-152646</v>
      </c>
      <c r="AA16" s="53" t="n">
        <f aca="false">-AA9*Inputs!$E$39/12*1*(1+Inputs!$E$50)*(1+Inputs!$E$51)^(AA$5-1)</f>
        <v>-204392.994</v>
      </c>
      <c r="AB16" s="53" t="n">
        <f aca="false">-AB9*Inputs!$E$39/12*1*(1+Inputs!$E$50)*(1+Inputs!$E$51)^(AB$5-1)</f>
        <v>-204392.994</v>
      </c>
      <c r="AC16" s="53" t="n">
        <f aca="false">-AC9*Inputs!$E$39/12*1*(1+Inputs!$E$50)*(1+Inputs!$E$51)^(AC$5-1)</f>
        <v>-204392.994</v>
      </c>
      <c r="AD16" s="53" t="n">
        <f aca="false">-AD9*Inputs!$E$39/12*1*(1+Inputs!$E$50)*(1+Inputs!$E$51)^(AD$5-1)</f>
        <v>-204392.994</v>
      </c>
      <c r="AE16" s="53" t="n">
        <f aca="false">-AE9*Inputs!$E$39/12*1*(1+Inputs!$E$50)*(1+Inputs!$E$51)^(AE$5-1)</f>
        <v>-204392.994</v>
      </c>
      <c r="AF16" s="53" t="n">
        <f aca="false">-AF9*Inputs!$E$39/12*1*(1+Inputs!$E$50)*(1+Inputs!$E$51)^(AF$5-1)</f>
        <v>-204392.994</v>
      </c>
      <c r="AG16" s="53" t="n">
        <f aca="false">-AG9*Inputs!$E$39/12*1*(1+Inputs!$E$50)*(1+Inputs!$E$51)^(AG$5-1)</f>
        <v>-204392.994</v>
      </c>
      <c r="AH16" s="53" t="n">
        <f aca="false">-AH9*Inputs!$E$39/12*1*(1+Inputs!$E$50)*(1+Inputs!$E$51)^(AH$5-1)</f>
        <v>-204392.994</v>
      </c>
      <c r="AI16" s="53" t="n">
        <f aca="false">-AI9*Inputs!$E$39/12*1*(1+Inputs!$E$50)*(1+Inputs!$E$51)^(AI$5-1)</f>
        <v>-204392.994</v>
      </c>
      <c r="AJ16" s="53" t="n">
        <f aca="false">-AJ9*Inputs!$E$39/12*1*(1+Inputs!$E$50)*(1+Inputs!$E$51)^(AJ$5-1)</f>
        <v>-204392.994</v>
      </c>
      <c r="AK16" s="53" t="n">
        <f aca="false">-AK9*Inputs!$E$39/12*1*(1+Inputs!$E$50)*(1+Inputs!$E$51)^(AK$5-1)</f>
        <v>-204392.994</v>
      </c>
      <c r="AL16" s="53" t="n">
        <f aca="false">-AL9*Inputs!$E$39/12*1*(1+Inputs!$E$50)*(1+Inputs!$E$51)^(AL$5-1)</f>
        <v>-204392.994</v>
      </c>
      <c r="AM16" s="53" t="n">
        <f aca="false">-AM9*Inputs!$E$39/12*1*(1+Inputs!$E$50)*(1+Inputs!$E$51)^(AM$5-1)</f>
        <v>-273682.218966</v>
      </c>
      <c r="AN16" s="53" t="n">
        <f aca="false">-AN9*Inputs!$E$39/12*1*(1+Inputs!$E$50)*(1+Inputs!$E$51)^(AN$5-1)</f>
        <v>-273682.218966</v>
      </c>
      <c r="AO16" s="53" t="n">
        <f aca="false">-AO9*Inputs!$E$39/12*1*(1+Inputs!$E$50)*(1+Inputs!$E$51)^(AO$5-1)</f>
        <v>-273682.218966</v>
      </c>
      <c r="AP16" s="53" t="n">
        <f aca="false">-AP9*Inputs!$E$39/12*1*(1+Inputs!$E$50)*(1+Inputs!$E$51)^(AP$5-1)</f>
        <v>-273682.218966</v>
      </c>
      <c r="AQ16" s="53" t="n">
        <f aca="false">-AQ9*Inputs!$E$39/12*1*(1+Inputs!$E$50)*(1+Inputs!$E$51)^(AQ$5-1)</f>
        <v>-273682.218966</v>
      </c>
      <c r="AR16" s="53" t="n">
        <f aca="false">-AR9*Inputs!$E$39/12*1*(1+Inputs!$E$50)*(1+Inputs!$E$51)^(AR$5-1)</f>
        <v>-273682.218966</v>
      </c>
      <c r="AS16" s="53" t="n">
        <f aca="false">-AS9*Inputs!$E$39/12*1*(1+Inputs!$E$50)*(1+Inputs!$E$51)^(AS$5-1)</f>
        <v>-273682.218966</v>
      </c>
      <c r="AT16" s="53" t="n">
        <f aca="false">-AT9*Inputs!$E$39/12*1*(1+Inputs!$E$50)*(1+Inputs!$E$51)^(AT$5-1)</f>
        <v>-273682.218966</v>
      </c>
      <c r="AU16" s="53" t="n">
        <f aca="false">-AU9*Inputs!$E$39/12*1*(1+Inputs!$E$50)*(1+Inputs!$E$51)^(AU$5-1)</f>
        <v>-273682.218966</v>
      </c>
      <c r="AV16" s="53" t="n">
        <f aca="false">-AV9*Inputs!$E$39/12*1*(1+Inputs!$E$50)*(1+Inputs!$E$51)^(AV$5-1)</f>
        <v>-273682.218966</v>
      </c>
      <c r="AW16" s="53" t="n">
        <f aca="false">-AW9*Inputs!$E$39/12*1*(1+Inputs!$E$50)*(1+Inputs!$E$51)^(AW$5-1)</f>
        <v>-273682.218966</v>
      </c>
      <c r="AX16" s="53" t="n">
        <f aca="false">-AX9*Inputs!$E$39/12*1*(1+Inputs!$E$50)*(1+Inputs!$E$51)^(AX$5-1)</f>
        <v>-273682.218966</v>
      </c>
      <c r="AY16" s="53" t="n">
        <f aca="false">-AY9*Inputs!$E$39/12*1*(1+Inputs!$E$50)*(1+Inputs!$E$51)^(AY$5-1)</f>
        <v>-366460.491195474</v>
      </c>
      <c r="AZ16" s="53" t="n">
        <f aca="false">-AZ9*Inputs!$E$39/12*1*(1+Inputs!$E$50)*(1+Inputs!$E$51)^(AZ$5-1)</f>
        <v>-366460.491195474</v>
      </c>
      <c r="BA16" s="53" t="n">
        <f aca="false">-BA9*Inputs!$E$39/12*1*(1+Inputs!$E$50)*(1+Inputs!$E$51)^(BA$5-1)</f>
        <v>-366460.491195474</v>
      </c>
      <c r="BB16" s="53" t="n">
        <f aca="false">-BB9*Inputs!$E$39/12*1*(1+Inputs!$E$50)*(1+Inputs!$E$51)^(BB$5-1)</f>
        <v>-366460.491195474</v>
      </c>
      <c r="BC16" s="53" t="n">
        <f aca="false">-BC9*Inputs!$E$39/12*1*(1+Inputs!$E$50)*(1+Inputs!$E$51)^(BC$5-1)</f>
        <v>-366460.491195474</v>
      </c>
      <c r="BD16" s="53" t="n">
        <f aca="false">-BD9*Inputs!$E$39/12*1*(1+Inputs!$E$50)*(1+Inputs!$E$51)^(BD$5-1)</f>
        <v>-366460.491195474</v>
      </c>
      <c r="BE16" s="53" t="n">
        <f aca="false">-BE9*Inputs!$E$39/12*1*(1+Inputs!$E$50)*(1+Inputs!$E$51)^(BE$5-1)</f>
        <v>-366460.491195474</v>
      </c>
      <c r="BF16" s="53" t="n">
        <f aca="false">-BF9*Inputs!$E$39/12*1*(1+Inputs!$E$50)*(1+Inputs!$E$51)^(BF$5-1)</f>
        <v>-366460.491195474</v>
      </c>
      <c r="BG16" s="53" t="n">
        <f aca="false">-BG9*Inputs!$E$39/12*1*(1+Inputs!$E$50)*(1+Inputs!$E$51)^(BG$5-1)</f>
        <v>-366460.491195474</v>
      </c>
      <c r="BH16" s="53" t="n">
        <f aca="false">-BH9*Inputs!$E$39/12*1*(1+Inputs!$E$50)*(1+Inputs!$E$51)^(BH$5-1)</f>
        <v>-366460.491195474</v>
      </c>
      <c r="BI16" s="53" t="n">
        <f aca="false">-BI9*Inputs!$E$39/12*1*(1+Inputs!$E$50)*(1+Inputs!$E$51)^(BI$5-1)</f>
        <v>-366460.491195474</v>
      </c>
      <c r="BJ16" s="53" t="n">
        <f aca="false">-BJ9*Inputs!$E$39/12*1*(1+Inputs!$E$50)*(1+Inputs!$E$51)^(BJ$5-1)</f>
        <v>-366460.491195474</v>
      </c>
    </row>
    <row r="17" customFormat="false" ht="15" hidden="false" customHeight="false" outlineLevel="0" collapsed="false">
      <c r="A17" s="6" t="s">
        <v>419</v>
      </c>
      <c r="C17" s="53" t="n">
        <f aca="false">-C10*Inputs!$E$43/12*1*(1+Inputs!$E$50)*(1+Inputs!$E$51)^(C$5-1)</f>
        <v>-17000</v>
      </c>
      <c r="D17" s="53" t="n">
        <f aca="false">-D10*Inputs!$E$43/12*1*(1+Inputs!$E$50)*(1+Inputs!$E$51)^(D$5-1)</f>
        <v>-17000</v>
      </c>
      <c r="E17" s="53" t="n">
        <f aca="false">-E10*Inputs!$E$43/12*1*(1+Inputs!$E$50)*(1+Inputs!$E$51)^(E$5-1)</f>
        <v>-17000</v>
      </c>
      <c r="F17" s="53" t="n">
        <f aca="false">-F10*Inputs!$E$43/12*1*(1+Inputs!$E$50)*(1+Inputs!$E$51)^(F$5-1)</f>
        <v>-17000</v>
      </c>
      <c r="G17" s="53" t="n">
        <f aca="false">-G10*Inputs!$E$43/12*1*(1+Inputs!$E$50)*(1+Inputs!$E$51)^(G$5-1)</f>
        <v>-17000</v>
      </c>
      <c r="H17" s="53" t="n">
        <f aca="false">-H10*Inputs!$E$43/12*1*(1+Inputs!$E$50)*(1+Inputs!$E$51)^(H$5-1)</f>
        <v>-17000</v>
      </c>
      <c r="I17" s="53" t="n">
        <f aca="false">-I10*Inputs!$E$43/12*1*(1+Inputs!$E$50)*(1+Inputs!$E$51)^(I$5-1)</f>
        <v>-17000</v>
      </c>
      <c r="J17" s="53" t="n">
        <f aca="false">-J10*Inputs!$E$43/12*1*(1+Inputs!$E$50)*(1+Inputs!$E$51)^(J$5-1)</f>
        <v>-17000</v>
      </c>
      <c r="K17" s="53" t="n">
        <f aca="false">-K10*Inputs!$E$43/12*1*(1+Inputs!$E$50)*(1+Inputs!$E$51)^(K$5-1)</f>
        <v>-17000</v>
      </c>
      <c r="L17" s="53" t="n">
        <f aca="false">-L10*Inputs!$E$43/12*1*(1+Inputs!$E$50)*(1+Inputs!$E$51)^(L$5-1)</f>
        <v>-17000</v>
      </c>
      <c r="M17" s="53" t="n">
        <f aca="false">-M10*Inputs!$E$43/12*1*(1+Inputs!$E$50)*(1+Inputs!$E$51)^(M$5-1)</f>
        <v>-17000</v>
      </c>
      <c r="N17" s="53" t="n">
        <f aca="false">-N10*Inputs!$E$43/12*1*(1+Inputs!$E$50)*(1+Inputs!$E$51)^(N$5-1)</f>
        <v>-17000</v>
      </c>
      <c r="O17" s="53" t="n">
        <f aca="false">-O10*Inputs!$E$43/12*1*(1+Inputs!$E$50)*(1+Inputs!$E$51)^(O$5-1)</f>
        <v>-21012</v>
      </c>
      <c r="P17" s="53" t="n">
        <f aca="false">-P10*Inputs!$E$43/12*1*(1+Inputs!$E$50)*(1+Inputs!$E$51)^(P$5-1)</f>
        <v>-21012</v>
      </c>
      <c r="Q17" s="53" t="n">
        <f aca="false">-Q10*Inputs!$E$43/12*1*(1+Inputs!$E$50)*(1+Inputs!$E$51)^(Q$5-1)</f>
        <v>-21012</v>
      </c>
      <c r="R17" s="53" t="n">
        <f aca="false">-R10*Inputs!$E$43/12*1*(1+Inputs!$E$50)*(1+Inputs!$E$51)^(R$5-1)</f>
        <v>-21012</v>
      </c>
      <c r="S17" s="53" t="n">
        <f aca="false">-S10*Inputs!$E$43/12*1*(1+Inputs!$E$50)*(1+Inputs!$E$51)^(S$5-1)</f>
        <v>-21012</v>
      </c>
      <c r="T17" s="53" t="n">
        <f aca="false">-T10*Inputs!$E$43/12*1*(1+Inputs!$E$50)*(1+Inputs!$E$51)^(T$5-1)</f>
        <v>-21012</v>
      </c>
      <c r="U17" s="53" t="n">
        <f aca="false">-U10*Inputs!$E$43/12*1*(1+Inputs!$E$50)*(1+Inputs!$E$51)^(U$5-1)</f>
        <v>-21012</v>
      </c>
      <c r="V17" s="53" t="n">
        <f aca="false">-V10*Inputs!$E$43/12*1*(1+Inputs!$E$50)*(1+Inputs!$E$51)^(V$5-1)</f>
        <v>-21012</v>
      </c>
      <c r="W17" s="53" t="n">
        <f aca="false">-W10*Inputs!$E$43/12*1*(1+Inputs!$E$50)*(1+Inputs!$E$51)^(W$5-1)</f>
        <v>-21012</v>
      </c>
      <c r="X17" s="53" t="n">
        <f aca="false">-X10*Inputs!$E$43/12*1*(1+Inputs!$E$50)*(1+Inputs!$E$51)^(X$5-1)</f>
        <v>-21012</v>
      </c>
      <c r="Y17" s="53" t="n">
        <f aca="false">-Y10*Inputs!$E$43/12*1*(1+Inputs!$E$50)*(1+Inputs!$E$51)^(Y$5-1)</f>
        <v>-21012</v>
      </c>
      <c r="Z17" s="53" t="n">
        <f aca="false">-Z10*Inputs!$E$43/12*1*(1+Inputs!$E$50)*(1+Inputs!$E$51)^(Z$5-1)</f>
        <v>-21012</v>
      </c>
      <c r="AA17" s="53" t="n">
        <f aca="false">-AA10*Inputs!$E$43/12*1*(1+Inputs!$E$50)*(1+Inputs!$E$51)^(AA$5-1)</f>
        <v>-25970.832</v>
      </c>
      <c r="AB17" s="53" t="n">
        <f aca="false">-AB10*Inputs!$E$43/12*1*(1+Inputs!$E$50)*(1+Inputs!$E$51)^(AB$5-1)</f>
        <v>-25970.832</v>
      </c>
      <c r="AC17" s="53" t="n">
        <f aca="false">-AC10*Inputs!$E$43/12*1*(1+Inputs!$E$50)*(1+Inputs!$E$51)^(AC$5-1)</f>
        <v>-25970.832</v>
      </c>
      <c r="AD17" s="53" t="n">
        <f aca="false">-AD10*Inputs!$E$43/12*1*(1+Inputs!$E$50)*(1+Inputs!$E$51)^(AD$5-1)</f>
        <v>-25970.832</v>
      </c>
      <c r="AE17" s="53" t="n">
        <f aca="false">-AE10*Inputs!$E$43/12*1*(1+Inputs!$E$50)*(1+Inputs!$E$51)^(AE$5-1)</f>
        <v>-25970.832</v>
      </c>
      <c r="AF17" s="53" t="n">
        <f aca="false">-AF10*Inputs!$E$43/12*1*(1+Inputs!$E$50)*(1+Inputs!$E$51)^(AF$5-1)</f>
        <v>-25970.832</v>
      </c>
      <c r="AG17" s="53" t="n">
        <f aca="false">-AG10*Inputs!$E$43/12*1*(1+Inputs!$E$50)*(1+Inputs!$E$51)^(AG$5-1)</f>
        <v>-25970.832</v>
      </c>
      <c r="AH17" s="53" t="n">
        <f aca="false">-AH10*Inputs!$E$43/12*1*(1+Inputs!$E$50)*(1+Inputs!$E$51)^(AH$5-1)</f>
        <v>-25970.832</v>
      </c>
      <c r="AI17" s="53" t="n">
        <f aca="false">-AI10*Inputs!$E$43/12*1*(1+Inputs!$E$50)*(1+Inputs!$E$51)^(AI$5-1)</f>
        <v>-25970.832</v>
      </c>
      <c r="AJ17" s="53" t="n">
        <f aca="false">-AJ10*Inputs!$E$43/12*1*(1+Inputs!$E$50)*(1+Inputs!$E$51)^(AJ$5-1)</f>
        <v>-25970.832</v>
      </c>
      <c r="AK17" s="53" t="n">
        <f aca="false">-AK10*Inputs!$E$43/12*1*(1+Inputs!$E$50)*(1+Inputs!$E$51)^(AK$5-1)</f>
        <v>-25970.832</v>
      </c>
      <c r="AL17" s="53" t="n">
        <f aca="false">-AL10*Inputs!$E$43/12*1*(1+Inputs!$E$50)*(1+Inputs!$E$51)^(AL$5-1)</f>
        <v>-25970.832</v>
      </c>
      <c r="AM17" s="53" t="n">
        <f aca="false">-AM10*Inputs!$E$43/12*1*(1+Inputs!$E$50)*(1+Inputs!$E$51)^(AM$5-1)</f>
        <v>-32099.948352</v>
      </c>
      <c r="AN17" s="53" t="n">
        <f aca="false">-AN10*Inputs!$E$43/12*1*(1+Inputs!$E$50)*(1+Inputs!$E$51)^(AN$5-1)</f>
        <v>-32099.948352</v>
      </c>
      <c r="AO17" s="53" t="n">
        <f aca="false">-AO10*Inputs!$E$43/12*1*(1+Inputs!$E$50)*(1+Inputs!$E$51)^(AO$5-1)</f>
        <v>-32099.948352</v>
      </c>
      <c r="AP17" s="53" t="n">
        <f aca="false">-AP10*Inputs!$E$43/12*1*(1+Inputs!$E$50)*(1+Inputs!$E$51)^(AP$5-1)</f>
        <v>-32099.948352</v>
      </c>
      <c r="AQ17" s="53" t="n">
        <f aca="false">-AQ10*Inputs!$E$43/12*1*(1+Inputs!$E$50)*(1+Inputs!$E$51)^(AQ$5-1)</f>
        <v>-32099.948352</v>
      </c>
      <c r="AR17" s="53" t="n">
        <f aca="false">-AR10*Inputs!$E$43/12*1*(1+Inputs!$E$50)*(1+Inputs!$E$51)^(AR$5-1)</f>
        <v>-32099.948352</v>
      </c>
      <c r="AS17" s="53" t="n">
        <f aca="false">-AS10*Inputs!$E$43/12*1*(1+Inputs!$E$50)*(1+Inputs!$E$51)^(AS$5-1)</f>
        <v>-32099.948352</v>
      </c>
      <c r="AT17" s="53" t="n">
        <f aca="false">-AT10*Inputs!$E$43/12*1*(1+Inputs!$E$50)*(1+Inputs!$E$51)^(AT$5-1)</f>
        <v>-32099.948352</v>
      </c>
      <c r="AU17" s="53" t="n">
        <f aca="false">-AU10*Inputs!$E$43/12*1*(1+Inputs!$E$50)*(1+Inputs!$E$51)^(AU$5-1)</f>
        <v>-32099.948352</v>
      </c>
      <c r="AV17" s="53" t="n">
        <f aca="false">-AV10*Inputs!$E$43/12*1*(1+Inputs!$E$50)*(1+Inputs!$E$51)^(AV$5-1)</f>
        <v>-32099.948352</v>
      </c>
      <c r="AW17" s="53" t="n">
        <f aca="false">-AW10*Inputs!$E$43/12*1*(1+Inputs!$E$50)*(1+Inputs!$E$51)^(AW$5-1)</f>
        <v>-32099.948352</v>
      </c>
      <c r="AX17" s="53" t="n">
        <f aca="false">-AX10*Inputs!$E$43/12*1*(1+Inputs!$E$50)*(1+Inputs!$E$51)^(AX$5-1)</f>
        <v>-32099.948352</v>
      </c>
      <c r="AY17" s="53" t="n">
        <f aca="false">-AY10*Inputs!$E$43/12*1*(1+Inputs!$E$50)*(1+Inputs!$E$51)^(AY$5-1)</f>
        <v>-39675.536163072</v>
      </c>
      <c r="AZ17" s="53" t="n">
        <f aca="false">-AZ10*Inputs!$E$43/12*1*(1+Inputs!$E$50)*(1+Inputs!$E$51)^(AZ$5-1)</f>
        <v>-39675.536163072</v>
      </c>
      <c r="BA17" s="53" t="n">
        <f aca="false">-BA10*Inputs!$E$43/12*1*(1+Inputs!$E$50)*(1+Inputs!$E$51)^(BA$5-1)</f>
        <v>-39675.536163072</v>
      </c>
      <c r="BB17" s="53" t="n">
        <f aca="false">-BB10*Inputs!$E$43/12*1*(1+Inputs!$E$50)*(1+Inputs!$E$51)^(BB$5-1)</f>
        <v>-39675.536163072</v>
      </c>
      <c r="BC17" s="53" t="n">
        <f aca="false">-BC10*Inputs!$E$43/12*1*(1+Inputs!$E$50)*(1+Inputs!$E$51)^(BC$5-1)</f>
        <v>-39675.536163072</v>
      </c>
      <c r="BD17" s="53" t="n">
        <f aca="false">-BD10*Inputs!$E$43/12*1*(1+Inputs!$E$50)*(1+Inputs!$E$51)^(BD$5-1)</f>
        <v>-39675.536163072</v>
      </c>
      <c r="BE17" s="53" t="n">
        <f aca="false">-BE10*Inputs!$E$43/12*1*(1+Inputs!$E$50)*(1+Inputs!$E$51)^(BE$5-1)</f>
        <v>-39675.536163072</v>
      </c>
      <c r="BF17" s="53" t="n">
        <f aca="false">-BF10*Inputs!$E$43/12*1*(1+Inputs!$E$50)*(1+Inputs!$E$51)^(BF$5-1)</f>
        <v>-39675.536163072</v>
      </c>
      <c r="BG17" s="53" t="n">
        <f aca="false">-BG10*Inputs!$E$43/12*1*(1+Inputs!$E$50)*(1+Inputs!$E$51)^(BG$5-1)</f>
        <v>-39675.536163072</v>
      </c>
      <c r="BH17" s="53" t="n">
        <f aca="false">-BH10*Inputs!$E$43/12*1*(1+Inputs!$E$50)*(1+Inputs!$E$51)^(BH$5-1)</f>
        <v>-39675.536163072</v>
      </c>
      <c r="BI17" s="53" t="n">
        <f aca="false">-BI10*Inputs!$E$43/12*1*(1+Inputs!$E$50)*(1+Inputs!$E$51)^(BI$5-1)</f>
        <v>-39675.536163072</v>
      </c>
      <c r="BJ17" s="53" t="n">
        <f aca="false">-BJ10*Inputs!$E$43/12*1*(1+Inputs!$E$50)*(1+Inputs!$E$51)^(BJ$5-1)</f>
        <v>-39675.536163072</v>
      </c>
    </row>
    <row r="18" customFormat="false" ht="15" hidden="false" customHeight="false" outlineLevel="0" collapsed="false">
      <c r="A18" s="6" t="s">
        <v>420</v>
      </c>
      <c r="C18" s="53" t="n">
        <f aca="false">-C11*Inputs!$E$47/12*1*(1+Inputs!$E$50)*(1+Inputs!$E$51)^(C$5-1)</f>
        <v>-19500</v>
      </c>
      <c r="D18" s="53" t="n">
        <f aca="false">-D11*Inputs!$E$47/12*1*(1+Inputs!$E$50)*(1+Inputs!$E$51)^(D$5-1)</f>
        <v>-19500</v>
      </c>
      <c r="E18" s="53" t="n">
        <f aca="false">-E11*Inputs!$E$47/12*1*(1+Inputs!$E$50)*(1+Inputs!$E$51)^(E$5-1)</f>
        <v>-19500</v>
      </c>
      <c r="F18" s="53" t="n">
        <f aca="false">-F11*Inputs!$E$47/12*1*(1+Inputs!$E$50)*(1+Inputs!$E$51)^(F$5-1)</f>
        <v>-19500</v>
      </c>
      <c r="G18" s="53" t="n">
        <f aca="false">-G11*Inputs!$E$47/12*1*(1+Inputs!$E$50)*(1+Inputs!$E$51)^(G$5-1)</f>
        <v>-19500</v>
      </c>
      <c r="H18" s="53" t="n">
        <f aca="false">-H11*Inputs!$E$47/12*1*(1+Inputs!$E$50)*(1+Inputs!$E$51)^(H$5-1)</f>
        <v>-19500</v>
      </c>
      <c r="I18" s="53" t="n">
        <f aca="false">-I11*Inputs!$E$47/12*1*(1+Inputs!$E$50)*(1+Inputs!$E$51)^(I$5-1)</f>
        <v>-19500</v>
      </c>
      <c r="J18" s="53" t="n">
        <f aca="false">-J11*Inputs!$E$47/12*1*(1+Inputs!$E$50)*(1+Inputs!$E$51)^(J$5-1)</f>
        <v>-19500</v>
      </c>
      <c r="K18" s="53" t="n">
        <f aca="false">-K11*Inputs!$E$47/12*1*(1+Inputs!$E$50)*(1+Inputs!$E$51)^(K$5-1)</f>
        <v>-19500</v>
      </c>
      <c r="L18" s="53" t="n">
        <f aca="false">-L11*Inputs!$E$47/12*1*(1+Inputs!$E$50)*(1+Inputs!$E$51)^(L$5-1)</f>
        <v>-19500</v>
      </c>
      <c r="M18" s="53" t="n">
        <f aca="false">-M11*Inputs!$E$47/12*1*(1+Inputs!$E$50)*(1+Inputs!$E$51)^(M$5-1)</f>
        <v>-19500</v>
      </c>
      <c r="N18" s="53" t="n">
        <f aca="false">-N11*Inputs!$E$47/12*1*(1+Inputs!$E$50)*(1+Inputs!$E$51)^(N$5-1)</f>
        <v>-19500</v>
      </c>
      <c r="O18" s="53" t="n">
        <f aca="false">-O11*Inputs!$E$47/12*1*(1+Inputs!$E$50)*(1+Inputs!$E$51)^(O$5-1)</f>
        <v>-23097.75</v>
      </c>
      <c r="P18" s="53" t="n">
        <f aca="false">-P11*Inputs!$E$47/12*1*(1+Inputs!$E$50)*(1+Inputs!$E$51)^(P$5-1)</f>
        <v>-23097.75</v>
      </c>
      <c r="Q18" s="53" t="n">
        <f aca="false">-Q11*Inputs!$E$47/12*1*(1+Inputs!$E$50)*(1+Inputs!$E$51)^(Q$5-1)</f>
        <v>-23097.75</v>
      </c>
      <c r="R18" s="53" t="n">
        <f aca="false">-R11*Inputs!$E$47/12*1*(1+Inputs!$E$50)*(1+Inputs!$E$51)^(R$5-1)</f>
        <v>-23097.75</v>
      </c>
      <c r="S18" s="53" t="n">
        <f aca="false">-S11*Inputs!$E$47/12*1*(1+Inputs!$E$50)*(1+Inputs!$E$51)^(S$5-1)</f>
        <v>-23097.75</v>
      </c>
      <c r="T18" s="53" t="n">
        <f aca="false">-T11*Inputs!$E$47/12*1*(1+Inputs!$E$50)*(1+Inputs!$E$51)^(T$5-1)</f>
        <v>-23097.75</v>
      </c>
      <c r="U18" s="53" t="n">
        <f aca="false">-U11*Inputs!$E$47/12*1*(1+Inputs!$E$50)*(1+Inputs!$E$51)^(U$5-1)</f>
        <v>-23097.75</v>
      </c>
      <c r="V18" s="53" t="n">
        <f aca="false">-V11*Inputs!$E$47/12*1*(1+Inputs!$E$50)*(1+Inputs!$E$51)^(V$5-1)</f>
        <v>-23097.75</v>
      </c>
      <c r="W18" s="53" t="n">
        <f aca="false">-W11*Inputs!$E$47/12*1*(1+Inputs!$E$50)*(1+Inputs!$E$51)^(W$5-1)</f>
        <v>-23097.75</v>
      </c>
      <c r="X18" s="53" t="n">
        <f aca="false">-X11*Inputs!$E$47/12*1*(1+Inputs!$E$50)*(1+Inputs!$E$51)^(X$5-1)</f>
        <v>-23097.75</v>
      </c>
      <c r="Y18" s="53" t="n">
        <f aca="false">-Y11*Inputs!$E$47/12*1*(1+Inputs!$E$50)*(1+Inputs!$E$51)^(Y$5-1)</f>
        <v>-23097.75</v>
      </c>
      <c r="Z18" s="53" t="n">
        <f aca="false">-Z11*Inputs!$E$47/12*1*(1+Inputs!$E$50)*(1+Inputs!$E$51)^(Z$5-1)</f>
        <v>-23097.75</v>
      </c>
      <c r="AA18" s="53" t="n">
        <f aca="false">-AA11*Inputs!$E$47/12*1*(1+Inputs!$E$50)*(1+Inputs!$E$51)^(AA$5-1)</f>
        <v>-27359.284875</v>
      </c>
      <c r="AB18" s="53" t="n">
        <f aca="false">-AB11*Inputs!$E$47/12*1*(1+Inputs!$E$50)*(1+Inputs!$E$51)^(AB$5-1)</f>
        <v>-27359.284875</v>
      </c>
      <c r="AC18" s="53" t="n">
        <f aca="false">-AC11*Inputs!$E$47/12*1*(1+Inputs!$E$50)*(1+Inputs!$E$51)^(AC$5-1)</f>
        <v>-27359.284875</v>
      </c>
      <c r="AD18" s="53" t="n">
        <f aca="false">-AD11*Inputs!$E$47/12*1*(1+Inputs!$E$50)*(1+Inputs!$E$51)^(AD$5-1)</f>
        <v>-27359.284875</v>
      </c>
      <c r="AE18" s="53" t="n">
        <f aca="false">-AE11*Inputs!$E$47/12*1*(1+Inputs!$E$50)*(1+Inputs!$E$51)^(AE$5-1)</f>
        <v>-27359.284875</v>
      </c>
      <c r="AF18" s="53" t="n">
        <f aca="false">-AF11*Inputs!$E$47/12*1*(1+Inputs!$E$50)*(1+Inputs!$E$51)^(AF$5-1)</f>
        <v>-27359.284875</v>
      </c>
      <c r="AG18" s="53" t="n">
        <f aca="false">-AG11*Inputs!$E$47/12*1*(1+Inputs!$E$50)*(1+Inputs!$E$51)^(AG$5-1)</f>
        <v>-27359.284875</v>
      </c>
      <c r="AH18" s="53" t="n">
        <f aca="false">-AH11*Inputs!$E$47/12*1*(1+Inputs!$E$50)*(1+Inputs!$E$51)^(AH$5-1)</f>
        <v>-27359.284875</v>
      </c>
      <c r="AI18" s="53" t="n">
        <f aca="false">-AI11*Inputs!$E$47/12*1*(1+Inputs!$E$50)*(1+Inputs!$E$51)^(AI$5-1)</f>
        <v>-27359.284875</v>
      </c>
      <c r="AJ18" s="53" t="n">
        <f aca="false">-AJ11*Inputs!$E$47/12*1*(1+Inputs!$E$50)*(1+Inputs!$E$51)^(AJ$5-1)</f>
        <v>-27359.284875</v>
      </c>
      <c r="AK18" s="53" t="n">
        <f aca="false">-AK11*Inputs!$E$47/12*1*(1+Inputs!$E$50)*(1+Inputs!$E$51)^(AK$5-1)</f>
        <v>-27359.284875</v>
      </c>
      <c r="AL18" s="53" t="n">
        <f aca="false">-AL11*Inputs!$E$47/12*1*(1+Inputs!$E$50)*(1+Inputs!$E$51)^(AL$5-1)</f>
        <v>-27359.284875</v>
      </c>
      <c r="AM18" s="53" t="n">
        <f aca="false">-AM11*Inputs!$E$47/12*1*(1+Inputs!$E$50)*(1+Inputs!$E$51)^(AM$5-1)</f>
        <v>-32407.0729344375</v>
      </c>
      <c r="AN18" s="53" t="n">
        <f aca="false">-AN11*Inputs!$E$47/12*1*(1+Inputs!$E$50)*(1+Inputs!$E$51)^(AN$5-1)</f>
        <v>-32407.0729344375</v>
      </c>
      <c r="AO18" s="53" t="n">
        <f aca="false">-AO11*Inputs!$E$47/12*1*(1+Inputs!$E$50)*(1+Inputs!$E$51)^(AO$5-1)</f>
        <v>-32407.0729344375</v>
      </c>
      <c r="AP18" s="53" t="n">
        <f aca="false">-AP11*Inputs!$E$47/12*1*(1+Inputs!$E$50)*(1+Inputs!$E$51)^(AP$5-1)</f>
        <v>-32407.0729344375</v>
      </c>
      <c r="AQ18" s="53" t="n">
        <f aca="false">-AQ11*Inputs!$E$47/12*1*(1+Inputs!$E$50)*(1+Inputs!$E$51)^(AQ$5-1)</f>
        <v>-32407.0729344375</v>
      </c>
      <c r="AR18" s="53" t="n">
        <f aca="false">-AR11*Inputs!$E$47/12*1*(1+Inputs!$E$50)*(1+Inputs!$E$51)^(AR$5-1)</f>
        <v>-32407.0729344375</v>
      </c>
      <c r="AS18" s="53" t="n">
        <f aca="false">-AS11*Inputs!$E$47/12*1*(1+Inputs!$E$50)*(1+Inputs!$E$51)^(AS$5-1)</f>
        <v>-32407.0729344375</v>
      </c>
      <c r="AT18" s="53" t="n">
        <f aca="false">-AT11*Inputs!$E$47/12*1*(1+Inputs!$E$50)*(1+Inputs!$E$51)^(AT$5-1)</f>
        <v>-32407.0729344375</v>
      </c>
      <c r="AU18" s="53" t="n">
        <f aca="false">-AU11*Inputs!$E$47/12*1*(1+Inputs!$E$50)*(1+Inputs!$E$51)^(AU$5-1)</f>
        <v>-32407.0729344375</v>
      </c>
      <c r="AV18" s="53" t="n">
        <f aca="false">-AV11*Inputs!$E$47/12*1*(1+Inputs!$E$50)*(1+Inputs!$E$51)^(AV$5-1)</f>
        <v>-32407.0729344375</v>
      </c>
      <c r="AW18" s="53" t="n">
        <f aca="false">-AW11*Inputs!$E$47/12*1*(1+Inputs!$E$50)*(1+Inputs!$E$51)^(AW$5-1)</f>
        <v>-32407.0729344375</v>
      </c>
      <c r="AX18" s="53" t="n">
        <f aca="false">-AX11*Inputs!$E$47/12*1*(1+Inputs!$E$50)*(1+Inputs!$E$51)^(AX$5-1)</f>
        <v>-32407.0729344375</v>
      </c>
      <c r="AY18" s="53" t="n">
        <f aca="false">-AY11*Inputs!$E$47/12*1*(1+Inputs!$E$50)*(1+Inputs!$E$51)^(AY$5-1)</f>
        <v>-38386.1778908412</v>
      </c>
      <c r="AZ18" s="53" t="n">
        <f aca="false">-AZ11*Inputs!$E$47/12*1*(1+Inputs!$E$50)*(1+Inputs!$E$51)^(AZ$5-1)</f>
        <v>-38386.1778908412</v>
      </c>
      <c r="BA18" s="53" t="n">
        <f aca="false">-BA11*Inputs!$E$47/12*1*(1+Inputs!$E$50)*(1+Inputs!$E$51)^(BA$5-1)</f>
        <v>-38386.1778908412</v>
      </c>
      <c r="BB18" s="53" t="n">
        <f aca="false">-BB11*Inputs!$E$47/12*1*(1+Inputs!$E$50)*(1+Inputs!$E$51)^(BB$5-1)</f>
        <v>-38386.1778908412</v>
      </c>
      <c r="BC18" s="53" t="n">
        <f aca="false">-BC11*Inputs!$E$47/12*1*(1+Inputs!$E$50)*(1+Inputs!$E$51)^(BC$5-1)</f>
        <v>-38386.1778908412</v>
      </c>
      <c r="BD18" s="53" t="n">
        <f aca="false">-BD11*Inputs!$E$47/12*1*(1+Inputs!$E$50)*(1+Inputs!$E$51)^(BD$5-1)</f>
        <v>-38386.1778908412</v>
      </c>
      <c r="BE18" s="53" t="n">
        <f aca="false">-BE11*Inputs!$E$47/12*1*(1+Inputs!$E$50)*(1+Inputs!$E$51)^(BE$5-1)</f>
        <v>-38386.1778908412</v>
      </c>
      <c r="BF18" s="53" t="n">
        <f aca="false">-BF11*Inputs!$E$47/12*1*(1+Inputs!$E$50)*(1+Inputs!$E$51)^(BF$5-1)</f>
        <v>-38386.1778908412</v>
      </c>
      <c r="BG18" s="53" t="n">
        <f aca="false">-BG11*Inputs!$E$47/12*1*(1+Inputs!$E$50)*(1+Inputs!$E$51)^(BG$5-1)</f>
        <v>-38386.1778908412</v>
      </c>
      <c r="BH18" s="53" t="n">
        <f aca="false">-BH11*Inputs!$E$47/12*1*(1+Inputs!$E$50)*(1+Inputs!$E$51)^(BH$5-1)</f>
        <v>-38386.1778908412</v>
      </c>
      <c r="BI18" s="53" t="n">
        <f aca="false">-BI11*Inputs!$E$47/12*1*(1+Inputs!$E$50)*(1+Inputs!$E$51)^(BI$5-1)</f>
        <v>-38386.1778908412</v>
      </c>
      <c r="BJ18" s="53" t="n">
        <f aca="false">-BJ11*Inputs!$E$47/12*1*(1+Inputs!$E$50)*(1+Inputs!$E$51)^(BJ$5-1)</f>
        <v>-38386.1778908412</v>
      </c>
    </row>
    <row r="19" customFormat="false" ht="15" hidden="false" customHeight="false" outlineLevel="0" collapsed="false">
      <c r="A19" s="101" t="s">
        <v>421</v>
      </c>
      <c r="C19" s="54" t="n">
        <f aca="false">C15+C16+C17+C18</f>
        <v>-214500</v>
      </c>
      <c r="D19" s="54" t="n">
        <f aca="false">D15+D16+D17+D18</f>
        <v>-214500</v>
      </c>
      <c r="E19" s="54" t="n">
        <f aca="false">E15+E16+E17+E18</f>
        <v>-214500</v>
      </c>
      <c r="F19" s="54" t="n">
        <f aca="false">F15+F16+F17+F18</f>
        <v>-214500</v>
      </c>
      <c r="G19" s="54" t="n">
        <f aca="false">G15+G16+G17+G18</f>
        <v>-214500</v>
      </c>
      <c r="H19" s="54" t="n">
        <f aca="false">H15+H16+H17+H18</f>
        <v>-214500</v>
      </c>
      <c r="I19" s="54" t="n">
        <f aca="false">I15+I16+I17+I18</f>
        <v>-214500</v>
      </c>
      <c r="J19" s="54" t="n">
        <f aca="false">J15+J16+J17+J18</f>
        <v>-214500</v>
      </c>
      <c r="K19" s="54" t="n">
        <f aca="false">K15+K16+K17+K18</f>
        <v>-214500</v>
      </c>
      <c r="L19" s="54" t="n">
        <f aca="false">L15+L16+L17+L18</f>
        <v>-214500</v>
      </c>
      <c r="M19" s="54" t="n">
        <f aca="false">M15+M16+M17+M18</f>
        <v>-214500</v>
      </c>
      <c r="N19" s="54" t="n">
        <f aca="false">N15+N16+N17+N18</f>
        <v>-214500</v>
      </c>
      <c r="O19" s="54" t="n">
        <f aca="false">O15+O16+O17+O18</f>
        <v>-275859.75</v>
      </c>
      <c r="P19" s="54" t="n">
        <f aca="false">P15+P16+P17+P18</f>
        <v>-275859.75</v>
      </c>
      <c r="Q19" s="54" t="n">
        <f aca="false">Q15+Q16+Q17+Q18</f>
        <v>-275859.75</v>
      </c>
      <c r="R19" s="54" t="n">
        <f aca="false">R15+R16+R17+R18</f>
        <v>-275859.75</v>
      </c>
      <c r="S19" s="54" t="n">
        <f aca="false">S15+S16+S17+S18</f>
        <v>-275859.75</v>
      </c>
      <c r="T19" s="54" t="n">
        <f aca="false">T15+T16+T17+T18</f>
        <v>-275859.75</v>
      </c>
      <c r="U19" s="54" t="n">
        <f aca="false">U15+U16+U17+U18</f>
        <v>-275859.75</v>
      </c>
      <c r="V19" s="54" t="n">
        <f aca="false">V15+V16+V17+V18</f>
        <v>-275859.75</v>
      </c>
      <c r="W19" s="54" t="n">
        <f aca="false">W15+W16+W17+W18</f>
        <v>-275859.75</v>
      </c>
      <c r="X19" s="54" t="n">
        <f aca="false">X15+X16+X17+X18</f>
        <v>-275859.75</v>
      </c>
      <c r="Y19" s="54" t="n">
        <f aca="false">Y15+Y16+Y17+Y18</f>
        <v>-275859.75</v>
      </c>
      <c r="Z19" s="54" t="n">
        <f aca="false">Z15+Z16+Z17+Z18</f>
        <v>-275859.75</v>
      </c>
      <c r="AA19" s="54" t="n">
        <f aca="false">AA15+AA16+AA17+AA18</f>
        <v>-355495.654875</v>
      </c>
      <c r="AB19" s="54" t="n">
        <f aca="false">AB15+AB16+AB17+AB18</f>
        <v>-355495.654875</v>
      </c>
      <c r="AC19" s="54" t="n">
        <f aca="false">AC15+AC16+AC17+AC18</f>
        <v>-355495.654875</v>
      </c>
      <c r="AD19" s="54" t="n">
        <f aca="false">AD15+AD16+AD17+AD18</f>
        <v>-355495.654875</v>
      </c>
      <c r="AE19" s="54" t="n">
        <f aca="false">AE15+AE16+AE17+AE18</f>
        <v>-355495.654875</v>
      </c>
      <c r="AF19" s="54" t="n">
        <f aca="false">AF15+AF16+AF17+AF18</f>
        <v>-355495.654875</v>
      </c>
      <c r="AG19" s="54" t="n">
        <f aca="false">AG15+AG16+AG17+AG18</f>
        <v>-355495.654875</v>
      </c>
      <c r="AH19" s="54" t="n">
        <f aca="false">AH15+AH16+AH17+AH18</f>
        <v>-355495.654875</v>
      </c>
      <c r="AI19" s="54" t="n">
        <f aca="false">AI15+AI16+AI17+AI18</f>
        <v>-355495.654875</v>
      </c>
      <c r="AJ19" s="54" t="n">
        <f aca="false">AJ15+AJ16+AJ17+AJ18</f>
        <v>-355495.654875</v>
      </c>
      <c r="AK19" s="54" t="n">
        <f aca="false">AK15+AK16+AK17+AK18</f>
        <v>-355495.654875</v>
      </c>
      <c r="AL19" s="54" t="n">
        <f aca="false">AL15+AL16+AL17+AL18</f>
        <v>-355495.654875</v>
      </c>
      <c r="AM19" s="54" t="n">
        <f aca="false">AM15+AM16+AM17+AM18</f>
        <v>-459036.104636437</v>
      </c>
      <c r="AN19" s="54" t="n">
        <f aca="false">AN15+AN16+AN17+AN18</f>
        <v>-459036.104636437</v>
      </c>
      <c r="AO19" s="54" t="n">
        <f aca="false">AO15+AO16+AO17+AO18</f>
        <v>-459036.104636437</v>
      </c>
      <c r="AP19" s="54" t="n">
        <f aca="false">AP15+AP16+AP17+AP18</f>
        <v>-459036.104636437</v>
      </c>
      <c r="AQ19" s="54" t="n">
        <f aca="false">AQ15+AQ16+AQ17+AQ18</f>
        <v>-459036.104636437</v>
      </c>
      <c r="AR19" s="54" t="n">
        <f aca="false">AR15+AR16+AR17+AR18</f>
        <v>-459036.104636437</v>
      </c>
      <c r="AS19" s="54" t="n">
        <f aca="false">AS15+AS16+AS17+AS18</f>
        <v>-459036.104636437</v>
      </c>
      <c r="AT19" s="54" t="n">
        <f aca="false">AT15+AT16+AT17+AT18</f>
        <v>-459036.104636437</v>
      </c>
      <c r="AU19" s="54" t="n">
        <f aca="false">AU15+AU16+AU17+AU18</f>
        <v>-459036.104636437</v>
      </c>
      <c r="AV19" s="54" t="n">
        <f aca="false">AV15+AV16+AV17+AV18</f>
        <v>-459036.104636437</v>
      </c>
      <c r="AW19" s="54" t="n">
        <f aca="false">AW15+AW16+AW17+AW18</f>
        <v>-459036.104636437</v>
      </c>
      <c r="AX19" s="54" t="n">
        <f aca="false">AX15+AX16+AX17+AX18</f>
        <v>-459036.104636437</v>
      </c>
      <c r="AY19" s="54" t="n">
        <f aca="false">AY15+AY16+AY17+AY18</f>
        <v>-593888.929628011</v>
      </c>
      <c r="AZ19" s="54" t="n">
        <f aca="false">AZ15+AZ16+AZ17+AZ18</f>
        <v>-593888.929628011</v>
      </c>
      <c r="BA19" s="54" t="n">
        <f aca="false">BA15+BA16+BA17+BA18</f>
        <v>-593888.929628011</v>
      </c>
      <c r="BB19" s="54" t="n">
        <f aca="false">BB15+BB16+BB17+BB18</f>
        <v>-593888.929628011</v>
      </c>
      <c r="BC19" s="54" t="n">
        <f aca="false">BC15+BC16+BC17+BC18</f>
        <v>-593888.929628011</v>
      </c>
      <c r="BD19" s="54" t="n">
        <f aca="false">BD15+BD16+BD17+BD18</f>
        <v>-593888.929628011</v>
      </c>
      <c r="BE19" s="54" t="n">
        <f aca="false">BE15+BE16+BE17+BE18</f>
        <v>-593888.929628011</v>
      </c>
      <c r="BF19" s="54" t="n">
        <f aca="false">BF15+BF16+BF17+BF18</f>
        <v>-593888.929628011</v>
      </c>
      <c r="BG19" s="54" t="n">
        <f aca="false">BG15+BG16+BG17+BG18</f>
        <v>-593888.929628011</v>
      </c>
      <c r="BH19" s="54" t="n">
        <f aca="false">BH15+BH16+BH17+BH18</f>
        <v>-593888.929628011</v>
      </c>
      <c r="BI19" s="54" t="n">
        <f aca="false">BI15+BI16+BI17+BI18</f>
        <v>-593888.929628011</v>
      </c>
      <c r="BJ19" s="54" t="n">
        <f aca="false">BJ15+BJ16+BJ17+BJ18</f>
        <v>-593888.929628011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422</v>
      </c>
    </row>
    <row r="3" customFormat="false" ht="15" hidden="false" customHeight="false" outlineLevel="0" collapsed="false">
      <c r="A3" s="33" t="s">
        <v>423</v>
      </c>
      <c r="B3" s="33" t="s">
        <v>424</v>
      </c>
      <c r="C3" s="33" t="s">
        <v>425</v>
      </c>
    </row>
    <row r="4" customFormat="false" ht="15" hidden="false" customHeight="false" outlineLevel="0" collapsed="false">
      <c r="A4" s="6" t="s">
        <v>426</v>
      </c>
      <c r="B4" s="4" t="str">
        <f aca="false">IF(ABS(SUM('P&amp;L'!$B$5:$F$5)-SUM(Monthly!$C$22:$BJ$22))&lt;0.5,"PASS","FAIL")</f>
        <v>PASS</v>
      </c>
      <c r="C4" s="18" t="s">
        <v>427</v>
      </c>
    </row>
    <row r="5" customFormat="false" ht="15" hidden="false" customHeight="false" outlineLevel="0" collapsed="false">
      <c r="A5" s="6" t="s">
        <v>428</v>
      </c>
      <c r="B5" s="4" t="str">
        <f aca="false">IF(ABS(SUM('P&amp;L'!$B$22:$F$22)-SUM(Monthly!$C$47:$BJ$47))&lt;0.5,"PASS","FAIL")</f>
        <v>PASS</v>
      </c>
      <c r="C5" s="18" t="s">
        <v>429</v>
      </c>
    </row>
    <row r="6" customFormat="false" ht="15" hidden="false" customHeight="false" outlineLevel="0" collapsed="false">
      <c r="A6" s="6" t="s">
        <v>430</v>
      </c>
      <c r="B6" s="4" t="str">
        <f aca="false">IF(ABS(SUM(Monthly!$C$38:$BJ$38)-SUM(Monthly!$C$29:$BJ$29)-SUM(Monthly!$C$37:$BJ$37))&lt;0.5,"PASS","FAIL")</f>
        <v>PASS</v>
      </c>
      <c r="C6" s="18" t="s">
        <v>431</v>
      </c>
    </row>
    <row r="7" customFormat="false" ht="15" hidden="false" customHeight="false" outlineLevel="0" collapsed="false">
      <c r="A7" s="6" t="s">
        <v>432</v>
      </c>
      <c r="B7" s="4" t="str">
        <f aca="false">IF(ABS(INDEX(Monthly!$C$77:$BJ$77,60)-SUM(Monthly!$C$75:$BJ$75))&lt;0.5,"PASS","FAIL")</f>
        <v>PASS</v>
      </c>
      <c r="C7" s="18" t="s">
        <v>433</v>
      </c>
    </row>
    <row r="8" customFormat="false" ht="15" hidden="false" customHeight="false" outlineLevel="0" collapsed="false">
      <c r="A8" s="6" t="s">
        <v>434</v>
      </c>
      <c r="B8" s="4" t="str">
        <f aca="false">IF(AND(ISNUMBER(Dashboard!B4),Dashboard!B4&gt;=1,Dashboard!B4&lt;=3,INT(Dashboard!B4)=Dashboard!B4),"PASS","FAIL")</f>
        <v>PASS</v>
      </c>
      <c r="C8" s="18" t="s">
        <v>435</v>
      </c>
    </row>
    <row r="9" customFormat="false" ht="15" hidden="false" customHeight="false" outlineLevel="0" collapsed="false">
      <c r="A9" s="6" t="s">
        <v>436</v>
      </c>
      <c r="B9" s="4" t="str">
        <f aca="false">IF(AND(Inputs!$B$8&lt;=Inputs!$C$8,Inputs!$C$8&lt;=Inputs!$D$8,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$17&lt;=Inputs!$C$17,Inputs!$C$17&lt;=Inputs!$D$17,Inputs!$B$21&gt;=Inputs!$C$21,Inputs!$C$21&gt;=Inputs!$D$21,Inputs!$B$22&lt;=Inputs!$C$22,Inputs!$C$22&lt;=Inputs!$D$22,Inputs!$B$25&gt;=Inputs!$C$25,Inputs!$C$25&gt;=Inputs!$D$25,Inputs!$B$26&gt;=Inputs!$C$26,Inputs!$C$26&gt;=Inputs!$D$26,Inputs!$B$34&lt;=Inputs!$C$34,Inputs!$C$34&lt;=Inputs!$D$34,Inputs!$B$36&lt;=Inputs!$C$36,Inputs!$C$36&lt;=Inputs!$D$36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437</v>
      </c>
    </row>
    <row r="10" customFormat="false" ht="15" hidden="false" customHeight="false" outlineLevel="0" collapsed="false">
      <c r="A10" s="6" t="s">
        <v>438</v>
      </c>
      <c r="B10" s="4" t="str">
        <f aca="false">IF(AND(MIN('P&amp;L'!$B$8:$F$8)&gt;=0,MAX('P&amp;L'!$B$8:$F$8)&lt;=1),"PASS","FAIL")</f>
        <v>PASS</v>
      </c>
      <c r="C10" s="18" t="s">
        <v>439</v>
      </c>
    </row>
    <row r="11" customFormat="false" ht="15" hidden="false" customHeight="false" outlineLevel="0" collapsed="false">
      <c r="A11" s="6" t="s">
        <v>440</v>
      </c>
      <c r="B11" s="4" t="str">
        <f aca="false">IF(MIN(Monthly!$C$60:$BJ$60)&gt;=-0.5,"PASS","FAIL")</f>
        <v>PASS</v>
      </c>
      <c r="C11" s="18" t="s">
        <v>441</v>
      </c>
    </row>
    <row r="12" customFormat="false" ht="15" hidden="false" customHeight="false" outlineLevel="0" collapsed="false">
      <c r="A12" s="6" t="s">
        <v>442</v>
      </c>
      <c r="B12" s="4" t="str">
        <f aca="false">IF(ABS('Break-even'!B18-('Break-even'!B16-'Break-even'!B10))&lt;0.5,"PASS","FAIL")</f>
        <v>PASS</v>
      </c>
      <c r="C12" s="18" t="s">
        <v>443</v>
      </c>
    </row>
    <row r="13" customFormat="false" ht="15" hidden="false" customHeight="false" outlineLevel="0" collapsed="false">
      <c r="A13" s="6" t="s">
        <v>444</v>
      </c>
      <c r="B13" s="4" t="str">
        <f aca="false">IF(ABS(Valuation!B23-NPV(Valuation!B6,Valuation!$B$17:$F$17))&lt;0.5,"PASS","FAIL")</f>
        <v>PASS</v>
      </c>
      <c r="C13" s="18" t="s">
        <v>445</v>
      </c>
    </row>
    <row r="14" customFormat="false" ht="15" hidden="false" customHeight="false" outlineLevel="0" collapsed="false">
      <c r="A14" s="6" t="s">
        <v>446</v>
      </c>
      <c r="B14" s="4" t="str">
        <f aca="false">IF(Valuation!B6&gt;Valuation!B7,"PASS","FAIL")</f>
        <v>PASS</v>
      </c>
      <c r="C14" s="18" t="s">
        <v>447</v>
      </c>
    </row>
    <row r="15" customFormat="false" ht="15" hidden="false" customHeight="false" outlineLevel="0" collapsed="false">
      <c r="A15" s="6" t="s">
        <v>448</v>
      </c>
      <c r="B15" s="4" t="str">
        <f aca="false">IF(ABS(Valuation!D36-Valuation!B27)&lt;0.5,"PASS","FAIL")</f>
        <v>PASS</v>
      </c>
      <c r="C15" s="18" t="s">
        <v>449</v>
      </c>
    </row>
    <row r="16" customFormat="false" ht="15" hidden="false" customHeight="false" outlineLevel="0" collapsed="false">
      <c r="A16" s="6" t="s">
        <v>450</v>
      </c>
      <c r="B16" s="4" t="str">
        <f aca="false">IF(Valuation!$F$17&gt;0,"PASS","WARN")</f>
        <v>PASS</v>
      </c>
      <c r="C16" s="18" t="s">
        <v>451</v>
      </c>
    </row>
    <row r="17" customFormat="false" ht="15" hidden="false" customHeight="false" outlineLevel="0" collapsed="false">
      <c r="A17" s="6" t="s">
        <v>452</v>
      </c>
      <c r="B17" s="4" t="str">
        <f aca="false">IF(ABS('Sources &amp; Uses'!B21-'Sources &amp; Uses'!B28)&lt;0.5,"PASS","FAIL")</f>
        <v>PASS</v>
      </c>
      <c r="C17" s="18" t="s">
        <v>453</v>
      </c>
    </row>
    <row r="18" customFormat="false" ht="15" hidden="false" customHeight="false" outlineLevel="0" collapsed="false">
      <c r="A18" s="6" t="s">
        <v>454</v>
      </c>
      <c r="B18" s="4" t="str">
        <f aca="false">IF(SUMPRODUCT(--ISERROR(Monthly!$C$4:$BJ$95))+SUMPRODUCT(--ISERROR(Headcount!$C$4:$BJ$19))+SUMPRODUCT(--ISERROR('P&amp;L'!$B$3:$F$23))+SUMPRODUCT(--ISERROR('Cash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Uses'!$B$3:$C$30))+SUMPRODUCT(--ISERROR(Dashboard!$A$6:$W$44))+SUMPRODUCT(--ISERROR(Summary!$A$5:$S$52))+SUMPRODUCT(--ISERROR(KPIs!$A$4:$G$49))=0,"PASS","FAIL")</f>
        <v>PASS</v>
      </c>
      <c r="C18" s="18" t="s">
        <v>455</v>
      </c>
    </row>
    <row r="19" customFormat="false" ht="15" hidden="false" customHeight="false" outlineLevel="0" collapsed="false">
      <c r="A19" s="6" t="s">
        <v>456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457</v>
      </c>
    </row>
    <row r="20" customFormat="false" ht="15" hidden="false" customHeight="false" outlineLevel="0" collapsed="false">
      <c r="A20" s="6" t="s">
        <v>458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459</v>
      </c>
    </row>
    <row r="21" customFormat="false" ht="15" hidden="false" customHeight="false" outlineLevel="0" collapsed="false">
      <c r="A21" s="6" t="s">
        <v>460</v>
      </c>
      <c r="B21" s="4" t="str">
        <f aca="false">IF(SUMPRODUCT(--(ABS(Monthly!$C$95:$BJ$95)&gt;0.5))=0,"PASS","FAIL")</f>
        <v>PASS</v>
      </c>
      <c r="C21" s="18" t="s">
        <v>461</v>
      </c>
    </row>
    <row r="22" customFormat="false" ht="15" hidden="false" customHeight="false" outlineLevel="0" collapsed="false">
      <c r="A22" s="6" t="s">
        <v>462</v>
      </c>
      <c r="B22" s="4" t="str">
        <f aca="false">IF(MIN(Monthly!$C$77:$BJ$77)&gt;=0,"PASS","WARN")</f>
        <v>PASS</v>
      </c>
      <c r="C22" s="18" t="s">
        <v>463</v>
      </c>
    </row>
    <row r="24" customFormat="false" ht="15" hidden="false" customHeight="false" outlineLevel="0" collapsed="false">
      <c r="A24" s="56" t="s">
        <v>464</v>
      </c>
      <c r="B24" s="56" t="str">
        <f aca="false">IF(COUNTIF(B4:B22,"FAIL")&gt;0,"FAIL",IF(COUNTIF(B4:B22,"WARN")&gt;0,"PASS WITH WARNINGS","PASS"))</f>
        <v>PASS</v>
      </c>
      <c r="C24" s="110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2026-10-21T09:43:15Z</dcterms:created>
  <dc:creator/>
  <dc:description/>
  <dc:language>en-US</dc:language>
  <cp:lastModifiedBy/>
  <dcterms:modified xsi:type="dcterms:W3CDTF">2026-10-21T09:43:17Z</dcterms:modified>
  <cp:revision>0</cp:revision>
  <dc:subject/>
  <dc:title>Professional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